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</sheets>
  <definedNames>
    <definedName name="_xlnm._FilterDatabase" localSheetId="0" hidden="1">'history'!$A$1:$V$1197</definedName>
    <definedName name="_xlnm._FilterDatabase" localSheetId="1" hidden="1">'latest'!$A$1:$V$58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'comparison'!$B$3:$B$24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'comparison'!$C$3:$C$24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'comparison'!$D$3:$D$24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4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'comparison'!$E$3:$E$24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'comparison'!$F$3:$F$24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'comparison'!$G$3:$G$24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0"/>
          <min val="9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'comparison'!$H$3:$H$24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'comparison'!$I$3:$I$24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'comparison'!$J$3:$J$24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2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'comparison'!$K$3:$K$24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'comparison'!$L$3:$L$24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'comparison'!$A$3:$A$24</f>
            </numRef>
          </cat>
          <val>
            <numRef>
              <f>'comparison'!$M$3:$M$24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25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V119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do Hexa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do Hexa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do Hexa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do Hexa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2" t="inlineStr"/>
      <c r="L14" s="4" t="n">
        <v>12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5" t="inlineStr"/>
      <c r="L15" s="7" t="n">
        <v>41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https://www.tim.com.br/sp/para-voce/planos/controle</t>
        </is>
      </c>
      <c r="V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2" t="inlineStr"/>
      <c r="L16" s="4" t="n">
        <v>31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https://www.tim.com.br/sp/para-voce/planos/controle</t>
        </is>
      </c>
      <c r="V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5" t="inlineStr"/>
      <c r="L17" s="7" t="n">
        <v>45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https://www.tim.com.br/sp/para-voce/planos/controle</t>
        </is>
      </c>
      <c r="V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2" t="inlineStr"/>
      <c r="L18" s="4" t="n">
        <v>53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https://www.tim.com.br/sp/para-voce/planos/controle</t>
        </is>
      </c>
      <c r="V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5" t="inlineStr"/>
      <c r="L19" s="7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https://www.tim.com.br/sp/para-voce/planos/controle</t>
        </is>
      </c>
      <c r="V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2" t="inlineStr"/>
      <c r="L20" s="4" t="n">
        <v>70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https://www.tim.com.br/sp/para-voce/planos/pos-pago/tim-black</t>
        </is>
      </c>
      <c r="V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5" t="inlineStr"/>
      <c r="L21" s="7" t="n">
        <v>67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https://www.tim.com.br/sp/para-voce/planos/pos-pago/tim-black</t>
        </is>
      </c>
      <c r="V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2" t="inlineStr"/>
      <c r="L22" s="4" t="n">
        <v>82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https://www.tim.com.br/sp/para-voce/planos/pos-pago/tim-black</t>
        </is>
      </c>
      <c r="V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5" t="inlineStr"/>
      <c r="L23" s="7" t="n">
        <v>107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https://www.tim.com.br/sp/para-voce/planos/pos-pago/tim-black</t>
        </is>
      </c>
      <c r="V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2" t="inlineStr"/>
      <c r="L24" s="4" t="n">
        <v>95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https://www.tim.com.br/sp/para-voce/planos/pos-pago/tim-black</t>
        </is>
      </c>
      <c r="V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5" t="inlineStr"/>
      <c r="L25" s="7" t="n">
        <v>80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https://www.tim.com.br/sp/para-voce/planos/pos-pago/tim-black</t>
        </is>
      </c>
      <c r="V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2" t="inlineStr"/>
      <c r="L26" s="4" t="n">
        <v>110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5" t="inlineStr"/>
      <c r="L27" s="7" t="n">
        <v>16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https://www.tim.com.br/sp/para-voce/planos/pre-pago</t>
        </is>
      </c>
      <c r="V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2" t="inlineStr"/>
      <c r="L28" s="4" t="n">
        <v>6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https://www.tim.com.br/sp/para-voce/planos/pre-pago</t>
        </is>
      </c>
      <c r="V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5" t="inlineStr"/>
      <c r="L29" s="7" t="n">
        <v>8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https://www.tim.com.br/sp/para-voce/planos/pre-pago</t>
        </is>
      </c>
      <c r="V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2" t="inlineStr"/>
      <c r="L30" s="4" t="n">
        <v>46</v>
      </c>
      <c r="M30" s="2" t="inlineStr">
        <is>
          <t>15 GB de franquia 31 GB de bônus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 meses grátis de Gemini com AI Plus</t>
        </is>
      </c>
      <c r="U30" s="2" t="inlineStr">
        <is>
          <t>https://vivo.com.br/para-voce/produtos-e-servicos/para-o-celular/planos-controle</t>
        </is>
      </c>
      <c r="V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5" t="inlineStr"/>
      <c r="L31" s="7" t="n">
        <v>61</v>
      </c>
      <c r="M31" s="5" t="inlineStr">
        <is>
          <t>20 GB de franquia 31 GB de bônus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6 meses grátis de Gemini com AI Plus</t>
        </is>
      </c>
      <c r="U31" s="5" t="inlineStr">
        <is>
          <t>https://vivo.com.br/para-voce/produtos-e-servicos/para-o-celular/planos-controle</t>
        </is>
      </c>
      <c r="V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2" t="inlineStr"/>
      <c r="L32" s="4" t="n">
        <v>61</v>
      </c>
      <c r="M32" s="2" t="inlineStr">
        <is>
          <t>20 GB de franquia 31 GB de bônus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Assinatura Vivae inclusa</t>
        </is>
      </c>
      <c r="U32" s="2" t="inlineStr">
        <is>
          <t>https://vivo.com.br/para-voce/produtos-e-servicos/para-o-celular/planos-controle</t>
        </is>
      </c>
      <c r="V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5" t="inlineStr"/>
      <c r="L33" s="7" t="n">
        <v>61</v>
      </c>
      <c r="M33" s="5" t="inlineStr">
        <is>
          <t>20 GB de franquia 31 GB de bônus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Assinatura Vivo TV Inicial inclusa</t>
        </is>
      </c>
      <c r="U33" s="5" t="inlineStr">
        <is>
          <t>https://vivo.com.br/para-voce/produtos-e-servicos/para-o-celular/planos-controle</t>
        </is>
      </c>
      <c r="V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2" t="inlineStr"/>
      <c r="L34" s="4" t="n">
        <v>61</v>
      </c>
      <c r="M34" s="2" t="inlineStr">
        <is>
          <t>20 GB de franquia 31 GB de bônus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Apple Music Individual</t>
        </is>
      </c>
      <c r="U34" s="2" t="inlineStr">
        <is>
          <t>https://vivo.com.br/para-voce/produtos-e-servicos/para-o-celular/planos-controle</t>
        </is>
      </c>
      <c r="V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5" t="inlineStr"/>
      <c r="L35" s="7" t="n">
        <v>61</v>
      </c>
      <c r="M35" s="5" t="inlineStr">
        <is>
          <t>20 GB de franquia 31 GB de bônus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Assinatura Netflix Padrão com anúncios</t>
        </is>
      </c>
      <c r="U35" s="5" t="inlineStr">
        <is>
          <t>https://vivo.com.br/para-voce/produtos-e-servicos/para-o-celular/planos-controle</t>
        </is>
      </c>
      <c r="V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2" t="inlineStr"/>
      <c r="L36" s="4" t="n">
        <v>61</v>
      </c>
      <c r="M36" s="2" t="inlineStr">
        <is>
          <t>20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Assinatura Vale Saúde Sempre inclusa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5" t="inlineStr"/>
      <c r="L37" s="7" t="n">
        <v>30</v>
      </c>
      <c r="M37" s="5" t="inlineStr">
        <is>
          <t>30 GB de franquia 2 Meses de YouTube ilimitado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https://vivo.com.br/para-voce/produtos-e-servicos/para-o-celular/easy-lite</t>
        </is>
      </c>
      <c r="V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2" t="inlineStr"/>
      <c r="L38" s="4" t="n">
        <v>40</v>
      </c>
      <c r="M38" s="2" t="inlineStr">
        <is>
          <t>40 GB de franquia 2 Meses de YouTube ilimitado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https://vivo.com.br/para-voce/produtos-e-servicos/para-o-celular/easy-lite</t>
        </is>
      </c>
      <c r="V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5" t="inlineStr"/>
      <c r="L39" s="7" t="n">
        <v>20</v>
      </c>
      <c r="M39" s="5" t="inlineStr">
        <is>
          <t>20 GB de franquia 2 Meses de YouTube ilimitado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https://vivo.com.br/para-voce/produtos-e-servicos/para-o-celular/easy-lite</t>
        </is>
      </c>
      <c r="V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2" t="inlineStr"/>
      <c r="L40" s="4" t="n">
        <v>30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https://vivo.com.br/para-voce/produtos-e-servicos/para-o-celular/easy-lite</t>
        </is>
      </c>
      <c r="V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5" t="inlineStr"/>
      <c r="L41" s="7" t="n">
        <v>40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https://vivo.com.br/para-voce/produtos-e-servicos/para-o-celular/easy-lite</t>
        </is>
      </c>
      <c r="V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2" t="inlineStr"/>
      <c r="L42" s="4" t="n">
        <v>60</v>
      </c>
      <c r="M42" s="2" t="inlineStr">
        <is>
          <t>50 GB de franquia 10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Amazon Prime inclusa</t>
        </is>
      </c>
      <c r="U42" s="2" t="inlineStr">
        <is>
          <t>https://vivo.com.br/para-voce/produtos-e-servicos/para-o-celular/planos-pos-pago</t>
        </is>
      </c>
      <c r="V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5" t="inlineStr"/>
      <c r="L43" s="7" t="n">
        <v>60</v>
      </c>
      <c r="M43" s="5" t="inlineStr">
        <is>
          <t>50 GB de franquia 10 GB de bônus</t>
        </is>
      </c>
      <c r="N43" s="5" t="inlineStr"/>
      <c r="O43" s="5" t="inlineStr"/>
      <c r="P43" s="5" t="inlineStr"/>
      <c r="Q43" s="5" t="inlineStr"/>
      <c r="R43" s="5" t="inlineStr">
        <is>
          <t>Disney+</t>
        </is>
      </c>
      <c r="S43" s="5" t="inlineStr"/>
      <c r="T43" s="5" t="inlineStr">
        <is>
          <t>Assinatura Disney+ Padrão inclusa</t>
        </is>
      </c>
      <c r="U43" s="5" t="inlineStr">
        <is>
          <t>https://vivo.com.br/para-voce/produtos-e-servicos/para-o-celular/planos-pos-pago</t>
        </is>
      </c>
      <c r="V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2" t="inlineStr"/>
      <c r="L44" s="4" t="n">
        <v>60</v>
      </c>
      <c r="M44" s="2" t="inlineStr">
        <is>
          <t>50 GB de franquia 10 GB de bônus</t>
        </is>
      </c>
      <c r="N44" s="2" t="inlineStr"/>
      <c r="O44" s="2" t="inlineStr"/>
      <c r="P44" s="2" t="inlineStr"/>
      <c r="Q44" s="2" t="inlineStr"/>
      <c r="R44" s="2" t="inlineStr">
        <is>
          <t>Globoplay</t>
        </is>
      </c>
      <c r="S44" s="2" t="inlineStr"/>
      <c r="T44" s="2" t="inlineStr">
        <is>
          <t>Assinatura Globoplay inclusa</t>
        </is>
      </c>
      <c r="U44" s="2" t="inlineStr">
        <is>
          <t>https://vivo.com.br/para-voce/produtos-e-servicos/para-o-celular/planos-pos-pago</t>
        </is>
      </c>
      <c r="V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5" t="inlineStr"/>
      <c r="L45" s="7" t="n">
        <v>60</v>
      </c>
      <c r="M45" s="5" t="inlineStr">
        <is>
          <t>50 GB de franquia 10 GB de bônus</t>
        </is>
      </c>
      <c r="N45" s="5" t="inlineStr"/>
      <c r="O45" s="5" t="inlineStr"/>
      <c r="P45" s="5" t="inlineStr"/>
      <c r="Q45" s="5" t="inlineStr"/>
      <c r="R45" s="5" t="inlineStr">
        <is>
          <t>Netflix</t>
        </is>
      </c>
      <c r="S45" s="5" t="inlineStr"/>
      <c r="T45" s="5" t="inlineStr">
        <is>
          <t>Assinatura Netflix Padrão inclusa</t>
        </is>
      </c>
      <c r="U45" s="5" t="inlineStr">
        <is>
          <t>https://vivo.com.br/para-voce/produtos-e-servicos/para-o-celular/planos-pos-pago</t>
        </is>
      </c>
      <c r="V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2" t="inlineStr"/>
      <c r="L46" s="4" t="n">
        <v>60</v>
      </c>
      <c r="M46" s="2" t="inlineStr">
        <is>
          <t>50 GB de franquia 10 GB de bônus</t>
        </is>
      </c>
      <c r="N46" s="2" t="inlineStr"/>
      <c r="O46" s="2" t="inlineStr"/>
      <c r="P46" s="2" t="inlineStr"/>
      <c r="Q46" s="2" t="inlineStr"/>
      <c r="R46" s="2" t="inlineStr">
        <is>
          <t>Premiere</t>
        </is>
      </c>
      <c r="S46" s="2" t="inlineStr"/>
      <c r="T46" s="2" t="inlineStr">
        <is>
          <t>Assinatura Premiere inclusa</t>
        </is>
      </c>
      <c r="U46" s="2" t="inlineStr">
        <is>
          <t>https://vivo.com.br/para-voce/produtos-e-servicos/para-o-celular/planos-pos-pago</t>
        </is>
      </c>
      <c r="V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>
        <is>
          <t>Spotify</t>
        </is>
      </c>
      <c r="S47" s="5" t="inlineStr"/>
      <c r="T47" s="5" t="inlineStr">
        <is>
          <t>Assinatura Spotify Premium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2" t="inlineStr"/>
      <c r="L48" s="4" t="n">
        <v>70</v>
      </c>
      <c r="M48" s="2" t="inlineStr">
        <is>
          <t>60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 meses grátis de Gemini com AI Plus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5" t="inlineStr"/>
      <c r="L49" s="7" t="n">
        <v>25</v>
      </c>
      <c r="M49" s="5" t="inlineStr">
        <is>
          <t>15 GB para navegar como quiser 5 GB de bônus 5 GB para navegar no Youtube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https://vivo.com.br/para-voce/produtos-e-servicos/para-o-celular/pre-pago/vivo-pre</t>
        </is>
      </c>
      <c r="V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2" t="inlineStr"/>
      <c r="L50" s="4" t="n">
        <v>9</v>
      </c>
      <c r="M50" s="2" t="inlineStr">
        <is>
          <t>6 GB para navegar como quiser 3 GB para navegar no YouTube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https://vivo.com.br/para-voce/produtos-e-servicos/para-o-celular/pre-pago/vivo-pre</t>
        </is>
      </c>
      <c r="V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5" t="inlineStr"/>
      <c r="L51" s="7" t="n">
        <v>5</v>
      </c>
      <c r="M51" s="5" t="inlineStr">
        <is>
          <t>5 GB para navegar como quiser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https://vivo.com.br/para-voce/produtos-e-servicos/para-o-celular/pre-pago/vivo-pre</t>
        </is>
      </c>
      <c r="V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2" t="inlineStr"/>
      <c r="L52" s="4" t="n">
        <v>4</v>
      </c>
      <c r="M52" s="2" t="inlineStr">
        <is>
          <t>4 GB para navegar como quiser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https://vivo.com.br/para-voce/produtos-e-servicos/para-o-celular/pre-pago/vivo-pre</t>
        </is>
      </c>
      <c r="V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5" t="inlineStr"/>
      <c r="L53" s="7" t="n">
        <v>25</v>
      </c>
      <c r="M53" s="5" t="inlineStr"/>
      <c r="N53" s="5" t="inlineStr"/>
      <c r="O53" s="5" t="inlineStr">
        <is>
          <t>WhatsApp</t>
        </is>
      </c>
      <c r="P53" s="5" t="inlineStr"/>
      <c r="Q53" s="5" t="inlineStr"/>
      <c r="R53" s="5" t="inlineStr"/>
      <c r="S53" s="5" t="inlineStr"/>
      <c r="T53" s="5" t="inlineStr">
        <is>
          <t>Para uso livre; Para redes sociais e vídeos; Bônus exclusivo; Aproveite na sua franquia; WhatsApp e ligações ilimitadas</t>
        </is>
      </c>
      <c r="U53" s="5" t="inlineStr">
        <is>
          <t>https://www.claro.com.br/celular/controle</t>
        </is>
      </c>
      <c r="V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2" t="inlineStr"/>
      <c r="L54" s="4" t="n">
        <v>30</v>
      </c>
      <c r="M54" s="2" t="inlineStr"/>
      <c r="N54" s="2" t="inlineStr"/>
      <c r="O54" s="2" t="inlineStr">
        <is>
          <t>WhatsApp</t>
        </is>
      </c>
      <c r="P54" s="2" t="inlineStr"/>
      <c r="Q54" s="2" t="inlineStr"/>
      <c r="R54" s="2" t="inlineStr"/>
      <c r="S54" s="2" t="inlineStr"/>
      <c r="T54" s="2" t="inlineStr">
        <is>
          <t>Para uso livre; Bônus do Hexa para uso livre; Bônus para redes sociais e apps; Redes sociais e apps; WhatsApp ilimitado</t>
        </is>
      </c>
      <c r="U54" s="2" t="inlineStr">
        <is>
          <t>https://www.claro.com.br/celular/controle</t>
        </is>
      </c>
      <c r="V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5" t="inlineStr"/>
      <c r="L55" s="7" t="n">
        <v>30</v>
      </c>
      <c r="M55" s="5" t="inlineStr"/>
      <c r="N55" s="5" t="inlineStr"/>
      <c r="O55" s="5" t="inlineStr">
        <is>
          <t>WhatsApp</t>
        </is>
      </c>
      <c r="P55" s="5" t="inlineStr"/>
      <c r="Q55" s="5" t="inlineStr"/>
      <c r="R55" s="5" t="inlineStr"/>
      <c r="S55" s="5" t="inlineStr"/>
      <c r="T55" s="5" t="inlineStr">
        <is>
          <t>Para uso livre; Bônus para redes sociais e apps; Bônus uso livre; Redes sociais e apps; WhatsApp ilimitado</t>
        </is>
      </c>
      <c r="U55" s="5" t="inlineStr">
        <is>
          <t>https://www.claro.com.br/celular/controle</t>
        </is>
      </c>
      <c r="V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2" t="inlineStr"/>
      <c r="L56" s="4" t="n">
        <v>15</v>
      </c>
      <c r="M56" s="2" t="inlineStr"/>
      <c r="N56" s="2" t="inlineStr"/>
      <c r="O56" s="2" t="inlineStr">
        <is>
          <t>WhatsApp</t>
        </is>
      </c>
      <c r="P56" s="2" t="inlineStr"/>
      <c r="Q56" s="2" t="inlineStr"/>
      <c r="R56" s="2" t="inlineStr"/>
      <c r="S56" s="2" t="inlineStr"/>
      <c r="T56" s="2" t="inlineStr">
        <is>
          <t>Para uso livre; Bônus do Hexa para uso livre; Para redes sociais e apps; Bônus extra nos apps; WhatsApp ilimitado</t>
        </is>
      </c>
      <c r="U56" s="2" t="inlineStr">
        <is>
          <t>https://www.claro.com.br/celular/flex</t>
        </is>
      </c>
      <c r="V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5" t="inlineStr"/>
      <c r="L57" s="7" t="n">
        <v>20</v>
      </c>
      <c r="M57" s="5" t="inlineStr"/>
      <c r="N57" s="5" t="inlineStr"/>
      <c r="O57" s="5" t="inlineStr">
        <is>
          <t>WhatsApp</t>
        </is>
      </c>
      <c r="P57" s="5" t="inlineStr"/>
      <c r="Q57" s="5" t="inlineStr"/>
      <c r="R57" s="5" t="inlineStr"/>
      <c r="S57" s="5" t="inlineStr"/>
      <c r="T57" s="5" t="inlineStr">
        <is>
          <t>Para uso livre; Bônus do Hexa para uso livre; Para redes sociais e apps; Bônus extra nos apps; WhatsApp ilimitado</t>
        </is>
      </c>
      <c r="U57" s="5" t="inlineStr">
        <is>
          <t>https://www.claro.com.br/celular/flex</t>
        </is>
      </c>
      <c r="V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2" t="inlineStr"/>
      <c r="L58" s="4" t="n">
        <v>30</v>
      </c>
      <c r="M58" s="2" t="inlineStr"/>
      <c r="N58" s="2" t="inlineStr"/>
      <c r="O58" s="2" t="inlineStr">
        <is>
          <t>WhatsApp</t>
        </is>
      </c>
      <c r="P58" s="2" t="inlineStr"/>
      <c r="Q58" s="2" t="inlineStr"/>
      <c r="R58" s="2" t="inlineStr"/>
      <c r="S58" s="2" t="inlineStr"/>
      <c r="T58" s="2" t="inlineStr">
        <is>
          <t>Para uso livre; Bônus do Hexa para uso livre; Para redes sociais e apps; Bônus extra nos apps; WhatsApp ilimitado; Assinatura Claro musica inclusa</t>
        </is>
      </c>
      <c r="U58" s="2" t="inlineStr">
        <is>
          <t>https://www.claro.com.br/celular/flex</t>
        </is>
      </c>
      <c r="V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5" t="inlineStr"/>
      <c r="L59" s="7" t="n">
        <v>40</v>
      </c>
      <c r="M59" s="5" t="inlineStr"/>
      <c r="N59" s="5" t="inlineStr"/>
      <c r="O59" s="5" t="inlineStr">
        <is>
          <t>WhatsApp</t>
        </is>
      </c>
      <c r="P59" s="5" t="inlineStr"/>
      <c r="Q59" s="5" t="inlineStr"/>
      <c r="R59" s="5" t="inlineStr"/>
      <c r="S59" s="5" t="inlineStr"/>
      <c r="T59" s="5" t="inlineStr">
        <is>
          <t>Para uso livre; Para redes sociais e apps; Bônus uso livre; Bônus extra nos apps; WhatsApp ilimitado; Assinatura Claro musica inclusa</t>
        </is>
      </c>
      <c r="U59" s="5" t="inlineStr">
        <is>
          <t>https://www.claro.com.br/celular/flex</t>
        </is>
      </c>
      <c r="V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2" t="inlineStr"/>
      <c r="L60" s="4" t="n">
        <v>100</v>
      </c>
      <c r="M60" s="2" t="inlineStr"/>
      <c r="N60" s="2" t="inlineStr"/>
      <c r="O60" s="2" t="inlineStr">
        <is>
          <t>WhatsApp</t>
        </is>
      </c>
      <c r="P60" s="2" t="inlineStr"/>
      <c r="Q60" s="2" t="inlineStr"/>
      <c r="R60" s="2" t="inlineStr"/>
      <c r="S60" s="2" t="inlineStr"/>
      <c r="T60" s="2" t="inlineStr">
        <is>
          <t>Armazenamento na nuvem:; Google One ou iCloud+; WhatsApp ilimitado; Roaming: Passaporte Américas; Claro Sync: Smartwatch conectado</t>
        </is>
      </c>
      <c r="U60" s="2" t="inlineStr">
        <is>
          <t>https://www.claro.com.br/celular/pos</t>
        </is>
      </c>
      <c r="V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5" t="inlineStr"/>
      <c r="L61" s="7" t="n">
        <v>150</v>
      </c>
      <c r="M61" s="5" t="inlineStr"/>
      <c r="N61" s="5" t="inlineStr"/>
      <c r="O61" s="5" t="inlineStr">
        <is>
          <t>WhatsApp</t>
        </is>
      </c>
      <c r="P61" s="5" t="inlineStr"/>
      <c r="Q61" s="5" t="inlineStr"/>
      <c r="R61" s="5" t="inlineStr"/>
      <c r="S61" s="5" t="inlineStr"/>
      <c r="T61" s="5" t="inlineStr">
        <is>
          <t>Armazenamento na nuvem:; Google One ou iCloud+; WhatsApp ilimitado; Roaming: Passaporte Américas e Europa; Claro Sync: Smartwatch conectado</t>
        </is>
      </c>
      <c r="U61" s="5" t="inlineStr">
        <is>
          <t>https://www.claro.com.br/celular/pos</t>
        </is>
      </c>
      <c r="V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2" t="inlineStr"/>
      <c r="L62" s="4" t="n">
        <v>200</v>
      </c>
      <c r="M62" s="2" t="inlineStr"/>
      <c r="N62" s="2" t="inlineStr"/>
      <c r="O62" s="2" t="inlineStr">
        <is>
          <t>WhatsApp</t>
        </is>
      </c>
      <c r="P62" s="2" t="inlineStr"/>
      <c r="Q62" s="2" t="inlineStr"/>
      <c r="R62" s="2" t="inlineStr"/>
      <c r="S62" s="2" t="inlineStr"/>
      <c r="T62" s="2" t="inlineStr">
        <is>
          <t>Armazenamento na nuvem:; Google One ou iCloud+; WhatsApp ilimitado; Roaming: Passaporte Mundo; Claro Sync: Smartwatch conectado</t>
        </is>
      </c>
      <c r="U62" s="2" t="inlineStr">
        <is>
          <t>https://www.claro.com.br/celular/pos</t>
        </is>
      </c>
      <c r="V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5" t="inlineStr"/>
      <c r="L63" s="7" t="n">
        <v>50</v>
      </c>
      <c r="M63" s="5" t="inlineStr"/>
      <c r="N63" s="5" t="inlineStr"/>
      <c r="O63" s="5" t="inlineStr">
        <is>
          <t>WhatsApp</t>
        </is>
      </c>
      <c r="P63" s="5" t="inlineStr"/>
      <c r="Q63" s="5" t="inlineStr"/>
      <c r="R63" s="5" t="inlineStr"/>
      <c r="S63" s="5" t="inlineStr"/>
      <c r="T63" s="5" t="inlineStr">
        <is>
          <t>Armazenamento na nuvem:; Google One ou iCloud+; WhatsApp ilimitado; Roaming: Passaporte Américas; Claro Sync: Smartwatch conectado; Inclusa assinatura GeForce NOW</t>
        </is>
      </c>
      <c r="U63" s="5" t="inlineStr">
        <is>
          <t>https://www.claro.com.br/celular/pos</t>
        </is>
      </c>
      <c r="V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2" t="inlineStr"/>
      <c r="L64" s="4" t="n">
        <v>60</v>
      </c>
      <c r="M64" s="2" t="inlineStr"/>
      <c r="N64" s="2" t="inlineStr"/>
      <c r="O64" s="2" t="inlineStr">
        <is>
          <t>WhatsApp</t>
        </is>
      </c>
      <c r="P64" s="2" t="inlineStr"/>
      <c r="Q64" s="2" t="inlineStr"/>
      <c r="R64" s="2" t="inlineStr"/>
      <c r="S64" s="2" t="inlineStr"/>
      <c r="T64" s="2" t="inlineStr">
        <is>
          <t>Armazenamento na nuvem:; Google One ou iCloud+; WhatsApp ilimitado; Roaming: Passaporte Américas; Claro Sync: Smartwatch conectado</t>
        </is>
      </c>
      <c r="U64" s="2" t="inlineStr">
        <is>
          <t>https://www.claro.com.br/celular/pos</t>
        </is>
      </c>
      <c r="V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5" t="inlineStr"/>
      <c r="L65" s="7" t="n">
        <v>12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https://www.claro.com.br/celular/planos-pre/prezao</t>
        </is>
      </c>
      <c r="V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2" t="inlineStr"/>
      <c r="L66" s="4" t="n">
        <v>41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https://www.tim.com.br/sp/para-voce/planos/controle</t>
        </is>
      </c>
      <c r="V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5" t="inlineStr"/>
      <c r="L67" s="7" t="n">
        <v>31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https://www.tim.com.br/sp/para-voce/planos/controle</t>
        </is>
      </c>
      <c r="V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2" t="inlineStr"/>
      <c r="L68" s="4" t="n">
        <v>45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https://www.tim.com.br/sp/para-voce/planos/controle</t>
        </is>
      </c>
      <c r="V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5" t="inlineStr"/>
      <c r="L69" s="7" t="n">
        <v>53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https://www.tim.com.br/sp/para-voce/planos/controle</t>
        </is>
      </c>
      <c r="V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2" t="inlineStr"/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https://www.tim.com.br/sp/para-voce/planos/controle</t>
        </is>
      </c>
      <c r="V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5" t="inlineStr"/>
      <c r="L71" s="7" t="n">
        <v>70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https://www.tim.com.br/sp/para-voce/planos/pos-pago/tim-black</t>
        </is>
      </c>
      <c r="V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2" t="inlineStr"/>
      <c r="L72" s="4" t="n">
        <v>67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https://www.tim.com.br/sp/para-voce/planos/pos-pago/tim-black</t>
        </is>
      </c>
      <c r="V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5" t="inlineStr"/>
      <c r="L73" s="7" t="n">
        <v>82</v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https://www.tim.com.br/sp/para-voce/planos/pos-pago/tim-black</t>
        </is>
      </c>
      <c r="V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2" t="inlineStr"/>
      <c r="L74" s="4" t="n">
        <v>107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https://www.tim.com.br/sp/para-voce/planos/pos-pago/tim-black</t>
        </is>
      </c>
      <c r="V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5" t="inlineStr"/>
      <c r="L75" s="7" t="n">
        <v>95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https://www.tim.com.br/sp/para-voce/planos/pos-pago/tim-black</t>
        </is>
      </c>
      <c r="V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2" t="inlineStr"/>
      <c r="L76" s="4" t="n">
        <v>80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https://www.tim.com.br/sp/para-voce/planos/pos-pago/tim-black</t>
        </is>
      </c>
      <c r="V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5" t="inlineStr"/>
      <c r="L77" s="7" t="n">
        <v>110</v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https://www.tim.com.br/sp/para-voce/planos/pos-pago/tim-black</t>
        </is>
      </c>
      <c r="V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2" t="inlineStr"/>
      <c r="L78" s="4" t="n">
        <v>16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https://www.tim.com.br/sp/para-voce/planos/pre-pago</t>
        </is>
      </c>
      <c r="V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5" t="inlineStr"/>
      <c r="L79" s="7" t="n">
        <v>6</v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https://www.tim.com.br/sp/para-voce/planos/pre-pago</t>
        </is>
      </c>
      <c r="V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2" t="inlineStr"/>
      <c r="L80" s="4" t="n">
        <v>8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https://www.tim.com.br/sp/para-voce/planos/pre-pago</t>
        </is>
      </c>
      <c r="V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5" t="inlineStr"/>
      <c r="L81" s="7" t="n">
        <v>46</v>
      </c>
      <c r="M81" s="5" t="inlineStr">
        <is>
          <t>15 GB de franquia 31 GB de bônus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 meses grátis de Gemini com AI Plus</t>
        </is>
      </c>
      <c r="U81" s="5" t="inlineStr">
        <is>
          <t>https://vivo.com.br/para-voce/produtos-e-servicos/para-o-celular/planos-controle</t>
        </is>
      </c>
      <c r="V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2" t="inlineStr"/>
      <c r="L82" s="4" t="n">
        <v>61</v>
      </c>
      <c r="M82" s="2" t="inlineStr">
        <is>
          <t>20 GB de franquia 31 GB de bônus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6 meses grátis de Gemini com AI Plus</t>
        </is>
      </c>
      <c r="U82" s="2" t="inlineStr">
        <is>
          <t>https://vivo.com.br/para-voce/produtos-e-servicos/para-o-celular/planos-controle</t>
        </is>
      </c>
      <c r="V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5" t="inlineStr"/>
      <c r="L83" s="7" t="n">
        <v>61</v>
      </c>
      <c r="M83" s="5" t="inlineStr">
        <is>
          <t>20 GB de franquia 31 GB de bônus</t>
        </is>
      </c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Assinatura Vivae inclusa</t>
        </is>
      </c>
      <c r="U83" s="5" t="inlineStr">
        <is>
          <t>https://vivo.com.br/para-voce/produtos-e-servicos/para-o-celular/planos-controle</t>
        </is>
      </c>
      <c r="V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2" t="inlineStr"/>
      <c r="L84" s="4" t="n">
        <v>61</v>
      </c>
      <c r="M84" s="2" t="inlineStr">
        <is>
          <t>20 GB de franquia 31 GB de bônus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Assinatura Vivo TV Inicial inclusa</t>
        </is>
      </c>
      <c r="U84" s="2" t="inlineStr">
        <is>
          <t>https://vivo.com.br/para-voce/produtos-e-servicos/para-o-celular/planos-controle</t>
        </is>
      </c>
      <c r="V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5" t="inlineStr"/>
      <c r="L85" s="7" t="n">
        <v>61</v>
      </c>
      <c r="M85" s="5" t="inlineStr">
        <is>
          <t>20 GB de franquia 31 GB de bônus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>
        <is>
          <t>Apple Music Individual</t>
        </is>
      </c>
      <c r="U85" s="5" t="inlineStr">
        <is>
          <t>https://vivo.com.br/para-voce/produtos-e-servicos/para-o-celular/planos-controle</t>
        </is>
      </c>
      <c r="V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2" t="inlineStr"/>
      <c r="L86" s="4" t="n">
        <v>61</v>
      </c>
      <c r="M86" s="2" t="inlineStr">
        <is>
          <t>20 GB de franquia 31 GB de bônus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Assinatura Netflix Padrão com anúncios</t>
        </is>
      </c>
      <c r="U86" s="2" t="inlineStr">
        <is>
          <t>https://vivo.com.br/para-voce/produtos-e-servicos/para-o-celular/planos-controle</t>
        </is>
      </c>
      <c r="V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5" t="inlineStr"/>
      <c r="L87" s="7" t="n">
        <v>61</v>
      </c>
      <c r="M87" s="5" t="inlineStr">
        <is>
          <t>20 GB de franquia 31 GB de bônus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Assinatura Vale Saúde Sempre inclusa</t>
        </is>
      </c>
      <c r="U87" s="5" t="inlineStr">
        <is>
          <t>https://vivo.com.br/para-voce/produtos-e-servicos/para-o-celular/planos-controle</t>
        </is>
      </c>
      <c r="V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2" t="inlineStr"/>
      <c r="L88" s="4" t="n">
        <v>30</v>
      </c>
      <c r="M88" s="2" t="inlineStr">
        <is>
          <t>30 GB de franquia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Youtube Ilimitado</t>
        </is>
      </c>
      <c r="U88" s="2" t="inlineStr">
        <is>
          <t>https://vivo.com.br/para-voce/produtos-e-servicos/para-o-celular/easy-lite</t>
        </is>
      </c>
      <c r="V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5" t="inlineStr"/>
      <c r="L89" s="7" t="n">
        <v>40</v>
      </c>
      <c r="M89" s="5" t="inlineStr">
        <is>
          <t>40 GB de franquia</t>
        </is>
      </c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Youtube Ilimitado</t>
        </is>
      </c>
      <c r="U89" s="5" t="inlineStr">
        <is>
          <t>https://vivo.com.br/para-voce/produtos-e-servicos/para-o-celular/easy-lite</t>
        </is>
      </c>
      <c r="V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2" t="inlineStr"/>
      <c r="L90" s="4" t="n">
        <v>20</v>
      </c>
      <c r="M90" s="2" t="inlineStr">
        <is>
          <t>20 GB de franquia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Youtube Ilimitado</t>
        </is>
      </c>
      <c r="U90" s="2" t="inlineStr">
        <is>
          <t>https://vivo.com.br/para-voce/produtos-e-servicos/para-o-celular/easy-lite</t>
        </is>
      </c>
      <c r="V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5" t="inlineStr"/>
      <c r="L91" s="7" t="n">
        <v>60</v>
      </c>
      <c r="M91" s="5" t="inlineStr">
        <is>
          <t>50 GB de franquia 10 GB de bônus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Assinatura Amazon Prime inclusa</t>
        </is>
      </c>
      <c r="U91" s="5" t="inlineStr">
        <is>
          <t>https://vivo.com.br/para-voce/produtos-e-servicos/para-o-celular/planos-pos-pago</t>
        </is>
      </c>
      <c r="V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2" t="inlineStr"/>
      <c r="L92" s="4" t="n">
        <v>60</v>
      </c>
      <c r="M92" s="2" t="inlineStr">
        <is>
          <t>50 GB de franquia 10 GB de bônus</t>
        </is>
      </c>
      <c r="N92" s="2" t="inlineStr"/>
      <c r="O92" s="2" t="inlineStr"/>
      <c r="P92" s="2" t="inlineStr"/>
      <c r="Q92" s="2" t="inlineStr"/>
      <c r="R92" s="2" t="inlineStr">
        <is>
          <t>Disney+</t>
        </is>
      </c>
      <c r="S92" s="2" t="inlineStr"/>
      <c r="T92" s="2" t="inlineStr">
        <is>
          <t>Assinatura Disney+ Padrão inclusa</t>
        </is>
      </c>
      <c r="U92" s="2" t="inlineStr">
        <is>
          <t>https://vivo.com.br/para-voce/produtos-e-servicos/para-o-celular/planos-pos-pago</t>
        </is>
      </c>
      <c r="V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5" t="inlineStr"/>
      <c r="L93" s="7" t="n">
        <v>60</v>
      </c>
      <c r="M93" s="5" t="inlineStr">
        <is>
          <t>50 GB de franquia 10 GB de bônus</t>
        </is>
      </c>
      <c r="N93" s="5" t="inlineStr"/>
      <c r="O93" s="5" t="inlineStr"/>
      <c r="P93" s="5" t="inlineStr"/>
      <c r="Q93" s="5" t="inlineStr"/>
      <c r="R93" s="5" t="inlineStr">
        <is>
          <t>Globoplay</t>
        </is>
      </c>
      <c r="S93" s="5" t="inlineStr"/>
      <c r="T93" s="5" t="inlineStr">
        <is>
          <t>Assinatura Globoplay inclusa</t>
        </is>
      </c>
      <c r="U93" s="5" t="inlineStr">
        <is>
          <t>https://vivo.com.br/para-voce/produtos-e-servicos/para-o-celular/planos-pos-pago</t>
        </is>
      </c>
      <c r="V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2" t="inlineStr"/>
      <c r="L94" s="4" t="n">
        <v>60</v>
      </c>
      <c r="M94" s="2" t="inlineStr">
        <is>
          <t>50 GB de franquia 10 GB de bônus</t>
        </is>
      </c>
      <c r="N94" s="2" t="inlineStr"/>
      <c r="O94" s="2" t="inlineStr"/>
      <c r="P94" s="2" t="inlineStr"/>
      <c r="Q94" s="2" t="inlineStr"/>
      <c r="R94" s="2" t="inlineStr">
        <is>
          <t>Netflix</t>
        </is>
      </c>
      <c r="S94" s="2" t="inlineStr"/>
      <c r="T94" s="2" t="inlineStr">
        <is>
          <t>Assinatura Netflix Padrão inclusa</t>
        </is>
      </c>
      <c r="U94" s="2" t="inlineStr">
        <is>
          <t>https://vivo.com.br/para-voce/produtos-e-servicos/para-o-celular/planos-pos-pago</t>
        </is>
      </c>
      <c r="V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5" t="inlineStr"/>
      <c r="L95" s="7" t="n">
        <v>60</v>
      </c>
      <c r="M95" s="5" t="inlineStr">
        <is>
          <t>50 GB de franquia 10 GB de bônus</t>
        </is>
      </c>
      <c r="N95" s="5" t="inlineStr"/>
      <c r="O95" s="5" t="inlineStr"/>
      <c r="P95" s="5" t="inlineStr"/>
      <c r="Q95" s="5" t="inlineStr"/>
      <c r="R95" s="5" t="inlineStr">
        <is>
          <t>Premiere</t>
        </is>
      </c>
      <c r="S95" s="5" t="inlineStr"/>
      <c r="T95" s="5" t="inlineStr">
        <is>
          <t>Assinatura Premiere inclusa</t>
        </is>
      </c>
      <c r="U95" s="5" t="inlineStr">
        <is>
          <t>https://vivo.com.br/para-voce/produtos-e-servicos/para-o-celular/planos-pos-pago</t>
        </is>
      </c>
      <c r="V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2" t="inlineStr"/>
      <c r="L96" s="4" t="n">
        <v>60</v>
      </c>
      <c r="M96" s="2" t="inlineStr">
        <is>
          <t>50 GB de franquia 10 GB de bônus</t>
        </is>
      </c>
      <c r="N96" s="2" t="inlineStr"/>
      <c r="O96" s="2" t="inlineStr"/>
      <c r="P96" s="2" t="inlineStr"/>
      <c r="Q96" s="2" t="inlineStr"/>
      <c r="R96" s="2" t="inlineStr">
        <is>
          <t>Spotify</t>
        </is>
      </c>
      <c r="S96" s="2" t="inlineStr"/>
      <c r="T96" s="2" t="inlineStr">
        <is>
          <t>Assinatura Spotify Premium inclusa</t>
        </is>
      </c>
      <c r="U96" s="2" t="inlineStr">
        <is>
          <t>https://vivo.com.br/para-voce/produtos-e-servicos/para-o-celular/planos-pos-pago</t>
        </is>
      </c>
      <c r="V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5" t="inlineStr"/>
      <c r="L97" s="7" t="n">
        <v>70</v>
      </c>
      <c r="M97" s="5" t="inlineStr">
        <is>
          <t>60 GB de franquia 10 GB de bônus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6 meses grátis de Gemini com AI Plus</t>
        </is>
      </c>
      <c r="U97" s="5" t="inlineStr">
        <is>
          <t>https://vivo.com.br/para-voce/produtos-e-servicos/para-o-celular/planos-pos-pago</t>
        </is>
      </c>
      <c r="V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2" t="inlineStr"/>
      <c r="L98" s="4" t="n">
        <v>25</v>
      </c>
      <c r="M98" s="2" t="inlineStr">
        <is>
          <t>15 GB para navegar como quiser 5 GB de bônus 5 GB para navegar no Youtube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https://vivo.com.br/para-voce/produtos-e-servicos/para-o-celular/pre-pago/vivo-pre</t>
        </is>
      </c>
      <c r="V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5" t="inlineStr"/>
      <c r="L99" s="7" t="n">
        <v>9</v>
      </c>
      <c r="M99" s="5" t="inlineStr">
        <is>
          <t>6 GB para navegar como quiser 3 GB para navegar no YouTube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https://vivo.com.br/para-voce/produtos-e-servicos/para-o-celular/pre-pago/vivo-pre</t>
        </is>
      </c>
      <c r="V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2" t="inlineStr"/>
      <c r="L100" s="4" t="n">
        <v>5</v>
      </c>
      <c r="M100" s="2" t="inlineStr">
        <is>
          <t>5 GB para navegar como quiser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https://vivo.com.br/para-voce/produtos-e-servicos/para-o-celular/pre-pago/vivo-pre</t>
        </is>
      </c>
      <c r="V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5" t="inlineStr"/>
      <c r="L101" s="7" t="n">
        <v>4</v>
      </c>
      <c r="M101" s="5" t="inlineStr">
        <is>
          <t>4 GB para navegar como quiser</t>
        </is>
      </c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https://vivo.com.br/para-voce/produtos-e-servicos/para-o-celular/pre-pago/vivo-pre</t>
        </is>
      </c>
      <c r="V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2" t="inlineStr"/>
      <c r="L102" s="4" t="n">
        <v>25</v>
      </c>
      <c r="M102" s="2" t="inlineStr"/>
      <c r="N102" s="2" t="inlineStr"/>
      <c r="O102" s="2" t="inlineStr">
        <is>
          <t>WhatsApp</t>
        </is>
      </c>
      <c r="P102" s="2" t="inlineStr"/>
      <c r="Q102" s="2" t="inlineStr"/>
      <c r="R102" s="2" t="inlineStr"/>
      <c r="S102" s="2" t="inlineStr"/>
      <c r="T102" s="2" t="inlineStr">
        <is>
          <t>Para uso livre; Para redes sociais e vídeos; Bônus exclusivo; Aproveite na sua franquia; WhatsApp e ligações ilimitadas</t>
        </is>
      </c>
      <c r="U102" s="2" t="inlineStr">
        <is>
          <t>https://www.claro.com.br/celular/controle</t>
        </is>
      </c>
      <c r="V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5" t="inlineStr"/>
      <c r="L103" s="7" t="n">
        <v>30</v>
      </c>
      <c r="M103" s="5" t="inlineStr"/>
      <c r="N103" s="5" t="inlineStr"/>
      <c r="O103" s="5" t="inlineStr">
        <is>
          <t>WhatsApp</t>
        </is>
      </c>
      <c r="P103" s="5" t="inlineStr"/>
      <c r="Q103" s="5" t="inlineStr"/>
      <c r="R103" s="5" t="inlineStr"/>
      <c r="S103" s="5" t="inlineStr"/>
      <c r="T103" s="5" t="inlineStr">
        <is>
          <t>Para uso livre; Bônus do Hexa para uso livre; Bônus para redes sociais e apps; Redes sociais e apps; WhatsApp ilimitado</t>
        </is>
      </c>
      <c r="U103" s="5" t="inlineStr">
        <is>
          <t>https://www.claro.com.br/celular/controle</t>
        </is>
      </c>
      <c r="V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2" t="inlineStr"/>
      <c r="L104" s="4" t="n">
        <v>30</v>
      </c>
      <c r="M104" s="2" t="inlineStr"/>
      <c r="N104" s="2" t="inlineStr"/>
      <c r="O104" s="2" t="inlineStr">
        <is>
          <t>WhatsApp</t>
        </is>
      </c>
      <c r="P104" s="2" t="inlineStr"/>
      <c r="Q104" s="2" t="inlineStr"/>
      <c r="R104" s="2" t="inlineStr"/>
      <c r="S104" s="2" t="inlineStr"/>
      <c r="T104" s="2" t="inlineStr">
        <is>
          <t>Para uso livre; Bônus para redes sociais e apps; Bônus uso livre; Redes sociais e apps; WhatsApp ilimitado</t>
        </is>
      </c>
      <c r="U104" s="2" t="inlineStr">
        <is>
          <t>https://www.claro.com.br/celular/controle</t>
        </is>
      </c>
      <c r="V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5" t="inlineStr"/>
      <c r="L105" s="7" t="n">
        <v>15</v>
      </c>
      <c r="M105" s="5" t="inlineStr"/>
      <c r="N105" s="5" t="inlineStr"/>
      <c r="O105" s="5" t="inlineStr">
        <is>
          <t>WhatsApp</t>
        </is>
      </c>
      <c r="P105" s="5" t="inlineStr"/>
      <c r="Q105" s="5" t="inlineStr"/>
      <c r="R105" s="5" t="inlineStr"/>
      <c r="S105" s="5" t="inlineStr"/>
      <c r="T105" s="5" t="inlineStr">
        <is>
          <t>Para uso livre; Bônus do Hexa para uso livre; Para redes sociais e apps; Bônus extra nos apps; WhatsApp ilimitado</t>
        </is>
      </c>
      <c r="U105" s="5" t="inlineStr">
        <is>
          <t>https://www.claro.com.br/celular/flex</t>
        </is>
      </c>
      <c r="V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2" t="inlineStr"/>
      <c r="L106" s="4" t="n">
        <v>20</v>
      </c>
      <c r="M106" s="2" t="inlineStr"/>
      <c r="N106" s="2" t="inlineStr"/>
      <c r="O106" s="2" t="inlineStr">
        <is>
          <t>WhatsApp</t>
        </is>
      </c>
      <c r="P106" s="2" t="inlineStr"/>
      <c r="Q106" s="2" t="inlineStr"/>
      <c r="R106" s="2" t="inlineStr"/>
      <c r="S106" s="2" t="inlineStr"/>
      <c r="T106" s="2" t="inlineStr">
        <is>
          <t>Para uso livre; Bônus do Hexa para uso livre; Para redes sociais e apps; Bônus extra nos apps; WhatsApp ilimitado</t>
        </is>
      </c>
      <c r="U106" s="2" t="inlineStr">
        <is>
          <t>https://www.claro.com.br/celular/flex</t>
        </is>
      </c>
      <c r="V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5" t="inlineStr"/>
      <c r="L107" s="7" t="n">
        <v>30</v>
      </c>
      <c r="M107" s="5" t="inlineStr"/>
      <c r="N107" s="5" t="inlineStr"/>
      <c r="O107" s="5" t="inlineStr">
        <is>
          <t>WhatsApp</t>
        </is>
      </c>
      <c r="P107" s="5" t="inlineStr"/>
      <c r="Q107" s="5" t="inlineStr"/>
      <c r="R107" s="5" t="inlineStr"/>
      <c r="S107" s="5" t="inlineStr"/>
      <c r="T107" s="5" t="inlineStr">
        <is>
          <t>Para uso livre; Bônus do Hexa para uso livre; Para redes sociais e apps; Bônus extra nos apps; WhatsApp ilimitado; Assinatura Claro musica inclusa</t>
        </is>
      </c>
      <c r="U107" s="5" t="inlineStr">
        <is>
          <t>https://www.claro.com.br/celular/flex</t>
        </is>
      </c>
      <c r="V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2" t="inlineStr"/>
      <c r="L108" s="4" t="n">
        <v>40</v>
      </c>
      <c r="M108" s="2" t="inlineStr"/>
      <c r="N108" s="2" t="inlineStr"/>
      <c r="O108" s="2" t="inlineStr">
        <is>
          <t>WhatsApp</t>
        </is>
      </c>
      <c r="P108" s="2" t="inlineStr"/>
      <c r="Q108" s="2" t="inlineStr"/>
      <c r="R108" s="2" t="inlineStr"/>
      <c r="S108" s="2" t="inlineStr"/>
      <c r="T108" s="2" t="inlineStr">
        <is>
          <t>Para uso livre; Para redes sociais e apps; Bônus uso livre; Bônus extra nos apps; WhatsApp ilimitado; Assinatura Claro musica inclusa</t>
        </is>
      </c>
      <c r="U108" s="2" t="inlineStr">
        <is>
          <t>https://www.claro.com.br/celular/flex</t>
        </is>
      </c>
      <c r="V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5" t="inlineStr"/>
      <c r="L109" s="7" t="n">
        <v>100</v>
      </c>
      <c r="M109" s="5" t="inlineStr"/>
      <c r="N109" s="5" t="inlineStr"/>
      <c r="O109" s="5" t="inlineStr">
        <is>
          <t>WhatsApp</t>
        </is>
      </c>
      <c r="P109" s="5" t="inlineStr"/>
      <c r="Q109" s="5" t="inlineStr"/>
      <c r="R109" s="5" t="inlineStr"/>
      <c r="S109" s="5" t="inlineStr"/>
      <c r="T109" s="5" t="inlineStr">
        <is>
          <t>Armazenamento na nuvem:; Google One ou iCloud+; WhatsApp ilimitado; Roaming: Passaporte Américas; Claro Sync: Smartwatch conectado</t>
        </is>
      </c>
      <c r="U109" s="5" t="inlineStr">
        <is>
          <t>https://www.claro.com.br/celular/pos</t>
        </is>
      </c>
      <c r="V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2" t="inlineStr"/>
      <c r="L110" s="4" t="n">
        <v>150</v>
      </c>
      <c r="M110" s="2" t="inlineStr"/>
      <c r="N110" s="2" t="inlineStr"/>
      <c r="O110" s="2" t="inlineStr">
        <is>
          <t>WhatsApp</t>
        </is>
      </c>
      <c r="P110" s="2" t="inlineStr"/>
      <c r="Q110" s="2" t="inlineStr"/>
      <c r="R110" s="2" t="inlineStr"/>
      <c r="S110" s="2" t="inlineStr"/>
      <c r="T110" s="2" t="inlineStr">
        <is>
          <t>Armazenamento na nuvem:; Google One ou iCloud+; WhatsApp ilimitado; Roaming: Passaporte Américas e Europa; Claro Sync: Smartwatch conectado</t>
        </is>
      </c>
      <c r="U110" s="2" t="inlineStr">
        <is>
          <t>https://www.claro.com.br/celular/pos</t>
        </is>
      </c>
      <c r="V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5" t="inlineStr"/>
      <c r="L111" s="7" t="n">
        <v>200</v>
      </c>
      <c r="M111" s="5" t="inlineStr"/>
      <c r="N111" s="5" t="inlineStr"/>
      <c r="O111" s="5" t="inlineStr">
        <is>
          <t>WhatsApp</t>
        </is>
      </c>
      <c r="P111" s="5" t="inlineStr"/>
      <c r="Q111" s="5" t="inlineStr"/>
      <c r="R111" s="5" t="inlineStr"/>
      <c r="S111" s="5" t="inlineStr"/>
      <c r="T111" s="5" t="inlineStr">
        <is>
          <t>Armazenamento na nuvem:; Google One ou iCloud+; WhatsApp ilimitado; Roaming: Passaporte Mundo; Claro Sync: Smartwatch conectado</t>
        </is>
      </c>
      <c r="U111" s="5" t="inlineStr">
        <is>
          <t>https://www.claro.com.br/celular/pos</t>
        </is>
      </c>
      <c r="V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2" t="inlineStr"/>
      <c r="L112" s="4" t="n">
        <v>50</v>
      </c>
      <c r="M112" s="2" t="inlineStr"/>
      <c r="N112" s="2" t="inlineStr"/>
      <c r="O112" s="2" t="inlineStr">
        <is>
          <t>WhatsApp</t>
        </is>
      </c>
      <c r="P112" s="2" t="inlineStr"/>
      <c r="Q112" s="2" t="inlineStr"/>
      <c r="R112" s="2" t="inlineStr"/>
      <c r="S112" s="2" t="inlineStr"/>
      <c r="T112" s="2" t="inlineStr">
        <is>
          <t>Armazenamento na nuvem:; Google One ou iCloud+; WhatsApp ilimitado; Roaming: Passaporte Américas; Claro Sync: Smartwatch conectado; Inclusa assinatura GeForce NOW</t>
        </is>
      </c>
      <c r="U112" s="2" t="inlineStr">
        <is>
          <t>https://www.claro.com.br/celular/pos</t>
        </is>
      </c>
      <c r="V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5" t="inlineStr"/>
      <c r="L113" s="7" t="n">
        <v>60</v>
      </c>
      <c r="M113" s="5" t="inlineStr"/>
      <c r="N113" s="5" t="inlineStr"/>
      <c r="O113" s="5" t="inlineStr">
        <is>
          <t>WhatsApp</t>
        </is>
      </c>
      <c r="P113" s="5" t="inlineStr"/>
      <c r="Q113" s="5" t="inlineStr"/>
      <c r="R113" s="5" t="inlineStr"/>
      <c r="S113" s="5" t="inlineStr"/>
      <c r="T113" s="5" t="inlineStr">
        <is>
          <t>Armazenamento na nuvem:; Google One ou iCloud+; WhatsApp ilimitado; Roaming: Passaporte Américas; Claro Sync: Smartwatch conectado</t>
        </is>
      </c>
      <c r="U113" s="5" t="inlineStr">
        <is>
          <t>https://www.claro.com.br/celular/pos</t>
        </is>
      </c>
      <c r="V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2" t="inlineStr"/>
      <c r="L114" s="4" t="n">
        <v>12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https://www.claro.com.br/celular/planos-pre/prezao</t>
        </is>
      </c>
      <c r="V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5" t="inlineStr"/>
      <c r="L115" s="7" t="n">
        <v>41</v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https://www.tim.com.br/sp/para-voce/planos/controle</t>
        </is>
      </c>
      <c r="V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2" t="inlineStr"/>
      <c r="L116" s="4" t="n">
        <v>31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https://www.tim.com.br/sp/para-voce/planos/controle</t>
        </is>
      </c>
      <c r="V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5" t="inlineStr"/>
      <c r="L117" s="7" t="n">
        <v>45</v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https://www.tim.com.br/sp/para-voce/planos/controle</t>
        </is>
      </c>
      <c r="V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2" t="inlineStr"/>
      <c r="L118" s="4" t="n">
        <v>53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https://www.tim.com.br/sp/para-voce/planos/controle</t>
        </is>
      </c>
      <c r="V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5" t="inlineStr"/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https://www.tim.com.br/sp/para-voce/planos/controle</t>
        </is>
      </c>
      <c r="V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2" t="inlineStr"/>
      <c r="L120" s="4" t="n">
        <v>70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https://www.tim.com.br/sp/para-voce/planos/pos-pago/tim-black</t>
        </is>
      </c>
      <c r="V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5" t="inlineStr"/>
      <c r="L121" s="7" t="n">
        <v>67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https://www.tim.com.br/sp/para-voce/planos/pos-pago/tim-black</t>
        </is>
      </c>
      <c r="V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2" t="inlineStr"/>
      <c r="L122" s="4" t="n">
        <v>82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https://www.tim.com.br/sp/para-voce/planos/pos-pago/tim-black</t>
        </is>
      </c>
      <c r="V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5" t="inlineStr"/>
      <c r="L123" s="7" t="n">
        <v>107</v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https://www.tim.com.br/sp/para-voce/planos/pos-pago/tim-black</t>
        </is>
      </c>
      <c r="V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2" t="inlineStr"/>
      <c r="L124" s="4" t="n">
        <v>95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https://www.tim.com.br/sp/para-voce/planos/pos-pago/tim-black</t>
        </is>
      </c>
      <c r="V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5" t="inlineStr"/>
      <c r="L125" s="7" t="n">
        <v>80</v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https://www.tim.com.br/sp/para-voce/planos/pos-pago/tim-black</t>
        </is>
      </c>
      <c r="V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2" t="inlineStr"/>
      <c r="L126" s="4" t="n">
        <v>110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https://www.tim.com.br/sp/para-voce/planos/pos-pago/tim-black</t>
        </is>
      </c>
      <c r="V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5" t="inlineStr"/>
      <c r="L127" s="7" t="n">
        <v>16</v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https://www.tim.com.br/sp/para-voce/planos/pre-pago</t>
        </is>
      </c>
      <c r="V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2" t="inlineStr"/>
      <c r="L128" s="4" t="n">
        <v>6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https://www.tim.com.br/sp/para-voce/planos/pre-pago</t>
        </is>
      </c>
      <c r="V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5" t="inlineStr"/>
      <c r="L129" s="7" t="n">
        <v>8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https://www.tim.com.br/sp/para-voce/planos/pre-pago</t>
        </is>
      </c>
      <c r="V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2" t="inlineStr"/>
      <c r="L130" s="4" t="n">
        <v>46</v>
      </c>
      <c r="M130" s="2" t="inlineStr">
        <is>
          <t>15 GB de franquia 31 GB de bônus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 meses grátis de Gemini com AI Plus</t>
        </is>
      </c>
      <c r="U130" s="2" t="inlineStr">
        <is>
          <t>https://vivo.com.br/para-voce/produtos-e-servicos/para-o-celular/planos-controle</t>
        </is>
      </c>
      <c r="V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5" t="inlineStr"/>
      <c r="L131" s="7" t="n">
        <v>61</v>
      </c>
      <c r="M131" s="5" t="inlineStr">
        <is>
          <t>20 GB de franquia 31 GB de bônus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>
        <is>
          <t>6 meses grátis de Gemini com AI Plus</t>
        </is>
      </c>
      <c r="U131" s="5" t="inlineStr">
        <is>
          <t>https://vivo.com.br/para-voce/produtos-e-servicos/para-o-celular/planos-controle</t>
        </is>
      </c>
      <c r="V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2" t="inlineStr"/>
      <c r="L132" s="4" t="n">
        <v>61</v>
      </c>
      <c r="M132" s="2" t="inlineStr">
        <is>
          <t>20 GB de franquia 31 GB de bônus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Assinatura Vivae inclusa</t>
        </is>
      </c>
      <c r="U132" s="2" t="inlineStr">
        <is>
          <t>https://vivo.com.br/para-voce/produtos-e-servicos/para-o-celular/planos-controle</t>
        </is>
      </c>
      <c r="V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5" t="inlineStr"/>
      <c r="L133" s="7" t="n">
        <v>61</v>
      </c>
      <c r="M133" s="5" t="inlineStr">
        <is>
          <t>20 GB de franquia 31 GB de bônus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>
        <is>
          <t>Assinatura Vivo TV Inicial inclusa</t>
        </is>
      </c>
      <c r="U133" s="5" t="inlineStr">
        <is>
          <t>https://vivo.com.br/para-voce/produtos-e-servicos/para-o-celular/planos-controle</t>
        </is>
      </c>
      <c r="V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2" t="inlineStr"/>
      <c r="L134" s="4" t="n">
        <v>61</v>
      </c>
      <c r="M134" s="2" t="inlineStr">
        <is>
          <t>20 GB de franquia 31 GB de bônus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Apple Music Individual</t>
        </is>
      </c>
      <c r="U134" s="2" t="inlineStr">
        <is>
          <t>https://vivo.com.br/para-voce/produtos-e-servicos/para-o-celular/planos-controle</t>
        </is>
      </c>
      <c r="V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5" t="inlineStr"/>
      <c r="L135" s="7" t="n">
        <v>61</v>
      </c>
      <c r="M135" s="5" t="inlineStr">
        <is>
          <t>20 GB de franquia 31 GB de bônus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>
        <is>
          <t>Assinatura Netflix Padrão com anúncios</t>
        </is>
      </c>
      <c r="U135" s="5" t="inlineStr">
        <is>
          <t>https://vivo.com.br/para-voce/produtos-e-servicos/para-o-celular/planos-controle</t>
        </is>
      </c>
      <c r="V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2" t="inlineStr"/>
      <c r="L136" s="4" t="n">
        <v>61</v>
      </c>
      <c r="M136" s="2" t="inlineStr">
        <is>
          <t>20 GB de franquia 31 GB de bônus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Assinatura Vale Saúde Sempre inclusa</t>
        </is>
      </c>
      <c r="U136" s="2" t="inlineStr">
        <is>
          <t>https://vivo.com.br/para-voce/produtos-e-servicos/para-o-celular/planos-controle</t>
        </is>
      </c>
      <c r="V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5" t="inlineStr"/>
      <c r="L137" s="7" t="n">
        <v>30</v>
      </c>
      <c r="M137" s="5" t="inlineStr">
        <is>
          <t>30 GB de franquia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>
        <is>
          <t>2 meses de YouTube sem desconto no plano</t>
        </is>
      </c>
      <c r="U137" s="5" t="inlineStr">
        <is>
          <t>https://vivo.com.br/para-voce/produtos-e-servicos/para-o-celular/easy-lite</t>
        </is>
      </c>
      <c r="V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2" t="inlineStr"/>
      <c r="L138" s="4" t="n">
        <v>40</v>
      </c>
      <c r="M138" s="2" t="inlineStr">
        <is>
          <t>40 GB de franquia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2 meses de YouTube sem desconto no plano</t>
        </is>
      </c>
      <c r="U138" s="2" t="inlineStr">
        <is>
          <t>https://vivo.com.br/para-voce/produtos-e-servicos/para-o-celular/easy-lite</t>
        </is>
      </c>
      <c r="V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5" t="inlineStr"/>
      <c r="L139" s="7" t="n">
        <v>20</v>
      </c>
      <c r="M139" s="5" t="inlineStr">
        <is>
          <t>20 GB de franquia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>
        <is>
          <t>2 meses de YouTube sem desconto no plano</t>
        </is>
      </c>
      <c r="U139" s="5" t="inlineStr">
        <is>
          <t>https://vivo.com.br/para-voce/produtos-e-servicos/para-o-celular/easy-lite</t>
        </is>
      </c>
      <c r="V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2" t="inlineStr"/>
      <c r="L140" s="4" t="n">
        <v>60</v>
      </c>
      <c r="M140" s="2" t="inlineStr">
        <is>
          <t>50 GB de franquia 10 GB de bônus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Assinatura Amazon Prime inclusa</t>
        </is>
      </c>
      <c r="U140" s="2" t="inlineStr">
        <is>
          <t>https://vivo.com.br/para-voce/produtos-e-servicos/para-o-celular/planos-pos-pago</t>
        </is>
      </c>
      <c r="V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5" t="inlineStr"/>
      <c r="L141" s="7" t="n">
        <v>60</v>
      </c>
      <c r="M141" s="5" t="inlineStr">
        <is>
          <t>50 GB de franquia 10 GB de bônus</t>
        </is>
      </c>
      <c r="N141" s="5" t="inlineStr"/>
      <c r="O141" s="5" t="inlineStr"/>
      <c r="P141" s="5" t="inlineStr"/>
      <c r="Q141" s="5" t="inlineStr"/>
      <c r="R141" s="5" t="inlineStr">
        <is>
          <t>Disney+</t>
        </is>
      </c>
      <c r="S141" s="5" t="inlineStr"/>
      <c r="T141" s="5" t="inlineStr">
        <is>
          <t>Assinatura Disney+ Padrão inclusa</t>
        </is>
      </c>
      <c r="U141" s="5" t="inlineStr">
        <is>
          <t>https://vivo.com.br/para-voce/produtos-e-servicos/para-o-celular/planos-pos-pago</t>
        </is>
      </c>
      <c r="V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2" t="inlineStr"/>
      <c r="L142" s="4" t="n">
        <v>60</v>
      </c>
      <c r="M142" s="2" t="inlineStr">
        <is>
          <t>50 GB de franquia 10 GB de bônus</t>
        </is>
      </c>
      <c r="N142" s="2" t="inlineStr"/>
      <c r="O142" s="2" t="inlineStr"/>
      <c r="P142" s="2" t="inlineStr"/>
      <c r="Q142" s="2" t="inlineStr"/>
      <c r="R142" s="2" t="inlineStr">
        <is>
          <t>Globoplay</t>
        </is>
      </c>
      <c r="S142" s="2" t="inlineStr"/>
      <c r="T142" s="2" t="inlineStr">
        <is>
          <t>Assinatura Globoplay inclusa</t>
        </is>
      </c>
      <c r="U142" s="2" t="inlineStr">
        <is>
          <t>https://vivo.com.br/para-voce/produtos-e-servicos/para-o-celular/planos-pos-pago</t>
        </is>
      </c>
      <c r="V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5" t="inlineStr"/>
      <c r="L143" s="7" t="n">
        <v>60</v>
      </c>
      <c r="M143" s="5" t="inlineStr">
        <is>
          <t>50 GB de franquia 10 GB de bônus</t>
        </is>
      </c>
      <c r="N143" s="5" t="inlineStr"/>
      <c r="O143" s="5" t="inlineStr"/>
      <c r="P143" s="5" t="inlineStr"/>
      <c r="Q143" s="5" t="inlineStr"/>
      <c r="R143" s="5" t="inlineStr">
        <is>
          <t>Netflix</t>
        </is>
      </c>
      <c r="S143" s="5" t="inlineStr"/>
      <c r="T143" s="5" t="inlineStr">
        <is>
          <t>Assinatura Netflix Padrão inclusa</t>
        </is>
      </c>
      <c r="U143" s="5" t="inlineStr">
        <is>
          <t>https://vivo.com.br/para-voce/produtos-e-servicos/para-o-celular/planos-pos-pago</t>
        </is>
      </c>
      <c r="V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2" t="inlineStr"/>
      <c r="L144" s="4" t="n">
        <v>60</v>
      </c>
      <c r="M144" s="2" t="inlineStr">
        <is>
          <t>50 GB de franquia 10 GB de bônus</t>
        </is>
      </c>
      <c r="N144" s="2" t="inlineStr"/>
      <c r="O144" s="2" t="inlineStr"/>
      <c r="P144" s="2" t="inlineStr"/>
      <c r="Q144" s="2" t="inlineStr"/>
      <c r="R144" s="2" t="inlineStr">
        <is>
          <t>Premiere</t>
        </is>
      </c>
      <c r="S144" s="2" t="inlineStr"/>
      <c r="T144" s="2" t="inlineStr">
        <is>
          <t>Assinatura Premiere inclusa</t>
        </is>
      </c>
      <c r="U144" s="2" t="inlineStr">
        <is>
          <t>https://vivo.com.br/para-voce/produtos-e-servicos/para-o-celular/planos-pos-pago</t>
        </is>
      </c>
      <c r="V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5" t="inlineStr"/>
      <c r="L145" s="7" t="n">
        <v>60</v>
      </c>
      <c r="M145" s="5" t="inlineStr">
        <is>
          <t>50 GB de franquia 10 GB de bônus</t>
        </is>
      </c>
      <c r="N145" s="5" t="inlineStr"/>
      <c r="O145" s="5" t="inlineStr"/>
      <c r="P145" s="5" t="inlineStr"/>
      <c r="Q145" s="5" t="inlineStr"/>
      <c r="R145" s="5" t="inlineStr">
        <is>
          <t>Spotify</t>
        </is>
      </c>
      <c r="S145" s="5" t="inlineStr"/>
      <c r="T145" s="5" t="inlineStr">
        <is>
          <t>Assinatura Spotify Premium inclusa</t>
        </is>
      </c>
      <c r="U145" s="5" t="inlineStr">
        <is>
          <t>https://vivo.com.br/para-voce/produtos-e-servicos/para-o-celular/planos-pos-pago</t>
        </is>
      </c>
      <c r="V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2" t="inlineStr"/>
      <c r="L146" s="4" t="n">
        <v>70</v>
      </c>
      <c r="M146" s="2" t="inlineStr">
        <is>
          <t>60 GB de franquia 10 GB de bônus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6 meses grátis de Gemini com AI Plus</t>
        </is>
      </c>
      <c r="U146" s="2" t="inlineStr">
        <is>
          <t>https://vivo.com.br/para-voce/produtos-e-servicos/para-o-celular/planos-pos-pago</t>
        </is>
      </c>
      <c r="V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5" t="inlineStr"/>
      <c r="L147" s="7" t="n">
        <v>25</v>
      </c>
      <c r="M147" s="5" t="inlineStr">
        <is>
          <t>15 GB para navegar como quiser 5 GB de bônus 5 GB para navegar no Youtube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https://vivo.com.br/para-voce/produtos-e-servicos/para-o-celular/pre-pago/vivo-pre</t>
        </is>
      </c>
      <c r="V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2" t="inlineStr"/>
      <c r="L148" s="4" t="n">
        <v>9</v>
      </c>
      <c r="M148" s="2" t="inlineStr">
        <is>
          <t>6 GB para navegar como quiser 3 GB para navegar no YouTube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https://vivo.com.br/para-voce/produtos-e-servicos/para-o-celular/pre-pago/vivo-pre</t>
        </is>
      </c>
      <c r="V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5" t="inlineStr"/>
      <c r="L149" s="7" t="n">
        <v>5</v>
      </c>
      <c r="M149" s="5" t="inlineStr">
        <is>
          <t>5 GB para navegar como quiser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https://vivo.com.br/para-voce/produtos-e-servicos/para-o-celular/pre-pago/vivo-pre</t>
        </is>
      </c>
      <c r="V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2" t="inlineStr"/>
      <c r="L150" s="4" t="n">
        <v>4</v>
      </c>
      <c r="M150" s="2" t="inlineStr">
        <is>
          <t>4 GB para navegar como quiser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https://vivo.com.br/para-voce/produtos-e-servicos/para-o-celular/pre-pago/vivo-pre</t>
        </is>
      </c>
      <c r="V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5" t="inlineStr"/>
      <c r="L151" s="7" t="n">
        <v>25</v>
      </c>
      <c r="M151" s="5" t="inlineStr"/>
      <c r="N151" s="5" t="inlineStr"/>
      <c r="O151" s="5" t="inlineStr">
        <is>
          <t>WhatsApp</t>
        </is>
      </c>
      <c r="P151" s="5" t="inlineStr"/>
      <c r="Q151" s="5" t="inlineStr"/>
      <c r="R151" s="5" t="inlineStr"/>
      <c r="S151" s="5" t="inlineStr"/>
      <c r="T151" s="5" t="inlineStr">
        <is>
          <t>Para uso livre; Para redes sociais e vídeos; Bônus exclusivo; Aproveite na sua franquia; WhatsApp e ligações ilimitadas</t>
        </is>
      </c>
      <c r="U151" s="5" t="inlineStr">
        <is>
          <t>https://www.claro.com.br/celular/controle</t>
        </is>
      </c>
      <c r="V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2" t="inlineStr"/>
      <c r="L152" s="4" t="n">
        <v>30</v>
      </c>
      <c r="M152" s="2" t="inlineStr"/>
      <c r="N152" s="2" t="inlineStr"/>
      <c r="O152" s="2" t="inlineStr">
        <is>
          <t>WhatsApp</t>
        </is>
      </c>
      <c r="P152" s="2" t="inlineStr"/>
      <c r="Q152" s="2" t="inlineStr"/>
      <c r="R152" s="2" t="inlineStr"/>
      <c r="S152" s="2" t="inlineStr"/>
      <c r="T152" s="2" t="inlineStr">
        <is>
          <t>Para uso livre; Bônus do Hexa para uso livre; Bônus para redes sociais e apps; Redes sociais e apps; WhatsApp ilimitado</t>
        </is>
      </c>
      <c r="U152" s="2" t="inlineStr">
        <is>
          <t>https://www.claro.com.br/celular/controle</t>
        </is>
      </c>
      <c r="V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5" t="inlineStr"/>
      <c r="L153" s="7" t="n">
        <v>30</v>
      </c>
      <c r="M153" s="5" t="inlineStr"/>
      <c r="N153" s="5" t="inlineStr"/>
      <c r="O153" s="5" t="inlineStr">
        <is>
          <t>WhatsApp</t>
        </is>
      </c>
      <c r="P153" s="5" t="inlineStr"/>
      <c r="Q153" s="5" t="inlineStr"/>
      <c r="R153" s="5" t="inlineStr"/>
      <c r="S153" s="5" t="inlineStr"/>
      <c r="T153" s="5" t="inlineStr">
        <is>
          <t>Para uso livre; Bônus para redes sociais e apps; Bônus uso livre; Redes sociais e apps; WhatsApp ilimitado</t>
        </is>
      </c>
      <c r="U153" s="5" t="inlineStr">
        <is>
          <t>https://www.claro.com.br/celular/controle</t>
        </is>
      </c>
      <c r="V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2" t="inlineStr"/>
      <c r="L154" s="4" t="n">
        <v>15</v>
      </c>
      <c r="M154" s="2" t="inlineStr"/>
      <c r="N154" s="2" t="inlineStr"/>
      <c r="O154" s="2" t="inlineStr">
        <is>
          <t>WhatsApp</t>
        </is>
      </c>
      <c r="P154" s="2" t="inlineStr"/>
      <c r="Q154" s="2" t="inlineStr"/>
      <c r="R154" s="2" t="inlineStr"/>
      <c r="S154" s="2" t="inlineStr"/>
      <c r="T154" s="2" t="inlineStr">
        <is>
          <t>Para uso livre; Bônus do Hexa para uso livre; Para redes sociais e apps; Bônus extra nos apps; WhatsApp ilimitado</t>
        </is>
      </c>
      <c r="U154" s="2" t="inlineStr">
        <is>
          <t>https://www.claro.com.br/celular/flex</t>
        </is>
      </c>
      <c r="V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5" t="inlineStr"/>
      <c r="L155" s="7" t="n">
        <v>20</v>
      </c>
      <c r="M155" s="5" t="inlineStr"/>
      <c r="N155" s="5" t="inlineStr"/>
      <c r="O155" s="5" t="inlineStr">
        <is>
          <t>WhatsApp</t>
        </is>
      </c>
      <c r="P155" s="5" t="inlineStr"/>
      <c r="Q155" s="5" t="inlineStr"/>
      <c r="R155" s="5" t="inlineStr"/>
      <c r="S155" s="5" t="inlineStr"/>
      <c r="T155" s="5" t="inlineStr">
        <is>
          <t>Para uso livre; Bônus do Hexa para uso livre; Para redes sociais e apps; Bônus extra nos apps; WhatsApp ilimitado</t>
        </is>
      </c>
      <c r="U155" s="5" t="inlineStr">
        <is>
          <t>https://www.claro.com.br/celular/flex</t>
        </is>
      </c>
      <c r="V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2" t="inlineStr"/>
      <c r="L156" s="4" t="n">
        <v>30</v>
      </c>
      <c r="M156" s="2" t="inlineStr"/>
      <c r="N156" s="2" t="inlineStr"/>
      <c r="O156" s="2" t="inlineStr">
        <is>
          <t>WhatsApp</t>
        </is>
      </c>
      <c r="P156" s="2" t="inlineStr"/>
      <c r="Q156" s="2" t="inlineStr"/>
      <c r="R156" s="2" t="inlineStr"/>
      <c r="S156" s="2" t="inlineStr"/>
      <c r="T156" s="2" t="inlineStr">
        <is>
          <t>Para uso livre; Bônus do Hexa para uso livre; Para redes sociais e apps; Bônus extra nos apps; WhatsApp ilimitado; Assinatura Claro musica inclusa</t>
        </is>
      </c>
      <c r="U156" s="2" t="inlineStr">
        <is>
          <t>https://www.claro.com.br/celular/flex</t>
        </is>
      </c>
      <c r="V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5" t="inlineStr"/>
      <c r="L157" s="7" t="n">
        <v>40</v>
      </c>
      <c r="M157" s="5" t="inlineStr"/>
      <c r="N157" s="5" t="inlineStr"/>
      <c r="O157" s="5" t="inlineStr">
        <is>
          <t>WhatsApp</t>
        </is>
      </c>
      <c r="P157" s="5" t="inlineStr"/>
      <c r="Q157" s="5" t="inlineStr"/>
      <c r="R157" s="5" t="inlineStr"/>
      <c r="S157" s="5" t="inlineStr"/>
      <c r="T157" s="5" t="inlineStr">
        <is>
          <t>Para uso livre; Para redes sociais e apps; Bônus uso livre; Bônus extra nos apps; WhatsApp ilimitado; Assinatura Claro musica inclusa</t>
        </is>
      </c>
      <c r="U157" s="5" t="inlineStr">
        <is>
          <t>https://www.claro.com.br/celular/flex</t>
        </is>
      </c>
      <c r="V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2" t="inlineStr"/>
      <c r="L158" s="4" t="n">
        <v>100</v>
      </c>
      <c r="M158" s="2" t="inlineStr"/>
      <c r="N158" s="2" t="inlineStr"/>
      <c r="O158" s="2" t="inlineStr">
        <is>
          <t>WhatsApp</t>
        </is>
      </c>
      <c r="P158" s="2" t="inlineStr"/>
      <c r="Q158" s="2" t="inlineStr"/>
      <c r="R158" s="2" t="inlineStr"/>
      <c r="S158" s="2" t="inlineStr"/>
      <c r="T158" s="2" t="inlineStr">
        <is>
          <t>Armazenamento na nuvem:; Google One ou iCloud+; WhatsApp ilimitado; Roaming: Passaporte Américas; Claro Sync: Smartwatch conectado</t>
        </is>
      </c>
      <c r="U158" s="2" t="inlineStr">
        <is>
          <t>https://www.claro.com.br/celular/pos</t>
        </is>
      </c>
      <c r="V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5" t="inlineStr"/>
      <c r="L159" s="7" t="n">
        <v>150</v>
      </c>
      <c r="M159" s="5" t="inlineStr"/>
      <c r="N159" s="5" t="inlineStr"/>
      <c r="O159" s="5" t="inlineStr">
        <is>
          <t>WhatsApp</t>
        </is>
      </c>
      <c r="P159" s="5" t="inlineStr"/>
      <c r="Q159" s="5" t="inlineStr"/>
      <c r="R159" s="5" t="inlineStr"/>
      <c r="S159" s="5" t="inlineStr"/>
      <c r="T159" s="5" t="inlineStr">
        <is>
          <t>Armazenamento na nuvem:; Google One ou iCloud+; WhatsApp ilimitado; Roaming: Passaporte Américas e Europa; Claro Sync: Smartwatch conectado</t>
        </is>
      </c>
      <c r="U159" s="5" t="inlineStr">
        <is>
          <t>https://www.claro.com.br/celular/pos</t>
        </is>
      </c>
      <c r="V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2" t="inlineStr"/>
      <c r="L160" s="4" t="n">
        <v>200</v>
      </c>
      <c r="M160" s="2" t="inlineStr"/>
      <c r="N160" s="2" t="inlineStr"/>
      <c r="O160" s="2" t="inlineStr">
        <is>
          <t>WhatsApp</t>
        </is>
      </c>
      <c r="P160" s="2" t="inlineStr"/>
      <c r="Q160" s="2" t="inlineStr"/>
      <c r="R160" s="2" t="inlineStr"/>
      <c r="S160" s="2" t="inlineStr"/>
      <c r="T160" s="2" t="inlineStr">
        <is>
          <t>Armazenamento na nuvem:; Google One ou iCloud+; WhatsApp ilimitado; Roaming: Passaporte Mundo; Claro Sync: Smartwatch conectado</t>
        </is>
      </c>
      <c r="U160" s="2" t="inlineStr">
        <is>
          <t>https://www.claro.com.br/celular/pos</t>
        </is>
      </c>
      <c r="V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5" t="inlineStr"/>
      <c r="L161" s="7" t="n">
        <v>50</v>
      </c>
      <c r="M161" s="5" t="inlineStr"/>
      <c r="N161" s="5" t="inlineStr"/>
      <c r="O161" s="5" t="inlineStr">
        <is>
          <t>WhatsApp</t>
        </is>
      </c>
      <c r="P161" s="5" t="inlineStr"/>
      <c r="Q161" s="5" t="inlineStr"/>
      <c r="R161" s="5" t="inlineStr"/>
      <c r="S161" s="5" t="inlineStr"/>
      <c r="T161" s="5" t="inlineStr">
        <is>
          <t>Armazenamento na nuvem:; Google One ou iCloud+; WhatsApp ilimitado; Roaming: Passaporte Américas; Claro Sync: Smartwatch conectado; Inclusa assinatura GeForce NOW</t>
        </is>
      </c>
      <c r="U161" s="5" t="inlineStr">
        <is>
          <t>https://www.claro.com.br/celular/pos</t>
        </is>
      </c>
      <c r="V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2" t="inlineStr"/>
      <c r="L162" s="4" t="n">
        <v>60</v>
      </c>
      <c r="M162" s="2" t="inlineStr"/>
      <c r="N162" s="2" t="inlineStr"/>
      <c r="O162" s="2" t="inlineStr">
        <is>
          <t>WhatsApp</t>
        </is>
      </c>
      <c r="P162" s="2" t="inlineStr"/>
      <c r="Q162" s="2" t="inlineStr"/>
      <c r="R162" s="2" t="inlineStr"/>
      <c r="S162" s="2" t="inlineStr"/>
      <c r="T162" s="2" t="inlineStr">
        <is>
          <t>Armazenamento na nuvem:; Google One ou iCloud+; WhatsApp ilimitado; Roaming: Passaporte Américas; Claro Sync: Smartwatch conectado</t>
        </is>
      </c>
      <c r="U162" s="2" t="inlineStr">
        <is>
          <t>https://www.claro.com.br/celular/pos</t>
        </is>
      </c>
      <c r="V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5" t="inlineStr"/>
      <c r="L163" s="7" t="n">
        <v>12</v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https://www.claro.com.br/celular/planos-pre/prezao</t>
        </is>
      </c>
      <c r="V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2" t="inlineStr"/>
      <c r="L164" s="4" t="n">
        <v>41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https://www.tim.com.br/sp/para-voce/planos/controle</t>
        </is>
      </c>
      <c r="V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5" t="inlineStr"/>
      <c r="L165" s="7" t="n">
        <v>31</v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https://www.tim.com.br/sp/para-voce/planos/controle</t>
        </is>
      </c>
      <c r="V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2" t="inlineStr"/>
      <c r="L166" s="4" t="n">
        <v>45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https://www.tim.com.br/sp/para-voce/planos/controle</t>
        </is>
      </c>
      <c r="V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5" t="inlineStr"/>
      <c r="L167" s="7" t="n">
        <v>53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https://www.tim.com.br/sp/para-voce/planos/controle</t>
        </is>
      </c>
      <c r="V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2" t="inlineStr"/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https://www.tim.com.br/sp/para-voce/planos/controle</t>
        </is>
      </c>
      <c r="V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5" t="inlineStr"/>
      <c r="L169" s="7" t="n">
        <v>70</v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https://www.tim.com.br/sp/para-voce/planos/pos-pago/tim-black</t>
        </is>
      </c>
      <c r="V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2" t="inlineStr"/>
      <c r="L170" s="4" t="n">
        <v>67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https://www.tim.com.br/sp/para-voce/planos/pos-pago/tim-black</t>
        </is>
      </c>
      <c r="V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5" t="inlineStr"/>
      <c r="L171" s="7" t="n">
        <v>82</v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https://www.tim.com.br/sp/para-voce/planos/pos-pago/tim-black</t>
        </is>
      </c>
      <c r="V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2" t="inlineStr"/>
      <c r="L172" s="4" t="n">
        <v>107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https://www.tim.com.br/sp/para-voce/planos/pos-pago/tim-black</t>
        </is>
      </c>
      <c r="V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5" t="inlineStr"/>
      <c r="L173" s="7" t="n">
        <v>95</v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https://www.tim.com.br/sp/para-voce/planos/pos-pago/tim-black</t>
        </is>
      </c>
      <c r="V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2" t="inlineStr"/>
      <c r="L174" s="4" t="n">
        <v>80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https://www.tim.com.br/sp/para-voce/planos/pos-pago/tim-black</t>
        </is>
      </c>
      <c r="V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5" t="inlineStr"/>
      <c r="L175" s="7" t="n">
        <v>110</v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https://www.tim.com.br/sp/para-voce/planos/pos-pago/tim-black</t>
        </is>
      </c>
      <c r="V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2" t="inlineStr"/>
      <c r="L176" s="4" t="n">
        <v>16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https://www.tim.com.br/sp/para-voce/planos/pre-pago</t>
        </is>
      </c>
      <c r="V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5" t="inlineStr"/>
      <c r="L177" s="7" t="n">
        <v>6</v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https://www.tim.com.br/sp/para-voce/planos/pre-pago</t>
        </is>
      </c>
      <c r="V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2" t="inlineStr"/>
      <c r="L178" s="4" t="n">
        <v>8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https://www.tim.com.br/sp/para-voce/planos/pre-pago</t>
        </is>
      </c>
      <c r="V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5" t="inlineStr"/>
      <c r="L179" s="7" t="n">
        <v>46</v>
      </c>
      <c r="M179" s="5" t="inlineStr">
        <is>
          <t>15 GB de franquia 31 GB de bônus</t>
        </is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6 meses grátis de Gemini com AI Plus</t>
        </is>
      </c>
      <c r="U179" s="5" t="inlineStr">
        <is>
          <t>https://vivo.com.br/para-voce/produtos-e-servicos/para-o-celular/planos-controle</t>
        </is>
      </c>
      <c r="V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2" t="inlineStr"/>
      <c r="L180" s="4" t="n">
        <v>61</v>
      </c>
      <c r="M180" s="2" t="inlineStr">
        <is>
          <t>20 GB de franquia 31 GB de bônus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 meses grátis de Gemini com AI Plus</t>
        </is>
      </c>
      <c r="U180" s="2" t="inlineStr">
        <is>
          <t>https://vivo.com.br/para-voce/produtos-e-servicos/para-o-celular/planos-controle</t>
        </is>
      </c>
      <c r="V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5" t="inlineStr"/>
      <c r="L181" s="7" t="n">
        <v>61</v>
      </c>
      <c r="M181" s="5" t="inlineStr">
        <is>
          <t>20 GB de franquia 31 GB de bônus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Assinatura Vivae inclusa</t>
        </is>
      </c>
      <c r="U181" s="5" t="inlineStr">
        <is>
          <t>https://vivo.com.br/para-voce/produtos-e-servicos/para-o-celular/planos-controle</t>
        </is>
      </c>
      <c r="V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2" t="inlineStr"/>
      <c r="L182" s="4" t="n">
        <v>61</v>
      </c>
      <c r="M182" s="2" t="inlineStr">
        <is>
          <t>20 GB de franquia 31 GB de bônus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Assinatura Vivo TV Inicial inclusa</t>
        </is>
      </c>
      <c r="U182" s="2" t="inlineStr">
        <is>
          <t>https://vivo.com.br/para-voce/produtos-e-servicos/para-o-celular/planos-controle</t>
        </is>
      </c>
      <c r="V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5" t="inlineStr"/>
      <c r="L183" s="7" t="n">
        <v>61</v>
      </c>
      <c r="M183" s="5" t="inlineStr">
        <is>
          <t>20 GB de franquia 31 GB de bônus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>
        <is>
          <t>Apple Music Individual</t>
        </is>
      </c>
      <c r="U183" s="5" t="inlineStr">
        <is>
          <t>https://vivo.com.br/para-voce/produtos-e-servicos/para-o-celular/planos-controle</t>
        </is>
      </c>
      <c r="V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2" t="inlineStr"/>
      <c r="L184" s="4" t="n">
        <v>61</v>
      </c>
      <c r="M184" s="2" t="inlineStr">
        <is>
          <t>20 GB de franquia 31 GB de bônus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Assinatura Netflix Padrão com anúncios</t>
        </is>
      </c>
      <c r="U184" s="2" t="inlineStr">
        <is>
          <t>https://vivo.com.br/para-voce/produtos-e-servicos/para-o-celular/planos-controle</t>
        </is>
      </c>
      <c r="V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5" t="inlineStr"/>
      <c r="L185" s="7" t="n">
        <v>61</v>
      </c>
      <c r="M185" s="5" t="inlineStr">
        <is>
          <t>20 GB de franquia 31 GB de bônus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>
        <is>
          <t>Assinatura Vale Saúde Sempre inclusa</t>
        </is>
      </c>
      <c r="U185" s="5" t="inlineStr">
        <is>
          <t>https://vivo.com.br/para-voce/produtos-e-servicos/para-o-celular/planos-controle</t>
        </is>
      </c>
      <c r="V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2" t="inlineStr"/>
      <c r="L186" s="4" t="n">
        <v>30</v>
      </c>
      <c r="M186" s="2" t="inlineStr">
        <is>
          <t>30 GB de franquia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2 meses de YouTube sem consumo no plano</t>
        </is>
      </c>
      <c r="U186" s="2" t="inlineStr">
        <is>
          <t>https://vivo.com.br/para-voce/produtos-e-servicos/para-o-celular/easy-lite</t>
        </is>
      </c>
      <c r="V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5" t="inlineStr"/>
      <c r="L187" s="7" t="n">
        <v>40</v>
      </c>
      <c r="M187" s="5" t="inlineStr">
        <is>
          <t>40 GB de franquia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>
        <is>
          <t>2 meses de YouTube sem consumo no plano</t>
        </is>
      </c>
      <c r="U187" s="5" t="inlineStr">
        <is>
          <t>https://vivo.com.br/para-voce/produtos-e-servicos/para-o-celular/easy-lite</t>
        </is>
      </c>
      <c r="V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2" t="inlineStr"/>
      <c r="L188" s="4" t="n">
        <v>20</v>
      </c>
      <c r="M188" s="2" t="inlineStr">
        <is>
          <t>20 GB de franquia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2 meses de YouTube sem consumo no plano</t>
        </is>
      </c>
      <c r="U188" s="2" t="inlineStr">
        <is>
          <t>https://vivo.com.br/para-voce/produtos-e-servicos/para-o-celular/easy-lite</t>
        </is>
      </c>
      <c r="V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5" t="inlineStr"/>
      <c r="L189" s="7" t="n">
        <v>60</v>
      </c>
      <c r="M189" s="5" t="inlineStr">
        <is>
          <t>50 GB de franquia 10 GB de bônus</t>
        </is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inlineStr">
        <is>
          <t>Assinatura Amazon Prime inclusa</t>
        </is>
      </c>
      <c r="U189" s="5" t="inlineStr">
        <is>
          <t>https://vivo.com.br/para-voce/produtos-e-servicos/para-o-celular/planos-pos-pago</t>
        </is>
      </c>
      <c r="V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2" t="inlineStr"/>
      <c r="L190" s="4" t="n">
        <v>60</v>
      </c>
      <c r="M190" s="2" t="inlineStr">
        <is>
          <t>50 GB de franquia 10 GB de bônus</t>
        </is>
      </c>
      <c r="N190" s="2" t="inlineStr"/>
      <c r="O190" s="2" t="inlineStr"/>
      <c r="P190" s="2" t="inlineStr"/>
      <c r="Q190" s="2" t="inlineStr"/>
      <c r="R190" s="2" t="inlineStr">
        <is>
          <t>Disney+</t>
        </is>
      </c>
      <c r="S190" s="2" t="inlineStr"/>
      <c r="T190" s="2" t="inlineStr">
        <is>
          <t>Assinatura Disney+ Padrão inclusa</t>
        </is>
      </c>
      <c r="U190" s="2" t="inlineStr">
        <is>
          <t>https://vivo.com.br/para-voce/produtos-e-servicos/para-o-celular/planos-pos-pago</t>
        </is>
      </c>
      <c r="V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5" t="inlineStr"/>
      <c r="L191" s="7" t="n">
        <v>60</v>
      </c>
      <c r="M191" s="5" t="inlineStr">
        <is>
          <t>50 GB de franquia 10 GB de bônus</t>
        </is>
      </c>
      <c r="N191" s="5" t="inlineStr"/>
      <c r="O191" s="5" t="inlineStr"/>
      <c r="P191" s="5" t="inlineStr"/>
      <c r="Q191" s="5" t="inlineStr"/>
      <c r="R191" s="5" t="inlineStr">
        <is>
          <t>Globoplay</t>
        </is>
      </c>
      <c r="S191" s="5" t="inlineStr"/>
      <c r="T191" s="5" t="inlineStr">
        <is>
          <t>Assinatura Globoplay inclusa</t>
        </is>
      </c>
      <c r="U191" s="5" t="inlineStr">
        <is>
          <t>https://vivo.com.br/para-voce/produtos-e-servicos/para-o-celular/planos-pos-pago</t>
        </is>
      </c>
      <c r="V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2" t="inlineStr"/>
      <c r="L192" s="4" t="n">
        <v>60</v>
      </c>
      <c r="M192" s="2" t="inlineStr">
        <is>
          <t>50 GB de franquia 10 GB de bônus</t>
        </is>
      </c>
      <c r="N192" s="2" t="inlineStr"/>
      <c r="O192" s="2" t="inlineStr"/>
      <c r="P192" s="2" t="inlineStr"/>
      <c r="Q192" s="2" t="inlineStr"/>
      <c r="R192" s="2" t="inlineStr">
        <is>
          <t>Netflix</t>
        </is>
      </c>
      <c r="S192" s="2" t="inlineStr"/>
      <c r="T192" s="2" t="inlineStr">
        <is>
          <t>Assinatura Netflix Padrão inclusa</t>
        </is>
      </c>
      <c r="U192" s="2" t="inlineStr">
        <is>
          <t>https://vivo.com.br/para-voce/produtos-e-servicos/para-o-celular/planos-pos-pago</t>
        </is>
      </c>
      <c r="V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5" t="inlineStr"/>
      <c r="L193" s="7" t="n">
        <v>60</v>
      </c>
      <c r="M193" s="5" t="inlineStr">
        <is>
          <t>50 GB de franquia 10 GB de bônus</t>
        </is>
      </c>
      <c r="N193" s="5" t="inlineStr"/>
      <c r="O193" s="5" t="inlineStr"/>
      <c r="P193" s="5" t="inlineStr"/>
      <c r="Q193" s="5" t="inlineStr"/>
      <c r="R193" s="5" t="inlineStr">
        <is>
          <t>Premiere</t>
        </is>
      </c>
      <c r="S193" s="5" t="inlineStr"/>
      <c r="T193" s="5" t="inlineStr">
        <is>
          <t>Assinatura Premiere inclusa</t>
        </is>
      </c>
      <c r="U193" s="5" t="inlineStr">
        <is>
          <t>https://vivo.com.br/para-voce/produtos-e-servicos/para-o-celular/planos-pos-pago</t>
        </is>
      </c>
      <c r="V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2" t="inlineStr"/>
      <c r="L194" s="4" t="n">
        <v>60</v>
      </c>
      <c r="M194" s="2" t="inlineStr">
        <is>
          <t>50 GB de franquia 10 GB de bônus</t>
        </is>
      </c>
      <c r="N194" s="2" t="inlineStr"/>
      <c r="O194" s="2" t="inlineStr"/>
      <c r="P194" s="2" t="inlineStr"/>
      <c r="Q194" s="2" t="inlineStr"/>
      <c r="R194" s="2" t="inlineStr">
        <is>
          <t>Spotify</t>
        </is>
      </c>
      <c r="S194" s="2" t="inlineStr"/>
      <c r="T194" s="2" t="inlineStr">
        <is>
          <t>Assinatura Spotify Premium inclusa</t>
        </is>
      </c>
      <c r="U194" s="2" t="inlineStr">
        <is>
          <t>https://vivo.com.br/para-voce/produtos-e-servicos/para-o-celular/planos-pos-pago</t>
        </is>
      </c>
      <c r="V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5" t="inlineStr"/>
      <c r="L195" s="7" t="n">
        <v>70</v>
      </c>
      <c r="M195" s="5" t="inlineStr">
        <is>
          <t>60 GB de franquia 10 GB de bônus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>
        <is>
          <t>6 meses grátis de Gemini com AI Plus</t>
        </is>
      </c>
      <c r="U195" s="5" t="inlineStr">
        <is>
          <t>https://vivo.com.br/para-voce/produtos-e-servicos/para-o-celular/planos-pos-pago</t>
        </is>
      </c>
      <c r="V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2" t="inlineStr"/>
      <c r="L196" s="4" t="n">
        <v>25</v>
      </c>
      <c r="M196" s="2" t="inlineStr">
        <is>
          <t>15 GB para navegar como quiser 5 GB de bônus 5 GB para navegar no Youtube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https://vivo.com.br/para-voce/produtos-e-servicos/para-o-celular/pre-pago/vivo-pre</t>
        </is>
      </c>
      <c r="V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5" t="inlineStr"/>
      <c r="L197" s="7" t="n">
        <v>9</v>
      </c>
      <c r="M197" s="5" t="inlineStr">
        <is>
          <t>6 GB para navegar como quiser 3 GB para navegar no YouTube</t>
        </is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https://vivo.com.br/para-voce/produtos-e-servicos/para-o-celular/pre-pago/vivo-pre</t>
        </is>
      </c>
      <c r="V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2" t="inlineStr"/>
      <c r="L198" s="4" t="n">
        <v>5</v>
      </c>
      <c r="M198" s="2" t="inlineStr">
        <is>
          <t>5 GB para navegar como quiser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https://vivo.com.br/para-voce/produtos-e-servicos/para-o-celular/pre-pago/vivo-pre</t>
        </is>
      </c>
      <c r="V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5" t="inlineStr"/>
      <c r="L199" s="7" t="n">
        <v>4</v>
      </c>
      <c r="M199" s="5" t="inlineStr">
        <is>
          <t>4 GB para navegar como quiser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https://vivo.com.br/para-voce/produtos-e-servicos/para-o-celular/pre-pago/vivo-pre</t>
        </is>
      </c>
      <c r="V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2" t="inlineStr"/>
      <c r="L200" s="4" t="n">
        <v>25</v>
      </c>
      <c r="M200" s="2" t="inlineStr"/>
      <c r="N200" s="2" t="inlineStr"/>
      <c r="O200" s="2" t="inlineStr">
        <is>
          <t>WhatsApp</t>
        </is>
      </c>
      <c r="P200" s="2" t="inlineStr"/>
      <c r="Q200" s="2" t="inlineStr"/>
      <c r="R200" s="2" t="inlineStr"/>
      <c r="S200" s="2" t="inlineStr"/>
      <c r="T200" s="2" t="inlineStr">
        <is>
          <t>Para uso livre; Para redes sociais e vídeos; Bônus exclusivo; Aproveite na sua franquia; WhatsApp e ligações ilimitadas</t>
        </is>
      </c>
      <c r="U200" s="2" t="inlineStr">
        <is>
          <t>https://www.claro.com.br/celular/controle</t>
        </is>
      </c>
      <c r="V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5" t="inlineStr"/>
      <c r="L201" s="7" t="n">
        <v>30</v>
      </c>
      <c r="M201" s="5" t="inlineStr"/>
      <c r="N201" s="5" t="inlineStr"/>
      <c r="O201" s="5" t="inlineStr">
        <is>
          <t>WhatsApp</t>
        </is>
      </c>
      <c r="P201" s="5" t="inlineStr"/>
      <c r="Q201" s="5" t="inlineStr"/>
      <c r="R201" s="5" t="inlineStr"/>
      <c r="S201" s="5" t="inlineStr"/>
      <c r="T201" s="5" t="inlineStr">
        <is>
          <t>Para uso livre; Bônus do Hexa para uso livre; Bônus para redes sociais e apps; Redes sociais e apps; WhatsApp ilimitado</t>
        </is>
      </c>
      <c r="U201" s="5" t="inlineStr">
        <is>
          <t>https://www.claro.com.br/celular/controle</t>
        </is>
      </c>
      <c r="V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2" t="inlineStr"/>
      <c r="L202" s="4" t="n">
        <v>30</v>
      </c>
      <c r="M202" s="2" t="inlineStr"/>
      <c r="N202" s="2" t="inlineStr"/>
      <c r="O202" s="2" t="inlineStr">
        <is>
          <t>WhatsApp</t>
        </is>
      </c>
      <c r="P202" s="2" t="inlineStr"/>
      <c r="Q202" s="2" t="inlineStr"/>
      <c r="R202" s="2" t="inlineStr"/>
      <c r="S202" s="2" t="inlineStr"/>
      <c r="T202" s="2" t="inlineStr">
        <is>
          <t>Para uso livre; Bônus para redes sociais e apps; Bônus uso livre; Redes sociais e apps; WhatsApp ilimitado</t>
        </is>
      </c>
      <c r="U202" s="2" t="inlineStr">
        <is>
          <t>https://www.claro.com.br/celular/controle</t>
        </is>
      </c>
      <c r="V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5" t="inlineStr"/>
      <c r="L203" s="7" t="n">
        <v>15</v>
      </c>
      <c r="M203" s="5" t="inlineStr"/>
      <c r="N203" s="5" t="inlineStr"/>
      <c r="O203" s="5" t="inlineStr">
        <is>
          <t>WhatsApp</t>
        </is>
      </c>
      <c r="P203" s="5" t="inlineStr"/>
      <c r="Q203" s="5" t="inlineStr"/>
      <c r="R203" s="5" t="inlineStr"/>
      <c r="S203" s="5" t="inlineStr"/>
      <c r="T203" s="5" t="inlineStr">
        <is>
          <t>Para uso livre; Bônus do Hexa para uso livre; Para redes sociais e apps; Bônus extra nos apps; WhatsApp ilimitado</t>
        </is>
      </c>
      <c r="U203" s="5" t="inlineStr">
        <is>
          <t>https://www.claro.com.br/celular/flex</t>
        </is>
      </c>
      <c r="V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2" t="inlineStr"/>
      <c r="L204" s="4" t="n">
        <v>20</v>
      </c>
      <c r="M204" s="2" t="inlineStr"/>
      <c r="N204" s="2" t="inlineStr"/>
      <c r="O204" s="2" t="inlineStr">
        <is>
          <t>WhatsApp</t>
        </is>
      </c>
      <c r="P204" s="2" t="inlineStr"/>
      <c r="Q204" s="2" t="inlineStr"/>
      <c r="R204" s="2" t="inlineStr"/>
      <c r="S204" s="2" t="inlineStr"/>
      <c r="T204" s="2" t="inlineStr">
        <is>
          <t>Para uso livre; Bônus do Hexa para uso livre; Para redes sociais e apps; Bônus extra nos apps; WhatsApp ilimitado</t>
        </is>
      </c>
      <c r="U204" s="2" t="inlineStr">
        <is>
          <t>https://www.claro.com.br/celular/flex</t>
        </is>
      </c>
      <c r="V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5" t="inlineStr"/>
      <c r="L205" s="7" t="n">
        <v>30</v>
      </c>
      <c r="M205" s="5" t="inlineStr"/>
      <c r="N205" s="5" t="inlineStr"/>
      <c r="O205" s="5" t="inlineStr">
        <is>
          <t>WhatsApp</t>
        </is>
      </c>
      <c r="P205" s="5" t="inlineStr"/>
      <c r="Q205" s="5" t="inlineStr"/>
      <c r="R205" s="5" t="inlineStr"/>
      <c r="S205" s="5" t="inlineStr"/>
      <c r="T205" s="5" t="inlineStr">
        <is>
          <t>Para uso livre; Bônus do Hexa para uso livre; Para redes sociais e apps; Bônus extra nos apps; WhatsApp ilimitado; Assinatura Claro musica inclusa</t>
        </is>
      </c>
      <c r="U205" s="5" t="inlineStr">
        <is>
          <t>https://www.claro.com.br/celular/flex</t>
        </is>
      </c>
      <c r="V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2" t="inlineStr"/>
      <c r="L206" s="4" t="n">
        <v>40</v>
      </c>
      <c r="M206" s="2" t="inlineStr"/>
      <c r="N206" s="2" t="inlineStr"/>
      <c r="O206" s="2" t="inlineStr">
        <is>
          <t>WhatsApp</t>
        </is>
      </c>
      <c r="P206" s="2" t="inlineStr"/>
      <c r="Q206" s="2" t="inlineStr"/>
      <c r="R206" s="2" t="inlineStr"/>
      <c r="S206" s="2" t="inlineStr"/>
      <c r="T206" s="2" t="inlineStr">
        <is>
          <t>Para uso livre; Para redes sociais e apps; Bônus uso livre; Bônus extra nos apps; WhatsApp ilimitado; Assinatura Claro musica inclusa</t>
        </is>
      </c>
      <c r="U206" s="2" t="inlineStr">
        <is>
          <t>https://www.claro.com.br/celular/flex</t>
        </is>
      </c>
      <c r="V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5" t="inlineStr"/>
      <c r="L207" s="7" t="n">
        <v>100</v>
      </c>
      <c r="M207" s="5" t="inlineStr"/>
      <c r="N207" s="5" t="inlineStr"/>
      <c r="O207" s="5" t="inlineStr">
        <is>
          <t>WhatsApp</t>
        </is>
      </c>
      <c r="P207" s="5" t="inlineStr"/>
      <c r="Q207" s="5" t="inlineStr"/>
      <c r="R207" s="5" t="inlineStr"/>
      <c r="S207" s="5" t="inlineStr"/>
      <c r="T207" s="5" t="inlineStr">
        <is>
          <t>Armazenamento na nuvem:; Google One ou iCloud+; WhatsApp ilimitado; Roaming: Passaporte Américas; Claro Sync: Smartwatch conectado</t>
        </is>
      </c>
      <c r="U207" s="5" t="inlineStr">
        <is>
          <t>https://www.claro.com.br/celular/pos</t>
        </is>
      </c>
      <c r="V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2" t="inlineStr"/>
      <c r="L208" s="4" t="n">
        <v>150</v>
      </c>
      <c r="M208" s="2" t="inlineStr"/>
      <c r="N208" s="2" t="inlineStr"/>
      <c r="O208" s="2" t="inlineStr">
        <is>
          <t>WhatsApp</t>
        </is>
      </c>
      <c r="P208" s="2" t="inlineStr"/>
      <c r="Q208" s="2" t="inlineStr"/>
      <c r="R208" s="2" t="inlineStr"/>
      <c r="S208" s="2" t="inlineStr"/>
      <c r="T208" s="2" t="inlineStr">
        <is>
          <t>Armazenamento na nuvem:; Google One ou iCloud+; WhatsApp ilimitado; Roaming: Passaporte Américas e Europa; Claro Sync: Smartwatch conectado</t>
        </is>
      </c>
      <c r="U208" s="2" t="inlineStr">
        <is>
          <t>https://www.claro.com.br/celular/pos</t>
        </is>
      </c>
      <c r="V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5" t="inlineStr"/>
      <c r="L209" s="7" t="n">
        <v>200</v>
      </c>
      <c r="M209" s="5" t="inlineStr"/>
      <c r="N209" s="5" t="inlineStr"/>
      <c r="O209" s="5" t="inlineStr">
        <is>
          <t>WhatsApp</t>
        </is>
      </c>
      <c r="P209" s="5" t="inlineStr"/>
      <c r="Q209" s="5" t="inlineStr"/>
      <c r="R209" s="5" t="inlineStr"/>
      <c r="S209" s="5" t="inlineStr"/>
      <c r="T209" s="5" t="inlineStr">
        <is>
          <t>Armazenamento na nuvem:; Google One ou iCloud+; WhatsApp ilimitado; Roaming: Passaporte Mundo; Claro Sync: Smartwatch conectado</t>
        </is>
      </c>
      <c r="U209" s="5" t="inlineStr">
        <is>
          <t>https://www.claro.com.br/celular/pos</t>
        </is>
      </c>
      <c r="V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2" t="inlineStr"/>
      <c r="L210" s="4" t="n">
        <v>50</v>
      </c>
      <c r="M210" s="2" t="inlineStr"/>
      <c r="N210" s="2" t="inlineStr"/>
      <c r="O210" s="2" t="inlineStr">
        <is>
          <t>WhatsApp</t>
        </is>
      </c>
      <c r="P210" s="2" t="inlineStr"/>
      <c r="Q210" s="2" t="inlineStr"/>
      <c r="R210" s="2" t="inlineStr"/>
      <c r="S210" s="2" t="inlineStr"/>
      <c r="T210" s="2" t="inlineStr">
        <is>
          <t>Armazenamento na nuvem:; Google One ou iCloud+; WhatsApp ilimitado; Roaming: Passaporte Américas; Claro Sync: Smartwatch conectado; Inclusa assinatura GeForce NOW</t>
        </is>
      </c>
      <c r="U210" s="2" t="inlineStr">
        <is>
          <t>https://www.claro.com.br/celular/pos</t>
        </is>
      </c>
      <c r="V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5" t="inlineStr"/>
      <c r="L211" s="7" t="n">
        <v>60</v>
      </c>
      <c r="M211" s="5" t="inlineStr"/>
      <c r="N211" s="5" t="inlineStr"/>
      <c r="O211" s="5" t="inlineStr">
        <is>
          <t>WhatsApp</t>
        </is>
      </c>
      <c r="P211" s="5" t="inlineStr"/>
      <c r="Q211" s="5" t="inlineStr"/>
      <c r="R211" s="5" t="inlineStr"/>
      <c r="S211" s="5" t="inlineStr"/>
      <c r="T211" s="5" t="inlineStr">
        <is>
          <t>Armazenamento na nuvem:; Google One ou iCloud+; WhatsApp ilimitado; Roaming: Passaporte Américas; Claro Sync: Smartwatch conectado</t>
        </is>
      </c>
      <c r="U211" s="5" t="inlineStr">
        <is>
          <t>https://www.claro.com.br/celular/pos</t>
        </is>
      </c>
      <c r="V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2" t="inlineStr"/>
      <c r="L212" s="4" t="n">
        <v>10</v>
      </c>
      <c r="M212" s="2" t="inlineStr"/>
      <c r="N212" s="2" t="n">
        <v>25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https://www.claro.com.br/celular/planos-pre/prezao</t>
        </is>
      </c>
      <c r="V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5" t="inlineStr"/>
      <c r="L213" s="7" t="n">
        <v>12</v>
      </c>
      <c r="M213" s="5" t="inlineStr"/>
      <c r="N213" s="5" t="n">
        <v>30</v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https://www.claro.com.br/celular/planos-pre/prezao</t>
        </is>
      </c>
      <c r="V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2" t="inlineStr"/>
      <c r="L214" s="4" t="n">
        <v>4</v>
      </c>
      <c r="M214" s="2" t="inlineStr"/>
      <c r="N214" s="2" t="n">
        <v>12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https://www.claro.com.br/celular/planos-pre/prezao</t>
        </is>
      </c>
      <c r="V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5" t="inlineStr"/>
      <c r="L215" s="7" t="n">
        <v>5</v>
      </c>
      <c r="M215" s="5" t="inlineStr"/>
      <c r="N215" s="5" t="n">
        <v>15</v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https://www.claro.com.br/celular/planos-pre/prezao</t>
        </is>
      </c>
      <c r="V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2" t="inlineStr"/>
      <c r="L216" s="4" t="n">
        <v>6</v>
      </c>
      <c r="M216" s="2" t="inlineStr"/>
      <c r="N216" s="2" t="n">
        <v>20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https://www.claro.com.br/celular/planos-pre/prezao</t>
        </is>
      </c>
      <c r="V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5" t="inlineStr"/>
      <c r="L217" s="7" t="n">
        <v>8</v>
      </c>
      <c r="M217" s="5" t="inlineStr"/>
      <c r="N217" s="5" t="n">
        <v>20</v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https://www.claro.com.br/celular/planos-pre/prezao</t>
        </is>
      </c>
      <c r="V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2" t="inlineStr"/>
      <c r="L218" s="4" t="n">
        <v>9</v>
      </c>
      <c r="M218" s="2" t="inlineStr"/>
      <c r="N218" s="2" t="n">
        <v>25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https://www.claro.com.br/celular/planos-pre/prezao</t>
        </is>
      </c>
      <c r="V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5" t="inlineStr"/>
      <c r="L219" s="7" t="n">
        <v>41</v>
      </c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https://www.tim.com.br/sp/para-voce/planos/controle</t>
        </is>
      </c>
      <c r="V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2" t="inlineStr"/>
      <c r="L220" s="4" t="n">
        <v>31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https://www.tim.com.br/sp/para-voce/planos/controle</t>
        </is>
      </c>
      <c r="V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5" t="inlineStr"/>
      <c r="L221" s="7" t="n">
        <v>45</v>
      </c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https://www.tim.com.br/sp/para-voce/planos/controle</t>
        </is>
      </c>
      <c r="V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2" t="inlineStr"/>
      <c r="L222" s="4" t="n">
        <v>53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https://www.tim.com.br/sp/para-voce/planos/controle</t>
        </is>
      </c>
      <c r="V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5" t="inlineStr"/>
      <c r="L223" s="7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https://www.tim.com.br/sp/para-voce/planos/controle</t>
        </is>
      </c>
      <c r="V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2" t="inlineStr"/>
      <c r="L224" s="4" t="n">
        <v>70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https://www.tim.com.br/sp/para-voce/planos/pos-pago/tim-black</t>
        </is>
      </c>
      <c r="V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5" t="inlineStr"/>
      <c r="L225" s="7" t="n">
        <v>67</v>
      </c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https://www.tim.com.br/sp/para-voce/planos/pos-pago/tim-black</t>
        </is>
      </c>
      <c r="V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2" t="inlineStr"/>
      <c r="L226" s="4" t="n">
        <v>82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https://www.tim.com.br/sp/para-voce/planos/pos-pago/tim-black</t>
        </is>
      </c>
      <c r="V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5" t="inlineStr"/>
      <c r="L227" s="7" t="n">
        <v>107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https://www.tim.com.br/sp/para-voce/planos/pos-pago/tim-black</t>
        </is>
      </c>
      <c r="V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2" t="inlineStr"/>
      <c r="L228" s="4" t="n">
        <v>95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https://www.tim.com.br/sp/para-voce/planos/pos-pago/tim-black</t>
        </is>
      </c>
      <c r="V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5" t="inlineStr"/>
      <c r="L229" s="7" t="n">
        <v>80</v>
      </c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https://www.tim.com.br/sp/para-voce/planos/pos-pago/tim-black</t>
        </is>
      </c>
      <c r="V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2" t="inlineStr"/>
      <c r="L230" s="4" t="n">
        <v>110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https://www.tim.com.br/sp/para-voce/planos/pos-pago/tim-black</t>
        </is>
      </c>
      <c r="V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5" t="inlineStr"/>
      <c r="L231" s="7" t="n">
        <v>16</v>
      </c>
      <c r="M231" s="5" t="inlineStr"/>
      <c r="N231" s="5" t="n">
        <v>30</v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https://www.tim.com.br/sp/para-voce/planos/pre-pago</t>
        </is>
      </c>
      <c r="V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2" t="inlineStr"/>
      <c r="L232" s="4" t="n">
        <v>6</v>
      </c>
      <c r="M232" s="2" t="inlineStr"/>
      <c r="N232" s="2" t="n">
        <v>30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https://www.tim.com.br/sp/para-voce/planos/pre-pago</t>
        </is>
      </c>
      <c r="V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5" t="inlineStr"/>
      <c r="L233" s="7" t="n">
        <v>8</v>
      </c>
      <c r="M233" s="5" t="inlineStr"/>
      <c r="N233" s="5" t="n">
        <v>30</v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https://www.tim.com.br/sp/para-voce/planos/pre-pago</t>
        </is>
      </c>
      <c r="V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2" t="inlineStr"/>
      <c r="L234" s="4" t="n">
        <v>46</v>
      </c>
      <c r="M234" s="2" t="inlineStr">
        <is>
          <t>15 GB de franquia 31 GB de bônus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 meses grátis de Gemini com AI Plus</t>
        </is>
      </c>
      <c r="U234" s="2" t="inlineStr">
        <is>
          <t>https://vivo.com.br/para-voce/produtos-e-servicos/para-o-celular/planos-controle</t>
        </is>
      </c>
      <c r="V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5" t="inlineStr"/>
      <c r="L235" s="7" t="n">
        <v>51</v>
      </c>
      <c r="M235" s="5" t="inlineStr">
        <is>
          <t>20 GB de franquia 31 GB de bônus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>
        <is>
          <t>6 meses grátis de Gemini com AI Plus</t>
        </is>
      </c>
      <c r="U235" s="5" t="inlineStr">
        <is>
          <t>https://vivo.com.br/para-voce/produtos-e-servicos/para-o-celular/planos-controle</t>
        </is>
      </c>
      <c r="V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2" t="inlineStr"/>
      <c r="L236" s="4" t="n">
        <v>51</v>
      </c>
      <c r="M236" s="2" t="inlineStr">
        <is>
          <t>20 GB de franquia 31 GB de bônus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Assinatura Vivae inclusa</t>
        </is>
      </c>
      <c r="U236" s="2" t="inlineStr">
        <is>
          <t>https://vivo.com.br/para-voce/produtos-e-servicos/para-o-celular/planos-controle</t>
        </is>
      </c>
      <c r="V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5" t="inlineStr"/>
      <c r="L237" s="7" t="n">
        <v>51</v>
      </c>
      <c r="M237" s="5" t="inlineStr">
        <is>
          <t>20 GB de franquia 31 GB de bônus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>
        <is>
          <t>Assinatura Vivo TV Inicial inclusa</t>
        </is>
      </c>
      <c r="U237" s="5" t="inlineStr">
        <is>
          <t>https://vivo.com.br/para-voce/produtos-e-servicos/para-o-celular/planos-controle</t>
        </is>
      </c>
      <c r="V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2" t="inlineStr"/>
      <c r="L238" s="4" t="n">
        <v>51</v>
      </c>
      <c r="M238" s="2" t="inlineStr">
        <is>
          <t>20 GB de franquia 31 GB de bônus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Apple Music Individual</t>
        </is>
      </c>
      <c r="U238" s="2" t="inlineStr">
        <is>
          <t>https://vivo.com.br/para-voce/produtos-e-servicos/para-o-celular/planos-controle</t>
        </is>
      </c>
      <c r="V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5" t="inlineStr"/>
      <c r="L239" s="7" t="n">
        <v>51</v>
      </c>
      <c r="M239" s="5" t="inlineStr">
        <is>
          <t>20 GB de franquia 31 GB de bônus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>
        <is>
          <t>Assinatura Netflix Padrão com anúncios</t>
        </is>
      </c>
      <c r="U239" s="5" t="inlineStr">
        <is>
          <t>https://vivo.com.br/para-voce/produtos-e-servicos/para-o-celular/planos-controle</t>
        </is>
      </c>
      <c r="V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2" t="inlineStr"/>
      <c r="L240" s="4" t="n">
        <v>51</v>
      </c>
      <c r="M240" s="2" t="inlineStr">
        <is>
          <t>20 GB de franquia 31 GB de bônus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Assinatura Vale Saúde Sempre inclusa</t>
        </is>
      </c>
      <c r="U240" s="2" t="inlineStr">
        <is>
          <t>https://vivo.com.br/para-voce/produtos-e-servicos/para-o-celular/planos-controle</t>
        </is>
      </c>
      <c r="V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5" t="inlineStr"/>
      <c r="L241" s="7" t="n">
        <v>30</v>
      </c>
      <c r="M241" s="5" t="inlineStr">
        <is>
          <t>30 GB de franquia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>
        <is>
          <t>2 meses de YouTube sem consumo no plano</t>
        </is>
      </c>
      <c r="U241" s="5" t="inlineStr">
        <is>
          <t>https://vivo.com.br/para-voce/produtos-e-servicos/para-o-celular/easy-lite</t>
        </is>
      </c>
      <c r="V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2" t="inlineStr"/>
      <c r="L242" s="4" t="n">
        <v>40</v>
      </c>
      <c r="M242" s="2" t="inlineStr">
        <is>
          <t>40 GB de franquia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2 meses de YouTube sem consumo no plano</t>
        </is>
      </c>
      <c r="U242" s="2" t="inlineStr">
        <is>
          <t>https://vivo.com.br/para-voce/produtos-e-servicos/para-o-celular/easy-lite</t>
        </is>
      </c>
      <c r="V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5" t="inlineStr"/>
      <c r="L243" s="7" t="n">
        <v>20</v>
      </c>
      <c r="M243" s="5" t="inlineStr">
        <is>
          <t>20 GB de franquia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>
        <is>
          <t>2 meses de YouTube sem consumo no plano</t>
        </is>
      </c>
      <c r="U243" s="5" t="inlineStr">
        <is>
          <t>https://vivo.com.br/para-voce/produtos-e-servicos/para-o-celular/easy-lite</t>
        </is>
      </c>
      <c r="V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2" t="inlineStr"/>
      <c r="L244" s="4" t="n">
        <v>60</v>
      </c>
      <c r="M244" s="2" t="inlineStr">
        <is>
          <t>50 GB de franquia 10 GB de bônus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Assinatura Amazon Prime inclusa</t>
        </is>
      </c>
      <c r="U244" s="2" t="inlineStr">
        <is>
          <t>https://vivo.com.br/para-voce/produtos-e-servicos/para-o-celular/planos-pos-pago</t>
        </is>
      </c>
      <c r="V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5" t="inlineStr"/>
      <c r="L245" s="7" t="n">
        <v>60</v>
      </c>
      <c r="M245" s="5" t="inlineStr">
        <is>
          <t>50 GB de franquia 10 GB de bônus</t>
        </is>
      </c>
      <c r="N245" s="5" t="inlineStr"/>
      <c r="O245" s="5" t="inlineStr"/>
      <c r="P245" s="5" t="inlineStr"/>
      <c r="Q245" s="5" t="inlineStr"/>
      <c r="R245" s="5" t="inlineStr">
        <is>
          <t>Disney+</t>
        </is>
      </c>
      <c r="S245" s="5" t="inlineStr"/>
      <c r="T245" s="5" t="inlineStr">
        <is>
          <t>Assinatura Disney+ Padrão inclusa</t>
        </is>
      </c>
      <c r="U245" s="5" t="inlineStr">
        <is>
          <t>https://vivo.com.br/para-voce/produtos-e-servicos/para-o-celular/planos-pos-pago</t>
        </is>
      </c>
      <c r="V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2" t="inlineStr"/>
      <c r="L246" s="4" t="n">
        <v>60</v>
      </c>
      <c r="M246" s="2" t="inlineStr">
        <is>
          <t>50 GB de franquia 10 GB de bônus</t>
        </is>
      </c>
      <c r="N246" s="2" t="inlineStr"/>
      <c r="O246" s="2" t="inlineStr"/>
      <c r="P246" s="2" t="inlineStr"/>
      <c r="Q246" s="2" t="inlineStr"/>
      <c r="R246" s="2" t="inlineStr">
        <is>
          <t>Globoplay</t>
        </is>
      </c>
      <c r="S246" s="2" t="inlineStr"/>
      <c r="T246" s="2" t="inlineStr">
        <is>
          <t>Assinatura Globoplay inclusa</t>
        </is>
      </c>
      <c r="U246" s="2" t="inlineStr">
        <is>
          <t>https://vivo.com.br/para-voce/produtos-e-servicos/para-o-celular/planos-pos-pago</t>
        </is>
      </c>
      <c r="V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5" t="inlineStr"/>
      <c r="L247" s="7" t="n">
        <v>60</v>
      </c>
      <c r="M247" s="5" t="inlineStr">
        <is>
          <t>50 GB de franquia 10 GB de bônus</t>
        </is>
      </c>
      <c r="N247" s="5" t="inlineStr"/>
      <c r="O247" s="5" t="inlineStr"/>
      <c r="P247" s="5" t="inlineStr"/>
      <c r="Q247" s="5" t="inlineStr"/>
      <c r="R247" s="5" t="inlineStr">
        <is>
          <t>Netflix</t>
        </is>
      </c>
      <c r="S247" s="5" t="inlineStr"/>
      <c r="T247" s="5" t="inlineStr">
        <is>
          <t>Assinatura Netflix Padrão inclusa</t>
        </is>
      </c>
      <c r="U247" s="5" t="inlineStr">
        <is>
          <t>https://vivo.com.br/para-voce/produtos-e-servicos/para-o-celular/planos-pos-pago</t>
        </is>
      </c>
      <c r="V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2" t="inlineStr"/>
      <c r="L248" s="4" t="n">
        <v>60</v>
      </c>
      <c r="M248" s="2" t="inlineStr">
        <is>
          <t>50 GB de franquia 10 GB de bônus</t>
        </is>
      </c>
      <c r="N248" s="2" t="inlineStr"/>
      <c r="O248" s="2" t="inlineStr"/>
      <c r="P248" s="2" t="inlineStr"/>
      <c r="Q248" s="2" t="inlineStr"/>
      <c r="R248" s="2" t="inlineStr">
        <is>
          <t>Premiere</t>
        </is>
      </c>
      <c r="S248" s="2" t="inlineStr"/>
      <c r="T248" s="2" t="inlineStr">
        <is>
          <t>Assinatura Premiere inclusa</t>
        </is>
      </c>
      <c r="U248" s="2" t="inlineStr">
        <is>
          <t>https://vivo.com.br/para-voce/produtos-e-servicos/para-o-celular/planos-pos-pago</t>
        </is>
      </c>
      <c r="V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5" t="inlineStr"/>
      <c r="L249" s="7" t="n">
        <v>60</v>
      </c>
      <c r="M249" s="5" t="inlineStr">
        <is>
          <t>50 GB de franquia 10 GB de bônus</t>
        </is>
      </c>
      <c r="N249" s="5" t="inlineStr"/>
      <c r="O249" s="5" t="inlineStr"/>
      <c r="P249" s="5" t="inlineStr"/>
      <c r="Q249" s="5" t="inlineStr"/>
      <c r="R249" s="5" t="inlineStr">
        <is>
          <t>Spotify</t>
        </is>
      </c>
      <c r="S249" s="5" t="inlineStr"/>
      <c r="T249" s="5" t="inlineStr">
        <is>
          <t>Assinatura Spotify Premium inclusa</t>
        </is>
      </c>
      <c r="U249" s="5" t="inlineStr">
        <is>
          <t>https://vivo.com.br/para-voce/produtos-e-servicos/para-o-celular/planos-pos-pago</t>
        </is>
      </c>
      <c r="V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2" t="inlineStr"/>
      <c r="L250" s="4" t="n">
        <v>70</v>
      </c>
      <c r="M250" s="2" t="inlineStr">
        <is>
          <t>60 GB de franquia 10 GB de bônus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 meses grátis de Gemini com AI Plus</t>
        </is>
      </c>
      <c r="U250" s="2" t="inlineStr">
        <is>
          <t>https://vivo.com.br/para-voce/produtos-e-servicos/para-o-celular/planos-pos-pago</t>
        </is>
      </c>
      <c r="V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5" t="inlineStr"/>
      <c r="L251" s="7" t="n">
        <v>25</v>
      </c>
      <c r="M251" s="5" t="inlineStr">
        <is>
          <t>15 GB para navegar como quiser 5 GB de bônus 5 GB para navegar no Youtube</t>
        </is>
      </c>
      <c r="N251" s="5" t="n">
        <v>30</v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https://vivo.com.br/para-voce/produtos-e-servicos/para-o-celular/pre-pago/vivo-pre</t>
        </is>
      </c>
      <c r="V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2" t="inlineStr"/>
      <c r="L252" s="4" t="n">
        <v>9</v>
      </c>
      <c r="M252" s="2" t="inlineStr">
        <is>
          <t>6 GB para navegar como quiser 3 GB para navegar no YouTube</t>
        </is>
      </c>
      <c r="N252" s="2" t="n">
        <v>22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https://vivo.com.br/para-voce/produtos-e-servicos/para-o-celular/pre-pago/vivo-pre</t>
        </is>
      </c>
      <c r="V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5" t="inlineStr"/>
      <c r="L253" s="7" t="n">
        <v>5</v>
      </c>
      <c r="M253" s="5" t="inlineStr">
        <is>
          <t>5 GB para navegar como quiser</t>
        </is>
      </c>
      <c r="N253" s="5" t="n">
        <v>17</v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https://vivo.com.br/para-voce/produtos-e-servicos/para-o-celular/pre-pago/vivo-pre</t>
        </is>
      </c>
      <c r="V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2" t="inlineStr"/>
      <c r="L254" s="4" t="n">
        <v>4</v>
      </c>
      <c r="M254" s="2" t="inlineStr">
        <is>
          <t>4 GB para navegar como quiser</t>
        </is>
      </c>
      <c r="N254" s="2" t="n">
        <v>15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https://vivo.com.br/para-voce/produtos-e-servicos/para-o-celular/pre-pago/vivo-pre</t>
        </is>
      </c>
      <c r="V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5" t="inlineStr"/>
      <c r="L255" s="7" t="n">
        <v>25</v>
      </c>
      <c r="M255" s="5" t="inlineStr"/>
      <c r="N255" s="5" t="inlineStr"/>
      <c r="O255" s="5" t="inlineStr">
        <is>
          <t>WhatsApp</t>
        </is>
      </c>
      <c r="P255" s="5" t="inlineStr"/>
      <c r="Q255" s="5" t="inlineStr"/>
      <c r="R255" s="5" t="inlineStr"/>
      <c r="S255" s="5" t="inlineStr"/>
      <c r="T255" s="5" t="inlineStr">
        <is>
          <t>Para uso livre; Para redes sociais e vídeos; Bônus exclusivo; Aproveite na sua franquia; WhatsApp e ligações ilimitadas</t>
        </is>
      </c>
      <c r="U255" s="5" t="inlineStr">
        <is>
          <t>https://www.claro.com.br/celular/controle</t>
        </is>
      </c>
      <c r="V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2" t="inlineStr"/>
      <c r="L256" s="4" t="n">
        <v>30</v>
      </c>
      <c r="M256" s="2" t="inlineStr"/>
      <c r="N256" s="2" t="inlineStr"/>
      <c r="O256" s="2" t="inlineStr">
        <is>
          <t>WhatsApp</t>
        </is>
      </c>
      <c r="P256" s="2" t="inlineStr"/>
      <c r="Q256" s="2" t="inlineStr"/>
      <c r="R256" s="2" t="inlineStr"/>
      <c r="S256" s="2" t="inlineStr"/>
      <c r="T256" s="2" t="inlineStr">
        <is>
          <t>Para uso livre; Bônus do Hexa para uso livre; Bônus para redes sociais e apps; Redes sociais e apps; WhatsApp ilimitado</t>
        </is>
      </c>
      <c r="U256" s="2" t="inlineStr">
        <is>
          <t>https://www.claro.com.br/celular/controle</t>
        </is>
      </c>
      <c r="V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5" t="inlineStr"/>
      <c r="L257" s="7" t="n">
        <v>30</v>
      </c>
      <c r="M257" s="5" t="inlineStr"/>
      <c r="N257" s="5" t="inlineStr"/>
      <c r="O257" s="5" t="inlineStr">
        <is>
          <t>WhatsApp</t>
        </is>
      </c>
      <c r="P257" s="5" t="inlineStr"/>
      <c r="Q257" s="5" t="inlineStr"/>
      <c r="R257" s="5" t="inlineStr"/>
      <c r="S257" s="5" t="inlineStr"/>
      <c r="T257" s="5" t="inlineStr">
        <is>
          <t>Para uso livre; Bônus para redes sociais e apps; Bônus uso livre; Redes sociais e apps; WhatsApp ilimitado</t>
        </is>
      </c>
      <c r="U257" s="5" t="inlineStr">
        <is>
          <t>https://www.claro.com.br/celular/controle</t>
        </is>
      </c>
      <c r="V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2" t="inlineStr"/>
      <c r="L258" s="4" t="n">
        <v>15</v>
      </c>
      <c r="M258" s="2" t="inlineStr"/>
      <c r="N258" s="2" t="inlineStr"/>
      <c r="O258" s="2" t="inlineStr">
        <is>
          <t>WhatsApp</t>
        </is>
      </c>
      <c r="P258" s="2" t="inlineStr"/>
      <c r="Q258" s="2" t="inlineStr"/>
      <c r="R258" s="2" t="inlineStr"/>
      <c r="S258" s="2" t="inlineStr"/>
      <c r="T258" s="2" t="inlineStr">
        <is>
          <t>Para uso livre; Bônus do Hexa para uso livre; Para redes sociais e apps; Bônus extra nos apps; WhatsApp ilimitado</t>
        </is>
      </c>
      <c r="U258" s="2" t="inlineStr">
        <is>
          <t>https://www.claro.com.br/celular/flex</t>
        </is>
      </c>
      <c r="V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5" t="inlineStr"/>
      <c r="L259" s="7" t="n">
        <v>20</v>
      </c>
      <c r="M259" s="5" t="inlineStr"/>
      <c r="N259" s="5" t="inlineStr"/>
      <c r="O259" s="5" t="inlineStr">
        <is>
          <t>WhatsApp</t>
        </is>
      </c>
      <c r="P259" s="5" t="inlineStr"/>
      <c r="Q259" s="5" t="inlineStr"/>
      <c r="R259" s="5" t="inlineStr"/>
      <c r="S259" s="5" t="inlineStr"/>
      <c r="T259" s="5" t="inlineStr">
        <is>
          <t>Para uso livre; Bônus do Hexa para uso livre; Para redes sociais e apps; Bônus extra nos apps; WhatsApp ilimitado</t>
        </is>
      </c>
      <c r="U259" s="5" t="inlineStr">
        <is>
          <t>https://www.claro.com.br/celular/flex</t>
        </is>
      </c>
      <c r="V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2" t="inlineStr"/>
      <c r="L260" s="4" t="n">
        <v>30</v>
      </c>
      <c r="M260" s="2" t="inlineStr"/>
      <c r="N260" s="2" t="inlineStr"/>
      <c r="O260" s="2" t="inlineStr">
        <is>
          <t>WhatsApp</t>
        </is>
      </c>
      <c r="P260" s="2" t="inlineStr"/>
      <c r="Q260" s="2" t="inlineStr"/>
      <c r="R260" s="2" t="inlineStr"/>
      <c r="S260" s="2" t="inlineStr"/>
      <c r="T260" s="2" t="inlineStr">
        <is>
          <t>Para uso livre; Bônus do Hexa para uso livre; Para redes sociais e apps; Bônus extra nos apps; WhatsApp ilimitado; Assinatura Claro musica inclusa</t>
        </is>
      </c>
      <c r="U260" s="2" t="inlineStr">
        <is>
          <t>https://www.claro.com.br/celular/flex</t>
        </is>
      </c>
      <c r="V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5" t="inlineStr"/>
      <c r="L261" s="7" t="n">
        <v>40</v>
      </c>
      <c r="M261" s="5" t="inlineStr"/>
      <c r="N261" s="5" t="inlineStr"/>
      <c r="O261" s="5" t="inlineStr">
        <is>
          <t>WhatsApp</t>
        </is>
      </c>
      <c r="P261" s="5" t="inlineStr"/>
      <c r="Q261" s="5" t="inlineStr"/>
      <c r="R261" s="5" t="inlineStr"/>
      <c r="S261" s="5" t="inlineStr"/>
      <c r="T261" s="5" t="inlineStr">
        <is>
          <t>Para uso livre; Para redes sociais e apps; Bônus uso livre; Bônus extra nos apps; WhatsApp ilimitado; Assinatura Claro musica inclusa</t>
        </is>
      </c>
      <c r="U261" s="5" t="inlineStr">
        <is>
          <t>https://www.claro.com.br/celular/flex</t>
        </is>
      </c>
      <c r="V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2" t="inlineStr"/>
      <c r="L262" s="4" t="n">
        <v>100</v>
      </c>
      <c r="M262" s="2" t="inlineStr"/>
      <c r="N262" s="2" t="inlineStr"/>
      <c r="O262" s="2" t="inlineStr">
        <is>
          <t>WhatsApp</t>
        </is>
      </c>
      <c r="P262" s="2" t="inlineStr"/>
      <c r="Q262" s="2" t="inlineStr"/>
      <c r="R262" s="2" t="inlineStr"/>
      <c r="S262" s="2" t="inlineStr"/>
      <c r="T262" s="2" t="inlineStr">
        <is>
          <t>Armazenamento na nuvem:; Google One ou iCloud+; WhatsApp ilimitado; Roaming: Passaporte Américas; Claro Sync: Smartwatch conectado</t>
        </is>
      </c>
      <c r="U262" s="2" t="inlineStr">
        <is>
          <t>https://www.claro.com.br/celular/pos</t>
        </is>
      </c>
      <c r="V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5" t="inlineStr"/>
      <c r="L263" s="7" t="n">
        <v>150</v>
      </c>
      <c r="M263" s="5" t="inlineStr"/>
      <c r="N263" s="5" t="inlineStr"/>
      <c r="O263" s="5" t="inlineStr">
        <is>
          <t>WhatsApp</t>
        </is>
      </c>
      <c r="P263" s="5" t="inlineStr"/>
      <c r="Q263" s="5" t="inlineStr"/>
      <c r="R263" s="5" t="inlineStr"/>
      <c r="S263" s="5" t="inlineStr"/>
      <c r="T263" s="5" t="inlineStr">
        <is>
          <t>Armazenamento na nuvem:; Google One ou iCloud+; WhatsApp ilimitado; Roaming: Passaporte Américas e Europa; Claro Sync: Smartwatch conectado</t>
        </is>
      </c>
      <c r="U263" s="5" t="inlineStr">
        <is>
          <t>https://www.claro.com.br/celular/pos</t>
        </is>
      </c>
      <c r="V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2" t="inlineStr"/>
      <c r="L264" s="4" t="n">
        <v>200</v>
      </c>
      <c r="M264" s="2" t="inlineStr"/>
      <c r="N264" s="2" t="inlineStr"/>
      <c r="O264" s="2" t="inlineStr">
        <is>
          <t>WhatsApp</t>
        </is>
      </c>
      <c r="P264" s="2" t="inlineStr"/>
      <c r="Q264" s="2" t="inlineStr"/>
      <c r="R264" s="2" t="inlineStr"/>
      <c r="S264" s="2" t="inlineStr"/>
      <c r="T264" s="2" t="inlineStr">
        <is>
          <t>Armazenamento na nuvem:; Google One ou iCloud+; WhatsApp ilimitado; Roaming: Passaporte Mundo; Claro Sync: Smartwatch conectado</t>
        </is>
      </c>
      <c r="U264" s="2" t="inlineStr">
        <is>
          <t>https://www.claro.com.br/celular/pos</t>
        </is>
      </c>
      <c r="V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5" t="inlineStr"/>
      <c r="L265" s="7" t="n">
        <v>50</v>
      </c>
      <c r="M265" s="5" t="inlineStr"/>
      <c r="N265" s="5" t="inlineStr"/>
      <c r="O265" s="5" t="inlineStr">
        <is>
          <t>WhatsApp</t>
        </is>
      </c>
      <c r="P265" s="5" t="inlineStr"/>
      <c r="Q265" s="5" t="inlineStr"/>
      <c r="R265" s="5" t="inlineStr"/>
      <c r="S265" s="5" t="inlineStr"/>
      <c r="T265" s="5" t="inlineStr">
        <is>
          <t>Armazenamento na nuvem:; Google One ou iCloud+; WhatsApp ilimitado; Roaming: Passaporte Américas; Claro Sync: Smartwatch conectado; Inclusa assinatura GeForce NOW</t>
        </is>
      </c>
      <c r="U265" s="5" t="inlineStr">
        <is>
          <t>https://www.claro.com.br/celular/pos</t>
        </is>
      </c>
      <c r="V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2" t="inlineStr"/>
      <c r="L266" s="4" t="n">
        <v>60</v>
      </c>
      <c r="M266" s="2" t="inlineStr"/>
      <c r="N266" s="2" t="inlineStr"/>
      <c r="O266" s="2" t="inlineStr">
        <is>
          <t>WhatsApp</t>
        </is>
      </c>
      <c r="P266" s="2" t="inlineStr"/>
      <c r="Q266" s="2" t="inlineStr"/>
      <c r="R266" s="2" t="inlineStr"/>
      <c r="S266" s="2" t="inlineStr"/>
      <c r="T266" s="2" t="inlineStr">
        <is>
          <t>Armazenamento na nuvem:; Google One ou iCloud+; WhatsApp ilimitado; Roaming: Passaporte Américas; Claro Sync: Smartwatch conectado</t>
        </is>
      </c>
      <c r="U266" s="2" t="inlineStr">
        <is>
          <t>https://www.claro.com.br/celular/pos</t>
        </is>
      </c>
      <c r="V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5" t="inlineStr"/>
      <c r="L267" s="7" t="n">
        <v>10</v>
      </c>
      <c r="M267" s="5" t="inlineStr"/>
      <c r="N267" s="5" t="n">
        <v>25</v>
      </c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https://www.claro.com.br/celular/planos-pre/prezao</t>
        </is>
      </c>
      <c r="V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2" t="inlineStr"/>
      <c r="L268" s="4" t="n">
        <v>12</v>
      </c>
      <c r="M268" s="2" t="inlineStr"/>
      <c r="N268" s="2" t="n">
        <v>30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https://www.claro.com.br/celular/planos-pre/prezao</t>
        </is>
      </c>
      <c r="V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5" t="inlineStr"/>
      <c r="L269" s="7" t="n">
        <v>4</v>
      </c>
      <c r="M269" s="5" t="inlineStr"/>
      <c r="N269" s="5" t="n">
        <v>12</v>
      </c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https://www.claro.com.br/celular/planos-pre/prezao</t>
        </is>
      </c>
      <c r="V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2" t="inlineStr"/>
      <c r="L270" s="4" t="n">
        <v>5</v>
      </c>
      <c r="M270" s="2" t="inlineStr"/>
      <c r="N270" s="2" t="n">
        <v>15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https://www.claro.com.br/celular/planos-pre/prezao</t>
        </is>
      </c>
      <c r="V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5" t="inlineStr"/>
      <c r="L271" s="7" t="n">
        <v>6</v>
      </c>
      <c r="M271" s="5" t="inlineStr"/>
      <c r="N271" s="5" t="n">
        <v>20</v>
      </c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https://www.claro.com.br/celular/planos-pre/prezao</t>
        </is>
      </c>
      <c r="V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2" t="inlineStr"/>
      <c r="L272" s="4" t="n">
        <v>8</v>
      </c>
      <c r="M272" s="2" t="inlineStr"/>
      <c r="N272" s="2" t="n">
        <v>20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https://www.claro.com.br/celular/planos-pre/prezao</t>
        </is>
      </c>
      <c r="V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5" t="inlineStr"/>
      <c r="L273" s="7" t="n">
        <v>9</v>
      </c>
      <c r="M273" s="5" t="inlineStr"/>
      <c r="N273" s="5" t="n">
        <v>25</v>
      </c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https://www.claro.com.br/celular/planos-pre/prezao</t>
        </is>
      </c>
      <c r="V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2" t="inlineStr"/>
      <c r="L274" s="4" t="n">
        <v>41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https://www.tim.com.br/sp/para-voce/planos/controle</t>
        </is>
      </c>
      <c r="V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5" t="inlineStr"/>
      <c r="L275" s="7" t="n">
        <v>31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https://www.tim.com.br/sp/para-voce/planos/controle</t>
        </is>
      </c>
      <c r="V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2" t="inlineStr"/>
      <c r="L276" s="4" t="n">
        <v>45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https://www.tim.com.br/sp/para-voce/planos/controle</t>
        </is>
      </c>
      <c r="V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5" t="inlineStr"/>
      <c r="L277" s="7" t="n">
        <v>53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https://www.tim.com.br/sp/para-voce/planos/controle</t>
        </is>
      </c>
      <c r="V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2" t="inlineStr"/>
      <c r="L278" s="4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https://www.tim.com.br/sp/para-voce/planos/controle</t>
        </is>
      </c>
      <c r="V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5" t="inlineStr"/>
      <c r="L279" s="7" t="n">
        <v>70</v>
      </c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https://www.tim.com.br/sp/para-voce/planos/pos-pago/tim-black</t>
        </is>
      </c>
      <c r="V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2" t="inlineStr"/>
      <c r="L280" s="4" t="n">
        <v>67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https://www.tim.com.br/sp/para-voce/planos/pos-pago/tim-black</t>
        </is>
      </c>
      <c r="V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5" t="inlineStr"/>
      <c r="L281" s="7" t="n">
        <v>82</v>
      </c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https://www.tim.com.br/sp/para-voce/planos/pos-pago/tim-black</t>
        </is>
      </c>
      <c r="V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2" t="inlineStr"/>
      <c r="L282" s="4" t="n">
        <v>107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https://www.tim.com.br/sp/para-voce/planos/pos-pago/tim-black</t>
        </is>
      </c>
      <c r="V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5" t="inlineStr"/>
      <c r="L283" s="7" t="n">
        <v>95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https://www.tim.com.br/sp/para-voce/planos/pos-pago/tim-black</t>
        </is>
      </c>
      <c r="V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2" t="inlineStr"/>
      <c r="L284" s="4" t="n">
        <v>80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https://www.tim.com.br/sp/para-voce/planos/pos-pago/tim-black</t>
        </is>
      </c>
      <c r="V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5" t="inlineStr"/>
      <c r="L285" s="7" t="n">
        <v>110</v>
      </c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https://www.tim.com.br/sp/para-voce/planos/pos-pago/tim-black</t>
        </is>
      </c>
      <c r="V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2" t="inlineStr"/>
      <c r="L286" s="4" t="n">
        <v>16</v>
      </c>
      <c r="M286" s="2" t="inlineStr"/>
      <c r="N286" s="2" t="n">
        <v>30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https://www.tim.com.br/sp/para-voce/planos/pre-pago</t>
        </is>
      </c>
      <c r="V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5" t="inlineStr"/>
      <c r="L287" s="7" t="n">
        <v>6</v>
      </c>
      <c r="M287" s="5" t="inlineStr"/>
      <c r="N287" s="5" t="n">
        <v>30</v>
      </c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https://www.tim.com.br/sp/para-voce/planos/pre-pago</t>
        </is>
      </c>
      <c r="V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2" t="inlineStr"/>
      <c r="L288" s="4" t="n">
        <v>8</v>
      </c>
      <c r="M288" s="2" t="inlineStr"/>
      <c r="N288" s="2" t="n">
        <v>30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https://www.tim.com.br/sp/para-voce/planos/pre-pago</t>
        </is>
      </c>
      <c r="V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5" t="inlineStr"/>
      <c r="L289" s="7" t="n">
        <v>46</v>
      </c>
      <c r="M289" s="5" t="inlineStr">
        <is>
          <t>15 GB de franquia 31 GB de bônus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>
        <is>
          <t>6 meses grátis de Gemini com AI Plus</t>
        </is>
      </c>
      <c r="U289" s="5" t="inlineStr">
        <is>
          <t>https://vivo.com.br/para-voce/produtos-e-servicos/para-o-celular/planos-controle</t>
        </is>
      </c>
      <c r="V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2" t="inlineStr"/>
      <c r="L290" s="4" t="n">
        <v>61</v>
      </c>
      <c r="M290" s="2" t="inlineStr">
        <is>
          <t>20 GB de franquia 31 GB de bônus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6 meses grátis de Gemini com AI Plus</t>
        </is>
      </c>
      <c r="U290" s="2" t="inlineStr">
        <is>
          <t>https://vivo.com.br/para-voce/produtos-e-servicos/para-o-celular/planos-controle</t>
        </is>
      </c>
      <c r="V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5" t="inlineStr"/>
      <c r="L291" s="7" t="n">
        <v>61</v>
      </c>
      <c r="M291" s="5" t="inlineStr">
        <is>
          <t>20 GB de franquia 31 GB de bônus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>
        <is>
          <t>Assinatura Vivae inclusa</t>
        </is>
      </c>
      <c r="U291" s="5" t="inlineStr">
        <is>
          <t>https://vivo.com.br/para-voce/produtos-e-servicos/para-o-celular/planos-controle</t>
        </is>
      </c>
      <c r="V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2" t="inlineStr"/>
      <c r="L292" s="4" t="n">
        <v>61</v>
      </c>
      <c r="M292" s="2" t="inlineStr">
        <is>
          <t>20 GB de franquia 31 GB de bônus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Assinatura Vivo TV Inicial inclusa</t>
        </is>
      </c>
      <c r="U292" s="2" t="inlineStr">
        <is>
          <t>https://vivo.com.br/para-voce/produtos-e-servicos/para-o-celular/planos-controle</t>
        </is>
      </c>
      <c r="V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5" t="inlineStr"/>
      <c r="L293" s="7" t="n">
        <v>61</v>
      </c>
      <c r="M293" s="5" t="inlineStr">
        <is>
          <t>20 GB de franquia 31 GB de bônus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>
        <is>
          <t>Apple Music Individual</t>
        </is>
      </c>
      <c r="U293" s="5" t="inlineStr">
        <is>
          <t>https://vivo.com.br/para-voce/produtos-e-servicos/para-o-celular/planos-controle</t>
        </is>
      </c>
      <c r="V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2" t="inlineStr"/>
      <c r="L294" s="4" t="n">
        <v>61</v>
      </c>
      <c r="M294" s="2" t="inlineStr">
        <is>
          <t>20 GB de franquia 31 GB de bônus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Assinatura Netflix Padrão com anúncios</t>
        </is>
      </c>
      <c r="U294" s="2" t="inlineStr">
        <is>
          <t>https://vivo.com.br/para-voce/produtos-e-servicos/para-o-celular/planos-controle</t>
        </is>
      </c>
      <c r="V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5" t="inlineStr"/>
      <c r="L295" s="7" t="n">
        <v>61</v>
      </c>
      <c r="M295" s="5" t="inlineStr">
        <is>
          <t>20 GB de franquia 31 GB de bônus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>
        <is>
          <t>Assinatura Vale Saúde Sempre inclusa</t>
        </is>
      </c>
      <c r="U295" s="5" t="inlineStr">
        <is>
          <t>https://vivo.com.br/para-voce/produtos-e-servicos/para-o-celular/planos-controle</t>
        </is>
      </c>
      <c r="V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2" t="inlineStr"/>
      <c r="L296" s="4" t="n">
        <v>30</v>
      </c>
      <c r="M296" s="2" t="inlineStr">
        <is>
          <t>30 GB de franquia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2 meses de YouTube sem consumo no plano</t>
        </is>
      </c>
      <c r="U296" s="2" t="inlineStr">
        <is>
          <t>https://vivo.com.br/para-voce/produtos-e-servicos/para-o-celular/easy-lite</t>
        </is>
      </c>
      <c r="V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5" t="inlineStr"/>
      <c r="L297" s="7" t="n">
        <v>40</v>
      </c>
      <c r="M297" s="5" t="inlineStr">
        <is>
          <t>40 GB de franquia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>
        <is>
          <t>2 meses de YouTube sem consumo no plano</t>
        </is>
      </c>
      <c r="U297" s="5" t="inlineStr">
        <is>
          <t>https://vivo.com.br/para-voce/produtos-e-servicos/para-o-celular/easy-lite</t>
        </is>
      </c>
      <c r="V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2" t="inlineStr"/>
      <c r="L298" s="4" t="n">
        <v>20</v>
      </c>
      <c r="M298" s="2" t="inlineStr">
        <is>
          <t>20 GB de franquia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2 meses de YouTube sem consumo no plano</t>
        </is>
      </c>
      <c r="U298" s="2" t="inlineStr">
        <is>
          <t>https://vivo.com.br/para-voce/produtos-e-servicos/para-o-celular/easy-lite</t>
        </is>
      </c>
      <c r="V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5" t="inlineStr"/>
      <c r="L299" s="7" t="n">
        <v>60</v>
      </c>
      <c r="M299" s="5" t="inlineStr">
        <is>
          <t>50 GB de franquia 10 GB de bônus</t>
        </is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inlineStr">
        <is>
          <t>Assinatura Amazon Prime inclusa</t>
        </is>
      </c>
      <c r="U299" s="5" t="inlineStr">
        <is>
          <t>https://vivo.com.br/para-voce/produtos-e-servicos/para-o-celular/planos-pos-pago</t>
        </is>
      </c>
      <c r="V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2" t="inlineStr"/>
      <c r="L300" s="4" t="n">
        <v>60</v>
      </c>
      <c r="M300" s="2" t="inlineStr">
        <is>
          <t>50 GB de franquia 10 GB de bônus</t>
        </is>
      </c>
      <c r="N300" s="2" t="inlineStr"/>
      <c r="O300" s="2" t="inlineStr"/>
      <c r="P300" s="2" t="inlineStr"/>
      <c r="Q300" s="2" t="inlineStr"/>
      <c r="R300" s="2" t="inlineStr">
        <is>
          <t>Disney+</t>
        </is>
      </c>
      <c r="S300" s="2" t="inlineStr"/>
      <c r="T300" s="2" t="inlineStr">
        <is>
          <t>Assinatura Disney+ Padrão inclusa</t>
        </is>
      </c>
      <c r="U300" s="2" t="inlineStr">
        <is>
          <t>https://vivo.com.br/para-voce/produtos-e-servicos/para-o-celular/planos-pos-pago</t>
        </is>
      </c>
      <c r="V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5" t="inlineStr"/>
      <c r="L301" s="7" t="n">
        <v>60</v>
      </c>
      <c r="M301" s="5" t="inlineStr">
        <is>
          <t>50 GB de franquia 10 GB de bônus</t>
        </is>
      </c>
      <c r="N301" s="5" t="inlineStr"/>
      <c r="O301" s="5" t="inlineStr"/>
      <c r="P301" s="5" t="inlineStr"/>
      <c r="Q301" s="5" t="inlineStr"/>
      <c r="R301" s="5" t="inlineStr">
        <is>
          <t>Globoplay</t>
        </is>
      </c>
      <c r="S301" s="5" t="inlineStr"/>
      <c r="T301" s="5" t="inlineStr">
        <is>
          <t>Assinatura Globoplay inclusa</t>
        </is>
      </c>
      <c r="U301" s="5" t="inlineStr">
        <is>
          <t>https://vivo.com.br/para-voce/produtos-e-servicos/para-o-celular/planos-pos-pago</t>
        </is>
      </c>
      <c r="V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2" t="inlineStr"/>
      <c r="L302" s="4" t="n">
        <v>60</v>
      </c>
      <c r="M302" s="2" t="inlineStr">
        <is>
          <t>50 GB de franquia 10 GB de bônus</t>
        </is>
      </c>
      <c r="N302" s="2" t="inlineStr"/>
      <c r="O302" s="2" t="inlineStr"/>
      <c r="P302" s="2" t="inlineStr"/>
      <c r="Q302" s="2" t="inlineStr"/>
      <c r="R302" s="2" t="inlineStr">
        <is>
          <t>Netflix</t>
        </is>
      </c>
      <c r="S302" s="2" t="inlineStr"/>
      <c r="T302" s="2" t="inlineStr">
        <is>
          <t>Assinatura Netflix Padrão inclusa</t>
        </is>
      </c>
      <c r="U302" s="2" t="inlineStr">
        <is>
          <t>https://vivo.com.br/para-voce/produtos-e-servicos/para-o-celular/planos-pos-pago</t>
        </is>
      </c>
      <c r="V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5" t="inlineStr"/>
      <c r="L303" s="7" t="n">
        <v>60</v>
      </c>
      <c r="M303" s="5" t="inlineStr">
        <is>
          <t>50 GB de franquia 10 GB de bônus</t>
        </is>
      </c>
      <c r="N303" s="5" t="inlineStr"/>
      <c r="O303" s="5" t="inlineStr"/>
      <c r="P303" s="5" t="inlineStr"/>
      <c r="Q303" s="5" t="inlineStr"/>
      <c r="R303" s="5" t="inlineStr">
        <is>
          <t>Premiere</t>
        </is>
      </c>
      <c r="S303" s="5" t="inlineStr"/>
      <c r="T303" s="5" t="inlineStr">
        <is>
          <t>Assinatura Premiere inclusa</t>
        </is>
      </c>
      <c r="U303" s="5" t="inlineStr">
        <is>
          <t>https://vivo.com.br/para-voce/produtos-e-servicos/para-o-celular/planos-pos-pago</t>
        </is>
      </c>
      <c r="V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2" t="inlineStr"/>
      <c r="L304" s="4" t="n">
        <v>60</v>
      </c>
      <c r="M304" s="2" t="inlineStr">
        <is>
          <t>50 GB de franquia 10 GB de bônus</t>
        </is>
      </c>
      <c r="N304" s="2" t="inlineStr"/>
      <c r="O304" s="2" t="inlineStr"/>
      <c r="P304" s="2" t="inlineStr"/>
      <c r="Q304" s="2" t="inlineStr"/>
      <c r="R304" s="2" t="inlineStr">
        <is>
          <t>Spotify</t>
        </is>
      </c>
      <c r="S304" s="2" t="inlineStr"/>
      <c r="T304" s="2" t="inlineStr">
        <is>
          <t>Assinatura Spotify Premium inclusa</t>
        </is>
      </c>
      <c r="U304" s="2" t="inlineStr">
        <is>
          <t>https://vivo.com.br/para-voce/produtos-e-servicos/para-o-celular/planos-pos-pago</t>
        </is>
      </c>
      <c r="V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5" t="inlineStr"/>
      <c r="L305" s="7" t="n">
        <v>70</v>
      </c>
      <c r="M305" s="5" t="inlineStr">
        <is>
          <t>60 GB de franquia 10 GB de bônus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>
        <is>
          <t>6 meses grátis de Gemini com AI Plus</t>
        </is>
      </c>
      <c r="U305" s="5" t="inlineStr">
        <is>
          <t>https://vivo.com.br/para-voce/produtos-e-servicos/para-o-celular/planos-pos-pago</t>
        </is>
      </c>
      <c r="V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2" t="inlineStr"/>
      <c r="L306" s="4" t="n">
        <v>25</v>
      </c>
      <c r="M306" s="2" t="inlineStr">
        <is>
          <t>15 GB para navegar como quiser 5 GB de bônus 5 GB para navegar no Youtube</t>
        </is>
      </c>
      <c r="N306" s="2" t="n">
        <v>30</v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https://vivo.com.br/para-voce/produtos-e-servicos/para-o-celular/pre-pago/vivo-pre</t>
        </is>
      </c>
      <c r="V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5" t="inlineStr"/>
      <c r="L307" s="7" t="n">
        <v>9</v>
      </c>
      <c r="M307" s="5" t="inlineStr">
        <is>
          <t>6 GB para navegar como quiser 3 GB para navegar no YouTube</t>
        </is>
      </c>
      <c r="N307" s="5" t="n">
        <v>22</v>
      </c>
      <c r="O307" s="5" t="inlineStr"/>
      <c r="P307" s="5" t="inlineStr"/>
      <c r="Q307" s="5" t="inlineStr"/>
      <c r="R307" s="5" t="inlineStr"/>
      <c r="S307" s="5" t="inlineStr"/>
      <c r="T307" s="5" t="inlineStr"/>
      <c r="U307" s="5" t="inlineStr">
        <is>
          <t>https://vivo.com.br/para-voce/produtos-e-servicos/para-o-celular/pre-pago/vivo-pre</t>
        </is>
      </c>
      <c r="V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2" t="inlineStr"/>
      <c r="L308" s="4" t="n">
        <v>5</v>
      </c>
      <c r="M308" s="2" t="inlineStr">
        <is>
          <t>5 GB para navegar como quiser</t>
        </is>
      </c>
      <c r="N308" s="2" t="n">
        <v>17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https://vivo.com.br/para-voce/produtos-e-servicos/para-o-celular/pre-pago/vivo-pre</t>
        </is>
      </c>
      <c r="V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5" t="inlineStr"/>
      <c r="L309" s="7" t="n">
        <v>4</v>
      </c>
      <c r="M309" s="5" t="inlineStr">
        <is>
          <t>4 GB para navegar como quiser</t>
        </is>
      </c>
      <c r="N309" s="5" t="n">
        <v>15</v>
      </c>
      <c r="O309" s="5" t="inlineStr"/>
      <c r="P309" s="5" t="inlineStr"/>
      <c r="Q309" s="5" t="inlineStr"/>
      <c r="R309" s="5" t="inlineStr"/>
      <c r="S309" s="5" t="inlineStr"/>
      <c r="T309" s="5" t="inlineStr"/>
      <c r="U309" s="5" t="inlineStr">
        <is>
          <t>https://vivo.com.br/para-voce/produtos-e-servicos/para-o-celular/pre-pago/vivo-pre</t>
        </is>
      </c>
      <c r="V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2" t="inlineStr"/>
      <c r="L310" s="4" t="n">
        <v>25</v>
      </c>
      <c r="M310" s="2" t="inlineStr"/>
      <c r="N310" s="2" t="inlineStr"/>
      <c r="O310" s="2" t="inlineStr">
        <is>
          <t>WhatsApp</t>
        </is>
      </c>
      <c r="P310" s="2" t="inlineStr"/>
      <c r="Q310" s="2" t="inlineStr"/>
      <c r="R310" s="2" t="inlineStr"/>
      <c r="S310" s="2" t="inlineStr"/>
      <c r="T310" s="2" t="inlineStr">
        <is>
          <t>Para uso livre; Para redes sociais e vídeos; Bônus exclusivo; Aproveite na sua franquia; WhatsApp e ligações ilimitadas</t>
        </is>
      </c>
      <c r="U310" s="2" t="inlineStr">
        <is>
          <t>https://www.claro.com.br/celular/controle</t>
        </is>
      </c>
      <c r="V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5" t="inlineStr"/>
      <c r="L311" s="7" t="n">
        <v>30</v>
      </c>
      <c r="M311" s="5" t="inlineStr"/>
      <c r="N311" s="5" t="inlineStr"/>
      <c r="O311" s="5" t="inlineStr">
        <is>
          <t>WhatsApp</t>
        </is>
      </c>
      <c r="P311" s="5" t="inlineStr"/>
      <c r="Q311" s="5" t="inlineStr"/>
      <c r="R311" s="5" t="inlineStr"/>
      <c r="S311" s="5" t="inlineStr"/>
      <c r="T311" s="5" t="inlineStr">
        <is>
          <t>Para uso livre; Bônus do Hexa para uso livre; Bônus para redes sociais e apps; Redes sociais e apps; WhatsApp ilimitado</t>
        </is>
      </c>
      <c r="U311" s="5" t="inlineStr">
        <is>
          <t>https://www.claro.com.br/celular/controle</t>
        </is>
      </c>
      <c r="V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2" t="inlineStr"/>
      <c r="L312" s="4" t="n">
        <v>30</v>
      </c>
      <c r="M312" s="2" t="inlineStr"/>
      <c r="N312" s="2" t="inlineStr"/>
      <c r="O312" s="2" t="inlineStr">
        <is>
          <t>WhatsApp</t>
        </is>
      </c>
      <c r="P312" s="2" t="inlineStr"/>
      <c r="Q312" s="2" t="inlineStr"/>
      <c r="R312" s="2" t="inlineStr"/>
      <c r="S312" s="2" t="inlineStr"/>
      <c r="T312" s="2" t="inlineStr">
        <is>
          <t>Para uso livre; Bônus para redes sociais e apps; Bônus uso livre; Redes sociais e apps; WhatsApp ilimitado</t>
        </is>
      </c>
      <c r="U312" s="2" t="inlineStr">
        <is>
          <t>https://www.claro.com.br/celular/controle</t>
        </is>
      </c>
      <c r="V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5" t="inlineStr"/>
      <c r="L313" s="7" t="n">
        <v>15</v>
      </c>
      <c r="M313" s="5" t="inlineStr"/>
      <c r="N313" s="5" t="inlineStr"/>
      <c r="O313" s="5" t="inlineStr">
        <is>
          <t>WhatsApp</t>
        </is>
      </c>
      <c r="P313" s="5" t="inlineStr"/>
      <c r="Q313" s="5" t="inlineStr"/>
      <c r="R313" s="5" t="inlineStr"/>
      <c r="S313" s="5" t="inlineStr"/>
      <c r="T313" s="5" t="inlineStr">
        <is>
          <t>Para uso livre; Bônus do Hexa para uso livre; Para redes sociais e apps; Bônus extra nos apps; WhatsApp ilimitado</t>
        </is>
      </c>
      <c r="U313" s="5" t="inlineStr">
        <is>
          <t>https://www.claro.com.br/celular/flex</t>
        </is>
      </c>
      <c r="V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2" t="inlineStr"/>
      <c r="L314" s="4" t="n">
        <v>20</v>
      </c>
      <c r="M314" s="2" t="inlineStr"/>
      <c r="N314" s="2" t="inlineStr"/>
      <c r="O314" s="2" t="inlineStr">
        <is>
          <t>WhatsApp</t>
        </is>
      </c>
      <c r="P314" s="2" t="inlineStr"/>
      <c r="Q314" s="2" t="inlineStr"/>
      <c r="R314" s="2" t="inlineStr"/>
      <c r="S314" s="2" t="inlineStr"/>
      <c r="T314" s="2" t="inlineStr">
        <is>
          <t>Para uso livre; Bônus do Hexa para uso livre; Para redes sociais e apps; Bônus extra nos apps; WhatsApp ilimitado</t>
        </is>
      </c>
      <c r="U314" s="2" t="inlineStr">
        <is>
          <t>https://www.claro.com.br/celular/flex</t>
        </is>
      </c>
      <c r="V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5" t="inlineStr"/>
      <c r="L315" s="7" t="n">
        <v>30</v>
      </c>
      <c r="M315" s="5" t="inlineStr"/>
      <c r="N315" s="5" t="inlineStr"/>
      <c r="O315" s="5" t="inlineStr">
        <is>
          <t>WhatsApp</t>
        </is>
      </c>
      <c r="P315" s="5" t="inlineStr"/>
      <c r="Q315" s="5" t="inlineStr"/>
      <c r="R315" s="5" t="inlineStr"/>
      <c r="S315" s="5" t="inlineStr"/>
      <c r="T315" s="5" t="inlineStr">
        <is>
          <t>Para uso livre; Bônus do Hexa para uso livre; Para redes sociais e apps; Bônus extra nos apps; WhatsApp ilimitado; Assinatura Claro musica inclusa</t>
        </is>
      </c>
      <c r="U315" s="5" t="inlineStr">
        <is>
          <t>https://www.claro.com.br/celular/flex</t>
        </is>
      </c>
      <c r="V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2" t="inlineStr"/>
      <c r="L316" s="4" t="n">
        <v>40</v>
      </c>
      <c r="M316" s="2" t="inlineStr"/>
      <c r="N316" s="2" t="inlineStr"/>
      <c r="O316" s="2" t="inlineStr">
        <is>
          <t>WhatsApp</t>
        </is>
      </c>
      <c r="P316" s="2" t="inlineStr"/>
      <c r="Q316" s="2" t="inlineStr"/>
      <c r="R316" s="2" t="inlineStr"/>
      <c r="S316" s="2" t="inlineStr"/>
      <c r="T316" s="2" t="inlineStr">
        <is>
          <t>Para uso livre; Para redes sociais e apps; Bônus uso livre; Bônus extra nos apps; WhatsApp ilimitado; Assinatura Claro musica inclusa</t>
        </is>
      </c>
      <c r="U316" s="2" t="inlineStr">
        <is>
          <t>https://www.claro.com.br/celular/flex</t>
        </is>
      </c>
      <c r="V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5" t="inlineStr"/>
      <c r="L317" s="7" t="n">
        <v>100</v>
      </c>
      <c r="M317" s="5" t="inlineStr"/>
      <c r="N317" s="5" t="inlineStr"/>
      <c r="O317" s="5" t="inlineStr">
        <is>
          <t>WhatsApp</t>
        </is>
      </c>
      <c r="P317" s="5" t="inlineStr"/>
      <c r="Q317" s="5" t="inlineStr"/>
      <c r="R317" s="5" t="inlineStr"/>
      <c r="S317" s="5" t="inlineStr"/>
      <c r="T317" s="5" t="inlineStr">
        <is>
          <t>Armazenamento na nuvem:; Google One ou iCloud+; WhatsApp ilimitado; Roaming: Passaporte Américas; Claro Sync: Smartwatch conectado</t>
        </is>
      </c>
      <c r="U317" s="5" t="inlineStr">
        <is>
          <t>https://www.claro.com.br/celular/pos</t>
        </is>
      </c>
      <c r="V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2" t="inlineStr"/>
      <c r="L318" s="4" t="n">
        <v>150</v>
      </c>
      <c r="M318" s="2" t="inlineStr"/>
      <c r="N318" s="2" t="inlineStr"/>
      <c r="O318" s="2" t="inlineStr">
        <is>
          <t>WhatsApp</t>
        </is>
      </c>
      <c r="P318" s="2" t="inlineStr"/>
      <c r="Q318" s="2" t="inlineStr"/>
      <c r="R318" s="2" t="inlineStr"/>
      <c r="S318" s="2" t="inlineStr"/>
      <c r="T318" s="2" t="inlineStr">
        <is>
          <t>Armazenamento na nuvem:; Google One ou iCloud+; WhatsApp ilimitado; Roaming: Passaporte Américas e Europa; Claro Sync: Smartwatch conectado</t>
        </is>
      </c>
      <c r="U318" s="2" t="inlineStr">
        <is>
          <t>https://www.claro.com.br/celular/pos</t>
        </is>
      </c>
      <c r="V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5" t="inlineStr"/>
      <c r="L319" s="7" t="n">
        <v>200</v>
      </c>
      <c r="M319" s="5" t="inlineStr"/>
      <c r="N319" s="5" t="inlineStr"/>
      <c r="O319" s="5" t="inlineStr">
        <is>
          <t>WhatsApp</t>
        </is>
      </c>
      <c r="P319" s="5" t="inlineStr"/>
      <c r="Q319" s="5" t="inlineStr"/>
      <c r="R319" s="5" t="inlineStr"/>
      <c r="S319" s="5" t="inlineStr"/>
      <c r="T319" s="5" t="inlineStr">
        <is>
          <t>Armazenamento na nuvem:; Google One ou iCloud+; WhatsApp ilimitado; Roaming: Passaporte Mundo; Claro Sync: Smartwatch conectado</t>
        </is>
      </c>
      <c r="U319" s="5" t="inlineStr">
        <is>
          <t>https://www.claro.com.br/celular/pos</t>
        </is>
      </c>
      <c r="V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2" t="inlineStr"/>
      <c r="L320" s="4" t="n">
        <v>50</v>
      </c>
      <c r="M320" s="2" t="inlineStr"/>
      <c r="N320" s="2" t="inlineStr"/>
      <c r="O320" s="2" t="inlineStr">
        <is>
          <t>WhatsApp</t>
        </is>
      </c>
      <c r="P320" s="2" t="inlineStr"/>
      <c r="Q320" s="2" t="inlineStr"/>
      <c r="R320" s="2" t="inlineStr"/>
      <c r="S320" s="2" t="inlineStr"/>
      <c r="T320" s="2" t="inlineStr">
        <is>
          <t>Armazenamento na nuvem:; Google One ou iCloud+; WhatsApp ilimitado; Roaming: Passaporte Américas; Claro Sync: Smartwatch conectado; Inclusa assinatura GeForce NOW</t>
        </is>
      </c>
      <c r="U320" s="2" t="inlineStr">
        <is>
          <t>https://www.claro.com.br/celular/pos</t>
        </is>
      </c>
      <c r="V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5" t="inlineStr"/>
      <c r="L321" s="7" t="n">
        <v>60</v>
      </c>
      <c r="M321" s="5" t="inlineStr"/>
      <c r="N321" s="5" t="inlineStr"/>
      <c r="O321" s="5" t="inlineStr">
        <is>
          <t>WhatsApp</t>
        </is>
      </c>
      <c r="P321" s="5" t="inlineStr"/>
      <c r="Q321" s="5" t="inlineStr"/>
      <c r="R321" s="5" t="inlineStr"/>
      <c r="S321" s="5" t="inlineStr"/>
      <c r="T321" s="5" t="inlineStr">
        <is>
          <t>Armazenamento na nuvem:; Google One ou iCloud+; WhatsApp ilimitado; Roaming: Passaporte Américas; Claro Sync: Smartwatch conectado</t>
        </is>
      </c>
      <c r="U321" s="5" t="inlineStr">
        <is>
          <t>https://www.claro.com.br/celular/pos</t>
        </is>
      </c>
      <c r="V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2" t="inlineStr"/>
      <c r="L322" s="4" t="n">
        <v>10</v>
      </c>
      <c r="M322" s="2" t="inlineStr"/>
      <c r="N322" s="2" t="n">
        <v>25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https://www.claro.com.br/celular/planos-pre/prezao</t>
        </is>
      </c>
      <c r="V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5" t="inlineStr"/>
      <c r="L323" s="7" t="n">
        <v>12</v>
      </c>
      <c r="M323" s="5" t="inlineStr"/>
      <c r="N323" s="5" t="n">
        <v>30</v>
      </c>
      <c r="O323" s="5" t="inlineStr"/>
      <c r="P323" s="5" t="inlineStr"/>
      <c r="Q323" s="5" t="inlineStr"/>
      <c r="R323" s="5" t="inlineStr"/>
      <c r="S323" s="5" t="inlineStr"/>
      <c r="T323" s="5" t="inlineStr"/>
      <c r="U323" s="5" t="inlineStr">
        <is>
          <t>https://www.claro.com.br/celular/planos-pre/prezao</t>
        </is>
      </c>
      <c r="V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2" t="inlineStr"/>
      <c r="L324" s="4" t="n">
        <v>4</v>
      </c>
      <c r="M324" s="2" t="inlineStr"/>
      <c r="N324" s="2" t="n">
        <v>12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https://www.claro.com.br/celular/planos-pre/prezao</t>
        </is>
      </c>
      <c r="V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5" t="inlineStr"/>
      <c r="L325" s="7" t="n">
        <v>5</v>
      </c>
      <c r="M325" s="5" t="inlineStr"/>
      <c r="N325" s="5" t="n">
        <v>15</v>
      </c>
      <c r="O325" s="5" t="inlineStr"/>
      <c r="P325" s="5" t="inlineStr"/>
      <c r="Q325" s="5" t="inlineStr"/>
      <c r="R325" s="5" t="inlineStr"/>
      <c r="S325" s="5" t="inlineStr"/>
      <c r="T325" s="5" t="inlineStr"/>
      <c r="U325" s="5" t="inlineStr">
        <is>
          <t>https://www.claro.com.br/celular/planos-pre/prezao</t>
        </is>
      </c>
      <c r="V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2" t="inlineStr"/>
      <c r="L326" s="4" t="n">
        <v>6</v>
      </c>
      <c r="M326" s="2" t="inlineStr"/>
      <c r="N326" s="2" t="n">
        <v>20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https://www.claro.com.br/celular/planos-pre/prezao</t>
        </is>
      </c>
      <c r="V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5" t="inlineStr"/>
      <c r="L327" s="7" t="n">
        <v>8</v>
      </c>
      <c r="M327" s="5" t="inlineStr"/>
      <c r="N327" s="5" t="n">
        <v>20</v>
      </c>
      <c r="O327" s="5" t="inlineStr"/>
      <c r="P327" s="5" t="inlineStr"/>
      <c r="Q327" s="5" t="inlineStr"/>
      <c r="R327" s="5" t="inlineStr"/>
      <c r="S327" s="5" t="inlineStr"/>
      <c r="T327" s="5" t="inlineStr"/>
      <c r="U327" s="5" t="inlineStr">
        <is>
          <t>https://www.claro.com.br/celular/planos-pre/prezao</t>
        </is>
      </c>
      <c r="V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2" t="inlineStr"/>
      <c r="L328" s="4" t="n">
        <v>9</v>
      </c>
      <c r="M328" s="2" t="inlineStr"/>
      <c r="N328" s="2" t="n">
        <v>25</v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https://www.claro.com.br/celular/planos-pre/prezao</t>
        </is>
      </c>
      <c r="V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5" t="inlineStr"/>
      <c r="L329" s="7" t="n">
        <v>41</v>
      </c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>
        <is>
          <t>https://www.tim.com.br/sp/para-voce/planos/controle</t>
        </is>
      </c>
      <c r="V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2" t="inlineStr"/>
      <c r="L330" s="4" t="n">
        <v>31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https://www.tim.com.br/sp/para-voce/planos/controle</t>
        </is>
      </c>
      <c r="V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5" t="inlineStr"/>
      <c r="L331" s="7" t="n">
        <v>45</v>
      </c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>
        <is>
          <t>https://www.tim.com.br/sp/para-voce/planos/controle</t>
        </is>
      </c>
      <c r="V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2" t="inlineStr"/>
      <c r="L332" s="4" t="n">
        <v>53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https://www.tim.com.br/sp/para-voce/planos/controle</t>
        </is>
      </c>
      <c r="V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5" t="inlineStr"/>
      <c r="L333" s="7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>
        <is>
          <t>https://www.tim.com.br/sp/para-voce/planos/controle</t>
        </is>
      </c>
      <c r="V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2" t="inlineStr"/>
      <c r="L334" s="4" t="n">
        <v>70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https://www.tim.com.br/sp/para-voce/planos/pos-pago/tim-black</t>
        </is>
      </c>
      <c r="V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5" t="inlineStr"/>
      <c r="L335" s="7" t="n">
        <v>67</v>
      </c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>
        <is>
          <t>https://www.tim.com.br/sp/para-voce/planos/pos-pago/tim-black</t>
        </is>
      </c>
      <c r="V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2" t="inlineStr"/>
      <c r="L336" s="4" t="n">
        <v>82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https://www.tim.com.br/sp/para-voce/planos/pos-pago/tim-black</t>
        </is>
      </c>
      <c r="V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5" t="inlineStr"/>
      <c r="L337" s="7" t="n">
        <v>107</v>
      </c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>
        <is>
          <t>https://www.tim.com.br/sp/para-voce/planos/pos-pago/tim-black</t>
        </is>
      </c>
      <c r="V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2" t="inlineStr"/>
      <c r="L338" s="4" t="n">
        <v>95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https://www.tim.com.br/sp/para-voce/planos/pos-pago/tim-black</t>
        </is>
      </c>
      <c r="V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5" t="inlineStr"/>
      <c r="L339" s="7" t="n">
        <v>80</v>
      </c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>
        <is>
          <t>https://www.tim.com.br/sp/para-voce/planos/pos-pago/tim-black</t>
        </is>
      </c>
      <c r="V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2" t="inlineStr"/>
      <c r="L340" s="4" t="n">
        <v>110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https://www.tim.com.br/sp/para-voce/planos/pos-pago/tim-black</t>
        </is>
      </c>
      <c r="V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5" t="inlineStr"/>
      <c r="L341" s="7" t="n">
        <v>16</v>
      </c>
      <c r="M341" s="5" t="inlineStr"/>
      <c r="N341" s="5" t="n">
        <v>30</v>
      </c>
      <c r="O341" s="5" t="inlineStr"/>
      <c r="P341" s="5" t="inlineStr"/>
      <c r="Q341" s="5" t="inlineStr"/>
      <c r="R341" s="5" t="inlineStr"/>
      <c r="S341" s="5" t="inlineStr"/>
      <c r="T341" s="5" t="inlineStr"/>
      <c r="U341" s="5" t="inlineStr">
        <is>
          <t>https://www.tim.com.br/sp/para-voce/planos/pre-pago</t>
        </is>
      </c>
      <c r="V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2" t="inlineStr"/>
      <c r="L342" s="4" t="n">
        <v>6</v>
      </c>
      <c r="M342" s="2" t="inlineStr"/>
      <c r="N342" s="2" t="n">
        <v>30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https://www.tim.com.br/sp/para-voce/planos/pre-pago</t>
        </is>
      </c>
      <c r="V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5" t="inlineStr"/>
      <c r="L343" s="7" t="n">
        <v>8</v>
      </c>
      <c r="M343" s="5" t="inlineStr"/>
      <c r="N343" s="5" t="n">
        <v>30</v>
      </c>
      <c r="O343" s="5" t="inlineStr"/>
      <c r="P343" s="5" t="inlineStr"/>
      <c r="Q343" s="5" t="inlineStr"/>
      <c r="R343" s="5" t="inlineStr"/>
      <c r="S343" s="5" t="inlineStr"/>
      <c r="T343" s="5" t="inlineStr"/>
      <c r="U343" s="5" t="inlineStr">
        <is>
          <t>https://www.tim.com.br/sp/para-voce/planos/pre-pago</t>
        </is>
      </c>
      <c r="V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2" t="inlineStr"/>
      <c r="L344" s="4" t="n">
        <v>46</v>
      </c>
      <c r="M344" s="2" t="inlineStr">
        <is>
          <t>15 GB de franquia 31 GB de bônus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6 meses grátis de Gemini com AI Plus</t>
        </is>
      </c>
      <c r="U344" s="2" t="inlineStr">
        <is>
          <t>https://vivo.com.br/para-voce/produtos-e-servicos/para-o-celular/planos-controle</t>
        </is>
      </c>
      <c r="V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5" t="inlineStr"/>
      <c r="L345" s="7" t="n">
        <v>61</v>
      </c>
      <c r="M345" s="5" t="inlineStr">
        <is>
          <t>20 GB de franquia 31 GB de bônus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>
        <is>
          <t>6 meses grátis de Gemini com AI Plus</t>
        </is>
      </c>
      <c r="U345" s="5" t="inlineStr">
        <is>
          <t>https://vivo.com.br/para-voce/produtos-e-servicos/para-o-celular/planos-controle</t>
        </is>
      </c>
      <c r="V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2" t="inlineStr"/>
      <c r="L346" s="4" t="n">
        <v>61</v>
      </c>
      <c r="M346" s="2" t="inlineStr">
        <is>
          <t>20 GB de franquia 31 GB de bônus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Assinatura Vivae inclusa</t>
        </is>
      </c>
      <c r="U346" s="2" t="inlineStr">
        <is>
          <t>https://vivo.com.br/para-voce/produtos-e-servicos/para-o-celular/planos-controle</t>
        </is>
      </c>
      <c r="V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5" t="inlineStr"/>
      <c r="L347" s="7" t="n">
        <v>61</v>
      </c>
      <c r="M347" s="5" t="inlineStr">
        <is>
          <t>20 GB de franquia 31 GB de bônus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>
        <is>
          <t>Assinatura Vivo TV Inicial inclusa</t>
        </is>
      </c>
      <c r="U347" s="5" t="inlineStr">
        <is>
          <t>https://vivo.com.br/para-voce/produtos-e-servicos/para-o-celular/planos-controle</t>
        </is>
      </c>
      <c r="V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2" t="inlineStr"/>
      <c r="L348" s="4" t="n">
        <v>61</v>
      </c>
      <c r="M348" s="2" t="inlineStr">
        <is>
          <t>20 GB de franquia 31 GB de bônus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Apple Music Individual</t>
        </is>
      </c>
      <c r="U348" s="2" t="inlineStr">
        <is>
          <t>https://vivo.com.br/para-voce/produtos-e-servicos/para-o-celular/planos-controle</t>
        </is>
      </c>
      <c r="V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5" t="inlineStr"/>
      <c r="L349" s="7" t="n">
        <v>61</v>
      </c>
      <c r="M349" s="5" t="inlineStr">
        <is>
          <t>20 GB de franquia 31 GB de bônus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>
        <is>
          <t>Assinatura Netflix Padrão com anúncios</t>
        </is>
      </c>
      <c r="U349" s="5" t="inlineStr">
        <is>
          <t>https://vivo.com.br/para-voce/produtos-e-servicos/para-o-celular/planos-controle</t>
        </is>
      </c>
      <c r="V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2" t="inlineStr"/>
      <c r="L350" s="4" t="n">
        <v>61</v>
      </c>
      <c r="M350" s="2" t="inlineStr">
        <is>
          <t>20 GB de franquia 31 GB de bônus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Assinatura Vale Saúde Sempre inclusa</t>
        </is>
      </c>
      <c r="U350" s="2" t="inlineStr">
        <is>
          <t>https://vivo.com.br/para-voce/produtos-e-servicos/para-o-celular/planos-controle</t>
        </is>
      </c>
      <c r="V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5" t="inlineStr"/>
      <c r="L351" s="7" t="n">
        <v>30</v>
      </c>
      <c r="M351" s="5" t="inlineStr">
        <is>
          <t>30 GB de franquia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>
        <is>
          <t>2 meses de YouTube sem consumo no plano</t>
        </is>
      </c>
      <c r="U351" s="5" t="inlineStr">
        <is>
          <t>https://vivo.com.br/para-voce/produtos-e-servicos/para-o-celular/easy-lite</t>
        </is>
      </c>
      <c r="V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2" t="inlineStr"/>
      <c r="L352" s="4" t="n">
        <v>40</v>
      </c>
      <c r="M352" s="2" t="inlineStr">
        <is>
          <t>40 GB de franquia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2 meses de YouTube sem consumo no plano</t>
        </is>
      </c>
      <c r="U352" s="2" t="inlineStr">
        <is>
          <t>https://vivo.com.br/para-voce/produtos-e-servicos/para-o-celular/easy-lite</t>
        </is>
      </c>
      <c r="V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5" t="inlineStr"/>
      <c r="L353" s="7" t="n">
        <v>20</v>
      </c>
      <c r="M353" s="5" t="inlineStr">
        <is>
          <t>20 GB de franquia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>
        <is>
          <t>2 meses de YouTube sem consumo no plano</t>
        </is>
      </c>
      <c r="U353" s="5" t="inlineStr">
        <is>
          <t>https://vivo.com.br/para-voce/produtos-e-servicos/para-o-celular/easy-lite</t>
        </is>
      </c>
      <c r="V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2" t="inlineStr"/>
      <c r="L354" s="4" t="n">
        <v>60</v>
      </c>
      <c r="M354" s="2" t="inlineStr">
        <is>
          <t>50 GB de franquia 10 GB de bônus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Assinatura Amazon Prime inclusa</t>
        </is>
      </c>
      <c r="U354" s="2" t="inlineStr">
        <is>
          <t>https://vivo.com.br/para-voce/produtos-e-servicos/para-o-celular/planos-pos-pago</t>
        </is>
      </c>
      <c r="V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5" t="inlineStr"/>
      <c r="L355" s="7" t="n">
        <v>60</v>
      </c>
      <c r="M355" s="5" t="inlineStr">
        <is>
          <t>50 GB de franquia 10 GB de bônus</t>
        </is>
      </c>
      <c r="N355" s="5" t="inlineStr"/>
      <c r="O355" s="5" t="inlineStr"/>
      <c r="P355" s="5" t="inlineStr"/>
      <c r="Q355" s="5" t="inlineStr"/>
      <c r="R355" s="5" t="inlineStr">
        <is>
          <t>Disney+</t>
        </is>
      </c>
      <c r="S355" s="5" t="inlineStr"/>
      <c r="T355" s="5" t="inlineStr">
        <is>
          <t>Assinatura Disney+ Padrão inclusa</t>
        </is>
      </c>
      <c r="U355" s="5" t="inlineStr">
        <is>
          <t>https://vivo.com.br/para-voce/produtos-e-servicos/para-o-celular/planos-pos-pago</t>
        </is>
      </c>
      <c r="V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2" t="inlineStr"/>
      <c r="L356" s="4" t="n">
        <v>60</v>
      </c>
      <c r="M356" s="2" t="inlineStr">
        <is>
          <t>50 GB de franquia 10 GB de bônus</t>
        </is>
      </c>
      <c r="N356" s="2" t="inlineStr"/>
      <c r="O356" s="2" t="inlineStr"/>
      <c r="P356" s="2" t="inlineStr"/>
      <c r="Q356" s="2" t="inlineStr"/>
      <c r="R356" s="2" t="inlineStr">
        <is>
          <t>Globoplay</t>
        </is>
      </c>
      <c r="S356" s="2" t="inlineStr"/>
      <c r="T356" s="2" t="inlineStr">
        <is>
          <t>Assinatura Globoplay inclusa</t>
        </is>
      </c>
      <c r="U356" s="2" t="inlineStr">
        <is>
          <t>https://vivo.com.br/para-voce/produtos-e-servicos/para-o-celular/planos-pos-pago</t>
        </is>
      </c>
      <c r="V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5" t="inlineStr"/>
      <c r="L357" s="7" t="n">
        <v>60</v>
      </c>
      <c r="M357" s="5" t="inlineStr">
        <is>
          <t>50 GB de franquia 10 GB de bônus</t>
        </is>
      </c>
      <c r="N357" s="5" t="inlineStr"/>
      <c r="O357" s="5" t="inlineStr"/>
      <c r="P357" s="5" t="inlineStr"/>
      <c r="Q357" s="5" t="inlineStr"/>
      <c r="R357" s="5" t="inlineStr">
        <is>
          <t>Netflix</t>
        </is>
      </c>
      <c r="S357" s="5" t="inlineStr"/>
      <c r="T357" s="5" t="inlineStr">
        <is>
          <t>Assinatura Netflix Padrão inclusa</t>
        </is>
      </c>
      <c r="U357" s="5" t="inlineStr">
        <is>
          <t>https://vivo.com.br/para-voce/produtos-e-servicos/para-o-celular/planos-pos-pago</t>
        </is>
      </c>
      <c r="V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2" t="inlineStr"/>
      <c r="L358" s="4" t="n">
        <v>60</v>
      </c>
      <c r="M358" s="2" t="inlineStr">
        <is>
          <t>50 GB de franquia 10 GB de bônus</t>
        </is>
      </c>
      <c r="N358" s="2" t="inlineStr"/>
      <c r="O358" s="2" t="inlineStr"/>
      <c r="P358" s="2" t="inlineStr"/>
      <c r="Q358" s="2" t="inlineStr"/>
      <c r="R358" s="2" t="inlineStr">
        <is>
          <t>Premiere</t>
        </is>
      </c>
      <c r="S358" s="2" t="inlineStr"/>
      <c r="T358" s="2" t="inlineStr">
        <is>
          <t>Assinatura Premiere inclusa</t>
        </is>
      </c>
      <c r="U358" s="2" t="inlineStr">
        <is>
          <t>https://vivo.com.br/para-voce/produtos-e-servicos/para-o-celular/planos-pos-pago</t>
        </is>
      </c>
      <c r="V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5" t="inlineStr"/>
      <c r="L359" s="7" t="n">
        <v>60</v>
      </c>
      <c r="M359" s="5" t="inlineStr">
        <is>
          <t>50 GB de franquia 10 GB de bônus</t>
        </is>
      </c>
      <c r="N359" s="5" t="inlineStr"/>
      <c r="O359" s="5" t="inlineStr"/>
      <c r="P359" s="5" t="inlineStr"/>
      <c r="Q359" s="5" t="inlineStr"/>
      <c r="R359" s="5" t="inlineStr">
        <is>
          <t>Spotify</t>
        </is>
      </c>
      <c r="S359" s="5" t="inlineStr"/>
      <c r="T359" s="5" t="inlineStr">
        <is>
          <t>Assinatura Spotify Premium inclusa</t>
        </is>
      </c>
      <c r="U359" s="5" t="inlineStr">
        <is>
          <t>https://vivo.com.br/para-voce/produtos-e-servicos/para-o-celular/planos-pos-pago</t>
        </is>
      </c>
      <c r="V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2" t="inlineStr"/>
      <c r="L360" s="4" t="n">
        <v>70</v>
      </c>
      <c r="M360" s="2" t="inlineStr">
        <is>
          <t>60 GB de franquia 10 GB de bônus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 meses grátis de Gemini com AI Plus</t>
        </is>
      </c>
      <c r="U360" s="2" t="inlineStr">
        <is>
          <t>https://vivo.com.br/para-voce/produtos-e-servicos/para-o-celular/planos-pos-pago</t>
        </is>
      </c>
      <c r="V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5" t="inlineStr"/>
      <c r="L361" s="7" t="n">
        <v>25</v>
      </c>
      <c r="M361" s="5" t="inlineStr">
        <is>
          <t>15 GB para navegar como quiser 5 GB de bônus 5 GB para navegar no Youtube</t>
        </is>
      </c>
      <c r="N361" s="5" t="n">
        <v>30</v>
      </c>
      <c r="O361" s="5" t="inlineStr"/>
      <c r="P361" s="5" t="inlineStr"/>
      <c r="Q361" s="5" t="inlineStr"/>
      <c r="R361" s="5" t="inlineStr"/>
      <c r="S361" s="5" t="inlineStr"/>
      <c r="T361" s="5" t="inlineStr"/>
      <c r="U361" s="5" t="inlineStr">
        <is>
          <t>https://vivo.com.br/para-voce/produtos-e-servicos/para-o-celular/pre-pago/vivo-pre</t>
        </is>
      </c>
      <c r="V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2" t="inlineStr"/>
      <c r="L362" s="4" t="n">
        <v>9</v>
      </c>
      <c r="M362" s="2" t="inlineStr">
        <is>
          <t>6 GB para navegar como quiser 3 GB para navegar no YouTube</t>
        </is>
      </c>
      <c r="N362" s="2" t="n">
        <v>22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https://vivo.com.br/para-voce/produtos-e-servicos/para-o-celular/pre-pago/vivo-pre</t>
        </is>
      </c>
      <c r="V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5" t="inlineStr"/>
      <c r="L363" s="7" t="n">
        <v>5</v>
      </c>
      <c r="M363" s="5" t="inlineStr">
        <is>
          <t>5 GB para navegar como quiser</t>
        </is>
      </c>
      <c r="N363" s="5" t="n">
        <v>17</v>
      </c>
      <c r="O363" s="5" t="inlineStr"/>
      <c r="P363" s="5" t="inlineStr"/>
      <c r="Q363" s="5" t="inlineStr"/>
      <c r="R363" s="5" t="inlineStr"/>
      <c r="S363" s="5" t="inlineStr"/>
      <c r="T363" s="5" t="inlineStr"/>
      <c r="U363" s="5" t="inlineStr">
        <is>
          <t>https://vivo.com.br/para-voce/produtos-e-servicos/para-o-celular/pre-pago/vivo-pre</t>
        </is>
      </c>
      <c r="V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2" t="inlineStr"/>
      <c r="L364" s="4" t="n">
        <v>4</v>
      </c>
      <c r="M364" s="2" t="inlineStr">
        <is>
          <t>4 GB para navegar como quiser</t>
        </is>
      </c>
      <c r="N364" s="2" t="n">
        <v>15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https://vivo.com.br/para-voce/produtos-e-servicos/para-o-celular/pre-pago/vivo-pre</t>
        </is>
      </c>
      <c r="V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5" t="inlineStr"/>
      <c r="L365" s="7" t="n">
        <v>25</v>
      </c>
      <c r="M365" s="5" t="inlineStr"/>
      <c r="N365" s="5" t="inlineStr"/>
      <c r="O365" s="5" t="inlineStr">
        <is>
          <t>WhatsApp</t>
        </is>
      </c>
      <c r="P365" s="5" t="inlineStr"/>
      <c r="Q365" s="5" t="inlineStr"/>
      <c r="R365" s="5" t="inlineStr"/>
      <c r="S365" s="5" t="inlineStr"/>
      <c r="T365" s="5" t="inlineStr">
        <is>
          <t>Para uso livre; Para redes sociais e vídeos; Bônus exclusivo; Aproveite na sua franquia; WhatsApp e ligações ilimitadas</t>
        </is>
      </c>
      <c r="U365" s="5" t="inlineStr">
        <is>
          <t>https://www.claro.com.br/celular/controle</t>
        </is>
      </c>
      <c r="V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2" t="inlineStr"/>
      <c r="L366" s="4" t="n">
        <v>30</v>
      </c>
      <c r="M366" s="2" t="inlineStr"/>
      <c r="N366" s="2" t="inlineStr"/>
      <c r="O366" s="2" t="inlineStr">
        <is>
          <t>WhatsApp</t>
        </is>
      </c>
      <c r="P366" s="2" t="inlineStr"/>
      <c r="Q366" s="2" t="inlineStr"/>
      <c r="R366" s="2" t="inlineStr"/>
      <c r="S366" s="2" t="inlineStr"/>
      <c r="T366" s="2" t="inlineStr">
        <is>
          <t>Para uso livre; Bônus do Hexa para uso livre; Bônus para redes sociais e apps; Redes sociais e apps; WhatsApp ilimitado</t>
        </is>
      </c>
      <c r="U366" s="2" t="inlineStr">
        <is>
          <t>https://www.claro.com.br/celular/controle</t>
        </is>
      </c>
      <c r="V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5" t="inlineStr"/>
      <c r="L367" s="7" t="n">
        <v>30</v>
      </c>
      <c r="M367" s="5" t="inlineStr"/>
      <c r="N367" s="5" t="inlineStr"/>
      <c r="O367" s="5" t="inlineStr">
        <is>
          <t>WhatsApp</t>
        </is>
      </c>
      <c r="P367" s="5" t="inlineStr"/>
      <c r="Q367" s="5" t="inlineStr"/>
      <c r="R367" s="5" t="inlineStr"/>
      <c r="S367" s="5" t="inlineStr"/>
      <c r="T367" s="5" t="inlineStr">
        <is>
          <t>Para uso livre; Bônus para redes sociais e apps; Bônus uso livre; Redes sociais e apps; WhatsApp ilimitado</t>
        </is>
      </c>
      <c r="U367" s="5" t="inlineStr">
        <is>
          <t>https://www.claro.com.br/celular/controle</t>
        </is>
      </c>
      <c r="V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2" t="inlineStr"/>
      <c r="L368" s="4" t="n">
        <v>15</v>
      </c>
      <c r="M368" s="2" t="inlineStr"/>
      <c r="N368" s="2" t="inlineStr"/>
      <c r="O368" s="2" t="inlineStr">
        <is>
          <t>WhatsApp</t>
        </is>
      </c>
      <c r="P368" s="2" t="inlineStr"/>
      <c r="Q368" s="2" t="inlineStr"/>
      <c r="R368" s="2" t="inlineStr"/>
      <c r="S368" s="2" t="inlineStr"/>
      <c r="T368" s="2" t="inlineStr">
        <is>
          <t>Para uso livre; Bônus do Hexa para uso livre; Para redes sociais e apps; Bônus extra nos apps; WhatsApp ilimitado</t>
        </is>
      </c>
      <c r="U368" s="2" t="inlineStr">
        <is>
          <t>https://www.claro.com.br/celular/flex</t>
        </is>
      </c>
      <c r="V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5" t="inlineStr"/>
      <c r="L369" s="7" t="n">
        <v>20</v>
      </c>
      <c r="M369" s="5" t="inlineStr"/>
      <c r="N369" s="5" t="inlineStr"/>
      <c r="O369" s="5" t="inlineStr">
        <is>
          <t>WhatsApp</t>
        </is>
      </c>
      <c r="P369" s="5" t="inlineStr"/>
      <c r="Q369" s="5" t="inlineStr"/>
      <c r="R369" s="5" t="inlineStr"/>
      <c r="S369" s="5" t="inlineStr"/>
      <c r="T369" s="5" t="inlineStr">
        <is>
          <t>Para uso livre; Bônus do Hexa para uso livre; Para redes sociais e apps; Bônus extra nos apps; WhatsApp ilimitado</t>
        </is>
      </c>
      <c r="U369" s="5" t="inlineStr">
        <is>
          <t>https://www.claro.com.br/celular/flex</t>
        </is>
      </c>
      <c r="V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2" t="inlineStr"/>
      <c r="L370" s="4" t="n">
        <v>30</v>
      </c>
      <c r="M370" s="2" t="inlineStr"/>
      <c r="N370" s="2" t="inlineStr"/>
      <c r="O370" s="2" t="inlineStr">
        <is>
          <t>WhatsApp</t>
        </is>
      </c>
      <c r="P370" s="2" t="inlineStr"/>
      <c r="Q370" s="2" t="inlineStr"/>
      <c r="R370" s="2" t="inlineStr"/>
      <c r="S370" s="2" t="inlineStr"/>
      <c r="T370" s="2" t="inlineStr">
        <is>
          <t>Para uso livre; Bônus do Hexa para uso livre; Para redes sociais e apps; Bônus extra nos apps; WhatsApp ilimitado; Assinatura Claro musica inclusa</t>
        </is>
      </c>
      <c r="U370" s="2" t="inlineStr">
        <is>
          <t>https://www.claro.com.br/celular/flex</t>
        </is>
      </c>
      <c r="V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5" t="inlineStr"/>
      <c r="L371" s="7" t="n">
        <v>40</v>
      </c>
      <c r="M371" s="5" t="inlineStr"/>
      <c r="N371" s="5" t="inlineStr"/>
      <c r="O371" s="5" t="inlineStr">
        <is>
          <t>WhatsApp</t>
        </is>
      </c>
      <c r="P371" s="5" t="inlineStr"/>
      <c r="Q371" s="5" t="inlineStr"/>
      <c r="R371" s="5" t="inlineStr"/>
      <c r="S371" s="5" t="inlineStr"/>
      <c r="T371" s="5" t="inlineStr">
        <is>
          <t>Para uso livre; Para redes sociais e apps; Bônus uso livre; Bônus extra nos apps; WhatsApp ilimitado; Assinatura Claro musica inclusa</t>
        </is>
      </c>
      <c r="U371" s="5" t="inlineStr">
        <is>
          <t>https://www.claro.com.br/celular/flex</t>
        </is>
      </c>
      <c r="V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2" t="inlineStr"/>
      <c r="L372" s="4" t="n">
        <v>100</v>
      </c>
      <c r="M372" s="2" t="inlineStr"/>
      <c r="N372" s="2" t="inlineStr"/>
      <c r="O372" s="2" t="inlineStr">
        <is>
          <t>WhatsApp</t>
        </is>
      </c>
      <c r="P372" s="2" t="inlineStr"/>
      <c r="Q372" s="2" t="inlineStr"/>
      <c r="R372" s="2" t="inlineStr"/>
      <c r="S372" s="2" t="inlineStr"/>
      <c r="T372" s="2" t="inlineStr">
        <is>
          <t>Armazenamento na nuvem:; Google One ou iCloud+; WhatsApp ilimitado; Roaming: Passaporte Américas; Claro Sync: Smartwatch conectado</t>
        </is>
      </c>
      <c r="U372" s="2" t="inlineStr">
        <is>
          <t>https://www.claro.com.br/celular/pos</t>
        </is>
      </c>
      <c r="V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5" t="inlineStr"/>
      <c r="L373" s="7" t="n">
        <v>150</v>
      </c>
      <c r="M373" s="5" t="inlineStr"/>
      <c r="N373" s="5" t="inlineStr"/>
      <c r="O373" s="5" t="inlineStr">
        <is>
          <t>WhatsApp</t>
        </is>
      </c>
      <c r="P373" s="5" t="inlineStr"/>
      <c r="Q373" s="5" t="inlineStr"/>
      <c r="R373" s="5" t="inlineStr"/>
      <c r="S373" s="5" t="inlineStr"/>
      <c r="T373" s="5" t="inlineStr">
        <is>
          <t>Armazenamento na nuvem:; Google One ou iCloud+; WhatsApp ilimitado; Roaming: Passaporte Américas e Europa; Claro Sync: Smartwatch conectado</t>
        </is>
      </c>
      <c r="U373" s="5" t="inlineStr">
        <is>
          <t>https://www.claro.com.br/celular/pos</t>
        </is>
      </c>
      <c r="V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2" t="inlineStr"/>
      <c r="L374" s="4" t="n">
        <v>200</v>
      </c>
      <c r="M374" s="2" t="inlineStr"/>
      <c r="N374" s="2" t="inlineStr"/>
      <c r="O374" s="2" t="inlineStr">
        <is>
          <t>WhatsApp</t>
        </is>
      </c>
      <c r="P374" s="2" t="inlineStr"/>
      <c r="Q374" s="2" t="inlineStr"/>
      <c r="R374" s="2" t="inlineStr"/>
      <c r="S374" s="2" t="inlineStr"/>
      <c r="T374" s="2" t="inlineStr">
        <is>
          <t>Armazenamento na nuvem:; Google One ou iCloud+; WhatsApp ilimitado; Roaming: Passaporte Mundo; Claro Sync: Smartwatch conectado</t>
        </is>
      </c>
      <c r="U374" s="2" t="inlineStr">
        <is>
          <t>https://www.claro.com.br/celular/pos</t>
        </is>
      </c>
      <c r="V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5" t="inlineStr"/>
      <c r="L375" s="7" t="n">
        <v>50</v>
      </c>
      <c r="M375" s="5" t="inlineStr"/>
      <c r="N375" s="5" t="inlineStr"/>
      <c r="O375" s="5" t="inlineStr">
        <is>
          <t>WhatsApp</t>
        </is>
      </c>
      <c r="P375" s="5" t="inlineStr"/>
      <c r="Q375" s="5" t="inlineStr"/>
      <c r="R375" s="5" t="inlineStr"/>
      <c r="S375" s="5" t="inlineStr"/>
      <c r="T375" s="5" t="inlineStr">
        <is>
          <t>Armazenamento na nuvem:; Google One ou iCloud+; WhatsApp ilimitado; Roaming: Passaporte Américas; Claro Sync: Smartwatch conectado; Inclusa assinatura GeForce NOW</t>
        </is>
      </c>
      <c r="U375" s="5" t="inlineStr">
        <is>
          <t>https://www.claro.com.br/celular/pos</t>
        </is>
      </c>
      <c r="V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2" t="inlineStr"/>
      <c r="L376" s="4" t="n">
        <v>60</v>
      </c>
      <c r="M376" s="2" t="inlineStr"/>
      <c r="N376" s="2" t="inlineStr"/>
      <c r="O376" s="2" t="inlineStr">
        <is>
          <t>WhatsApp</t>
        </is>
      </c>
      <c r="P376" s="2" t="inlineStr"/>
      <c r="Q376" s="2" t="inlineStr"/>
      <c r="R376" s="2" t="inlineStr"/>
      <c r="S376" s="2" t="inlineStr"/>
      <c r="T376" s="2" t="inlineStr">
        <is>
          <t>Armazenamento na nuvem:; Google One ou iCloud+; WhatsApp ilimitado; Roaming: Passaporte Américas; Claro Sync: Smartwatch conectado</t>
        </is>
      </c>
      <c r="U376" s="2" t="inlineStr">
        <is>
          <t>https://www.claro.com.br/celular/pos</t>
        </is>
      </c>
      <c r="V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5" t="inlineStr"/>
      <c r="L377" s="7" t="n">
        <v>10</v>
      </c>
      <c r="M377" s="5" t="inlineStr"/>
      <c r="N377" s="5" t="n">
        <v>25</v>
      </c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https://www.claro.com.br/celular/planos-pre/prezao</t>
        </is>
      </c>
      <c r="V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2" t="inlineStr"/>
      <c r="L378" s="4" t="n">
        <v>12</v>
      </c>
      <c r="M378" s="2" t="inlineStr"/>
      <c r="N378" s="2" t="n">
        <v>30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https://www.claro.com.br/celular/planos-pre/prezao</t>
        </is>
      </c>
      <c r="V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5" t="inlineStr"/>
      <c r="L379" s="7" t="n">
        <v>4</v>
      </c>
      <c r="M379" s="5" t="inlineStr"/>
      <c r="N379" s="5" t="n">
        <v>12</v>
      </c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https://www.claro.com.br/celular/planos-pre/prezao</t>
        </is>
      </c>
      <c r="V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2" t="inlineStr"/>
      <c r="L380" s="4" t="n">
        <v>5</v>
      </c>
      <c r="M380" s="2" t="inlineStr"/>
      <c r="N380" s="2" t="n">
        <v>15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https://www.claro.com.br/celular/planos-pre/prezao</t>
        </is>
      </c>
      <c r="V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5" t="inlineStr"/>
      <c r="L381" s="7" t="n">
        <v>6</v>
      </c>
      <c r="M381" s="5" t="inlineStr"/>
      <c r="N381" s="5" t="n">
        <v>20</v>
      </c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https://www.claro.com.br/celular/planos-pre/prezao</t>
        </is>
      </c>
      <c r="V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2" t="inlineStr"/>
      <c r="L382" s="4" t="n">
        <v>8</v>
      </c>
      <c r="M382" s="2" t="inlineStr"/>
      <c r="N382" s="2" t="n">
        <v>20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https://www.claro.com.br/celular/planos-pre/prezao</t>
        </is>
      </c>
      <c r="V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5" t="inlineStr"/>
      <c r="L383" s="7" t="n">
        <v>9</v>
      </c>
      <c r="M383" s="5" t="inlineStr"/>
      <c r="N383" s="5" t="n">
        <v>25</v>
      </c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https://www.claro.com.br/celular/planos-pre/prezao</t>
        </is>
      </c>
      <c r="V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2" t="inlineStr"/>
      <c r="L384" s="4" t="n">
        <v>41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https://www.tim.com.br/sp/para-voce/planos/controle</t>
        </is>
      </c>
      <c r="V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5" t="inlineStr"/>
      <c r="L385" s="7" t="n">
        <v>31</v>
      </c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https://www.tim.com.br/sp/para-voce/planos/controle</t>
        </is>
      </c>
      <c r="V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2" t="inlineStr"/>
      <c r="L386" s="4" t="n">
        <v>45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https://www.tim.com.br/sp/para-voce/planos/controle</t>
        </is>
      </c>
      <c r="V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5" t="inlineStr"/>
      <c r="L387" s="7" t="n">
        <v>53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https://www.tim.com.br/sp/para-voce/planos/controle</t>
        </is>
      </c>
      <c r="V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2" t="inlineStr"/>
      <c r="L388" s="4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https://www.tim.com.br/sp/para-voce/planos/controle</t>
        </is>
      </c>
      <c r="V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5" t="inlineStr"/>
      <c r="L389" s="7" t="n">
        <v>70</v>
      </c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https://www.tim.com.br/sp/para-voce/planos/pos-pago/tim-black</t>
        </is>
      </c>
      <c r="V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2" t="inlineStr"/>
      <c r="L390" s="4" t="n">
        <v>67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https://www.tim.com.br/sp/para-voce/planos/pos-pago/tim-black</t>
        </is>
      </c>
      <c r="V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5" t="inlineStr"/>
      <c r="L391" s="7" t="n">
        <v>82</v>
      </c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https://www.tim.com.br/sp/para-voce/planos/pos-pago/tim-black</t>
        </is>
      </c>
      <c r="V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2" t="inlineStr"/>
      <c r="L392" s="4" t="n">
        <v>107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https://www.tim.com.br/sp/para-voce/planos/pos-pago/tim-black</t>
        </is>
      </c>
      <c r="V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5" t="inlineStr"/>
      <c r="L393" s="7" t="n">
        <v>95</v>
      </c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https://www.tim.com.br/sp/para-voce/planos/pos-pago/tim-black</t>
        </is>
      </c>
      <c r="V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2" t="inlineStr"/>
      <c r="L394" s="4" t="n">
        <v>80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https://www.tim.com.br/sp/para-voce/planos/pos-pago/tim-black</t>
        </is>
      </c>
      <c r="V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5" t="inlineStr"/>
      <c r="L395" s="7" t="n">
        <v>110</v>
      </c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https://www.tim.com.br/sp/para-voce/planos/pos-pago/tim-black</t>
        </is>
      </c>
      <c r="V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2" t="inlineStr"/>
      <c r="L396" s="4" t="n">
        <v>16</v>
      </c>
      <c r="M396" s="2" t="inlineStr"/>
      <c r="N396" s="2" t="n">
        <v>30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https://www.tim.com.br/sp/para-voce/planos/pre-pago</t>
        </is>
      </c>
      <c r="V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5" t="inlineStr"/>
      <c r="L397" s="7" t="n">
        <v>6</v>
      </c>
      <c r="M397" s="5" t="inlineStr"/>
      <c r="N397" s="5" t="n">
        <v>30</v>
      </c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https://www.tim.com.br/sp/para-voce/planos/pre-pago</t>
        </is>
      </c>
      <c r="V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2" t="inlineStr"/>
      <c r="L398" s="4" t="n">
        <v>8</v>
      </c>
      <c r="M398" s="2" t="inlineStr"/>
      <c r="N398" s="2" t="n">
        <v>30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https://www.tim.com.br/sp/para-voce/planos/pre-pago</t>
        </is>
      </c>
      <c r="V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5" t="inlineStr"/>
      <c r="L399" s="7" t="n">
        <v>46</v>
      </c>
      <c r="M399" s="5" t="inlineStr">
        <is>
          <t>15 GB de franquia 31 GB de bônus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>
        <is>
          <t>6 meses grátis de Gemini com AI Plus</t>
        </is>
      </c>
      <c r="U399" s="5" t="inlineStr">
        <is>
          <t>https://vivo.com.br/para-voce/produtos-e-servicos/para-o-celular/planos-controle</t>
        </is>
      </c>
      <c r="V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2" t="inlineStr"/>
      <c r="L400" s="4" t="n">
        <v>61</v>
      </c>
      <c r="M400" s="2" t="inlineStr">
        <is>
          <t>20 GB de franquia 31 GB de bônus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 meses grátis de Gemini com AI Plus</t>
        </is>
      </c>
      <c r="U400" s="2" t="inlineStr">
        <is>
          <t>https://vivo.com.br/para-voce/produtos-e-servicos/para-o-celular/planos-controle</t>
        </is>
      </c>
      <c r="V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5" t="inlineStr"/>
      <c r="L401" s="7" t="n">
        <v>61</v>
      </c>
      <c r="M401" s="5" t="inlineStr">
        <is>
          <t>20 GB de franquia 31 GB de bônus</t>
        </is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inlineStr">
        <is>
          <t>Assinatura Vivae inclusa</t>
        </is>
      </c>
      <c r="U401" s="5" t="inlineStr">
        <is>
          <t>https://vivo.com.br/para-voce/produtos-e-servicos/para-o-celular/planos-controle</t>
        </is>
      </c>
      <c r="V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2" t="inlineStr"/>
      <c r="L402" s="4" t="n">
        <v>61</v>
      </c>
      <c r="M402" s="2" t="inlineStr">
        <is>
          <t>20 GB de franquia 31 GB de bônus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Assinatura Vivo TV Inicial inclusa</t>
        </is>
      </c>
      <c r="U402" s="2" t="inlineStr">
        <is>
          <t>https://vivo.com.br/para-voce/produtos-e-servicos/para-o-celular/planos-controle</t>
        </is>
      </c>
      <c r="V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5" t="inlineStr"/>
      <c r="L403" s="7" t="n">
        <v>61</v>
      </c>
      <c r="M403" s="5" t="inlineStr">
        <is>
          <t>20 GB de franquia 31 GB de bônus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Apple Music Individual</t>
        </is>
      </c>
      <c r="U403" s="5" t="inlineStr">
        <is>
          <t>https://vivo.com.br/para-voce/produtos-e-servicos/para-o-celular/planos-controle</t>
        </is>
      </c>
      <c r="V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2" t="inlineStr"/>
      <c r="L404" s="4" t="n">
        <v>61</v>
      </c>
      <c r="M404" s="2" t="inlineStr">
        <is>
          <t>20 GB de franquia 31 GB de bônus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Assinatura Netflix Padrão com anúncios</t>
        </is>
      </c>
      <c r="U404" s="2" t="inlineStr">
        <is>
          <t>https://vivo.com.br/para-voce/produtos-e-servicos/para-o-celular/planos-controle</t>
        </is>
      </c>
      <c r="V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5" t="inlineStr"/>
      <c r="L405" s="7" t="n">
        <v>61</v>
      </c>
      <c r="M405" s="5" t="inlineStr">
        <is>
          <t>20 GB de franquia 31 GB de bônus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Assinatura Vale Saúde Sempre inclusa</t>
        </is>
      </c>
      <c r="U405" s="5" t="inlineStr">
        <is>
          <t>https://vivo.com.br/para-voce/produtos-e-servicos/para-o-celular/planos-controle</t>
        </is>
      </c>
      <c r="V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2" t="inlineStr"/>
      <c r="L406" s="4" t="n">
        <v>30</v>
      </c>
      <c r="M406" s="2" t="inlineStr">
        <is>
          <t>30 GB de franquia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2 meses de YouTube sem consumo no plano</t>
        </is>
      </c>
      <c r="U406" s="2" t="inlineStr">
        <is>
          <t>https://vivo.com.br/para-voce/produtos-e-servicos/para-o-celular/easy-lite</t>
        </is>
      </c>
      <c r="V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5" t="inlineStr"/>
      <c r="L407" s="7" t="n">
        <v>40</v>
      </c>
      <c r="M407" s="5" t="inlineStr">
        <is>
          <t>40 GB de franquia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2 meses de YouTube sem consumo no plano</t>
        </is>
      </c>
      <c r="U407" s="5" t="inlineStr">
        <is>
          <t>https://vivo.com.br/para-voce/produtos-e-servicos/para-o-celular/easy-lite</t>
        </is>
      </c>
      <c r="V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2" t="inlineStr"/>
      <c r="L408" s="4" t="n">
        <v>20</v>
      </c>
      <c r="M408" s="2" t="inlineStr">
        <is>
          <t>20 GB de franquia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2 meses de YouTube sem consumo no plano</t>
        </is>
      </c>
      <c r="U408" s="2" t="inlineStr">
        <is>
          <t>https://vivo.com.br/para-voce/produtos-e-servicos/para-o-celular/easy-lite</t>
        </is>
      </c>
      <c r="V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5" t="inlineStr"/>
      <c r="L409" s="7" t="n">
        <v>60</v>
      </c>
      <c r="M409" s="5" t="inlineStr">
        <is>
          <t>50 GB de franquia 10 GB de bônus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Assinatura Amazon Prime inclusa</t>
        </is>
      </c>
      <c r="U409" s="5" t="inlineStr">
        <is>
          <t>https://vivo.com.br/para-voce/produtos-e-servicos/para-o-celular/planos-pos-pago</t>
        </is>
      </c>
      <c r="V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2" t="inlineStr"/>
      <c r="L410" s="4" t="n">
        <v>60</v>
      </c>
      <c r="M410" s="2" t="inlineStr">
        <is>
          <t>50 GB de franquia 10 GB de bônus</t>
        </is>
      </c>
      <c r="N410" s="2" t="inlineStr"/>
      <c r="O410" s="2" t="inlineStr"/>
      <c r="P410" s="2" t="inlineStr"/>
      <c r="Q410" s="2" t="inlineStr"/>
      <c r="R410" s="2" t="inlineStr">
        <is>
          <t>Disney+</t>
        </is>
      </c>
      <c r="S410" s="2" t="inlineStr"/>
      <c r="T410" s="2" t="inlineStr">
        <is>
          <t>Assinatura Disney+ Padrão inclusa</t>
        </is>
      </c>
      <c r="U410" s="2" t="inlineStr">
        <is>
          <t>https://vivo.com.br/para-voce/produtos-e-servicos/para-o-celular/planos-pos-pago</t>
        </is>
      </c>
      <c r="V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5" t="inlineStr"/>
      <c r="L411" s="7" t="n">
        <v>60</v>
      </c>
      <c r="M411" s="5" t="inlineStr">
        <is>
          <t>50 GB de franquia 10 GB de bônus</t>
        </is>
      </c>
      <c r="N411" s="5" t="inlineStr"/>
      <c r="O411" s="5" t="inlineStr"/>
      <c r="P411" s="5" t="inlineStr"/>
      <c r="Q411" s="5" t="inlineStr"/>
      <c r="R411" s="5" t="inlineStr">
        <is>
          <t>Globoplay</t>
        </is>
      </c>
      <c r="S411" s="5" t="inlineStr"/>
      <c r="T411" s="5" t="inlineStr">
        <is>
          <t>Assinatura Globoplay inclusa</t>
        </is>
      </c>
      <c r="U411" s="5" t="inlineStr">
        <is>
          <t>https://vivo.com.br/para-voce/produtos-e-servicos/para-o-celular/planos-pos-pago</t>
        </is>
      </c>
      <c r="V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2" t="inlineStr"/>
      <c r="L412" s="4" t="n">
        <v>60</v>
      </c>
      <c r="M412" s="2" t="inlineStr">
        <is>
          <t>50 GB de franquia 10 GB de bônus</t>
        </is>
      </c>
      <c r="N412" s="2" t="inlineStr"/>
      <c r="O412" s="2" t="inlineStr"/>
      <c r="P412" s="2" t="inlineStr"/>
      <c r="Q412" s="2" t="inlineStr"/>
      <c r="R412" s="2" t="inlineStr">
        <is>
          <t>Netflix</t>
        </is>
      </c>
      <c r="S412" s="2" t="inlineStr"/>
      <c r="T412" s="2" t="inlineStr">
        <is>
          <t>Assinatura Netflix Padrão inclusa</t>
        </is>
      </c>
      <c r="U412" s="2" t="inlineStr">
        <is>
          <t>https://vivo.com.br/para-voce/produtos-e-servicos/para-o-celular/planos-pos-pago</t>
        </is>
      </c>
      <c r="V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5" t="inlineStr"/>
      <c r="L413" s="7" t="n">
        <v>60</v>
      </c>
      <c r="M413" s="5" t="inlineStr">
        <is>
          <t>50 GB de franquia 10 GB de bônus</t>
        </is>
      </c>
      <c r="N413" s="5" t="inlineStr"/>
      <c r="O413" s="5" t="inlineStr"/>
      <c r="P413" s="5" t="inlineStr"/>
      <c r="Q413" s="5" t="inlineStr"/>
      <c r="R413" s="5" t="inlineStr">
        <is>
          <t>Premiere</t>
        </is>
      </c>
      <c r="S413" s="5" t="inlineStr"/>
      <c r="T413" s="5" t="inlineStr">
        <is>
          <t>Assinatura Premiere inclusa</t>
        </is>
      </c>
      <c r="U413" s="5" t="inlineStr">
        <is>
          <t>https://vivo.com.br/para-voce/produtos-e-servicos/para-o-celular/planos-pos-pago</t>
        </is>
      </c>
      <c r="V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2" t="inlineStr"/>
      <c r="L414" s="4" t="n">
        <v>60</v>
      </c>
      <c r="M414" s="2" t="inlineStr">
        <is>
          <t>50 GB de franquia 10 GB de bônus</t>
        </is>
      </c>
      <c r="N414" s="2" t="inlineStr"/>
      <c r="O414" s="2" t="inlineStr"/>
      <c r="P414" s="2" t="inlineStr"/>
      <c r="Q414" s="2" t="inlineStr"/>
      <c r="R414" s="2" t="inlineStr">
        <is>
          <t>Spotify</t>
        </is>
      </c>
      <c r="S414" s="2" t="inlineStr"/>
      <c r="T414" s="2" t="inlineStr">
        <is>
          <t>Assinatura Spotify Premium inclusa</t>
        </is>
      </c>
      <c r="U414" s="2" t="inlineStr">
        <is>
          <t>https://vivo.com.br/para-voce/produtos-e-servicos/para-o-celular/planos-pos-pago</t>
        </is>
      </c>
      <c r="V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5" t="inlineStr"/>
      <c r="L415" s="7" t="n">
        <v>70</v>
      </c>
      <c r="M415" s="5" t="inlineStr">
        <is>
          <t>60 GB de franquia 10 GB de bônus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>
        <is>
          <t>6 meses grátis de Gemini com AI Plus</t>
        </is>
      </c>
      <c r="U415" s="5" t="inlineStr">
        <is>
          <t>https://vivo.com.br/para-voce/produtos-e-servicos/para-o-celular/planos-pos-pago</t>
        </is>
      </c>
      <c r="V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2" t="inlineStr"/>
      <c r="L416" s="4" t="n">
        <v>25</v>
      </c>
      <c r="M416" s="2" t="inlineStr">
        <is>
          <t>15 GB para navegar como quiser 5 GB de bônus 5 GB para navegar no Youtube</t>
        </is>
      </c>
      <c r="N416" s="2" t="n">
        <v>30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https://vivo.com.br/para-voce/produtos-e-servicos/para-o-celular/pre-pago/vivo-pre</t>
        </is>
      </c>
      <c r="V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5" t="inlineStr"/>
      <c r="L417" s="7" t="n">
        <v>9</v>
      </c>
      <c r="M417" s="5" t="inlineStr">
        <is>
          <t>6 GB para navegar como quiser 3 GB para navegar no YouTube</t>
        </is>
      </c>
      <c r="N417" s="5" t="n">
        <v>22</v>
      </c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https://vivo.com.br/para-voce/produtos-e-servicos/para-o-celular/pre-pago/vivo-pre</t>
        </is>
      </c>
      <c r="V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2" t="inlineStr"/>
      <c r="L418" s="4" t="n">
        <v>5</v>
      </c>
      <c r="M418" s="2" t="inlineStr">
        <is>
          <t>5 GB para navegar como quiser</t>
        </is>
      </c>
      <c r="N418" s="2" t="n">
        <v>17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https://vivo.com.br/para-voce/produtos-e-servicos/para-o-celular/pre-pago/vivo-pre</t>
        </is>
      </c>
      <c r="V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5" t="inlineStr"/>
      <c r="L419" s="7" t="n">
        <v>4</v>
      </c>
      <c r="M419" s="5" t="inlineStr">
        <is>
          <t>4 GB para navegar como quiser</t>
        </is>
      </c>
      <c r="N419" s="5" t="n">
        <v>15</v>
      </c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https://vivo.com.br/para-voce/produtos-e-servicos/para-o-celular/pre-pago/vivo-pre</t>
        </is>
      </c>
      <c r="V419" s="5" t="inlineStr">
        <is>
          <t>data/raw/vivo_prepaid_SP.html</t>
        </is>
      </c>
    </row>
    <row r="420">
      <c r="A420" s="2" t="inlineStr">
        <is>
          <t>2026-06-30</t>
        </is>
      </c>
      <c r="B420" s="2" t="inlineStr">
        <is>
          <t>2026-06-30T22:14:27</t>
        </is>
      </c>
      <c r="C420" s="2" t="inlineStr">
        <is>
          <t>claro</t>
        </is>
      </c>
      <c r="D420" s="2" t="inlineStr">
        <is>
          <t>control</t>
        </is>
      </c>
      <c r="E420" s="2" t="inlineStr">
        <is>
          <t>SP</t>
        </is>
      </c>
      <c r="F420" s="2" t="inlineStr">
        <is>
          <t>Controle 25GB</t>
        </is>
      </c>
      <c r="G420" s="2" t="inlineStr">
        <is>
          <t>claro:plano-controle-25gb</t>
        </is>
      </c>
      <c r="H420" s="3" t="n">
        <v>59.9</v>
      </c>
      <c r="I420" s="3" t="n">
        <v>54.9</v>
      </c>
      <c r="J420" s="2" t="inlineStr">
        <is>
          <t>De R$ 59,90 Por:</t>
        </is>
      </c>
      <c r="K420" s="2" t="inlineStr"/>
      <c r="L420" s="4" t="n">
        <v>25</v>
      </c>
      <c r="M420" s="2" t="inlineStr"/>
      <c r="N420" s="2" t="inlineStr"/>
      <c r="O420" s="2" t="inlineStr">
        <is>
          <t>WhatsApp</t>
        </is>
      </c>
      <c r="P420" s="2" t="inlineStr"/>
      <c r="Q420" s="2" t="inlineStr"/>
      <c r="R420" s="2" t="inlineStr"/>
      <c r="S420" s="2" t="inlineStr"/>
      <c r="T420" s="2" t="inlineStr">
        <is>
          <t>Para uso livre; Para redes sociais e vídeos; Bônus exclusivo; Aproveite na sua franquia; WhatsApp e ligações ilimitadas</t>
        </is>
      </c>
      <c r="U420" s="2" t="inlineStr">
        <is>
          <t>https://www.claro.com.br/celular/controle</t>
        </is>
      </c>
      <c r="V420" s="2" t="inlineStr">
        <is>
          <t>data/raw/claro_control_SP.json</t>
        </is>
      </c>
    </row>
    <row r="421">
      <c r="A421" s="5" t="inlineStr">
        <is>
          <t>2026-06-30</t>
        </is>
      </c>
      <c r="B421" s="5" t="inlineStr">
        <is>
          <t>2026-06-30T22:14:27</t>
        </is>
      </c>
      <c r="C421" s="5" t="inlineStr">
        <is>
          <t>claro</t>
        </is>
      </c>
      <c r="D421" s="5" t="inlineStr">
        <is>
          <t>control</t>
        </is>
      </c>
      <c r="E421" s="5" t="inlineStr">
        <is>
          <t>SP</t>
        </is>
      </c>
      <c r="F421" s="5" t="inlineStr">
        <is>
          <t>Controle 30GB</t>
        </is>
      </c>
      <c r="G421" s="5" t="inlineStr">
        <is>
          <t>claro:plano-controle-30gb</t>
        </is>
      </c>
      <c r="H421" s="6" t="n">
        <v>69.90000000000001</v>
      </c>
      <c r="I421" s="6" t="inlineStr"/>
      <c r="J421" s="5" t="inlineStr"/>
      <c r="K421" s="5" t="inlineStr"/>
      <c r="L421" s="7" t="n">
        <v>30</v>
      </c>
      <c r="M421" s="5" t="inlineStr"/>
      <c r="N421" s="5" t="inlineStr"/>
      <c r="O421" s="5" t="inlineStr">
        <is>
          <t>WhatsApp</t>
        </is>
      </c>
      <c r="P421" s="5" t="inlineStr"/>
      <c r="Q421" s="5" t="inlineStr"/>
      <c r="R421" s="5" t="inlineStr"/>
      <c r="S421" s="5" t="inlineStr"/>
      <c r="T421" s="5" t="inlineStr">
        <is>
          <t>Para uso livre; Bônus do Hexa para uso livre; Bônus para redes sociais e apps; Redes sociais e apps; WhatsApp ilimitado</t>
        </is>
      </c>
      <c r="U421" s="5" t="inlineStr">
        <is>
          <t>https://www.claro.com.br/celular/controle</t>
        </is>
      </c>
      <c r="V421" s="5" t="inlineStr">
        <is>
          <t>data/raw/claro_control_SP.json</t>
        </is>
      </c>
    </row>
    <row r="422">
      <c r="A422" s="2" t="inlineStr">
        <is>
          <t>2026-06-30</t>
        </is>
      </c>
      <c r="B422" s="2" t="inlineStr">
        <is>
          <t>2026-06-30T22:14:27</t>
        </is>
      </c>
      <c r="C422" s="2" t="inlineStr">
        <is>
          <t>claro</t>
        </is>
      </c>
      <c r="D422" s="2" t="inlineStr">
        <is>
          <t>control</t>
        </is>
      </c>
      <c r="E422" s="2" t="inlineStr">
        <is>
          <t>SP</t>
        </is>
      </c>
      <c r="F422" s="2" t="inlineStr">
        <is>
          <t>Controle 30GB</t>
        </is>
      </c>
      <c r="G422" s="2" t="inlineStr">
        <is>
          <t>claro:plano-controle-30gb-gaming</t>
        </is>
      </c>
      <c r="H422" s="3" t="n">
        <v>99.90000000000001</v>
      </c>
      <c r="I422" s="3" t="inlineStr"/>
      <c r="J422" s="2" t="inlineStr"/>
      <c r="K422" s="2" t="inlineStr"/>
      <c r="L422" s="4" t="n">
        <v>30</v>
      </c>
      <c r="M422" s="2" t="inlineStr"/>
      <c r="N422" s="2" t="inlineStr"/>
      <c r="O422" s="2" t="inlineStr">
        <is>
          <t>WhatsApp</t>
        </is>
      </c>
      <c r="P422" s="2" t="inlineStr"/>
      <c r="Q422" s="2" t="inlineStr"/>
      <c r="R422" s="2" t="inlineStr"/>
      <c r="S422" s="2" t="inlineStr"/>
      <c r="T422" s="2" t="inlineStr">
        <is>
          <t>Para uso livre; Bônus para redes sociais e apps; Bônus uso livre; Redes sociais e apps; WhatsApp ilimitado</t>
        </is>
      </c>
      <c r="U422" s="2" t="inlineStr">
        <is>
          <t>https://www.claro.com.br/celular/controle</t>
        </is>
      </c>
      <c r="V422" s="2" t="inlineStr">
        <is>
          <t>data/raw/claro_control_SP.json</t>
        </is>
      </c>
    </row>
    <row r="423">
      <c r="A423" s="5" t="inlineStr">
        <is>
          <t>2026-06-30</t>
        </is>
      </c>
      <c r="B423" s="5" t="inlineStr">
        <is>
          <t>2026-06-30T22:14:27</t>
        </is>
      </c>
      <c r="C423" s="5" t="inlineStr">
        <is>
          <t>claro</t>
        </is>
      </c>
      <c r="D423" s="5" t="inlineStr">
        <is>
          <t>flex</t>
        </is>
      </c>
      <c r="E423" s="5" t="inlineStr">
        <is>
          <t>SP</t>
        </is>
      </c>
      <c r="F423" s="5" t="inlineStr">
        <is>
          <t>Flex 15GB</t>
        </is>
      </c>
      <c r="G423" s="5" t="inlineStr">
        <is>
          <t>claro:plano-flex-15gb</t>
        </is>
      </c>
      <c r="H423" s="6" t="n">
        <v>44.9</v>
      </c>
      <c r="I423" s="6" t="inlineStr"/>
      <c r="J423" s="5" t="inlineStr"/>
      <c r="K423" s="5" t="inlineStr"/>
      <c r="L423" s="7" t="n">
        <v>15</v>
      </c>
      <c r="M423" s="5" t="inlineStr"/>
      <c r="N423" s="5" t="inlineStr"/>
      <c r="O423" s="5" t="inlineStr">
        <is>
          <t>WhatsApp</t>
        </is>
      </c>
      <c r="P423" s="5" t="inlineStr"/>
      <c r="Q423" s="5" t="inlineStr"/>
      <c r="R423" s="5" t="inlineStr"/>
      <c r="S423" s="5" t="inlineStr"/>
      <c r="T423" s="5" t="inlineStr">
        <is>
          <t>Para uso livre; Bônus do Hexa para uso livre; Para redes sociais e apps; Bônus extra nos apps; WhatsApp ilimitado</t>
        </is>
      </c>
      <c r="U423" s="5" t="inlineStr">
        <is>
          <t>https://www.claro.com.br/celular/flex</t>
        </is>
      </c>
      <c r="V423" s="5" t="inlineStr">
        <is>
          <t>data/raw/claro_flex_SP.json</t>
        </is>
      </c>
    </row>
    <row r="424">
      <c r="A424" s="2" t="inlineStr">
        <is>
          <t>2026-06-30</t>
        </is>
      </c>
      <c r="B424" s="2" t="inlineStr">
        <is>
          <t>2026-06-30T22:14:27</t>
        </is>
      </c>
      <c r="C424" s="2" t="inlineStr">
        <is>
          <t>claro</t>
        </is>
      </c>
      <c r="D424" s="2" t="inlineStr">
        <is>
          <t>flex</t>
        </is>
      </c>
      <c r="E424" s="2" t="inlineStr">
        <is>
          <t>SP</t>
        </is>
      </c>
      <c r="F424" s="2" t="inlineStr">
        <is>
          <t>Flex 20GB</t>
        </is>
      </c>
      <c r="G424" s="2" t="inlineStr">
        <is>
          <t>claro:plano-flex-20gb</t>
        </is>
      </c>
      <c r="H424" s="3" t="n">
        <v>59.9</v>
      </c>
      <c r="I424" s="3" t="inlineStr"/>
      <c r="J424" s="2" t="inlineStr"/>
      <c r="K424" s="2" t="inlineStr"/>
      <c r="L424" s="4" t="n">
        <v>20</v>
      </c>
      <c r="M424" s="2" t="inlineStr"/>
      <c r="N424" s="2" t="inlineStr"/>
      <c r="O424" s="2" t="inlineStr">
        <is>
          <t>WhatsApp</t>
        </is>
      </c>
      <c r="P424" s="2" t="inlineStr"/>
      <c r="Q424" s="2" t="inlineStr"/>
      <c r="R424" s="2" t="inlineStr"/>
      <c r="S424" s="2" t="inlineStr"/>
      <c r="T424" s="2" t="inlineStr">
        <is>
          <t>Para uso livre; Bônus do Hexa para uso livre; Para redes sociais e apps; Bônus extra nos apps; WhatsApp ilimitado</t>
        </is>
      </c>
      <c r="U424" s="2" t="inlineStr">
        <is>
          <t>https://www.claro.com.br/celular/flex</t>
        </is>
      </c>
      <c r="V424" s="2" t="inlineStr">
        <is>
          <t>data/raw/claro_flex_SP.json</t>
        </is>
      </c>
    </row>
    <row r="425">
      <c r="A425" s="5" t="inlineStr">
        <is>
          <t>2026-06-30</t>
        </is>
      </c>
      <c r="B425" s="5" t="inlineStr">
        <is>
          <t>2026-06-30T22:14:27</t>
        </is>
      </c>
      <c r="C425" s="5" t="inlineStr">
        <is>
          <t>claro</t>
        </is>
      </c>
      <c r="D425" s="5" t="inlineStr">
        <is>
          <t>flex</t>
        </is>
      </c>
      <c r="E425" s="5" t="inlineStr">
        <is>
          <t>SP</t>
        </is>
      </c>
      <c r="F425" s="5" t="inlineStr">
        <is>
          <t>Flex 30GB</t>
        </is>
      </c>
      <c r="G425" s="5" t="inlineStr">
        <is>
          <t>claro:plano-flex-30gb</t>
        </is>
      </c>
      <c r="H425" s="6" t="n">
        <v>69.90000000000001</v>
      </c>
      <c r="I425" s="6" t="inlineStr"/>
      <c r="J425" s="5" t="inlineStr"/>
      <c r="K425" s="5" t="inlineStr"/>
      <c r="L425" s="7" t="n">
        <v>30</v>
      </c>
      <c r="M425" s="5" t="inlineStr"/>
      <c r="N425" s="5" t="inlineStr"/>
      <c r="O425" s="5" t="inlineStr">
        <is>
          <t>WhatsApp</t>
        </is>
      </c>
      <c r="P425" s="5" t="inlineStr"/>
      <c r="Q425" s="5" t="inlineStr"/>
      <c r="R425" s="5" t="inlineStr"/>
      <c r="S425" s="5" t="inlineStr"/>
      <c r="T425" s="5" t="inlineStr">
        <is>
          <t>Para uso livre; Bônus do Hexa para uso livre; Para redes sociais e apps; Bônus extra nos apps; WhatsApp ilimitado; Assinatura Claro musica inclusa</t>
        </is>
      </c>
      <c r="U425" s="5" t="inlineStr">
        <is>
          <t>https://www.claro.com.br/celular/flex</t>
        </is>
      </c>
      <c r="V425" s="5" t="inlineStr">
        <is>
          <t>data/raw/claro_flex_SP.json</t>
        </is>
      </c>
    </row>
    <row r="426">
      <c r="A426" s="2" t="inlineStr">
        <is>
          <t>2026-06-30</t>
        </is>
      </c>
      <c r="B426" s="2" t="inlineStr">
        <is>
          <t>2026-06-30T22:14:27</t>
        </is>
      </c>
      <c r="C426" s="2" t="inlineStr">
        <is>
          <t>claro</t>
        </is>
      </c>
      <c r="D426" s="2" t="inlineStr">
        <is>
          <t>flex</t>
        </is>
      </c>
      <c r="E426" s="2" t="inlineStr">
        <is>
          <t>SP</t>
        </is>
      </c>
      <c r="F426" s="2" t="inlineStr">
        <is>
          <t>Flex 40GB</t>
        </is>
      </c>
      <c r="G426" s="2" t="inlineStr">
        <is>
          <t>claro:plano-flex-40gb</t>
        </is>
      </c>
      <c r="H426" s="3" t="n">
        <v>119.9</v>
      </c>
      <c r="I426" s="3" t="inlineStr"/>
      <c r="J426" s="2" t="inlineStr"/>
      <c r="K426" s="2" t="inlineStr"/>
      <c r="L426" s="4" t="n">
        <v>40</v>
      </c>
      <c r="M426" s="2" t="inlineStr"/>
      <c r="N426" s="2" t="inlineStr"/>
      <c r="O426" s="2" t="inlineStr">
        <is>
          <t>WhatsApp</t>
        </is>
      </c>
      <c r="P426" s="2" t="inlineStr"/>
      <c r="Q426" s="2" t="inlineStr"/>
      <c r="R426" s="2" t="inlineStr"/>
      <c r="S426" s="2" t="inlineStr"/>
      <c r="T426" s="2" t="inlineStr">
        <is>
          <t>Para uso livre; Para redes sociais e apps; Bônus uso livre; Bônus extra nos apps; WhatsApp ilimitado; Assinatura Claro musica inclusa</t>
        </is>
      </c>
      <c r="U426" s="2" t="inlineStr">
        <is>
          <t>https://www.claro.com.br/celular/flex</t>
        </is>
      </c>
      <c r="V426" s="2" t="inlineStr">
        <is>
          <t>data/raw/claro_flex_SP.json</t>
        </is>
      </c>
    </row>
    <row r="427">
      <c r="A427" s="5" t="inlineStr">
        <is>
          <t>2026-06-30</t>
        </is>
      </c>
      <c r="B427" s="5" t="inlineStr">
        <is>
          <t>2026-06-30T22:14:27</t>
        </is>
      </c>
      <c r="C427" s="5" t="inlineStr">
        <is>
          <t>claro</t>
        </is>
      </c>
      <c r="D427" s="5" t="inlineStr">
        <is>
          <t>postpaid</t>
        </is>
      </c>
      <c r="E427" s="5" t="inlineStr">
        <is>
          <t>SP</t>
        </is>
      </c>
      <c r="F427" s="5" t="inlineStr">
        <is>
          <t>Pós 100GB</t>
        </is>
      </c>
      <c r="G427" s="5" t="inlineStr">
        <is>
          <t>claro:plano-pos-100gb</t>
        </is>
      </c>
      <c r="H427" s="6" t="n">
        <v>179.9</v>
      </c>
      <c r="I427" s="6" t="inlineStr"/>
      <c r="J427" s="5" t="inlineStr"/>
      <c r="K427" s="5" t="inlineStr"/>
      <c r="L427" s="7" t="n">
        <v>100</v>
      </c>
      <c r="M427" s="5" t="inlineStr"/>
      <c r="N427" s="5" t="inlineStr"/>
      <c r="O427" s="5" t="inlineStr">
        <is>
          <t>WhatsApp</t>
        </is>
      </c>
      <c r="P427" s="5" t="inlineStr"/>
      <c r="Q427" s="5" t="inlineStr"/>
      <c r="R427" s="5" t="inlineStr"/>
      <c r="S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inlineStr">
        <is>
          <t>https://www.claro.com.br/celular/pos</t>
        </is>
      </c>
      <c r="V427" s="5" t="inlineStr">
        <is>
          <t>data/raw/claro_postpaid_SP.json</t>
        </is>
      </c>
    </row>
    <row r="428">
      <c r="A428" s="2" t="inlineStr">
        <is>
          <t>2026-06-30</t>
        </is>
      </c>
      <c r="B428" s="2" t="inlineStr">
        <is>
          <t>2026-06-30T22:14:27</t>
        </is>
      </c>
      <c r="C428" s="2" t="inlineStr">
        <is>
          <t>claro</t>
        </is>
      </c>
      <c r="D428" s="2" t="inlineStr">
        <is>
          <t>postpaid</t>
        </is>
      </c>
      <c r="E428" s="2" t="inlineStr">
        <is>
          <t>SP</t>
        </is>
      </c>
      <c r="F428" s="2" t="inlineStr">
        <is>
          <t>Pós 150GB</t>
        </is>
      </c>
      <c r="G428" s="2" t="inlineStr">
        <is>
          <t>claro:plano-pos-150gb</t>
        </is>
      </c>
      <c r="H428" s="3" t="n">
        <v>239.9</v>
      </c>
      <c r="I428" s="3" t="inlineStr"/>
      <c r="J428" s="2" t="inlineStr"/>
      <c r="K428" s="2" t="inlineStr"/>
      <c r="L428" s="4" t="n">
        <v>150</v>
      </c>
      <c r="M428" s="2" t="inlineStr"/>
      <c r="N428" s="2" t="inlineStr"/>
      <c r="O428" s="2" t="inlineStr">
        <is>
          <t>WhatsApp</t>
        </is>
      </c>
      <c r="P428" s="2" t="inlineStr"/>
      <c r="Q428" s="2" t="inlineStr"/>
      <c r="R428" s="2" t="inlineStr"/>
      <c r="S428" s="2" t="inlineStr"/>
      <c r="T428" s="2" t="inlineStr">
        <is>
          <t>Armazenamento na nuvem:; Google One ou iCloud+; WhatsApp ilimitado; Roaming: Passaporte Américas e Europa; Claro Sync: Smartwatch conectado</t>
        </is>
      </c>
      <c r="U428" s="2" t="inlineStr">
        <is>
          <t>https://www.claro.com.br/celular/pos</t>
        </is>
      </c>
      <c r="V428" s="2" t="inlineStr">
        <is>
          <t>data/raw/claro_postpaid_SP.json</t>
        </is>
      </c>
    </row>
    <row r="429">
      <c r="A429" s="5" t="inlineStr">
        <is>
          <t>2026-06-30</t>
        </is>
      </c>
      <c r="B429" s="5" t="inlineStr">
        <is>
          <t>2026-06-30T22:14:27</t>
        </is>
      </c>
      <c r="C429" s="5" t="inlineStr">
        <is>
          <t>claro</t>
        </is>
      </c>
      <c r="D429" s="5" t="inlineStr">
        <is>
          <t>postpaid</t>
        </is>
      </c>
      <c r="E429" s="5" t="inlineStr">
        <is>
          <t>SP</t>
        </is>
      </c>
      <c r="F429" s="5" t="inlineStr">
        <is>
          <t>Pós 200GB</t>
        </is>
      </c>
      <c r="G429" s="5" t="inlineStr">
        <is>
          <t>claro:plano-pos-200gb</t>
        </is>
      </c>
      <c r="H429" s="6" t="n">
        <v>339.9</v>
      </c>
      <c r="I429" s="6" t="inlineStr"/>
      <c r="J429" s="5" t="inlineStr"/>
      <c r="K429" s="5" t="inlineStr"/>
      <c r="L429" s="7" t="n">
        <v>200</v>
      </c>
      <c r="M429" s="5" t="inlineStr"/>
      <c r="N429" s="5" t="inlineStr"/>
      <c r="O429" s="5" t="inlineStr">
        <is>
          <t>WhatsApp</t>
        </is>
      </c>
      <c r="P429" s="5" t="inlineStr"/>
      <c r="Q429" s="5" t="inlineStr"/>
      <c r="R429" s="5" t="inlineStr"/>
      <c r="S429" s="5" t="inlineStr"/>
      <c r="T429" s="5" t="inlineStr">
        <is>
          <t>Armazenamento na nuvem:; Google One ou iCloud+; WhatsApp ilimitado; Roaming: Passaporte Mundo; Claro Sync: Smartwatch conectado</t>
        </is>
      </c>
      <c r="U429" s="5" t="inlineStr">
        <is>
          <t>https://www.claro.com.br/celular/pos</t>
        </is>
      </c>
      <c r="V429" s="5" t="inlineStr">
        <is>
          <t>data/raw/claro_postpaid_SP.json</t>
        </is>
      </c>
    </row>
    <row r="430">
      <c r="A430" s="2" t="inlineStr">
        <is>
          <t>2026-06-30</t>
        </is>
      </c>
      <c r="B430" s="2" t="inlineStr">
        <is>
          <t>2026-06-30T22:14:27</t>
        </is>
      </c>
      <c r="C430" s="2" t="inlineStr">
        <is>
          <t>claro</t>
        </is>
      </c>
      <c r="D430" s="2" t="inlineStr">
        <is>
          <t>postpaid</t>
        </is>
      </c>
      <c r="E430" s="2" t="inlineStr">
        <is>
          <t>SP</t>
        </is>
      </c>
      <c r="F430" s="2" t="inlineStr">
        <is>
          <t>Pós 50GB com GeForce NOW</t>
        </is>
      </c>
      <c r="G430" s="2" t="inlineStr">
        <is>
          <t>claro:plano-pos-60gb-geforce</t>
        </is>
      </c>
      <c r="H430" s="3" t="n">
        <v>164.9</v>
      </c>
      <c r="I430" s="3" t="inlineStr"/>
      <c r="J430" s="2" t="inlineStr"/>
      <c r="K430" s="2" t="inlineStr"/>
      <c r="L430" s="4" t="n">
        <v>50</v>
      </c>
      <c r="M430" s="2" t="inlineStr"/>
      <c r="N430" s="2" t="inlineStr"/>
      <c r="O430" s="2" t="inlineStr">
        <is>
          <t>WhatsApp</t>
        </is>
      </c>
      <c r="P430" s="2" t="inlineStr"/>
      <c r="Q430" s="2" t="inlineStr"/>
      <c r="R430" s="2" t="inlineStr"/>
      <c r="S430" s="2" t="inlineStr"/>
      <c r="T430" s="2" t="inlineStr">
        <is>
          <t>Armazenamento na nuvem:; Google One ou iCloud+; WhatsApp ilimitado; Roaming: Passaporte Américas; Claro Sync: Smartwatch conectado; Inclusa assinatura GeForce NOW</t>
        </is>
      </c>
      <c r="U430" s="2" t="inlineStr">
        <is>
          <t>https://www.claro.com.br/celular/pos</t>
        </is>
      </c>
      <c r="V430" s="2" t="inlineStr">
        <is>
          <t>data/raw/claro_postpaid_SP.json</t>
        </is>
      </c>
    </row>
    <row r="431">
      <c r="A431" s="5" t="inlineStr">
        <is>
          <t>2026-06-30</t>
        </is>
      </c>
      <c r="B431" s="5" t="inlineStr">
        <is>
          <t>2026-06-30T22:14:27</t>
        </is>
      </c>
      <c r="C431" s="5" t="inlineStr">
        <is>
          <t>claro</t>
        </is>
      </c>
      <c r="D431" s="5" t="inlineStr">
        <is>
          <t>postpaid</t>
        </is>
      </c>
      <c r="E431" s="5" t="inlineStr">
        <is>
          <t>SP</t>
        </is>
      </c>
      <c r="F431" s="5" t="inlineStr">
        <is>
          <t>Pós 60GB</t>
        </is>
      </c>
      <c r="G431" s="5" t="inlineStr">
        <is>
          <t>claro:plano-pos-60gb</t>
        </is>
      </c>
      <c r="H431" s="6" t="n">
        <v>124.9</v>
      </c>
      <c r="I431" s="6" t="inlineStr"/>
      <c r="J431" s="5" t="inlineStr"/>
      <c r="K431" s="5" t="inlineStr"/>
      <c r="L431" s="7" t="n">
        <v>60</v>
      </c>
      <c r="M431" s="5" t="inlineStr"/>
      <c r="N431" s="5" t="inlineStr"/>
      <c r="O431" s="5" t="inlineStr">
        <is>
          <t>WhatsApp</t>
        </is>
      </c>
      <c r="P431" s="5" t="inlineStr"/>
      <c r="Q431" s="5" t="inlineStr"/>
      <c r="R431" s="5" t="inlineStr"/>
      <c r="S431" s="5" t="inlineStr"/>
      <c r="T431" s="5" t="inlineStr">
        <is>
          <t>Armazenamento na nuvem:; Google One ou iCloud+; WhatsApp ilimitado; Roaming: Passaporte Américas; Claro Sync: Smartwatch conectado</t>
        </is>
      </c>
      <c r="U431" s="5" t="inlineStr">
        <is>
          <t>https://www.claro.com.br/celular/pos</t>
        </is>
      </c>
      <c r="V431" s="5" t="inlineStr">
        <is>
          <t>data/raw/claro_postpaid_SP.json</t>
        </is>
      </c>
    </row>
    <row r="432">
      <c r="A432" s="2" t="inlineStr">
        <is>
          <t>2026-06-30</t>
        </is>
      </c>
      <c r="B432" s="2" t="inlineStr">
        <is>
          <t>2026-06-30T22:14:27</t>
        </is>
      </c>
      <c r="C432" s="2" t="inlineStr">
        <is>
          <t>claro</t>
        </is>
      </c>
      <c r="D432" s="2" t="inlineStr">
        <is>
          <t>prepaid</t>
        </is>
      </c>
      <c r="E432" s="2" t="inlineStr">
        <is>
          <t>SP</t>
        </is>
      </c>
      <c r="F432" s="2" t="inlineStr">
        <is>
          <t>Prezão 10GB (25 dias)</t>
        </is>
      </c>
      <c r="G432" s="2" t="inlineStr">
        <is>
          <t>claro:prezao-25d-10gb</t>
        </is>
      </c>
      <c r="H432" s="3" t="n">
        <v>25</v>
      </c>
      <c r="I432" s="3" t="inlineStr"/>
      <c r="J432" s="2" t="inlineStr">
        <is>
          <t>recarga Prezão R$25 — validade 25 dias</t>
        </is>
      </c>
      <c r="K432" s="2" t="inlineStr"/>
      <c r="L432" s="4" t="n">
        <v>10</v>
      </c>
      <c r="M432" s="2" t="inlineStr"/>
      <c r="N432" s="2" t="n">
        <v>25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https://www.claro.com.br/celular/planos-pre/prezao</t>
        </is>
      </c>
      <c r="V432" s="2" t="inlineStr">
        <is>
          <t>data/raw/claro_prepaid_SP.json</t>
        </is>
      </c>
    </row>
    <row r="433">
      <c r="A433" s="5" t="inlineStr">
        <is>
          <t>2026-06-30</t>
        </is>
      </c>
      <c r="B433" s="5" t="inlineStr">
        <is>
          <t>2026-06-30T22:14:27</t>
        </is>
      </c>
      <c r="C433" s="5" t="inlineStr">
        <is>
          <t>claro</t>
        </is>
      </c>
      <c r="D433" s="5" t="inlineStr">
        <is>
          <t>prepaid</t>
        </is>
      </c>
      <c r="E433" s="5" t="inlineStr">
        <is>
          <t>SP</t>
        </is>
      </c>
      <c r="F433" s="5" t="inlineStr">
        <is>
          <t>Prezão 12GB (30 dias)</t>
        </is>
      </c>
      <c r="G433" s="5" t="inlineStr">
        <is>
          <t>claro:prezao-30d-12gb</t>
        </is>
      </c>
      <c r="H433" s="6" t="n">
        <v>30</v>
      </c>
      <c r="I433" s="6" t="inlineStr"/>
      <c r="J433" s="5" t="inlineStr">
        <is>
          <t>recarga Prezão R$30 — validade 30 dias</t>
        </is>
      </c>
      <c r="K433" s="5" t="inlineStr"/>
      <c r="L433" s="7" t="n">
        <v>12</v>
      </c>
      <c r="M433" s="5" t="inlineStr"/>
      <c r="N433" s="5" t="n">
        <v>30</v>
      </c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https://www.claro.com.br/celular/planos-pre/prezao</t>
        </is>
      </c>
      <c r="V433" s="5" t="inlineStr">
        <is>
          <t>data/raw/claro_prepaid_SP.json</t>
        </is>
      </c>
    </row>
    <row r="434">
      <c r="A434" s="2" t="inlineStr">
        <is>
          <t>2026-06-30</t>
        </is>
      </c>
      <c r="B434" s="2" t="inlineStr">
        <is>
          <t>2026-06-30T22:14:27</t>
        </is>
      </c>
      <c r="C434" s="2" t="inlineStr">
        <is>
          <t>claro</t>
        </is>
      </c>
      <c r="D434" s="2" t="inlineStr">
        <is>
          <t>prepaid</t>
        </is>
      </c>
      <c r="E434" s="2" t="inlineStr">
        <is>
          <t>SP</t>
        </is>
      </c>
      <c r="F434" s="2" t="inlineStr">
        <is>
          <t>Prezão 4GB (12 dias)</t>
        </is>
      </c>
      <c r="G434" s="2" t="inlineStr">
        <is>
          <t>claro:prezao-12d-4gb</t>
        </is>
      </c>
      <c r="H434" s="3" t="n">
        <v>15</v>
      </c>
      <c r="I434" s="3" t="inlineStr"/>
      <c r="J434" s="2" t="inlineStr">
        <is>
          <t>recarga Prezão R$15 — validade 12 dias</t>
        </is>
      </c>
      <c r="K434" s="2" t="inlineStr"/>
      <c r="L434" s="4" t="n">
        <v>4</v>
      </c>
      <c r="M434" s="2" t="inlineStr"/>
      <c r="N434" s="2" t="n">
        <v>12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https://www.claro.com.br/celular/planos-pre/prezao</t>
        </is>
      </c>
      <c r="V434" s="2" t="inlineStr">
        <is>
          <t>data/raw/claro_prepaid_SP.json</t>
        </is>
      </c>
    </row>
    <row r="435">
      <c r="A435" s="5" t="inlineStr">
        <is>
          <t>2026-06-30</t>
        </is>
      </c>
      <c r="B435" s="5" t="inlineStr">
        <is>
          <t>2026-06-30T22:14:27</t>
        </is>
      </c>
      <c r="C435" s="5" t="inlineStr">
        <is>
          <t>claro</t>
        </is>
      </c>
      <c r="D435" s="5" t="inlineStr">
        <is>
          <t>prepaid</t>
        </is>
      </c>
      <c r="E435" s="5" t="inlineStr">
        <is>
          <t>SP</t>
        </is>
      </c>
      <c r="F435" s="5" t="inlineStr">
        <is>
          <t>Prezão 5GB (15 dias)</t>
        </is>
      </c>
      <c r="G435" s="5" t="inlineStr">
        <is>
          <t>claro:prezao-15d-5gb</t>
        </is>
      </c>
      <c r="H435" s="6" t="n">
        <v>15</v>
      </c>
      <c r="I435" s="6" t="inlineStr"/>
      <c r="J435" s="5" t="inlineStr">
        <is>
          <t>recarga Prezão R$15 — validade 15 dias</t>
        </is>
      </c>
      <c r="K435" s="5" t="inlineStr"/>
      <c r="L435" s="7" t="n">
        <v>5</v>
      </c>
      <c r="M435" s="5" t="inlineStr"/>
      <c r="N435" s="5" t="n">
        <v>15</v>
      </c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https://www.claro.com.br/celular/planos-pre/prezao</t>
        </is>
      </c>
      <c r="V435" s="5" t="inlineStr">
        <is>
          <t>data/raw/claro_prepaid_SP.json</t>
        </is>
      </c>
    </row>
    <row r="436">
      <c r="A436" s="2" t="inlineStr">
        <is>
          <t>2026-06-30</t>
        </is>
      </c>
      <c r="B436" s="2" t="inlineStr">
        <is>
          <t>2026-06-30T22:14:27</t>
        </is>
      </c>
      <c r="C436" s="2" t="inlineStr">
        <is>
          <t>claro</t>
        </is>
      </c>
      <c r="D436" s="2" t="inlineStr">
        <is>
          <t>prepaid</t>
        </is>
      </c>
      <c r="E436" s="2" t="inlineStr">
        <is>
          <t>SP</t>
        </is>
      </c>
      <c r="F436" s="2" t="inlineStr">
        <is>
          <t>Prezão 6GB (20 dias)</t>
        </is>
      </c>
      <c r="G436" s="2" t="inlineStr">
        <is>
          <t>claro:prezao-20d-6gb</t>
        </is>
      </c>
      <c r="H436" s="3" t="n">
        <v>20</v>
      </c>
      <c r="I436" s="3" t="inlineStr"/>
      <c r="J436" s="2" t="inlineStr">
        <is>
          <t>recarga Prezão R$20 — validade 20 dias</t>
        </is>
      </c>
      <c r="K436" s="2" t="inlineStr"/>
      <c r="L436" s="4" t="n">
        <v>6</v>
      </c>
      <c r="M436" s="2" t="inlineStr"/>
      <c r="N436" s="2" t="n">
        <v>20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https://www.claro.com.br/celular/planos-pre/prezao</t>
        </is>
      </c>
      <c r="V436" s="2" t="inlineStr">
        <is>
          <t>data/raw/claro_prepaid_SP.json</t>
        </is>
      </c>
    </row>
    <row r="437">
      <c r="A437" s="5" t="inlineStr">
        <is>
          <t>2026-06-30</t>
        </is>
      </c>
      <c r="B437" s="5" t="inlineStr">
        <is>
          <t>2026-06-30T22:14:27</t>
        </is>
      </c>
      <c r="C437" s="5" t="inlineStr">
        <is>
          <t>claro</t>
        </is>
      </c>
      <c r="D437" s="5" t="inlineStr">
        <is>
          <t>prepaid</t>
        </is>
      </c>
      <c r="E437" s="5" t="inlineStr">
        <is>
          <t>SP</t>
        </is>
      </c>
      <c r="F437" s="5" t="inlineStr">
        <is>
          <t>Prezão 8GB (20 dias)</t>
        </is>
      </c>
      <c r="G437" s="5" t="inlineStr">
        <is>
          <t>claro:prezao-20d-8gb</t>
        </is>
      </c>
      <c r="H437" s="6" t="n">
        <v>20</v>
      </c>
      <c r="I437" s="6" t="inlineStr"/>
      <c r="J437" s="5" t="inlineStr">
        <is>
          <t>recarga Prezão R$20 — validade 20 dias</t>
        </is>
      </c>
      <c r="K437" s="5" t="inlineStr"/>
      <c r="L437" s="7" t="n">
        <v>8</v>
      </c>
      <c r="M437" s="5" t="inlineStr"/>
      <c r="N437" s="5" t="n">
        <v>20</v>
      </c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https://www.claro.com.br/celular/planos-pre/prezao</t>
        </is>
      </c>
      <c r="V437" s="5" t="inlineStr">
        <is>
          <t>data/raw/claro_prepaid_SP.json</t>
        </is>
      </c>
    </row>
    <row r="438">
      <c r="A438" s="2" t="inlineStr">
        <is>
          <t>2026-06-30</t>
        </is>
      </c>
      <c r="B438" s="2" t="inlineStr">
        <is>
          <t>2026-06-30T22:14:27</t>
        </is>
      </c>
      <c r="C438" s="2" t="inlineStr">
        <is>
          <t>claro</t>
        </is>
      </c>
      <c r="D438" s="2" t="inlineStr">
        <is>
          <t>prepaid</t>
        </is>
      </c>
      <c r="E438" s="2" t="inlineStr">
        <is>
          <t>SP</t>
        </is>
      </c>
      <c r="F438" s="2" t="inlineStr">
        <is>
          <t>Prezão 9GB (25 dias)</t>
        </is>
      </c>
      <c r="G438" s="2" t="inlineStr">
        <is>
          <t>claro:prezao-25d-9gb</t>
        </is>
      </c>
      <c r="H438" s="3" t="n">
        <v>25</v>
      </c>
      <c r="I438" s="3" t="inlineStr"/>
      <c r="J438" s="2" t="inlineStr">
        <is>
          <t>recarga Prezão R$25 — validade 25 dias</t>
        </is>
      </c>
      <c r="K438" s="2" t="inlineStr"/>
      <c r="L438" s="4" t="n">
        <v>9</v>
      </c>
      <c r="M438" s="2" t="inlineStr"/>
      <c r="N438" s="2" t="n">
        <v>25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https://www.claro.com.br/celular/planos-pre/prezao</t>
        </is>
      </c>
      <c r="V438" s="2" t="inlineStr">
        <is>
          <t>data/raw/claro_prepaid_SP.json</t>
        </is>
      </c>
    </row>
    <row r="439">
      <c r="A439" s="5" t="inlineStr">
        <is>
          <t>2026-06-30</t>
        </is>
      </c>
      <c r="B439" s="5" t="inlineStr">
        <is>
          <t>2026-06-30T22:14:27</t>
        </is>
      </c>
      <c r="C439" s="5" t="inlineStr">
        <is>
          <t>tim</t>
        </is>
      </c>
      <c r="D439" s="5" t="inlineStr">
        <is>
          <t>control</t>
        </is>
      </c>
      <c r="E439" s="5" t="inlineStr">
        <is>
          <t>SP</t>
        </is>
      </c>
      <c r="F439" s="5" t="inlineStr">
        <is>
          <t>TIM Controle 41GB</t>
        </is>
      </c>
      <c r="G439" s="5" t="inlineStr">
        <is>
          <t>tim:162901</t>
        </is>
      </c>
      <c r="H439" s="6" t="n">
        <v>58.99</v>
      </c>
      <c r="I439" s="6" t="inlineStr"/>
      <c r="J439" s="5" t="inlineStr"/>
      <c r="K439" s="5" t="inlineStr"/>
      <c r="L439" s="7" t="n">
        <v>41</v>
      </c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https://www.tim.com.br/sp/para-voce/planos/controle</t>
        </is>
      </c>
      <c r="V439" s="5" t="inlineStr">
        <is>
          <t>data/raw/tim_control_SP.html</t>
        </is>
      </c>
    </row>
    <row r="440">
      <c r="A440" s="2" t="inlineStr">
        <is>
          <t>2026-06-30</t>
        </is>
      </c>
      <c r="B440" s="2" t="inlineStr">
        <is>
          <t>2026-06-30T22:14:27</t>
        </is>
      </c>
      <c r="C440" s="2" t="inlineStr">
        <is>
          <t>tim</t>
        </is>
      </c>
      <c r="D440" s="2" t="inlineStr">
        <is>
          <t>control</t>
        </is>
      </c>
      <c r="E440" s="2" t="inlineStr">
        <is>
          <t>SP</t>
        </is>
      </c>
      <c r="F440" s="2" t="inlineStr">
        <is>
          <t>TIM Controle Light Express 31GB</t>
        </is>
      </c>
      <c r="G440" s="2" t="inlineStr">
        <is>
          <t>tim:143536</t>
        </is>
      </c>
      <c r="H440" s="3" t="n">
        <v>60.99</v>
      </c>
      <c r="I440" s="3" t="inlineStr"/>
      <c r="J440" s="2" t="inlineStr"/>
      <c r="K440" s="2" t="inlineStr"/>
      <c r="L440" s="4" t="n">
        <v>31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https://www.tim.com.br/sp/para-voce/planos/controle</t>
        </is>
      </c>
      <c r="V440" s="2" t="inlineStr">
        <is>
          <t>data/raw/tim_control_SP.html</t>
        </is>
      </c>
    </row>
    <row r="441">
      <c r="A441" s="5" t="inlineStr">
        <is>
          <t>2026-06-30</t>
        </is>
      </c>
      <c r="B441" s="5" t="inlineStr">
        <is>
          <t>2026-06-30T22:14:27</t>
        </is>
      </c>
      <c r="C441" s="5" t="inlineStr">
        <is>
          <t>tim</t>
        </is>
      </c>
      <c r="D441" s="5" t="inlineStr">
        <is>
          <t>control</t>
        </is>
      </c>
      <c r="E441" s="5" t="inlineStr">
        <is>
          <t>SP</t>
        </is>
      </c>
      <c r="F441" s="5" t="inlineStr">
        <is>
          <t>TIM Controle Plus 45GB</t>
        </is>
      </c>
      <c r="G441" s="5" t="inlineStr">
        <is>
          <t>tim:155891</t>
        </is>
      </c>
      <c r="H441" s="6" t="n">
        <v>64.98999999999999</v>
      </c>
      <c r="I441" s="6" t="inlineStr"/>
      <c r="J441" s="5" t="inlineStr"/>
      <c r="K441" s="5" t="inlineStr"/>
      <c r="L441" s="7" t="n">
        <v>45</v>
      </c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https://www.tim.com.br/sp/para-voce/planos/controle</t>
        </is>
      </c>
      <c r="V441" s="5" t="inlineStr">
        <is>
          <t>data/raw/tim_control_SP.html</t>
        </is>
      </c>
    </row>
    <row r="442">
      <c r="A442" s="2" t="inlineStr">
        <is>
          <t>2026-06-30</t>
        </is>
      </c>
      <c r="B442" s="2" t="inlineStr">
        <is>
          <t>2026-06-30T22:14:27</t>
        </is>
      </c>
      <c r="C442" s="2" t="inlineStr">
        <is>
          <t>tim</t>
        </is>
      </c>
      <c r="D442" s="2" t="inlineStr">
        <is>
          <t>control</t>
        </is>
      </c>
      <c r="E442" s="2" t="inlineStr">
        <is>
          <t>SP</t>
        </is>
      </c>
      <c r="F442" s="2" t="inlineStr">
        <is>
          <t>TIM Controle Premium 53GB</t>
        </is>
      </c>
      <c r="G442" s="2" t="inlineStr">
        <is>
          <t>tim:162896</t>
        </is>
      </c>
      <c r="H442" s="3" t="n">
        <v>84.98999999999999</v>
      </c>
      <c r="I442" s="3" t="inlineStr"/>
      <c r="J442" s="2" t="inlineStr"/>
      <c r="K442" s="2" t="inlineStr"/>
      <c r="L442" s="4" t="n">
        <v>53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https://www.tim.com.br/sp/para-voce/planos/controle</t>
        </is>
      </c>
      <c r="V442" s="2" t="inlineStr">
        <is>
          <t>data/raw/tim_control_SP.html</t>
        </is>
      </c>
    </row>
    <row r="443">
      <c r="A443" s="5" t="inlineStr">
        <is>
          <t>2026-06-30</t>
        </is>
      </c>
      <c r="B443" s="5" t="inlineStr">
        <is>
          <t>2026-06-30T22:14:27</t>
        </is>
      </c>
      <c r="C443" s="5" t="inlineStr">
        <is>
          <t>tim</t>
        </is>
      </c>
      <c r="D443" s="5" t="inlineStr">
        <is>
          <t>control</t>
        </is>
      </c>
      <c r="E443" s="5" t="inlineStr">
        <is>
          <t>SP</t>
        </is>
      </c>
      <c r="F443" s="5" t="inlineStr">
        <is>
          <t>TIM Controle Pro Express</t>
        </is>
      </c>
      <c r="G443" s="5" t="inlineStr">
        <is>
          <t>tim:143576</t>
        </is>
      </c>
      <c r="H443" s="6" t="n">
        <v>64.98999999999999</v>
      </c>
      <c r="I443" s="6" t="inlineStr"/>
      <c r="J443" s="5" t="inlineStr"/>
      <c r="K443" s="5" t="inlineStr"/>
      <c r="L443" s="7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https://www.tim.com.br/sp/para-voce/planos/controle</t>
        </is>
      </c>
      <c r="V443" s="5" t="inlineStr">
        <is>
          <t>data/raw/tim_control_SP.html</t>
        </is>
      </c>
    </row>
    <row r="444">
      <c r="A444" s="2" t="inlineStr">
        <is>
          <t>2026-06-30</t>
        </is>
      </c>
      <c r="B444" s="2" t="inlineStr">
        <is>
          <t>2026-06-30T22:14:27</t>
        </is>
      </c>
      <c r="C444" s="2" t="inlineStr">
        <is>
          <t>tim</t>
        </is>
      </c>
      <c r="D444" s="2" t="inlineStr">
        <is>
          <t>postpaid</t>
        </is>
      </c>
      <c r="E444" s="2" t="inlineStr">
        <is>
          <t>SP</t>
        </is>
      </c>
      <c r="F444" s="2" t="inlineStr">
        <is>
          <t>TIM Black 70GB</t>
        </is>
      </c>
      <c r="G444" s="2" t="inlineStr">
        <is>
          <t>tim:54206</t>
        </is>
      </c>
      <c r="H444" s="3" t="n">
        <v>129.99</v>
      </c>
      <c r="I444" s="3" t="inlineStr"/>
      <c r="J444" s="2" t="inlineStr"/>
      <c r="K444" s="2" t="inlineStr"/>
      <c r="L444" s="4" t="n">
        <v>70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https://www.tim.com.br/sp/para-voce/planos/pos-pago/tim-black</t>
        </is>
      </c>
      <c r="V444" s="2" t="inlineStr">
        <is>
          <t>data/raw/tim_postpaid_SP.html</t>
        </is>
      </c>
    </row>
    <row r="445">
      <c r="A445" s="5" t="inlineStr">
        <is>
          <t>2026-06-30</t>
        </is>
      </c>
      <c r="B445" s="5" t="inlineStr">
        <is>
          <t>2026-06-30T22:14:27</t>
        </is>
      </c>
      <c r="C445" s="5" t="inlineStr">
        <is>
          <t>tim</t>
        </is>
      </c>
      <c r="D445" s="5" t="inlineStr">
        <is>
          <t>postpaid</t>
        </is>
      </c>
      <c r="E445" s="5" t="inlineStr">
        <is>
          <t>SP</t>
        </is>
      </c>
      <c r="F445" s="5" t="inlineStr">
        <is>
          <t>TIM Black A Express 67GB</t>
        </is>
      </c>
      <c r="G445" s="5" t="inlineStr">
        <is>
          <t>tim:55121</t>
        </is>
      </c>
      <c r="H445" s="6" t="n">
        <v>119.99</v>
      </c>
      <c r="I445" s="6" t="inlineStr"/>
      <c r="J445" s="5" t="inlineStr"/>
      <c r="K445" s="5" t="inlineStr"/>
      <c r="L445" s="7" t="n">
        <v>67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https://www.tim.com.br/sp/para-voce/planos/pos-pago/tim-black</t>
        </is>
      </c>
      <c r="V445" s="5" t="inlineStr">
        <is>
          <t>data/raw/tim_postpaid_SP.html</t>
        </is>
      </c>
    </row>
    <row r="446">
      <c r="A446" s="2" t="inlineStr">
        <is>
          <t>2026-06-30</t>
        </is>
      </c>
      <c r="B446" s="2" t="inlineStr">
        <is>
          <t>2026-06-30T22:14:27</t>
        </is>
      </c>
      <c r="C446" s="2" t="inlineStr">
        <is>
          <t>tim</t>
        </is>
      </c>
      <c r="D446" s="2" t="inlineStr">
        <is>
          <t>postpaid</t>
        </is>
      </c>
      <c r="E446" s="2" t="inlineStr">
        <is>
          <t>SP</t>
        </is>
      </c>
      <c r="F446" s="2" t="inlineStr">
        <is>
          <t>TIM Black B Express 82GB</t>
        </is>
      </c>
      <c r="G446" s="2" t="inlineStr">
        <is>
          <t>tim:52146</t>
        </is>
      </c>
      <c r="H446" s="3" t="n">
        <v>144.99</v>
      </c>
      <c r="I446" s="3" t="inlineStr"/>
      <c r="J446" s="2" t="inlineStr"/>
      <c r="K446" s="2" t="inlineStr"/>
      <c r="L446" s="4" t="n">
        <v>82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https://www.tim.com.br/sp/para-voce/planos/pos-pago/tim-black</t>
        </is>
      </c>
      <c r="V446" s="2" t="inlineStr">
        <is>
          <t>data/raw/tim_postpaid_SP.html</t>
        </is>
      </c>
    </row>
    <row r="447">
      <c r="A447" s="5" t="inlineStr">
        <is>
          <t>2026-06-30</t>
        </is>
      </c>
      <c r="B447" s="5" t="inlineStr">
        <is>
          <t>2026-06-30T22:14:27</t>
        </is>
      </c>
      <c r="C447" s="5" t="inlineStr">
        <is>
          <t>tim</t>
        </is>
      </c>
      <c r="D447" s="5" t="inlineStr">
        <is>
          <t>postpaid</t>
        </is>
      </c>
      <c r="E447" s="5" t="inlineStr">
        <is>
          <t>SP</t>
        </is>
      </c>
      <c r="F447" s="5" t="inlineStr">
        <is>
          <t>TIM Black C Express 107GB</t>
        </is>
      </c>
      <c r="G447" s="5" t="inlineStr">
        <is>
          <t>tim:52151</t>
        </is>
      </c>
      <c r="H447" s="6" t="n">
        <v>164.99</v>
      </c>
      <c r="I447" s="6" t="inlineStr"/>
      <c r="J447" s="5" t="inlineStr"/>
      <c r="K447" s="5" t="inlineStr"/>
      <c r="L447" s="7" t="n">
        <v>107</v>
      </c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https://www.tim.com.br/sp/para-voce/planos/pos-pago/tim-black</t>
        </is>
      </c>
      <c r="V447" s="5" t="inlineStr">
        <is>
          <t>data/raw/tim_postpaid_SP.html</t>
        </is>
      </c>
    </row>
    <row r="448">
      <c r="A448" s="2" t="inlineStr">
        <is>
          <t>2026-06-30</t>
        </is>
      </c>
      <c r="B448" s="2" t="inlineStr">
        <is>
          <t>2026-06-30T22:14:27</t>
        </is>
      </c>
      <c r="C448" s="2" t="inlineStr">
        <is>
          <t>tim</t>
        </is>
      </c>
      <c r="D448" s="2" t="inlineStr">
        <is>
          <t>postpaid</t>
        </is>
      </c>
      <c r="E448" s="2" t="inlineStr">
        <is>
          <t>SP</t>
        </is>
      </c>
      <c r="F448" s="2" t="inlineStr">
        <is>
          <t>TIM Black C Ultra 95GB</t>
        </is>
      </c>
      <c r="G448" s="2" t="inlineStr">
        <is>
          <t>tim:100581</t>
        </is>
      </c>
      <c r="H448" s="3" t="n">
        <v>159.99</v>
      </c>
      <c r="I448" s="3" t="inlineStr"/>
      <c r="J448" s="2" t="inlineStr"/>
      <c r="K448" s="2" t="inlineStr"/>
      <c r="L448" s="4" t="n">
        <v>95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https://www.tim.com.br/sp/para-voce/planos/pos-pago/tim-black</t>
        </is>
      </c>
      <c r="V448" s="2" t="inlineStr">
        <is>
          <t>data/raw/tim_postpaid_SP.html</t>
        </is>
      </c>
    </row>
    <row r="449">
      <c r="A449" s="5" t="inlineStr">
        <is>
          <t>2026-06-30</t>
        </is>
      </c>
      <c r="B449" s="5" t="inlineStr">
        <is>
          <t>2026-06-30T22:14:27</t>
        </is>
      </c>
      <c r="C449" s="5" t="inlineStr">
        <is>
          <t>tim</t>
        </is>
      </c>
      <c r="D449" s="5" t="inlineStr">
        <is>
          <t>postpaid</t>
        </is>
      </c>
      <c r="E449" s="5" t="inlineStr">
        <is>
          <t>SP</t>
        </is>
      </c>
      <c r="F449" s="5" t="inlineStr">
        <is>
          <t>TIM Black Plus 80GB</t>
        </is>
      </c>
      <c r="G449" s="5" t="inlineStr">
        <is>
          <t>tim:54256</t>
        </is>
      </c>
      <c r="H449" s="6" t="n">
        <v>149.99</v>
      </c>
      <c r="I449" s="6" t="inlineStr"/>
      <c r="J449" s="5" t="inlineStr"/>
      <c r="K449" s="5" t="inlineStr"/>
      <c r="L449" s="7" t="n">
        <v>80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https://www.tim.com.br/sp/para-voce/planos/pos-pago/tim-black</t>
        </is>
      </c>
      <c r="V449" s="5" t="inlineStr">
        <is>
          <t>data/raw/tim_postpaid_SP.html</t>
        </is>
      </c>
    </row>
    <row r="450">
      <c r="A450" s="2" t="inlineStr">
        <is>
          <t>2026-06-30</t>
        </is>
      </c>
      <c r="B450" s="2" t="inlineStr">
        <is>
          <t>2026-06-30T22:14:27</t>
        </is>
      </c>
      <c r="C450" s="2" t="inlineStr">
        <is>
          <t>tim</t>
        </is>
      </c>
      <c r="D450" s="2" t="inlineStr">
        <is>
          <t>postpaid</t>
        </is>
      </c>
      <c r="E450" s="2" t="inlineStr">
        <is>
          <t>SP</t>
        </is>
      </c>
      <c r="F450" s="2" t="inlineStr">
        <is>
          <t>TIM Black Premium 110GB</t>
        </is>
      </c>
      <c r="G450" s="2" t="inlineStr">
        <is>
          <t>tim:54261</t>
        </is>
      </c>
      <c r="H450" s="3" t="n">
        <v>159.99</v>
      </c>
      <c r="I450" s="3" t="inlineStr"/>
      <c r="J450" s="2" t="inlineStr"/>
      <c r="K450" s="2" t="inlineStr"/>
      <c r="L450" s="4" t="n">
        <v>110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https://www.tim.com.br/sp/para-voce/planos/pos-pago/tim-black</t>
        </is>
      </c>
      <c r="V450" s="2" t="inlineStr">
        <is>
          <t>data/raw/tim_postpaid_SP.html</t>
        </is>
      </c>
    </row>
    <row r="451">
      <c r="A451" s="5" t="inlineStr">
        <is>
          <t>2026-06-30</t>
        </is>
      </c>
      <c r="B451" s="5" t="inlineStr">
        <is>
          <t>2026-06-30T22:14:27</t>
        </is>
      </c>
      <c r="C451" s="5" t="inlineStr">
        <is>
          <t>tim</t>
        </is>
      </c>
      <c r="D451" s="5" t="inlineStr">
        <is>
          <t>prepaid</t>
        </is>
      </c>
      <c r="E451" s="5" t="inlineStr">
        <is>
          <t>SP</t>
        </is>
      </c>
      <c r="F451" s="5" t="inlineStr">
        <is>
          <t>TIM Pré XIP Plus 16GB</t>
        </is>
      </c>
      <c r="G451" s="5" t="inlineStr">
        <is>
          <t>tim:106306</t>
        </is>
      </c>
      <c r="H451" s="6" t="n">
        <v>30</v>
      </c>
      <c r="I451" s="6" t="inlineStr"/>
      <c r="J451" s="5" t="inlineStr"/>
      <c r="K451" s="5" t="inlineStr"/>
      <c r="L451" s="7" t="n">
        <v>16</v>
      </c>
      <c r="M451" s="5" t="inlineStr"/>
      <c r="N451" s="5" t="n">
        <v>30</v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https://www.tim.com.br/sp/para-voce/planos/pre-pago</t>
        </is>
      </c>
      <c r="V451" s="5" t="inlineStr">
        <is>
          <t>data/raw/tim_prepaid_SP.html</t>
        </is>
      </c>
    </row>
    <row r="452">
      <c r="A452" s="2" t="inlineStr">
        <is>
          <t>2026-06-30</t>
        </is>
      </c>
      <c r="B452" s="2" t="inlineStr">
        <is>
          <t>2026-06-30T22:14:27</t>
        </is>
      </c>
      <c r="C452" s="2" t="inlineStr">
        <is>
          <t>tim</t>
        </is>
      </c>
      <c r="D452" s="2" t="inlineStr">
        <is>
          <t>prepaid</t>
        </is>
      </c>
      <c r="E452" s="2" t="inlineStr">
        <is>
          <t>SP</t>
        </is>
      </c>
      <c r="F452" s="2" t="inlineStr">
        <is>
          <t>TIM Pré XIP Plus 6GB</t>
        </is>
      </c>
      <c r="G452" s="2" t="inlineStr">
        <is>
          <t>tim:59906</t>
        </is>
      </c>
      <c r="H452" s="3" t="n">
        <v>20</v>
      </c>
      <c r="I452" s="3" t="inlineStr"/>
      <c r="J452" s="2" t="inlineStr"/>
      <c r="K452" s="2" t="inlineStr"/>
      <c r="L452" s="4" t="n">
        <v>6</v>
      </c>
      <c r="M452" s="2" t="inlineStr"/>
      <c r="N452" s="2" t="n">
        <v>30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https://www.tim.com.br/sp/para-voce/planos/pre-pago</t>
        </is>
      </c>
      <c r="V452" s="2" t="inlineStr">
        <is>
          <t>data/raw/tim_prepaid_SP.html</t>
        </is>
      </c>
    </row>
    <row r="453">
      <c r="A453" s="5" t="inlineStr">
        <is>
          <t>2026-06-30</t>
        </is>
      </c>
      <c r="B453" s="5" t="inlineStr">
        <is>
          <t>2026-06-30T22:14:27</t>
        </is>
      </c>
      <c r="C453" s="5" t="inlineStr">
        <is>
          <t>tim</t>
        </is>
      </c>
      <c r="D453" s="5" t="inlineStr">
        <is>
          <t>prepaid</t>
        </is>
      </c>
      <c r="E453" s="5" t="inlineStr">
        <is>
          <t>SP</t>
        </is>
      </c>
      <c r="F453" s="5" t="inlineStr">
        <is>
          <t>TIM Pré XIP Plus 8GB</t>
        </is>
      </c>
      <c r="G453" s="5" t="inlineStr">
        <is>
          <t>tim:59901</t>
        </is>
      </c>
      <c r="H453" s="6" t="n">
        <v>25</v>
      </c>
      <c r="I453" s="6" t="inlineStr"/>
      <c r="J453" s="5" t="inlineStr"/>
      <c r="K453" s="5" t="inlineStr"/>
      <c r="L453" s="7" t="n">
        <v>8</v>
      </c>
      <c r="M453" s="5" t="inlineStr"/>
      <c r="N453" s="5" t="n">
        <v>30</v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https://www.tim.com.br/sp/para-voce/planos/pre-pago</t>
        </is>
      </c>
      <c r="V453" s="5" t="inlineStr">
        <is>
          <t>data/raw/tim_prepaid_SP.html</t>
        </is>
      </c>
    </row>
    <row r="454">
      <c r="A454" s="2" t="inlineStr">
        <is>
          <t>2026-06-30</t>
        </is>
      </c>
      <c r="B454" s="2" t="inlineStr">
        <is>
          <t>2026-06-30T22:14:27</t>
        </is>
      </c>
      <c r="C454" s="2" t="inlineStr">
        <is>
          <t>vivo</t>
        </is>
      </c>
      <c r="D454" s="2" t="inlineStr">
        <is>
          <t>control</t>
        </is>
      </c>
      <c r="E454" s="2" t="inlineStr">
        <is>
          <t>SP</t>
        </is>
      </c>
      <c r="F454" s="2" t="inlineStr">
        <is>
          <t>Vivo Controle</t>
        </is>
      </c>
      <c r="G454" s="2" t="inlineStr">
        <is>
          <t>vivo:VIV202600029270-46gb</t>
        </is>
      </c>
      <c r="H454" s="3" t="n">
        <v>59</v>
      </c>
      <c r="I454" s="3" t="inlineStr"/>
      <c r="J454" s="2" t="inlineStr"/>
      <c r="K454" s="2" t="inlineStr"/>
      <c r="L454" s="4" t="n">
        <v>46</v>
      </c>
      <c r="M454" s="2" t="inlineStr">
        <is>
          <t>15 GB de franquia 31 GB de bônus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6 meses grátis de Gemini com AI Plus</t>
        </is>
      </c>
      <c r="U454" s="2" t="inlineStr">
        <is>
          <t>https://vivo.com.br/para-voce/produtos-e-servicos/para-o-celular/planos-controle</t>
        </is>
      </c>
      <c r="V454" s="2" t="inlineStr">
        <is>
          <t>data/raw/vivo_control_SP.html</t>
        </is>
      </c>
    </row>
    <row r="455">
      <c r="A455" s="5" t="inlineStr">
        <is>
          <t>2026-06-30</t>
        </is>
      </c>
      <c r="B455" s="5" t="inlineStr">
        <is>
          <t>2026-06-30T22:14:27</t>
        </is>
      </c>
      <c r="C455" s="5" t="inlineStr">
        <is>
          <t>vivo</t>
        </is>
      </c>
      <c r="D455" s="5" t="inlineStr">
        <is>
          <t>control</t>
        </is>
      </c>
      <c r="E455" s="5" t="inlineStr">
        <is>
          <t>SP</t>
        </is>
      </c>
      <c r="F455" s="5" t="inlineStr">
        <is>
          <t>Vivo Controle</t>
        </is>
      </c>
      <c r="G455" s="5" t="inlineStr">
        <is>
          <t>vivo:VIV202600029300-61gb</t>
        </is>
      </c>
      <c r="H455" s="6" t="n">
        <v>80</v>
      </c>
      <c r="I455" s="6" t="inlineStr"/>
      <c r="J455" s="5" t="inlineStr"/>
      <c r="K455" s="5" t="inlineStr"/>
      <c r="L455" s="7" t="n">
        <v>61</v>
      </c>
      <c r="M455" s="5" t="inlineStr">
        <is>
          <t>20 GB de franquia 31 GB de bônus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>
        <is>
          <t>6 meses grátis de Gemini com AI Plus</t>
        </is>
      </c>
      <c r="U455" s="5" t="inlineStr">
        <is>
          <t>https://vivo.com.br/para-voce/produtos-e-servicos/para-o-celular/planos-controle</t>
        </is>
      </c>
      <c r="V455" s="5" t="inlineStr">
        <is>
          <t>data/raw/vivo_control_SP.html</t>
        </is>
      </c>
    </row>
    <row r="456">
      <c r="A456" s="2" t="inlineStr">
        <is>
          <t>2026-06-30</t>
        </is>
      </c>
      <c r="B456" s="2" t="inlineStr">
        <is>
          <t>2026-06-30T22:14:27</t>
        </is>
      </c>
      <c r="C456" s="2" t="inlineStr">
        <is>
          <t>vivo</t>
        </is>
      </c>
      <c r="D456" s="2" t="inlineStr">
        <is>
          <t>control</t>
        </is>
      </c>
      <c r="E456" s="2" t="inlineStr">
        <is>
          <t>SP</t>
        </is>
      </c>
      <c r="F456" s="2" t="inlineStr">
        <is>
          <t>Vivo Controle Educação</t>
        </is>
      </c>
      <c r="G456" s="2" t="inlineStr">
        <is>
          <t>vivo:VIV202600029273-61gb</t>
        </is>
      </c>
      <c r="H456" s="3" t="n">
        <v>90</v>
      </c>
      <c r="I456" s="3" t="inlineStr"/>
      <c r="J456" s="2" t="inlineStr"/>
      <c r="K456" s="2" t="inlineStr"/>
      <c r="L456" s="4" t="n">
        <v>61</v>
      </c>
      <c r="M456" s="2" t="inlineStr">
        <is>
          <t>20 GB de franquia 31 GB de bônus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Assinatura Vivae inclusa</t>
        </is>
      </c>
      <c r="U456" s="2" t="inlineStr">
        <is>
          <t>https://vivo.com.br/para-voce/produtos-e-servicos/para-o-celular/planos-controle</t>
        </is>
      </c>
      <c r="V456" s="2" t="inlineStr">
        <is>
          <t>data/raw/vivo_control_SP.html</t>
        </is>
      </c>
    </row>
    <row r="457">
      <c r="A457" s="5" t="inlineStr">
        <is>
          <t>2026-06-30</t>
        </is>
      </c>
      <c r="B457" s="5" t="inlineStr">
        <is>
          <t>2026-06-30T22:14:27</t>
        </is>
      </c>
      <c r="C457" s="5" t="inlineStr">
        <is>
          <t>vivo</t>
        </is>
      </c>
      <c r="D457" s="5" t="inlineStr">
        <is>
          <t>control</t>
        </is>
      </c>
      <c r="E457" s="5" t="inlineStr">
        <is>
          <t>SP</t>
        </is>
      </c>
      <c r="F457" s="5" t="inlineStr">
        <is>
          <t>Vivo Controle Entretenimento</t>
        </is>
      </c>
      <c r="G457" s="5" t="inlineStr">
        <is>
          <t>vivo:VIV202600029307-61gb</t>
        </is>
      </c>
      <c r="H457" s="6" t="n">
        <v>110</v>
      </c>
      <c r="I457" s="6" t="inlineStr"/>
      <c r="J457" s="5" t="inlineStr"/>
      <c r="K457" s="5" t="inlineStr"/>
      <c r="L457" s="7" t="n">
        <v>61</v>
      </c>
      <c r="M457" s="5" t="inlineStr">
        <is>
          <t>20 GB de franquia 31 GB de bônus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>
        <is>
          <t>Assinatura Vivo TV Inicial inclusa</t>
        </is>
      </c>
      <c r="U457" s="5" t="inlineStr">
        <is>
          <t>https://vivo.com.br/para-voce/produtos-e-servicos/para-o-celular/planos-controle</t>
        </is>
      </c>
      <c r="V457" s="5" t="inlineStr">
        <is>
          <t>data/raw/vivo_control_SP.html</t>
        </is>
      </c>
    </row>
    <row r="458">
      <c r="A458" s="2" t="inlineStr">
        <is>
          <t>2026-06-30</t>
        </is>
      </c>
      <c r="B458" s="2" t="inlineStr">
        <is>
          <t>2026-06-30T22:14:27</t>
        </is>
      </c>
      <c r="C458" s="2" t="inlineStr">
        <is>
          <t>vivo</t>
        </is>
      </c>
      <c r="D458" s="2" t="inlineStr">
        <is>
          <t>control</t>
        </is>
      </c>
      <c r="E458" s="2" t="inlineStr">
        <is>
          <t>SP</t>
        </is>
      </c>
      <c r="F458" s="2" t="inlineStr">
        <is>
          <t>Vivo Controle Música</t>
        </is>
      </c>
      <c r="G458" s="2" t="inlineStr">
        <is>
          <t>vivo:VIV202600029313-61gb</t>
        </is>
      </c>
      <c r="H458" s="3" t="n">
        <v>95</v>
      </c>
      <c r="I458" s="3" t="inlineStr"/>
      <c r="J458" s="2" t="inlineStr"/>
      <c r="K458" s="2" t="inlineStr"/>
      <c r="L458" s="4" t="n">
        <v>61</v>
      </c>
      <c r="M458" s="2" t="inlineStr">
        <is>
          <t>20 GB de franquia 31 GB de bônus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Apple Music Individual</t>
        </is>
      </c>
      <c r="U458" s="2" t="inlineStr">
        <is>
          <t>https://vivo.com.br/para-voce/produtos-e-servicos/para-o-celular/planos-controle</t>
        </is>
      </c>
      <c r="V458" s="2" t="inlineStr">
        <is>
          <t>data/raw/vivo_control_SP.html</t>
        </is>
      </c>
    </row>
    <row r="459">
      <c r="A459" s="5" t="inlineStr">
        <is>
          <t>2026-06-30</t>
        </is>
      </c>
      <c r="B459" s="5" t="inlineStr">
        <is>
          <t>2026-06-30T22:14:27</t>
        </is>
      </c>
      <c r="C459" s="5" t="inlineStr">
        <is>
          <t>vivo</t>
        </is>
      </c>
      <c r="D459" s="5" t="inlineStr">
        <is>
          <t>control</t>
        </is>
      </c>
      <c r="E459" s="5" t="inlineStr">
        <is>
          <t>SP</t>
        </is>
      </c>
      <c r="F459" s="5" t="inlineStr">
        <is>
          <t>Vivo Controle Netflix</t>
        </is>
      </c>
      <c r="G459" s="5" t="inlineStr">
        <is>
          <t>vivo:VIV202600029308-61gb</t>
        </is>
      </c>
      <c r="H459" s="6" t="n">
        <v>95</v>
      </c>
      <c r="I459" s="6" t="inlineStr"/>
      <c r="J459" s="5" t="inlineStr"/>
      <c r="K459" s="5" t="inlineStr"/>
      <c r="L459" s="7" t="n">
        <v>61</v>
      </c>
      <c r="M459" s="5" t="inlineStr">
        <is>
          <t>20 GB de franquia 31 GB de bônus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>
        <is>
          <t>Assinatura Netflix Padrão com anúncios</t>
        </is>
      </c>
      <c r="U459" s="5" t="inlineStr">
        <is>
          <t>https://vivo.com.br/para-voce/produtos-e-servicos/para-o-celular/planos-controle</t>
        </is>
      </c>
      <c r="V459" s="5" t="inlineStr">
        <is>
          <t>data/raw/vivo_control_SP.html</t>
        </is>
      </c>
    </row>
    <row r="460">
      <c r="A460" s="2" t="inlineStr">
        <is>
          <t>2026-06-30</t>
        </is>
      </c>
      <c r="B460" s="2" t="inlineStr">
        <is>
          <t>2026-06-30T22:14:27</t>
        </is>
      </c>
      <c r="C460" s="2" t="inlineStr">
        <is>
          <t>vivo</t>
        </is>
      </c>
      <c r="D460" s="2" t="inlineStr">
        <is>
          <t>control</t>
        </is>
      </c>
      <c r="E460" s="2" t="inlineStr">
        <is>
          <t>SP</t>
        </is>
      </c>
      <c r="F460" s="2" t="inlineStr">
        <is>
          <t>Vivo Controle Saúde</t>
        </is>
      </c>
      <c r="G460" s="2" t="inlineStr">
        <is>
          <t>vivo:VIV202600029301-61gb</t>
        </is>
      </c>
      <c r="H460" s="3" t="n">
        <v>90</v>
      </c>
      <c r="I460" s="3" t="inlineStr"/>
      <c r="J460" s="2" t="inlineStr"/>
      <c r="K460" s="2" t="inlineStr"/>
      <c r="L460" s="4" t="n">
        <v>61</v>
      </c>
      <c r="M460" s="2" t="inlineStr">
        <is>
          <t>20 GB de franquia 31 GB de bônus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Assinatura Vale Saúde Sempre inclusa</t>
        </is>
      </c>
      <c r="U460" s="2" t="inlineStr">
        <is>
          <t>https://vivo.com.br/para-voce/produtos-e-servicos/para-o-celular/planos-controle</t>
        </is>
      </c>
      <c r="V460" s="2" t="inlineStr">
        <is>
          <t>data/raw/vivo_control_SP.html</t>
        </is>
      </c>
    </row>
    <row r="461">
      <c r="A461" s="5" t="inlineStr">
        <is>
          <t>2026-06-30</t>
        </is>
      </c>
      <c r="B461" s="5" t="inlineStr">
        <is>
          <t>2026-06-30T22:14:27</t>
        </is>
      </c>
      <c r="C461" s="5" t="inlineStr">
        <is>
          <t>vivo</t>
        </is>
      </c>
      <c r="D461" s="5" t="inlineStr">
        <is>
          <t>lite</t>
        </is>
      </c>
      <c r="E461" s="5" t="inlineStr">
        <is>
          <t>SP</t>
        </is>
      </c>
      <c r="F461" s="5" t="inlineStr">
        <is>
          <t>Easy Lite</t>
        </is>
      </c>
      <c r="G461" s="5" t="inlineStr">
        <is>
          <t>vivo:VIV202600025883-30gb</t>
        </is>
      </c>
      <c r="H461" s="6" t="n">
        <v>30</v>
      </c>
      <c r="I461" s="6" t="inlineStr"/>
      <c r="J461" s="5" t="inlineStr"/>
      <c r="K461" s="5" t="inlineStr"/>
      <c r="L461" s="7" t="n">
        <v>30</v>
      </c>
      <c r="M461" s="5" t="inlineStr">
        <is>
          <t>30 GB de franquia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>
        <is>
          <t>2 meses de YouTube sem consumo no plano</t>
        </is>
      </c>
      <c r="U461" s="5" t="inlineStr">
        <is>
          <t>https://vivo.com.br/para-voce/produtos-e-servicos/para-o-celular/easy-lite</t>
        </is>
      </c>
      <c r="V461" s="5" t="inlineStr">
        <is>
          <t>data/raw/vivo_lite_SP.html</t>
        </is>
      </c>
    </row>
    <row r="462">
      <c r="A462" s="2" t="inlineStr">
        <is>
          <t>2026-06-30</t>
        </is>
      </c>
      <c r="B462" s="2" t="inlineStr">
        <is>
          <t>2026-06-30T22:14:27</t>
        </is>
      </c>
      <c r="C462" s="2" t="inlineStr">
        <is>
          <t>vivo</t>
        </is>
      </c>
      <c r="D462" s="2" t="inlineStr">
        <is>
          <t>lite</t>
        </is>
      </c>
      <c r="E462" s="2" t="inlineStr">
        <is>
          <t>SP</t>
        </is>
      </c>
      <c r="F462" s="2" t="inlineStr">
        <is>
          <t>Easy Lite</t>
        </is>
      </c>
      <c r="G462" s="2" t="inlineStr">
        <is>
          <t>vivo:VIV202600025885-40gb</t>
        </is>
      </c>
      <c r="H462" s="3" t="n">
        <v>40</v>
      </c>
      <c r="I462" s="3" t="inlineStr"/>
      <c r="J462" s="2" t="inlineStr"/>
      <c r="K462" s="2" t="inlineStr"/>
      <c r="L462" s="4" t="n">
        <v>40</v>
      </c>
      <c r="M462" s="2" t="inlineStr">
        <is>
          <t>40 GB de franquia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2 meses de YouTube sem consumo no plano</t>
        </is>
      </c>
      <c r="U462" s="2" t="inlineStr">
        <is>
          <t>https://vivo.com.br/para-voce/produtos-e-servicos/para-o-celular/easy-lite</t>
        </is>
      </c>
      <c r="V462" s="2" t="inlineStr">
        <is>
          <t>data/raw/vivo_lite_SP.html</t>
        </is>
      </c>
    </row>
    <row r="463">
      <c r="A463" s="5" t="inlineStr">
        <is>
          <t>2026-06-30</t>
        </is>
      </c>
      <c r="B463" s="5" t="inlineStr">
        <is>
          <t>2026-06-30T22:14:27</t>
        </is>
      </c>
      <c r="C463" s="5" t="inlineStr">
        <is>
          <t>vivo</t>
        </is>
      </c>
      <c r="D463" s="5" t="inlineStr">
        <is>
          <t>lite</t>
        </is>
      </c>
      <c r="E463" s="5" t="inlineStr">
        <is>
          <t>SP</t>
        </is>
      </c>
      <c r="F463" s="5" t="inlineStr">
        <is>
          <t>Easy Lite</t>
        </is>
      </c>
      <c r="G463" s="5" t="inlineStr">
        <is>
          <t>vivo:VIV202600025888-20gb</t>
        </is>
      </c>
      <c r="H463" s="6" t="n">
        <v>35</v>
      </c>
      <c r="I463" s="6" t="inlineStr"/>
      <c r="J463" s="5" t="inlineStr"/>
      <c r="K463" s="5" t="inlineStr"/>
      <c r="L463" s="7" t="n">
        <v>20</v>
      </c>
      <c r="M463" s="5" t="inlineStr">
        <is>
          <t>20 GB de franquia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>
        <is>
          <t>2 meses de YouTube sem consumo no plano</t>
        </is>
      </c>
      <c r="U463" s="5" t="inlineStr">
        <is>
          <t>https://vivo.com.br/para-voce/produtos-e-servicos/para-o-celular/easy-lite</t>
        </is>
      </c>
      <c r="V463" s="5" t="inlineStr">
        <is>
          <t>data/raw/vivo_lite_SP.html</t>
        </is>
      </c>
    </row>
    <row r="464">
      <c r="A464" s="2" t="inlineStr">
        <is>
          <t>2026-06-30</t>
        </is>
      </c>
      <c r="B464" s="2" t="inlineStr">
        <is>
          <t>2026-06-30T22:14:27</t>
        </is>
      </c>
      <c r="C464" s="2" t="inlineStr">
        <is>
          <t>vivo</t>
        </is>
      </c>
      <c r="D464" s="2" t="inlineStr">
        <is>
          <t>postpaid</t>
        </is>
      </c>
      <c r="E464" s="2" t="inlineStr">
        <is>
          <t>SP</t>
        </is>
      </c>
      <c r="F464" s="2" t="inlineStr">
        <is>
          <t>Vivo Pós com Amazon</t>
        </is>
      </c>
      <c r="G464" s="2" t="inlineStr">
        <is>
          <t>vivo:VIV202600029255-60gb</t>
        </is>
      </c>
      <c r="H464" s="3" t="n">
        <v>150</v>
      </c>
      <c r="I464" s="3" t="inlineStr"/>
      <c r="J464" s="2" t="inlineStr"/>
      <c r="K464" s="2" t="inlineStr"/>
      <c r="L464" s="4" t="n">
        <v>60</v>
      </c>
      <c r="M464" s="2" t="inlineStr">
        <is>
          <t>50 GB de franquia 10 GB de bônus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Assinatura Amazon Prime inclusa</t>
        </is>
      </c>
      <c r="U464" s="2" t="inlineStr">
        <is>
          <t>https://vivo.com.br/para-voce/produtos-e-servicos/para-o-celular/planos-pos-pago</t>
        </is>
      </c>
      <c r="V464" s="2" t="inlineStr">
        <is>
          <t>data/raw/vivo_postpaid_SP.html</t>
        </is>
      </c>
    </row>
    <row r="465">
      <c r="A465" s="5" t="inlineStr">
        <is>
          <t>2026-06-30</t>
        </is>
      </c>
      <c r="B465" s="5" t="inlineStr">
        <is>
          <t>2026-06-30T22:14:27</t>
        </is>
      </c>
      <c r="C465" s="5" t="inlineStr">
        <is>
          <t>vivo</t>
        </is>
      </c>
      <c r="D465" s="5" t="inlineStr">
        <is>
          <t>postpaid</t>
        </is>
      </c>
      <c r="E465" s="5" t="inlineStr">
        <is>
          <t>SP</t>
        </is>
      </c>
      <c r="F465" s="5" t="inlineStr">
        <is>
          <t>Vivo Pós com Disney+</t>
        </is>
      </c>
      <c r="G465" s="5" t="inlineStr">
        <is>
          <t>vivo:VIV202600022115-60gb</t>
        </is>
      </c>
      <c r="H465" s="6" t="n">
        <v>180</v>
      </c>
      <c r="I465" s="6" t="inlineStr"/>
      <c r="J465" s="5" t="inlineStr"/>
      <c r="K465" s="5" t="inlineStr"/>
      <c r="L465" s="7" t="n">
        <v>60</v>
      </c>
      <c r="M465" s="5" t="inlineStr">
        <is>
          <t>50 GB de franquia 10 GB de bônus</t>
        </is>
      </c>
      <c r="N465" s="5" t="inlineStr"/>
      <c r="O465" s="5" t="inlineStr"/>
      <c r="P465" s="5" t="inlineStr"/>
      <c r="Q465" s="5" t="inlineStr"/>
      <c r="R465" s="5" t="inlineStr">
        <is>
          <t>Disney+</t>
        </is>
      </c>
      <c r="S465" s="5" t="inlineStr"/>
      <c r="T465" s="5" t="inlineStr">
        <is>
          <t>Assinatura Disney+ Padrão inclusa</t>
        </is>
      </c>
      <c r="U465" s="5" t="inlineStr">
        <is>
          <t>https://vivo.com.br/para-voce/produtos-e-servicos/para-o-celular/planos-pos-pago</t>
        </is>
      </c>
      <c r="V465" s="5" t="inlineStr">
        <is>
          <t>data/raw/vivo_postpaid_SP.html</t>
        </is>
      </c>
    </row>
    <row r="466">
      <c r="A466" s="2" t="inlineStr">
        <is>
          <t>2026-06-30</t>
        </is>
      </c>
      <c r="B466" s="2" t="inlineStr">
        <is>
          <t>2026-06-30T22:14:27</t>
        </is>
      </c>
      <c r="C466" s="2" t="inlineStr">
        <is>
          <t>vivo</t>
        </is>
      </c>
      <c r="D466" s="2" t="inlineStr">
        <is>
          <t>postpaid</t>
        </is>
      </c>
      <c r="E466" s="2" t="inlineStr">
        <is>
          <t>SP</t>
        </is>
      </c>
      <c r="F466" s="2" t="inlineStr">
        <is>
          <t>Vivo Pós com Globoplay</t>
        </is>
      </c>
      <c r="G466" s="2" t="inlineStr">
        <is>
          <t>vivo:VIV202600029246-60gb</t>
        </is>
      </c>
      <c r="H466" s="3" t="n">
        <v>165</v>
      </c>
      <c r="I466" s="3" t="inlineStr"/>
      <c r="J466" s="2" t="inlineStr"/>
      <c r="K466" s="2" t="inlineStr"/>
      <c r="L466" s="4" t="n">
        <v>60</v>
      </c>
      <c r="M466" s="2" t="inlineStr">
        <is>
          <t>50 GB de franquia 10 GB de bônus</t>
        </is>
      </c>
      <c r="N466" s="2" t="inlineStr"/>
      <c r="O466" s="2" t="inlineStr"/>
      <c r="P466" s="2" t="inlineStr"/>
      <c r="Q466" s="2" t="inlineStr"/>
      <c r="R466" s="2" t="inlineStr">
        <is>
          <t>Globoplay</t>
        </is>
      </c>
      <c r="S466" s="2" t="inlineStr"/>
      <c r="T466" s="2" t="inlineStr">
        <is>
          <t>Assinatura Globoplay inclusa</t>
        </is>
      </c>
      <c r="U466" s="2" t="inlineStr">
        <is>
          <t>https://vivo.com.br/para-voce/produtos-e-servicos/para-o-celular/planos-pos-pago</t>
        </is>
      </c>
      <c r="V466" s="2" t="inlineStr">
        <is>
          <t>data/raw/vivo_postpaid_SP.html</t>
        </is>
      </c>
    </row>
    <row r="467">
      <c r="A467" s="5" t="inlineStr">
        <is>
          <t>2026-06-30</t>
        </is>
      </c>
      <c r="B467" s="5" t="inlineStr">
        <is>
          <t>2026-06-30T22:14:27</t>
        </is>
      </c>
      <c r="C467" s="5" t="inlineStr">
        <is>
          <t>vivo</t>
        </is>
      </c>
      <c r="D467" s="5" t="inlineStr">
        <is>
          <t>postpaid</t>
        </is>
      </c>
      <c r="E467" s="5" t="inlineStr">
        <is>
          <t>SP</t>
        </is>
      </c>
      <c r="F467" s="5" t="inlineStr">
        <is>
          <t>Vivo Pós com Netflix</t>
        </is>
      </c>
      <c r="G467" s="5" t="inlineStr">
        <is>
          <t>vivo:VIV202600029234-60gb</t>
        </is>
      </c>
      <c r="H467" s="6" t="n">
        <v>180</v>
      </c>
      <c r="I467" s="6" t="inlineStr"/>
      <c r="J467" s="5" t="inlineStr"/>
      <c r="K467" s="5" t="inlineStr"/>
      <c r="L467" s="7" t="n">
        <v>60</v>
      </c>
      <c r="M467" s="5" t="inlineStr">
        <is>
          <t>50 GB de franquia 10 GB de bônus</t>
        </is>
      </c>
      <c r="N467" s="5" t="inlineStr"/>
      <c r="O467" s="5" t="inlineStr"/>
      <c r="P467" s="5" t="inlineStr"/>
      <c r="Q467" s="5" t="inlineStr"/>
      <c r="R467" s="5" t="inlineStr">
        <is>
          <t>Netflix</t>
        </is>
      </c>
      <c r="S467" s="5" t="inlineStr"/>
      <c r="T467" s="5" t="inlineStr">
        <is>
          <t>Assinatura Netflix Padrão inclusa</t>
        </is>
      </c>
      <c r="U467" s="5" t="inlineStr">
        <is>
          <t>https://vivo.com.br/para-voce/produtos-e-servicos/para-o-celular/planos-pos-pago</t>
        </is>
      </c>
      <c r="V467" s="5" t="inlineStr">
        <is>
          <t>data/raw/vivo_postpaid_SP.html</t>
        </is>
      </c>
    </row>
    <row r="468">
      <c r="A468" s="2" t="inlineStr">
        <is>
          <t>2026-06-30</t>
        </is>
      </c>
      <c r="B468" s="2" t="inlineStr">
        <is>
          <t>2026-06-30T22:14:27</t>
        </is>
      </c>
      <c r="C468" s="2" t="inlineStr">
        <is>
          <t>vivo</t>
        </is>
      </c>
      <c r="D468" s="2" t="inlineStr">
        <is>
          <t>postpaid</t>
        </is>
      </c>
      <c r="E468" s="2" t="inlineStr">
        <is>
          <t>SP</t>
        </is>
      </c>
      <c r="F468" s="2" t="inlineStr">
        <is>
          <t>Vivo Pós com Premiere</t>
        </is>
      </c>
      <c r="G468" s="2" t="inlineStr">
        <is>
          <t>vivo:VIV202600029249-60gb</t>
        </is>
      </c>
      <c r="H468" s="3" t="n">
        <v>180</v>
      </c>
      <c r="I468" s="3" t="inlineStr"/>
      <c r="J468" s="2" t="inlineStr"/>
      <c r="K468" s="2" t="inlineStr"/>
      <c r="L468" s="4" t="n">
        <v>60</v>
      </c>
      <c r="M468" s="2" t="inlineStr">
        <is>
          <t>50 GB de franquia 10 GB de bônus</t>
        </is>
      </c>
      <c r="N468" s="2" t="inlineStr"/>
      <c r="O468" s="2" t="inlineStr"/>
      <c r="P468" s="2" t="inlineStr"/>
      <c r="Q468" s="2" t="inlineStr"/>
      <c r="R468" s="2" t="inlineStr">
        <is>
          <t>Premiere</t>
        </is>
      </c>
      <c r="S468" s="2" t="inlineStr"/>
      <c r="T468" s="2" t="inlineStr">
        <is>
          <t>Assinatura Premiere inclusa</t>
        </is>
      </c>
      <c r="U468" s="2" t="inlineStr">
        <is>
          <t>https://vivo.com.br/para-voce/produtos-e-servicos/para-o-celular/planos-pos-pago</t>
        </is>
      </c>
      <c r="V468" s="2" t="inlineStr">
        <is>
          <t>data/raw/vivo_postpaid_SP.html</t>
        </is>
      </c>
    </row>
    <row r="469">
      <c r="A469" s="5" t="inlineStr">
        <is>
          <t>2026-06-30</t>
        </is>
      </c>
      <c r="B469" s="5" t="inlineStr">
        <is>
          <t>2026-06-30T22:14:27</t>
        </is>
      </c>
      <c r="C469" s="5" t="inlineStr">
        <is>
          <t>vivo</t>
        </is>
      </c>
      <c r="D469" s="5" t="inlineStr">
        <is>
          <t>postpaid</t>
        </is>
      </c>
      <c r="E469" s="5" t="inlineStr">
        <is>
          <t>SP</t>
        </is>
      </c>
      <c r="F469" s="5" t="inlineStr">
        <is>
          <t>Vivo Pós com Spotify</t>
        </is>
      </c>
      <c r="G469" s="5" t="inlineStr">
        <is>
          <t>vivo:VIV202600029229-60gb</t>
        </is>
      </c>
      <c r="H469" s="6" t="n">
        <v>165</v>
      </c>
      <c r="I469" s="6" t="inlineStr"/>
      <c r="J469" s="5" t="inlineStr"/>
      <c r="K469" s="5" t="inlineStr"/>
      <c r="L469" s="7" t="n">
        <v>60</v>
      </c>
      <c r="M469" s="5" t="inlineStr">
        <is>
          <t>50 GB de franquia 10 GB de bônus</t>
        </is>
      </c>
      <c r="N469" s="5" t="inlineStr"/>
      <c r="O469" s="5" t="inlineStr"/>
      <c r="P469" s="5" t="inlineStr"/>
      <c r="Q469" s="5" t="inlineStr"/>
      <c r="R469" s="5" t="inlineStr">
        <is>
          <t>Spotify</t>
        </is>
      </c>
      <c r="S469" s="5" t="inlineStr"/>
      <c r="T469" s="5" t="inlineStr">
        <is>
          <t>Assinatura Spotify Premium inclusa</t>
        </is>
      </c>
      <c r="U469" s="5" t="inlineStr">
        <is>
          <t>https://vivo.com.br/para-voce/produtos-e-servicos/para-o-celular/planos-pos-pago</t>
        </is>
      </c>
      <c r="V469" s="5" t="inlineStr">
        <is>
          <t>data/raw/vivo_postpaid_SP.html</t>
        </is>
      </c>
    </row>
    <row r="470">
      <c r="A470" s="2" t="inlineStr">
        <is>
          <t>2026-06-30</t>
        </is>
      </c>
      <c r="B470" s="2" t="inlineStr">
        <is>
          <t>2026-06-30T22:14:27</t>
        </is>
      </c>
      <c r="C470" s="2" t="inlineStr">
        <is>
          <t>vivo</t>
        </is>
      </c>
      <c r="D470" s="2" t="inlineStr">
        <is>
          <t>postpaid</t>
        </is>
      </c>
      <c r="E470" s="2" t="inlineStr">
        <is>
          <t>SP</t>
        </is>
      </c>
      <c r="F470" s="2" t="inlineStr">
        <is>
          <t>Vivo Pós com Travel</t>
        </is>
      </c>
      <c r="G470" s="2" t="inlineStr">
        <is>
          <t>vivo:VIV202600029244-70gb</t>
        </is>
      </c>
      <c r="H470" s="3" t="n">
        <v>215</v>
      </c>
      <c r="I470" s="3" t="inlineStr"/>
      <c r="J470" s="2" t="inlineStr"/>
      <c r="K470" s="2" t="inlineStr"/>
      <c r="L470" s="4" t="n">
        <v>70</v>
      </c>
      <c r="M470" s="2" t="inlineStr">
        <is>
          <t>60 GB de franquia 10 GB de bônus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 meses grátis de Gemini com AI Plus</t>
        </is>
      </c>
      <c r="U470" s="2" t="inlineStr">
        <is>
          <t>https://vivo.com.br/para-voce/produtos-e-servicos/para-o-celular/planos-pos-pago</t>
        </is>
      </c>
      <c r="V470" s="2" t="inlineStr">
        <is>
          <t>data/raw/vivo_postpaid_SP.html</t>
        </is>
      </c>
    </row>
    <row r="471">
      <c r="A471" s="5" t="inlineStr">
        <is>
          <t>2026-06-30</t>
        </is>
      </c>
      <c r="B471" s="5" t="inlineStr">
        <is>
          <t>2026-06-30T22:14:27</t>
        </is>
      </c>
      <c r="C471" s="5" t="inlineStr">
        <is>
          <t>vivo</t>
        </is>
      </c>
      <c r="D471" s="5" t="inlineStr">
        <is>
          <t>prepaid</t>
        </is>
      </c>
      <c r="E471" s="5" t="inlineStr">
        <is>
          <t>SP</t>
        </is>
      </c>
      <c r="F471" s="5" t="inlineStr">
        <is>
          <t>Vivo Pré</t>
        </is>
      </c>
      <c r="G471" s="5" t="inlineStr">
        <is>
          <t>vivo:VIV202600029370-25gb</t>
        </is>
      </c>
      <c r="H471" s="6" t="n">
        <v>30</v>
      </c>
      <c r="I471" s="6" t="inlineStr"/>
      <c r="J471" s="5" t="inlineStr"/>
      <c r="K471" s="5" t="inlineStr"/>
      <c r="L471" s="7" t="n">
        <v>25</v>
      </c>
      <c r="M471" s="5" t="inlineStr">
        <is>
          <t>15 GB para navegar como quiser 5 GB de bônus 5 GB para navegar no Youtube</t>
        </is>
      </c>
      <c r="N471" s="5" t="n">
        <v>30</v>
      </c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https://vivo.com.br/para-voce/produtos-e-servicos/para-o-celular/pre-pago/vivo-pre</t>
        </is>
      </c>
      <c r="V471" s="5" t="inlineStr">
        <is>
          <t>data/raw/vivo_prepaid_SP.html</t>
        </is>
      </c>
    </row>
    <row r="472">
      <c r="A472" s="2" t="inlineStr">
        <is>
          <t>2026-06-30</t>
        </is>
      </c>
      <c r="B472" s="2" t="inlineStr">
        <is>
          <t>2026-06-30T22:14:27</t>
        </is>
      </c>
      <c r="C472" s="2" t="inlineStr">
        <is>
          <t>vivo</t>
        </is>
      </c>
      <c r="D472" s="2" t="inlineStr">
        <is>
          <t>prepaid</t>
        </is>
      </c>
      <c r="E472" s="2" t="inlineStr">
        <is>
          <t>SP</t>
        </is>
      </c>
      <c r="F472" s="2" t="inlineStr">
        <is>
          <t>Vivo Pré</t>
        </is>
      </c>
      <c r="G472" s="2" t="inlineStr">
        <is>
          <t>vivo:VIV202600029370-9gb</t>
        </is>
      </c>
      <c r="H472" s="3" t="n">
        <v>25</v>
      </c>
      <c r="I472" s="3" t="inlineStr"/>
      <c r="J472" s="2" t="inlineStr"/>
      <c r="K472" s="2" t="inlineStr"/>
      <c r="L472" s="4" t="n">
        <v>9</v>
      </c>
      <c r="M472" s="2" t="inlineStr">
        <is>
          <t>6 GB para navegar como quiser 3 GB para navegar no YouTube</t>
        </is>
      </c>
      <c r="N472" s="2" t="n">
        <v>22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https://vivo.com.br/para-voce/produtos-e-servicos/para-o-celular/pre-pago/vivo-pre</t>
        </is>
      </c>
      <c r="V472" s="2" t="inlineStr">
        <is>
          <t>data/raw/vivo_prepaid_SP.html</t>
        </is>
      </c>
    </row>
    <row r="473">
      <c r="A473" s="5" t="inlineStr">
        <is>
          <t>2026-06-30</t>
        </is>
      </c>
      <c r="B473" s="5" t="inlineStr">
        <is>
          <t>2026-06-30T22:14:27</t>
        </is>
      </c>
      <c r="C473" s="5" t="inlineStr">
        <is>
          <t>vivo</t>
        </is>
      </c>
      <c r="D473" s="5" t="inlineStr">
        <is>
          <t>prepaid</t>
        </is>
      </c>
      <c r="E473" s="5" t="inlineStr">
        <is>
          <t>SP</t>
        </is>
      </c>
      <c r="F473" s="5" t="inlineStr">
        <is>
          <t>Vivo Pré</t>
        </is>
      </c>
      <c r="G473" s="5" t="inlineStr">
        <is>
          <t>vivo:VIV202600029370-5gb</t>
        </is>
      </c>
      <c r="H473" s="6" t="n">
        <v>20</v>
      </c>
      <c r="I473" s="6" t="inlineStr"/>
      <c r="J473" s="5" t="inlineStr"/>
      <c r="K473" s="5" t="inlineStr"/>
      <c r="L473" s="7" t="n">
        <v>5</v>
      </c>
      <c r="M473" s="5" t="inlineStr">
        <is>
          <t>5 GB para navegar como quiser</t>
        </is>
      </c>
      <c r="N473" s="5" t="n">
        <v>17</v>
      </c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https://vivo.com.br/para-voce/produtos-e-servicos/para-o-celular/pre-pago/vivo-pre</t>
        </is>
      </c>
      <c r="V473" s="5" t="inlineStr">
        <is>
          <t>data/raw/vivo_prepaid_SP.html</t>
        </is>
      </c>
    </row>
    <row r="474">
      <c r="A474" s="2" t="inlineStr">
        <is>
          <t>2026-06-30</t>
        </is>
      </c>
      <c r="B474" s="2" t="inlineStr">
        <is>
          <t>2026-06-30T22:14:27</t>
        </is>
      </c>
      <c r="C474" s="2" t="inlineStr">
        <is>
          <t>vivo</t>
        </is>
      </c>
      <c r="D474" s="2" t="inlineStr">
        <is>
          <t>prepaid</t>
        </is>
      </c>
      <c r="E474" s="2" t="inlineStr">
        <is>
          <t>SP</t>
        </is>
      </c>
      <c r="F474" s="2" t="inlineStr">
        <is>
          <t>Vivo Pré</t>
        </is>
      </c>
      <c r="G474" s="2" t="inlineStr">
        <is>
          <t>vivo:VIV202600029370-4gb</t>
        </is>
      </c>
      <c r="H474" s="3" t="n">
        <v>17</v>
      </c>
      <c r="I474" s="3" t="inlineStr"/>
      <c r="J474" s="2" t="inlineStr"/>
      <c r="K474" s="2" t="inlineStr"/>
      <c r="L474" s="4" t="n">
        <v>4</v>
      </c>
      <c r="M474" s="2" t="inlineStr">
        <is>
          <t>4 GB para navegar como quiser</t>
        </is>
      </c>
      <c r="N474" s="2" t="n">
        <v>15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https://vivo.com.br/para-voce/produtos-e-servicos/para-o-celular/pre-pago/vivo-pre</t>
        </is>
      </c>
      <c r="V474" s="2" t="inlineStr">
        <is>
          <t>data/raw/vivo_prepaid_SP.html</t>
        </is>
      </c>
    </row>
    <row r="475">
      <c r="A475" s="5" t="inlineStr">
        <is>
          <t>2026-07-01</t>
        </is>
      </c>
      <c r="B475" s="5" t="inlineStr">
        <is>
          <t>2026-07-01T22:16:09</t>
        </is>
      </c>
      <c r="C475" s="5" t="inlineStr">
        <is>
          <t>claro</t>
        </is>
      </c>
      <c r="D475" s="5" t="inlineStr">
        <is>
          <t>control</t>
        </is>
      </c>
      <c r="E475" s="5" t="inlineStr">
        <is>
          <t>SP</t>
        </is>
      </c>
      <c r="F475" s="5" t="inlineStr">
        <is>
          <t>Controle 25GB</t>
        </is>
      </c>
      <c r="G475" s="5" t="inlineStr">
        <is>
          <t>claro:plano-controle-25gb</t>
        </is>
      </c>
      <c r="H475" s="6" t="n">
        <v>59.9</v>
      </c>
      <c r="I475" s="6" t="n">
        <v>54.9</v>
      </c>
      <c r="J475" s="5" t="inlineStr">
        <is>
          <t>De R$ 59,90 Por:</t>
        </is>
      </c>
      <c r="K475" s="5" t="inlineStr"/>
      <c r="L475" s="7" t="n">
        <v>25</v>
      </c>
      <c r="M475" s="5" t="inlineStr"/>
      <c r="N475" s="5" t="inlineStr"/>
      <c r="O475" s="5" t="inlineStr">
        <is>
          <t>WhatsApp</t>
        </is>
      </c>
      <c r="P475" s="5" t="inlineStr"/>
      <c r="Q475" s="5" t="inlineStr"/>
      <c r="R475" s="5" t="inlineStr"/>
      <c r="S475" s="5" t="inlineStr"/>
      <c r="T475" s="5" t="inlineStr">
        <is>
          <t>Para uso livre; Para redes sociais e vídeos; Bônus exclusivo; Aproveite na sua franquia; WhatsApp e ligações ilimitadas</t>
        </is>
      </c>
      <c r="U475" s="5" t="inlineStr">
        <is>
          <t>https://www.claro.com.br/celular/controle</t>
        </is>
      </c>
      <c r="V475" s="5" t="inlineStr">
        <is>
          <t>data/raw/claro_control_SP.json</t>
        </is>
      </c>
    </row>
    <row r="476">
      <c r="A476" s="2" t="inlineStr">
        <is>
          <t>2026-07-01</t>
        </is>
      </c>
      <c r="B476" s="2" t="inlineStr">
        <is>
          <t>2026-07-01T22:16:09</t>
        </is>
      </c>
      <c r="C476" s="2" t="inlineStr">
        <is>
          <t>claro</t>
        </is>
      </c>
      <c r="D476" s="2" t="inlineStr">
        <is>
          <t>control</t>
        </is>
      </c>
      <c r="E476" s="2" t="inlineStr">
        <is>
          <t>SP</t>
        </is>
      </c>
      <c r="F476" s="2" t="inlineStr">
        <is>
          <t>Controle 30GB</t>
        </is>
      </c>
      <c r="G476" s="2" t="inlineStr">
        <is>
          <t>claro:plano-controle-30gb</t>
        </is>
      </c>
      <c r="H476" s="3" t="n">
        <v>69.90000000000001</v>
      </c>
      <c r="I476" s="3" t="inlineStr"/>
      <c r="J476" s="2" t="inlineStr"/>
      <c r="K476" s="2" t="inlineStr"/>
      <c r="L476" s="4" t="n">
        <v>30</v>
      </c>
      <c r="M476" s="2" t="inlineStr"/>
      <c r="N476" s="2" t="inlineStr"/>
      <c r="O476" s="2" t="inlineStr">
        <is>
          <t>WhatsApp</t>
        </is>
      </c>
      <c r="P476" s="2" t="inlineStr"/>
      <c r="Q476" s="2" t="inlineStr"/>
      <c r="R476" s="2" t="inlineStr"/>
      <c r="S476" s="2" t="inlineStr"/>
      <c r="T476" s="2" t="inlineStr">
        <is>
          <t>Para uso livre; Bônus do Hexa para uso livre; Bônus para redes sociais e apps; Redes sociais e apps; WhatsApp ilimitado</t>
        </is>
      </c>
      <c r="U476" s="2" t="inlineStr">
        <is>
          <t>https://www.claro.com.br/celular/controle</t>
        </is>
      </c>
      <c r="V476" s="2" t="inlineStr">
        <is>
          <t>data/raw/claro_control_SP.json</t>
        </is>
      </c>
    </row>
    <row r="477">
      <c r="A477" s="5" t="inlineStr">
        <is>
          <t>2026-07-01</t>
        </is>
      </c>
      <c r="B477" s="5" t="inlineStr">
        <is>
          <t>2026-07-01T22:16:09</t>
        </is>
      </c>
      <c r="C477" s="5" t="inlineStr">
        <is>
          <t>claro</t>
        </is>
      </c>
      <c r="D477" s="5" t="inlineStr">
        <is>
          <t>control</t>
        </is>
      </c>
      <c r="E477" s="5" t="inlineStr">
        <is>
          <t>SP</t>
        </is>
      </c>
      <c r="F477" s="5" t="inlineStr">
        <is>
          <t>Controle 30GB</t>
        </is>
      </c>
      <c r="G477" s="5" t="inlineStr">
        <is>
          <t>claro:plano-controle-30gb-gaming</t>
        </is>
      </c>
      <c r="H477" s="6" t="n">
        <v>99.90000000000001</v>
      </c>
      <c r="I477" s="6" t="inlineStr"/>
      <c r="J477" s="5" t="inlineStr"/>
      <c r="K477" s="5" t="inlineStr"/>
      <c r="L477" s="7" t="n">
        <v>30</v>
      </c>
      <c r="M477" s="5" t="inlineStr"/>
      <c r="N477" s="5" t="inlineStr"/>
      <c r="O477" s="5" t="inlineStr">
        <is>
          <t>WhatsApp</t>
        </is>
      </c>
      <c r="P477" s="5" t="inlineStr"/>
      <c r="Q477" s="5" t="inlineStr"/>
      <c r="R477" s="5" t="inlineStr"/>
      <c r="S477" s="5" t="inlineStr"/>
      <c r="T477" s="5" t="inlineStr">
        <is>
          <t>Para uso livre; Bônus para redes sociais e apps; Bônus uso livre; Redes sociais e apps; WhatsApp ilimitado</t>
        </is>
      </c>
      <c r="U477" s="5" t="inlineStr">
        <is>
          <t>https://www.claro.com.br/celular/controle</t>
        </is>
      </c>
      <c r="V477" s="5" t="inlineStr">
        <is>
          <t>data/raw/claro_control_SP.json</t>
        </is>
      </c>
    </row>
    <row r="478">
      <c r="A478" s="2" t="inlineStr">
        <is>
          <t>2026-07-01</t>
        </is>
      </c>
      <c r="B478" s="2" t="inlineStr">
        <is>
          <t>2026-07-01T22:16:09</t>
        </is>
      </c>
      <c r="C478" s="2" t="inlineStr">
        <is>
          <t>claro</t>
        </is>
      </c>
      <c r="D478" s="2" t="inlineStr">
        <is>
          <t>flex</t>
        </is>
      </c>
      <c r="E478" s="2" t="inlineStr">
        <is>
          <t>SP</t>
        </is>
      </c>
      <c r="F478" s="2" t="inlineStr">
        <is>
          <t>Flex 15GB</t>
        </is>
      </c>
      <c r="G478" s="2" t="inlineStr">
        <is>
          <t>claro:plano-flex-15gb</t>
        </is>
      </c>
      <c r="H478" s="3" t="n">
        <v>44.9</v>
      </c>
      <c r="I478" s="3" t="inlineStr"/>
      <c r="J478" s="2" t="inlineStr"/>
      <c r="K478" s="2" t="inlineStr"/>
      <c r="L478" s="4" t="n">
        <v>15</v>
      </c>
      <c r="M478" s="2" t="inlineStr"/>
      <c r="N478" s="2" t="inlineStr"/>
      <c r="O478" s="2" t="inlineStr">
        <is>
          <t>WhatsApp</t>
        </is>
      </c>
      <c r="P478" s="2" t="inlineStr"/>
      <c r="Q478" s="2" t="inlineStr"/>
      <c r="R478" s="2" t="inlineStr"/>
      <c r="S478" s="2" t="inlineStr"/>
      <c r="T478" s="2" t="inlineStr">
        <is>
          <t>Para uso livre; Bônus do Hexa para uso livre; Para redes sociais e apps; Bônus extra nos apps; WhatsApp ilimitado</t>
        </is>
      </c>
      <c r="U478" s="2" t="inlineStr">
        <is>
          <t>https://www.claro.com.br/celular/flex</t>
        </is>
      </c>
      <c r="V478" s="2" t="inlineStr">
        <is>
          <t>data/raw/claro_flex_SP.json</t>
        </is>
      </c>
    </row>
    <row r="479">
      <c r="A479" s="5" t="inlineStr">
        <is>
          <t>2026-07-01</t>
        </is>
      </c>
      <c r="B479" s="5" t="inlineStr">
        <is>
          <t>2026-07-01T22:16:09</t>
        </is>
      </c>
      <c r="C479" s="5" t="inlineStr">
        <is>
          <t>claro</t>
        </is>
      </c>
      <c r="D479" s="5" t="inlineStr">
        <is>
          <t>flex</t>
        </is>
      </c>
      <c r="E479" s="5" t="inlineStr">
        <is>
          <t>SP</t>
        </is>
      </c>
      <c r="F479" s="5" t="inlineStr">
        <is>
          <t>Flex 20GB</t>
        </is>
      </c>
      <c r="G479" s="5" t="inlineStr">
        <is>
          <t>claro:plano-flex-20gb</t>
        </is>
      </c>
      <c r="H479" s="6" t="n">
        <v>59.9</v>
      </c>
      <c r="I479" s="6" t="inlineStr"/>
      <c r="J479" s="5" t="inlineStr"/>
      <c r="K479" s="5" t="inlineStr"/>
      <c r="L479" s="7" t="n">
        <v>20</v>
      </c>
      <c r="M479" s="5" t="inlineStr"/>
      <c r="N479" s="5" t="inlineStr"/>
      <c r="O479" s="5" t="inlineStr">
        <is>
          <t>WhatsApp</t>
        </is>
      </c>
      <c r="P479" s="5" t="inlineStr"/>
      <c r="Q479" s="5" t="inlineStr"/>
      <c r="R479" s="5" t="inlineStr"/>
      <c r="S479" s="5" t="inlineStr"/>
      <c r="T479" s="5" t="inlineStr">
        <is>
          <t>Para uso livre; Bônus do Hexa para uso livre; Para redes sociais e apps; Bônus extra nos apps; WhatsApp ilimitado</t>
        </is>
      </c>
      <c r="U479" s="5" t="inlineStr">
        <is>
          <t>https://www.claro.com.br/celular/flex</t>
        </is>
      </c>
      <c r="V479" s="5" t="inlineStr">
        <is>
          <t>data/raw/claro_flex_SP.json</t>
        </is>
      </c>
    </row>
    <row r="480">
      <c r="A480" s="2" t="inlineStr">
        <is>
          <t>2026-07-01</t>
        </is>
      </c>
      <c r="B480" s="2" t="inlineStr">
        <is>
          <t>2026-07-01T22:16:09</t>
        </is>
      </c>
      <c r="C480" s="2" t="inlineStr">
        <is>
          <t>claro</t>
        </is>
      </c>
      <c r="D480" s="2" t="inlineStr">
        <is>
          <t>flex</t>
        </is>
      </c>
      <c r="E480" s="2" t="inlineStr">
        <is>
          <t>SP</t>
        </is>
      </c>
      <c r="F480" s="2" t="inlineStr">
        <is>
          <t>Flex 30GB</t>
        </is>
      </c>
      <c r="G480" s="2" t="inlineStr">
        <is>
          <t>claro:plano-flex-30gb</t>
        </is>
      </c>
      <c r="H480" s="3" t="n">
        <v>69.90000000000001</v>
      </c>
      <c r="I480" s="3" t="inlineStr"/>
      <c r="J480" s="2" t="inlineStr"/>
      <c r="K480" s="2" t="inlineStr"/>
      <c r="L480" s="4" t="n">
        <v>30</v>
      </c>
      <c r="M480" s="2" t="inlineStr"/>
      <c r="N480" s="2" t="inlineStr"/>
      <c r="O480" s="2" t="inlineStr">
        <is>
          <t>WhatsApp</t>
        </is>
      </c>
      <c r="P480" s="2" t="inlineStr"/>
      <c r="Q480" s="2" t="inlineStr"/>
      <c r="R480" s="2" t="inlineStr"/>
      <c r="S480" s="2" t="inlineStr"/>
      <c r="T480" s="2" t="inlineStr">
        <is>
          <t>Para uso livre; Bônus do Hexa para uso livre; Para redes sociais e apps; Bônus extra nos apps; WhatsApp ilimitado; Assinatura Claro musica inclusa</t>
        </is>
      </c>
      <c r="U480" s="2" t="inlineStr">
        <is>
          <t>https://www.claro.com.br/celular/flex</t>
        </is>
      </c>
      <c r="V480" s="2" t="inlineStr">
        <is>
          <t>data/raw/claro_flex_SP.json</t>
        </is>
      </c>
    </row>
    <row r="481">
      <c r="A481" s="5" t="inlineStr">
        <is>
          <t>2026-07-01</t>
        </is>
      </c>
      <c r="B481" s="5" t="inlineStr">
        <is>
          <t>2026-07-01T22:16:09</t>
        </is>
      </c>
      <c r="C481" s="5" t="inlineStr">
        <is>
          <t>claro</t>
        </is>
      </c>
      <c r="D481" s="5" t="inlineStr">
        <is>
          <t>flex</t>
        </is>
      </c>
      <c r="E481" s="5" t="inlineStr">
        <is>
          <t>SP</t>
        </is>
      </c>
      <c r="F481" s="5" t="inlineStr">
        <is>
          <t>Flex 40GB</t>
        </is>
      </c>
      <c r="G481" s="5" t="inlineStr">
        <is>
          <t>claro:plano-flex-40gb</t>
        </is>
      </c>
      <c r="H481" s="6" t="n">
        <v>119.9</v>
      </c>
      <c r="I481" s="6" t="inlineStr"/>
      <c r="J481" s="5" t="inlineStr"/>
      <c r="K481" s="5" t="inlineStr"/>
      <c r="L481" s="7" t="n">
        <v>40</v>
      </c>
      <c r="M481" s="5" t="inlineStr"/>
      <c r="N481" s="5" t="inlineStr"/>
      <c r="O481" s="5" t="inlineStr">
        <is>
          <t>WhatsApp</t>
        </is>
      </c>
      <c r="P481" s="5" t="inlineStr"/>
      <c r="Q481" s="5" t="inlineStr"/>
      <c r="R481" s="5" t="inlineStr"/>
      <c r="S481" s="5" t="inlineStr"/>
      <c r="T481" s="5" t="inlineStr">
        <is>
          <t>Para uso livre; Para redes sociais e apps; Bônus uso livre; Bônus extra nos apps; WhatsApp ilimitado; Assinatura Claro musica inclusa</t>
        </is>
      </c>
      <c r="U481" s="5" t="inlineStr">
        <is>
          <t>https://www.claro.com.br/celular/flex</t>
        </is>
      </c>
      <c r="V481" s="5" t="inlineStr">
        <is>
          <t>data/raw/claro_flex_SP.json</t>
        </is>
      </c>
    </row>
    <row r="482">
      <c r="A482" s="2" t="inlineStr">
        <is>
          <t>2026-07-01</t>
        </is>
      </c>
      <c r="B482" s="2" t="inlineStr">
        <is>
          <t>2026-07-01T22:16:09</t>
        </is>
      </c>
      <c r="C482" s="2" t="inlineStr">
        <is>
          <t>claro</t>
        </is>
      </c>
      <c r="D482" s="2" t="inlineStr">
        <is>
          <t>postpaid</t>
        </is>
      </c>
      <c r="E482" s="2" t="inlineStr">
        <is>
          <t>SP</t>
        </is>
      </c>
      <c r="F482" s="2" t="inlineStr">
        <is>
          <t>Pós 100GB</t>
        </is>
      </c>
      <c r="G482" s="2" t="inlineStr">
        <is>
          <t>claro:plano-pos-100gb</t>
        </is>
      </c>
      <c r="H482" s="3" t="n">
        <v>179.9</v>
      </c>
      <c r="I482" s="3" t="inlineStr"/>
      <c r="J482" s="2" t="inlineStr"/>
      <c r="K482" s="2" t="inlineStr"/>
      <c r="L482" s="4" t="n">
        <v>100</v>
      </c>
      <c r="M482" s="2" t="inlineStr"/>
      <c r="N482" s="2" t="inlineStr"/>
      <c r="O482" s="2" t="inlineStr">
        <is>
          <t>WhatsApp</t>
        </is>
      </c>
      <c r="P482" s="2" t="inlineStr"/>
      <c r="Q482" s="2" t="inlineStr"/>
      <c r="R482" s="2" t="inlineStr"/>
      <c r="S482" s="2" t="inlineStr"/>
      <c r="T482" s="2" t="inlineStr">
        <is>
          <t>Armazenamento na nuvem:; Google One ou iCloud+; WhatsApp ilimitado; Roaming: Passaporte Américas; Claro Sync: Smartwatch conectado</t>
        </is>
      </c>
      <c r="U482" s="2" t="inlineStr">
        <is>
          <t>https://www.claro.com.br/celular/pos</t>
        </is>
      </c>
      <c r="V482" s="2" t="inlineStr">
        <is>
          <t>data/raw/claro_postpaid_SP.json</t>
        </is>
      </c>
    </row>
    <row r="483">
      <c r="A483" s="5" t="inlineStr">
        <is>
          <t>2026-07-01</t>
        </is>
      </c>
      <c r="B483" s="5" t="inlineStr">
        <is>
          <t>2026-07-01T22:16:09</t>
        </is>
      </c>
      <c r="C483" s="5" t="inlineStr">
        <is>
          <t>claro</t>
        </is>
      </c>
      <c r="D483" s="5" t="inlineStr">
        <is>
          <t>postpaid</t>
        </is>
      </c>
      <c r="E483" s="5" t="inlineStr">
        <is>
          <t>SP</t>
        </is>
      </c>
      <c r="F483" s="5" t="inlineStr">
        <is>
          <t>Pós 150GB</t>
        </is>
      </c>
      <c r="G483" s="5" t="inlineStr">
        <is>
          <t>claro:plano-pos-150gb</t>
        </is>
      </c>
      <c r="H483" s="6" t="n">
        <v>239.9</v>
      </c>
      <c r="I483" s="6" t="inlineStr"/>
      <c r="J483" s="5" t="inlineStr"/>
      <c r="K483" s="5" t="inlineStr"/>
      <c r="L483" s="7" t="n">
        <v>150</v>
      </c>
      <c r="M483" s="5" t="inlineStr"/>
      <c r="N483" s="5" t="inlineStr"/>
      <c r="O483" s="5" t="inlineStr">
        <is>
          <t>WhatsApp</t>
        </is>
      </c>
      <c r="P483" s="5" t="inlineStr"/>
      <c r="Q483" s="5" t="inlineStr"/>
      <c r="R483" s="5" t="inlineStr"/>
      <c r="S483" s="5" t="inlineStr"/>
      <c r="T483" s="5" t="inlineStr">
        <is>
          <t>Armazenamento na nuvem:; Google One ou iCloud+; WhatsApp ilimitado; Roaming: Passaporte Américas e Europa; Claro Sync: Smartwatch conectado</t>
        </is>
      </c>
      <c r="U483" s="5" t="inlineStr">
        <is>
          <t>https://www.claro.com.br/celular/pos</t>
        </is>
      </c>
      <c r="V483" s="5" t="inlineStr">
        <is>
          <t>data/raw/claro_postpaid_SP.json</t>
        </is>
      </c>
    </row>
    <row r="484">
      <c r="A484" s="2" t="inlineStr">
        <is>
          <t>2026-07-01</t>
        </is>
      </c>
      <c r="B484" s="2" t="inlineStr">
        <is>
          <t>2026-07-01T22:16:09</t>
        </is>
      </c>
      <c r="C484" s="2" t="inlineStr">
        <is>
          <t>claro</t>
        </is>
      </c>
      <c r="D484" s="2" t="inlineStr">
        <is>
          <t>postpaid</t>
        </is>
      </c>
      <c r="E484" s="2" t="inlineStr">
        <is>
          <t>SP</t>
        </is>
      </c>
      <c r="F484" s="2" t="inlineStr">
        <is>
          <t>Pós 200GB</t>
        </is>
      </c>
      <c r="G484" s="2" t="inlineStr">
        <is>
          <t>claro:plano-pos-200gb</t>
        </is>
      </c>
      <c r="H484" s="3" t="n">
        <v>339.9</v>
      </c>
      <c r="I484" s="3" t="inlineStr"/>
      <c r="J484" s="2" t="inlineStr"/>
      <c r="K484" s="2" t="inlineStr"/>
      <c r="L484" s="4" t="n">
        <v>200</v>
      </c>
      <c r="M484" s="2" t="inlineStr"/>
      <c r="N484" s="2" t="inlineStr"/>
      <c r="O484" s="2" t="inlineStr">
        <is>
          <t>WhatsApp</t>
        </is>
      </c>
      <c r="P484" s="2" t="inlineStr"/>
      <c r="Q484" s="2" t="inlineStr"/>
      <c r="R484" s="2" t="inlineStr"/>
      <c r="S484" s="2" t="inlineStr"/>
      <c r="T484" s="2" t="inlineStr">
        <is>
          <t>Armazenamento na nuvem:; Google One ou iCloud+; WhatsApp ilimitado; Roaming: Passaporte Mundo; Claro Sync: Smartwatch conectado</t>
        </is>
      </c>
      <c r="U484" s="2" t="inlineStr">
        <is>
          <t>https://www.claro.com.br/celular/pos</t>
        </is>
      </c>
      <c r="V484" s="2" t="inlineStr">
        <is>
          <t>data/raw/claro_postpaid_SP.json</t>
        </is>
      </c>
    </row>
    <row r="485">
      <c r="A485" s="5" t="inlineStr">
        <is>
          <t>2026-07-01</t>
        </is>
      </c>
      <c r="B485" s="5" t="inlineStr">
        <is>
          <t>2026-07-01T22:16:09</t>
        </is>
      </c>
      <c r="C485" s="5" t="inlineStr">
        <is>
          <t>claro</t>
        </is>
      </c>
      <c r="D485" s="5" t="inlineStr">
        <is>
          <t>postpaid</t>
        </is>
      </c>
      <c r="E485" s="5" t="inlineStr">
        <is>
          <t>SP</t>
        </is>
      </c>
      <c r="F485" s="5" t="inlineStr">
        <is>
          <t>Pós 50GB com GeForce NOW</t>
        </is>
      </c>
      <c r="G485" s="5" t="inlineStr">
        <is>
          <t>claro:plano-pos-60gb-geforce</t>
        </is>
      </c>
      <c r="H485" s="6" t="n">
        <v>164.9</v>
      </c>
      <c r="I485" s="6" t="inlineStr"/>
      <c r="J485" s="5" t="inlineStr"/>
      <c r="K485" s="5" t="inlineStr"/>
      <c r="L485" s="7" t="n">
        <v>50</v>
      </c>
      <c r="M485" s="5" t="inlineStr"/>
      <c r="N485" s="5" t="inlineStr"/>
      <c r="O485" s="5" t="inlineStr">
        <is>
          <t>WhatsApp</t>
        </is>
      </c>
      <c r="P485" s="5" t="inlineStr"/>
      <c r="Q485" s="5" t="inlineStr"/>
      <c r="R485" s="5" t="inlineStr"/>
      <c r="S485" s="5" t="inlineStr"/>
      <c r="T485" s="5" t="inlineStr">
        <is>
          <t>Armazenamento na nuvem:; Google One ou iCloud+; WhatsApp ilimitado; Roaming: Passaporte Américas; Claro Sync: Smartwatch conectado; Inclusa assinatura GeForce NOW</t>
        </is>
      </c>
      <c r="U485" s="5" t="inlineStr">
        <is>
          <t>https://www.claro.com.br/celular/pos</t>
        </is>
      </c>
      <c r="V485" s="5" t="inlineStr">
        <is>
          <t>data/raw/claro_postpaid_SP.json</t>
        </is>
      </c>
    </row>
    <row r="486">
      <c r="A486" s="2" t="inlineStr">
        <is>
          <t>2026-07-01</t>
        </is>
      </c>
      <c r="B486" s="2" t="inlineStr">
        <is>
          <t>2026-07-01T22:16:09</t>
        </is>
      </c>
      <c r="C486" s="2" t="inlineStr">
        <is>
          <t>claro</t>
        </is>
      </c>
      <c r="D486" s="2" t="inlineStr">
        <is>
          <t>postpaid</t>
        </is>
      </c>
      <c r="E486" s="2" t="inlineStr">
        <is>
          <t>SP</t>
        </is>
      </c>
      <c r="F486" s="2" t="inlineStr">
        <is>
          <t>Pós 60GB</t>
        </is>
      </c>
      <c r="G486" s="2" t="inlineStr">
        <is>
          <t>claro:plano-pos-60gb</t>
        </is>
      </c>
      <c r="H486" s="3" t="n">
        <v>124.9</v>
      </c>
      <c r="I486" s="3" t="inlineStr"/>
      <c r="J486" s="2" t="inlineStr"/>
      <c r="K486" s="2" t="inlineStr"/>
      <c r="L486" s="4" t="n">
        <v>60</v>
      </c>
      <c r="M486" s="2" t="inlineStr"/>
      <c r="N486" s="2" t="inlineStr"/>
      <c r="O486" s="2" t="inlineStr">
        <is>
          <t>WhatsApp</t>
        </is>
      </c>
      <c r="P486" s="2" t="inlineStr"/>
      <c r="Q486" s="2" t="inlineStr"/>
      <c r="R486" s="2" t="inlineStr"/>
      <c r="S486" s="2" t="inlineStr"/>
      <c r="T486" s="2" t="inlineStr">
        <is>
          <t>Armazenamento na nuvem:; Google One ou iCloud+; WhatsApp ilimitado; Roaming: Passaporte Américas; Claro Sync: Smartwatch conectado</t>
        </is>
      </c>
      <c r="U486" s="2" t="inlineStr">
        <is>
          <t>https://www.claro.com.br/celular/pos</t>
        </is>
      </c>
      <c r="V486" s="2" t="inlineStr">
        <is>
          <t>data/raw/claro_postpaid_SP.json</t>
        </is>
      </c>
    </row>
    <row r="487">
      <c r="A487" s="5" t="inlineStr">
        <is>
          <t>2026-07-01</t>
        </is>
      </c>
      <c r="B487" s="5" t="inlineStr">
        <is>
          <t>2026-07-01T22:16:09</t>
        </is>
      </c>
      <c r="C487" s="5" t="inlineStr">
        <is>
          <t>claro</t>
        </is>
      </c>
      <c r="D487" s="5" t="inlineStr">
        <is>
          <t>prepaid</t>
        </is>
      </c>
      <c r="E487" s="5" t="inlineStr">
        <is>
          <t>SP</t>
        </is>
      </c>
      <c r="F487" s="5" t="inlineStr">
        <is>
          <t>Prezão 10GB (25 dias)</t>
        </is>
      </c>
      <c r="G487" s="5" t="inlineStr">
        <is>
          <t>claro:prezao-25d-10gb</t>
        </is>
      </c>
      <c r="H487" s="6" t="n">
        <v>25</v>
      </c>
      <c r="I487" s="6" t="inlineStr"/>
      <c r="J487" s="5" t="inlineStr">
        <is>
          <t>recarga Prezão R$25 — validade 25 dias</t>
        </is>
      </c>
      <c r="K487" s="5" t="inlineStr"/>
      <c r="L487" s="7" t="n">
        <v>10</v>
      </c>
      <c r="M487" s="5" t="inlineStr"/>
      <c r="N487" s="5" t="n">
        <v>25</v>
      </c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https://www.claro.com.br/celular/planos-pre/prezao</t>
        </is>
      </c>
      <c r="V487" s="5" t="inlineStr">
        <is>
          <t>data/raw/claro_prepaid_SP.json</t>
        </is>
      </c>
    </row>
    <row r="488">
      <c r="A488" s="2" t="inlineStr">
        <is>
          <t>2026-07-01</t>
        </is>
      </c>
      <c r="B488" s="2" t="inlineStr">
        <is>
          <t>2026-07-01T22:16:09</t>
        </is>
      </c>
      <c r="C488" s="2" t="inlineStr">
        <is>
          <t>claro</t>
        </is>
      </c>
      <c r="D488" s="2" t="inlineStr">
        <is>
          <t>prepaid</t>
        </is>
      </c>
      <c r="E488" s="2" t="inlineStr">
        <is>
          <t>SP</t>
        </is>
      </c>
      <c r="F488" s="2" t="inlineStr">
        <is>
          <t>Prezão 12GB (30 dias)</t>
        </is>
      </c>
      <c r="G488" s="2" t="inlineStr">
        <is>
          <t>claro:prezao-30d-12gb</t>
        </is>
      </c>
      <c r="H488" s="3" t="n">
        <v>30</v>
      </c>
      <c r="I488" s="3" t="inlineStr"/>
      <c r="J488" s="2" t="inlineStr">
        <is>
          <t>recarga Prezão R$30 — validade 30 dias</t>
        </is>
      </c>
      <c r="K488" s="2" t="inlineStr"/>
      <c r="L488" s="4" t="n">
        <v>12</v>
      </c>
      <c r="M488" s="2" t="inlineStr"/>
      <c r="N488" s="2" t="n">
        <v>30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https://www.claro.com.br/celular/planos-pre/prezao</t>
        </is>
      </c>
      <c r="V488" s="2" t="inlineStr">
        <is>
          <t>data/raw/claro_prepaid_SP.json</t>
        </is>
      </c>
    </row>
    <row r="489">
      <c r="A489" s="5" t="inlineStr">
        <is>
          <t>2026-07-01</t>
        </is>
      </c>
      <c r="B489" s="5" t="inlineStr">
        <is>
          <t>2026-07-01T22:16:09</t>
        </is>
      </c>
      <c r="C489" s="5" t="inlineStr">
        <is>
          <t>claro</t>
        </is>
      </c>
      <c r="D489" s="5" t="inlineStr">
        <is>
          <t>prepaid</t>
        </is>
      </c>
      <c r="E489" s="5" t="inlineStr">
        <is>
          <t>SP</t>
        </is>
      </c>
      <c r="F489" s="5" t="inlineStr">
        <is>
          <t>Prezão 4GB (12 dias)</t>
        </is>
      </c>
      <c r="G489" s="5" t="inlineStr">
        <is>
          <t>claro:prezao-12d-4gb</t>
        </is>
      </c>
      <c r="H489" s="6" t="n">
        <v>15</v>
      </c>
      <c r="I489" s="6" t="inlineStr"/>
      <c r="J489" s="5" t="inlineStr">
        <is>
          <t>recarga Prezão R$15 — validade 12 dias</t>
        </is>
      </c>
      <c r="K489" s="5" t="inlineStr"/>
      <c r="L489" s="7" t="n">
        <v>4</v>
      </c>
      <c r="M489" s="5" t="inlineStr"/>
      <c r="N489" s="5" t="n">
        <v>12</v>
      </c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https://www.claro.com.br/celular/planos-pre/prezao</t>
        </is>
      </c>
      <c r="V489" s="5" t="inlineStr">
        <is>
          <t>data/raw/claro_prepaid_SP.json</t>
        </is>
      </c>
    </row>
    <row r="490">
      <c r="A490" s="2" t="inlineStr">
        <is>
          <t>2026-07-01</t>
        </is>
      </c>
      <c r="B490" s="2" t="inlineStr">
        <is>
          <t>2026-07-01T22:16:09</t>
        </is>
      </c>
      <c r="C490" s="2" t="inlineStr">
        <is>
          <t>claro</t>
        </is>
      </c>
      <c r="D490" s="2" t="inlineStr">
        <is>
          <t>prepaid</t>
        </is>
      </c>
      <c r="E490" s="2" t="inlineStr">
        <is>
          <t>SP</t>
        </is>
      </c>
      <c r="F490" s="2" t="inlineStr">
        <is>
          <t>Prezão 5GB (15 dias)</t>
        </is>
      </c>
      <c r="G490" s="2" t="inlineStr">
        <is>
          <t>claro:prezao-15d-5gb</t>
        </is>
      </c>
      <c r="H490" s="3" t="n">
        <v>15</v>
      </c>
      <c r="I490" s="3" t="inlineStr"/>
      <c r="J490" s="2" t="inlineStr">
        <is>
          <t>recarga Prezão R$15 — validade 15 dias</t>
        </is>
      </c>
      <c r="K490" s="2" t="inlineStr"/>
      <c r="L490" s="4" t="n">
        <v>5</v>
      </c>
      <c r="M490" s="2" t="inlineStr"/>
      <c r="N490" s="2" t="n">
        <v>15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https://www.claro.com.br/celular/planos-pre/prezao</t>
        </is>
      </c>
      <c r="V490" s="2" t="inlineStr">
        <is>
          <t>data/raw/claro_prepaid_SP.json</t>
        </is>
      </c>
    </row>
    <row r="491">
      <c r="A491" s="5" t="inlineStr">
        <is>
          <t>2026-07-01</t>
        </is>
      </c>
      <c r="B491" s="5" t="inlineStr">
        <is>
          <t>2026-07-01T22:16:09</t>
        </is>
      </c>
      <c r="C491" s="5" t="inlineStr">
        <is>
          <t>claro</t>
        </is>
      </c>
      <c r="D491" s="5" t="inlineStr">
        <is>
          <t>prepaid</t>
        </is>
      </c>
      <c r="E491" s="5" t="inlineStr">
        <is>
          <t>SP</t>
        </is>
      </c>
      <c r="F491" s="5" t="inlineStr">
        <is>
          <t>Prezão 6GB (20 dias)</t>
        </is>
      </c>
      <c r="G491" s="5" t="inlineStr">
        <is>
          <t>claro:prezao-20d-6gb</t>
        </is>
      </c>
      <c r="H491" s="6" t="n">
        <v>20</v>
      </c>
      <c r="I491" s="6" t="inlineStr"/>
      <c r="J491" s="5" t="inlineStr">
        <is>
          <t>recarga Prezão R$20 — validade 20 dias</t>
        </is>
      </c>
      <c r="K491" s="5" t="inlineStr"/>
      <c r="L491" s="7" t="n">
        <v>6</v>
      </c>
      <c r="M491" s="5" t="inlineStr"/>
      <c r="N491" s="5" t="n">
        <v>20</v>
      </c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https://www.claro.com.br/celular/planos-pre/prezao</t>
        </is>
      </c>
      <c r="V491" s="5" t="inlineStr">
        <is>
          <t>data/raw/claro_prepaid_SP.json</t>
        </is>
      </c>
    </row>
    <row r="492">
      <c r="A492" s="2" t="inlineStr">
        <is>
          <t>2026-07-01</t>
        </is>
      </c>
      <c r="B492" s="2" t="inlineStr">
        <is>
          <t>2026-07-01T22:16:09</t>
        </is>
      </c>
      <c r="C492" s="2" t="inlineStr">
        <is>
          <t>claro</t>
        </is>
      </c>
      <c r="D492" s="2" t="inlineStr">
        <is>
          <t>prepaid</t>
        </is>
      </c>
      <c r="E492" s="2" t="inlineStr">
        <is>
          <t>SP</t>
        </is>
      </c>
      <c r="F492" s="2" t="inlineStr">
        <is>
          <t>Prezão 8GB (20 dias)</t>
        </is>
      </c>
      <c r="G492" s="2" t="inlineStr">
        <is>
          <t>claro:prezao-20d-8gb</t>
        </is>
      </c>
      <c r="H492" s="3" t="n">
        <v>20</v>
      </c>
      <c r="I492" s="3" t="inlineStr"/>
      <c r="J492" s="2" t="inlineStr">
        <is>
          <t>recarga Prezão R$20 — validade 20 dias</t>
        </is>
      </c>
      <c r="K492" s="2" t="inlineStr"/>
      <c r="L492" s="4" t="n">
        <v>8</v>
      </c>
      <c r="M492" s="2" t="inlineStr"/>
      <c r="N492" s="2" t="n">
        <v>20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https://www.claro.com.br/celular/planos-pre/prezao</t>
        </is>
      </c>
      <c r="V492" s="2" t="inlineStr">
        <is>
          <t>data/raw/claro_prepaid_SP.json</t>
        </is>
      </c>
    </row>
    <row r="493">
      <c r="A493" s="5" t="inlineStr">
        <is>
          <t>2026-07-01</t>
        </is>
      </c>
      <c r="B493" s="5" t="inlineStr">
        <is>
          <t>2026-07-01T22:16:09</t>
        </is>
      </c>
      <c r="C493" s="5" t="inlineStr">
        <is>
          <t>claro</t>
        </is>
      </c>
      <c r="D493" s="5" t="inlineStr">
        <is>
          <t>prepaid</t>
        </is>
      </c>
      <c r="E493" s="5" t="inlineStr">
        <is>
          <t>SP</t>
        </is>
      </c>
      <c r="F493" s="5" t="inlineStr">
        <is>
          <t>Prezão 9GB (25 dias)</t>
        </is>
      </c>
      <c r="G493" s="5" t="inlineStr">
        <is>
          <t>claro:prezao-25d-9gb</t>
        </is>
      </c>
      <c r="H493" s="6" t="n">
        <v>25</v>
      </c>
      <c r="I493" s="6" t="inlineStr"/>
      <c r="J493" s="5" t="inlineStr">
        <is>
          <t>recarga Prezão R$25 — validade 25 dias</t>
        </is>
      </c>
      <c r="K493" s="5" t="inlineStr"/>
      <c r="L493" s="7" t="n">
        <v>9</v>
      </c>
      <c r="M493" s="5" t="inlineStr"/>
      <c r="N493" s="5" t="n">
        <v>25</v>
      </c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https://www.claro.com.br/celular/planos-pre/prezao</t>
        </is>
      </c>
      <c r="V493" s="5" t="inlineStr">
        <is>
          <t>data/raw/claro_prepaid_SP.json</t>
        </is>
      </c>
    </row>
    <row r="494">
      <c r="A494" s="2" t="inlineStr">
        <is>
          <t>2026-07-01</t>
        </is>
      </c>
      <c r="B494" s="2" t="inlineStr">
        <is>
          <t>2026-07-01T22:16:09</t>
        </is>
      </c>
      <c r="C494" s="2" t="inlineStr">
        <is>
          <t>tim</t>
        </is>
      </c>
      <c r="D494" s="2" t="inlineStr">
        <is>
          <t>control</t>
        </is>
      </c>
      <c r="E494" s="2" t="inlineStr">
        <is>
          <t>SP</t>
        </is>
      </c>
      <c r="F494" s="2" t="inlineStr">
        <is>
          <t>TIM Controle 41GB</t>
        </is>
      </c>
      <c r="G494" s="2" t="inlineStr">
        <is>
          <t>tim:162901</t>
        </is>
      </c>
      <c r="H494" s="3" t="n">
        <v>58.99</v>
      </c>
      <c r="I494" s="3" t="inlineStr"/>
      <c r="J494" s="2" t="inlineStr"/>
      <c r="K494" s="2" t="inlineStr"/>
      <c r="L494" s="4" t="n">
        <v>41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https://www.tim.com.br/sp/para-voce/planos/controle</t>
        </is>
      </c>
      <c r="V494" s="2" t="inlineStr">
        <is>
          <t>data/raw/tim_control_SP.html</t>
        </is>
      </c>
    </row>
    <row r="495">
      <c r="A495" s="5" t="inlineStr">
        <is>
          <t>2026-07-01</t>
        </is>
      </c>
      <c r="B495" s="5" t="inlineStr">
        <is>
          <t>2026-07-01T22:16:09</t>
        </is>
      </c>
      <c r="C495" s="5" t="inlineStr">
        <is>
          <t>tim</t>
        </is>
      </c>
      <c r="D495" s="5" t="inlineStr">
        <is>
          <t>control</t>
        </is>
      </c>
      <c r="E495" s="5" t="inlineStr">
        <is>
          <t>SP</t>
        </is>
      </c>
      <c r="F495" s="5" t="inlineStr">
        <is>
          <t>TIM Controle Light Express 31GB</t>
        </is>
      </c>
      <c r="G495" s="5" t="inlineStr">
        <is>
          <t>tim:143536</t>
        </is>
      </c>
      <c r="H495" s="6" t="n">
        <v>60.99</v>
      </c>
      <c r="I495" s="6" t="inlineStr"/>
      <c r="J495" s="5" t="inlineStr"/>
      <c r="K495" s="5" t="inlineStr"/>
      <c r="L495" s="7" t="n">
        <v>31</v>
      </c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https://www.tim.com.br/sp/para-voce/planos/controle</t>
        </is>
      </c>
      <c r="V495" s="5" t="inlineStr">
        <is>
          <t>data/raw/tim_control_SP.html</t>
        </is>
      </c>
    </row>
    <row r="496">
      <c r="A496" s="2" t="inlineStr">
        <is>
          <t>2026-07-01</t>
        </is>
      </c>
      <c r="B496" s="2" t="inlineStr">
        <is>
          <t>2026-07-01T22:16:09</t>
        </is>
      </c>
      <c r="C496" s="2" t="inlineStr">
        <is>
          <t>tim</t>
        </is>
      </c>
      <c r="D496" s="2" t="inlineStr">
        <is>
          <t>control</t>
        </is>
      </c>
      <c r="E496" s="2" t="inlineStr">
        <is>
          <t>SP</t>
        </is>
      </c>
      <c r="F496" s="2" t="inlineStr">
        <is>
          <t>TIM Controle Plus 45GB</t>
        </is>
      </c>
      <c r="G496" s="2" t="inlineStr">
        <is>
          <t>tim:155891</t>
        </is>
      </c>
      <c r="H496" s="3" t="n">
        <v>64.98999999999999</v>
      </c>
      <c r="I496" s="3" t="inlineStr"/>
      <c r="J496" s="2" t="inlineStr"/>
      <c r="K496" s="2" t="inlineStr"/>
      <c r="L496" s="4" t="n">
        <v>45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https://www.tim.com.br/sp/para-voce/planos/controle</t>
        </is>
      </c>
      <c r="V496" s="2" t="inlineStr">
        <is>
          <t>data/raw/tim_control_SP.html</t>
        </is>
      </c>
    </row>
    <row r="497">
      <c r="A497" s="5" t="inlineStr">
        <is>
          <t>2026-07-01</t>
        </is>
      </c>
      <c r="B497" s="5" t="inlineStr">
        <is>
          <t>2026-07-01T22:16:09</t>
        </is>
      </c>
      <c r="C497" s="5" t="inlineStr">
        <is>
          <t>tim</t>
        </is>
      </c>
      <c r="D497" s="5" t="inlineStr">
        <is>
          <t>control</t>
        </is>
      </c>
      <c r="E497" s="5" t="inlineStr">
        <is>
          <t>SP</t>
        </is>
      </c>
      <c r="F497" s="5" t="inlineStr">
        <is>
          <t>TIM Controle Premium 53GB</t>
        </is>
      </c>
      <c r="G497" s="5" t="inlineStr">
        <is>
          <t>tim:162896</t>
        </is>
      </c>
      <c r="H497" s="6" t="n">
        <v>84.98999999999999</v>
      </c>
      <c r="I497" s="6" t="inlineStr"/>
      <c r="J497" s="5" t="inlineStr"/>
      <c r="K497" s="5" t="inlineStr"/>
      <c r="L497" s="7" t="n">
        <v>53</v>
      </c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https://www.tim.com.br/sp/para-voce/planos/controle</t>
        </is>
      </c>
      <c r="V497" s="5" t="inlineStr">
        <is>
          <t>data/raw/tim_control_SP.html</t>
        </is>
      </c>
    </row>
    <row r="498">
      <c r="A498" s="2" t="inlineStr">
        <is>
          <t>2026-07-01</t>
        </is>
      </c>
      <c r="B498" s="2" t="inlineStr">
        <is>
          <t>2026-07-01T22:16:09</t>
        </is>
      </c>
      <c r="C498" s="2" t="inlineStr">
        <is>
          <t>tim</t>
        </is>
      </c>
      <c r="D498" s="2" t="inlineStr">
        <is>
          <t>control</t>
        </is>
      </c>
      <c r="E498" s="2" t="inlineStr">
        <is>
          <t>SP</t>
        </is>
      </c>
      <c r="F498" s="2" t="inlineStr">
        <is>
          <t>TIM Controle Pro Express</t>
        </is>
      </c>
      <c r="G498" s="2" t="inlineStr">
        <is>
          <t>tim:143576</t>
        </is>
      </c>
      <c r="H498" s="3" t="n">
        <v>64.98999999999999</v>
      </c>
      <c r="I498" s="3" t="inlineStr"/>
      <c r="J498" s="2" t="inlineStr"/>
      <c r="K498" s="2" t="inlineStr"/>
      <c r="L498" s="4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https://www.tim.com.br/sp/para-voce/planos/controle</t>
        </is>
      </c>
      <c r="V498" s="2" t="inlineStr">
        <is>
          <t>data/raw/tim_control_SP.html</t>
        </is>
      </c>
    </row>
    <row r="499">
      <c r="A499" s="5" t="inlineStr">
        <is>
          <t>2026-07-01</t>
        </is>
      </c>
      <c r="B499" s="5" t="inlineStr">
        <is>
          <t>2026-07-01T22:16:09</t>
        </is>
      </c>
      <c r="C499" s="5" t="inlineStr">
        <is>
          <t>tim</t>
        </is>
      </c>
      <c r="D499" s="5" t="inlineStr">
        <is>
          <t>postpaid</t>
        </is>
      </c>
      <c r="E499" s="5" t="inlineStr">
        <is>
          <t>SP</t>
        </is>
      </c>
      <c r="F499" s="5" t="inlineStr">
        <is>
          <t>TIM Black 70GB</t>
        </is>
      </c>
      <c r="G499" s="5" t="inlineStr">
        <is>
          <t>tim:54206</t>
        </is>
      </c>
      <c r="H499" s="6" t="n">
        <v>129.99</v>
      </c>
      <c r="I499" s="6" t="inlineStr"/>
      <c r="J499" s="5" t="inlineStr"/>
      <c r="K499" s="5" t="inlineStr">
        <is>
          <t>bill</t>
        </is>
      </c>
      <c r="L499" s="7" t="n">
        <v>70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https://www.tim.com.br/sp/para-voce/planos/pos-pago/tim-black</t>
        </is>
      </c>
      <c r="V499" s="5" t="inlineStr">
        <is>
          <t>data/raw/tim_postpaid_SP.html</t>
        </is>
      </c>
    </row>
    <row r="500">
      <c r="A500" s="2" t="inlineStr">
        <is>
          <t>2026-07-01</t>
        </is>
      </c>
      <c r="B500" s="2" t="inlineStr">
        <is>
          <t>2026-07-01T22:16:09</t>
        </is>
      </c>
      <c r="C500" s="2" t="inlineStr">
        <is>
          <t>tim</t>
        </is>
      </c>
      <c r="D500" s="2" t="inlineStr">
        <is>
          <t>postpaid</t>
        </is>
      </c>
      <c r="E500" s="2" t="inlineStr">
        <is>
          <t>SP</t>
        </is>
      </c>
      <c r="F500" s="2" t="inlineStr">
        <is>
          <t>TIM Black A Express 67GB</t>
        </is>
      </c>
      <c r="G500" s="2" t="inlineStr">
        <is>
          <t>tim:55121</t>
        </is>
      </c>
      <c r="H500" s="3" t="n">
        <v>119.99</v>
      </c>
      <c r="I500" s="3" t="inlineStr"/>
      <c r="J500" s="2" t="inlineStr"/>
      <c r="K500" s="2" t="inlineStr">
        <is>
          <t>credit_card</t>
        </is>
      </c>
      <c r="L500" s="4" t="n">
        <v>67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https://www.tim.com.br/sp/para-voce/planos/pos-pago/tim-black</t>
        </is>
      </c>
      <c r="V500" s="2" t="inlineStr">
        <is>
          <t>data/raw/tim_postpaid_SP.html</t>
        </is>
      </c>
    </row>
    <row r="501">
      <c r="A501" s="5" t="inlineStr">
        <is>
          <t>2026-07-01</t>
        </is>
      </c>
      <c r="B501" s="5" t="inlineStr">
        <is>
          <t>2026-07-01T22:16:09</t>
        </is>
      </c>
      <c r="C501" s="5" t="inlineStr">
        <is>
          <t>tim</t>
        </is>
      </c>
      <c r="D501" s="5" t="inlineStr">
        <is>
          <t>postpaid</t>
        </is>
      </c>
      <c r="E501" s="5" t="inlineStr">
        <is>
          <t>SP</t>
        </is>
      </c>
      <c r="F501" s="5" t="inlineStr">
        <is>
          <t>TIM Black B Express 82GB</t>
        </is>
      </c>
      <c r="G501" s="5" t="inlineStr">
        <is>
          <t>tim:52146</t>
        </is>
      </c>
      <c r="H501" s="6" t="n">
        <v>144.99</v>
      </c>
      <c r="I501" s="6" t="inlineStr"/>
      <c r="J501" s="5" t="inlineStr"/>
      <c r="K501" s="5" t="inlineStr">
        <is>
          <t>credit_card</t>
        </is>
      </c>
      <c r="L501" s="7" t="n">
        <v>82</v>
      </c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https://www.tim.com.br/sp/para-voce/planos/pos-pago/tim-black</t>
        </is>
      </c>
      <c r="V501" s="5" t="inlineStr">
        <is>
          <t>data/raw/tim_postpaid_SP.html</t>
        </is>
      </c>
    </row>
    <row r="502">
      <c r="A502" s="2" t="inlineStr">
        <is>
          <t>2026-07-01</t>
        </is>
      </c>
      <c r="B502" s="2" t="inlineStr">
        <is>
          <t>2026-07-01T22:16:09</t>
        </is>
      </c>
      <c r="C502" s="2" t="inlineStr">
        <is>
          <t>tim</t>
        </is>
      </c>
      <c r="D502" s="2" t="inlineStr">
        <is>
          <t>postpaid</t>
        </is>
      </c>
      <c r="E502" s="2" t="inlineStr">
        <is>
          <t>SP</t>
        </is>
      </c>
      <c r="F502" s="2" t="inlineStr">
        <is>
          <t>TIM Black C Express 107GB</t>
        </is>
      </c>
      <c r="G502" s="2" t="inlineStr">
        <is>
          <t>tim:52151</t>
        </is>
      </c>
      <c r="H502" s="3" t="n">
        <v>164.99</v>
      </c>
      <c r="I502" s="3" t="inlineStr"/>
      <c r="J502" s="2" t="inlineStr"/>
      <c r="K502" s="2" t="inlineStr">
        <is>
          <t>credit_card</t>
        </is>
      </c>
      <c r="L502" s="4" t="n">
        <v>107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https://www.tim.com.br/sp/para-voce/planos/pos-pago/tim-black</t>
        </is>
      </c>
      <c r="V502" s="2" t="inlineStr">
        <is>
          <t>data/raw/tim_postpaid_SP.html</t>
        </is>
      </c>
    </row>
    <row r="503">
      <c r="A503" s="5" t="inlineStr">
        <is>
          <t>2026-07-01</t>
        </is>
      </c>
      <c r="B503" s="5" t="inlineStr">
        <is>
          <t>2026-07-01T22:16:09</t>
        </is>
      </c>
      <c r="C503" s="5" t="inlineStr">
        <is>
          <t>tim</t>
        </is>
      </c>
      <c r="D503" s="5" t="inlineStr">
        <is>
          <t>postpaid</t>
        </is>
      </c>
      <c r="E503" s="5" t="inlineStr">
        <is>
          <t>SP</t>
        </is>
      </c>
      <c r="F503" s="5" t="inlineStr">
        <is>
          <t>TIM Black C Ultra 95GB</t>
        </is>
      </c>
      <c r="G503" s="5" t="inlineStr">
        <is>
          <t>tim:100581</t>
        </is>
      </c>
      <c r="H503" s="6" t="n">
        <v>159.99</v>
      </c>
      <c r="I503" s="6" t="inlineStr"/>
      <c r="J503" s="5" t="inlineStr"/>
      <c r="K503" s="5" t="inlineStr">
        <is>
          <t>bill</t>
        </is>
      </c>
      <c r="L503" s="7" t="n">
        <v>95</v>
      </c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https://www.tim.com.br/sp/para-voce/planos/pos-pago/tim-black</t>
        </is>
      </c>
      <c r="V503" s="5" t="inlineStr">
        <is>
          <t>data/raw/tim_postpaid_SP.html</t>
        </is>
      </c>
    </row>
    <row r="504">
      <c r="A504" s="2" t="inlineStr">
        <is>
          <t>2026-07-01</t>
        </is>
      </c>
      <c r="B504" s="2" t="inlineStr">
        <is>
          <t>2026-07-01T22:16:09</t>
        </is>
      </c>
      <c r="C504" s="2" t="inlineStr">
        <is>
          <t>tim</t>
        </is>
      </c>
      <c r="D504" s="2" t="inlineStr">
        <is>
          <t>postpaid</t>
        </is>
      </c>
      <c r="E504" s="2" t="inlineStr">
        <is>
          <t>SP</t>
        </is>
      </c>
      <c r="F504" s="2" t="inlineStr">
        <is>
          <t>TIM Black Plus 80GB</t>
        </is>
      </c>
      <c r="G504" s="2" t="inlineStr">
        <is>
          <t>tim:54256</t>
        </is>
      </c>
      <c r="H504" s="3" t="n">
        <v>149.99</v>
      </c>
      <c r="I504" s="3" t="inlineStr"/>
      <c r="J504" s="2" t="inlineStr"/>
      <c r="K504" s="2" t="inlineStr">
        <is>
          <t>bill</t>
        </is>
      </c>
      <c r="L504" s="4" t="n">
        <v>80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https://www.tim.com.br/sp/para-voce/planos/pos-pago/tim-black</t>
        </is>
      </c>
      <c r="V504" s="2" t="inlineStr">
        <is>
          <t>data/raw/tim_postpaid_SP.html</t>
        </is>
      </c>
    </row>
    <row r="505">
      <c r="A505" s="5" t="inlineStr">
        <is>
          <t>2026-07-01</t>
        </is>
      </c>
      <c r="B505" s="5" t="inlineStr">
        <is>
          <t>2026-07-01T22:16:09</t>
        </is>
      </c>
      <c r="C505" s="5" t="inlineStr">
        <is>
          <t>tim</t>
        </is>
      </c>
      <c r="D505" s="5" t="inlineStr">
        <is>
          <t>postpaid</t>
        </is>
      </c>
      <c r="E505" s="5" t="inlineStr">
        <is>
          <t>SP</t>
        </is>
      </c>
      <c r="F505" s="5" t="inlineStr">
        <is>
          <t>TIM Black Premium 110GB</t>
        </is>
      </c>
      <c r="G505" s="5" t="inlineStr">
        <is>
          <t>tim:54261</t>
        </is>
      </c>
      <c r="H505" s="6" t="n">
        <v>159.99</v>
      </c>
      <c r="I505" s="6" t="inlineStr"/>
      <c r="J505" s="5" t="inlineStr"/>
      <c r="K505" s="5" t="inlineStr">
        <is>
          <t>bill</t>
        </is>
      </c>
      <c r="L505" s="7" t="n">
        <v>110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https://www.tim.com.br/sp/para-voce/planos/pos-pago/tim-black</t>
        </is>
      </c>
      <c r="V505" s="5" t="inlineStr">
        <is>
          <t>data/raw/tim_postpaid_SP.html</t>
        </is>
      </c>
    </row>
    <row r="506">
      <c r="A506" s="2" t="inlineStr">
        <is>
          <t>2026-07-01</t>
        </is>
      </c>
      <c r="B506" s="2" t="inlineStr">
        <is>
          <t>2026-07-01T22:16:09</t>
        </is>
      </c>
      <c r="C506" s="2" t="inlineStr">
        <is>
          <t>tim</t>
        </is>
      </c>
      <c r="D506" s="2" t="inlineStr">
        <is>
          <t>prepaid</t>
        </is>
      </c>
      <c r="E506" s="2" t="inlineStr">
        <is>
          <t>SP</t>
        </is>
      </c>
      <c r="F506" s="2" t="inlineStr">
        <is>
          <t>TIM Pré XIP Plus 16GB</t>
        </is>
      </c>
      <c r="G506" s="2" t="inlineStr">
        <is>
          <t>tim:106306</t>
        </is>
      </c>
      <c r="H506" s="3" t="n">
        <v>30</v>
      </c>
      <c r="I506" s="3" t="inlineStr"/>
      <c r="J506" s="2" t="inlineStr"/>
      <c r="K506" s="2" t="inlineStr"/>
      <c r="L506" s="4" t="n">
        <v>16</v>
      </c>
      <c r="M506" s="2" t="inlineStr"/>
      <c r="N506" s="2" t="n">
        <v>30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https://www.tim.com.br/sp/para-voce/planos/pre-pago</t>
        </is>
      </c>
      <c r="V506" s="2" t="inlineStr">
        <is>
          <t>data/raw/tim_prepaid_SP.html</t>
        </is>
      </c>
    </row>
    <row r="507">
      <c r="A507" s="5" t="inlineStr">
        <is>
          <t>2026-07-01</t>
        </is>
      </c>
      <c r="B507" s="5" t="inlineStr">
        <is>
          <t>2026-07-01T22:16:09</t>
        </is>
      </c>
      <c r="C507" s="5" t="inlineStr">
        <is>
          <t>tim</t>
        </is>
      </c>
      <c r="D507" s="5" t="inlineStr">
        <is>
          <t>prepaid</t>
        </is>
      </c>
      <c r="E507" s="5" t="inlineStr">
        <is>
          <t>SP</t>
        </is>
      </c>
      <c r="F507" s="5" t="inlineStr">
        <is>
          <t>TIM Pré XIP Plus 6GB</t>
        </is>
      </c>
      <c r="G507" s="5" t="inlineStr">
        <is>
          <t>tim:59906</t>
        </is>
      </c>
      <c r="H507" s="6" t="n">
        <v>20</v>
      </c>
      <c r="I507" s="6" t="inlineStr"/>
      <c r="J507" s="5" t="inlineStr"/>
      <c r="K507" s="5" t="inlineStr"/>
      <c r="L507" s="7" t="n">
        <v>6</v>
      </c>
      <c r="M507" s="5" t="inlineStr"/>
      <c r="N507" s="5" t="n">
        <v>17</v>
      </c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https://www.tim.com.br/sp/para-voce/planos/pre-pago</t>
        </is>
      </c>
      <c r="V507" s="5" t="inlineStr">
        <is>
          <t>data/raw/tim_prepaid_SP.html</t>
        </is>
      </c>
    </row>
    <row r="508">
      <c r="A508" s="2" t="inlineStr">
        <is>
          <t>2026-07-01</t>
        </is>
      </c>
      <c r="B508" s="2" t="inlineStr">
        <is>
          <t>2026-07-01T22:16:09</t>
        </is>
      </c>
      <c r="C508" s="2" t="inlineStr">
        <is>
          <t>tim</t>
        </is>
      </c>
      <c r="D508" s="2" t="inlineStr">
        <is>
          <t>prepaid</t>
        </is>
      </c>
      <c r="E508" s="2" t="inlineStr">
        <is>
          <t>SP</t>
        </is>
      </c>
      <c r="F508" s="2" t="inlineStr">
        <is>
          <t>TIM Pré XIP Plus 8GB</t>
        </is>
      </c>
      <c r="G508" s="2" t="inlineStr">
        <is>
          <t>tim:59901</t>
        </is>
      </c>
      <c r="H508" s="3" t="n">
        <v>25</v>
      </c>
      <c r="I508" s="3" t="inlineStr"/>
      <c r="J508" s="2" t="inlineStr"/>
      <c r="K508" s="2" t="inlineStr"/>
      <c r="L508" s="4" t="n">
        <v>8</v>
      </c>
      <c r="M508" s="2" t="inlineStr"/>
      <c r="N508" s="2" t="n">
        <v>22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https://www.tim.com.br/sp/para-voce/planos/pre-pago</t>
        </is>
      </c>
      <c r="V508" s="2" t="inlineStr">
        <is>
          <t>data/raw/tim_prepaid_SP.html</t>
        </is>
      </c>
    </row>
    <row r="509">
      <c r="A509" s="5" t="inlineStr">
        <is>
          <t>2026-07-01</t>
        </is>
      </c>
      <c r="B509" s="5" t="inlineStr">
        <is>
          <t>2026-07-01T22:16:09</t>
        </is>
      </c>
      <c r="C509" s="5" t="inlineStr">
        <is>
          <t>vivo</t>
        </is>
      </c>
      <c r="D509" s="5" t="inlineStr">
        <is>
          <t>control</t>
        </is>
      </c>
      <c r="E509" s="5" t="inlineStr">
        <is>
          <t>SP</t>
        </is>
      </c>
      <c r="F509" s="5" t="inlineStr">
        <is>
          <t>Vivo Controle</t>
        </is>
      </c>
      <c r="G509" s="5" t="inlineStr">
        <is>
          <t>vivo:VIV202600029270-46gb</t>
        </is>
      </c>
      <c r="H509" s="6" t="n">
        <v>59</v>
      </c>
      <c r="I509" s="6" t="inlineStr"/>
      <c r="J509" s="5" t="inlineStr"/>
      <c r="K509" s="5" t="inlineStr"/>
      <c r="L509" s="7" t="n">
        <v>46</v>
      </c>
      <c r="M509" s="5" t="inlineStr">
        <is>
          <t>15 GB de franquia 31 GB de bônus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>
        <is>
          <t>2 meses de YouTube sem consumo no plano</t>
        </is>
      </c>
      <c r="U509" s="5" t="inlineStr">
        <is>
          <t>https://vivo.com.br/para-voce/produtos-e-servicos/para-o-celular/planos-controle</t>
        </is>
      </c>
      <c r="V509" s="5" t="inlineStr">
        <is>
          <t>data/raw/vivo_control_SP.html</t>
        </is>
      </c>
    </row>
    <row r="510">
      <c r="A510" s="2" t="inlineStr">
        <is>
          <t>2026-07-01</t>
        </is>
      </c>
      <c r="B510" s="2" t="inlineStr">
        <is>
          <t>2026-07-01T22:16:09</t>
        </is>
      </c>
      <c r="C510" s="2" t="inlineStr">
        <is>
          <t>vivo</t>
        </is>
      </c>
      <c r="D510" s="2" t="inlineStr">
        <is>
          <t>control</t>
        </is>
      </c>
      <c r="E510" s="2" t="inlineStr">
        <is>
          <t>SP</t>
        </is>
      </c>
      <c r="F510" s="2" t="inlineStr">
        <is>
          <t>Vivo Controle</t>
        </is>
      </c>
      <c r="G510" s="2" t="inlineStr">
        <is>
          <t>vivo:VIV202600029300-61gb</t>
        </is>
      </c>
      <c r="H510" s="3" t="n">
        <v>80</v>
      </c>
      <c r="I510" s="3" t="inlineStr"/>
      <c r="J510" s="2" t="inlineStr"/>
      <c r="K510" s="2" t="inlineStr"/>
      <c r="L510" s="4" t="n">
        <v>61</v>
      </c>
      <c r="M510" s="2" t="inlineStr">
        <is>
          <t>20 GB de franquia 31 GB de bônus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2 meses de YouTube sem consumo no plano</t>
        </is>
      </c>
      <c r="U510" s="2" t="inlineStr">
        <is>
          <t>https://vivo.com.br/para-voce/produtos-e-servicos/para-o-celular/planos-controle</t>
        </is>
      </c>
      <c r="V510" s="2" t="inlineStr">
        <is>
          <t>data/raw/vivo_control_SP.html</t>
        </is>
      </c>
    </row>
    <row r="511">
      <c r="A511" s="5" t="inlineStr">
        <is>
          <t>2026-07-01</t>
        </is>
      </c>
      <c r="B511" s="5" t="inlineStr">
        <is>
          <t>2026-07-01T22:16:09</t>
        </is>
      </c>
      <c r="C511" s="5" t="inlineStr">
        <is>
          <t>vivo</t>
        </is>
      </c>
      <c r="D511" s="5" t="inlineStr">
        <is>
          <t>control</t>
        </is>
      </c>
      <c r="E511" s="5" t="inlineStr">
        <is>
          <t>SP</t>
        </is>
      </c>
      <c r="F511" s="5" t="inlineStr">
        <is>
          <t>Vivo Controle Educação</t>
        </is>
      </c>
      <c r="G511" s="5" t="inlineStr">
        <is>
          <t>vivo:VIV202600029273-61gb</t>
        </is>
      </c>
      <c r="H511" s="6" t="n">
        <v>90</v>
      </c>
      <c r="I511" s="6" t="inlineStr"/>
      <c r="J511" s="5" t="inlineStr"/>
      <c r="K511" s="5" t="inlineStr"/>
      <c r="L511" s="7" t="n">
        <v>61</v>
      </c>
      <c r="M511" s="5" t="inlineStr">
        <is>
          <t>20 GB de franquia 31 GB de bônus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>
        <is>
          <t>Assinatura Vivae inclusa</t>
        </is>
      </c>
      <c r="U511" s="5" t="inlineStr">
        <is>
          <t>https://vivo.com.br/para-voce/produtos-e-servicos/para-o-celular/planos-controle</t>
        </is>
      </c>
      <c r="V511" s="5" t="inlineStr">
        <is>
          <t>data/raw/vivo_control_SP.html</t>
        </is>
      </c>
    </row>
    <row r="512">
      <c r="A512" s="2" t="inlineStr">
        <is>
          <t>2026-07-01</t>
        </is>
      </c>
      <c r="B512" s="2" t="inlineStr">
        <is>
          <t>2026-07-01T22:16:09</t>
        </is>
      </c>
      <c r="C512" s="2" t="inlineStr">
        <is>
          <t>vivo</t>
        </is>
      </c>
      <c r="D512" s="2" t="inlineStr">
        <is>
          <t>control</t>
        </is>
      </c>
      <c r="E512" s="2" t="inlineStr">
        <is>
          <t>SP</t>
        </is>
      </c>
      <c r="F512" s="2" t="inlineStr">
        <is>
          <t>Vivo Controle Entretenimento</t>
        </is>
      </c>
      <c r="G512" s="2" t="inlineStr">
        <is>
          <t>vivo:VIV202600029307-61gb</t>
        </is>
      </c>
      <c r="H512" s="3" t="n">
        <v>110</v>
      </c>
      <c r="I512" s="3" t="inlineStr"/>
      <c r="J512" s="2" t="inlineStr"/>
      <c r="K512" s="2" t="inlineStr"/>
      <c r="L512" s="4" t="n">
        <v>61</v>
      </c>
      <c r="M512" s="2" t="inlineStr">
        <is>
          <t>20 GB de franquia 31 GB de bônus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Assinatura Vivo TV Inicial inclusa</t>
        </is>
      </c>
      <c r="U512" s="2" t="inlineStr">
        <is>
          <t>https://vivo.com.br/para-voce/produtos-e-servicos/para-o-celular/planos-controle</t>
        </is>
      </c>
      <c r="V512" s="2" t="inlineStr">
        <is>
          <t>data/raw/vivo_control_SP.html</t>
        </is>
      </c>
    </row>
    <row r="513">
      <c r="A513" s="5" t="inlineStr">
        <is>
          <t>2026-07-01</t>
        </is>
      </c>
      <c r="B513" s="5" t="inlineStr">
        <is>
          <t>2026-07-01T22:16:09</t>
        </is>
      </c>
      <c r="C513" s="5" t="inlineStr">
        <is>
          <t>vivo</t>
        </is>
      </c>
      <c r="D513" s="5" t="inlineStr">
        <is>
          <t>control</t>
        </is>
      </c>
      <c r="E513" s="5" t="inlineStr">
        <is>
          <t>SP</t>
        </is>
      </c>
      <c r="F513" s="5" t="inlineStr">
        <is>
          <t>Vivo Controle Música</t>
        </is>
      </c>
      <c r="G513" s="5" t="inlineStr">
        <is>
          <t>vivo:VIV202600029313-61gb</t>
        </is>
      </c>
      <c r="H513" s="6" t="n">
        <v>95</v>
      </c>
      <c r="I513" s="6" t="inlineStr"/>
      <c r="J513" s="5" t="inlineStr"/>
      <c r="K513" s="5" t="inlineStr"/>
      <c r="L513" s="7" t="n">
        <v>61</v>
      </c>
      <c r="M513" s="5" t="inlineStr">
        <is>
          <t>20 GB de franquia 31 GB de bônus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>
        <is>
          <t>Apple Music Individual</t>
        </is>
      </c>
      <c r="U513" s="5" t="inlineStr">
        <is>
          <t>https://vivo.com.br/para-voce/produtos-e-servicos/para-o-celular/planos-controle</t>
        </is>
      </c>
      <c r="V513" s="5" t="inlineStr">
        <is>
          <t>data/raw/vivo_control_SP.html</t>
        </is>
      </c>
    </row>
    <row r="514">
      <c r="A514" s="2" t="inlineStr">
        <is>
          <t>2026-07-01</t>
        </is>
      </c>
      <c r="B514" s="2" t="inlineStr">
        <is>
          <t>2026-07-01T22:16:09</t>
        </is>
      </c>
      <c r="C514" s="2" t="inlineStr">
        <is>
          <t>vivo</t>
        </is>
      </c>
      <c r="D514" s="2" t="inlineStr">
        <is>
          <t>control</t>
        </is>
      </c>
      <c r="E514" s="2" t="inlineStr">
        <is>
          <t>SP</t>
        </is>
      </c>
      <c r="F514" s="2" t="inlineStr">
        <is>
          <t>Vivo Controle Netflix</t>
        </is>
      </c>
      <c r="G514" s="2" t="inlineStr">
        <is>
          <t>vivo:VIV202600029308-61gb</t>
        </is>
      </c>
      <c r="H514" s="3" t="n">
        <v>95</v>
      </c>
      <c r="I514" s="3" t="inlineStr"/>
      <c r="J514" s="2" t="inlineStr"/>
      <c r="K514" s="2" t="inlineStr"/>
      <c r="L514" s="4" t="n">
        <v>61</v>
      </c>
      <c r="M514" s="2" t="inlineStr">
        <is>
          <t>20 GB de franquia 31 GB de bônus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Assinatura Netflix Padrão com anúncios</t>
        </is>
      </c>
      <c r="U514" s="2" t="inlineStr">
        <is>
          <t>https://vivo.com.br/para-voce/produtos-e-servicos/para-o-celular/planos-controle</t>
        </is>
      </c>
      <c r="V514" s="2" t="inlineStr">
        <is>
          <t>data/raw/vivo_control_SP.html</t>
        </is>
      </c>
    </row>
    <row r="515">
      <c r="A515" s="5" t="inlineStr">
        <is>
          <t>2026-07-01</t>
        </is>
      </c>
      <c r="B515" s="5" t="inlineStr">
        <is>
          <t>2026-07-01T22:16:09</t>
        </is>
      </c>
      <c r="C515" s="5" t="inlineStr">
        <is>
          <t>vivo</t>
        </is>
      </c>
      <c r="D515" s="5" t="inlineStr">
        <is>
          <t>control</t>
        </is>
      </c>
      <c r="E515" s="5" t="inlineStr">
        <is>
          <t>SP</t>
        </is>
      </c>
      <c r="F515" s="5" t="inlineStr">
        <is>
          <t>Vivo Controle Saúde</t>
        </is>
      </c>
      <c r="G515" s="5" t="inlineStr">
        <is>
          <t>vivo:VIV202600029301-61gb</t>
        </is>
      </c>
      <c r="H515" s="6" t="n">
        <v>90</v>
      </c>
      <c r="I515" s="6" t="inlineStr"/>
      <c r="J515" s="5" t="inlineStr"/>
      <c r="K515" s="5" t="inlineStr"/>
      <c r="L515" s="7" t="n">
        <v>61</v>
      </c>
      <c r="M515" s="5" t="inlineStr">
        <is>
          <t>20 GB de franquia 31 GB de bônus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>
        <is>
          <t>Assinatura Vale Saúde Sempre inclusa</t>
        </is>
      </c>
      <c r="U515" s="5" t="inlineStr">
        <is>
          <t>https://vivo.com.br/para-voce/produtos-e-servicos/para-o-celular/planos-controle</t>
        </is>
      </c>
      <c r="V515" s="5" t="inlineStr">
        <is>
          <t>data/raw/vivo_control_SP.html</t>
        </is>
      </c>
    </row>
    <row r="516">
      <c r="A516" s="2" t="inlineStr">
        <is>
          <t>2026-07-01</t>
        </is>
      </c>
      <c r="B516" s="2" t="inlineStr">
        <is>
          <t>2026-07-01T22:16:09</t>
        </is>
      </c>
      <c r="C516" s="2" t="inlineStr">
        <is>
          <t>vivo</t>
        </is>
      </c>
      <c r="D516" s="2" t="inlineStr">
        <is>
          <t>control</t>
        </is>
      </c>
      <c r="E516" s="2" t="inlineStr">
        <is>
          <t>SP</t>
        </is>
      </c>
      <c r="F516" s="2" t="inlineStr">
        <is>
          <t>Vivo Controle Segurança</t>
        </is>
      </c>
      <c r="G516" s="2" t="inlineStr">
        <is>
          <t>vivo:VIV202600029274-61gb</t>
        </is>
      </c>
      <c r="H516" s="3" t="n">
        <v>90</v>
      </c>
      <c r="I516" s="3" t="inlineStr"/>
      <c r="J516" s="2" t="inlineStr"/>
      <c r="K516" s="2" t="inlineStr"/>
      <c r="L516" s="4" t="n">
        <v>61</v>
      </c>
      <c r="M516" s="2" t="inlineStr">
        <is>
          <t>20 GB de franquia 31 GB de bônus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Incluso Proteção Rua e Seguro de Bens</t>
        </is>
      </c>
      <c r="U516" s="2" t="inlineStr">
        <is>
          <t>https://vivo.com.br/para-voce/produtos-e-servicos/para-o-celular/planos-controle</t>
        </is>
      </c>
      <c r="V516" s="2" t="inlineStr">
        <is>
          <t>data/raw/vivo_control_SP.html</t>
        </is>
      </c>
    </row>
    <row r="517">
      <c r="A517" s="5" t="inlineStr">
        <is>
          <t>2026-07-01</t>
        </is>
      </c>
      <c r="B517" s="5" t="inlineStr">
        <is>
          <t>2026-07-01T22:16:09</t>
        </is>
      </c>
      <c r="C517" s="5" t="inlineStr">
        <is>
          <t>vivo</t>
        </is>
      </c>
      <c r="D517" s="5" t="inlineStr">
        <is>
          <t>lite</t>
        </is>
      </c>
      <c r="E517" s="5" t="inlineStr">
        <is>
          <t>SP</t>
        </is>
      </c>
      <c r="F517" s="5" t="inlineStr">
        <is>
          <t>Easy Lite</t>
        </is>
      </c>
      <c r="G517" s="5" t="inlineStr">
        <is>
          <t>vivo:VIV202600032594-30gb</t>
        </is>
      </c>
      <c r="H517" s="6" t="n">
        <v>45</v>
      </c>
      <c r="I517" s="6" t="n">
        <v>30</v>
      </c>
      <c r="J517" s="5" t="inlineStr">
        <is>
          <t>preço sem fidelidade; fidelidade 12m no promo</t>
        </is>
      </c>
      <c r="K517" s="5" t="inlineStr"/>
      <c r="L517" s="7" t="n">
        <v>30</v>
      </c>
      <c r="M517" s="5" t="inlineStr">
        <is>
          <t>30 GB de franquia</t>
        </is>
      </c>
      <c r="N517" s="5" t="inlineStr"/>
      <c r="O517" s="5" t="inlineStr"/>
      <c r="P517" s="5" t="inlineStr"/>
      <c r="Q517" s="5" t="inlineStr"/>
      <c r="R517" s="5" t="inlineStr"/>
      <c r="S517" s="5" t="n">
        <v>12</v>
      </c>
      <c r="T517" s="5" t="inlineStr">
        <is>
          <t>2 meses de YouTube sem consumo no plano</t>
        </is>
      </c>
      <c r="U517" s="5" t="inlineStr">
        <is>
          <t>https://vivo.com.br/para-voce/produtos-e-servicos/para-o-celular/easy-lite</t>
        </is>
      </c>
      <c r="V517" s="5" t="inlineStr">
        <is>
          <t>data/raw/vivo_lite_SP.html</t>
        </is>
      </c>
    </row>
    <row r="518">
      <c r="A518" s="2" t="inlineStr">
        <is>
          <t>2026-07-01</t>
        </is>
      </c>
      <c r="B518" s="2" t="inlineStr">
        <is>
          <t>2026-07-01T22:16:09</t>
        </is>
      </c>
      <c r="C518" s="2" t="inlineStr">
        <is>
          <t>vivo</t>
        </is>
      </c>
      <c r="D518" s="2" t="inlineStr">
        <is>
          <t>lite</t>
        </is>
      </c>
      <c r="E518" s="2" t="inlineStr">
        <is>
          <t>SP</t>
        </is>
      </c>
      <c r="F518" s="2" t="inlineStr">
        <is>
          <t>Easy Lite</t>
        </is>
      </c>
      <c r="G518" s="2" t="inlineStr">
        <is>
          <t>vivo:VIV202600032596-40gb</t>
        </is>
      </c>
      <c r="H518" s="3" t="n">
        <v>55</v>
      </c>
      <c r="I518" s="3" t="n">
        <v>40</v>
      </c>
      <c r="J518" s="2" t="inlineStr">
        <is>
          <t>preço sem fidelidade; fidelidade 12m no promo</t>
        </is>
      </c>
      <c r="K518" s="2" t="inlineStr"/>
      <c r="L518" s="4" t="n">
        <v>40</v>
      </c>
      <c r="M518" s="2" t="inlineStr">
        <is>
          <t>40 GB de franquia</t>
        </is>
      </c>
      <c r="N518" s="2" t="inlineStr"/>
      <c r="O518" s="2" t="inlineStr"/>
      <c r="P518" s="2" t="inlineStr"/>
      <c r="Q518" s="2" t="inlineStr"/>
      <c r="R518" s="2" t="inlineStr"/>
      <c r="S518" s="2" t="n">
        <v>12</v>
      </c>
      <c r="T518" s="2" t="inlineStr">
        <is>
          <t>2 meses de YouTube sem consumo no plano</t>
        </is>
      </c>
      <c r="U518" s="2" t="inlineStr">
        <is>
          <t>https://vivo.com.br/para-voce/produtos-e-servicos/para-o-celular/easy-lite</t>
        </is>
      </c>
      <c r="V518" s="2" t="inlineStr">
        <is>
          <t>data/raw/vivo_lite_SP.html</t>
        </is>
      </c>
    </row>
    <row r="519">
      <c r="A519" s="5" t="inlineStr">
        <is>
          <t>2026-07-01</t>
        </is>
      </c>
      <c r="B519" s="5" t="inlineStr">
        <is>
          <t>2026-07-01T22:16:09</t>
        </is>
      </c>
      <c r="C519" s="5" t="inlineStr">
        <is>
          <t>vivo</t>
        </is>
      </c>
      <c r="D519" s="5" t="inlineStr">
        <is>
          <t>lite</t>
        </is>
      </c>
      <c r="E519" s="5" t="inlineStr">
        <is>
          <t>SP</t>
        </is>
      </c>
      <c r="F519" s="5" t="inlineStr">
        <is>
          <t>Easy Lite</t>
        </is>
      </c>
      <c r="G519" s="5" t="inlineStr">
        <is>
          <t>vivo:VIV202600032599-20gb</t>
        </is>
      </c>
      <c r="H519" s="6" t="n">
        <v>35</v>
      </c>
      <c r="I519" s="6" t="inlineStr"/>
      <c r="J519" s="5" t="inlineStr"/>
      <c r="K519" s="5" t="inlineStr"/>
      <c r="L519" s="7" t="n">
        <v>20</v>
      </c>
      <c r="M519" s="5" t="inlineStr">
        <is>
          <t>20 GB de franquia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>
        <is>
          <t>2 meses de YouTube sem consumo no plano</t>
        </is>
      </c>
      <c r="U519" s="5" t="inlineStr">
        <is>
          <t>https://vivo.com.br/para-voce/produtos-e-servicos/para-o-celular/easy-lite</t>
        </is>
      </c>
      <c r="V519" s="5" t="inlineStr">
        <is>
          <t>data/raw/vivo_lite_SP.html</t>
        </is>
      </c>
    </row>
    <row r="520">
      <c r="A520" s="2" t="inlineStr">
        <is>
          <t>2026-07-01</t>
        </is>
      </c>
      <c r="B520" s="2" t="inlineStr">
        <is>
          <t>2026-07-01T22:16:09</t>
        </is>
      </c>
      <c r="C520" s="2" t="inlineStr">
        <is>
          <t>vivo</t>
        </is>
      </c>
      <c r="D520" s="2" t="inlineStr">
        <is>
          <t>postpaid</t>
        </is>
      </c>
      <c r="E520" s="2" t="inlineStr">
        <is>
          <t>SP</t>
        </is>
      </c>
      <c r="F520" s="2" t="inlineStr">
        <is>
          <t>Vivo Pós com Amazon</t>
        </is>
      </c>
      <c r="G520" s="2" t="inlineStr">
        <is>
          <t>vivo:VIV202600029255-60gb</t>
        </is>
      </c>
      <c r="H520" s="3" t="n">
        <v>150</v>
      </c>
      <c r="I520" s="3" t="inlineStr"/>
      <c r="J520" s="2" t="inlineStr"/>
      <c r="K520" s="2" t="inlineStr"/>
      <c r="L520" s="4" t="n">
        <v>60</v>
      </c>
      <c r="M520" s="2" t="inlineStr">
        <is>
          <t>50 GB de franquia 10 GB de bônus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Assinatura Amazon Prime inclusa</t>
        </is>
      </c>
      <c r="U520" s="2" t="inlineStr">
        <is>
          <t>https://vivo.com.br/para-voce/produtos-e-servicos/para-o-celular/planos-pos-pago</t>
        </is>
      </c>
      <c r="V520" s="2" t="inlineStr">
        <is>
          <t>data/raw/vivo_postpaid_SP.html</t>
        </is>
      </c>
    </row>
    <row r="521">
      <c r="A521" s="5" t="inlineStr">
        <is>
          <t>2026-07-01</t>
        </is>
      </c>
      <c r="B521" s="5" t="inlineStr">
        <is>
          <t>2026-07-01T22:16:09</t>
        </is>
      </c>
      <c r="C521" s="5" t="inlineStr">
        <is>
          <t>vivo</t>
        </is>
      </c>
      <c r="D521" s="5" t="inlineStr">
        <is>
          <t>postpaid</t>
        </is>
      </c>
      <c r="E521" s="5" t="inlineStr">
        <is>
          <t>SP</t>
        </is>
      </c>
      <c r="F521" s="5" t="inlineStr">
        <is>
          <t>Vivo Pós com Disney+</t>
        </is>
      </c>
      <c r="G521" s="5" t="inlineStr">
        <is>
          <t>vivo:VIV202600022115-60gb</t>
        </is>
      </c>
      <c r="H521" s="6" t="n">
        <v>180</v>
      </c>
      <c r="I521" s="6" t="inlineStr"/>
      <c r="J521" s="5" t="inlineStr"/>
      <c r="K521" s="5" t="inlineStr"/>
      <c r="L521" s="7" t="n">
        <v>60</v>
      </c>
      <c r="M521" s="5" t="inlineStr">
        <is>
          <t>50 GB de franquia 10 GB de bônus</t>
        </is>
      </c>
      <c r="N521" s="5" t="inlineStr"/>
      <c r="O521" s="5" t="inlineStr"/>
      <c r="P521" s="5" t="inlineStr"/>
      <c r="Q521" s="5" t="inlineStr"/>
      <c r="R521" s="5" t="inlineStr">
        <is>
          <t>Disney+</t>
        </is>
      </c>
      <c r="S521" s="5" t="inlineStr"/>
      <c r="T521" s="5" t="inlineStr">
        <is>
          <t>Assinatura Disney+ Padrão inclusa</t>
        </is>
      </c>
      <c r="U521" s="5" t="inlineStr">
        <is>
          <t>https://vivo.com.br/para-voce/produtos-e-servicos/para-o-celular/planos-pos-pago</t>
        </is>
      </c>
      <c r="V521" s="5" t="inlineStr">
        <is>
          <t>data/raw/vivo_postpaid_SP.html</t>
        </is>
      </c>
    </row>
    <row r="522">
      <c r="A522" s="2" t="inlineStr">
        <is>
          <t>2026-07-01</t>
        </is>
      </c>
      <c r="B522" s="2" t="inlineStr">
        <is>
          <t>2026-07-01T22:16:09</t>
        </is>
      </c>
      <c r="C522" s="2" t="inlineStr">
        <is>
          <t>vivo</t>
        </is>
      </c>
      <c r="D522" s="2" t="inlineStr">
        <is>
          <t>postpaid</t>
        </is>
      </c>
      <c r="E522" s="2" t="inlineStr">
        <is>
          <t>SP</t>
        </is>
      </c>
      <c r="F522" s="2" t="inlineStr">
        <is>
          <t>Vivo Pós com Globoplay</t>
        </is>
      </c>
      <c r="G522" s="2" t="inlineStr">
        <is>
          <t>vivo:VIV202600029246-60gb</t>
        </is>
      </c>
      <c r="H522" s="3" t="n">
        <v>165</v>
      </c>
      <c r="I522" s="3" t="inlineStr"/>
      <c r="J522" s="2" t="inlineStr"/>
      <c r="K522" s="2" t="inlineStr"/>
      <c r="L522" s="4" t="n">
        <v>60</v>
      </c>
      <c r="M522" s="2" t="inlineStr">
        <is>
          <t>50 GB de franquia 10 GB de bônus</t>
        </is>
      </c>
      <c r="N522" s="2" t="inlineStr"/>
      <c r="O522" s="2" t="inlineStr"/>
      <c r="P522" s="2" t="inlineStr"/>
      <c r="Q522" s="2" t="inlineStr"/>
      <c r="R522" s="2" t="inlineStr">
        <is>
          <t>Globoplay</t>
        </is>
      </c>
      <c r="S522" s="2" t="inlineStr"/>
      <c r="T522" s="2" t="inlineStr">
        <is>
          <t>Assinatura Globoplay inclusa</t>
        </is>
      </c>
      <c r="U522" s="2" t="inlineStr">
        <is>
          <t>https://vivo.com.br/para-voce/produtos-e-servicos/para-o-celular/planos-pos-pago</t>
        </is>
      </c>
      <c r="V522" s="2" t="inlineStr">
        <is>
          <t>data/raw/vivo_postpaid_SP.html</t>
        </is>
      </c>
    </row>
    <row r="523">
      <c r="A523" s="5" t="inlineStr">
        <is>
          <t>2026-07-01</t>
        </is>
      </c>
      <c r="B523" s="5" t="inlineStr">
        <is>
          <t>2026-07-01T22:16:09</t>
        </is>
      </c>
      <c r="C523" s="5" t="inlineStr">
        <is>
          <t>vivo</t>
        </is>
      </c>
      <c r="D523" s="5" t="inlineStr">
        <is>
          <t>postpaid</t>
        </is>
      </c>
      <c r="E523" s="5" t="inlineStr">
        <is>
          <t>SP</t>
        </is>
      </c>
      <c r="F523" s="5" t="inlineStr">
        <is>
          <t>Vivo Pós com Netflix</t>
        </is>
      </c>
      <c r="G523" s="5" t="inlineStr">
        <is>
          <t>vivo:VIV202600029234-60gb</t>
        </is>
      </c>
      <c r="H523" s="6" t="n">
        <v>180</v>
      </c>
      <c r="I523" s="6" t="inlineStr"/>
      <c r="J523" s="5" t="inlineStr"/>
      <c r="K523" s="5" t="inlineStr"/>
      <c r="L523" s="7" t="n">
        <v>60</v>
      </c>
      <c r="M523" s="5" t="inlineStr">
        <is>
          <t>50 GB de franquia 10 GB de bônus</t>
        </is>
      </c>
      <c r="N523" s="5" t="inlineStr"/>
      <c r="O523" s="5" t="inlineStr"/>
      <c r="P523" s="5" t="inlineStr"/>
      <c r="Q523" s="5" t="inlineStr"/>
      <c r="R523" s="5" t="inlineStr">
        <is>
          <t>Netflix</t>
        </is>
      </c>
      <c r="S523" s="5" t="inlineStr"/>
      <c r="T523" s="5" t="inlineStr">
        <is>
          <t>Assinatura Netflix Padrão inclusa</t>
        </is>
      </c>
      <c r="U523" s="5" t="inlineStr">
        <is>
          <t>https://vivo.com.br/para-voce/produtos-e-servicos/para-o-celular/planos-pos-pago</t>
        </is>
      </c>
      <c r="V523" s="5" t="inlineStr">
        <is>
          <t>data/raw/vivo_postpaid_SP.html</t>
        </is>
      </c>
    </row>
    <row r="524">
      <c r="A524" s="2" t="inlineStr">
        <is>
          <t>2026-07-01</t>
        </is>
      </c>
      <c r="B524" s="2" t="inlineStr">
        <is>
          <t>2026-07-01T22:16:09</t>
        </is>
      </c>
      <c r="C524" s="2" t="inlineStr">
        <is>
          <t>vivo</t>
        </is>
      </c>
      <c r="D524" s="2" t="inlineStr">
        <is>
          <t>postpaid</t>
        </is>
      </c>
      <c r="E524" s="2" t="inlineStr">
        <is>
          <t>SP</t>
        </is>
      </c>
      <c r="F524" s="2" t="inlineStr">
        <is>
          <t>Vivo Pós com Premiere</t>
        </is>
      </c>
      <c r="G524" s="2" t="inlineStr">
        <is>
          <t>vivo:VIV202600029249-60gb</t>
        </is>
      </c>
      <c r="H524" s="3" t="n">
        <v>180</v>
      </c>
      <c r="I524" s="3" t="inlineStr"/>
      <c r="J524" s="2" t="inlineStr"/>
      <c r="K524" s="2" t="inlineStr"/>
      <c r="L524" s="4" t="n">
        <v>60</v>
      </c>
      <c r="M524" s="2" t="inlineStr">
        <is>
          <t>50 GB de franquia 10 GB de bônus</t>
        </is>
      </c>
      <c r="N524" s="2" t="inlineStr"/>
      <c r="O524" s="2" t="inlineStr"/>
      <c r="P524" s="2" t="inlineStr"/>
      <c r="Q524" s="2" t="inlineStr"/>
      <c r="R524" s="2" t="inlineStr">
        <is>
          <t>Premiere</t>
        </is>
      </c>
      <c r="S524" s="2" t="inlineStr"/>
      <c r="T524" s="2" t="inlineStr">
        <is>
          <t>Assinatura Premiere inclusa</t>
        </is>
      </c>
      <c r="U524" s="2" t="inlineStr">
        <is>
          <t>https://vivo.com.br/para-voce/produtos-e-servicos/para-o-celular/planos-pos-pago</t>
        </is>
      </c>
      <c r="V524" s="2" t="inlineStr">
        <is>
          <t>data/raw/vivo_postpaid_SP.html</t>
        </is>
      </c>
    </row>
    <row r="525">
      <c r="A525" s="5" t="inlineStr">
        <is>
          <t>2026-07-01</t>
        </is>
      </c>
      <c r="B525" s="5" t="inlineStr">
        <is>
          <t>2026-07-01T22:16:09</t>
        </is>
      </c>
      <c r="C525" s="5" t="inlineStr">
        <is>
          <t>vivo</t>
        </is>
      </c>
      <c r="D525" s="5" t="inlineStr">
        <is>
          <t>postpaid</t>
        </is>
      </c>
      <c r="E525" s="5" t="inlineStr">
        <is>
          <t>SP</t>
        </is>
      </c>
      <c r="F525" s="5" t="inlineStr">
        <is>
          <t>Vivo Pós com Spotify</t>
        </is>
      </c>
      <c r="G525" s="5" t="inlineStr">
        <is>
          <t>vivo:VIV202600029229-60gb</t>
        </is>
      </c>
      <c r="H525" s="6" t="n">
        <v>165</v>
      </c>
      <c r="I525" s="6" t="inlineStr"/>
      <c r="J525" s="5" t="inlineStr"/>
      <c r="K525" s="5" t="inlineStr"/>
      <c r="L525" s="7" t="n">
        <v>60</v>
      </c>
      <c r="M525" s="5" t="inlineStr">
        <is>
          <t>50 GB de franquia 10 GB de bônus</t>
        </is>
      </c>
      <c r="N525" s="5" t="inlineStr"/>
      <c r="O525" s="5" t="inlineStr"/>
      <c r="P525" s="5" t="inlineStr"/>
      <c r="Q525" s="5" t="inlineStr"/>
      <c r="R525" s="5" t="inlineStr">
        <is>
          <t>Spotify</t>
        </is>
      </c>
      <c r="S525" s="5" t="inlineStr"/>
      <c r="T525" s="5" t="inlineStr">
        <is>
          <t>Assinatura Spotify Premium inclusa</t>
        </is>
      </c>
      <c r="U525" s="5" t="inlineStr">
        <is>
          <t>https://vivo.com.br/para-voce/produtos-e-servicos/para-o-celular/planos-pos-pago</t>
        </is>
      </c>
      <c r="V525" s="5" t="inlineStr">
        <is>
          <t>data/raw/vivo_postpaid_SP.html</t>
        </is>
      </c>
    </row>
    <row r="526">
      <c r="A526" s="2" t="inlineStr">
        <is>
          <t>2026-07-01</t>
        </is>
      </c>
      <c r="B526" s="2" t="inlineStr">
        <is>
          <t>2026-07-01T22:16:09</t>
        </is>
      </c>
      <c r="C526" s="2" t="inlineStr">
        <is>
          <t>vivo</t>
        </is>
      </c>
      <c r="D526" s="2" t="inlineStr">
        <is>
          <t>postpaid</t>
        </is>
      </c>
      <c r="E526" s="2" t="inlineStr">
        <is>
          <t>SP</t>
        </is>
      </c>
      <c r="F526" s="2" t="inlineStr">
        <is>
          <t>Vivo Pós com Travel</t>
        </is>
      </c>
      <c r="G526" s="2" t="inlineStr">
        <is>
          <t>vivo:VIV202600029244-70gb</t>
        </is>
      </c>
      <c r="H526" s="3" t="n">
        <v>215</v>
      </c>
      <c r="I526" s="3" t="inlineStr"/>
      <c r="J526" s="2" t="inlineStr"/>
      <c r="K526" s="2" t="inlineStr"/>
      <c r="L526" s="4" t="n">
        <v>70</v>
      </c>
      <c r="M526" s="2" t="inlineStr">
        <is>
          <t>60 GB de franquia 10 GB de bônus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2 meses de YouTube sem consumo no plano</t>
        </is>
      </c>
      <c r="U526" s="2" t="inlineStr">
        <is>
          <t>https://vivo.com.br/para-voce/produtos-e-servicos/para-o-celular/planos-pos-pago</t>
        </is>
      </c>
      <c r="V526" s="2" t="inlineStr">
        <is>
          <t>data/raw/vivo_postpaid_SP.html</t>
        </is>
      </c>
    </row>
    <row r="527">
      <c r="A527" s="5" t="inlineStr">
        <is>
          <t>2026-07-01</t>
        </is>
      </c>
      <c r="B527" s="5" t="inlineStr">
        <is>
          <t>2026-07-01T22:16:09</t>
        </is>
      </c>
      <c r="C527" s="5" t="inlineStr">
        <is>
          <t>vivo</t>
        </is>
      </c>
      <c r="D527" s="5" t="inlineStr">
        <is>
          <t>prepaid</t>
        </is>
      </c>
      <c r="E527" s="5" t="inlineStr">
        <is>
          <t>SP</t>
        </is>
      </c>
      <c r="F527" s="5" t="inlineStr">
        <is>
          <t>Vivo Pré</t>
        </is>
      </c>
      <c r="G527" s="5" t="inlineStr">
        <is>
          <t>vivo:VIV202600029370-25gb</t>
        </is>
      </c>
      <c r="H527" s="6" t="n">
        <v>30</v>
      </c>
      <c r="I527" s="6" t="inlineStr"/>
      <c r="J527" s="5" t="inlineStr"/>
      <c r="K527" s="5" t="inlineStr"/>
      <c r="L527" s="7" t="n">
        <v>25</v>
      </c>
      <c r="M527" s="5" t="inlineStr">
        <is>
          <t>15 GB para navegar como quiser 5 GB de bônus 5 GB para navegar no Youtube</t>
        </is>
      </c>
      <c r="N527" s="5" t="n">
        <v>30</v>
      </c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https://vivo.com.br/para-voce/produtos-e-servicos/para-o-celular/pre-pago/vivo-pre</t>
        </is>
      </c>
      <c r="V527" s="5" t="inlineStr">
        <is>
          <t>data/raw/vivo_prepaid_SP.html</t>
        </is>
      </c>
    </row>
    <row r="528">
      <c r="A528" s="2" t="inlineStr">
        <is>
          <t>2026-07-01</t>
        </is>
      </c>
      <c r="B528" s="2" t="inlineStr">
        <is>
          <t>2026-07-01T22:16:09</t>
        </is>
      </c>
      <c r="C528" s="2" t="inlineStr">
        <is>
          <t>vivo</t>
        </is>
      </c>
      <c r="D528" s="2" t="inlineStr">
        <is>
          <t>prepaid</t>
        </is>
      </c>
      <c r="E528" s="2" t="inlineStr">
        <is>
          <t>SP</t>
        </is>
      </c>
      <c r="F528" s="2" t="inlineStr">
        <is>
          <t>Vivo Pré</t>
        </is>
      </c>
      <c r="G528" s="2" t="inlineStr">
        <is>
          <t>vivo:VIV202600029370-9gb</t>
        </is>
      </c>
      <c r="H528" s="3" t="n">
        <v>25</v>
      </c>
      <c r="I528" s="3" t="inlineStr"/>
      <c r="J528" s="2" t="inlineStr"/>
      <c r="K528" s="2" t="inlineStr"/>
      <c r="L528" s="4" t="n">
        <v>9</v>
      </c>
      <c r="M528" s="2" t="inlineStr">
        <is>
          <t>6 GB para navegar como quiser 3 GB para navegar no YouTube</t>
        </is>
      </c>
      <c r="N528" s="2" t="n">
        <v>22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https://vivo.com.br/para-voce/produtos-e-servicos/para-o-celular/pre-pago/vivo-pre</t>
        </is>
      </c>
      <c r="V528" s="2" t="inlineStr">
        <is>
          <t>data/raw/vivo_prepaid_SP.html</t>
        </is>
      </c>
    </row>
    <row r="529">
      <c r="A529" s="5" t="inlineStr">
        <is>
          <t>2026-07-01</t>
        </is>
      </c>
      <c r="B529" s="5" t="inlineStr">
        <is>
          <t>2026-07-01T22:16:09</t>
        </is>
      </c>
      <c r="C529" s="5" t="inlineStr">
        <is>
          <t>vivo</t>
        </is>
      </c>
      <c r="D529" s="5" t="inlineStr">
        <is>
          <t>prepaid</t>
        </is>
      </c>
      <c r="E529" s="5" t="inlineStr">
        <is>
          <t>SP</t>
        </is>
      </c>
      <c r="F529" s="5" t="inlineStr">
        <is>
          <t>Vivo Pré</t>
        </is>
      </c>
      <c r="G529" s="5" t="inlineStr">
        <is>
          <t>vivo:VIV202600029370-5gb</t>
        </is>
      </c>
      <c r="H529" s="6" t="n">
        <v>20</v>
      </c>
      <c r="I529" s="6" t="inlineStr"/>
      <c r="J529" s="5" t="inlineStr"/>
      <c r="K529" s="5" t="inlineStr"/>
      <c r="L529" s="7" t="n">
        <v>5</v>
      </c>
      <c r="M529" s="5" t="inlineStr">
        <is>
          <t>5 GB para navegar como quiser</t>
        </is>
      </c>
      <c r="N529" s="5" t="n">
        <v>17</v>
      </c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https://vivo.com.br/para-voce/produtos-e-servicos/para-o-celular/pre-pago/vivo-pre</t>
        </is>
      </c>
      <c r="V529" s="5" t="inlineStr">
        <is>
          <t>data/raw/vivo_prepaid_SP.html</t>
        </is>
      </c>
    </row>
    <row r="530">
      <c r="A530" s="2" t="inlineStr">
        <is>
          <t>2026-07-01</t>
        </is>
      </c>
      <c r="B530" s="2" t="inlineStr">
        <is>
          <t>2026-07-01T22:16:09</t>
        </is>
      </c>
      <c r="C530" s="2" t="inlineStr">
        <is>
          <t>vivo</t>
        </is>
      </c>
      <c r="D530" s="2" t="inlineStr">
        <is>
          <t>prepaid</t>
        </is>
      </c>
      <c r="E530" s="2" t="inlineStr">
        <is>
          <t>SP</t>
        </is>
      </c>
      <c r="F530" s="2" t="inlineStr">
        <is>
          <t>Vivo Pré</t>
        </is>
      </c>
      <c r="G530" s="2" t="inlineStr">
        <is>
          <t>vivo:VIV202600029370-4gb</t>
        </is>
      </c>
      <c r="H530" s="3" t="n">
        <v>17</v>
      </c>
      <c r="I530" s="3" t="inlineStr"/>
      <c r="J530" s="2" t="inlineStr"/>
      <c r="K530" s="2" t="inlineStr"/>
      <c r="L530" s="4" t="n">
        <v>4</v>
      </c>
      <c r="M530" s="2" t="inlineStr">
        <is>
          <t>4 GB para navegar como quiser</t>
        </is>
      </c>
      <c r="N530" s="2" t="n">
        <v>15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https://vivo.com.br/para-voce/produtos-e-servicos/para-o-celular/pre-pago/vivo-pre</t>
        </is>
      </c>
      <c r="V530" s="2" t="inlineStr">
        <is>
          <t>data/raw/vivo_prepaid_SP.html</t>
        </is>
      </c>
    </row>
    <row r="531">
      <c r="A531" s="5" t="inlineStr">
        <is>
          <t>2026-07-02</t>
        </is>
      </c>
      <c r="B531" s="5" t="inlineStr">
        <is>
          <t>2026-07-02T22:04:41</t>
        </is>
      </c>
      <c r="C531" s="5" t="inlineStr">
        <is>
          <t>claro</t>
        </is>
      </c>
      <c r="D531" s="5" t="inlineStr">
        <is>
          <t>control</t>
        </is>
      </c>
      <c r="E531" s="5" t="inlineStr">
        <is>
          <t>SP</t>
        </is>
      </c>
      <c r="F531" s="5" t="inlineStr">
        <is>
          <t>Controle 25GB</t>
        </is>
      </c>
      <c r="G531" s="5" t="inlineStr">
        <is>
          <t>claro:plano-controle-25gb</t>
        </is>
      </c>
      <c r="H531" s="6" t="n">
        <v>59.9</v>
      </c>
      <c r="I531" s="6" t="n">
        <v>54.9</v>
      </c>
      <c r="J531" s="5" t="inlineStr">
        <is>
          <t>De R$ 59,90 Por:</t>
        </is>
      </c>
      <c r="K531" s="5" t="inlineStr"/>
      <c r="L531" s="7" t="n">
        <v>25</v>
      </c>
      <c r="M531" s="5" t="inlineStr"/>
      <c r="N531" s="5" t="inlineStr"/>
      <c r="O531" s="5" t="inlineStr">
        <is>
          <t>WhatsApp</t>
        </is>
      </c>
      <c r="P531" s="5" t="inlineStr"/>
      <c r="Q531" s="5" t="inlineStr"/>
      <c r="R531" s="5" t="inlineStr"/>
      <c r="S531" s="5" t="inlineStr"/>
      <c r="T531" s="5" t="inlineStr">
        <is>
          <t>Para uso livre; Para redes sociais e vídeos; Bônus exclusivo; Aproveite na sua franquia; WhatsApp e ligações ilimitadas</t>
        </is>
      </c>
      <c r="U531" s="5" t="inlineStr">
        <is>
          <t>https://www.claro.com.br/celular/controle</t>
        </is>
      </c>
      <c r="V531" s="5" t="inlineStr">
        <is>
          <t>data/raw/claro_control_SP.json</t>
        </is>
      </c>
    </row>
    <row r="532">
      <c r="A532" s="2" t="inlineStr">
        <is>
          <t>2026-07-02</t>
        </is>
      </c>
      <c r="B532" s="2" t="inlineStr">
        <is>
          <t>2026-07-02T22:04:41</t>
        </is>
      </c>
      <c r="C532" s="2" t="inlineStr">
        <is>
          <t>claro</t>
        </is>
      </c>
      <c r="D532" s="2" t="inlineStr">
        <is>
          <t>control</t>
        </is>
      </c>
      <c r="E532" s="2" t="inlineStr">
        <is>
          <t>SP</t>
        </is>
      </c>
      <c r="F532" s="2" t="inlineStr">
        <is>
          <t>Controle 30GB</t>
        </is>
      </c>
      <c r="G532" s="2" t="inlineStr">
        <is>
          <t>claro:plano-controle-30gb</t>
        </is>
      </c>
      <c r="H532" s="3" t="n">
        <v>69.90000000000001</v>
      </c>
      <c r="I532" s="3" t="inlineStr"/>
      <c r="J532" s="2" t="inlineStr"/>
      <c r="K532" s="2" t="inlineStr"/>
      <c r="L532" s="4" t="n">
        <v>30</v>
      </c>
      <c r="M532" s="2" t="inlineStr"/>
      <c r="N532" s="2" t="inlineStr"/>
      <c r="O532" s="2" t="inlineStr">
        <is>
          <t>WhatsApp</t>
        </is>
      </c>
      <c r="P532" s="2" t="inlineStr"/>
      <c r="Q532" s="2" t="inlineStr"/>
      <c r="R532" s="2" t="inlineStr"/>
      <c r="S532" s="2" t="inlineStr"/>
      <c r="T532" s="2" t="inlineStr">
        <is>
          <t>Para uso livre; Bônus do Hexa para uso livre; Bônus para redes sociais e apps; Redes sociais e apps; WhatsApp ilimitado</t>
        </is>
      </c>
      <c r="U532" s="2" t="inlineStr">
        <is>
          <t>https://www.claro.com.br/celular/controle</t>
        </is>
      </c>
      <c r="V532" s="2" t="inlineStr">
        <is>
          <t>data/raw/claro_control_SP.json</t>
        </is>
      </c>
    </row>
    <row r="533">
      <c r="A533" s="5" t="inlineStr">
        <is>
          <t>2026-07-02</t>
        </is>
      </c>
      <c r="B533" s="5" t="inlineStr">
        <is>
          <t>2026-07-02T22:04:41</t>
        </is>
      </c>
      <c r="C533" s="5" t="inlineStr">
        <is>
          <t>claro</t>
        </is>
      </c>
      <c r="D533" s="5" t="inlineStr">
        <is>
          <t>control</t>
        </is>
      </c>
      <c r="E533" s="5" t="inlineStr">
        <is>
          <t>SP</t>
        </is>
      </c>
      <c r="F533" s="5" t="inlineStr">
        <is>
          <t>Controle 30GB</t>
        </is>
      </c>
      <c r="G533" s="5" t="inlineStr">
        <is>
          <t>claro:plano-controle-30gb-gaming</t>
        </is>
      </c>
      <c r="H533" s="6" t="n">
        <v>99.90000000000001</v>
      </c>
      <c r="I533" s="6" t="inlineStr"/>
      <c r="J533" s="5" t="inlineStr"/>
      <c r="K533" s="5" t="inlineStr"/>
      <c r="L533" s="7" t="n">
        <v>30</v>
      </c>
      <c r="M533" s="5" t="inlineStr"/>
      <c r="N533" s="5" t="inlineStr"/>
      <c r="O533" s="5" t="inlineStr">
        <is>
          <t>WhatsApp</t>
        </is>
      </c>
      <c r="P533" s="5" t="inlineStr"/>
      <c r="Q533" s="5" t="inlineStr"/>
      <c r="R533" s="5" t="inlineStr"/>
      <c r="S533" s="5" t="inlineStr"/>
      <c r="T533" s="5" t="inlineStr">
        <is>
          <t>Para uso livre; Bônus para redes sociais e apps; Bônus uso livre; Redes sociais e apps; WhatsApp ilimitado</t>
        </is>
      </c>
      <c r="U533" s="5" t="inlineStr">
        <is>
          <t>https://www.claro.com.br/celular/controle</t>
        </is>
      </c>
      <c r="V533" s="5" t="inlineStr">
        <is>
          <t>data/raw/claro_control_SP.json</t>
        </is>
      </c>
    </row>
    <row r="534">
      <c r="A534" s="2" t="inlineStr">
        <is>
          <t>2026-07-02</t>
        </is>
      </c>
      <c r="B534" s="2" t="inlineStr">
        <is>
          <t>2026-07-02T22:04:41</t>
        </is>
      </c>
      <c r="C534" s="2" t="inlineStr">
        <is>
          <t>claro</t>
        </is>
      </c>
      <c r="D534" s="2" t="inlineStr">
        <is>
          <t>flex</t>
        </is>
      </c>
      <c r="E534" s="2" t="inlineStr">
        <is>
          <t>SP</t>
        </is>
      </c>
      <c r="F534" s="2" t="inlineStr">
        <is>
          <t>Flex 15GB</t>
        </is>
      </c>
      <c r="G534" s="2" t="inlineStr">
        <is>
          <t>claro:plano-flex-15gb</t>
        </is>
      </c>
      <c r="H534" s="3" t="n">
        <v>44.9</v>
      </c>
      <c r="I534" s="3" t="inlineStr"/>
      <c r="J534" s="2" t="inlineStr"/>
      <c r="K534" s="2" t="inlineStr"/>
      <c r="L534" s="4" t="n">
        <v>15</v>
      </c>
      <c r="M534" s="2" t="inlineStr"/>
      <c r="N534" s="2" t="inlineStr"/>
      <c r="O534" s="2" t="inlineStr">
        <is>
          <t>WhatsApp</t>
        </is>
      </c>
      <c r="P534" s="2" t="inlineStr"/>
      <c r="Q534" s="2" t="inlineStr"/>
      <c r="R534" s="2" t="inlineStr"/>
      <c r="S534" s="2" t="inlineStr"/>
      <c r="T534" s="2" t="inlineStr">
        <is>
          <t>Para uso livre; Bônus do Hexa para uso livre; Para redes sociais e apps; Bônus extra nos apps; WhatsApp ilimitado</t>
        </is>
      </c>
      <c r="U534" s="2" t="inlineStr">
        <is>
          <t>https://www.claro.com.br/celular/flex</t>
        </is>
      </c>
      <c r="V534" s="2" t="inlineStr">
        <is>
          <t>data/raw/claro_flex_SP.json</t>
        </is>
      </c>
    </row>
    <row r="535">
      <c r="A535" s="5" t="inlineStr">
        <is>
          <t>2026-07-02</t>
        </is>
      </c>
      <c r="B535" s="5" t="inlineStr">
        <is>
          <t>2026-07-02T22:04:41</t>
        </is>
      </c>
      <c r="C535" s="5" t="inlineStr">
        <is>
          <t>claro</t>
        </is>
      </c>
      <c r="D535" s="5" t="inlineStr">
        <is>
          <t>flex</t>
        </is>
      </c>
      <c r="E535" s="5" t="inlineStr">
        <is>
          <t>SP</t>
        </is>
      </c>
      <c r="F535" s="5" t="inlineStr">
        <is>
          <t>Flex 20GB</t>
        </is>
      </c>
      <c r="G535" s="5" t="inlineStr">
        <is>
          <t>claro:plano-flex-20gb</t>
        </is>
      </c>
      <c r="H535" s="6" t="n">
        <v>59.9</v>
      </c>
      <c r="I535" s="6" t="inlineStr"/>
      <c r="J535" s="5" t="inlineStr"/>
      <c r="K535" s="5" t="inlineStr"/>
      <c r="L535" s="7" t="n">
        <v>20</v>
      </c>
      <c r="M535" s="5" t="inlineStr"/>
      <c r="N535" s="5" t="inlineStr"/>
      <c r="O535" s="5" t="inlineStr">
        <is>
          <t>WhatsApp</t>
        </is>
      </c>
      <c r="P535" s="5" t="inlineStr"/>
      <c r="Q535" s="5" t="inlineStr"/>
      <c r="R535" s="5" t="inlineStr"/>
      <c r="S535" s="5" t="inlineStr"/>
      <c r="T535" s="5" t="inlineStr">
        <is>
          <t>Para uso livre; Bônus do Hexa para uso livre; Para redes sociais e apps; Bônus extra nos apps; WhatsApp ilimitado</t>
        </is>
      </c>
      <c r="U535" s="5" t="inlineStr">
        <is>
          <t>https://www.claro.com.br/celular/flex</t>
        </is>
      </c>
      <c r="V535" s="5" t="inlineStr">
        <is>
          <t>data/raw/claro_flex_SP.json</t>
        </is>
      </c>
    </row>
    <row r="536">
      <c r="A536" s="2" t="inlineStr">
        <is>
          <t>2026-07-02</t>
        </is>
      </c>
      <c r="B536" s="2" t="inlineStr">
        <is>
          <t>2026-07-02T22:04:41</t>
        </is>
      </c>
      <c r="C536" s="2" t="inlineStr">
        <is>
          <t>claro</t>
        </is>
      </c>
      <c r="D536" s="2" t="inlineStr">
        <is>
          <t>flex</t>
        </is>
      </c>
      <c r="E536" s="2" t="inlineStr">
        <is>
          <t>SP</t>
        </is>
      </c>
      <c r="F536" s="2" t="inlineStr">
        <is>
          <t>Flex 30GB</t>
        </is>
      </c>
      <c r="G536" s="2" t="inlineStr">
        <is>
          <t>claro:plano-flex-30gb</t>
        </is>
      </c>
      <c r="H536" s="3" t="n">
        <v>69.90000000000001</v>
      </c>
      <c r="I536" s="3" t="inlineStr"/>
      <c r="J536" s="2" t="inlineStr"/>
      <c r="K536" s="2" t="inlineStr"/>
      <c r="L536" s="4" t="n">
        <v>30</v>
      </c>
      <c r="M536" s="2" t="inlineStr"/>
      <c r="N536" s="2" t="inlineStr"/>
      <c r="O536" s="2" t="inlineStr">
        <is>
          <t>WhatsApp</t>
        </is>
      </c>
      <c r="P536" s="2" t="inlineStr"/>
      <c r="Q536" s="2" t="inlineStr"/>
      <c r="R536" s="2" t="inlineStr"/>
      <c r="S536" s="2" t="inlineStr"/>
      <c r="T536" s="2" t="inlineStr">
        <is>
          <t>Para uso livre; Bônus do Hexa para uso livre; Para redes sociais e apps; Bônus extra nos apps; WhatsApp ilimitado; Assinatura Claro musica inclusa</t>
        </is>
      </c>
      <c r="U536" s="2" t="inlineStr">
        <is>
          <t>https://www.claro.com.br/celular/flex</t>
        </is>
      </c>
      <c r="V536" s="2" t="inlineStr">
        <is>
          <t>data/raw/claro_flex_SP.json</t>
        </is>
      </c>
    </row>
    <row r="537">
      <c r="A537" s="5" t="inlineStr">
        <is>
          <t>2026-07-02</t>
        </is>
      </c>
      <c r="B537" s="5" t="inlineStr">
        <is>
          <t>2026-07-02T22:04:41</t>
        </is>
      </c>
      <c r="C537" s="5" t="inlineStr">
        <is>
          <t>claro</t>
        </is>
      </c>
      <c r="D537" s="5" t="inlineStr">
        <is>
          <t>flex</t>
        </is>
      </c>
      <c r="E537" s="5" t="inlineStr">
        <is>
          <t>SP</t>
        </is>
      </c>
      <c r="F537" s="5" t="inlineStr">
        <is>
          <t>Flex 40GB</t>
        </is>
      </c>
      <c r="G537" s="5" t="inlineStr">
        <is>
          <t>claro:plano-flex-40gb</t>
        </is>
      </c>
      <c r="H537" s="6" t="n">
        <v>119.9</v>
      </c>
      <c r="I537" s="6" t="inlineStr"/>
      <c r="J537" s="5" t="inlineStr"/>
      <c r="K537" s="5" t="inlineStr"/>
      <c r="L537" s="7" t="n">
        <v>40</v>
      </c>
      <c r="M537" s="5" t="inlineStr"/>
      <c r="N537" s="5" t="inlineStr"/>
      <c r="O537" s="5" t="inlineStr">
        <is>
          <t>WhatsApp</t>
        </is>
      </c>
      <c r="P537" s="5" t="inlineStr"/>
      <c r="Q537" s="5" t="inlineStr"/>
      <c r="R537" s="5" t="inlineStr"/>
      <c r="S537" s="5" t="inlineStr"/>
      <c r="T537" s="5" t="inlineStr">
        <is>
          <t>Para uso livre; Para redes sociais e apps; Bônus uso livre; Bônus extra nos apps; WhatsApp ilimitado; Assinatura Claro musica inclusa</t>
        </is>
      </c>
      <c r="U537" s="5" t="inlineStr">
        <is>
          <t>https://www.claro.com.br/celular/flex</t>
        </is>
      </c>
      <c r="V537" s="5" t="inlineStr">
        <is>
          <t>data/raw/claro_flex_SP.json</t>
        </is>
      </c>
    </row>
    <row r="538">
      <c r="A538" s="2" t="inlineStr">
        <is>
          <t>2026-07-02</t>
        </is>
      </c>
      <c r="B538" s="2" t="inlineStr">
        <is>
          <t>2026-07-02T22:04:41</t>
        </is>
      </c>
      <c r="C538" s="2" t="inlineStr">
        <is>
          <t>claro</t>
        </is>
      </c>
      <c r="D538" s="2" t="inlineStr">
        <is>
          <t>postpaid</t>
        </is>
      </c>
      <c r="E538" s="2" t="inlineStr">
        <is>
          <t>SP</t>
        </is>
      </c>
      <c r="F538" s="2" t="inlineStr">
        <is>
          <t>Pós 100GB</t>
        </is>
      </c>
      <c r="G538" s="2" t="inlineStr">
        <is>
          <t>claro:plano-pos-100gb</t>
        </is>
      </c>
      <c r="H538" s="3" t="n">
        <v>179.9</v>
      </c>
      <c r="I538" s="3" t="inlineStr"/>
      <c r="J538" s="2" t="inlineStr"/>
      <c r="K538" s="2" t="inlineStr"/>
      <c r="L538" s="4" t="n">
        <v>100</v>
      </c>
      <c r="M538" s="2" t="inlineStr"/>
      <c r="N538" s="2" t="inlineStr"/>
      <c r="O538" s="2" t="inlineStr">
        <is>
          <t>WhatsApp</t>
        </is>
      </c>
      <c r="P538" s="2" t="inlineStr"/>
      <c r="Q538" s="2" t="inlineStr"/>
      <c r="R538" s="2" t="inlineStr"/>
      <c r="S538" s="2" t="inlineStr"/>
      <c r="T538" s="2" t="inlineStr">
        <is>
          <t>Armazenamento na nuvem:; Google One ou iCloud+; WhatsApp ilimitado; Roaming: Passaporte Américas; Claro Sync: Smartwatch conectado</t>
        </is>
      </c>
      <c r="U538" s="2" t="inlineStr">
        <is>
          <t>https://www.claro.com.br/celular/pos</t>
        </is>
      </c>
      <c r="V538" s="2" t="inlineStr">
        <is>
          <t>data/raw/claro_postpaid_SP.json</t>
        </is>
      </c>
    </row>
    <row r="539">
      <c r="A539" s="5" t="inlineStr">
        <is>
          <t>2026-07-02</t>
        </is>
      </c>
      <c r="B539" s="5" t="inlineStr">
        <is>
          <t>2026-07-02T22:04:41</t>
        </is>
      </c>
      <c r="C539" s="5" t="inlineStr">
        <is>
          <t>claro</t>
        </is>
      </c>
      <c r="D539" s="5" t="inlineStr">
        <is>
          <t>postpaid</t>
        </is>
      </c>
      <c r="E539" s="5" t="inlineStr">
        <is>
          <t>SP</t>
        </is>
      </c>
      <c r="F539" s="5" t="inlineStr">
        <is>
          <t>Pós 150GB</t>
        </is>
      </c>
      <c r="G539" s="5" t="inlineStr">
        <is>
          <t>claro:plano-pos-150gb</t>
        </is>
      </c>
      <c r="H539" s="6" t="n">
        <v>239.9</v>
      </c>
      <c r="I539" s="6" t="inlineStr"/>
      <c r="J539" s="5" t="inlineStr"/>
      <c r="K539" s="5" t="inlineStr"/>
      <c r="L539" s="7" t="n">
        <v>150</v>
      </c>
      <c r="M539" s="5" t="inlineStr"/>
      <c r="N539" s="5" t="inlineStr"/>
      <c r="O539" s="5" t="inlineStr">
        <is>
          <t>WhatsApp</t>
        </is>
      </c>
      <c r="P539" s="5" t="inlineStr"/>
      <c r="Q539" s="5" t="inlineStr"/>
      <c r="R539" s="5" t="inlineStr"/>
      <c r="S539" s="5" t="inlineStr"/>
      <c r="T539" s="5" t="inlineStr">
        <is>
          <t>Armazenamento na nuvem:; Google One ou iCloud+; WhatsApp ilimitado; Roaming: Passaporte Américas e Europa; Claro Sync: Smartwatch conectado</t>
        </is>
      </c>
      <c r="U539" s="5" t="inlineStr">
        <is>
          <t>https://www.claro.com.br/celular/pos</t>
        </is>
      </c>
      <c r="V539" s="5" t="inlineStr">
        <is>
          <t>data/raw/claro_postpaid_SP.json</t>
        </is>
      </c>
    </row>
    <row r="540">
      <c r="A540" s="2" t="inlineStr">
        <is>
          <t>2026-07-02</t>
        </is>
      </c>
      <c r="B540" s="2" t="inlineStr">
        <is>
          <t>2026-07-02T22:04:41</t>
        </is>
      </c>
      <c r="C540" s="2" t="inlineStr">
        <is>
          <t>claro</t>
        </is>
      </c>
      <c r="D540" s="2" t="inlineStr">
        <is>
          <t>postpaid</t>
        </is>
      </c>
      <c r="E540" s="2" t="inlineStr">
        <is>
          <t>SP</t>
        </is>
      </c>
      <c r="F540" s="2" t="inlineStr">
        <is>
          <t>Pós 200GB</t>
        </is>
      </c>
      <c r="G540" s="2" t="inlineStr">
        <is>
          <t>claro:plano-pos-200gb</t>
        </is>
      </c>
      <c r="H540" s="3" t="n">
        <v>339.9</v>
      </c>
      <c r="I540" s="3" t="inlineStr"/>
      <c r="J540" s="2" t="inlineStr"/>
      <c r="K540" s="2" t="inlineStr"/>
      <c r="L540" s="4" t="n">
        <v>200</v>
      </c>
      <c r="M540" s="2" t="inlineStr"/>
      <c r="N540" s="2" t="inlineStr"/>
      <c r="O540" s="2" t="inlineStr">
        <is>
          <t>WhatsApp</t>
        </is>
      </c>
      <c r="P540" s="2" t="inlineStr"/>
      <c r="Q540" s="2" t="inlineStr"/>
      <c r="R540" s="2" t="inlineStr"/>
      <c r="S540" s="2" t="inlineStr"/>
      <c r="T540" s="2" t="inlineStr">
        <is>
          <t>Armazenamento na nuvem:; Google One ou iCloud+; WhatsApp ilimitado; Roaming: Passaporte Mundo; Claro Sync: Smartwatch conectado</t>
        </is>
      </c>
      <c r="U540" s="2" t="inlineStr">
        <is>
          <t>https://www.claro.com.br/celular/pos</t>
        </is>
      </c>
      <c r="V540" s="2" t="inlineStr">
        <is>
          <t>data/raw/claro_postpaid_SP.json</t>
        </is>
      </c>
    </row>
    <row r="541">
      <c r="A541" s="5" t="inlineStr">
        <is>
          <t>2026-07-02</t>
        </is>
      </c>
      <c r="B541" s="5" t="inlineStr">
        <is>
          <t>2026-07-02T22:04:41</t>
        </is>
      </c>
      <c r="C541" s="5" t="inlineStr">
        <is>
          <t>claro</t>
        </is>
      </c>
      <c r="D541" s="5" t="inlineStr">
        <is>
          <t>postpaid</t>
        </is>
      </c>
      <c r="E541" s="5" t="inlineStr">
        <is>
          <t>SP</t>
        </is>
      </c>
      <c r="F541" s="5" t="inlineStr">
        <is>
          <t>Pós 50GB com GeForce NOW</t>
        </is>
      </c>
      <c r="G541" s="5" t="inlineStr">
        <is>
          <t>claro:plano-pos-60gb-geforce</t>
        </is>
      </c>
      <c r="H541" s="6" t="n">
        <v>164.9</v>
      </c>
      <c r="I541" s="6" t="inlineStr"/>
      <c r="J541" s="5" t="inlineStr"/>
      <c r="K541" s="5" t="inlineStr"/>
      <c r="L541" s="7" t="n">
        <v>50</v>
      </c>
      <c r="M541" s="5" t="inlineStr"/>
      <c r="N541" s="5" t="inlineStr"/>
      <c r="O541" s="5" t="inlineStr">
        <is>
          <t>WhatsApp</t>
        </is>
      </c>
      <c r="P541" s="5" t="inlineStr"/>
      <c r="Q541" s="5" t="inlineStr"/>
      <c r="R541" s="5" t="inlineStr"/>
      <c r="S541" s="5" t="inlineStr"/>
      <c r="T541" s="5" t="inlineStr">
        <is>
          <t>Armazenamento na nuvem:; Google One ou iCloud+; WhatsApp ilimitado; Roaming: Passaporte Américas; Claro Sync: Smartwatch conectado; Inclusa assinatura GeForce NOW</t>
        </is>
      </c>
      <c r="U541" s="5" t="inlineStr">
        <is>
          <t>https://www.claro.com.br/celular/pos</t>
        </is>
      </c>
      <c r="V541" s="5" t="inlineStr">
        <is>
          <t>data/raw/claro_postpaid_SP.json</t>
        </is>
      </c>
    </row>
    <row r="542">
      <c r="A542" s="2" t="inlineStr">
        <is>
          <t>2026-07-02</t>
        </is>
      </c>
      <c r="B542" s="2" t="inlineStr">
        <is>
          <t>2026-07-02T22:04:41</t>
        </is>
      </c>
      <c r="C542" s="2" t="inlineStr">
        <is>
          <t>claro</t>
        </is>
      </c>
      <c r="D542" s="2" t="inlineStr">
        <is>
          <t>postpaid</t>
        </is>
      </c>
      <c r="E542" s="2" t="inlineStr">
        <is>
          <t>SP</t>
        </is>
      </c>
      <c r="F542" s="2" t="inlineStr">
        <is>
          <t>Pós 60GB</t>
        </is>
      </c>
      <c r="G542" s="2" t="inlineStr">
        <is>
          <t>claro:plano-pos-60gb</t>
        </is>
      </c>
      <c r="H542" s="3" t="n">
        <v>124.9</v>
      </c>
      <c r="I542" s="3" t="inlineStr"/>
      <c r="J542" s="2" t="inlineStr"/>
      <c r="K542" s="2" t="inlineStr"/>
      <c r="L542" s="4" t="n">
        <v>60</v>
      </c>
      <c r="M542" s="2" t="inlineStr"/>
      <c r="N542" s="2" t="inlineStr"/>
      <c r="O542" s="2" t="inlineStr">
        <is>
          <t>WhatsApp</t>
        </is>
      </c>
      <c r="P542" s="2" t="inlineStr"/>
      <c r="Q542" s="2" t="inlineStr"/>
      <c r="R542" s="2" t="inlineStr"/>
      <c r="S542" s="2" t="inlineStr"/>
      <c r="T542" s="2" t="inlineStr">
        <is>
          <t>Armazenamento na nuvem:; Google One ou iCloud+; WhatsApp ilimitado; Roaming: Passaporte Américas; Claro Sync: Smartwatch conectado</t>
        </is>
      </c>
      <c r="U542" s="2" t="inlineStr">
        <is>
          <t>https://www.claro.com.br/celular/pos</t>
        </is>
      </c>
      <c r="V542" s="2" t="inlineStr">
        <is>
          <t>data/raw/claro_postpaid_SP.json</t>
        </is>
      </c>
    </row>
    <row r="543">
      <c r="A543" s="5" t="inlineStr">
        <is>
          <t>2026-07-02</t>
        </is>
      </c>
      <c r="B543" s="5" t="inlineStr">
        <is>
          <t>2026-07-02T22:04:41</t>
        </is>
      </c>
      <c r="C543" s="5" t="inlineStr">
        <is>
          <t>claro</t>
        </is>
      </c>
      <c r="D543" s="5" t="inlineStr">
        <is>
          <t>prepaid</t>
        </is>
      </c>
      <c r="E543" s="5" t="inlineStr">
        <is>
          <t>SP</t>
        </is>
      </c>
      <c r="F543" s="5" t="inlineStr">
        <is>
          <t>Prezão 10GB (25 dias)</t>
        </is>
      </c>
      <c r="G543" s="5" t="inlineStr">
        <is>
          <t>claro:prezao-25d-10gb</t>
        </is>
      </c>
      <c r="H543" s="6" t="n">
        <v>25</v>
      </c>
      <c r="I543" s="6" t="inlineStr"/>
      <c r="J543" s="5" t="inlineStr">
        <is>
          <t>recarga Prezão R$25 — validade 25 dias</t>
        </is>
      </c>
      <c r="K543" s="5" t="inlineStr"/>
      <c r="L543" s="7" t="n">
        <v>10</v>
      </c>
      <c r="M543" s="5" t="inlineStr"/>
      <c r="N543" s="5" t="n">
        <v>25</v>
      </c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https://www.claro.com.br/celular/planos-pre/prezao</t>
        </is>
      </c>
      <c r="V543" s="5" t="inlineStr">
        <is>
          <t>data/raw/claro_prepaid_SP.json</t>
        </is>
      </c>
    </row>
    <row r="544">
      <c r="A544" s="2" t="inlineStr">
        <is>
          <t>2026-07-02</t>
        </is>
      </c>
      <c r="B544" s="2" t="inlineStr">
        <is>
          <t>2026-07-02T22:04:41</t>
        </is>
      </c>
      <c r="C544" s="2" t="inlineStr">
        <is>
          <t>claro</t>
        </is>
      </c>
      <c r="D544" s="2" t="inlineStr">
        <is>
          <t>prepaid</t>
        </is>
      </c>
      <c r="E544" s="2" t="inlineStr">
        <is>
          <t>SP</t>
        </is>
      </c>
      <c r="F544" s="2" t="inlineStr">
        <is>
          <t>Prezão 12GB (30 dias)</t>
        </is>
      </c>
      <c r="G544" s="2" t="inlineStr">
        <is>
          <t>claro:prezao-30d-12gb</t>
        </is>
      </c>
      <c r="H544" s="3" t="n">
        <v>30</v>
      </c>
      <c r="I544" s="3" t="inlineStr"/>
      <c r="J544" s="2" t="inlineStr">
        <is>
          <t>recarga Prezão R$30 — validade 30 dias</t>
        </is>
      </c>
      <c r="K544" s="2" t="inlineStr"/>
      <c r="L544" s="4" t="n">
        <v>12</v>
      </c>
      <c r="M544" s="2" t="inlineStr"/>
      <c r="N544" s="2" t="n">
        <v>30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https://www.claro.com.br/celular/planos-pre/prezao</t>
        </is>
      </c>
      <c r="V544" s="2" t="inlineStr">
        <is>
          <t>data/raw/claro_prepaid_SP.json</t>
        </is>
      </c>
    </row>
    <row r="545">
      <c r="A545" s="5" t="inlineStr">
        <is>
          <t>2026-07-02</t>
        </is>
      </c>
      <c r="B545" s="5" t="inlineStr">
        <is>
          <t>2026-07-02T22:04:41</t>
        </is>
      </c>
      <c r="C545" s="5" t="inlineStr">
        <is>
          <t>claro</t>
        </is>
      </c>
      <c r="D545" s="5" t="inlineStr">
        <is>
          <t>prepaid</t>
        </is>
      </c>
      <c r="E545" s="5" t="inlineStr">
        <is>
          <t>SP</t>
        </is>
      </c>
      <c r="F545" s="5" t="inlineStr">
        <is>
          <t>Prezão 4GB (12 dias)</t>
        </is>
      </c>
      <c r="G545" s="5" t="inlineStr">
        <is>
          <t>claro:prezao-12d-4gb</t>
        </is>
      </c>
      <c r="H545" s="6" t="n">
        <v>15</v>
      </c>
      <c r="I545" s="6" t="inlineStr"/>
      <c r="J545" s="5" t="inlineStr">
        <is>
          <t>recarga Prezão R$15 — validade 12 dias</t>
        </is>
      </c>
      <c r="K545" s="5" t="inlineStr"/>
      <c r="L545" s="7" t="n">
        <v>4</v>
      </c>
      <c r="M545" s="5" t="inlineStr"/>
      <c r="N545" s="5" t="n">
        <v>12</v>
      </c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https://www.claro.com.br/celular/planos-pre/prezao</t>
        </is>
      </c>
      <c r="V545" s="5" t="inlineStr">
        <is>
          <t>data/raw/claro_prepaid_SP.json</t>
        </is>
      </c>
    </row>
    <row r="546">
      <c r="A546" s="2" t="inlineStr">
        <is>
          <t>2026-07-02</t>
        </is>
      </c>
      <c r="B546" s="2" t="inlineStr">
        <is>
          <t>2026-07-02T22:04:41</t>
        </is>
      </c>
      <c r="C546" s="2" t="inlineStr">
        <is>
          <t>claro</t>
        </is>
      </c>
      <c r="D546" s="2" t="inlineStr">
        <is>
          <t>prepaid</t>
        </is>
      </c>
      <c r="E546" s="2" t="inlineStr">
        <is>
          <t>SP</t>
        </is>
      </c>
      <c r="F546" s="2" t="inlineStr">
        <is>
          <t>Prezão 5GB (15 dias)</t>
        </is>
      </c>
      <c r="G546" s="2" t="inlineStr">
        <is>
          <t>claro:prezao-15d-5gb</t>
        </is>
      </c>
      <c r="H546" s="3" t="n">
        <v>15</v>
      </c>
      <c r="I546" s="3" t="inlineStr"/>
      <c r="J546" s="2" t="inlineStr">
        <is>
          <t>recarga Prezão R$15 — validade 15 dias</t>
        </is>
      </c>
      <c r="K546" s="2" t="inlineStr"/>
      <c r="L546" s="4" t="n">
        <v>5</v>
      </c>
      <c r="M546" s="2" t="inlineStr"/>
      <c r="N546" s="2" t="n">
        <v>15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https://www.claro.com.br/celular/planos-pre/prezao</t>
        </is>
      </c>
      <c r="V546" s="2" t="inlineStr">
        <is>
          <t>data/raw/claro_prepaid_SP.json</t>
        </is>
      </c>
    </row>
    <row r="547">
      <c r="A547" s="5" t="inlineStr">
        <is>
          <t>2026-07-02</t>
        </is>
      </c>
      <c r="B547" s="5" t="inlineStr">
        <is>
          <t>2026-07-02T22:04:41</t>
        </is>
      </c>
      <c r="C547" s="5" t="inlineStr">
        <is>
          <t>claro</t>
        </is>
      </c>
      <c r="D547" s="5" t="inlineStr">
        <is>
          <t>prepaid</t>
        </is>
      </c>
      <c r="E547" s="5" t="inlineStr">
        <is>
          <t>SP</t>
        </is>
      </c>
      <c r="F547" s="5" t="inlineStr">
        <is>
          <t>Prezão 6GB (20 dias)</t>
        </is>
      </c>
      <c r="G547" s="5" t="inlineStr">
        <is>
          <t>claro:prezao-20d-6gb</t>
        </is>
      </c>
      <c r="H547" s="6" t="n">
        <v>20</v>
      </c>
      <c r="I547" s="6" t="inlineStr"/>
      <c r="J547" s="5" t="inlineStr">
        <is>
          <t>recarga Prezão R$20 — validade 20 dias</t>
        </is>
      </c>
      <c r="K547" s="5" t="inlineStr"/>
      <c r="L547" s="7" t="n">
        <v>6</v>
      </c>
      <c r="M547" s="5" t="inlineStr"/>
      <c r="N547" s="5" t="n">
        <v>20</v>
      </c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https://www.claro.com.br/celular/planos-pre/prezao</t>
        </is>
      </c>
      <c r="V547" s="5" t="inlineStr">
        <is>
          <t>data/raw/claro_prepaid_SP.json</t>
        </is>
      </c>
    </row>
    <row r="548">
      <c r="A548" s="2" t="inlineStr">
        <is>
          <t>2026-07-02</t>
        </is>
      </c>
      <c r="B548" s="2" t="inlineStr">
        <is>
          <t>2026-07-02T22:04:41</t>
        </is>
      </c>
      <c r="C548" s="2" t="inlineStr">
        <is>
          <t>claro</t>
        </is>
      </c>
      <c r="D548" s="2" t="inlineStr">
        <is>
          <t>prepaid</t>
        </is>
      </c>
      <c r="E548" s="2" t="inlineStr">
        <is>
          <t>SP</t>
        </is>
      </c>
      <c r="F548" s="2" t="inlineStr">
        <is>
          <t>Prezão 8GB (20 dias)</t>
        </is>
      </c>
      <c r="G548" s="2" t="inlineStr">
        <is>
          <t>claro:prezao-20d-8gb</t>
        </is>
      </c>
      <c r="H548" s="3" t="n">
        <v>20</v>
      </c>
      <c r="I548" s="3" t="inlineStr"/>
      <c r="J548" s="2" t="inlineStr">
        <is>
          <t>recarga Prezão R$20 — validade 20 dias</t>
        </is>
      </c>
      <c r="K548" s="2" t="inlineStr"/>
      <c r="L548" s="4" t="n">
        <v>8</v>
      </c>
      <c r="M548" s="2" t="inlineStr"/>
      <c r="N548" s="2" t="n">
        <v>20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https://www.claro.com.br/celular/planos-pre/prezao</t>
        </is>
      </c>
      <c r="V548" s="2" t="inlineStr">
        <is>
          <t>data/raw/claro_prepaid_SP.json</t>
        </is>
      </c>
    </row>
    <row r="549">
      <c r="A549" s="5" t="inlineStr">
        <is>
          <t>2026-07-02</t>
        </is>
      </c>
      <c r="B549" s="5" t="inlineStr">
        <is>
          <t>2026-07-02T22:04:41</t>
        </is>
      </c>
      <c r="C549" s="5" t="inlineStr">
        <is>
          <t>claro</t>
        </is>
      </c>
      <c r="D549" s="5" t="inlineStr">
        <is>
          <t>prepaid</t>
        </is>
      </c>
      <c r="E549" s="5" t="inlineStr">
        <is>
          <t>SP</t>
        </is>
      </c>
      <c r="F549" s="5" t="inlineStr">
        <is>
          <t>Prezão 9GB (25 dias)</t>
        </is>
      </c>
      <c r="G549" s="5" t="inlineStr">
        <is>
          <t>claro:prezao-25d-9gb</t>
        </is>
      </c>
      <c r="H549" s="6" t="n">
        <v>25</v>
      </c>
      <c r="I549" s="6" t="inlineStr"/>
      <c r="J549" s="5" t="inlineStr">
        <is>
          <t>recarga Prezão R$25 — validade 25 dias</t>
        </is>
      </c>
      <c r="K549" s="5" t="inlineStr"/>
      <c r="L549" s="7" t="n">
        <v>9</v>
      </c>
      <c r="M549" s="5" t="inlineStr"/>
      <c r="N549" s="5" t="n">
        <v>25</v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https://www.claro.com.br/celular/planos-pre/prezao</t>
        </is>
      </c>
      <c r="V549" s="5" t="inlineStr">
        <is>
          <t>data/raw/claro_prepaid_SP.json</t>
        </is>
      </c>
    </row>
    <row r="550">
      <c r="A550" s="2" t="inlineStr">
        <is>
          <t>2026-07-02</t>
        </is>
      </c>
      <c r="B550" s="2" t="inlineStr">
        <is>
          <t>2026-07-02T22:04:41</t>
        </is>
      </c>
      <c r="C550" s="2" t="inlineStr">
        <is>
          <t>tim</t>
        </is>
      </c>
      <c r="D550" s="2" t="inlineStr">
        <is>
          <t>control</t>
        </is>
      </c>
      <c r="E550" s="2" t="inlineStr">
        <is>
          <t>SP</t>
        </is>
      </c>
      <c r="F550" s="2" t="inlineStr">
        <is>
          <t>TIM Controle 41GB</t>
        </is>
      </c>
      <c r="G550" s="2" t="inlineStr">
        <is>
          <t>tim:162901</t>
        </is>
      </c>
      <c r="H550" s="3" t="n">
        <v>58.99</v>
      </c>
      <c r="I550" s="3" t="inlineStr"/>
      <c r="J550" s="2" t="inlineStr"/>
      <c r="K550" s="2" t="inlineStr"/>
      <c r="L550" s="4" t="n">
        <v>41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https://www.tim.com.br/sp/para-voce/planos/controle</t>
        </is>
      </c>
      <c r="V550" s="2" t="inlineStr">
        <is>
          <t>data/raw/tim_control_SP.html</t>
        </is>
      </c>
    </row>
    <row r="551">
      <c r="A551" s="5" t="inlineStr">
        <is>
          <t>2026-07-02</t>
        </is>
      </c>
      <c r="B551" s="5" t="inlineStr">
        <is>
          <t>2026-07-02T22:04:41</t>
        </is>
      </c>
      <c r="C551" s="5" t="inlineStr">
        <is>
          <t>tim</t>
        </is>
      </c>
      <c r="D551" s="5" t="inlineStr">
        <is>
          <t>control</t>
        </is>
      </c>
      <c r="E551" s="5" t="inlineStr">
        <is>
          <t>SP</t>
        </is>
      </c>
      <c r="F551" s="5" t="inlineStr">
        <is>
          <t>TIM Controle Light Express 31GB</t>
        </is>
      </c>
      <c r="G551" s="5" t="inlineStr">
        <is>
          <t>tim:143536</t>
        </is>
      </c>
      <c r="H551" s="6" t="n">
        <v>60.99</v>
      </c>
      <c r="I551" s="6" t="inlineStr"/>
      <c r="J551" s="5" t="inlineStr"/>
      <c r="K551" s="5" t="inlineStr"/>
      <c r="L551" s="7" t="n">
        <v>31</v>
      </c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https://www.tim.com.br/sp/para-voce/planos/controle</t>
        </is>
      </c>
      <c r="V551" s="5" t="inlineStr">
        <is>
          <t>data/raw/tim_control_SP.html</t>
        </is>
      </c>
    </row>
    <row r="552">
      <c r="A552" s="2" t="inlineStr">
        <is>
          <t>2026-07-02</t>
        </is>
      </c>
      <c r="B552" s="2" t="inlineStr">
        <is>
          <t>2026-07-02T22:04:41</t>
        </is>
      </c>
      <c r="C552" s="2" t="inlineStr">
        <is>
          <t>tim</t>
        </is>
      </c>
      <c r="D552" s="2" t="inlineStr">
        <is>
          <t>control</t>
        </is>
      </c>
      <c r="E552" s="2" t="inlineStr">
        <is>
          <t>SP</t>
        </is>
      </c>
      <c r="F552" s="2" t="inlineStr">
        <is>
          <t>TIM Controle Plus 45GB</t>
        </is>
      </c>
      <c r="G552" s="2" t="inlineStr">
        <is>
          <t>tim:155891</t>
        </is>
      </c>
      <c r="H552" s="3" t="n">
        <v>64.98999999999999</v>
      </c>
      <c r="I552" s="3" t="inlineStr"/>
      <c r="J552" s="2" t="inlineStr"/>
      <c r="K552" s="2" t="inlineStr"/>
      <c r="L552" s="4" t="n">
        <v>45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https://www.tim.com.br/sp/para-voce/planos/controle</t>
        </is>
      </c>
      <c r="V552" s="2" t="inlineStr">
        <is>
          <t>data/raw/tim_control_SP.html</t>
        </is>
      </c>
    </row>
    <row r="553">
      <c r="A553" s="5" t="inlineStr">
        <is>
          <t>2026-07-02</t>
        </is>
      </c>
      <c r="B553" s="5" t="inlineStr">
        <is>
          <t>2026-07-02T22:04:41</t>
        </is>
      </c>
      <c r="C553" s="5" t="inlineStr">
        <is>
          <t>tim</t>
        </is>
      </c>
      <c r="D553" s="5" t="inlineStr">
        <is>
          <t>control</t>
        </is>
      </c>
      <c r="E553" s="5" t="inlineStr">
        <is>
          <t>SP</t>
        </is>
      </c>
      <c r="F553" s="5" t="inlineStr">
        <is>
          <t>TIM Controle Premium 53GB</t>
        </is>
      </c>
      <c r="G553" s="5" t="inlineStr">
        <is>
          <t>tim:162896</t>
        </is>
      </c>
      <c r="H553" s="6" t="n">
        <v>84.98999999999999</v>
      </c>
      <c r="I553" s="6" t="inlineStr"/>
      <c r="J553" s="5" t="inlineStr"/>
      <c r="K553" s="5" t="inlineStr"/>
      <c r="L553" s="7" t="n">
        <v>53</v>
      </c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https://www.tim.com.br/sp/para-voce/planos/controle</t>
        </is>
      </c>
      <c r="V553" s="5" t="inlineStr">
        <is>
          <t>data/raw/tim_control_SP.html</t>
        </is>
      </c>
    </row>
    <row r="554">
      <c r="A554" s="2" t="inlineStr">
        <is>
          <t>2026-07-02</t>
        </is>
      </c>
      <c r="B554" s="2" t="inlineStr">
        <is>
          <t>2026-07-02T22:04:41</t>
        </is>
      </c>
      <c r="C554" s="2" t="inlineStr">
        <is>
          <t>tim</t>
        </is>
      </c>
      <c r="D554" s="2" t="inlineStr">
        <is>
          <t>control</t>
        </is>
      </c>
      <c r="E554" s="2" t="inlineStr">
        <is>
          <t>SP</t>
        </is>
      </c>
      <c r="F554" s="2" t="inlineStr">
        <is>
          <t>TIM Controle Pro Express</t>
        </is>
      </c>
      <c r="G554" s="2" t="inlineStr">
        <is>
          <t>tim:143576</t>
        </is>
      </c>
      <c r="H554" s="3" t="n">
        <v>64.98999999999999</v>
      </c>
      <c r="I554" s="3" t="inlineStr"/>
      <c r="J554" s="2" t="inlineStr"/>
      <c r="K554" s="2" t="inlineStr"/>
      <c r="L554" s="4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https://www.tim.com.br/sp/para-voce/planos/controle</t>
        </is>
      </c>
      <c r="V554" s="2" t="inlineStr">
        <is>
          <t>data/raw/tim_control_SP.html</t>
        </is>
      </c>
    </row>
    <row r="555">
      <c r="A555" s="5" t="inlineStr">
        <is>
          <t>2026-07-02</t>
        </is>
      </c>
      <c r="B555" s="5" t="inlineStr">
        <is>
          <t>2026-07-02T22:04:41</t>
        </is>
      </c>
      <c r="C555" s="5" t="inlineStr">
        <is>
          <t>tim</t>
        </is>
      </c>
      <c r="D555" s="5" t="inlineStr">
        <is>
          <t>postpaid</t>
        </is>
      </c>
      <c r="E555" s="5" t="inlineStr">
        <is>
          <t>SP</t>
        </is>
      </c>
      <c r="F555" s="5" t="inlineStr">
        <is>
          <t>TIM Black 70GB</t>
        </is>
      </c>
      <c r="G555" s="5" t="inlineStr">
        <is>
          <t>tim:54206</t>
        </is>
      </c>
      <c r="H555" s="6" t="n">
        <v>129.99</v>
      </c>
      <c r="I555" s="6" t="inlineStr"/>
      <c r="J555" s="5" t="inlineStr"/>
      <c r="K555" s="5" t="inlineStr">
        <is>
          <t>bill</t>
        </is>
      </c>
      <c r="L555" s="7" t="n">
        <v>70</v>
      </c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https://www.tim.com.br/sp/para-voce/planos/pos-pago/tim-black</t>
        </is>
      </c>
      <c r="V555" s="5" t="inlineStr">
        <is>
          <t>data/raw/tim_postpaid_SP.html</t>
        </is>
      </c>
    </row>
    <row r="556">
      <c r="A556" s="2" t="inlineStr">
        <is>
          <t>2026-07-02</t>
        </is>
      </c>
      <c r="B556" s="2" t="inlineStr">
        <is>
          <t>2026-07-02T22:04:41</t>
        </is>
      </c>
      <c r="C556" s="2" t="inlineStr">
        <is>
          <t>tim</t>
        </is>
      </c>
      <c r="D556" s="2" t="inlineStr">
        <is>
          <t>postpaid</t>
        </is>
      </c>
      <c r="E556" s="2" t="inlineStr">
        <is>
          <t>SP</t>
        </is>
      </c>
      <c r="F556" s="2" t="inlineStr">
        <is>
          <t>TIM Black A Express 67GB</t>
        </is>
      </c>
      <c r="G556" s="2" t="inlineStr">
        <is>
          <t>tim:55121</t>
        </is>
      </c>
      <c r="H556" s="3" t="n">
        <v>119.99</v>
      </c>
      <c r="I556" s="3" t="inlineStr"/>
      <c r="J556" s="2" t="inlineStr"/>
      <c r="K556" s="2" t="inlineStr">
        <is>
          <t>credit_card</t>
        </is>
      </c>
      <c r="L556" s="4" t="n">
        <v>67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https://www.tim.com.br/sp/para-voce/planos/pos-pago/tim-black</t>
        </is>
      </c>
      <c r="V556" s="2" t="inlineStr">
        <is>
          <t>data/raw/tim_postpaid_SP.html</t>
        </is>
      </c>
    </row>
    <row r="557">
      <c r="A557" s="5" t="inlineStr">
        <is>
          <t>2026-07-02</t>
        </is>
      </c>
      <c r="B557" s="5" t="inlineStr">
        <is>
          <t>2026-07-02T22:04:41</t>
        </is>
      </c>
      <c r="C557" s="5" t="inlineStr">
        <is>
          <t>tim</t>
        </is>
      </c>
      <c r="D557" s="5" t="inlineStr">
        <is>
          <t>postpaid</t>
        </is>
      </c>
      <c r="E557" s="5" t="inlineStr">
        <is>
          <t>SP</t>
        </is>
      </c>
      <c r="F557" s="5" t="inlineStr">
        <is>
          <t>TIM Black B Express 82GB</t>
        </is>
      </c>
      <c r="G557" s="5" t="inlineStr">
        <is>
          <t>tim:52146</t>
        </is>
      </c>
      <c r="H557" s="6" t="n">
        <v>144.99</v>
      </c>
      <c r="I557" s="6" t="inlineStr"/>
      <c r="J557" s="5" t="inlineStr"/>
      <c r="K557" s="5" t="inlineStr">
        <is>
          <t>credit_card</t>
        </is>
      </c>
      <c r="L557" s="7" t="n">
        <v>82</v>
      </c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https://www.tim.com.br/sp/para-voce/planos/pos-pago/tim-black</t>
        </is>
      </c>
      <c r="V557" s="5" t="inlineStr">
        <is>
          <t>data/raw/tim_postpaid_SP.html</t>
        </is>
      </c>
    </row>
    <row r="558">
      <c r="A558" s="2" t="inlineStr">
        <is>
          <t>2026-07-02</t>
        </is>
      </c>
      <c r="B558" s="2" t="inlineStr">
        <is>
          <t>2026-07-02T22:04:41</t>
        </is>
      </c>
      <c r="C558" s="2" t="inlineStr">
        <is>
          <t>tim</t>
        </is>
      </c>
      <c r="D558" s="2" t="inlineStr">
        <is>
          <t>postpaid</t>
        </is>
      </c>
      <c r="E558" s="2" t="inlineStr">
        <is>
          <t>SP</t>
        </is>
      </c>
      <c r="F558" s="2" t="inlineStr">
        <is>
          <t>TIM Black C Express 107GB</t>
        </is>
      </c>
      <c r="G558" s="2" t="inlineStr">
        <is>
          <t>tim:52151</t>
        </is>
      </c>
      <c r="H558" s="3" t="n">
        <v>164.99</v>
      </c>
      <c r="I558" s="3" t="inlineStr"/>
      <c r="J558" s="2" t="inlineStr"/>
      <c r="K558" s="2" t="inlineStr">
        <is>
          <t>credit_card</t>
        </is>
      </c>
      <c r="L558" s="4" t="n">
        <v>107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https://www.tim.com.br/sp/para-voce/planos/pos-pago/tim-black</t>
        </is>
      </c>
      <c r="V558" s="2" t="inlineStr">
        <is>
          <t>data/raw/tim_postpaid_SP.html</t>
        </is>
      </c>
    </row>
    <row r="559">
      <c r="A559" s="5" t="inlineStr">
        <is>
          <t>2026-07-02</t>
        </is>
      </c>
      <c r="B559" s="5" t="inlineStr">
        <is>
          <t>2026-07-02T22:04:41</t>
        </is>
      </c>
      <c r="C559" s="5" t="inlineStr">
        <is>
          <t>tim</t>
        </is>
      </c>
      <c r="D559" s="5" t="inlineStr">
        <is>
          <t>postpaid</t>
        </is>
      </c>
      <c r="E559" s="5" t="inlineStr">
        <is>
          <t>SP</t>
        </is>
      </c>
      <c r="F559" s="5" t="inlineStr">
        <is>
          <t>TIM Black C Ultra 95GB</t>
        </is>
      </c>
      <c r="G559" s="5" t="inlineStr">
        <is>
          <t>tim:100581</t>
        </is>
      </c>
      <c r="H559" s="6" t="n">
        <v>159.99</v>
      </c>
      <c r="I559" s="6" t="inlineStr"/>
      <c r="J559" s="5" t="inlineStr"/>
      <c r="K559" s="5" t="inlineStr">
        <is>
          <t>bill</t>
        </is>
      </c>
      <c r="L559" s="7" t="n">
        <v>95</v>
      </c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https://www.tim.com.br/sp/para-voce/planos/pos-pago/tim-black</t>
        </is>
      </c>
      <c r="V559" s="5" t="inlineStr">
        <is>
          <t>data/raw/tim_postpaid_SP.html</t>
        </is>
      </c>
    </row>
    <row r="560">
      <c r="A560" s="2" t="inlineStr">
        <is>
          <t>2026-07-02</t>
        </is>
      </c>
      <c r="B560" s="2" t="inlineStr">
        <is>
          <t>2026-07-02T22:04:41</t>
        </is>
      </c>
      <c r="C560" s="2" t="inlineStr">
        <is>
          <t>tim</t>
        </is>
      </c>
      <c r="D560" s="2" t="inlineStr">
        <is>
          <t>postpaid</t>
        </is>
      </c>
      <c r="E560" s="2" t="inlineStr">
        <is>
          <t>SP</t>
        </is>
      </c>
      <c r="F560" s="2" t="inlineStr">
        <is>
          <t>TIM Black Plus 80GB</t>
        </is>
      </c>
      <c r="G560" s="2" t="inlineStr">
        <is>
          <t>tim:54256</t>
        </is>
      </c>
      <c r="H560" s="3" t="n">
        <v>149.99</v>
      </c>
      <c r="I560" s="3" t="inlineStr"/>
      <c r="J560" s="2" t="inlineStr"/>
      <c r="K560" s="2" t="inlineStr">
        <is>
          <t>bill</t>
        </is>
      </c>
      <c r="L560" s="4" t="n">
        <v>80</v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https://www.tim.com.br/sp/para-voce/planos/pos-pago/tim-black</t>
        </is>
      </c>
      <c r="V560" s="2" t="inlineStr">
        <is>
          <t>data/raw/tim_postpaid_SP.html</t>
        </is>
      </c>
    </row>
    <row r="561">
      <c r="A561" s="5" t="inlineStr">
        <is>
          <t>2026-07-02</t>
        </is>
      </c>
      <c r="B561" s="5" t="inlineStr">
        <is>
          <t>2026-07-02T22:04:41</t>
        </is>
      </c>
      <c r="C561" s="5" t="inlineStr">
        <is>
          <t>tim</t>
        </is>
      </c>
      <c r="D561" s="5" t="inlineStr">
        <is>
          <t>postpaid</t>
        </is>
      </c>
      <c r="E561" s="5" t="inlineStr">
        <is>
          <t>SP</t>
        </is>
      </c>
      <c r="F561" s="5" t="inlineStr">
        <is>
          <t>TIM Black Premium 110GB</t>
        </is>
      </c>
      <c r="G561" s="5" t="inlineStr">
        <is>
          <t>tim:54261</t>
        </is>
      </c>
      <c r="H561" s="6" t="n">
        <v>159.99</v>
      </c>
      <c r="I561" s="6" t="inlineStr"/>
      <c r="J561" s="5" t="inlineStr"/>
      <c r="K561" s="5" t="inlineStr">
        <is>
          <t>bill</t>
        </is>
      </c>
      <c r="L561" s="7" t="n">
        <v>110</v>
      </c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https://www.tim.com.br/sp/para-voce/planos/pos-pago/tim-black</t>
        </is>
      </c>
      <c r="V561" s="5" t="inlineStr">
        <is>
          <t>data/raw/tim_postpaid_SP.html</t>
        </is>
      </c>
    </row>
    <row r="562">
      <c r="A562" s="2" t="inlineStr">
        <is>
          <t>2026-07-02</t>
        </is>
      </c>
      <c r="B562" s="2" t="inlineStr">
        <is>
          <t>2026-07-02T22:04:41</t>
        </is>
      </c>
      <c r="C562" s="2" t="inlineStr">
        <is>
          <t>tim</t>
        </is>
      </c>
      <c r="D562" s="2" t="inlineStr">
        <is>
          <t>prepaid</t>
        </is>
      </c>
      <c r="E562" s="2" t="inlineStr">
        <is>
          <t>SP</t>
        </is>
      </c>
      <c r="F562" s="2" t="inlineStr">
        <is>
          <t>TIM Pré XIP Plus 16GB</t>
        </is>
      </c>
      <c r="G562" s="2" t="inlineStr">
        <is>
          <t>tim:106306</t>
        </is>
      </c>
      <c r="H562" s="3" t="n">
        <v>30</v>
      </c>
      <c r="I562" s="3" t="inlineStr"/>
      <c r="J562" s="2" t="inlineStr"/>
      <c r="K562" s="2" t="inlineStr"/>
      <c r="L562" s="4" t="n">
        <v>16</v>
      </c>
      <c r="M562" s="2" t="inlineStr"/>
      <c r="N562" s="2" t="n">
        <v>30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https://www.tim.com.br/sp/para-voce/planos/pre-pago</t>
        </is>
      </c>
      <c r="V562" s="2" t="inlineStr">
        <is>
          <t>data/raw/tim_prepaid_SP.html</t>
        </is>
      </c>
    </row>
    <row r="563">
      <c r="A563" s="5" t="inlineStr">
        <is>
          <t>2026-07-02</t>
        </is>
      </c>
      <c r="B563" s="5" t="inlineStr">
        <is>
          <t>2026-07-02T22:04:41</t>
        </is>
      </c>
      <c r="C563" s="5" t="inlineStr">
        <is>
          <t>tim</t>
        </is>
      </c>
      <c r="D563" s="5" t="inlineStr">
        <is>
          <t>prepaid</t>
        </is>
      </c>
      <c r="E563" s="5" t="inlineStr">
        <is>
          <t>SP</t>
        </is>
      </c>
      <c r="F563" s="5" t="inlineStr">
        <is>
          <t>TIM Pré XIP Plus 6GB</t>
        </is>
      </c>
      <c r="G563" s="5" t="inlineStr">
        <is>
          <t>tim:59906</t>
        </is>
      </c>
      <c r="H563" s="6" t="n">
        <v>20</v>
      </c>
      <c r="I563" s="6" t="inlineStr"/>
      <c r="J563" s="5" t="inlineStr"/>
      <c r="K563" s="5" t="inlineStr"/>
      <c r="L563" s="7" t="n">
        <v>6</v>
      </c>
      <c r="M563" s="5" t="inlineStr"/>
      <c r="N563" s="5" t="n">
        <v>17</v>
      </c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https://www.tim.com.br/sp/para-voce/planos/pre-pago</t>
        </is>
      </c>
      <c r="V563" s="5" t="inlineStr">
        <is>
          <t>data/raw/tim_prepaid_SP.html</t>
        </is>
      </c>
    </row>
    <row r="564">
      <c r="A564" s="2" t="inlineStr">
        <is>
          <t>2026-07-02</t>
        </is>
      </c>
      <c r="B564" s="2" t="inlineStr">
        <is>
          <t>2026-07-02T22:04:41</t>
        </is>
      </c>
      <c r="C564" s="2" t="inlineStr">
        <is>
          <t>tim</t>
        </is>
      </c>
      <c r="D564" s="2" t="inlineStr">
        <is>
          <t>prepaid</t>
        </is>
      </c>
      <c r="E564" s="2" t="inlineStr">
        <is>
          <t>SP</t>
        </is>
      </c>
      <c r="F564" s="2" t="inlineStr">
        <is>
          <t>TIM Pré XIP Plus 8GB</t>
        </is>
      </c>
      <c r="G564" s="2" t="inlineStr">
        <is>
          <t>tim:59901</t>
        </is>
      </c>
      <c r="H564" s="3" t="n">
        <v>25</v>
      </c>
      <c r="I564" s="3" t="inlineStr"/>
      <c r="J564" s="2" t="inlineStr"/>
      <c r="K564" s="2" t="inlineStr"/>
      <c r="L564" s="4" t="n">
        <v>8</v>
      </c>
      <c r="M564" s="2" t="inlineStr"/>
      <c r="N564" s="2" t="n">
        <v>22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https://www.tim.com.br/sp/para-voce/planos/pre-pago</t>
        </is>
      </c>
      <c r="V564" s="2" t="inlineStr">
        <is>
          <t>data/raw/tim_prepaid_SP.html</t>
        </is>
      </c>
    </row>
    <row r="565">
      <c r="A565" s="5" t="inlineStr">
        <is>
          <t>2026-07-02</t>
        </is>
      </c>
      <c r="B565" s="5" t="inlineStr">
        <is>
          <t>2026-07-02T22:04:41</t>
        </is>
      </c>
      <c r="C565" s="5" t="inlineStr">
        <is>
          <t>vivo</t>
        </is>
      </c>
      <c r="D565" s="5" t="inlineStr">
        <is>
          <t>control</t>
        </is>
      </c>
      <c r="E565" s="5" t="inlineStr">
        <is>
          <t>SP</t>
        </is>
      </c>
      <c r="F565" s="5" t="inlineStr">
        <is>
          <t>Vivo Controle</t>
        </is>
      </c>
      <c r="G565" s="5" t="inlineStr">
        <is>
          <t>vivo:VIV202600029270-46gb</t>
        </is>
      </c>
      <c r="H565" s="6" t="n">
        <v>59</v>
      </c>
      <c r="I565" s="6" t="inlineStr"/>
      <c r="J565" s="5" t="inlineStr"/>
      <c r="K565" s="5" t="inlineStr"/>
      <c r="L565" s="7" t="n">
        <v>46</v>
      </c>
      <c r="M565" s="5" t="inlineStr">
        <is>
          <t>15 GB de franquia 31 GB de bônus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>
        <is>
          <t>2 meses de YouTube sem consumo no plano</t>
        </is>
      </c>
      <c r="U565" s="5" t="inlineStr">
        <is>
          <t>https://vivo.com.br/para-voce/produtos-e-servicos/para-o-celular/planos-controle</t>
        </is>
      </c>
      <c r="V565" s="5" t="inlineStr">
        <is>
          <t>data/raw/vivo_control_SP.html</t>
        </is>
      </c>
    </row>
    <row r="566">
      <c r="A566" s="2" t="inlineStr">
        <is>
          <t>2026-07-02</t>
        </is>
      </c>
      <c r="B566" s="2" t="inlineStr">
        <is>
          <t>2026-07-02T22:04:41</t>
        </is>
      </c>
      <c r="C566" s="2" t="inlineStr">
        <is>
          <t>vivo</t>
        </is>
      </c>
      <c r="D566" s="2" t="inlineStr">
        <is>
          <t>control</t>
        </is>
      </c>
      <c r="E566" s="2" t="inlineStr">
        <is>
          <t>SP</t>
        </is>
      </c>
      <c r="F566" s="2" t="inlineStr">
        <is>
          <t>Vivo Controle</t>
        </is>
      </c>
      <c r="G566" s="2" t="inlineStr">
        <is>
          <t>vivo:VIV202600029300-51gb</t>
        </is>
      </c>
      <c r="H566" s="3" t="n">
        <v>75</v>
      </c>
      <c r="I566" s="3" t="inlineStr"/>
      <c r="J566" s="2" t="inlineStr"/>
      <c r="K566" s="2" t="inlineStr"/>
      <c r="L566" s="4" t="n">
        <v>51</v>
      </c>
      <c r="M566" s="2" t="inlineStr">
        <is>
          <t>20 GB de franquia 31 GB de bônus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2 meses de YouTube sem consumo no plano</t>
        </is>
      </c>
      <c r="U566" s="2" t="inlineStr">
        <is>
          <t>https://vivo.com.br/para-voce/produtos-e-servicos/para-o-celular/planos-controle</t>
        </is>
      </c>
      <c r="V566" s="2" t="inlineStr">
        <is>
          <t>data/raw/vivo_control_SP.html</t>
        </is>
      </c>
    </row>
    <row r="567">
      <c r="A567" s="5" t="inlineStr">
        <is>
          <t>2026-07-02</t>
        </is>
      </c>
      <c r="B567" s="5" t="inlineStr">
        <is>
          <t>2026-07-02T22:04:41</t>
        </is>
      </c>
      <c r="C567" s="5" t="inlineStr">
        <is>
          <t>vivo</t>
        </is>
      </c>
      <c r="D567" s="5" t="inlineStr">
        <is>
          <t>control</t>
        </is>
      </c>
      <c r="E567" s="5" t="inlineStr">
        <is>
          <t>SP</t>
        </is>
      </c>
      <c r="F567" s="5" t="inlineStr">
        <is>
          <t>Vivo Controle Educação</t>
        </is>
      </c>
      <c r="G567" s="5" t="inlineStr">
        <is>
          <t>vivo:VIV202600029273-51gb</t>
        </is>
      </c>
      <c r="H567" s="6" t="n">
        <v>85</v>
      </c>
      <c r="I567" s="6" t="inlineStr"/>
      <c r="J567" s="5" t="inlineStr"/>
      <c r="K567" s="5" t="inlineStr"/>
      <c r="L567" s="7" t="n">
        <v>51</v>
      </c>
      <c r="M567" s="5" t="inlineStr">
        <is>
          <t>20 GB de franquia 31 GB de bônus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>
        <is>
          <t>Assinatura Vivae inclusa</t>
        </is>
      </c>
      <c r="U567" s="5" t="inlineStr">
        <is>
          <t>https://vivo.com.br/para-voce/produtos-e-servicos/para-o-celular/planos-controle</t>
        </is>
      </c>
      <c r="V567" s="5" t="inlineStr">
        <is>
          <t>data/raw/vivo_control_SP.html</t>
        </is>
      </c>
    </row>
    <row r="568">
      <c r="A568" s="2" t="inlineStr">
        <is>
          <t>2026-07-02</t>
        </is>
      </c>
      <c r="B568" s="2" t="inlineStr">
        <is>
          <t>2026-07-02T22:04:41</t>
        </is>
      </c>
      <c r="C568" s="2" t="inlineStr">
        <is>
          <t>vivo</t>
        </is>
      </c>
      <c r="D568" s="2" t="inlineStr">
        <is>
          <t>control</t>
        </is>
      </c>
      <c r="E568" s="2" t="inlineStr">
        <is>
          <t>SP</t>
        </is>
      </c>
      <c r="F568" s="2" t="inlineStr">
        <is>
          <t>Vivo Controle Entretenimento</t>
        </is>
      </c>
      <c r="G568" s="2" t="inlineStr">
        <is>
          <t>vivo:VIV202600029307-51gb</t>
        </is>
      </c>
      <c r="H568" s="3" t="n">
        <v>105</v>
      </c>
      <c r="I568" s="3" t="inlineStr"/>
      <c r="J568" s="2" t="inlineStr"/>
      <c r="K568" s="2" t="inlineStr"/>
      <c r="L568" s="4" t="n">
        <v>51</v>
      </c>
      <c r="M568" s="2" t="inlineStr">
        <is>
          <t>20 GB de franquia 31 GB de bônus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Assinatura Vivo TV Inicial inclusa</t>
        </is>
      </c>
      <c r="U568" s="2" t="inlineStr">
        <is>
          <t>https://vivo.com.br/para-voce/produtos-e-servicos/para-o-celular/planos-controle</t>
        </is>
      </c>
      <c r="V568" s="2" t="inlineStr">
        <is>
          <t>data/raw/vivo_control_SP.html</t>
        </is>
      </c>
    </row>
    <row r="569">
      <c r="A569" s="5" t="inlineStr">
        <is>
          <t>2026-07-02</t>
        </is>
      </c>
      <c r="B569" s="5" t="inlineStr">
        <is>
          <t>2026-07-02T22:04:41</t>
        </is>
      </c>
      <c r="C569" s="5" t="inlineStr">
        <is>
          <t>vivo</t>
        </is>
      </c>
      <c r="D569" s="5" t="inlineStr">
        <is>
          <t>control</t>
        </is>
      </c>
      <c r="E569" s="5" t="inlineStr">
        <is>
          <t>SP</t>
        </is>
      </c>
      <c r="F569" s="5" t="inlineStr">
        <is>
          <t>Vivo Controle Música</t>
        </is>
      </c>
      <c r="G569" s="5" t="inlineStr">
        <is>
          <t>vivo:VIV202600029313-51gb</t>
        </is>
      </c>
      <c r="H569" s="6" t="n">
        <v>90</v>
      </c>
      <c r="I569" s="6" t="inlineStr"/>
      <c r="J569" s="5" t="inlineStr"/>
      <c r="K569" s="5" t="inlineStr"/>
      <c r="L569" s="7" t="n">
        <v>51</v>
      </c>
      <c r="M569" s="5" t="inlineStr">
        <is>
          <t>20 GB de franquia 31 GB de bônus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>
        <is>
          <t>Apple Music Individual</t>
        </is>
      </c>
      <c r="U569" s="5" t="inlineStr">
        <is>
          <t>https://vivo.com.br/para-voce/produtos-e-servicos/para-o-celular/planos-controle</t>
        </is>
      </c>
      <c r="V569" s="5" t="inlineStr">
        <is>
          <t>data/raw/vivo_control_SP.html</t>
        </is>
      </c>
    </row>
    <row r="570">
      <c r="A570" s="2" t="inlineStr">
        <is>
          <t>2026-07-02</t>
        </is>
      </c>
      <c r="B570" s="2" t="inlineStr">
        <is>
          <t>2026-07-02T22:04:41</t>
        </is>
      </c>
      <c r="C570" s="2" t="inlineStr">
        <is>
          <t>vivo</t>
        </is>
      </c>
      <c r="D570" s="2" t="inlineStr">
        <is>
          <t>control</t>
        </is>
      </c>
      <c r="E570" s="2" t="inlineStr">
        <is>
          <t>SP</t>
        </is>
      </c>
      <c r="F570" s="2" t="inlineStr">
        <is>
          <t>Vivo Controle Netflix</t>
        </is>
      </c>
      <c r="G570" s="2" t="inlineStr">
        <is>
          <t>vivo:VIV202600029308-51gb</t>
        </is>
      </c>
      <c r="H570" s="3" t="n">
        <v>90</v>
      </c>
      <c r="I570" s="3" t="inlineStr"/>
      <c r="J570" s="2" t="inlineStr"/>
      <c r="K570" s="2" t="inlineStr"/>
      <c r="L570" s="4" t="n">
        <v>51</v>
      </c>
      <c r="M570" s="2" t="inlineStr">
        <is>
          <t>20 GB de franquia 31 GB de bônus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Assinatura Netflix Padrão com anúncios</t>
        </is>
      </c>
      <c r="U570" s="2" t="inlineStr">
        <is>
          <t>https://vivo.com.br/para-voce/produtos-e-servicos/para-o-celular/planos-controle</t>
        </is>
      </c>
      <c r="V570" s="2" t="inlineStr">
        <is>
          <t>data/raw/vivo_control_SP.html</t>
        </is>
      </c>
    </row>
    <row r="571">
      <c r="A571" s="5" t="inlineStr">
        <is>
          <t>2026-07-02</t>
        </is>
      </c>
      <c r="B571" s="5" t="inlineStr">
        <is>
          <t>2026-07-02T22:04:41</t>
        </is>
      </c>
      <c r="C571" s="5" t="inlineStr">
        <is>
          <t>vivo</t>
        </is>
      </c>
      <c r="D571" s="5" t="inlineStr">
        <is>
          <t>control</t>
        </is>
      </c>
      <c r="E571" s="5" t="inlineStr">
        <is>
          <t>SP</t>
        </is>
      </c>
      <c r="F571" s="5" t="inlineStr">
        <is>
          <t>Vivo Controle Saúde</t>
        </is>
      </c>
      <c r="G571" s="5" t="inlineStr">
        <is>
          <t>vivo:VIV202600029301-51gb</t>
        </is>
      </c>
      <c r="H571" s="6" t="n">
        <v>85</v>
      </c>
      <c r="I571" s="6" t="inlineStr"/>
      <c r="J571" s="5" t="inlineStr"/>
      <c r="K571" s="5" t="inlineStr"/>
      <c r="L571" s="7" t="n">
        <v>51</v>
      </c>
      <c r="M571" s="5" t="inlineStr">
        <is>
          <t>20 GB de franquia 31 GB de bônus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>
        <is>
          <t>Assinatura Vale Saúde Sempre inclusa</t>
        </is>
      </c>
      <c r="U571" s="5" t="inlineStr">
        <is>
          <t>https://vivo.com.br/para-voce/produtos-e-servicos/para-o-celular/planos-controle</t>
        </is>
      </c>
      <c r="V571" s="5" t="inlineStr">
        <is>
          <t>data/raw/vivo_control_SP.html</t>
        </is>
      </c>
    </row>
    <row r="572">
      <c r="A572" s="2" t="inlineStr">
        <is>
          <t>2026-07-02</t>
        </is>
      </c>
      <c r="B572" s="2" t="inlineStr">
        <is>
          <t>2026-07-02T22:04:41</t>
        </is>
      </c>
      <c r="C572" s="2" t="inlineStr">
        <is>
          <t>vivo</t>
        </is>
      </c>
      <c r="D572" s="2" t="inlineStr">
        <is>
          <t>control</t>
        </is>
      </c>
      <c r="E572" s="2" t="inlineStr">
        <is>
          <t>SP</t>
        </is>
      </c>
      <c r="F572" s="2" t="inlineStr">
        <is>
          <t>Vivo Controle Segurança</t>
        </is>
      </c>
      <c r="G572" s="2" t="inlineStr">
        <is>
          <t>vivo:VIV202600029274-51gb</t>
        </is>
      </c>
      <c r="H572" s="3" t="n">
        <v>85</v>
      </c>
      <c r="I572" s="3" t="inlineStr"/>
      <c r="J572" s="2" t="inlineStr"/>
      <c r="K572" s="2" t="inlineStr"/>
      <c r="L572" s="4" t="n">
        <v>51</v>
      </c>
      <c r="M572" s="2" t="inlineStr">
        <is>
          <t>20 GB de franquia 31 GB de bônus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Incluso Proteção Rua e Seguro de Bens</t>
        </is>
      </c>
      <c r="U572" s="2" t="inlineStr">
        <is>
          <t>https://vivo.com.br/para-voce/produtos-e-servicos/para-o-celular/planos-controle</t>
        </is>
      </c>
      <c r="V572" s="2" t="inlineStr">
        <is>
          <t>data/raw/vivo_control_SP.html</t>
        </is>
      </c>
    </row>
    <row r="573">
      <c r="A573" s="5" t="inlineStr">
        <is>
          <t>2026-07-02</t>
        </is>
      </c>
      <c r="B573" s="5" t="inlineStr">
        <is>
          <t>2026-07-02T22:04:41</t>
        </is>
      </c>
      <c r="C573" s="5" t="inlineStr">
        <is>
          <t>vivo</t>
        </is>
      </c>
      <c r="D573" s="5" t="inlineStr">
        <is>
          <t>lite</t>
        </is>
      </c>
      <c r="E573" s="5" t="inlineStr">
        <is>
          <t>SP</t>
        </is>
      </c>
      <c r="F573" s="5" t="inlineStr">
        <is>
          <t>Easy Lite</t>
        </is>
      </c>
      <c r="G573" s="5" t="inlineStr">
        <is>
          <t>vivo:VIV202600032594-30gb</t>
        </is>
      </c>
      <c r="H573" s="6" t="n">
        <v>45</v>
      </c>
      <c r="I573" s="6" t="n">
        <v>30</v>
      </c>
      <c r="J573" s="5" t="inlineStr">
        <is>
          <t>preço sem fidelidade; fidelidade 12m no promo</t>
        </is>
      </c>
      <c r="K573" s="5" t="inlineStr"/>
      <c r="L573" s="7" t="n">
        <v>30</v>
      </c>
      <c r="M573" s="5" t="inlineStr">
        <is>
          <t>30 GB de franquia</t>
        </is>
      </c>
      <c r="N573" s="5" t="inlineStr"/>
      <c r="O573" s="5" t="inlineStr"/>
      <c r="P573" s="5" t="inlineStr"/>
      <c r="Q573" s="5" t="inlineStr"/>
      <c r="R573" s="5" t="inlineStr"/>
      <c r="S573" s="5" t="n">
        <v>12</v>
      </c>
      <c r="T573" s="5" t="inlineStr">
        <is>
          <t>2 meses de YouTube sem consumo no plano</t>
        </is>
      </c>
      <c r="U573" s="5" t="inlineStr">
        <is>
          <t>https://vivo.com.br/para-voce/produtos-e-servicos/para-o-celular/easy-lite</t>
        </is>
      </c>
      <c r="V573" s="5" t="inlineStr">
        <is>
          <t>data/raw/vivo_lite_SP.html</t>
        </is>
      </c>
    </row>
    <row r="574">
      <c r="A574" s="2" t="inlineStr">
        <is>
          <t>2026-07-02</t>
        </is>
      </c>
      <c r="B574" s="2" t="inlineStr">
        <is>
          <t>2026-07-02T22:04:41</t>
        </is>
      </c>
      <c r="C574" s="2" t="inlineStr">
        <is>
          <t>vivo</t>
        </is>
      </c>
      <c r="D574" s="2" t="inlineStr">
        <is>
          <t>lite</t>
        </is>
      </c>
      <c r="E574" s="2" t="inlineStr">
        <is>
          <t>SP</t>
        </is>
      </c>
      <c r="F574" s="2" t="inlineStr">
        <is>
          <t>Easy Lite</t>
        </is>
      </c>
      <c r="G574" s="2" t="inlineStr">
        <is>
          <t>vivo:VIV202600032596-40gb</t>
        </is>
      </c>
      <c r="H574" s="3" t="n">
        <v>55</v>
      </c>
      <c r="I574" s="3" t="n">
        <v>40</v>
      </c>
      <c r="J574" s="2" t="inlineStr">
        <is>
          <t>preço sem fidelidade; fidelidade 12m no promo</t>
        </is>
      </c>
      <c r="K574" s="2" t="inlineStr"/>
      <c r="L574" s="4" t="n">
        <v>40</v>
      </c>
      <c r="M574" s="2" t="inlineStr">
        <is>
          <t>40 GB de franquia</t>
        </is>
      </c>
      <c r="N574" s="2" t="inlineStr"/>
      <c r="O574" s="2" t="inlineStr"/>
      <c r="P574" s="2" t="inlineStr"/>
      <c r="Q574" s="2" t="inlineStr"/>
      <c r="R574" s="2" t="inlineStr"/>
      <c r="S574" s="2" t="n">
        <v>12</v>
      </c>
      <c r="T574" s="2" t="inlineStr">
        <is>
          <t>2 meses de YouTube sem consumo no plano</t>
        </is>
      </c>
      <c r="U574" s="2" t="inlineStr">
        <is>
          <t>https://vivo.com.br/para-voce/produtos-e-servicos/para-o-celular/easy-lite</t>
        </is>
      </c>
      <c r="V574" s="2" t="inlineStr">
        <is>
          <t>data/raw/vivo_lite_SP.html</t>
        </is>
      </c>
    </row>
    <row r="575">
      <c r="A575" s="5" t="inlineStr">
        <is>
          <t>2026-07-02</t>
        </is>
      </c>
      <c r="B575" s="5" t="inlineStr">
        <is>
          <t>2026-07-02T22:04:41</t>
        </is>
      </c>
      <c r="C575" s="5" t="inlineStr">
        <is>
          <t>vivo</t>
        </is>
      </c>
      <c r="D575" s="5" t="inlineStr">
        <is>
          <t>lite</t>
        </is>
      </c>
      <c r="E575" s="5" t="inlineStr">
        <is>
          <t>SP</t>
        </is>
      </c>
      <c r="F575" s="5" t="inlineStr">
        <is>
          <t>Easy Lite</t>
        </is>
      </c>
      <c r="G575" s="5" t="inlineStr">
        <is>
          <t>vivo:VIV202600032599-20gb</t>
        </is>
      </c>
      <c r="H575" s="6" t="n">
        <v>35</v>
      </c>
      <c r="I575" s="6" t="inlineStr"/>
      <c r="J575" s="5" t="inlineStr"/>
      <c r="K575" s="5" t="inlineStr"/>
      <c r="L575" s="7" t="n">
        <v>20</v>
      </c>
      <c r="M575" s="5" t="inlineStr">
        <is>
          <t>20 GB de franquia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>
        <is>
          <t>2 meses de YouTube sem consumo no plano</t>
        </is>
      </c>
      <c r="U575" s="5" t="inlineStr">
        <is>
          <t>https://vivo.com.br/para-voce/produtos-e-servicos/para-o-celular/easy-lite</t>
        </is>
      </c>
      <c r="V575" s="5" t="inlineStr">
        <is>
          <t>data/raw/vivo_lite_SP.html</t>
        </is>
      </c>
    </row>
    <row r="576">
      <c r="A576" s="2" t="inlineStr">
        <is>
          <t>2026-07-02</t>
        </is>
      </c>
      <c r="B576" s="2" t="inlineStr">
        <is>
          <t>2026-07-02T22:04:41</t>
        </is>
      </c>
      <c r="C576" s="2" t="inlineStr">
        <is>
          <t>vivo</t>
        </is>
      </c>
      <c r="D576" s="2" t="inlineStr">
        <is>
          <t>postpaid</t>
        </is>
      </c>
      <c r="E576" s="2" t="inlineStr">
        <is>
          <t>SP</t>
        </is>
      </c>
      <c r="F576" s="2" t="inlineStr">
        <is>
          <t>Vivo Pós com Amazon</t>
        </is>
      </c>
      <c r="G576" s="2" t="inlineStr">
        <is>
          <t>vivo:VIV202600029255-60gb</t>
        </is>
      </c>
      <c r="H576" s="3" t="n">
        <v>150</v>
      </c>
      <c r="I576" s="3" t="inlineStr"/>
      <c r="J576" s="2" t="inlineStr"/>
      <c r="K576" s="2" t="inlineStr"/>
      <c r="L576" s="4" t="n">
        <v>60</v>
      </c>
      <c r="M576" s="2" t="inlineStr">
        <is>
          <t>50 GB de franquia 10 GB de bônus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Assinatura Amazon Prime inclusa</t>
        </is>
      </c>
      <c r="U576" s="2" t="inlineStr">
        <is>
          <t>https://vivo.com.br/para-voce/produtos-e-servicos/para-o-celular/planos-pos-pago</t>
        </is>
      </c>
      <c r="V576" s="2" t="inlineStr">
        <is>
          <t>data/raw/vivo_postpaid_SP.html</t>
        </is>
      </c>
    </row>
    <row r="577">
      <c r="A577" s="5" t="inlineStr">
        <is>
          <t>2026-07-02</t>
        </is>
      </c>
      <c r="B577" s="5" t="inlineStr">
        <is>
          <t>2026-07-02T22:04:41</t>
        </is>
      </c>
      <c r="C577" s="5" t="inlineStr">
        <is>
          <t>vivo</t>
        </is>
      </c>
      <c r="D577" s="5" t="inlineStr">
        <is>
          <t>postpaid</t>
        </is>
      </c>
      <c r="E577" s="5" t="inlineStr">
        <is>
          <t>SP</t>
        </is>
      </c>
      <c r="F577" s="5" t="inlineStr">
        <is>
          <t>Vivo Pós com Disney+</t>
        </is>
      </c>
      <c r="G577" s="5" t="inlineStr">
        <is>
          <t>vivo:VIV202600022115-60gb</t>
        </is>
      </c>
      <c r="H577" s="6" t="n">
        <v>180</v>
      </c>
      <c r="I577" s="6" t="inlineStr"/>
      <c r="J577" s="5" t="inlineStr"/>
      <c r="K577" s="5" t="inlineStr"/>
      <c r="L577" s="7" t="n">
        <v>60</v>
      </c>
      <c r="M577" s="5" t="inlineStr">
        <is>
          <t>50 GB de franquia 10 GB de bônus</t>
        </is>
      </c>
      <c r="N577" s="5" t="inlineStr"/>
      <c r="O577" s="5" t="inlineStr"/>
      <c r="P577" s="5" t="inlineStr"/>
      <c r="Q577" s="5" t="inlineStr"/>
      <c r="R577" s="5" t="inlineStr">
        <is>
          <t>Disney+</t>
        </is>
      </c>
      <c r="S577" s="5" t="inlineStr"/>
      <c r="T577" s="5" t="inlineStr">
        <is>
          <t>Assinatura Disney+ Padrão inclusa</t>
        </is>
      </c>
      <c r="U577" s="5" t="inlineStr">
        <is>
          <t>https://vivo.com.br/para-voce/produtos-e-servicos/para-o-celular/planos-pos-pago</t>
        </is>
      </c>
      <c r="V577" s="5" t="inlineStr">
        <is>
          <t>data/raw/vivo_postpaid_SP.html</t>
        </is>
      </c>
    </row>
    <row r="578">
      <c r="A578" s="2" t="inlineStr">
        <is>
          <t>2026-07-02</t>
        </is>
      </c>
      <c r="B578" s="2" t="inlineStr">
        <is>
          <t>2026-07-02T22:04:41</t>
        </is>
      </c>
      <c r="C578" s="2" t="inlineStr">
        <is>
          <t>vivo</t>
        </is>
      </c>
      <c r="D578" s="2" t="inlineStr">
        <is>
          <t>postpaid</t>
        </is>
      </c>
      <c r="E578" s="2" t="inlineStr">
        <is>
          <t>SP</t>
        </is>
      </c>
      <c r="F578" s="2" t="inlineStr">
        <is>
          <t>Vivo Pós com Globoplay</t>
        </is>
      </c>
      <c r="G578" s="2" t="inlineStr">
        <is>
          <t>vivo:VIV202600029246-60gb</t>
        </is>
      </c>
      <c r="H578" s="3" t="n">
        <v>165</v>
      </c>
      <c r="I578" s="3" t="inlineStr"/>
      <c r="J578" s="2" t="inlineStr"/>
      <c r="K578" s="2" t="inlineStr"/>
      <c r="L578" s="4" t="n">
        <v>60</v>
      </c>
      <c r="M578" s="2" t="inlineStr">
        <is>
          <t>50 GB de franquia 10 GB de bônus</t>
        </is>
      </c>
      <c r="N578" s="2" t="inlineStr"/>
      <c r="O578" s="2" t="inlineStr"/>
      <c r="P578" s="2" t="inlineStr"/>
      <c r="Q578" s="2" t="inlineStr"/>
      <c r="R578" s="2" t="inlineStr">
        <is>
          <t>Globoplay</t>
        </is>
      </c>
      <c r="S578" s="2" t="inlineStr"/>
      <c r="T578" s="2" t="inlineStr">
        <is>
          <t>Assinatura Globoplay inclusa</t>
        </is>
      </c>
      <c r="U578" s="2" t="inlineStr">
        <is>
          <t>https://vivo.com.br/para-voce/produtos-e-servicos/para-o-celular/planos-pos-pago</t>
        </is>
      </c>
      <c r="V578" s="2" t="inlineStr">
        <is>
          <t>data/raw/vivo_postpaid_SP.html</t>
        </is>
      </c>
    </row>
    <row r="579">
      <c r="A579" s="5" t="inlineStr">
        <is>
          <t>2026-07-02</t>
        </is>
      </c>
      <c r="B579" s="5" t="inlineStr">
        <is>
          <t>2026-07-02T22:04:41</t>
        </is>
      </c>
      <c r="C579" s="5" t="inlineStr">
        <is>
          <t>vivo</t>
        </is>
      </c>
      <c r="D579" s="5" t="inlineStr">
        <is>
          <t>postpaid</t>
        </is>
      </c>
      <c r="E579" s="5" t="inlineStr">
        <is>
          <t>SP</t>
        </is>
      </c>
      <c r="F579" s="5" t="inlineStr">
        <is>
          <t>Vivo Pós com Netflix</t>
        </is>
      </c>
      <c r="G579" s="5" t="inlineStr">
        <is>
          <t>vivo:VIV202600029234-60gb</t>
        </is>
      </c>
      <c r="H579" s="6" t="n">
        <v>180</v>
      </c>
      <c r="I579" s="6" t="inlineStr"/>
      <c r="J579" s="5" t="inlineStr"/>
      <c r="K579" s="5" t="inlineStr"/>
      <c r="L579" s="7" t="n">
        <v>60</v>
      </c>
      <c r="M579" s="5" t="inlineStr">
        <is>
          <t>50 GB de franquia 10 GB de bônus</t>
        </is>
      </c>
      <c r="N579" s="5" t="inlineStr"/>
      <c r="O579" s="5" t="inlineStr"/>
      <c r="P579" s="5" t="inlineStr"/>
      <c r="Q579" s="5" t="inlineStr"/>
      <c r="R579" s="5" t="inlineStr">
        <is>
          <t>Netflix</t>
        </is>
      </c>
      <c r="S579" s="5" t="inlineStr"/>
      <c r="T579" s="5" t="inlineStr">
        <is>
          <t>Assinatura Netflix Padrão inclusa</t>
        </is>
      </c>
      <c r="U579" s="5" t="inlineStr">
        <is>
          <t>https://vivo.com.br/para-voce/produtos-e-servicos/para-o-celular/planos-pos-pago</t>
        </is>
      </c>
      <c r="V579" s="5" t="inlineStr">
        <is>
          <t>data/raw/vivo_postpaid_SP.html</t>
        </is>
      </c>
    </row>
    <row r="580">
      <c r="A580" s="2" t="inlineStr">
        <is>
          <t>2026-07-02</t>
        </is>
      </c>
      <c r="B580" s="2" t="inlineStr">
        <is>
          <t>2026-07-02T22:04:41</t>
        </is>
      </c>
      <c r="C580" s="2" t="inlineStr">
        <is>
          <t>vivo</t>
        </is>
      </c>
      <c r="D580" s="2" t="inlineStr">
        <is>
          <t>postpaid</t>
        </is>
      </c>
      <c r="E580" s="2" t="inlineStr">
        <is>
          <t>SP</t>
        </is>
      </c>
      <c r="F580" s="2" t="inlineStr">
        <is>
          <t>Vivo Pós com Premiere</t>
        </is>
      </c>
      <c r="G580" s="2" t="inlineStr">
        <is>
          <t>vivo:VIV202600029249-60gb</t>
        </is>
      </c>
      <c r="H580" s="3" t="n">
        <v>180</v>
      </c>
      <c r="I580" s="3" t="inlineStr"/>
      <c r="J580" s="2" t="inlineStr"/>
      <c r="K580" s="2" t="inlineStr"/>
      <c r="L580" s="4" t="n">
        <v>60</v>
      </c>
      <c r="M580" s="2" t="inlineStr">
        <is>
          <t>50 GB de franquia 10 GB de bônus</t>
        </is>
      </c>
      <c r="N580" s="2" t="inlineStr"/>
      <c r="O580" s="2" t="inlineStr"/>
      <c r="P580" s="2" t="inlineStr"/>
      <c r="Q580" s="2" t="inlineStr"/>
      <c r="R580" s="2" t="inlineStr">
        <is>
          <t>Premiere</t>
        </is>
      </c>
      <c r="S580" s="2" t="inlineStr"/>
      <c r="T580" s="2" t="inlineStr">
        <is>
          <t>Assinatura Premiere inclusa</t>
        </is>
      </c>
      <c r="U580" s="2" t="inlineStr">
        <is>
          <t>https://vivo.com.br/para-voce/produtos-e-servicos/para-o-celular/planos-pos-pago</t>
        </is>
      </c>
      <c r="V580" s="2" t="inlineStr">
        <is>
          <t>data/raw/vivo_postpaid_SP.html</t>
        </is>
      </c>
    </row>
    <row r="581">
      <c r="A581" s="5" t="inlineStr">
        <is>
          <t>2026-07-02</t>
        </is>
      </c>
      <c r="B581" s="5" t="inlineStr">
        <is>
          <t>2026-07-02T22:04:41</t>
        </is>
      </c>
      <c r="C581" s="5" t="inlineStr">
        <is>
          <t>vivo</t>
        </is>
      </c>
      <c r="D581" s="5" t="inlineStr">
        <is>
          <t>postpaid</t>
        </is>
      </c>
      <c r="E581" s="5" t="inlineStr">
        <is>
          <t>SP</t>
        </is>
      </c>
      <c r="F581" s="5" t="inlineStr">
        <is>
          <t>Vivo Pós com Spotify</t>
        </is>
      </c>
      <c r="G581" s="5" t="inlineStr">
        <is>
          <t>vivo:VIV202600029229-60gb</t>
        </is>
      </c>
      <c r="H581" s="6" t="n">
        <v>165</v>
      </c>
      <c r="I581" s="6" t="inlineStr"/>
      <c r="J581" s="5" t="inlineStr"/>
      <c r="K581" s="5" t="inlineStr"/>
      <c r="L581" s="7" t="n">
        <v>60</v>
      </c>
      <c r="M581" s="5" t="inlineStr">
        <is>
          <t>50 GB de franquia 10 GB de bônus</t>
        </is>
      </c>
      <c r="N581" s="5" t="inlineStr"/>
      <c r="O581" s="5" t="inlineStr"/>
      <c r="P581" s="5" t="inlineStr"/>
      <c r="Q581" s="5" t="inlineStr"/>
      <c r="R581" s="5" t="inlineStr">
        <is>
          <t>Spotify</t>
        </is>
      </c>
      <c r="S581" s="5" t="inlineStr"/>
      <c r="T581" s="5" t="inlineStr">
        <is>
          <t>Assinatura Spotify Premium inclusa</t>
        </is>
      </c>
      <c r="U581" s="5" t="inlineStr">
        <is>
          <t>https://vivo.com.br/para-voce/produtos-e-servicos/para-o-celular/planos-pos-pago</t>
        </is>
      </c>
      <c r="V581" s="5" t="inlineStr">
        <is>
          <t>data/raw/vivo_postpaid_SP.html</t>
        </is>
      </c>
    </row>
    <row r="582">
      <c r="A582" s="2" t="inlineStr">
        <is>
          <t>2026-07-02</t>
        </is>
      </c>
      <c r="B582" s="2" t="inlineStr">
        <is>
          <t>2026-07-02T22:04:41</t>
        </is>
      </c>
      <c r="C582" s="2" t="inlineStr">
        <is>
          <t>vivo</t>
        </is>
      </c>
      <c r="D582" s="2" t="inlineStr">
        <is>
          <t>postpaid</t>
        </is>
      </c>
      <c r="E582" s="2" t="inlineStr">
        <is>
          <t>SP</t>
        </is>
      </c>
      <c r="F582" s="2" t="inlineStr">
        <is>
          <t>Vivo Pós com Travel</t>
        </is>
      </c>
      <c r="G582" s="2" t="inlineStr">
        <is>
          <t>vivo:VIV202600029244-70gb</t>
        </is>
      </c>
      <c r="H582" s="3" t="n">
        <v>215</v>
      </c>
      <c r="I582" s="3" t="inlineStr"/>
      <c r="J582" s="2" t="inlineStr"/>
      <c r="K582" s="2" t="inlineStr"/>
      <c r="L582" s="4" t="n">
        <v>70</v>
      </c>
      <c r="M582" s="2" t="inlineStr">
        <is>
          <t>60 GB de franquia 10 GB de bônus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2 meses de YouTube sem consumo no plano</t>
        </is>
      </c>
      <c r="U582" s="2" t="inlineStr">
        <is>
          <t>https://vivo.com.br/para-voce/produtos-e-servicos/para-o-celular/planos-pos-pago</t>
        </is>
      </c>
      <c r="V582" s="2" t="inlineStr">
        <is>
          <t>data/raw/vivo_postpaid_SP.html</t>
        </is>
      </c>
    </row>
    <row r="583">
      <c r="A583" s="5" t="inlineStr">
        <is>
          <t>2026-07-02</t>
        </is>
      </c>
      <c r="B583" s="5" t="inlineStr">
        <is>
          <t>2026-07-02T22:04:41</t>
        </is>
      </c>
      <c r="C583" s="5" t="inlineStr">
        <is>
          <t>vivo</t>
        </is>
      </c>
      <c r="D583" s="5" t="inlineStr">
        <is>
          <t>prepaid</t>
        </is>
      </c>
      <c r="E583" s="5" t="inlineStr">
        <is>
          <t>SP</t>
        </is>
      </c>
      <c r="F583" s="5" t="inlineStr">
        <is>
          <t>Vivo Pré</t>
        </is>
      </c>
      <c r="G583" s="5" t="inlineStr">
        <is>
          <t>vivo:VIV202600029370-25gb</t>
        </is>
      </c>
      <c r="H583" s="6" t="n">
        <v>30</v>
      </c>
      <c r="I583" s="6" t="inlineStr"/>
      <c r="J583" s="5" t="inlineStr"/>
      <c r="K583" s="5" t="inlineStr"/>
      <c r="L583" s="7" t="n">
        <v>25</v>
      </c>
      <c r="M583" s="5" t="inlineStr">
        <is>
          <t>15 GB para navegar como quiser 5 GB de bônus 5 GB para navegar no Youtube</t>
        </is>
      </c>
      <c r="N583" s="5" t="n">
        <v>30</v>
      </c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https://vivo.com.br/para-voce/produtos-e-servicos/para-o-celular/pre-pago/vivo-pre</t>
        </is>
      </c>
      <c r="V583" s="5" t="inlineStr">
        <is>
          <t>data/raw/vivo_prepaid_SP.html</t>
        </is>
      </c>
    </row>
    <row r="584">
      <c r="A584" s="2" t="inlineStr">
        <is>
          <t>2026-07-02</t>
        </is>
      </c>
      <c r="B584" s="2" t="inlineStr">
        <is>
          <t>2026-07-02T22:04:41</t>
        </is>
      </c>
      <c r="C584" s="2" t="inlineStr">
        <is>
          <t>vivo</t>
        </is>
      </c>
      <c r="D584" s="2" t="inlineStr">
        <is>
          <t>prepaid</t>
        </is>
      </c>
      <c r="E584" s="2" t="inlineStr">
        <is>
          <t>SP</t>
        </is>
      </c>
      <c r="F584" s="2" t="inlineStr">
        <is>
          <t>Vivo Pré</t>
        </is>
      </c>
      <c r="G584" s="2" t="inlineStr">
        <is>
          <t>vivo:VIV202600029370-9gb</t>
        </is>
      </c>
      <c r="H584" s="3" t="n">
        <v>25</v>
      </c>
      <c r="I584" s="3" t="inlineStr"/>
      <c r="J584" s="2" t="inlineStr"/>
      <c r="K584" s="2" t="inlineStr"/>
      <c r="L584" s="4" t="n">
        <v>9</v>
      </c>
      <c r="M584" s="2" t="inlineStr">
        <is>
          <t>6 GB para navegar como quiser 3 GB para navegar no YouTube</t>
        </is>
      </c>
      <c r="N584" s="2" t="n">
        <v>22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https://vivo.com.br/para-voce/produtos-e-servicos/para-o-celular/pre-pago/vivo-pre</t>
        </is>
      </c>
      <c r="V584" s="2" t="inlineStr">
        <is>
          <t>data/raw/vivo_prepaid_SP.html</t>
        </is>
      </c>
    </row>
    <row r="585">
      <c r="A585" s="5" t="inlineStr">
        <is>
          <t>2026-07-02</t>
        </is>
      </c>
      <c r="B585" s="5" t="inlineStr">
        <is>
          <t>2026-07-02T22:04:41</t>
        </is>
      </c>
      <c r="C585" s="5" t="inlineStr">
        <is>
          <t>vivo</t>
        </is>
      </c>
      <c r="D585" s="5" t="inlineStr">
        <is>
          <t>prepaid</t>
        </is>
      </c>
      <c r="E585" s="5" t="inlineStr">
        <is>
          <t>SP</t>
        </is>
      </c>
      <c r="F585" s="5" t="inlineStr">
        <is>
          <t>Vivo Pré</t>
        </is>
      </c>
      <c r="G585" s="5" t="inlineStr">
        <is>
          <t>vivo:VIV202600029370-5gb</t>
        </is>
      </c>
      <c r="H585" s="6" t="n">
        <v>20</v>
      </c>
      <c r="I585" s="6" t="inlineStr"/>
      <c r="J585" s="5" t="inlineStr"/>
      <c r="K585" s="5" t="inlineStr"/>
      <c r="L585" s="7" t="n">
        <v>5</v>
      </c>
      <c r="M585" s="5" t="inlineStr">
        <is>
          <t>5 GB para navegar como quiser</t>
        </is>
      </c>
      <c r="N585" s="5" t="n">
        <v>17</v>
      </c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https://vivo.com.br/para-voce/produtos-e-servicos/para-o-celular/pre-pago/vivo-pre</t>
        </is>
      </c>
      <c r="V585" s="5" t="inlineStr">
        <is>
          <t>data/raw/vivo_prepaid_SP.html</t>
        </is>
      </c>
    </row>
    <row r="586">
      <c r="A586" s="2" t="inlineStr">
        <is>
          <t>2026-07-02</t>
        </is>
      </c>
      <c r="B586" s="2" t="inlineStr">
        <is>
          <t>2026-07-02T22:04:41</t>
        </is>
      </c>
      <c r="C586" s="2" t="inlineStr">
        <is>
          <t>vivo</t>
        </is>
      </c>
      <c r="D586" s="2" t="inlineStr">
        <is>
          <t>prepaid</t>
        </is>
      </c>
      <c r="E586" s="2" t="inlineStr">
        <is>
          <t>SP</t>
        </is>
      </c>
      <c r="F586" s="2" t="inlineStr">
        <is>
          <t>Vivo Pré</t>
        </is>
      </c>
      <c r="G586" s="2" t="inlineStr">
        <is>
          <t>vivo:VIV202600029370-4gb</t>
        </is>
      </c>
      <c r="H586" s="3" t="n">
        <v>17</v>
      </c>
      <c r="I586" s="3" t="inlineStr"/>
      <c r="J586" s="2" t="inlineStr"/>
      <c r="K586" s="2" t="inlineStr"/>
      <c r="L586" s="4" t="n">
        <v>4</v>
      </c>
      <c r="M586" s="2" t="inlineStr">
        <is>
          <t>4 GB para navegar como quiser</t>
        </is>
      </c>
      <c r="N586" s="2" t="n">
        <v>15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https://vivo.com.br/para-voce/produtos-e-servicos/para-o-celular/pre-pago/vivo-pre</t>
        </is>
      </c>
      <c r="V586" s="2" t="inlineStr">
        <is>
          <t>data/raw/vivo_prepaid_SP.html</t>
        </is>
      </c>
    </row>
    <row r="587">
      <c r="A587" s="5" t="inlineStr">
        <is>
          <t>2026-07-03</t>
        </is>
      </c>
      <c r="B587" s="5" t="inlineStr">
        <is>
          <t>2026-07-03T22:03:07</t>
        </is>
      </c>
      <c r="C587" s="5" t="inlineStr">
        <is>
          <t>claro</t>
        </is>
      </c>
      <c r="D587" s="5" t="inlineStr">
        <is>
          <t>control</t>
        </is>
      </c>
      <c r="E587" s="5" t="inlineStr">
        <is>
          <t>SP</t>
        </is>
      </c>
      <c r="F587" s="5" t="inlineStr">
        <is>
          <t>Controle 25GB</t>
        </is>
      </c>
      <c r="G587" s="5" t="inlineStr">
        <is>
          <t>claro:plano-controle-25gb</t>
        </is>
      </c>
      <c r="H587" s="6" t="n">
        <v>59.9</v>
      </c>
      <c r="I587" s="6" t="n">
        <v>54.9</v>
      </c>
      <c r="J587" s="5" t="inlineStr">
        <is>
          <t>De R$ 59,90 Por:</t>
        </is>
      </c>
      <c r="K587" s="5" t="inlineStr"/>
      <c r="L587" s="7" t="n">
        <v>25</v>
      </c>
      <c r="M587" s="5" t="inlineStr"/>
      <c r="N587" s="5" t="inlineStr"/>
      <c r="O587" s="5" t="inlineStr">
        <is>
          <t>WhatsApp</t>
        </is>
      </c>
      <c r="P587" s="5" t="inlineStr"/>
      <c r="Q587" s="5" t="inlineStr"/>
      <c r="R587" s="5" t="inlineStr"/>
      <c r="S587" s="5" t="inlineStr"/>
      <c r="T587" s="5" t="inlineStr">
        <is>
          <t>Para uso livre; Para redes sociais e vídeos; Bônus exclusivo; Aproveite na sua franquia; WhatsApp e ligações ilimitadas</t>
        </is>
      </c>
      <c r="U587" s="5" t="inlineStr">
        <is>
          <t>https://www.claro.com.br/celular/controle</t>
        </is>
      </c>
      <c r="V587" s="5" t="inlineStr">
        <is>
          <t>data/raw/claro_control_SP.json</t>
        </is>
      </c>
    </row>
    <row r="588">
      <c r="A588" s="2" t="inlineStr">
        <is>
          <t>2026-07-03</t>
        </is>
      </c>
      <c r="B588" s="2" t="inlineStr">
        <is>
          <t>2026-07-03T22:03:07</t>
        </is>
      </c>
      <c r="C588" s="2" t="inlineStr">
        <is>
          <t>claro</t>
        </is>
      </c>
      <c r="D588" s="2" t="inlineStr">
        <is>
          <t>control</t>
        </is>
      </c>
      <c r="E588" s="2" t="inlineStr">
        <is>
          <t>SP</t>
        </is>
      </c>
      <c r="F588" s="2" t="inlineStr">
        <is>
          <t>Controle 30GB</t>
        </is>
      </c>
      <c r="G588" s="2" t="inlineStr">
        <is>
          <t>claro:plano-controle-30gb</t>
        </is>
      </c>
      <c r="H588" s="3" t="n">
        <v>69.90000000000001</v>
      </c>
      <c r="I588" s="3" t="inlineStr"/>
      <c r="J588" s="2" t="inlineStr"/>
      <c r="K588" s="2" t="inlineStr"/>
      <c r="L588" s="4" t="n">
        <v>30</v>
      </c>
      <c r="M588" s="2" t="inlineStr"/>
      <c r="N588" s="2" t="inlineStr"/>
      <c r="O588" s="2" t="inlineStr">
        <is>
          <t>WhatsApp</t>
        </is>
      </c>
      <c r="P588" s="2" t="inlineStr"/>
      <c r="Q588" s="2" t="inlineStr"/>
      <c r="R588" s="2" t="inlineStr"/>
      <c r="S588" s="2" t="inlineStr"/>
      <c r="T588" s="2" t="inlineStr">
        <is>
          <t>Para uso livre; Bônus do Hexa para uso livre; Bônus para redes sociais e apps; Redes sociais e apps; WhatsApp ilimitado</t>
        </is>
      </c>
      <c r="U588" s="2" t="inlineStr">
        <is>
          <t>https://www.claro.com.br/celular/controle</t>
        </is>
      </c>
      <c r="V588" s="2" t="inlineStr">
        <is>
          <t>data/raw/claro_control_SP.json</t>
        </is>
      </c>
    </row>
    <row r="589">
      <c r="A589" s="5" t="inlineStr">
        <is>
          <t>2026-07-03</t>
        </is>
      </c>
      <c r="B589" s="5" t="inlineStr">
        <is>
          <t>2026-07-03T22:03:07</t>
        </is>
      </c>
      <c r="C589" s="5" t="inlineStr">
        <is>
          <t>claro</t>
        </is>
      </c>
      <c r="D589" s="5" t="inlineStr">
        <is>
          <t>control</t>
        </is>
      </c>
      <c r="E589" s="5" t="inlineStr">
        <is>
          <t>SP</t>
        </is>
      </c>
      <c r="F589" s="5" t="inlineStr">
        <is>
          <t>Controle 30GB</t>
        </is>
      </c>
      <c r="G589" s="5" t="inlineStr">
        <is>
          <t>claro:plano-controle-30gb-gaming</t>
        </is>
      </c>
      <c r="H589" s="6" t="n">
        <v>99.90000000000001</v>
      </c>
      <c r="I589" s="6" t="inlineStr"/>
      <c r="J589" s="5" t="inlineStr"/>
      <c r="K589" s="5" t="inlineStr"/>
      <c r="L589" s="7" t="n">
        <v>30</v>
      </c>
      <c r="M589" s="5" t="inlineStr"/>
      <c r="N589" s="5" t="inlineStr"/>
      <c r="O589" s="5" t="inlineStr">
        <is>
          <t>WhatsApp</t>
        </is>
      </c>
      <c r="P589" s="5" t="inlineStr"/>
      <c r="Q589" s="5" t="inlineStr"/>
      <c r="R589" s="5" t="inlineStr"/>
      <c r="S589" s="5" t="inlineStr"/>
      <c r="T589" s="5" t="inlineStr">
        <is>
          <t>Para uso livre; Bônus para redes sociais e apps; Bônus uso livre; Redes sociais e apps; WhatsApp ilimitado</t>
        </is>
      </c>
      <c r="U589" s="5" t="inlineStr">
        <is>
          <t>https://www.claro.com.br/celular/controle</t>
        </is>
      </c>
      <c r="V589" s="5" t="inlineStr">
        <is>
          <t>data/raw/claro_control_SP.json</t>
        </is>
      </c>
    </row>
    <row r="590">
      <c r="A590" s="2" t="inlineStr">
        <is>
          <t>2026-07-03</t>
        </is>
      </c>
      <c r="B590" s="2" t="inlineStr">
        <is>
          <t>2026-07-03T22:03:07</t>
        </is>
      </c>
      <c r="C590" s="2" t="inlineStr">
        <is>
          <t>claro</t>
        </is>
      </c>
      <c r="D590" s="2" t="inlineStr">
        <is>
          <t>flex</t>
        </is>
      </c>
      <c r="E590" s="2" t="inlineStr">
        <is>
          <t>SP</t>
        </is>
      </c>
      <c r="F590" s="2" t="inlineStr">
        <is>
          <t>Flex 15GB</t>
        </is>
      </c>
      <c r="G590" s="2" t="inlineStr">
        <is>
          <t>claro:plano-flex-15gb</t>
        </is>
      </c>
      <c r="H590" s="3" t="n">
        <v>44.9</v>
      </c>
      <c r="I590" s="3" t="inlineStr"/>
      <c r="J590" s="2" t="inlineStr"/>
      <c r="K590" s="2" t="inlineStr"/>
      <c r="L590" s="4" t="n">
        <v>15</v>
      </c>
      <c r="M590" s="2" t="inlineStr"/>
      <c r="N590" s="2" t="inlineStr"/>
      <c r="O590" s="2" t="inlineStr">
        <is>
          <t>WhatsApp</t>
        </is>
      </c>
      <c r="P590" s="2" t="inlineStr"/>
      <c r="Q590" s="2" t="inlineStr"/>
      <c r="R590" s="2" t="inlineStr"/>
      <c r="S590" s="2" t="inlineStr"/>
      <c r="T590" s="2" t="inlineStr">
        <is>
          <t>Para uso livre; Bônus do Hexa para uso livre; Para redes sociais e apps; Bônus extra nos apps; WhatsApp ilimitado</t>
        </is>
      </c>
      <c r="U590" s="2" t="inlineStr">
        <is>
          <t>https://www.claro.com.br/celular/flex</t>
        </is>
      </c>
      <c r="V590" s="2" t="inlineStr">
        <is>
          <t>data/raw/claro_flex_SP.json</t>
        </is>
      </c>
    </row>
    <row r="591">
      <c r="A591" s="5" t="inlineStr">
        <is>
          <t>2026-07-03</t>
        </is>
      </c>
      <c r="B591" s="5" t="inlineStr">
        <is>
          <t>2026-07-03T22:03:07</t>
        </is>
      </c>
      <c r="C591" s="5" t="inlineStr">
        <is>
          <t>claro</t>
        </is>
      </c>
      <c r="D591" s="5" t="inlineStr">
        <is>
          <t>flex</t>
        </is>
      </c>
      <c r="E591" s="5" t="inlineStr">
        <is>
          <t>SP</t>
        </is>
      </c>
      <c r="F591" s="5" t="inlineStr">
        <is>
          <t>Flex 20GB</t>
        </is>
      </c>
      <c r="G591" s="5" t="inlineStr">
        <is>
          <t>claro:plano-flex-20gb</t>
        </is>
      </c>
      <c r="H591" s="6" t="n">
        <v>59.9</v>
      </c>
      <c r="I591" s="6" t="inlineStr"/>
      <c r="J591" s="5" t="inlineStr"/>
      <c r="K591" s="5" t="inlineStr"/>
      <c r="L591" s="7" t="n">
        <v>20</v>
      </c>
      <c r="M591" s="5" t="inlineStr"/>
      <c r="N591" s="5" t="inlineStr"/>
      <c r="O591" s="5" t="inlineStr">
        <is>
          <t>WhatsApp</t>
        </is>
      </c>
      <c r="P591" s="5" t="inlineStr"/>
      <c r="Q591" s="5" t="inlineStr"/>
      <c r="R591" s="5" t="inlineStr"/>
      <c r="S591" s="5" t="inlineStr"/>
      <c r="T591" s="5" t="inlineStr">
        <is>
          <t>Para uso livre; Bônus do Hexa para uso livre; Para redes sociais e apps; Bônus extra nos apps; WhatsApp ilimitado</t>
        </is>
      </c>
      <c r="U591" s="5" t="inlineStr">
        <is>
          <t>https://www.claro.com.br/celular/flex</t>
        </is>
      </c>
      <c r="V591" s="5" t="inlineStr">
        <is>
          <t>data/raw/claro_flex_SP.json</t>
        </is>
      </c>
    </row>
    <row r="592">
      <c r="A592" s="2" t="inlineStr">
        <is>
          <t>2026-07-03</t>
        </is>
      </c>
      <c r="B592" s="2" t="inlineStr">
        <is>
          <t>2026-07-03T22:03:07</t>
        </is>
      </c>
      <c r="C592" s="2" t="inlineStr">
        <is>
          <t>claro</t>
        </is>
      </c>
      <c r="D592" s="2" t="inlineStr">
        <is>
          <t>flex</t>
        </is>
      </c>
      <c r="E592" s="2" t="inlineStr">
        <is>
          <t>SP</t>
        </is>
      </c>
      <c r="F592" s="2" t="inlineStr">
        <is>
          <t>Flex 30GB</t>
        </is>
      </c>
      <c r="G592" s="2" t="inlineStr">
        <is>
          <t>claro:plano-flex-30gb</t>
        </is>
      </c>
      <c r="H592" s="3" t="n">
        <v>69.90000000000001</v>
      </c>
      <c r="I592" s="3" t="inlineStr"/>
      <c r="J592" s="2" t="inlineStr"/>
      <c r="K592" s="2" t="inlineStr"/>
      <c r="L592" s="4" t="n">
        <v>30</v>
      </c>
      <c r="M592" s="2" t="inlineStr"/>
      <c r="N592" s="2" t="inlineStr"/>
      <c r="O592" s="2" t="inlineStr">
        <is>
          <t>WhatsApp</t>
        </is>
      </c>
      <c r="P592" s="2" t="inlineStr"/>
      <c r="Q592" s="2" t="inlineStr"/>
      <c r="R592" s="2" t="inlineStr"/>
      <c r="S592" s="2" t="inlineStr"/>
      <c r="T592" s="2" t="inlineStr">
        <is>
          <t>Para uso livre; Bônus do Hexa para uso livre; Para redes sociais e apps; Bônus extra nos apps; WhatsApp ilimitado; Assinatura Claro musica inclusa</t>
        </is>
      </c>
      <c r="U592" s="2" t="inlineStr">
        <is>
          <t>https://www.claro.com.br/celular/flex</t>
        </is>
      </c>
      <c r="V592" s="2" t="inlineStr">
        <is>
          <t>data/raw/claro_flex_SP.json</t>
        </is>
      </c>
    </row>
    <row r="593">
      <c r="A593" s="5" t="inlineStr">
        <is>
          <t>2026-07-03</t>
        </is>
      </c>
      <c r="B593" s="5" t="inlineStr">
        <is>
          <t>2026-07-03T22:03:07</t>
        </is>
      </c>
      <c r="C593" s="5" t="inlineStr">
        <is>
          <t>claro</t>
        </is>
      </c>
      <c r="D593" s="5" t="inlineStr">
        <is>
          <t>flex</t>
        </is>
      </c>
      <c r="E593" s="5" t="inlineStr">
        <is>
          <t>SP</t>
        </is>
      </c>
      <c r="F593" s="5" t="inlineStr">
        <is>
          <t>Flex 40GB</t>
        </is>
      </c>
      <c r="G593" s="5" t="inlineStr">
        <is>
          <t>claro:plano-flex-40gb</t>
        </is>
      </c>
      <c r="H593" s="6" t="n">
        <v>119.9</v>
      </c>
      <c r="I593" s="6" t="inlineStr"/>
      <c r="J593" s="5" t="inlineStr"/>
      <c r="K593" s="5" t="inlineStr"/>
      <c r="L593" s="7" t="n">
        <v>40</v>
      </c>
      <c r="M593" s="5" t="inlineStr"/>
      <c r="N593" s="5" t="inlineStr"/>
      <c r="O593" s="5" t="inlineStr">
        <is>
          <t>WhatsApp</t>
        </is>
      </c>
      <c r="P593" s="5" t="inlineStr"/>
      <c r="Q593" s="5" t="inlineStr"/>
      <c r="R593" s="5" t="inlineStr"/>
      <c r="S593" s="5" t="inlineStr"/>
      <c r="T593" s="5" t="inlineStr">
        <is>
          <t>Para uso livre; Para redes sociais e apps; Bônus uso livre; Bônus extra nos apps; WhatsApp ilimitado; Assinatura Claro musica inclusa</t>
        </is>
      </c>
      <c r="U593" s="5" t="inlineStr">
        <is>
          <t>https://www.claro.com.br/celular/flex</t>
        </is>
      </c>
      <c r="V593" s="5" t="inlineStr">
        <is>
          <t>data/raw/claro_flex_SP.json</t>
        </is>
      </c>
    </row>
    <row r="594">
      <c r="A594" s="2" t="inlineStr">
        <is>
          <t>2026-07-03</t>
        </is>
      </c>
      <c r="B594" s="2" t="inlineStr">
        <is>
          <t>2026-07-03T22:03:07</t>
        </is>
      </c>
      <c r="C594" s="2" t="inlineStr">
        <is>
          <t>claro</t>
        </is>
      </c>
      <c r="D594" s="2" t="inlineStr">
        <is>
          <t>postpaid</t>
        </is>
      </c>
      <c r="E594" s="2" t="inlineStr">
        <is>
          <t>SP</t>
        </is>
      </c>
      <c r="F594" s="2" t="inlineStr">
        <is>
          <t>Pós 100GB</t>
        </is>
      </c>
      <c r="G594" s="2" t="inlineStr">
        <is>
          <t>claro:plano-pos-100gb</t>
        </is>
      </c>
      <c r="H594" s="3" t="n">
        <v>179.9</v>
      </c>
      <c r="I594" s="3" t="inlineStr"/>
      <c r="J594" s="2" t="inlineStr"/>
      <c r="K594" s="2" t="inlineStr"/>
      <c r="L594" s="4" t="n">
        <v>100</v>
      </c>
      <c r="M594" s="2" t="inlineStr"/>
      <c r="N594" s="2" t="inlineStr"/>
      <c r="O594" s="2" t="inlineStr">
        <is>
          <t>WhatsApp</t>
        </is>
      </c>
      <c r="P594" s="2" t="inlineStr"/>
      <c r="Q594" s="2" t="inlineStr"/>
      <c r="R594" s="2" t="inlineStr"/>
      <c r="S594" s="2" t="inlineStr"/>
      <c r="T594" s="2" t="inlineStr">
        <is>
          <t>Armazenamento na nuvem:; Google One ou iCloud+; WhatsApp ilimitado; Roaming: Passaporte Américas; Claro Sync: Smartwatch conectado</t>
        </is>
      </c>
      <c r="U594" s="2" t="inlineStr">
        <is>
          <t>https://www.claro.com.br/celular/pos</t>
        </is>
      </c>
      <c r="V594" s="2" t="inlineStr">
        <is>
          <t>data/raw/claro_postpaid_SP.json</t>
        </is>
      </c>
    </row>
    <row r="595">
      <c r="A595" s="5" t="inlineStr">
        <is>
          <t>2026-07-03</t>
        </is>
      </c>
      <c r="B595" s="5" t="inlineStr">
        <is>
          <t>2026-07-03T22:03:07</t>
        </is>
      </c>
      <c r="C595" s="5" t="inlineStr">
        <is>
          <t>claro</t>
        </is>
      </c>
      <c r="D595" s="5" t="inlineStr">
        <is>
          <t>postpaid</t>
        </is>
      </c>
      <c r="E595" s="5" t="inlineStr">
        <is>
          <t>SP</t>
        </is>
      </c>
      <c r="F595" s="5" t="inlineStr">
        <is>
          <t>Pós 150GB</t>
        </is>
      </c>
      <c r="G595" s="5" t="inlineStr">
        <is>
          <t>claro:plano-pos-150gb</t>
        </is>
      </c>
      <c r="H595" s="6" t="n">
        <v>239.9</v>
      </c>
      <c r="I595" s="6" t="inlineStr"/>
      <c r="J595" s="5" t="inlineStr"/>
      <c r="K595" s="5" t="inlineStr"/>
      <c r="L595" s="7" t="n">
        <v>150</v>
      </c>
      <c r="M595" s="5" t="inlineStr"/>
      <c r="N595" s="5" t="inlineStr"/>
      <c r="O595" s="5" t="inlineStr">
        <is>
          <t>WhatsApp</t>
        </is>
      </c>
      <c r="P595" s="5" t="inlineStr"/>
      <c r="Q595" s="5" t="inlineStr"/>
      <c r="R595" s="5" t="inlineStr"/>
      <c r="S595" s="5" t="inlineStr"/>
      <c r="T595" s="5" t="inlineStr">
        <is>
          <t>Armazenamento na nuvem:; Google One ou iCloud+; WhatsApp ilimitado; Roaming: Passaporte Américas e Europa; Claro Sync: Smartwatch conectado</t>
        </is>
      </c>
      <c r="U595" s="5" t="inlineStr">
        <is>
          <t>https://www.claro.com.br/celular/pos</t>
        </is>
      </c>
      <c r="V595" s="5" t="inlineStr">
        <is>
          <t>data/raw/claro_postpaid_SP.json</t>
        </is>
      </c>
    </row>
    <row r="596">
      <c r="A596" s="2" t="inlineStr">
        <is>
          <t>2026-07-03</t>
        </is>
      </c>
      <c r="B596" s="2" t="inlineStr">
        <is>
          <t>2026-07-03T22:03:07</t>
        </is>
      </c>
      <c r="C596" s="2" t="inlineStr">
        <is>
          <t>claro</t>
        </is>
      </c>
      <c r="D596" s="2" t="inlineStr">
        <is>
          <t>postpaid</t>
        </is>
      </c>
      <c r="E596" s="2" t="inlineStr">
        <is>
          <t>SP</t>
        </is>
      </c>
      <c r="F596" s="2" t="inlineStr">
        <is>
          <t>Pós 200GB</t>
        </is>
      </c>
      <c r="G596" s="2" t="inlineStr">
        <is>
          <t>claro:plano-pos-200gb</t>
        </is>
      </c>
      <c r="H596" s="3" t="n">
        <v>339.9</v>
      </c>
      <c r="I596" s="3" t="inlineStr"/>
      <c r="J596" s="2" t="inlineStr"/>
      <c r="K596" s="2" t="inlineStr"/>
      <c r="L596" s="4" t="n">
        <v>200</v>
      </c>
      <c r="M596" s="2" t="inlineStr"/>
      <c r="N596" s="2" t="inlineStr"/>
      <c r="O596" s="2" t="inlineStr">
        <is>
          <t>WhatsApp</t>
        </is>
      </c>
      <c r="P596" s="2" t="inlineStr"/>
      <c r="Q596" s="2" t="inlineStr"/>
      <c r="R596" s="2" t="inlineStr"/>
      <c r="S596" s="2" t="inlineStr"/>
      <c r="T596" s="2" t="inlineStr">
        <is>
          <t>Armazenamento na nuvem:; Google One ou iCloud+; WhatsApp ilimitado; Roaming: Passaporte Mundo; Claro Sync: Smartwatch conectado</t>
        </is>
      </c>
      <c r="U596" s="2" t="inlineStr">
        <is>
          <t>https://www.claro.com.br/celular/pos</t>
        </is>
      </c>
      <c r="V596" s="2" t="inlineStr">
        <is>
          <t>data/raw/claro_postpaid_SP.json</t>
        </is>
      </c>
    </row>
    <row r="597">
      <c r="A597" s="5" t="inlineStr">
        <is>
          <t>2026-07-03</t>
        </is>
      </c>
      <c r="B597" s="5" t="inlineStr">
        <is>
          <t>2026-07-03T22:03:07</t>
        </is>
      </c>
      <c r="C597" s="5" t="inlineStr">
        <is>
          <t>claro</t>
        </is>
      </c>
      <c r="D597" s="5" t="inlineStr">
        <is>
          <t>postpaid</t>
        </is>
      </c>
      <c r="E597" s="5" t="inlineStr">
        <is>
          <t>SP</t>
        </is>
      </c>
      <c r="F597" s="5" t="inlineStr">
        <is>
          <t>Pós 50GB com GeForce NOW</t>
        </is>
      </c>
      <c r="G597" s="5" t="inlineStr">
        <is>
          <t>claro:plano-pos-60gb-geforce</t>
        </is>
      </c>
      <c r="H597" s="6" t="n">
        <v>164.9</v>
      </c>
      <c r="I597" s="6" t="inlineStr"/>
      <c r="J597" s="5" t="inlineStr"/>
      <c r="K597" s="5" t="inlineStr"/>
      <c r="L597" s="7" t="n">
        <v>50</v>
      </c>
      <c r="M597" s="5" t="inlineStr"/>
      <c r="N597" s="5" t="inlineStr"/>
      <c r="O597" s="5" t="inlineStr">
        <is>
          <t>WhatsApp</t>
        </is>
      </c>
      <c r="P597" s="5" t="inlineStr"/>
      <c r="Q597" s="5" t="inlineStr"/>
      <c r="R597" s="5" t="inlineStr"/>
      <c r="S597" s="5" t="inlineStr"/>
      <c r="T597" s="5" t="inlineStr">
        <is>
          <t>Armazenamento na nuvem:; Google One ou iCloud+; WhatsApp ilimitado; Roaming: Passaporte Américas; Claro Sync: Smartwatch conectado; Inclusa assinatura GeForce NOW</t>
        </is>
      </c>
      <c r="U597" s="5" t="inlineStr">
        <is>
          <t>https://www.claro.com.br/celular/pos</t>
        </is>
      </c>
      <c r="V597" s="5" t="inlineStr">
        <is>
          <t>data/raw/claro_postpaid_SP.json</t>
        </is>
      </c>
    </row>
    <row r="598">
      <c r="A598" s="2" t="inlineStr">
        <is>
          <t>2026-07-03</t>
        </is>
      </c>
      <c r="B598" s="2" t="inlineStr">
        <is>
          <t>2026-07-03T22:03:07</t>
        </is>
      </c>
      <c r="C598" s="2" t="inlineStr">
        <is>
          <t>claro</t>
        </is>
      </c>
      <c r="D598" s="2" t="inlineStr">
        <is>
          <t>postpaid</t>
        </is>
      </c>
      <c r="E598" s="2" t="inlineStr">
        <is>
          <t>SP</t>
        </is>
      </c>
      <c r="F598" s="2" t="inlineStr">
        <is>
          <t>Pós 60GB</t>
        </is>
      </c>
      <c r="G598" s="2" t="inlineStr">
        <is>
          <t>claro:plano-pos-60gb</t>
        </is>
      </c>
      <c r="H598" s="3" t="n">
        <v>124.9</v>
      </c>
      <c r="I598" s="3" t="inlineStr"/>
      <c r="J598" s="2" t="inlineStr"/>
      <c r="K598" s="2" t="inlineStr"/>
      <c r="L598" s="4" t="n">
        <v>60</v>
      </c>
      <c r="M598" s="2" t="inlineStr"/>
      <c r="N598" s="2" t="inlineStr"/>
      <c r="O598" s="2" t="inlineStr">
        <is>
          <t>WhatsApp</t>
        </is>
      </c>
      <c r="P598" s="2" t="inlineStr"/>
      <c r="Q598" s="2" t="inlineStr"/>
      <c r="R598" s="2" t="inlineStr"/>
      <c r="S598" s="2" t="inlineStr"/>
      <c r="T598" s="2" t="inlineStr">
        <is>
          <t>Armazenamento na nuvem:; Google One ou iCloud+; WhatsApp ilimitado; Roaming: Passaporte Américas; Claro Sync: Smartwatch conectado</t>
        </is>
      </c>
      <c r="U598" s="2" t="inlineStr">
        <is>
          <t>https://www.claro.com.br/celular/pos</t>
        </is>
      </c>
      <c r="V598" s="2" t="inlineStr">
        <is>
          <t>data/raw/claro_postpaid_SP.json</t>
        </is>
      </c>
    </row>
    <row r="599">
      <c r="A599" s="5" t="inlineStr">
        <is>
          <t>2026-07-03</t>
        </is>
      </c>
      <c r="B599" s="5" t="inlineStr">
        <is>
          <t>2026-07-03T22:03:07</t>
        </is>
      </c>
      <c r="C599" s="5" t="inlineStr">
        <is>
          <t>claro</t>
        </is>
      </c>
      <c r="D599" s="5" t="inlineStr">
        <is>
          <t>prepaid</t>
        </is>
      </c>
      <c r="E599" s="5" t="inlineStr">
        <is>
          <t>SP</t>
        </is>
      </c>
      <c r="F599" s="5" t="inlineStr">
        <is>
          <t>Prezão 10GB (25 dias)</t>
        </is>
      </c>
      <c r="G599" s="5" t="inlineStr">
        <is>
          <t>claro:prezao-25d-10gb</t>
        </is>
      </c>
      <c r="H599" s="6" t="n">
        <v>25</v>
      </c>
      <c r="I599" s="6" t="inlineStr"/>
      <c r="J599" s="5" t="inlineStr">
        <is>
          <t>recarga Prezão R$25 — validade 25 dias</t>
        </is>
      </c>
      <c r="K599" s="5" t="inlineStr"/>
      <c r="L599" s="7" t="n">
        <v>10</v>
      </c>
      <c r="M599" s="5" t="inlineStr"/>
      <c r="N599" s="5" t="n">
        <v>25</v>
      </c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https://www.claro.com.br/celular/planos-pre/prezao</t>
        </is>
      </c>
      <c r="V599" s="5" t="inlineStr">
        <is>
          <t>data/raw/claro_prepaid_SP.json</t>
        </is>
      </c>
    </row>
    <row r="600">
      <c r="A600" s="2" t="inlineStr">
        <is>
          <t>2026-07-03</t>
        </is>
      </c>
      <c r="B600" s="2" t="inlineStr">
        <is>
          <t>2026-07-03T22:03:07</t>
        </is>
      </c>
      <c r="C600" s="2" t="inlineStr">
        <is>
          <t>claro</t>
        </is>
      </c>
      <c r="D600" s="2" t="inlineStr">
        <is>
          <t>prepaid</t>
        </is>
      </c>
      <c r="E600" s="2" t="inlineStr">
        <is>
          <t>SP</t>
        </is>
      </c>
      <c r="F600" s="2" t="inlineStr">
        <is>
          <t>Prezão 12GB (30 dias)</t>
        </is>
      </c>
      <c r="G600" s="2" t="inlineStr">
        <is>
          <t>claro:prezao-30d-12gb</t>
        </is>
      </c>
      <c r="H600" s="3" t="n">
        <v>30</v>
      </c>
      <c r="I600" s="3" t="inlineStr"/>
      <c r="J600" s="2" t="inlineStr">
        <is>
          <t>recarga Prezão R$30 — validade 30 dias</t>
        </is>
      </c>
      <c r="K600" s="2" t="inlineStr"/>
      <c r="L600" s="4" t="n">
        <v>12</v>
      </c>
      <c r="M600" s="2" t="inlineStr"/>
      <c r="N600" s="2" t="n">
        <v>30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https://www.claro.com.br/celular/planos-pre/prezao</t>
        </is>
      </c>
      <c r="V600" s="2" t="inlineStr">
        <is>
          <t>data/raw/claro_prepaid_SP.json</t>
        </is>
      </c>
    </row>
    <row r="601">
      <c r="A601" s="5" t="inlineStr">
        <is>
          <t>2026-07-03</t>
        </is>
      </c>
      <c r="B601" s="5" t="inlineStr">
        <is>
          <t>2026-07-03T22:03:07</t>
        </is>
      </c>
      <c r="C601" s="5" t="inlineStr">
        <is>
          <t>claro</t>
        </is>
      </c>
      <c r="D601" s="5" t="inlineStr">
        <is>
          <t>prepaid</t>
        </is>
      </c>
      <c r="E601" s="5" t="inlineStr">
        <is>
          <t>SP</t>
        </is>
      </c>
      <c r="F601" s="5" t="inlineStr">
        <is>
          <t>Prezão 4GB (12 dias)</t>
        </is>
      </c>
      <c r="G601" s="5" t="inlineStr">
        <is>
          <t>claro:prezao-12d-4gb</t>
        </is>
      </c>
      <c r="H601" s="6" t="n">
        <v>15</v>
      </c>
      <c r="I601" s="6" t="inlineStr"/>
      <c r="J601" s="5" t="inlineStr">
        <is>
          <t>recarga Prezão R$15 — validade 12 dias</t>
        </is>
      </c>
      <c r="K601" s="5" t="inlineStr"/>
      <c r="L601" s="7" t="n">
        <v>4</v>
      </c>
      <c r="M601" s="5" t="inlineStr"/>
      <c r="N601" s="5" t="n">
        <v>12</v>
      </c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https://www.claro.com.br/celular/planos-pre/prezao</t>
        </is>
      </c>
      <c r="V601" s="5" t="inlineStr">
        <is>
          <t>data/raw/claro_prepaid_SP.json</t>
        </is>
      </c>
    </row>
    <row r="602">
      <c r="A602" s="2" t="inlineStr">
        <is>
          <t>2026-07-03</t>
        </is>
      </c>
      <c r="B602" s="2" t="inlineStr">
        <is>
          <t>2026-07-03T22:03:07</t>
        </is>
      </c>
      <c r="C602" s="2" t="inlineStr">
        <is>
          <t>claro</t>
        </is>
      </c>
      <c r="D602" s="2" t="inlineStr">
        <is>
          <t>prepaid</t>
        </is>
      </c>
      <c r="E602" s="2" t="inlineStr">
        <is>
          <t>SP</t>
        </is>
      </c>
      <c r="F602" s="2" t="inlineStr">
        <is>
          <t>Prezão 5GB (15 dias)</t>
        </is>
      </c>
      <c r="G602" s="2" t="inlineStr">
        <is>
          <t>claro:prezao-15d-5gb</t>
        </is>
      </c>
      <c r="H602" s="3" t="n">
        <v>15</v>
      </c>
      <c r="I602" s="3" t="inlineStr"/>
      <c r="J602" s="2" t="inlineStr">
        <is>
          <t>recarga Prezão R$15 — validade 15 dias</t>
        </is>
      </c>
      <c r="K602" s="2" t="inlineStr"/>
      <c r="L602" s="4" t="n">
        <v>5</v>
      </c>
      <c r="M602" s="2" t="inlineStr"/>
      <c r="N602" s="2" t="n">
        <v>15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https://www.claro.com.br/celular/planos-pre/prezao</t>
        </is>
      </c>
      <c r="V602" s="2" t="inlineStr">
        <is>
          <t>data/raw/claro_prepaid_SP.json</t>
        </is>
      </c>
    </row>
    <row r="603">
      <c r="A603" s="5" t="inlineStr">
        <is>
          <t>2026-07-03</t>
        </is>
      </c>
      <c r="B603" s="5" t="inlineStr">
        <is>
          <t>2026-07-03T22:03:07</t>
        </is>
      </c>
      <c r="C603" s="5" t="inlineStr">
        <is>
          <t>claro</t>
        </is>
      </c>
      <c r="D603" s="5" t="inlineStr">
        <is>
          <t>prepaid</t>
        </is>
      </c>
      <c r="E603" s="5" t="inlineStr">
        <is>
          <t>SP</t>
        </is>
      </c>
      <c r="F603" s="5" t="inlineStr">
        <is>
          <t>Prezão 6GB (20 dias)</t>
        </is>
      </c>
      <c r="G603" s="5" t="inlineStr">
        <is>
          <t>claro:prezao-20d-6gb</t>
        </is>
      </c>
      <c r="H603" s="6" t="n">
        <v>20</v>
      </c>
      <c r="I603" s="6" t="inlineStr"/>
      <c r="J603" s="5" t="inlineStr">
        <is>
          <t>recarga Prezão R$20 — validade 20 dias</t>
        </is>
      </c>
      <c r="K603" s="5" t="inlineStr"/>
      <c r="L603" s="7" t="n">
        <v>6</v>
      </c>
      <c r="M603" s="5" t="inlineStr"/>
      <c r="N603" s="5" t="n">
        <v>20</v>
      </c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https://www.claro.com.br/celular/planos-pre/prezao</t>
        </is>
      </c>
      <c r="V603" s="5" t="inlineStr">
        <is>
          <t>data/raw/claro_prepaid_SP.json</t>
        </is>
      </c>
    </row>
    <row r="604">
      <c r="A604" s="2" t="inlineStr">
        <is>
          <t>2026-07-03</t>
        </is>
      </c>
      <c r="B604" s="2" t="inlineStr">
        <is>
          <t>2026-07-03T22:03:07</t>
        </is>
      </c>
      <c r="C604" s="2" t="inlineStr">
        <is>
          <t>claro</t>
        </is>
      </c>
      <c r="D604" s="2" t="inlineStr">
        <is>
          <t>prepaid</t>
        </is>
      </c>
      <c r="E604" s="2" t="inlineStr">
        <is>
          <t>SP</t>
        </is>
      </c>
      <c r="F604" s="2" t="inlineStr">
        <is>
          <t>Prezão 8GB (20 dias)</t>
        </is>
      </c>
      <c r="G604" s="2" t="inlineStr">
        <is>
          <t>claro:prezao-20d-8gb</t>
        </is>
      </c>
      <c r="H604" s="3" t="n">
        <v>20</v>
      </c>
      <c r="I604" s="3" t="inlineStr"/>
      <c r="J604" s="2" t="inlineStr">
        <is>
          <t>recarga Prezão R$20 — validade 20 dias</t>
        </is>
      </c>
      <c r="K604" s="2" t="inlineStr"/>
      <c r="L604" s="4" t="n">
        <v>8</v>
      </c>
      <c r="M604" s="2" t="inlineStr"/>
      <c r="N604" s="2" t="n">
        <v>20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https://www.claro.com.br/celular/planos-pre/prezao</t>
        </is>
      </c>
      <c r="V604" s="2" t="inlineStr">
        <is>
          <t>data/raw/claro_prepaid_SP.json</t>
        </is>
      </c>
    </row>
    <row r="605">
      <c r="A605" s="5" t="inlineStr">
        <is>
          <t>2026-07-03</t>
        </is>
      </c>
      <c r="B605" s="5" t="inlineStr">
        <is>
          <t>2026-07-03T22:03:07</t>
        </is>
      </c>
      <c r="C605" s="5" t="inlineStr">
        <is>
          <t>claro</t>
        </is>
      </c>
      <c r="D605" s="5" t="inlineStr">
        <is>
          <t>prepaid</t>
        </is>
      </c>
      <c r="E605" s="5" t="inlineStr">
        <is>
          <t>SP</t>
        </is>
      </c>
      <c r="F605" s="5" t="inlineStr">
        <is>
          <t>Prezão 9GB (25 dias)</t>
        </is>
      </c>
      <c r="G605" s="5" t="inlineStr">
        <is>
          <t>claro:prezao-25d-9gb</t>
        </is>
      </c>
      <c r="H605" s="6" t="n">
        <v>25</v>
      </c>
      <c r="I605" s="6" t="inlineStr"/>
      <c r="J605" s="5" t="inlineStr">
        <is>
          <t>recarga Prezão R$25 — validade 25 dias</t>
        </is>
      </c>
      <c r="K605" s="5" t="inlineStr"/>
      <c r="L605" s="7" t="n">
        <v>9</v>
      </c>
      <c r="M605" s="5" t="inlineStr"/>
      <c r="N605" s="5" t="n">
        <v>25</v>
      </c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https://www.claro.com.br/celular/planos-pre/prezao</t>
        </is>
      </c>
      <c r="V605" s="5" t="inlineStr">
        <is>
          <t>data/raw/claro_prepaid_SP.json</t>
        </is>
      </c>
    </row>
    <row r="606">
      <c r="A606" s="2" t="inlineStr">
        <is>
          <t>2026-07-03</t>
        </is>
      </c>
      <c r="B606" s="2" t="inlineStr">
        <is>
          <t>2026-07-03T22:03:07</t>
        </is>
      </c>
      <c r="C606" s="2" t="inlineStr">
        <is>
          <t>tim</t>
        </is>
      </c>
      <c r="D606" s="2" t="inlineStr">
        <is>
          <t>control</t>
        </is>
      </c>
      <c r="E606" s="2" t="inlineStr">
        <is>
          <t>SP</t>
        </is>
      </c>
      <c r="F606" s="2" t="inlineStr">
        <is>
          <t>TIM Controle 41GB</t>
        </is>
      </c>
      <c r="G606" s="2" t="inlineStr">
        <is>
          <t>tim:162901</t>
        </is>
      </c>
      <c r="H606" s="3" t="n">
        <v>58.99</v>
      </c>
      <c r="I606" s="3" t="inlineStr"/>
      <c r="J606" s="2" t="inlineStr"/>
      <c r="K606" s="2" t="inlineStr"/>
      <c r="L606" s="4" t="n">
        <v>41</v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https://www.tim.com.br/sp/para-voce/planos/controle</t>
        </is>
      </c>
      <c r="V606" s="2" t="inlineStr">
        <is>
          <t>data/raw/tim_control_SP.html</t>
        </is>
      </c>
    </row>
    <row r="607">
      <c r="A607" s="5" t="inlineStr">
        <is>
          <t>2026-07-03</t>
        </is>
      </c>
      <c r="B607" s="5" t="inlineStr">
        <is>
          <t>2026-07-03T22:03:07</t>
        </is>
      </c>
      <c r="C607" s="5" t="inlineStr">
        <is>
          <t>tim</t>
        </is>
      </c>
      <c r="D607" s="5" t="inlineStr">
        <is>
          <t>control</t>
        </is>
      </c>
      <c r="E607" s="5" t="inlineStr">
        <is>
          <t>SP</t>
        </is>
      </c>
      <c r="F607" s="5" t="inlineStr">
        <is>
          <t>TIM Controle Light Express 31GB</t>
        </is>
      </c>
      <c r="G607" s="5" t="inlineStr">
        <is>
          <t>tim:143536</t>
        </is>
      </c>
      <c r="H607" s="6" t="n">
        <v>60.99</v>
      </c>
      <c r="I607" s="6" t="inlineStr"/>
      <c r="J607" s="5" t="inlineStr"/>
      <c r="K607" s="5" t="inlineStr"/>
      <c r="L607" s="7" t="n">
        <v>31</v>
      </c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https://www.tim.com.br/sp/para-voce/planos/controle</t>
        </is>
      </c>
      <c r="V607" s="5" t="inlineStr">
        <is>
          <t>data/raw/tim_control_SP.html</t>
        </is>
      </c>
    </row>
    <row r="608">
      <c r="A608" s="2" t="inlineStr">
        <is>
          <t>2026-07-03</t>
        </is>
      </c>
      <c r="B608" s="2" t="inlineStr">
        <is>
          <t>2026-07-03T22:03:07</t>
        </is>
      </c>
      <c r="C608" s="2" t="inlineStr">
        <is>
          <t>tim</t>
        </is>
      </c>
      <c r="D608" s="2" t="inlineStr">
        <is>
          <t>control</t>
        </is>
      </c>
      <c r="E608" s="2" t="inlineStr">
        <is>
          <t>SP</t>
        </is>
      </c>
      <c r="F608" s="2" t="inlineStr">
        <is>
          <t>TIM Controle Plus 45GB</t>
        </is>
      </c>
      <c r="G608" s="2" t="inlineStr">
        <is>
          <t>tim:155891</t>
        </is>
      </c>
      <c r="H608" s="3" t="n">
        <v>64.98999999999999</v>
      </c>
      <c r="I608" s="3" t="inlineStr"/>
      <c r="J608" s="2" t="inlineStr"/>
      <c r="K608" s="2" t="inlineStr"/>
      <c r="L608" s="4" t="n">
        <v>45</v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https://www.tim.com.br/sp/para-voce/planos/controle</t>
        </is>
      </c>
      <c r="V608" s="2" t="inlineStr">
        <is>
          <t>data/raw/tim_control_SP.html</t>
        </is>
      </c>
    </row>
    <row r="609">
      <c r="A609" s="5" t="inlineStr">
        <is>
          <t>2026-07-03</t>
        </is>
      </c>
      <c r="B609" s="5" t="inlineStr">
        <is>
          <t>2026-07-03T22:03:07</t>
        </is>
      </c>
      <c r="C609" s="5" t="inlineStr">
        <is>
          <t>tim</t>
        </is>
      </c>
      <c r="D609" s="5" t="inlineStr">
        <is>
          <t>control</t>
        </is>
      </c>
      <c r="E609" s="5" t="inlineStr">
        <is>
          <t>SP</t>
        </is>
      </c>
      <c r="F609" s="5" t="inlineStr">
        <is>
          <t>TIM Controle Premium 53GB</t>
        </is>
      </c>
      <c r="G609" s="5" t="inlineStr">
        <is>
          <t>tim:162896</t>
        </is>
      </c>
      <c r="H609" s="6" t="n">
        <v>84.98999999999999</v>
      </c>
      <c r="I609" s="6" t="inlineStr"/>
      <c r="J609" s="5" t="inlineStr"/>
      <c r="K609" s="5" t="inlineStr"/>
      <c r="L609" s="7" t="n">
        <v>53</v>
      </c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https://www.tim.com.br/sp/para-voce/planos/controle</t>
        </is>
      </c>
      <c r="V609" s="5" t="inlineStr">
        <is>
          <t>data/raw/tim_control_SP.html</t>
        </is>
      </c>
    </row>
    <row r="610">
      <c r="A610" s="2" t="inlineStr">
        <is>
          <t>2026-07-03</t>
        </is>
      </c>
      <c r="B610" s="2" t="inlineStr">
        <is>
          <t>2026-07-03T22:03:07</t>
        </is>
      </c>
      <c r="C610" s="2" t="inlineStr">
        <is>
          <t>tim</t>
        </is>
      </c>
      <c r="D610" s="2" t="inlineStr">
        <is>
          <t>control</t>
        </is>
      </c>
      <c r="E610" s="2" t="inlineStr">
        <is>
          <t>SP</t>
        </is>
      </c>
      <c r="F610" s="2" t="inlineStr">
        <is>
          <t>TIM Controle Pro Express</t>
        </is>
      </c>
      <c r="G610" s="2" t="inlineStr">
        <is>
          <t>tim:143576</t>
        </is>
      </c>
      <c r="H610" s="3" t="n">
        <v>64.98999999999999</v>
      </c>
      <c r="I610" s="3" t="inlineStr"/>
      <c r="J610" s="2" t="inlineStr"/>
      <c r="K610" s="2" t="inlineStr"/>
      <c r="L610" s="4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https://www.tim.com.br/sp/para-voce/planos/controle</t>
        </is>
      </c>
      <c r="V610" s="2" t="inlineStr">
        <is>
          <t>data/raw/tim_control_SP.html</t>
        </is>
      </c>
    </row>
    <row r="611">
      <c r="A611" s="5" t="inlineStr">
        <is>
          <t>2026-07-03</t>
        </is>
      </c>
      <c r="B611" s="5" t="inlineStr">
        <is>
          <t>2026-07-03T22:03:07</t>
        </is>
      </c>
      <c r="C611" s="5" t="inlineStr">
        <is>
          <t>tim</t>
        </is>
      </c>
      <c r="D611" s="5" t="inlineStr">
        <is>
          <t>postpaid</t>
        </is>
      </c>
      <c r="E611" s="5" t="inlineStr">
        <is>
          <t>SP</t>
        </is>
      </c>
      <c r="F611" s="5" t="inlineStr">
        <is>
          <t>TIM Black 70GB</t>
        </is>
      </c>
      <c r="G611" s="5" t="inlineStr">
        <is>
          <t>tim:54206</t>
        </is>
      </c>
      <c r="H611" s="6" t="n">
        <v>129.99</v>
      </c>
      <c r="I611" s="6" t="inlineStr"/>
      <c r="J611" s="5" t="inlineStr"/>
      <c r="K611" s="5" t="inlineStr">
        <is>
          <t>bill</t>
        </is>
      </c>
      <c r="L611" s="7" t="n">
        <v>70</v>
      </c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https://www.tim.com.br/sp/para-voce/planos/pos-pago/tim-black</t>
        </is>
      </c>
      <c r="V611" s="5" t="inlineStr">
        <is>
          <t>data/raw/tim_postpaid_SP.html</t>
        </is>
      </c>
    </row>
    <row r="612">
      <c r="A612" s="2" t="inlineStr">
        <is>
          <t>2026-07-03</t>
        </is>
      </c>
      <c r="B612" s="2" t="inlineStr">
        <is>
          <t>2026-07-03T22:03:07</t>
        </is>
      </c>
      <c r="C612" s="2" t="inlineStr">
        <is>
          <t>tim</t>
        </is>
      </c>
      <c r="D612" s="2" t="inlineStr">
        <is>
          <t>postpaid</t>
        </is>
      </c>
      <c r="E612" s="2" t="inlineStr">
        <is>
          <t>SP</t>
        </is>
      </c>
      <c r="F612" s="2" t="inlineStr">
        <is>
          <t>TIM Black A Express 67GB</t>
        </is>
      </c>
      <c r="G612" s="2" t="inlineStr">
        <is>
          <t>tim:55121</t>
        </is>
      </c>
      <c r="H612" s="3" t="n">
        <v>119.99</v>
      </c>
      <c r="I612" s="3" t="inlineStr"/>
      <c r="J612" s="2" t="inlineStr"/>
      <c r="K612" s="2" t="inlineStr">
        <is>
          <t>credit_card</t>
        </is>
      </c>
      <c r="L612" s="4" t="n">
        <v>67</v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https://www.tim.com.br/sp/para-voce/planos/pos-pago/tim-black</t>
        </is>
      </c>
      <c r="V612" s="2" t="inlineStr">
        <is>
          <t>data/raw/tim_postpaid_SP.html</t>
        </is>
      </c>
    </row>
    <row r="613">
      <c r="A613" s="5" t="inlineStr">
        <is>
          <t>2026-07-03</t>
        </is>
      </c>
      <c r="B613" s="5" t="inlineStr">
        <is>
          <t>2026-07-03T22:03:07</t>
        </is>
      </c>
      <c r="C613" s="5" t="inlineStr">
        <is>
          <t>tim</t>
        </is>
      </c>
      <c r="D613" s="5" t="inlineStr">
        <is>
          <t>postpaid</t>
        </is>
      </c>
      <c r="E613" s="5" t="inlineStr">
        <is>
          <t>SP</t>
        </is>
      </c>
      <c r="F613" s="5" t="inlineStr">
        <is>
          <t>TIM Black B Express 82GB</t>
        </is>
      </c>
      <c r="G613" s="5" t="inlineStr">
        <is>
          <t>tim:52146</t>
        </is>
      </c>
      <c r="H613" s="6" t="n">
        <v>144.99</v>
      </c>
      <c r="I613" s="6" t="inlineStr"/>
      <c r="J613" s="5" t="inlineStr"/>
      <c r="K613" s="5" t="inlineStr">
        <is>
          <t>credit_card</t>
        </is>
      </c>
      <c r="L613" s="7" t="n">
        <v>82</v>
      </c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https://www.tim.com.br/sp/para-voce/planos/pos-pago/tim-black</t>
        </is>
      </c>
      <c r="V613" s="5" t="inlineStr">
        <is>
          <t>data/raw/tim_postpaid_SP.html</t>
        </is>
      </c>
    </row>
    <row r="614">
      <c r="A614" s="2" t="inlineStr">
        <is>
          <t>2026-07-03</t>
        </is>
      </c>
      <c r="B614" s="2" t="inlineStr">
        <is>
          <t>2026-07-03T22:03:07</t>
        </is>
      </c>
      <c r="C614" s="2" t="inlineStr">
        <is>
          <t>tim</t>
        </is>
      </c>
      <c r="D614" s="2" t="inlineStr">
        <is>
          <t>postpaid</t>
        </is>
      </c>
      <c r="E614" s="2" t="inlineStr">
        <is>
          <t>SP</t>
        </is>
      </c>
      <c r="F614" s="2" t="inlineStr">
        <is>
          <t>TIM Black C Express 107GB</t>
        </is>
      </c>
      <c r="G614" s="2" t="inlineStr">
        <is>
          <t>tim:52151</t>
        </is>
      </c>
      <c r="H614" s="3" t="n">
        <v>164.99</v>
      </c>
      <c r="I614" s="3" t="inlineStr"/>
      <c r="J614" s="2" t="inlineStr"/>
      <c r="K614" s="2" t="inlineStr">
        <is>
          <t>credit_card</t>
        </is>
      </c>
      <c r="L614" s="4" t="n">
        <v>107</v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https://www.tim.com.br/sp/para-voce/planos/pos-pago/tim-black</t>
        </is>
      </c>
      <c r="V614" s="2" t="inlineStr">
        <is>
          <t>data/raw/tim_postpaid_SP.html</t>
        </is>
      </c>
    </row>
    <row r="615">
      <c r="A615" s="5" t="inlineStr">
        <is>
          <t>2026-07-03</t>
        </is>
      </c>
      <c r="B615" s="5" t="inlineStr">
        <is>
          <t>2026-07-03T22:03:07</t>
        </is>
      </c>
      <c r="C615" s="5" t="inlineStr">
        <is>
          <t>tim</t>
        </is>
      </c>
      <c r="D615" s="5" t="inlineStr">
        <is>
          <t>postpaid</t>
        </is>
      </c>
      <c r="E615" s="5" t="inlineStr">
        <is>
          <t>SP</t>
        </is>
      </c>
      <c r="F615" s="5" t="inlineStr">
        <is>
          <t>TIM Black C Ultra 95GB</t>
        </is>
      </c>
      <c r="G615" s="5" t="inlineStr">
        <is>
          <t>tim:100581</t>
        </is>
      </c>
      <c r="H615" s="6" t="n">
        <v>159.99</v>
      </c>
      <c r="I615" s="6" t="inlineStr"/>
      <c r="J615" s="5" t="inlineStr"/>
      <c r="K615" s="5" t="inlineStr">
        <is>
          <t>bill</t>
        </is>
      </c>
      <c r="L615" s="7" t="n">
        <v>95</v>
      </c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https://www.tim.com.br/sp/para-voce/planos/pos-pago/tim-black</t>
        </is>
      </c>
      <c r="V615" s="5" t="inlineStr">
        <is>
          <t>data/raw/tim_postpaid_SP.html</t>
        </is>
      </c>
    </row>
    <row r="616">
      <c r="A616" s="2" t="inlineStr">
        <is>
          <t>2026-07-03</t>
        </is>
      </c>
      <c r="B616" s="2" t="inlineStr">
        <is>
          <t>2026-07-03T22:03:07</t>
        </is>
      </c>
      <c r="C616" s="2" t="inlineStr">
        <is>
          <t>tim</t>
        </is>
      </c>
      <c r="D616" s="2" t="inlineStr">
        <is>
          <t>postpaid</t>
        </is>
      </c>
      <c r="E616" s="2" t="inlineStr">
        <is>
          <t>SP</t>
        </is>
      </c>
      <c r="F616" s="2" t="inlineStr">
        <is>
          <t>TIM Black Plus 80GB</t>
        </is>
      </c>
      <c r="G616" s="2" t="inlineStr">
        <is>
          <t>tim:54256</t>
        </is>
      </c>
      <c r="H616" s="3" t="n">
        <v>149.99</v>
      </c>
      <c r="I616" s="3" t="inlineStr"/>
      <c r="J616" s="2" t="inlineStr"/>
      <c r="K616" s="2" t="inlineStr">
        <is>
          <t>bill</t>
        </is>
      </c>
      <c r="L616" s="4" t="n">
        <v>80</v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https://www.tim.com.br/sp/para-voce/planos/pos-pago/tim-black</t>
        </is>
      </c>
      <c r="V616" s="2" t="inlineStr">
        <is>
          <t>data/raw/tim_postpaid_SP.html</t>
        </is>
      </c>
    </row>
    <row r="617">
      <c r="A617" s="5" t="inlineStr">
        <is>
          <t>2026-07-03</t>
        </is>
      </c>
      <c r="B617" s="5" t="inlineStr">
        <is>
          <t>2026-07-03T22:03:07</t>
        </is>
      </c>
      <c r="C617" s="5" t="inlineStr">
        <is>
          <t>tim</t>
        </is>
      </c>
      <c r="D617" s="5" t="inlineStr">
        <is>
          <t>postpaid</t>
        </is>
      </c>
      <c r="E617" s="5" t="inlineStr">
        <is>
          <t>SP</t>
        </is>
      </c>
      <c r="F617" s="5" t="inlineStr">
        <is>
          <t>TIM Black Premium 110GB</t>
        </is>
      </c>
      <c r="G617" s="5" t="inlineStr">
        <is>
          <t>tim:54261</t>
        </is>
      </c>
      <c r="H617" s="6" t="n">
        <v>159.99</v>
      </c>
      <c r="I617" s="6" t="inlineStr"/>
      <c r="J617" s="5" t="inlineStr"/>
      <c r="K617" s="5" t="inlineStr">
        <is>
          <t>bill</t>
        </is>
      </c>
      <c r="L617" s="7" t="n">
        <v>110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https://www.tim.com.br/sp/para-voce/planos/pos-pago/tim-black</t>
        </is>
      </c>
      <c r="V617" s="5" t="inlineStr">
        <is>
          <t>data/raw/tim_postpaid_SP.html</t>
        </is>
      </c>
    </row>
    <row r="618">
      <c r="A618" s="2" t="inlineStr">
        <is>
          <t>2026-07-03</t>
        </is>
      </c>
      <c r="B618" s="2" t="inlineStr">
        <is>
          <t>2026-07-03T22:03:07</t>
        </is>
      </c>
      <c r="C618" s="2" t="inlineStr">
        <is>
          <t>tim</t>
        </is>
      </c>
      <c r="D618" s="2" t="inlineStr">
        <is>
          <t>prepaid</t>
        </is>
      </c>
      <c r="E618" s="2" t="inlineStr">
        <is>
          <t>SP</t>
        </is>
      </c>
      <c r="F618" s="2" t="inlineStr">
        <is>
          <t>TIM Pré XIP Plus 16GB</t>
        </is>
      </c>
      <c r="G618" s="2" t="inlineStr">
        <is>
          <t>tim:106306</t>
        </is>
      </c>
      <c r="H618" s="3" t="n">
        <v>30</v>
      </c>
      <c r="I618" s="3" t="inlineStr"/>
      <c r="J618" s="2" t="inlineStr"/>
      <c r="K618" s="2" t="inlineStr"/>
      <c r="L618" s="4" t="n">
        <v>16</v>
      </c>
      <c r="M618" s="2" t="inlineStr"/>
      <c r="N618" s="2" t="n">
        <v>30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https://www.tim.com.br/sp/para-voce/planos/pre-pago</t>
        </is>
      </c>
      <c r="V618" s="2" t="inlineStr">
        <is>
          <t>data/raw/tim_prepaid_SP.html</t>
        </is>
      </c>
    </row>
    <row r="619">
      <c r="A619" s="5" t="inlineStr">
        <is>
          <t>2026-07-03</t>
        </is>
      </c>
      <c r="B619" s="5" t="inlineStr">
        <is>
          <t>2026-07-03T22:03:07</t>
        </is>
      </c>
      <c r="C619" s="5" t="inlineStr">
        <is>
          <t>tim</t>
        </is>
      </c>
      <c r="D619" s="5" t="inlineStr">
        <is>
          <t>prepaid</t>
        </is>
      </c>
      <c r="E619" s="5" t="inlineStr">
        <is>
          <t>SP</t>
        </is>
      </c>
      <c r="F619" s="5" t="inlineStr">
        <is>
          <t>TIM Pré XIP Plus 6GB</t>
        </is>
      </c>
      <c r="G619" s="5" t="inlineStr">
        <is>
          <t>tim:59906</t>
        </is>
      </c>
      <c r="H619" s="6" t="n">
        <v>20</v>
      </c>
      <c r="I619" s="6" t="inlineStr"/>
      <c r="J619" s="5" t="inlineStr"/>
      <c r="K619" s="5" t="inlineStr"/>
      <c r="L619" s="7" t="n">
        <v>6</v>
      </c>
      <c r="M619" s="5" t="inlineStr"/>
      <c r="N619" s="5" t="n">
        <v>17</v>
      </c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https://www.tim.com.br/sp/para-voce/planos/pre-pago</t>
        </is>
      </c>
      <c r="V619" s="5" t="inlineStr">
        <is>
          <t>data/raw/tim_prepaid_SP.html</t>
        </is>
      </c>
    </row>
    <row r="620">
      <c r="A620" s="2" t="inlineStr">
        <is>
          <t>2026-07-03</t>
        </is>
      </c>
      <c r="B620" s="2" t="inlineStr">
        <is>
          <t>2026-07-03T22:03:07</t>
        </is>
      </c>
      <c r="C620" s="2" t="inlineStr">
        <is>
          <t>tim</t>
        </is>
      </c>
      <c r="D620" s="2" t="inlineStr">
        <is>
          <t>prepaid</t>
        </is>
      </c>
      <c r="E620" s="2" t="inlineStr">
        <is>
          <t>SP</t>
        </is>
      </c>
      <c r="F620" s="2" t="inlineStr">
        <is>
          <t>TIM Pré XIP Plus 8GB</t>
        </is>
      </c>
      <c r="G620" s="2" t="inlineStr">
        <is>
          <t>tim:59901</t>
        </is>
      </c>
      <c r="H620" s="3" t="n">
        <v>25</v>
      </c>
      <c r="I620" s="3" t="inlineStr"/>
      <c r="J620" s="2" t="inlineStr"/>
      <c r="K620" s="2" t="inlineStr"/>
      <c r="L620" s="4" t="n">
        <v>8</v>
      </c>
      <c r="M620" s="2" t="inlineStr"/>
      <c r="N620" s="2" t="n">
        <v>22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https://www.tim.com.br/sp/para-voce/planos/pre-pago</t>
        </is>
      </c>
      <c r="V620" s="2" t="inlineStr">
        <is>
          <t>data/raw/tim_prepaid_SP.html</t>
        </is>
      </c>
    </row>
    <row r="621">
      <c r="A621" s="5" t="inlineStr">
        <is>
          <t>2026-07-03</t>
        </is>
      </c>
      <c r="B621" s="5" t="inlineStr">
        <is>
          <t>2026-07-03T22:03:07</t>
        </is>
      </c>
      <c r="C621" s="5" t="inlineStr">
        <is>
          <t>vivo</t>
        </is>
      </c>
      <c r="D621" s="5" t="inlineStr">
        <is>
          <t>control</t>
        </is>
      </c>
      <c r="E621" s="5" t="inlineStr">
        <is>
          <t>SP</t>
        </is>
      </c>
      <c r="F621" s="5" t="inlineStr">
        <is>
          <t>Vivo Controle</t>
        </is>
      </c>
      <c r="G621" s="5" t="inlineStr">
        <is>
          <t>vivo:VIV202600029270-46gb</t>
        </is>
      </c>
      <c r="H621" s="6" t="n">
        <v>59</v>
      </c>
      <c r="I621" s="6" t="inlineStr"/>
      <c r="J621" s="5" t="inlineStr"/>
      <c r="K621" s="5" t="inlineStr"/>
      <c r="L621" s="7" t="n">
        <v>46</v>
      </c>
      <c r="M621" s="5" t="inlineStr">
        <is>
          <t>15 GB de franquia 31 GB de bônus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>
        <is>
          <t>2 meses de YouTube sem consumo no plano</t>
        </is>
      </c>
      <c r="U621" s="5" t="inlineStr">
        <is>
          <t>https://vivo.com.br/para-voce/produtos-e-servicos/para-o-celular/planos-controle</t>
        </is>
      </c>
      <c r="V621" s="5" t="inlineStr">
        <is>
          <t>data/raw/vivo_control_SP.html</t>
        </is>
      </c>
    </row>
    <row r="622">
      <c r="A622" s="2" t="inlineStr">
        <is>
          <t>2026-07-03</t>
        </is>
      </c>
      <c r="B622" s="2" t="inlineStr">
        <is>
          <t>2026-07-03T22:03:07</t>
        </is>
      </c>
      <c r="C622" s="2" t="inlineStr">
        <is>
          <t>vivo</t>
        </is>
      </c>
      <c r="D622" s="2" t="inlineStr">
        <is>
          <t>control</t>
        </is>
      </c>
      <c r="E622" s="2" t="inlineStr">
        <is>
          <t>SP</t>
        </is>
      </c>
      <c r="F622" s="2" t="inlineStr">
        <is>
          <t>Vivo Controle</t>
        </is>
      </c>
      <c r="G622" s="2" t="inlineStr">
        <is>
          <t>vivo:VIV202600029300-61gb</t>
        </is>
      </c>
      <c r="H622" s="3" t="n">
        <v>80</v>
      </c>
      <c r="I622" s="3" t="inlineStr"/>
      <c r="J622" s="2" t="inlineStr"/>
      <c r="K622" s="2" t="inlineStr"/>
      <c r="L622" s="4" t="n">
        <v>61</v>
      </c>
      <c r="M622" s="2" t="inlineStr">
        <is>
          <t>20 GB de franquia 31 GB de bônus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2 meses de YouTube sem consumo no plano</t>
        </is>
      </c>
      <c r="U622" s="2" t="inlineStr">
        <is>
          <t>https://vivo.com.br/para-voce/produtos-e-servicos/para-o-celular/planos-controle</t>
        </is>
      </c>
      <c r="V622" s="2" t="inlineStr">
        <is>
          <t>data/raw/vivo_control_SP.html</t>
        </is>
      </c>
    </row>
    <row r="623">
      <c r="A623" s="5" t="inlineStr">
        <is>
          <t>2026-07-03</t>
        </is>
      </c>
      <c r="B623" s="5" t="inlineStr">
        <is>
          <t>2026-07-03T22:03:07</t>
        </is>
      </c>
      <c r="C623" s="5" t="inlineStr">
        <is>
          <t>vivo</t>
        </is>
      </c>
      <c r="D623" s="5" t="inlineStr">
        <is>
          <t>control</t>
        </is>
      </c>
      <c r="E623" s="5" t="inlineStr">
        <is>
          <t>SP</t>
        </is>
      </c>
      <c r="F623" s="5" t="inlineStr">
        <is>
          <t>Vivo Controle Educação</t>
        </is>
      </c>
      <c r="G623" s="5" t="inlineStr">
        <is>
          <t>vivo:VIV202600029273-61gb</t>
        </is>
      </c>
      <c r="H623" s="6" t="n">
        <v>90</v>
      </c>
      <c r="I623" s="6" t="inlineStr"/>
      <c r="J623" s="5" t="inlineStr"/>
      <c r="K623" s="5" t="inlineStr"/>
      <c r="L623" s="7" t="n">
        <v>61</v>
      </c>
      <c r="M623" s="5" t="inlineStr">
        <is>
          <t>20 GB de franquia 31 GB de bônus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>
        <is>
          <t>Assinatura Vivae inclusa</t>
        </is>
      </c>
      <c r="U623" s="5" t="inlineStr">
        <is>
          <t>https://vivo.com.br/para-voce/produtos-e-servicos/para-o-celular/planos-controle</t>
        </is>
      </c>
      <c r="V623" s="5" t="inlineStr">
        <is>
          <t>data/raw/vivo_control_SP.html</t>
        </is>
      </c>
    </row>
    <row r="624">
      <c r="A624" s="2" t="inlineStr">
        <is>
          <t>2026-07-03</t>
        </is>
      </c>
      <c r="B624" s="2" t="inlineStr">
        <is>
          <t>2026-07-03T22:03:07</t>
        </is>
      </c>
      <c r="C624" s="2" t="inlineStr">
        <is>
          <t>vivo</t>
        </is>
      </c>
      <c r="D624" s="2" t="inlineStr">
        <is>
          <t>control</t>
        </is>
      </c>
      <c r="E624" s="2" t="inlineStr">
        <is>
          <t>SP</t>
        </is>
      </c>
      <c r="F624" s="2" t="inlineStr">
        <is>
          <t>Vivo Controle Entretenimento</t>
        </is>
      </c>
      <c r="G624" s="2" t="inlineStr">
        <is>
          <t>vivo:VIV202600029307-61gb</t>
        </is>
      </c>
      <c r="H624" s="3" t="n">
        <v>110</v>
      </c>
      <c r="I624" s="3" t="inlineStr"/>
      <c r="J624" s="2" t="inlineStr"/>
      <c r="K624" s="2" t="inlineStr"/>
      <c r="L624" s="4" t="n">
        <v>61</v>
      </c>
      <c r="M624" s="2" t="inlineStr">
        <is>
          <t>20 GB de franquia 31 GB de bônus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Assinatura Vivo TV Inicial inclusa</t>
        </is>
      </c>
      <c r="U624" s="2" t="inlineStr">
        <is>
          <t>https://vivo.com.br/para-voce/produtos-e-servicos/para-o-celular/planos-controle</t>
        </is>
      </c>
      <c r="V624" s="2" t="inlineStr">
        <is>
          <t>data/raw/vivo_control_SP.html</t>
        </is>
      </c>
    </row>
    <row r="625">
      <c r="A625" s="5" t="inlineStr">
        <is>
          <t>2026-07-03</t>
        </is>
      </c>
      <c r="B625" s="5" t="inlineStr">
        <is>
          <t>2026-07-03T22:03:07</t>
        </is>
      </c>
      <c r="C625" s="5" t="inlineStr">
        <is>
          <t>vivo</t>
        </is>
      </c>
      <c r="D625" s="5" t="inlineStr">
        <is>
          <t>control</t>
        </is>
      </c>
      <c r="E625" s="5" t="inlineStr">
        <is>
          <t>SP</t>
        </is>
      </c>
      <c r="F625" s="5" t="inlineStr">
        <is>
          <t>Vivo Controle Música</t>
        </is>
      </c>
      <c r="G625" s="5" t="inlineStr">
        <is>
          <t>vivo:VIV202600029313-61gb</t>
        </is>
      </c>
      <c r="H625" s="6" t="n">
        <v>95</v>
      </c>
      <c r="I625" s="6" t="inlineStr"/>
      <c r="J625" s="5" t="inlineStr"/>
      <c r="K625" s="5" t="inlineStr"/>
      <c r="L625" s="7" t="n">
        <v>61</v>
      </c>
      <c r="M625" s="5" t="inlineStr">
        <is>
          <t>20 GB de franquia 31 GB de bônus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>
        <is>
          <t>Apple Music Individual</t>
        </is>
      </c>
      <c r="U625" s="5" t="inlineStr">
        <is>
          <t>https://vivo.com.br/para-voce/produtos-e-servicos/para-o-celular/planos-controle</t>
        </is>
      </c>
      <c r="V625" s="5" t="inlineStr">
        <is>
          <t>data/raw/vivo_control_SP.html</t>
        </is>
      </c>
    </row>
    <row r="626">
      <c r="A626" s="2" t="inlineStr">
        <is>
          <t>2026-07-03</t>
        </is>
      </c>
      <c r="B626" s="2" t="inlineStr">
        <is>
          <t>2026-07-03T22:03:07</t>
        </is>
      </c>
      <c r="C626" s="2" t="inlineStr">
        <is>
          <t>vivo</t>
        </is>
      </c>
      <c r="D626" s="2" t="inlineStr">
        <is>
          <t>control</t>
        </is>
      </c>
      <c r="E626" s="2" t="inlineStr">
        <is>
          <t>SP</t>
        </is>
      </c>
      <c r="F626" s="2" t="inlineStr">
        <is>
          <t>Vivo Controle Netflix</t>
        </is>
      </c>
      <c r="G626" s="2" t="inlineStr">
        <is>
          <t>vivo:VIV202600029308-61gb</t>
        </is>
      </c>
      <c r="H626" s="3" t="n">
        <v>95</v>
      </c>
      <c r="I626" s="3" t="inlineStr"/>
      <c r="J626" s="2" t="inlineStr"/>
      <c r="K626" s="2" t="inlineStr"/>
      <c r="L626" s="4" t="n">
        <v>61</v>
      </c>
      <c r="M626" s="2" t="inlineStr">
        <is>
          <t>20 GB de franquia 31 GB de bônus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Assinatura Netflix Padrão com anúncios</t>
        </is>
      </c>
      <c r="U626" s="2" t="inlineStr">
        <is>
          <t>https://vivo.com.br/para-voce/produtos-e-servicos/para-o-celular/planos-controle</t>
        </is>
      </c>
      <c r="V626" s="2" t="inlineStr">
        <is>
          <t>data/raw/vivo_control_SP.html</t>
        </is>
      </c>
    </row>
    <row r="627">
      <c r="A627" s="5" t="inlineStr">
        <is>
          <t>2026-07-03</t>
        </is>
      </c>
      <c r="B627" s="5" t="inlineStr">
        <is>
          <t>2026-07-03T22:03:07</t>
        </is>
      </c>
      <c r="C627" s="5" t="inlineStr">
        <is>
          <t>vivo</t>
        </is>
      </c>
      <c r="D627" s="5" t="inlineStr">
        <is>
          <t>control</t>
        </is>
      </c>
      <c r="E627" s="5" t="inlineStr">
        <is>
          <t>SP</t>
        </is>
      </c>
      <c r="F627" s="5" t="inlineStr">
        <is>
          <t>Vivo Controle Saúde</t>
        </is>
      </c>
      <c r="G627" s="5" t="inlineStr">
        <is>
          <t>vivo:VIV202600029301-61gb</t>
        </is>
      </c>
      <c r="H627" s="6" t="n">
        <v>90</v>
      </c>
      <c r="I627" s="6" t="inlineStr"/>
      <c r="J627" s="5" t="inlineStr"/>
      <c r="K627" s="5" t="inlineStr"/>
      <c r="L627" s="7" t="n">
        <v>61</v>
      </c>
      <c r="M627" s="5" t="inlineStr">
        <is>
          <t>20 GB de franquia 31 GB de bônus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>
        <is>
          <t>Assinatura Vale Saúde Sempre inclusa</t>
        </is>
      </c>
      <c r="U627" s="5" t="inlineStr">
        <is>
          <t>https://vivo.com.br/para-voce/produtos-e-servicos/para-o-celular/planos-controle</t>
        </is>
      </c>
      <c r="V627" s="5" t="inlineStr">
        <is>
          <t>data/raw/vivo_control_SP.html</t>
        </is>
      </c>
    </row>
    <row r="628">
      <c r="A628" s="2" t="inlineStr">
        <is>
          <t>2026-07-03</t>
        </is>
      </c>
      <c r="B628" s="2" t="inlineStr">
        <is>
          <t>2026-07-03T22:03:07</t>
        </is>
      </c>
      <c r="C628" s="2" t="inlineStr">
        <is>
          <t>vivo</t>
        </is>
      </c>
      <c r="D628" s="2" t="inlineStr">
        <is>
          <t>control</t>
        </is>
      </c>
      <c r="E628" s="2" t="inlineStr">
        <is>
          <t>SP</t>
        </is>
      </c>
      <c r="F628" s="2" t="inlineStr">
        <is>
          <t>Vivo Controle Segurança</t>
        </is>
      </c>
      <c r="G628" s="2" t="inlineStr">
        <is>
          <t>vivo:VIV202600029274-61gb</t>
        </is>
      </c>
      <c r="H628" s="3" t="n">
        <v>90</v>
      </c>
      <c r="I628" s="3" t="inlineStr"/>
      <c r="J628" s="2" t="inlineStr"/>
      <c r="K628" s="2" t="inlineStr"/>
      <c r="L628" s="4" t="n">
        <v>61</v>
      </c>
      <c r="M628" s="2" t="inlineStr">
        <is>
          <t>20 GB de franquia 31 GB de bônus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Incluso Proteção Rua e Seguro de Bens</t>
        </is>
      </c>
      <c r="U628" s="2" t="inlineStr">
        <is>
          <t>https://vivo.com.br/para-voce/produtos-e-servicos/para-o-celular/planos-controle</t>
        </is>
      </c>
      <c r="V628" s="2" t="inlineStr">
        <is>
          <t>data/raw/vivo_control_SP.html</t>
        </is>
      </c>
    </row>
    <row r="629">
      <c r="A629" s="5" t="inlineStr">
        <is>
          <t>2026-07-03</t>
        </is>
      </c>
      <c r="B629" s="5" t="inlineStr">
        <is>
          <t>2026-07-03T22:03:07</t>
        </is>
      </c>
      <c r="C629" s="5" t="inlineStr">
        <is>
          <t>vivo</t>
        </is>
      </c>
      <c r="D629" s="5" t="inlineStr">
        <is>
          <t>lite</t>
        </is>
      </c>
      <c r="E629" s="5" t="inlineStr">
        <is>
          <t>SP</t>
        </is>
      </c>
      <c r="F629" s="5" t="inlineStr">
        <is>
          <t>Easy Lite</t>
        </is>
      </c>
      <c r="G629" s="5" t="inlineStr">
        <is>
          <t>vivo:VIV202600032594-30gb</t>
        </is>
      </c>
      <c r="H629" s="6" t="n">
        <v>45</v>
      </c>
      <c r="I629" s="6" t="n">
        <v>30</v>
      </c>
      <c r="J629" s="5" t="inlineStr">
        <is>
          <t>preço sem fidelidade; fidelidade 12m no promo</t>
        </is>
      </c>
      <c r="K629" s="5" t="inlineStr"/>
      <c r="L629" s="7" t="n">
        <v>30</v>
      </c>
      <c r="M629" s="5" t="inlineStr">
        <is>
          <t>30 GB de franquia</t>
        </is>
      </c>
      <c r="N629" s="5" t="inlineStr"/>
      <c r="O629" s="5" t="inlineStr"/>
      <c r="P629" s="5" t="inlineStr"/>
      <c r="Q629" s="5" t="inlineStr"/>
      <c r="R629" s="5" t="inlineStr"/>
      <c r="S629" s="5" t="n">
        <v>12</v>
      </c>
      <c r="T629" s="5" t="inlineStr">
        <is>
          <t>2 meses de YouTube sem consumo no plano</t>
        </is>
      </c>
      <c r="U629" s="5" t="inlineStr">
        <is>
          <t>https://vivo.com.br/para-voce/produtos-e-servicos/para-o-celular/easy-lite</t>
        </is>
      </c>
      <c r="V629" s="5" t="inlineStr">
        <is>
          <t>data/raw/vivo_lite_SP.html</t>
        </is>
      </c>
    </row>
    <row r="630">
      <c r="A630" s="2" t="inlineStr">
        <is>
          <t>2026-07-03</t>
        </is>
      </c>
      <c r="B630" s="2" t="inlineStr">
        <is>
          <t>2026-07-03T22:03:07</t>
        </is>
      </c>
      <c r="C630" s="2" t="inlineStr">
        <is>
          <t>vivo</t>
        </is>
      </c>
      <c r="D630" s="2" t="inlineStr">
        <is>
          <t>lite</t>
        </is>
      </c>
      <c r="E630" s="2" t="inlineStr">
        <is>
          <t>SP</t>
        </is>
      </c>
      <c r="F630" s="2" t="inlineStr">
        <is>
          <t>Easy Lite</t>
        </is>
      </c>
      <c r="G630" s="2" t="inlineStr">
        <is>
          <t>vivo:VIV202600032596-40gb</t>
        </is>
      </c>
      <c r="H630" s="3" t="n">
        <v>55</v>
      </c>
      <c r="I630" s="3" t="n">
        <v>40</v>
      </c>
      <c r="J630" s="2" t="inlineStr">
        <is>
          <t>preço sem fidelidade; fidelidade 12m no promo</t>
        </is>
      </c>
      <c r="K630" s="2" t="inlineStr"/>
      <c r="L630" s="4" t="n">
        <v>40</v>
      </c>
      <c r="M630" s="2" t="inlineStr">
        <is>
          <t>40 GB de franquia</t>
        </is>
      </c>
      <c r="N630" s="2" t="inlineStr"/>
      <c r="O630" s="2" t="inlineStr"/>
      <c r="P630" s="2" t="inlineStr"/>
      <c r="Q630" s="2" t="inlineStr"/>
      <c r="R630" s="2" t="inlineStr"/>
      <c r="S630" s="2" t="n">
        <v>12</v>
      </c>
      <c r="T630" s="2" t="inlineStr">
        <is>
          <t>2 meses de YouTube sem consumo no plano</t>
        </is>
      </c>
      <c r="U630" s="2" t="inlineStr">
        <is>
          <t>https://vivo.com.br/para-voce/produtos-e-servicos/para-o-celular/easy-lite</t>
        </is>
      </c>
      <c r="V630" s="2" t="inlineStr">
        <is>
          <t>data/raw/vivo_lite_SP.html</t>
        </is>
      </c>
    </row>
    <row r="631">
      <c r="A631" s="5" t="inlineStr">
        <is>
          <t>2026-07-03</t>
        </is>
      </c>
      <c r="B631" s="5" t="inlineStr">
        <is>
          <t>2026-07-03T22:03:07</t>
        </is>
      </c>
      <c r="C631" s="5" t="inlineStr">
        <is>
          <t>vivo</t>
        </is>
      </c>
      <c r="D631" s="5" t="inlineStr">
        <is>
          <t>lite</t>
        </is>
      </c>
      <c r="E631" s="5" t="inlineStr">
        <is>
          <t>SP</t>
        </is>
      </c>
      <c r="F631" s="5" t="inlineStr">
        <is>
          <t>Easy Lite</t>
        </is>
      </c>
      <c r="G631" s="5" t="inlineStr">
        <is>
          <t>vivo:VIV202600032599-20gb</t>
        </is>
      </c>
      <c r="H631" s="6" t="n">
        <v>35</v>
      </c>
      <c r="I631" s="6" t="inlineStr"/>
      <c r="J631" s="5" t="inlineStr"/>
      <c r="K631" s="5" t="inlineStr"/>
      <c r="L631" s="7" t="n">
        <v>20</v>
      </c>
      <c r="M631" s="5" t="inlineStr">
        <is>
          <t>20 GB de franquia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>
        <is>
          <t>2 meses de YouTube sem consumo no plano</t>
        </is>
      </c>
      <c r="U631" s="5" t="inlineStr">
        <is>
          <t>https://vivo.com.br/para-voce/produtos-e-servicos/para-o-celular/easy-lite</t>
        </is>
      </c>
      <c r="V631" s="5" t="inlineStr">
        <is>
          <t>data/raw/vivo_lite_SP.html</t>
        </is>
      </c>
    </row>
    <row r="632">
      <c r="A632" s="2" t="inlineStr">
        <is>
          <t>2026-07-03</t>
        </is>
      </c>
      <c r="B632" s="2" t="inlineStr">
        <is>
          <t>2026-07-03T22:03:07</t>
        </is>
      </c>
      <c r="C632" s="2" t="inlineStr">
        <is>
          <t>vivo</t>
        </is>
      </c>
      <c r="D632" s="2" t="inlineStr">
        <is>
          <t>postpaid</t>
        </is>
      </c>
      <c r="E632" s="2" t="inlineStr">
        <is>
          <t>SP</t>
        </is>
      </c>
      <c r="F632" s="2" t="inlineStr">
        <is>
          <t>Vivo Pós com Amazon</t>
        </is>
      </c>
      <c r="G632" s="2" t="inlineStr">
        <is>
          <t>vivo:VIV202600029255-60gb</t>
        </is>
      </c>
      <c r="H632" s="3" t="n">
        <v>150</v>
      </c>
      <c r="I632" s="3" t="inlineStr"/>
      <c r="J632" s="2" t="inlineStr"/>
      <c r="K632" s="2" t="inlineStr"/>
      <c r="L632" s="4" t="n">
        <v>60</v>
      </c>
      <c r="M632" s="2" t="inlineStr">
        <is>
          <t>50 GB de franquia 10 GB de bônus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Assinatura Amazon Prime inclusa</t>
        </is>
      </c>
      <c r="U632" s="2" t="inlineStr">
        <is>
          <t>https://vivo.com.br/para-voce/produtos-e-servicos/para-o-celular/planos-pos-pago</t>
        </is>
      </c>
      <c r="V632" s="2" t="inlineStr">
        <is>
          <t>data/raw/vivo_postpaid_SP.html</t>
        </is>
      </c>
    </row>
    <row r="633">
      <c r="A633" s="5" t="inlineStr">
        <is>
          <t>2026-07-03</t>
        </is>
      </c>
      <c r="B633" s="5" t="inlineStr">
        <is>
          <t>2026-07-03T22:03:07</t>
        </is>
      </c>
      <c r="C633" s="5" t="inlineStr">
        <is>
          <t>vivo</t>
        </is>
      </c>
      <c r="D633" s="5" t="inlineStr">
        <is>
          <t>postpaid</t>
        </is>
      </c>
      <c r="E633" s="5" t="inlineStr">
        <is>
          <t>SP</t>
        </is>
      </c>
      <c r="F633" s="5" t="inlineStr">
        <is>
          <t>Vivo Pós com Disney+</t>
        </is>
      </c>
      <c r="G633" s="5" t="inlineStr">
        <is>
          <t>vivo:VIV202600022115-60gb</t>
        </is>
      </c>
      <c r="H633" s="6" t="n">
        <v>180</v>
      </c>
      <c r="I633" s="6" t="inlineStr"/>
      <c r="J633" s="5" t="inlineStr"/>
      <c r="K633" s="5" t="inlineStr"/>
      <c r="L633" s="7" t="n">
        <v>60</v>
      </c>
      <c r="M633" s="5" t="inlineStr">
        <is>
          <t>50 GB de franquia 10 GB de bônus</t>
        </is>
      </c>
      <c r="N633" s="5" t="inlineStr"/>
      <c r="O633" s="5" t="inlineStr"/>
      <c r="P633" s="5" t="inlineStr"/>
      <c r="Q633" s="5" t="inlineStr"/>
      <c r="R633" s="5" t="inlineStr">
        <is>
          <t>Disney+</t>
        </is>
      </c>
      <c r="S633" s="5" t="inlineStr"/>
      <c r="T633" s="5" t="inlineStr">
        <is>
          <t>Assinatura Disney+ Padrão inclusa</t>
        </is>
      </c>
      <c r="U633" s="5" t="inlineStr">
        <is>
          <t>https://vivo.com.br/para-voce/produtos-e-servicos/para-o-celular/planos-pos-pago</t>
        </is>
      </c>
      <c r="V633" s="5" t="inlineStr">
        <is>
          <t>data/raw/vivo_postpaid_SP.html</t>
        </is>
      </c>
    </row>
    <row r="634">
      <c r="A634" s="2" t="inlineStr">
        <is>
          <t>2026-07-03</t>
        </is>
      </c>
      <c r="B634" s="2" t="inlineStr">
        <is>
          <t>2026-07-03T22:03:07</t>
        </is>
      </c>
      <c r="C634" s="2" t="inlineStr">
        <is>
          <t>vivo</t>
        </is>
      </c>
      <c r="D634" s="2" t="inlineStr">
        <is>
          <t>postpaid</t>
        </is>
      </c>
      <c r="E634" s="2" t="inlineStr">
        <is>
          <t>SP</t>
        </is>
      </c>
      <c r="F634" s="2" t="inlineStr">
        <is>
          <t>Vivo Pós com Globoplay</t>
        </is>
      </c>
      <c r="G634" s="2" t="inlineStr">
        <is>
          <t>vivo:VIV202600029246-60gb</t>
        </is>
      </c>
      <c r="H634" s="3" t="n">
        <v>165</v>
      </c>
      <c r="I634" s="3" t="inlineStr"/>
      <c r="J634" s="2" t="inlineStr"/>
      <c r="K634" s="2" t="inlineStr"/>
      <c r="L634" s="4" t="n">
        <v>60</v>
      </c>
      <c r="M634" s="2" t="inlineStr">
        <is>
          <t>50 GB de franquia 10 GB de bônus</t>
        </is>
      </c>
      <c r="N634" s="2" t="inlineStr"/>
      <c r="O634" s="2" t="inlineStr"/>
      <c r="P634" s="2" t="inlineStr"/>
      <c r="Q634" s="2" t="inlineStr"/>
      <c r="R634" s="2" t="inlineStr">
        <is>
          <t>Globoplay</t>
        </is>
      </c>
      <c r="S634" s="2" t="inlineStr"/>
      <c r="T634" s="2" t="inlineStr">
        <is>
          <t>Assinatura Globoplay inclusa</t>
        </is>
      </c>
      <c r="U634" s="2" t="inlineStr">
        <is>
          <t>https://vivo.com.br/para-voce/produtos-e-servicos/para-o-celular/planos-pos-pago</t>
        </is>
      </c>
      <c r="V634" s="2" t="inlineStr">
        <is>
          <t>data/raw/vivo_postpaid_SP.html</t>
        </is>
      </c>
    </row>
    <row r="635">
      <c r="A635" s="5" t="inlineStr">
        <is>
          <t>2026-07-03</t>
        </is>
      </c>
      <c r="B635" s="5" t="inlineStr">
        <is>
          <t>2026-07-03T22:03:07</t>
        </is>
      </c>
      <c r="C635" s="5" t="inlineStr">
        <is>
          <t>vivo</t>
        </is>
      </c>
      <c r="D635" s="5" t="inlineStr">
        <is>
          <t>postpaid</t>
        </is>
      </c>
      <c r="E635" s="5" t="inlineStr">
        <is>
          <t>SP</t>
        </is>
      </c>
      <c r="F635" s="5" t="inlineStr">
        <is>
          <t>Vivo Pós com Netflix</t>
        </is>
      </c>
      <c r="G635" s="5" t="inlineStr">
        <is>
          <t>vivo:VIV202600029234-60gb</t>
        </is>
      </c>
      <c r="H635" s="6" t="n">
        <v>180</v>
      </c>
      <c r="I635" s="6" t="inlineStr"/>
      <c r="J635" s="5" t="inlineStr"/>
      <c r="K635" s="5" t="inlineStr"/>
      <c r="L635" s="7" t="n">
        <v>60</v>
      </c>
      <c r="M635" s="5" t="inlineStr">
        <is>
          <t>50 GB de franquia 10 GB de bônus</t>
        </is>
      </c>
      <c r="N635" s="5" t="inlineStr"/>
      <c r="O635" s="5" t="inlineStr"/>
      <c r="P635" s="5" t="inlineStr"/>
      <c r="Q635" s="5" t="inlineStr"/>
      <c r="R635" s="5" t="inlineStr">
        <is>
          <t>Netflix</t>
        </is>
      </c>
      <c r="S635" s="5" t="inlineStr"/>
      <c r="T635" s="5" t="inlineStr">
        <is>
          <t>Assinatura Netflix Padrão inclusa</t>
        </is>
      </c>
      <c r="U635" s="5" t="inlineStr">
        <is>
          <t>https://vivo.com.br/para-voce/produtos-e-servicos/para-o-celular/planos-pos-pago</t>
        </is>
      </c>
      <c r="V635" s="5" t="inlineStr">
        <is>
          <t>data/raw/vivo_postpaid_SP.html</t>
        </is>
      </c>
    </row>
    <row r="636">
      <c r="A636" s="2" t="inlineStr">
        <is>
          <t>2026-07-03</t>
        </is>
      </c>
      <c r="B636" s="2" t="inlineStr">
        <is>
          <t>2026-07-03T22:03:07</t>
        </is>
      </c>
      <c r="C636" s="2" t="inlineStr">
        <is>
          <t>vivo</t>
        </is>
      </c>
      <c r="D636" s="2" t="inlineStr">
        <is>
          <t>postpaid</t>
        </is>
      </c>
      <c r="E636" s="2" t="inlineStr">
        <is>
          <t>SP</t>
        </is>
      </c>
      <c r="F636" s="2" t="inlineStr">
        <is>
          <t>Vivo Pós com Premiere</t>
        </is>
      </c>
      <c r="G636" s="2" t="inlineStr">
        <is>
          <t>vivo:VIV202600029249-60gb</t>
        </is>
      </c>
      <c r="H636" s="3" t="n">
        <v>180</v>
      </c>
      <c r="I636" s="3" t="inlineStr"/>
      <c r="J636" s="2" t="inlineStr"/>
      <c r="K636" s="2" t="inlineStr"/>
      <c r="L636" s="4" t="n">
        <v>60</v>
      </c>
      <c r="M636" s="2" t="inlineStr">
        <is>
          <t>50 GB de franquia 10 GB de bônus</t>
        </is>
      </c>
      <c r="N636" s="2" t="inlineStr"/>
      <c r="O636" s="2" t="inlineStr"/>
      <c r="P636" s="2" t="inlineStr"/>
      <c r="Q636" s="2" t="inlineStr"/>
      <c r="R636" s="2" t="inlineStr">
        <is>
          <t>Premiere</t>
        </is>
      </c>
      <c r="S636" s="2" t="inlineStr"/>
      <c r="T636" s="2" t="inlineStr">
        <is>
          <t>Assinatura Premiere inclusa</t>
        </is>
      </c>
      <c r="U636" s="2" t="inlineStr">
        <is>
          <t>https://vivo.com.br/para-voce/produtos-e-servicos/para-o-celular/planos-pos-pago</t>
        </is>
      </c>
      <c r="V636" s="2" t="inlineStr">
        <is>
          <t>data/raw/vivo_postpaid_SP.html</t>
        </is>
      </c>
    </row>
    <row r="637">
      <c r="A637" s="5" t="inlineStr">
        <is>
          <t>2026-07-03</t>
        </is>
      </c>
      <c r="B637" s="5" t="inlineStr">
        <is>
          <t>2026-07-03T22:03:07</t>
        </is>
      </c>
      <c r="C637" s="5" t="inlineStr">
        <is>
          <t>vivo</t>
        </is>
      </c>
      <c r="D637" s="5" t="inlineStr">
        <is>
          <t>postpaid</t>
        </is>
      </c>
      <c r="E637" s="5" t="inlineStr">
        <is>
          <t>SP</t>
        </is>
      </c>
      <c r="F637" s="5" t="inlineStr">
        <is>
          <t>Vivo Pós com Spotify</t>
        </is>
      </c>
      <c r="G637" s="5" t="inlineStr">
        <is>
          <t>vivo:VIV202600029229-60gb</t>
        </is>
      </c>
      <c r="H637" s="6" t="n">
        <v>165</v>
      </c>
      <c r="I637" s="6" t="inlineStr"/>
      <c r="J637" s="5" t="inlineStr"/>
      <c r="K637" s="5" t="inlineStr"/>
      <c r="L637" s="7" t="n">
        <v>60</v>
      </c>
      <c r="M637" s="5" t="inlineStr">
        <is>
          <t>50 GB de franquia 10 GB de bônus</t>
        </is>
      </c>
      <c r="N637" s="5" t="inlineStr"/>
      <c r="O637" s="5" t="inlineStr"/>
      <c r="P637" s="5" t="inlineStr"/>
      <c r="Q637" s="5" t="inlineStr"/>
      <c r="R637" s="5" t="inlineStr">
        <is>
          <t>Spotify</t>
        </is>
      </c>
      <c r="S637" s="5" t="inlineStr"/>
      <c r="T637" s="5" t="inlineStr">
        <is>
          <t>Assinatura Spotify Premium inclusa</t>
        </is>
      </c>
      <c r="U637" s="5" t="inlineStr">
        <is>
          <t>https://vivo.com.br/para-voce/produtos-e-servicos/para-o-celular/planos-pos-pago</t>
        </is>
      </c>
      <c r="V637" s="5" t="inlineStr">
        <is>
          <t>data/raw/vivo_postpaid_SP.html</t>
        </is>
      </c>
    </row>
    <row r="638">
      <c r="A638" s="2" t="inlineStr">
        <is>
          <t>2026-07-03</t>
        </is>
      </c>
      <c r="B638" s="2" t="inlineStr">
        <is>
          <t>2026-07-03T22:03:07</t>
        </is>
      </c>
      <c r="C638" s="2" t="inlineStr">
        <is>
          <t>vivo</t>
        </is>
      </c>
      <c r="D638" s="2" t="inlineStr">
        <is>
          <t>postpaid</t>
        </is>
      </c>
      <c r="E638" s="2" t="inlineStr">
        <is>
          <t>SP</t>
        </is>
      </c>
      <c r="F638" s="2" t="inlineStr">
        <is>
          <t>Vivo Pós com Travel</t>
        </is>
      </c>
      <c r="G638" s="2" t="inlineStr">
        <is>
          <t>vivo:VIV202600029244-70gb</t>
        </is>
      </c>
      <c r="H638" s="3" t="n">
        <v>215</v>
      </c>
      <c r="I638" s="3" t="inlineStr"/>
      <c r="J638" s="2" t="inlineStr"/>
      <c r="K638" s="2" t="inlineStr"/>
      <c r="L638" s="4" t="n">
        <v>70</v>
      </c>
      <c r="M638" s="2" t="inlineStr">
        <is>
          <t>60 GB de franquia 10 GB de bônus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2 meses de YouTube sem consumo no plano</t>
        </is>
      </c>
      <c r="U638" s="2" t="inlineStr">
        <is>
          <t>https://vivo.com.br/para-voce/produtos-e-servicos/para-o-celular/planos-pos-pago</t>
        </is>
      </c>
      <c r="V638" s="2" t="inlineStr">
        <is>
          <t>data/raw/vivo_postpaid_SP.html</t>
        </is>
      </c>
    </row>
    <row r="639">
      <c r="A639" s="5" t="inlineStr">
        <is>
          <t>2026-07-03</t>
        </is>
      </c>
      <c r="B639" s="5" t="inlineStr">
        <is>
          <t>2026-07-03T22:03:07</t>
        </is>
      </c>
      <c r="C639" s="5" t="inlineStr">
        <is>
          <t>vivo</t>
        </is>
      </c>
      <c r="D639" s="5" t="inlineStr">
        <is>
          <t>prepaid</t>
        </is>
      </c>
      <c r="E639" s="5" t="inlineStr">
        <is>
          <t>SP</t>
        </is>
      </c>
      <c r="F639" s="5" t="inlineStr">
        <is>
          <t>Vivo Pré</t>
        </is>
      </c>
      <c r="G639" s="5" t="inlineStr">
        <is>
          <t>vivo:VIV202600029370-25gb</t>
        </is>
      </c>
      <c r="H639" s="6" t="n">
        <v>30</v>
      </c>
      <c r="I639" s="6" t="inlineStr"/>
      <c r="J639" s="5" t="inlineStr"/>
      <c r="K639" s="5" t="inlineStr"/>
      <c r="L639" s="7" t="n">
        <v>25</v>
      </c>
      <c r="M639" s="5" t="inlineStr">
        <is>
          <t>15 GB para navegar como quiser 5 GB de bônus 5 GB para navegar no Youtube</t>
        </is>
      </c>
      <c r="N639" s="5" t="n">
        <v>30</v>
      </c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https://vivo.com.br/para-voce/produtos-e-servicos/para-o-celular/pre-pago/vivo-pre</t>
        </is>
      </c>
      <c r="V639" s="5" t="inlineStr">
        <is>
          <t>data/raw/vivo_prepaid_SP.html</t>
        </is>
      </c>
    </row>
    <row r="640">
      <c r="A640" s="2" t="inlineStr">
        <is>
          <t>2026-07-03</t>
        </is>
      </c>
      <c r="B640" s="2" t="inlineStr">
        <is>
          <t>2026-07-03T22:03:07</t>
        </is>
      </c>
      <c r="C640" s="2" t="inlineStr">
        <is>
          <t>vivo</t>
        </is>
      </c>
      <c r="D640" s="2" t="inlineStr">
        <is>
          <t>prepaid</t>
        </is>
      </c>
      <c r="E640" s="2" t="inlineStr">
        <is>
          <t>SP</t>
        </is>
      </c>
      <c r="F640" s="2" t="inlineStr">
        <is>
          <t>Vivo Pré</t>
        </is>
      </c>
      <c r="G640" s="2" t="inlineStr">
        <is>
          <t>vivo:VIV202600029370-9gb</t>
        </is>
      </c>
      <c r="H640" s="3" t="n">
        <v>25</v>
      </c>
      <c r="I640" s="3" t="inlineStr"/>
      <c r="J640" s="2" t="inlineStr"/>
      <c r="K640" s="2" t="inlineStr"/>
      <c r="L640" s="4" t="n">
        <v>9</v>
      </c>
      <c r="M640" s="2" t="inlineStr">
        <is>
          <t>6 GB para navegar como quiser 3 GB para navegar no YouTube</t>
        </is>
      </c>
      <c r="N640" s="2" t="n">
        <v>22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https://vivo.com.br/para-voce/produtos-e-servicos/para-o-celular/pre-pago/vivo-pre</t>
        </is>
      </c>
      <c r="V640" s="2" t="inlineStr">
        <is>
          <t>data/raw/vivo_prepaid_SP.html</t>
        </is>
      </c>
    </row>
    <row r="641">
      <c r="A641" s="5" t="inlineStr">
        <is>
          <t>2026-07-03</t>
        </is>
      </c>
      <c r="B641" s="5" t="inlineStr">
        <is>
          <t>2026-07-03T22:03:07</t>
        </is>
      </c>
      <c r="C641" s="5" t="inlineStr">
        <is>
          <t>vivo</t>
        </is>
      </c>
      <c r="D641" s="5" t="inlineStr">
        <is>
          <t>prepaid</t>
        </is>
      </c>
      <c r="E641" s="5" t="inlineStr">
        <is>
          <t>SP</t>
        </is>
      </c>
      <c r="F641" s="5" t="inlineStr">
        <is>
          <t>Vivo Pré</t>
        </is>
      </c>
      <c r="G641" s="5" t="inlineStr">
        <is>
          <t>vivo:VIV202600029370-5gb</t>
        </is>
      </c>
      <c r="H641" s="6" t="n">
        <v>20</v>
      </c>
      <c r="I641" s="6" t="inlineStr"/>
      <c r="J641" s="5" t="inlineStr"/>
      <c r="K641" s="5" t="inlineStr"/>
      <c r="L641" s="7" t="n">
        <v>5</v>
      </c>
      <c r="M641" s="5" t="inlineStr">
        <is>
          <t>5 GB para navegar como quiser</t>
        </is>
      </c>
      <c r="N641" s="5" t="n">
        <v>17</v>
      </c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https://vivo.com.br/para-voce/produtos-e-servicos/para-o-celular/pre-pago/vivo-pre</t>
        </is>
      </c>
      <c r="V641" s="5" t="inlineStr">
        <is>
          <t>data/raw/vivo_prepaid_SP.html</t>
        </is>
      </c>
    </row>
    <row r="642">
      <c r="A642" s="2" t="inlineStr">
        <is>
          <t>2026-07-03</t>
        </is>
      </c>
      <c r="B642" s="2" t="inlineStr">
        <is>
          <t>2026-07-03T22:03:07</t>
        </is>
      </c>
      <c r="C642" s="2" t="inlineStr">
        <is>
          <t>vivo</t>
        </is>
      </c>
      <c r="D642" s="2" t="inlineStr">
        <is>
          <t>prepaid</t>
        </is>
      </c>
      <c r="E642" s="2" t="inlineStr">
        <is>
          <t>SP</t>
        </is>
      </c>
      <c r="F642" s="2" t="inlineStr">
        <is>
          <t>Vivo Pré</t>
        </is>
      </c>
      <c r="G642" s="2" t="inlineStr">
        <is>
          <t>vivo:VIV202600029370-4gb</t>
        </is>
      </c>
      <c r="H642" s="3" t="n">
        <v>17</v>
      </c>
      <c r="I642" s="3" t="inlineStr"/>
      <c r="J642" s="2" t="inlineStr"/>
      <c r="K642" s="2" t="inlineStr"/>
      <c r="L642" s="4" t="n">
        <v>4</v>
      </c>
      <c r="M642" s="2" t="inlineStr">
        <is>
          <t>4 GB para navegar como quiser</t>
        </is>
      </c>
      <c r="N642" s="2" t="n">
        <v>15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https://vivo.com.br/para-voce/produtos-e-servicos/para-o-celular/pre-pago/vivo-pre</t>
        </is>
      </c>
      <c r="V642" s="2" t="inlineStr">
        <is>
          <t>data/raw/vivo_prepaid_SP.html</t>
        </is>
      </c>
    </row>
    <row r="643">
      <c r="A643" s="5" t="inlineStr">
        <is>
          <t>2026-07-04</t>
        </is>
      </c>
      <c r="B643" s="5" t="inlineStr">
        <is>
          <t>2026-07-04T21:56:26</t>
        </is>
      </c>
      <c r="C643" s="5" t="inlineStr">
        <is>
          <t>claro</t>
        </is>
      </c>
      <c r="D643" s="5" t="inlineStr">
        <is>
          <t>control</t>
        </is>
      </c>
      <c r="E643" s="5" t="inlineStr">
        <is>
          <t>SP</t>
        </is>
      </c>
      <c r="F643" s="5" t="inlineStr">
        <is>
          <t>Controle 25GB</t>
        </is>
      </c>
      <c r="G643" s="5" t="inlineStr">
        <is>
          <t>claro:plano-controle-25gb</t>
        </is>
      </c>
      <c r="H643" s="6" t="n">
        <v>59.9</v>
      </c>
      <c r="I643" s="6" t="n">
        <v>54.9</v>
      </c>
      <c r="J643" s="5" t="inlineStr">
        <is>
          <t>De R$ 59,90 Por:</t>
        </is>
      </c>
      <c r="K643" s="5" t="inlineStr"/>
      <c r="L643" s="7" t="n">
        <v>25</v>
      </c>
      <c r="M643" s="5" t="inlineStr"/>
      <c r="N643" s="5" t="inlineStr"/>
      <c r="O643" s="5" t="inlineStr">
        <is>
          <t>WhatsApp</t>
        </is>
      </c>
      <c r="P643" s="5" t="inlineStr"/>
      <c r="Q643" s="5" t="inlineStr"/>
      <c r="R643" s="5" t="inlineStr"/>
      <c r="S643" s="5" t="inlineStr"/>
      <c r="T643" s="5" t="inlineStr">
        <is>
          <t>Para uso livre; Para redes sociais e vídeos; Bônus exclusivo; Aproveite na sua franquia; WhatsApp e ligações ilimitadas</t>
        </is>
      </c>
      <c r="U643" s="5" t="inlineStr">
        <is>
          <t>https://www.claro.com.br/celular/controle</t>
        </is>
      </c>
      <c r="V643" s="5" t="inlineStr">
        <is>
          <t>data/raw/claro_control_SP.json</t>
        </is>
      </c>
    </row>
    <row r="644">
      <c r="A644" s="2" t="inlineStr">
        <is>
          <t>2026-07-04</t>
        </is>
      </c>
      <c r="B644" s="2" t="inlineStr">
        <is>
          <t>2026-07-04T21:56:26</t>
        </is>
      </c>
      <c r="C644" s="2" t="inlineStr">
        <is>
          <t>claro</t>
        </is>
      </c>
      <c r="D644" s="2" t="inlineStr">
        <is>
          <t>control</t>
        </is>
      </c>
      <c r="E644" s="2" t="inlineStr">
        <is>
          <t>SP</t>
        </is>
      </c>
      <c r="F644" s="2" t="inlineStr">
        <is>
          <t>Controle 30GB</t>
        </is>
      </c>
      <c r="G644" s="2" t="inlineStr">
        <is>
          <t>claro:plano-controle-30gb</t>
        </is>
      </c>
      <c r="H644" s="3" t="n">
        <v>69.90000000000001</v>
      </c>
      <c r="I644" s="3" t="inlineStr"/>
      <c r="J644" s="2" t="inlineStr"/>
      <c r="K644" s="2" t="inlineStr"/>
      <c r="L644" s="4" t="n">
        <v>30</v>
      </c>
      <c r="M644" s="2" t="inlineStr"/>
      <c r="N644" s="2" t="inlineStr"/>
      <c r="O644" s="2" t="inlineStr">
        <is>
          <t>WhatsApp</t>
        </is>
      </c>
      <c r="P644" s="2" t="inlineStr"/>
      <c r="Q644" s="2" t="inlineStr"/>
      <c r="R644" s="2" t="inlineStr"/>
      <c r="S644" s="2" t="inlineStr"/>
      <c r="T644" s="2" t="inlineStr">
        <is>
          <t>Para uso livre; Bônus do Hexa para uso livre; Bônus para redes sociais e apps; Redes sociais e apps; WhatsApp ilimitado</t>
        </is>
      </c>
      <c r="U644" s="2" t="inlineStr">
        <is>
          <t>https://www.claro.com.br/celular/controle</t>
        </is>
      </c>
      <c r="V644" s="2" t="inlineStr">
        <is>
          <t>data/raw/claro_control_SP.json</t>
        </is>
      </c>
    </row>
    <row r="645">
      <c r="A645" s="5" t="inlineStr">
        <is>
          <t>2026-07-04</t>
        </is>
      </c>
      <c r="B645" s="5" t="inlineStr">
        <is>
          <t>2026-07-04T21:56:26</t>
        </is>
      </c>
      <c r="C645" s="5" t="inlineStr">
        <is>
          <t>claro</t>
        </is>
      </c>
      <c r="D645" s="5" t="inlineStr">
        <is>
          <t>control</t>
        </is>
      </c>
      <c r="E645" s="5" t="inlineStr">
        <is>
          <t>SP</t>
        </is>
      </c>
      <c r="F645" s="5" t="inlineStr">
        <is>
          <t>Controle 30GB</t>
        </is>
      </c>
      <c r="G645" s="5" t="inlineStr">
        <is>
          <t>claro:plano-controle-30gb-gaming</t>
        </is>
      </c>
      <c r="H645" s="6" t="n">
        <v>99.90000000000001</v>
      </c>
      <c r="I645" s="6" t="inlineStr"/>
      <c r="J645" s="5" t="inlineStr"/>
      <c r="K645" s="5" t="inlineStr"/>
      <c r="L645" s="7" t="n">
        <v>30</v>
      </c>
      <c r="M645" s="5" t="inlineStr"/>
      <c r="N645" s="5" t="inlineStr"/>
      <c r="O645" s="5" t="inlineStr">
        <is>
          <t>WhatsApp</t>
        </is>
      </c>
      <c r="P645" s="5" t="inlineStr"/>
      <c r="Q645" s="5" t="inlineStr"/>
      <c r="R645" s="5" t="inlineStr"/>
      <c r="S645" s="5" t="inlineStr"/>
      <c r="T645" s="5" t="inlineStr">
        <is>
          <t>Para uso livre; Bônus para redes sociais e apps; Bônus uso livre; Redes sociais e apps; WhatsApp ilimitado</t>
        </is>
      </c>
      <c r="U645" s="5" t="inlineStr">
        <is>
          <t>https://www.claro.com.br/celular/controle</t>
        </is>
      </c>
      <c r="V645" s="5" t="inlineStr">
        <is>
          <t>data/raw/claro_control_SP.json</t>
        </is>
      </c>
    </row>
    <row r="646">
      <c r="A646" s="2" t="inlineStr">
        <is>
          <t>2026-07-04</t>
        </is>
      </c>
      <c r="B646" s="2" t="inlineStr">
        <is>
          <t>2026-07-04T21:56:26</t>
        </is>
      </c>
      <c r="C646" s="2" t="inlineStr">
        <is>
          <t>claro</t>
        </is>
      </c>
      <c r="D646" s="2" t="inlineStr">
        <is>
          <t>flex</t>
        </is>
      </c>
      <c r="E646" s="2" t="inlineStr">
        <is>
          <t>SP</t>
        </is>
      </c>
      <c r="F646" s="2" t="inlineStr">
        <is>
          <t>Flex 15GB</t>
        </is>
      </c>
      <c r="G646" s="2" t="inlineStr">
        <is>
          <t>claro:plano-flex-15gb</t>
        </is>
      </c>
      <c r="H646" s="3" t="n">
        <v>44.9</v>
      </c>
      <c r="I646" s="3" t="inlineStr"/>
      <c r="J646" s="2" t="inlineStr"/>
      <c r="K646" s="2" t="inlineStr"/>
      <c r="L646" s="4" t="n">
        <v>15</v>
      </c>
      <c r="M646" s="2" t="inlineStr"/>
      <c r="N646" s="2" t="inlineStr"/>
      <c r="O646" s="2" t="inlineStr">
        <is>
          <t>WhatsApp</t>
        </is>
      </c>
      <c r="P646" s="2" t="inlineStr"/>
      <c r="Q646" s="2" t="inlineStr"/>
      <c r="R646" s="2" t="inlineStr"/>
      <c r="S646" s="2" t="inlineStr"/>
      <c r="T646" s="2" t="inlineStr">
        <is>
          <t>Para uso livre; Bônus do Hexa para uso livre; Para redes sociais e apps; Bônus extra nos apps; WhatsApp ilimitado</t>
        </is>
      </c>
      <c r="U646" s="2" t="inlineStr">
        <is>
          <t>https://www.claro.com.br/celular/flex</t>
        </is>
      </c>
      <c r="V646" s="2" t="inlineStr">
        <is>
          <t>data/raw/claro_flex_SP.json</t>
        </is>
      </c>
    </row>
    <row r="647">
      <c r="A647" s="5" t="inlineStr">
        <is>
          <t>2026-07-04</t>
        </is>
      </c>
      <c r="B647" s="5" t="inlineStr">
        <is>
          <t>2026-07-04T21:56:26</t>
        </is>
      </c>
      <c r="C647" s="5" t="inlineStr">
        <is>
          <t>claro</t>
        </is>
      </c>
      <c r="D647" s="5" t="inlineStr">
        <is>
          <t>flex</t>
        </is>
      </c>
      <c r="E647" s="5" t="inlineStr">
        <is>
          <t>SP</t>
        </is>
      </c>
      <c r="F647" s="5" t="inlineStr">
        <is>
          <t>Flex 20GB</t>
        </is>
      </c>
      <c r="G647" s="5" t="inlineStr">
        <is>
          <t>claro:plano-flex-20gb</t>
        </is>
      </c>
      <c r="H647" s="6" t="n">
        <v>59.9</v>
      </c>
      <c r="I647" s="6" t="inlineStr"/>
      <c r="J647" s="5" t="inlineStr"/>
      <c r="K647" s="5" t="inlineStr"/>
      <c r="L647" s="7" t="n">
        <v>20</v>
      </c>
      <c r="M647" s="5" t="inlineStr"/>
      <c r="N647" s="5" t="inlineStr"/>
      <c r="O647" s="5" t="inlineStr">
        <is>
          <t>WhatsApp</t>
        </is>
      </c>
      <c r="P647" s="5" t="inlineStr"/>
      <c r="Q647" s="5" t="inlineStr"/>
      <c r="R647" s="5" t="inlineStr"/>
      <c r="S647" s="5" t="inlineStr"/>
      <c r="T647" s="5" t="inlineStr">
        <is>
          <t>Para uso livre; Bônus do Hexa para uso livre; Para redes sociais e apps; Bônus extra nos apps; WhatsApp ilimitado</t>
        </is>
      </c>
      <c r="U647" s="5" t="inlineStr">
        <is>
          <t>https://www.claro.com.br/celular/flex</t>
        </is>
      </c>
      <c r="V647" s="5" t="inlineStr">
        <is>
          <t>data/raw/claro_flex_SP.json</t>
        </is>
      </c>
    </row>
    <row r="648">
      <c r="A648" s="2" t="inlineStr">
        <is>
          <t>2026-07-04</t>
        </is>
      </c>
      <c r="B648" s="2" t="inlineStr">
        <is>
          <t>2026-07-04T21:56:26</t>
        </is>
      </c>
      <c r="C648" s="2" t="inlineStr">
        <is>
          <t>claro</t>
        </is>
      </c>
      <c r="D648" s="2" t="inlineStr">
        <is>
          <t>flex</t>
        </is>
      </c>
      <c r="E648" s="2" t="inlineStr">
        <is>
          <t>SP</t>
        </is>
      </c>
      <c r="F648" s="2" t="inlineStr">
        <is>
          <t>Flex 30GB</t>
        </is>
      </c>
      <c r="G648" s="2" t="inlineStr">
        <is>
          <t>claro:plano-flex-30gb</t>
        </is>
      </c>
      <c r="H648" s="3" t="n">
        <v>69.90000000000001</v>
      </c>
      <c r="I648" s="3" t="inlineStr"/>
      <c r="J648" s="2" t="inlineStr"/>
      <c r="K648" s="2" t="inlineStr"/>
      <c r="L648" s="4" t="n">
        <v>30</v>
      </c>
      <c r="M648" s="2" t="inlineStr"/>
      <c r="N648" s="2" t="inlineStr"/>
      <c r="O648" s="2" t="inlineStr">
        <is>
          <t>WhatsApp</t>
        </is>
      </c>
      <c r="P648" s="2" t="inlineStr"/>
      <c r="Q648" s="2" t="inlineStr"/>
      <c r="R648" s="2" t="inlineStr"/>
      <c r="S648" s="2" t="inlineStr"/>
      <c r="T648" s="2" t="inlineStr">
        <is>
          <t>Para uso livre; Bônus do Hexa para uso livre; Para redes sociais e apps; Bônus extra nos apps; WhatsApp ilimitado; Assinatura Claro musica inclusa</t>
        </is>
      </c>
      <c r="U648" s="2" t="inlineStr">
        <is>
          <t>https://www.claro.com.br/celular/flex</t>
        </is>
      </c>
      <c r="V648" s="2" t="inlineStr">
        <is>
          <t>data/raw/claro_flex_SP.json</t>
        </is>
      </c>
    </row>
    <row r="649">
      <c r="A649" s="5" t="inlineStr">
        <is>
          <t>2026-07-04</t>
        </is>
      </c>
      <c r="B649" s="5" t="inlineStr">
        <is>
          <t>2026-07-04T21:56:26</t>
        </is>
      </c>
      <c r="C649" s="5" t="inlineStr">
        <is>
          <t>claro</t>
        </is>
      </c>
      <c r="D649" s="5" t="inlineStr">
        <is>
          <t>flex</t>
        </is>
      </c>
      <c r="E649" s="5" t="inlineStr">
        <is>
          <t>SP</t>
        </is>
      </c>
      <c r="F649" s="5" t="inlineStr">
        <is>
          <t>Flex 40GB</t>
        </is>
      </c>
      <c r="G649" s="5" t="inlineStr">
        <is>
          <t>claro:plano-flex-40gb</t>
        </is>
      </c>
      <c r="H649" s="6" t="n">
        <v>119.9</v>
      </c>
      <c r="I649" s="6" t="inlineStr"/>
      <c r="J649" s="5" t="inlineStr"/>
      <c r="K649" s="5" t="inlineStr"/>
      <c r="L649" s="7" t="n">
        <v>40</v>
      </c>
      <c r="M649" s="5" t="inlineStr"/>
      <c r="N649" s="5" t="inlineStr"/>
      <c r="O649" s="5" t="inlineStr">
        <is>
          <t>WhatsApp</t>
        </is>
      </c>
      <c r="P649" s="5" t="inlineStr"/>
      <c r="Q649" s="5" t="inlineStr"/>
      <c r="R649" s="5" t="inlineStr"/>
      <c r="S649" s="5" t="inlineStr"/>
      <c r="T649" s="5" t="inlineStr">
        <is>
          <t>Para uso livre; Para redes sociais e apps; Bônus uso livre; Bônus extra nos apps; WhatsApp ilimitado; Assinatura Claro musica inclusa</t>
        </is>
      </c>
      <c r="U649" s="5" t="inlineStr">
        <is>
          <t>https://www.claro.com.br/celular/flex</t>
        </is>
      </c>
      <c r="V649" s="5" t="inlineStr">
        <is>
          <t>data/raw/claro_flex_SP.json</t>
        </is>
      </c>
    </row>
    <row r="650">
      <c r="A650" s="2" t="inlineStr">
        <is>
          <t>2026-07-04</t>
        </is>
      </c>
      <c r="B650" s="2" t="inlineStr">
        <is>
          <t>2026-07-04T21:56:26</t>
        </is>
      </c>
      <c r="C650" s="2" t="inlineStr">
        <is>
          <t>claro</t>
        </is>
      </c>
      <c r="D650" s="2" t="inlineStr">
        <is>
          <t>postpaid</t>
        </is>
      </c>
      <c r="E650" s="2" t="inlineStr">
        <is>
          <t>SP</t>
        </is>
      </c>
      <c r="F650" s="2" t="inlineStr">
        <is>
          <t>Pós 100GB</t>
        </is>
      </c>
      <c r="G650" s="2" t="inlineStr">
        <is>
          <t>claro:plano-pos-100gb</t>
        </is>
      </c>
      <c r="H650" s="3" t="n">
        <v>179.9</v>
      </c>
      <c r="I650" s="3" t="inlineStr"/>
      <c r="J650" s="2" t="inlineStr"/>
      <c r="K650" s="2" t="inlineStr"/>
      <c r="L650" s="4" t="n">
        <v>100</v>
      </c>
      <c r="M650" s="2" t="inlineStr"/>
      <c r="N650" s="2" t="inlineStr"/>
      <c r="O650" s="2" t="inlineStr">
        <is>
          <t>WhatsApp</t>
        </is>
      </c>
      <c r="P650" s="2" t="inlineStr"/>
      <c r="Q650" s="2" t="inlineStr"/>
      <c r="R650" s="2" t="inlineStr"/>
      <c r="S650" s="2" t="inlineStr"/>
      <c r="T650" s="2" t="inlineStr">
        <is>
          <t>Armazenamento na nuvem:; Google One ou iCloud+; WhatsApp ilimitado; Roaming: Passaporte Américas; Claro Sync: Smartwatch conectado</t>
        </is>
      </c>
      <c r="U650" s="2" t="inlineStr">
        <is>
          <t>https://www.claro.com.br/celular/pos</t>
        </is>
      </c>
      <c r="V650" s="2" t="inlineStr">
        <is>
          <t>data/raw/claro_postpaid_SP.json</t>
        </is>
      </c>
    </row>
    <row r="651">
      <c r="A651" s="5" t="inlineStr">
        <is>
          <t>2026-07-04</t>
        </is>
      </c>
      <c r="B651" s="5" t="inlineStr">
        <is>
          <t>2026-07-04T21:56:26</t>
        </is>
      </c>
      <c r="C651" s="5" t="inlineStr">
        <is>
          <t>claro</t>
        </is>
      </c>
      <c r="D651" s="5" t="inlineStr">
        <is>
          <t>postpaid</t>
        </is>
      </c>
      <c r="E651" s="5" t="inlineStr">
        <is>
          <t>SP</t>
        </is>
      </c>
      <c r="F651" s="5" t="inlineStr">
        <is>
          <t>Pós 150GB</t>
        </is>
      </c>
      <c r="G651" s="5" t="inlineStr">
        <is>
          <t>claro:plano-pos-150gb</t>
        </is>
      </c>
      <c r="H651" s="6" t="n">
        <v>239.9</v>
      </c>
      <c r="I651" s="6" t="inlineStr"/>
      <c r="J651" s="5" t="inlineStr"/>
      <c r="K651" s="5" t="inlineStr"/>
      <c r="L651" s="7" t="n">
        <v>150</v>
      </c>
      <c r="M651" s="5" t="inlineStr"/>
      <c r="N651" s="5" t="inlineStr"/>
      <c r="O651" s="5" t="inlineStr">
        <is>
          <t>WhatsApp</t>
        </is>
      </c>
      <c r="P651" s="5" t="inlineStr"/>
      <c r="Q651" s="5" t="inlineStr"/>
      <c r="R651" s="5" t="inlineStr"/>
      <c r="S651" s="5" t="inlineStr"/>
      <c r="T651" s="5" t="inlineStr">
        <is>
          <t>Armazenamento na nuvem:; Google One ou iCloud+; WhatsApp ilimitado; Roaming: Passaporte Américas e Europa; Claro Sync: Smartwatch conectado</t>
        </is>
      </c>
      <c r="U651" s="5" t="inlineStr">
        <is>
          <t>https://www.claro.com.br/celular/pos</t>
        </is>
      </c>
      <c r="V651" s="5" t="inlineStr">
        <is>
          <t>data/raw/claro_postpaid_SP.json</t>
        </is>
      </c>
    </row>
    <row r="652">
      <c r="A652" s="2" t="inlineStr">
        <is>
          <t>2026-07-04</t>
        </is>
      </c>
      <c r="B652" s="2" t="inlineStr">
        <is>
          <t>2026-07-04T21:56:26</t>
        </is>
      </c>
      <c r="C652" s="2" t="inlineStr">
        <is>
          <t>claro</t>
        </is>
      </c>
      <c r="D652" s="2" t="inlineStr">
        <is>
          <t>postpaid</t>
        </is>
      </c>
      <c r="E652" s="2" t="inlineStr">
        <is>
          <t>SP</t>
        </is>
      </c>
      <c r="F652" s="2" t="inlineStr">
        <is>
          <t>Pós 200GB</t>
        </is>
      </c>
      <c r="G652" s="2" t="inlineStr">
        <is>
          <t>claro:plano-pos-200gb</t>
        </is>
      </c>
      <c r="H652" s="3" t="n">
        <v>339.9</v>
      </c>
      <c r="I652" s="3" t="inlineStr"/>
      <c r="J652" s="2" t="inlineStr"/>
      <c r="K652" s="2" t="inlineStr"/>
      <c r="L652" s="4" t="n">
        <v>200</v>
      </c>
      <c r="M652" s="2" t="inlineStr"/>
      <c r="N652" s="2" t="inlineStr"/>
      <c r="O652" s="2" t="inlineStr">
        <is>
          <t>WhatsApp</t>
        </is>
      </c>
      <c r="P652" s="2" t="inlineStr"/>
      <c r="Q652" s="2" t="inlineStr"/>
      <c r="R652" s="2" t="inlineStr"/>
      <c r="S652" s="2" t="inlineStr"/>
      <c r="T652" s="2" t="inlineStr">
        <is>
          <t>Armazenamento na nuvem:; Google One ou iCloud+; WhatsApp ilimitado; Roaming: Passaporte Mundo; Claro Sync: Smartwatch conectado</t>
        </is>
      </c>
      <c r="U652" s="2" t="inlineStr">
        <is>
          <t>https://www.claro.com.br/celular/pos</t>
        </is>
      </c>
      <c r="V652" s="2" t="inlineStr">
        <is>
          <t>data/raw/claro_postpaid_SP.json</t>
        </is>
      </c>
    </row>
    <row r="653">
      <c r="A653" s="5" t="inlineStr">
        <is>
          <t>2026-07-04</t>
        </is>
      </c>
      <c r="B653" s="5" t="inlineStr">
        <is>
          <t>2026-07-04T21:56:26</t>
        </is>
      </c>
      <c r="C653" s="5" t="inlineStr">
        <is>
          <t>claro</t>
        </is>
      </c>
      <c r="D653" s="5" t="inlineStr">
        <is>
          <t>postpaid</t>
        </is>
      </c>
      <c r="E653" s="5" t="inlineStr">
        <is>
          <t>SP</t>
        </is>
      </c>
      <c r="F653" s="5" t="inlineStr">
        <is>
          <t>Pós 50GB com GeForce NOW</t>
        </is>
      </c>
      <c r="G653" s="5" t="inlineStr">
        <is>
          <t>claro:plano-pos-60gb-geforce</t>
        </is>
      </c>
      <c r="H653" s="6" t="n">
        <v>164.9</v>
      </c>
      <c r="I653" s="6" t="inlineStr"/>
      <c r="J653" s="5" t="inlineStr"/>
      <c r="K653" s="5" t="inlineStr"/>
      <c r="L653" s="7" t="n">
        <v>50</v>
      </c>
      <c r="M653" s="5" t="inlineStr"/>
      <c r="N653" s="5" t="inlineStr"/>
      <c r="O653" s="5" t="inlineStr">
        <is>
          <t>WhatsApp</t>
        </is>
      </c>
      <c r="P653" s="5" t="inlineStr"/>
      <c r="Q653" s="5" t="inlineStr"/>
      <c r="R653" s="5" t="inlineStr"/>
      <c r="S653" s="5" t="inlineStr"/>
      <c r="T653" s="5" t="inlineStr">
        <is>
          <t>Armazenamento na nuvem:; Google One ou iCloud+; WhatsApp ilimitado; Roaming: Passaporte Américas; Claro Sync: Smartwatch conectado; Inclusa assinatura GeForce NOW</t>
        </is>
      </c>
      <c r="U653" s="5" t="inlineStr">
        <is>
          <t>https://www.claro.com.br/celular/pos</t>
        </is>
      </c>
      <c r="V653" s="5" t="inlineStr">
        <is>
          <t>data/raw/claro_postpaid_SP.json</t>
        </is>
      </c>
    </row>
    <row r="654">
      <c r="A654" s="2" t="inlineStr">
        <is>
          <t>2026-07-04</t>
        </is>
      </c>
      <c r="B654" s="2" t="inlineStr">
        <is>
          <t>2026-07-04T21:56:26</t>
        </is>
      </c>
      <c r="C654" s="2" t="inlineStr">
        <is>
          <t>claro</t>
        </is>
      </c>
      <c r="D654" s="2" t="inlineStr">
        <is>
          <t>postpaid</t>
        </is>
      </c>
      <c r="E654" s="2" t="inlineStr">
        <is>
          <t>SP</t>
        </is>
      </c>
      <c r="F654" s="2" t="inlineStr">
        <is>
          <t>Pós 60GB</t>
        </is>
      </c>
      <c r="G654" s="2" t="inlineStr">
        <is>
          <t>claro:plano-pos-60gb</t>
        </is>
      </c>
      <c r="H654" s="3" t="n">
        <v>124.9</v>
      </c>
      <c r="I654" s="3" t="inlineStr"/>
      <c r="J654" s="2" t="inlineStr"/>
      <c r="K654" s="2" t="inlineStr"/>
      <c r="L654" s="4" t="n">
        <v>60</v>
      </c>
      <c r="M654" s="2" t="inlineStr"/>
      <c r="N654" s="2" t="inlineStr"/>
      <c r="O654" s="2" t="inlineStr">
        <is>
          <t>WhatsApp</t>
        </is>
      </c>
      <c r="P654" s="2" t="inlineStr"/>
      <c r="Q654" s="2" t="inlineStr"/>
      <c r="R654" s="2" t="inlineStr"/>
      <c r="S654" s="2" t="inlineStr"/>
      <c r="T654" s="2" t="inlineStr">
        <is>
          <t>Armazenamento na nuvem:; Google One ou iCloud+; WhatsApp ilimitado; Roaming: Passaporte Américas; Claro Sync: Smartwatch conectado</t>
        </is>
      </c>
      <c r="U654" s="2" t="inlineStr">
        <is>
          <t>https://www.claro.com.br/celular/pos</t>
        </is>
      </c>
      <c r="V654" s="2" t="inlineStr">
        <is>
          <t>data/raw/claro_postpaid_SP.json</t>
        </is>
      </c>
    </row>
    <row r="655">
      <c r="A655" s="5" t="inlineStr">
        <is>
          <t>2026-07-04</t>
        </is>
      </c>
      <c r="B655" s="5" t="inlineStr">
        <is>
          <t>2026-07-04T21:56:26</t>
        </is>
      </c>
      <c r="C655" s="5" t="inlineStr">
        <is>
          <t>claro</t>
        </is>
      </c>
      <c r="D655" s="5" t="inlineStr">
        <is>
          <t>prepaid</t>
        </is>
      </c>
      <c r="E655" s="5" t="inlineStr">
        <is>
          <t>SP</t>
        </is>
      </c>
      <c r="F655" s="5" t="inlineStr">
        <is>
          <t>Prezão 10GB (25 dias)</t>
        </is>
      </c>
      <c r="G655" s="5" t="inlineStr">
        <is>
          <t>claro:prezao-25d-10gb</t>
        </is>
      </c>
      <c r="H655" s="6" t="n">
        <v>25</v>
      </c>
      <c r="I655" s="6" t="inlineStr"/>
      <c r="J655" s="5" t="inlineStr">
        <is>
          <t>recarga Prezão R$25 — validade 25 dias</t>
        </is>
      </c>
      <c r="K655" s="5" t="inlineStr"/>
      <c r="L655" s="7" t="n">
        <v>10</v>
      </c>
      <c r="M655" s="5" t="inlineStr"/>
      <c r="N655" s="5" t="n">
        <v>25</v>
      </c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https://www.claro.com.br/celular/planos-pre/prezao</t>
        </is>
      </c>
      <c r="V655" s="5" t="inlineStr">
        <is>
          <t>data/raw/claro_prepaid_SP.json</t>
        </is>
      </c>
    </row>
    <row r="656">
      <c r="A656" s="2" t="inlineStr">
        <is>
          <t>2026-07-04</t>
        </is>
      </c>
      <c r="B656" s="2" t="inlineStr">
        <is>
          <t>2026-07-04T21:56:26</t>
        </is>
      </c>
      <c r="C656" s="2" t="inlineStr">
        <is>
          <t>claro</t>
        </is>
      </c>
      <c r="D656" s="2" t="inlineStr">
        <is>
          <t>prepaid</t>
        </is>
      </c>
      <c r="E656" s="2" t="inlineStr">
        <is>
          <t>SP</t>
        </is>
      </c>
      <c r="F656" s="2" t="inlineStr">
        <is>
          <t>Prezão 12GB (30 dias)</t>
        </is>
      </c>
      <c r="G656" s="2" t="inlineStr">
        <is>
          <t>claro:prezao-30d-12gb</t>
        </is>
      </c>
      <c r="H656" s="3" t="n">
        <v>30</v>
      </c>
      <c r="I656" s="3" t="inlineStr"/>
      <c r="J656" s="2" t="inlineStr">
        <is>
          <t>recarga Prezão R$30 — validade 30 dias</t>
        </is>
      </c>
      <c r="K656" s="2" t="inlineStr"/>
      <c r="L656" s="4" t="n">
        <v>12</v>
      </c>
      <c r="M656" s="2" t="inlineStr"/>
      <c r="N656" s="2" t="n">
        <v>30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https://www.claro.com.br/celular/planos-pre/prezao</t>
        </is>
      </c>
      <c r="V656" s="2" t="inlineStr">
        <is>
          <t>data/raw/claro_prepaid_SP.json</t>
        </is>
      </c>
    </row>
    <row r="657">
      <c r="A657" s="5" t="inlineStr">
        <is>
          <t>2026-07-04</t>
        </is>
      </c>
      <c r="B657" s="5" t="inlineStr">
        <is>
          <t>2026-07-04T21:56:26</t>
        </is>
      </c>
      <c r="C657" s="5" t="inlineStr">
        <is>
          <t>claro</t>
        </is>
      </c>
      <c r="D657" s="5" t="inlineStr">
        <is>
          <t>prepaid</t>
        </is>
      </c>
      <c r="E657" s="5" t="inlineStr">
        <is>
          <t>SP</t>
        </is>
      </c>
      <c r="F657" s="5" t="inlineStr">
        <is>
          <t>Prezão 4GB (12 dias)</t>
        </is>
      </c>
      <c r="G657" s="5" t="inlineStr">
        <is>
          <t>claro:prezao-12d-4gb</t>
        </is>
      </c>
      <c r="H657" s="6" t="n">
        <v>15</v>
      </c>
      <c r="I657" s="6" t="inlineStr"/>
      <c r="J657" s="5" t="inlineStr">
        <is>
          <t>recarga Prezão R$15 — validade 12 dias</t>
        </is>
      </c>
      <c r="K657" s="5" t="inlineStr"/>
      <c r="L657" s="7" t="n">
        <v>4</v>
      </c>
      <c r="M657" s="5" t="inlineStr"/>
      <c r="N657" s="5" t="n">
        <v>12</v>
      </c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https://www.claro.com.br/celular/planos-pre/prezao</t>
        </is>
      </c>
      <c r="V657" s="5" t="inlineStr">
        <is>
          <t>data/raw/claro_prepaid_SP.json</t>
        </is>
      </c>
    </row>
    <row r="658">
      <c r="A658" s="2" t="inlineStr">
        <is>
          <t>2026-07-04</t>
        </is>
      </c>
      <c r="B658" s="2" t="inlineStr">
        <is>
          <t>2026-07-04T21:56:26</t>
        </is>
      </c>
      <c r="C658" s="2" t="inlineStr">
        <is>
          <t>claro</t>
        </is>
      </c>
      <c r="D658" s="2" t="inlineStr">
        <is>
          <t>prepaid</t>
        </is>
      </c>
      <c r="E658" s="2" t="inlineStr">
        <is>
          <t>SP</t>
        </is>
      </c>
      <c r="F658" s="2" t="inlineStr">
        <is>
          <t>Prezão 5GB (15 dias)</t>
        </is>
      </c>
      <c r="G658" s="2" t="inlineStr">
        <is>
          <t>claro:prezao-15d-5gb</t>
        </is>
      </c>
      <c r="H658" s="3" t="n">
        <v>15</v>
      </c>
      <c r="I658" s="3" t="inlineStr"/>
      <c r="J658" s="2" t="inlineStr">
        <is>
          <t>recarga Prezão R$15 — validade 15 dias</t>
        </is>
      </c>
      <c r="K658" s="2" t="inlineStr"/>
      <c r="L658" s="4" t="n">
        <v>5</v>
      </c>
      <c r="M658" s="2" t="inlineStr"/>
      <c r="N658" s="2" t="n">
        <v>15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https://www.claro.com.br/celular/planos-pre/prezao</t>
        </is>
      </c>
      <c r="V658" s="2" t="inlineStr">
        <is>
          <t>data/raw/claro_prepaid_SP.json</t>
        </is>
      </c>
    </row>
    <row r="659">
      <c r="A659" s="5" t="inlineStr">
        <is>
          <t>2026-07-04</t>
        </is>
      </c>
      <c r="B659" s="5" t="inlineStr">
        <is>
          <t>2026-07-04T21:56:26</t>
        </is>
      </c>
      <c r="C659" s="5" t="inlineStr">
        <is>
          <t>claro</t>
        </is>
      </c>
      <c r="D659" s="5" t="inlineStr">
        <is>
          <t>prepaid</t>
        </is>
      </c>
      <c r="E659" s="5" t="inlineStr">
        <is>
          <t>SP</t>
        </is>
      </c>
      <c r="F659" s="5" t="inlineStr">
        <is>
          <t>Prezão 6GB (20 dias)</t>
        </is>
      </c>
      <c r="G659" s="5" t="inlineStr">
        <is>
          <t>claro:prezao-20d-6gb</t>
        </is>
      </c>
      <c r="H659" s="6" t="n">
        <v>20</v>
      </c>
      <c r="I659" s="6" t="inlineStr"/>
      <c r="J659" s="5" t="inlineStr">
        <is>
          <t>recarga Prezão R$20 — validade 20 dias</t>
        </is>
      </c>
      <c r="K659" s="5" t="inlineStr"/>
      <c r="L659" s="7" t="n">
        <v>6</v>
      </c>
      <c r="M659" s="5" t="inlineStr"/>
      <c r="N659" s="5" t="n">
        <v>20</v>
      </c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https://www.claro.com.br/celular/planos-pre/prezao</t>
        </is>
      </c>
      <c r="V659" s="5" t="inlineStr">
        <is>
          <t>data/raw/claro_prepaid_SP.json</t>
        </is>
      </c>
    </row>
    <row r="660">
      <c r="A660" s="2" t="inlineStr">
        <is>
          <t>2026-07-04</t>
        </is>
      </c>
      <c r="B660" s="2" t="inlineStr">
        <is>
          <t>2026-07-04T21:56:26</t>
        </is>
      </c>
      <c r="C660" s="2" t="inlineStr">
        <is>
          <t>claro</t>
        </is>
      </c>
      <c r="D660" s="2" t="inlineStr">
        <is>
          <t>prepaid</t>
        </is>
      </c>
      <c r="E660" s="2" t="inlineStr">
        <is>
          <t>SP</t>
        </is>
      </c>
      <c r="F660" s="2" t="inlineStr">
        <is>
          <t>Prezão 8GB (20 dias)</t>
        </is>
      </c>
      <c r="G660" s="2" t="inlineStr">
        <is>
          <t>claro:prezao-20d-8gb</t>
        </is>
      </c>
      <c r="H660" s="3" t="n">
        <v>20</v>
      </c>
      <c r="I660" s="3" t="inlineStr"/>
      <c r="J660" s="2" t="inlineStr">
        <is>
          <t>recarga Prezão R$20 — validade 20 dias</t>
        </is>
      </c>
      <c r="K660" s="2" t="inlineStr"/>
      <c r="L660" s="4" t="n">
        <v>8</v>
      </c>
      <c r="M660" s="2" t="inlineStr"/>
      <c r="N660" s="2" t="n">
        <v>20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https://www.claro.com.br/celular/planos-pre/prezao</t>
        </is>
      </c>
      <c r="V660" s="2" t="inlineStr">
        <is>
          <t>data/raw/claro_prepaid_SP.json</t>
        </is>
      </c>
    </row>
    <row r="661">
      <c r="A661" s="5" t="inlineStr">
        <is>
          <t>2026-07-04</t>
        </is>
      </c>
      <c r="B661" s="5" t="inlineStr">
        <is>
          <t>2026-07-04T21:56:26</t>
        </is>
      </c>
      <c r="C661" s="5" t="inlineStr">
        <is>
          <t>claro</t>
        </is>
      </c>
      <c r="D661" s="5" t="inlineStr">
        <is>
          <t>prepaid</t>
        </is>
      </c>
      <c r="E661" s="5" t="inlineStr">
        <is>
          <t>SP</t>
        </is>
      </c>
      <c r="F661" s="5" t="inlineStr">
        <is>
          <t>Prezão 9GB (25 dias)</t>
        </is>
      </c>
      <c r="G661" s="5" t="inlineStr">
        <is>
          <t>claro:prezao-25d-9gb</t>
        </is>
      </c>
      <c r="H661" s="6" t="n">
        <v>25</v>
      </c>
      <c r="I661" s="6" t="inlineStr"/>
      <c r="J661" s="5" t="inlineStr">
        <is>
          <t>recarga Prezão R$25 — validade 25 dias</t>
        </is>
      </c>
      <c r="K661" s="5" t="inlineStr"/>
      <c r="L661" s="7" t="n">
        <v>9</v>
      </c>
      <c r="M661" s="5" t="inlineStr"/>
      <c r="N661" s="5" t="n">
        <v>25</v>
      </c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https://www.claro.com.br/celular/planos-pre/prezao</t>
        </is>
      </c>
      <c r="V661" s="5" t="inlineStr">
        <is>
          <t>data/raw/claro_prepaid_SP.json</t>
        </is>
      </c>
    </row>
    <row r="662">
      <c r="A662" s="2" t="inlineStr">
        <is>
          <t>2026-07-04</t>
        </is>
      </c>
      <c r="B662" s="2" t="inlineStr">
        <is>
          <t>2026-07-04T21:56:26</t>
        </is>
      </c>
      <c r="C662" s="2" t="inlineStr">
        <is>
          <t>tim</t>
        </is>
      </c>
      <c r="D662" s="2" t="inlineStr">
        <is>
          <t>control</t>
        </is>
      </c>
      <c r="E662" s="2" t="inlineStr">
        <is>
          <t>SP</t>
        </is>
      </c>
      <c r="F662" s="2" t="inlineStr">
        <is>
          <t>TIM Controle 41GB</t>
        </is>
      </c>
      <c r="G662" s="2" t="inlineStr">
        <is>
          <t>tim:162901</t>
        </is>
      </c>
      <c r="H662" s="3" t="n">
        <v>58.99</v>
      </c>
      <c r="I662" s="3" t="inlineStr"/>
      <c r="J662" s="2" t="inlineStr"/>
      <c r="K662" s="2" t="inlineStr"/>
      <c r="L662" s="4" t="n">
        <v>41</v>
      </c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https://www.tim.com.br/sp/para-voce/planos/controle</t>
        </is>
      </c>
      <c r="V662" s="2" t="inlineStr">
        <is>
          <t>data/raw/tim_control_SP.html</t>
        </is>
      </c>
    </row>
    <row r="663">
      <c r="A663" s="5" t="inlineStr">
        <is>
          <t>2026-07-04</t>
        </is>
      </c>
      <c r="B663" s="5" t="inlineStr">
        <is>
          <t>2026-07-04T21:56:26</t>
        </is>
      </c>
      <c r="C663" s="5" t="inlineStr">
        <is>
          <t>tim</t>
        </is>
      </c>
      <c r="D663" s="5" t="inlineStr">
        <is>
          <t>control</t>
        </is>
      </c>
      <c r="E663" s="5" t="inlineStr">
        <is>
          <t>SP</t>
        </is>
      </c>
      <c r="F663" s="5" t="inlineStr">
        <is>
          <t>TIM Controle Light Express 31GB</t>
        </is>
      </c>
      <c r="G663" s="5" t="inlineStr">
        <is>
          <t>tim:143536</t>
        </is>
      </c>
      <c r="H663" s="6" t="n">
        <v>60.99</v>
      </c>
      <c r="I663" s="6" t="inlineStr"/>
      <c r="J663" s="5" t="inlineStr"/>
      <c r="K663" s="5" t="inlineStr"/>
      <c r="L663" s="7" t="n">
        <v>31</v>
      </c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https://www.tim.com.br/sp/para-voce/planos/controle</t>
        </is>
      </c>
      <c r="V663" s="5" t="inlineStr">
        <is>
          <t>data/raw/tim_control_SP.html</t>
        </is>
      </c>
    </row>
    <row r="664">
      <c r="A664" s="2" t="inlineStr">
        <is>
          <t>2026-07-04</t>
        </is>
      </c>
      <c r="B664" s="2" t="inlineStr">
        <is>
          <t>2026-07-04T21:56:26</t>
        </is>
      </c>
      <c r="C664" s="2" t="inlineStr">
        <is>
          <t>tim</t>
        </is>
      </c>
      <c r="D664" s="2" t="inlineStr">
        <is>
          <t>control</t>
        </is>
      </c>
      <c r="E664" s="2" t="inlineStr">
        <is>
          <t>SP</t>
        </is>
      </c>
      <c r="F664" s="2" t="inlineStr">
        <is>
          <t>TIM Controle Plus 45GB</t>
        </is>
      </c>
      <c r="G664" s="2" t="inlineStr">
        <is>
          <t>tim:155891</t>
        </is>
      </c>
      <c r="H664" s="3" t="n">
        <v>64.98999999999999</v>
      </c>
      <c r="I664" s="3" t="inlineStr"/>
      <c r="J664" s="2" t="inlineStr"/>
      <c r="K664" s="2" t="inlineStr"/>
      <c r="L664" s="4" t="n">
        <v>45</v>
      </c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https://www.tim.com.br/sp/para-voce/planos/controle</t>
        </is>
      </c>
      <c r="V664" s="2" t="inlineStr">
        <is>
          <t>data/raw/tim_control_SP.html</t>
        </is>
      </c>
    </row>
    <row r="665">
      <c r="A665" s="5" t="inlineStr">
        <is>
          <t>2026-07-04</t>
        </is>
      </c>
      <c r="B665" s="5" t="inlineStr">
        <is>
          <t>2026-07-04T21:56:26</t>
        </is>
      </c>
      <c r="C665" s="5" t="inlineStr">
        <is>
          <t>tim</t>
        </is>
      </c>
      <c r="D665" s="5" t="inlineStr">
        <is>
          <t>control</t>
        </is>
      </c>
      <c r="E665" s="5" t="inlineStr">
        <is>
          <t>SP</t>
        </is>
      </c>
      <c r="F665" s="5" t="inlineStr">
        <is>
          <t>TIM Controle Premium 53GB</t>
        </is>
      </c>
      <c r="G665" s="5" t="inlineStr">
        <is>
          <t>tim:162896</t>
        </is>
      </c>
      <c r="H665" s="6" t="n">
        <v>84.98999999999999</v>
      </c>
      <c r="I665" s="6" t="inlineStr"/>
      <c r="J665" s="5" t="inlineStr"/>
      <c r="K665" s="5" t="inlineStr"/>
      <c r="L665" s="7" t="n">
        <v>53</v>
      </c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https://www.tim.com.br/sp/para-voce/planos/controle</t>
        </is>
      </c>
      <c r="V665" s="5" t="inlineStr">
        <is>
          <t>data/raw/tim_control_SP.html</t>
        </is>
      </c>
    </row>
    <row r="666">
      <c r="A666" s="2" t="inlineStr">
        <is>
          <t>2026-07-04</t>
        </is>
      </c>
      <c r="B666" s="2" t="inlineStr">
        <is>
          <t>2026-07-04T21:56:26</t>
        </is>
      </c>
      <c r="C666" s="2" t="inlineStr">
        <is>
          <t>tim</t>
        </is>
      </c>
      <c r="D666" s="2" t="inlineStr">
        <is>
          <t>control</t>
        </is>
      </c>
      <c r="E666" s="2" t="inlineStr">
        <is>
          <t>SP</t>
        </is>
      </c>
      <c r="F666" s="2" t="inlineStr">
        <is>
          <t>TIM Controle Pro Express</t>
        </is>
      </c>
      <c r="G666" s="2" t="inlineStr">
        <is>
          <t>tim:143576</t>
        </is>
      </c>
      <c r="H666" s="3" t="n">
        <v>64.98999999999999</v>
      </c>
      <c r="I666" s="3" t="inlineStr"/>
      <c r="J666" s="2" t="inlineStr"/>
      <c r="K666" s="2" t="inlineStr"/>
      <c r="L666" s="4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https://www.tim.com.br/sp/para-voce/planos/controle</t>
        </is>
      </c>
      <c r="V666" s="2" t="inlineStr">
        <is>
          <t>data/raw/tim_control_SP.html</t>
        </is>
      </c>
    </row>
    <row r="667">
      <c r="A667" s="5" t="inlineStr">
        <is>
          <t>2026-07-04</t>
        </is>
      </c>
      <c r="B667" s="5" t="inlineStr">
        <is>
          <t>2026-07-04T21:56:26</t>
        </is>
      </c>
      <c r="C667" s="5" t="inlineStr">
        <is>
          <t>tim</t>
        </is>
      </c>
      <c r="D667" s="5" t="inlineStr">
        <is>
          <t>postpaid</t>
        </is>
      </c>
      <c r="E667" s="5" t="inlineStr">
        <is>
          <t>SP</t>
        </is>
      </c>
      <c r="F667" s="5" t="inlineStr">
        <is>
          <t>TIM Black 70GB</t>
        </is>
      </c>
      <c r="G667" s="5" t="inlineStr">
        <is>
          <t>tim:54206</t>
        </is>
      </c>
      <c r="H667" s="6" t="n">
        <v>129.99</v>
      </c>
      <c r="I667" s="6" t="inlineStr"/>
      <c r="J667" s="5" t="inlineStr"/>
      <c r="K667" s="5" t="inlineStr">
        <is>
          <t>bill</t>
        </is>
      </c>
      <c r="L667" s="7" t="n">
        <v>70</v>
      </c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https://www.tim.com.br/sp/para-voce/planos/pos-pago/tim-black</t>
        </is>
      </c>
      <c r="V667" s="5" t="inlineStr">
        <is>
          <t>data/raw/tim_postpaid_SP.html</t>
        </is>
      </c>
    </row>
    <row r="668">
      <c r="A668" s="2" t="inlineStr">
        <is>
          <t>2026-07-04</t>
        </is>
      </c>
      <c r="B668" s="2" t="inlineStr">
        <is>
          <t>2026-07-04T21:56:26</t>
        </is>
      </c>
      <c r="C668" s="2" t="inlineStr">
        <is>
          <t>tim</t>
        </is>
      </c>
      <c r="D668" s="2" t="inlineStr">
        <is>
          <t>postpaid</t>
        </is>
      </c>
      <c r="E668" s="2" t="inlineStr">
        <is>
          <t>SP</t>
        </is>
      </c>
      <c r="F668" s="2" t="inlineStr">
        <is>
          <t>TIM Black A Express 67GB</t>
        </is>
      </c>
      <c r="G668" s="2" t="inlineStr">
        <is>
          <t>tim:55121</t>
        </is>
      </c>
      <c r="H668" s="3" t="n">
        <v>119.99</v>
      </c>
      <c r="I668" s="3" t="inlineStr"/>
      <c r="J668" s="2" t="inlineStr"/>
      <c r="K668" s="2" t="inlineStr">
        <is>
          <t>credit_card</t>
        </is>
      </c>
      <c r="L668" s="4" t="n">
        <v>67</v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https://www.tim.com.br/sp/para-voce/planos/pos-pago/tim-black</t>
        </is>
      </c>
      <c r="V668" s="2" t="inlineStr">
        <is>
          <t>data/raw/tim_postpaid_SP.html</t>
        </is>
      </c>
    </row>
    <row r="669">
      <c r="A669" s="5" t="inlineStr">
        <is>
          <t>2026-07-04</t>
        </is>
      </c>
      <c r="B669" s="5" t="inlineStr">
        <is>
          <t>2026-07-04T21:56:26</t>
        </is>
      </c>
      <c r="C669" s="5" t="inlineStr">
        <is>
          <t>tim</t>
        </is>
      </c>
      <c r="D669" s="5" t="inlineStr">
        <is>
          <t>postpaid</t>
        </is>
      </c>
      <c r="E669" s="5" t="inlineStr">
        <is>
          <t>SP</t>
        </is>
      </c>
      <c r="F669" s="5" t="inlineStr">
        <is>
          <t>TIM Black B Express 82GB</t>
        </is>
      </c>
      <c r="G669" s="5" t="inlineStr">
        <is>
          <t>tim:52146</t>
        </is>
      </c>
      <c r="H669" s="6" t="n">
        <v>144.99</v>
      </c>
      <c r="I669" s="6" t="inlineStr"/>
      <c r="J669" s="5" t="inlineStr"/>
      <c r="K669" s="5" t="inlineStr">
        <is>
          <t>credit_card</t>
        </is>
      </c>
      <c r="L669" s="7" t="n">
        <v>82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https://www.tim.com.br/sp/para-voce/planos/pos-pago/tim-black</t>
        </is>
      </c>
      <c r="V669" s="5" t="inlineStr">
        <is>
          <t>data/raw/tim_postpaid_SP.html</t>
        </is>
      </c>
    </row>
    <row r="670">
      <c r="A670" s="2" t="inlineStr">
        <is>
          <t>2026-07-04</t>
        </is>
      </c>
      <c r="B670" s="2" t="inlineStr">
        <is>
          <t>2026-07-04T21:56:26</t>
        </is>
      </c>
      <c r="C670" s="2" t="inlineStr">
        <is>
          <t>tim</t>
        </is>
      </c>
      <c r="D670" s="2" t="inlineStr">
        <is>
          <t>postpaid</t>
        </is>
      </c>
      <c r="E670" s="2" t="inlineStr">
        <is>
          <t>SP</t>
        </is>
      </c>
      <c r="F670" s="2" t="inlineStr">
        <is>
          <t>TIM Black C Express 107GB</t>
        </is>
      </c>
      <c r="G670" s="2" t="inlineStr">
        <is>
          <t>tim:52151</t>
        </is>
      </c>
      <c r="H670" s="3" t="n">
        <v>164.99</v>
      </c>
      <c r="I670" s="3" t="inlineStr"/>
      <c r="J670" s="2" t="inlineStr"/>
      <c r="K670" s="2" t="inlineStr">
        <is>
          <t>credit_card</t>
        </is>
      </c>
      <c r="L670" s="4" t="n">
        <v>107</v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https://www.tim.com.br/sp/para-voce/planos/pos-pago/tim-black</t>
        </is>
      </c>
      <c r="V670" s="2" t="inlineStr">
        <is>
          <t>data/raw/tim_postpaid_SP.html</t>
        </is>
      </c>
    </row>
    <row r="671">
      <c r="A671" s="5" t="inlineStr">
        <is>
          <t>2026-07-04</t>
        </is>
      </c>
      <c r="B671" s="5" t="inlineStr">
        <is>
          <t>2026-07-04T21:56:26</t>
        </is>
      </c>
      <c r="C671" s="5" t="inlineStr">
        <is>
          <t>tim</t>
        </is>
      </c>
      <c r="D671" s="5" t="inlineStr">
        <is>
          <t>postpaid</t>
        </is>
      </c>
      <c r="E671" s="5" t="inlineStr">
        <is>
          <t>SP</t>
        </is>
      </c>
      <c r="F671" s="5" t="inlineStr">
        <is>
          <t>TIM Black C Ultra 95GB</t>
        </is>
      </c>
      <c r="G671" s="5" t="inlineStr">
        <is>
          <t>tim:100581</t>
        </is>
      </c>
      <c r="H671" s="6" t="n">
        <v>159.99</v>
      </c>
      <c r="I671" s="6" t="inlineStr"/>
      <c r="J671" s="5" t="inlineStr"/>
      <c r="K671" s="5" t="inlineStr">
        <is>
          <t>bill</t>
        </is>
      </c>
      <c r="L671" s="7" t="n">
        <v>95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https://www.tim.com.br/sp/para-voce/planos/pos-pago/tim-black</t>
        </is>
      </c>
      <c r="V671" s="5" t="inlineStr">
        <is>
          <t>data/raw/tim_postpaid_SP.html</t>
        </is>
      </c>
    </row>
    <row r="672">
      <c r="A672" s="2" t="inlineStr">
        <is>
          <t>2026-07-04</t>
        </is>
      </c>
      <c r="B672" s="2" t="inlineStr">
        <is>
          <t>2026-07-04T21:56:26</t>
        </is>
      </c>
      <c r="C672" s="2" t="inlineStr">
        <is>
          <t>tim</t>
        </is>
      </c>
      <c r="D672" s="2" t="inlineStr">
        <is>
          <t>postpaid</t>
        </is>
      </c>
      <c r="E672" s="2" t="inlineStr">
        <is>
          <t>SP</t>
        </is>
      </c>
      <c r="F672" s="2" t="inlineStr">
        <is>
          <t>TIM Black Plus 80GB</t>
        </is>
      </c>
      <c r="G672" s="2" t="inlineStr">
        <is>
          <t>tim:54256</t>
        </is>
      </c>
      <c r="H672" s="3" t="n">
        <v>149.99</v>
      </c>
      <c r="I672" s="3" t="inlineStr"/>
      <c r="J672" s="2" t="inlineStr"/>
      <c r="K672" s="2" t="inlineStr">
        <is>
          <t>bill</t>
        </is>
      </c>
      <c r="L672" s="4" t="n">
        <v>80</v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https://www.tim.com.br/sp/para-voce/planos/pos-pago/tim-black</t>
        </is>
      </c>
      <c r="V672" s="2" t="inlineStr">
        <is>
          <t>data/raw/tim_postpaid_SP.html</t>
        </is>
      </c>
    </row>
    <row r="673">
      <c r="A673" s="5" t="inlineStr">
        <is>
          <t>2026-07-04</t>
        </is>
      </c>
      <c r="B673" s="5" t="inlineStr">
        <is>
          <t>2026-07-04T21:56:26</t>
        </is>
      </c>
      <c r="C673" s="5" t="inlineStr">
        <is>
          <t>tim</t>
        </is>
      </c>
      <c r="D673" s="5" t="inlineStr">
        <is>
          <t>postpaid</t>
        </is>
      </c>
      <c r="E673" s="5" t="inlineStr">
        <is>
          <t>SP</t>
        </is>
      </c>
      <c r="F673" s="5" t="inlineStr">
        <is>
          <t>TIM Black Premium 110GB</t>
        </is>
      </c>
      <c r="G673" s="5" t="inlineStr">
        <is>
          <t>tim:54261</t>
        </is>
      </c>
      <c r="H673" s="6" t="n">
        <v>159.99</v>
      </c>
      <c r="I673" s="6" t="inlineStr"/>
      <c r="J673" s="5" t="inlineStr"/>
      <c r="K673" s="5" t="inlineStr">
        <is>
          <t>bill</t>
        </is>
      </c>
      <c r="L673" s="7" t="n">
        <v>110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https://www.tim.com.br/sp/para-voce/planos/pos-pago/tim-black</t>
        </is>
      </c>
      <c r="V673" s="5" t="inlineStr">
        <is>
          <t>data/raw/tim_postpaid_SP.html</t>
        </is>
      </c>
    </row>
    <row r="674">
      <c r="A674" s="2" t="inlineStr">
        <is>
          <t>2026-07-04</t>
        </is>
      </c>
      <c r="B674" s="2" t="inlineStr">
        <is>
          <t>2026-07-04T21:56:26</t>
        </is>
      </c>
      <c r="C674" s="2" t="inlineStr">
        <is>
          <t>tim</t>
        </is>
      </c>
      <c r="D674" s="2" t="inlineStr">
        <is>
          <t>prepaid</t>
        </is>
      </c>
      <c r="E674" s="2" t="inlineStr">
        <is>
          <t>SP</t>
        </is>
      </c>
      <c r="F674" s="2" t="inlineStr">
        <is>
          <t>TIM Pré XIP Plus 16GB</t>
        </is>
      </c>
      <c r="G674" s="2" t="inlineStr">
        <is>
          <t>tim:106306</t>
        </is>
      </c>
      <c r="H674" s="3" t="n">
        <v>30</v>
      </c>
      <c r="I674" s="3" t="inlineStr"/>
      <c r="J674" s="2" t="inlineStr"/>
      <c r="K674" s="2" t="inlineStr"/>
      <c r="L674" s="4" t="n">
        <v>16</v>
      </c>
      <c r="M674" s="2" t="inlineStr"/>
      <c r="N674" s="2" t="n">
        <v>30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https://www.tim.com.br/sp/para-voce/planos/pre-pago</t>
        </is>
      </c>
      <c r="V674" s="2" t="inlineStr">
        <is>
          <t>data/raw/tim_prepaid_SP.html</t>
        </is>
      </c>
    </row>
    <row r="675">
      <c r="A675" s="5" t="inlineStr">
        <is>
          <t>2026-07-04</t>
        </is>
      </c>
      <c r="B675" s="5" t="inlineStr">
        <is>
          <t>2026-07-04T21:56:26</t>
        </is>
      </c>
      <c r="C675" s="5" t="inlineStr">
        <is>
          <t>tim</t>
        </is>
      </c>
      <c r="D675" s="5" t="inlineStr">
        <is>
          <t>prepaid</t>
        </is>
      </c>
      <c r="E675" s="5" t="inlineStr">
        <is>
          <t>SP</t>
        </is>
      </c>
      <c r="F675" s="5" t="inlineStr">
        <is>
          <t>TIM Pré XIP Plus 6GB</t>
        </is>
      </c>
      <c r="G675" s="5" t="inlineStr">
        <is>
          <t>tim:59906</t>
        </is>
      </c>
      <c r="H675" s="6" t="n">
        <v>20</v>
      </c>
      <c r="I675" s="6" t="inlineStr"/>
      <c r="J675" s="5" t="inlineStr"/>
      <c r="K675" s="5" t="inlineStr"/>
      <c r="L675" s="7" t="n">
        <v>6</v>
      </c>
      <c r="M675" s="5" t="inlineStr"/>
      <c r="N675" s="5" t="n">
        <v>17</v>
      </c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https://www.tim.com.br/sp/para-voce/planos/pre-pago</t>
        </is>
      </c>
      <c r="V675" s="5" t="inlineStr">
        <is>
          <t>data/raw/tim_prepaid_SP.html</t>
        </is>
      </c>
    </row>
    <row r="676">
      <c r="A676" s="2" t="inlineStr">
        <is>
          <t>2026-07-04</t>
        </is>
      </c>
      <c r="B676" s="2" t="inlineStr">
        <is>
          <t>2026-07-04T21:56:26</t>
        </is>
      </c>
      <c r="C676" s="2" t="inlineStr">
        <is>
          <t>tim</t>
        </is>
      </c>
      <c r="D676" s="2" t="inlineStr">
        <is>
          <t>prepaid</t>
        </is>
      </c>
      <c r="E676" s="2" t="inlineStr">
        <is>
          <t>SP</t>
        </is>
      </c>
      <c r="F676" s="2" t="inlineStr">
        <is>
          <t>TIM Pré XIP Plus 8GB</t>
        </is>
      </c>
      <c r="G676" s="2" t="inlineStr">
        <is>
          <t>tim:59901</t>
        </is>
      </c>
      <c r="H676" s="3" t="n">
        <v>25</v>
      </c>
      <c r="I676" s="3" t="inlineStr"/>
      <c r="J676" s="2" t="inlineStr"/>
      <c r="K676" s="2" t="inlineStr"/>
      <c r="L676" s="4" t="n">
        <v>8</v>
      </c>
      <c r="M676" s="2" t="inlineStr"/>
      <c r="N676" s="2" t="n">
        <v>22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https://www.tim.com.br/sp/para-voce/planos/pre-pago</t>
        </is>
      </c>
      <c r="V676" s="2" t="inlineStr">
        <is>
          <t>data/raw/tim_prepaid_SP.html</t>
        </is>
      </c>
    </row>
    <row r="677">
      <c r="A677" s="5" t="inlineStr">
        <is>
          <t>2026-07-04</t>
        </is>
      </c>
      <c r="B677" s="5" t="inlineStr">
        <is>
          <t>2026-07-04T21:56:26</t>
        </is>
      </c>
      <c r="C677" s="5" t="inlineStr">
        <is>
          <t>vivo</t>
        </is>
      </c>
      <c r="D677" s="5" t="inlineStr">
        <is>
          <t>control</t>
        </is>
      </c>
      <c r="E677" s="5" t="inlineStr">
        <is>
          <t>SP</t>
        </is>
      </c>
      <c r="F677" s="5" t="inlineStr">
        <is>
          <t>Vivo Controle</t>
        </is>
      </c>
      <c r="G677" s="5" t="inlineStr">
        <is>
          <t>vivo:VIV202600029270-46gb</t>
        </is>
      </c>
      <c r="H677" s="6" t="n">
        <v>59</v>
      </c>
      <c r="I677" s="6" t="inlineStr"/>
      <c r="J677" s="5" t="inlineStr"/>
      <c r="K677" s="5" t="inlineStr"/>
      <c r="L677" s="7" t="n">
        <v>46</v>
      </c>
      <c r="M677" s="5" t="inlineStr">
        <is>
          <t>15 GB de franquia 31 GB de bônus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2 meses de YouTube sem consumo no plano</t>
        </is>
      </c>
      <c r="U677" s="5" t="inlineStr">
        <is>
          <t>https://vivo.com.br/para-voce/produtos-e-servicos/para-o-celular/planos-controle</t>
        </is>
      </c>
      <c r="V677" s="5" t="inlineStr">
        <is>
          <t>data/raw/vivo_control_SP.html</t>
        </is>
      </c>
    </row>
    <row r="678">
      <c r="A678" s="2" t="inlineStr">
        <is>
          <t>2026-07-04</t>
        </is>
      </c>
      <c r="B678" s="2" t="inlineStr">
        <is>
          <t>2026-07-04T21:56:26</t>
        </is>
      </c>
      <c r="C678" s="2" t="inlineStr">
        <is>
          <t>vivo</t>
        </is>
      </c>
      <c r="D678" s="2" t="inlineStr">
        <is>
          <t>control</t>
        </is>
      </c>
      <c r="E678" s="2" t="inlineStr">
        <is>
          <t>SP</t>
        </is>
      </c>
      <c r="F678" s="2" t="inlineStr">
        <is>
          <t>Vivo Controle</t>
        </is>
      </c>
      <c r="G678" s="2" t="inlineStr">
        <is>
          <t>vivo:VIV202600029300-61gb</t>
        </is>
      </c>
      <c r="H678" s="3" t="n">
        <v>80</v>
      </c>
      <c r="I678" s="3" t="inlineStr"/>
      <c r="J678" s="2" t="inlineStr"/>
      <c r="K678" s="2" t="inlineStr"/>
      <c r="L678" s="4" t="n">
        <v>61</v>
      </c>
      <c r="M678" s="2" t="inlineStr">
        <is>
          <t>20 GB de franquia 31 GB de bônus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2 meses de YouTube sem consumo no plano</t>
        </is>
      </c>
      <c r="U678" s="2" t="inlineStr">
        <is>
          <t>https://vivo.com.br/para-voce/produtos-e-servicos/para-o-celular/planos-controle</t>
        </is>
      </c>
      <c r="V678" s="2" t="inlineStr">
        <is>
          <t>data/raw/vivo_control_SP.html</t>
        </is>
      </c>
    </row>
    <row r="679">
      <c r="A679" s="5" t="inlineStr">
        <is>
          <t>2026-07-04</t>
        </is>
      </c>
      <c r="B679" s="5" t="inlineStr">
        <is>
          <t>2026-07-04T21:56:26</t>
        </is>
      </c>
      <c r="C679" s="5" t="inlineStr">
        <is>
          <t>vivo</t>
        </is>
      </c>
      <c r="D679" s="5" t="inlineStr">
        <is>
          <t>control</t>
        </is>
      </c>
      <c r="E679" s="5" t="inlineStr">
        <is>
          <t>SP</t>
        </is>
      </c>
      <c r="F679" s="5" t="inlineStr">
        <is>
          <t>Vivo Controle Educação</t>
        </is>
      </c>
      <c r="G679" s="5" t="inlineStr">
        <is>
          <t>vivo:VIV202600029273-61gb</t>
        </is>
      </c>
      <c r="H679" s="6" t="n">
        <v>90</v>
      </c>
      <c r="I679" s="6" t="inlineStr"/>
      <c r="J679" s="5" t="inlineStr"/>
      <c r="K679" s="5" t="inlineStr"/>
      <c r="L679" s="7" t="n">
        <v>61</v>
      </c>
      <c r="M679" s="5" t="inlineStr">
        <is>
          <t>20 GB de franquia 31 GB de bônus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>
        <is>
          <t>Assinatura Vivae inclusa</t>
        </is>
      </c>
      <c r="U679" s="5" t="inlineStr">
        <is>
          <t>https://vivo.com.br/para-voce/produtos-e-servicos/para-o-celular/planos-controle</t>
        </is>
      </c>
      <c r="V679" s="5" t="inlineStr">
        <is>
          <t>data/raw/vivo_control_SP.html</t>
        </is>
      </c>
    </row>
    <row r="680">
      <c r="A680" s="2" t="inlineStr">
        <is>
          <t>2026-07-04</t>
        </is>
      </c>
      <c r="B680" s="2" t="inlineStr">
        <is>
          <t>2026-07-04T21:56:26</t>
        </is>
      </c>
      <c r="C680" s="2" t="inlineStr">
        <is>
          <t>vivo</t>
        </is>
      </c>
      <c r="D680" s="2" t="inlineStr">
        <is>
          <t>control</t>
        </is>
      </c>
      <c r="E680" s="2" t="inlineStr">
        <is>
          <t>SP</t>
        </is>
      </c>
      <c r="F680" s="2" t="inlineStr">
        <is>
          <t>Vivo Controle Entretenimento</t>
        </is>
      </c>
      <c r="G680" s="2" t="inlineStr">
        <is>
          <t>vivo:VIV202600029307-61gb</t>
        </is>
      </c>
      <c r="H680" s="3" t="n">
        <v>110</v>
      </c>
      <c r="I680" s="3" t="inlineStr"/>
      <c r="J680" s="2" t="inlineStr"/>
      <c r="K680" s="2" t="inlineStr"/>
      <c r="L680" s="4" t="n">
        <v>61</v>
      </c>
      <c r="M680" s="2" t="inlineStr">
        <is>
          <t>20 GB de franquia 31 GB de bônus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Assinatura Vivo TV Inicial inclusa</t>
        </is>
      </c>
      <c r="U680" s="2" t="inlineStr">
        <is>
          <t>https://vivo.com.br/para-voce/produtos-e-servicos/para-o-celular/planos-controle</t>
        </is>
      </c>
      <c r="V680" s="2" t="inlineStr">
        <is>
          <t>data/raw/vivo_control_SP.html</t>
        </is>
      </c>
    </row>
    <row r="681">
      <c r="A681" s="5" t="inlineStr">
        <is>
          <t>2026-07-04</t>
        </is>
      </c>
      <c r="B681" s="5" t="inlineStr">
        <is>
          <t>2026-07-04T21:56:26</t>
        </is>
      </c>
      <c r="C681" s="5" t="inlineStr">
        <is>
          <t>vivo</t>
        </is>
      </c>
      <c r="D681" s="5" t="inlineStr">
        <is>
          <t>control</t>
        </is>
      </c>
      <c r="E681" s="5" t="inlineStr">
        <is>
          <t>SP</t>
        </is>
      </c>
      <c r="F681" s="5" t="inlineStr">
        <is>
          <t>Vivo Controle Música</t>
        </is>
      </c>
      <c r="G681" s="5" t="inlineStr">
        <is>
          <t>vivo:VIV202600029313-61gb</t>
        </is>
      </c>
      <c r="H681" s="6" t="n">
        <v>95</v>
      </c>
      <c r="I681" s="6" t="inlineStr"/>
      <c r="J681" s="5" t="inlineStr"/>
      <c r="K681" s="5" t="inlineStr"/>
      <c r="L681" s="7" t="n">
        <v>61</v>
      </c>
      <c r="M681" s="5" t="inlineStr">
        <is>
          <t>20 GB de franquia 31 GB de bônus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Apple Music Individual</t>
        </is>
      </c>
      <c r="U681" s="5" t="inlineStr">
        <is>
          <t>https://vivo.com.br/para-voce/produtos-e-servicos/para-o-celular/planos-controle</t>
        </is>
      </c>
      <c r="V681" s="5" t="inlineStr">
        <is>
          <t>data/raw/vivo_control_SP.html</t>
        </is>
      </c>
    </row>
    <row r="682">
      <c r="A682" s="2" t="inlineStr">
        <is>
          <t>2026-07-04</t>
        </is>
      </c>
      <c r="B682" s="2" t="inlineStr">
        <is>
          <t>2026-07-04T21:56:26</t>
        </is>
      </c>
      <c r="C682" s="2" t="inlineStr">
        <is>
          <t>vivo</t>
        </is>
      </c>
      <c r="D682" s="2" t="inlineStr">
        <is>
          <t>control</t>
        </is>
      </c>
      <c r="E682" s="2" t="inlineStr">
        <is>
          <t>SP</t>
        </is>
      </c>
      <c r="F682" s="2" t="inlineStr">
        <is>
          <t>Vivo Controle Netflix</t>
        </is>
      </c>
      <c r="G682" s="2" t="inlineStr">
        <is>
          <t>vivo:VIV202600029308-61gb</t>
        </is>
      </c>
      <c r="H682" s="3" t="n">
        <v>95</v>
      </c>
      <c r="I682" s="3" t="inlineStr"/>
      <c r="J682" s="2" t="inlineStr"/>
      <c r="K682" s="2" t="inlineStr"/>
      <c r="L682" s="4" t="n">
        <v>61</v>
      </c>
      <c r="M682" s="2" t="inlineStr">
        <is>
          <t>20 GB de franquia 31 GB de bônus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Assinatura Netflix Padrão com anúncios</t>
        </is>
      </c>
      <c r="U682" s="2" t="inlineStr">
        <is>
          <t>https://vivo.com.br/para-voce/produtos-e-servicos/para-o-celular/planos-controle</t>
        </is>
      </c>
      <c r="V682" s="2" t="inlineStr">
        <is>
          <t>data/raw/vivo_control_SP.html</t>
        </is>
      </c>
    </row>
    <row r="683">
      <c r="A683" s="5" t="inlineStr">
        <is>
          <t>2026-07-04</t>
        </is>
      </c>
      <c r="B683" s="5" t="inlineStr">
        <is>
          <t>2026-07-04T21:56:26</t>
        </is>
      </c>
      <c r="C683" s="5" t="inlineStr">
        <is>
          <t>vivo</t>
        </is>
      </c>
      <c r="D683" s="5" t="inlineStr">
        <is>
          <t>control</t>
        </is>
      </c>
      <c r="E683" s="5" t="inlineStr">
        <is>
          <t>SP</t>
        </is>
      </c>
      <c r="F683" s="5" t="inlineStr">
        <is>
          <t>Vivo Controle Saúde</t>
        </is>
      </c>
      <c r="G683" s="5" t="inlineStr">
        <is>
          <t>vivo:VIV202600029301-61gb</t>
        </is>
      </c>
      <c r="H683" s="6" t="n">
        <v>90</v>
      </c>
      <c r="I683" s="6" t="inlineStr"/>
      <c r="J683" s="5" t="inlineStr"/>
      <c r="K683" s="5" t="inlineStr"/>
      <c r="L683" s="7" t="n">
        <v>61</v>
      </c>
      <c r="M683" s="5" t="inlineStr">
        <is>
          <t>20 GB de franquia 31 GB de bônus</t>
        </is>
      </c>
      <c r="N683" s="5" t="inlineStr"/>
      <c r="O683" s="5" t="inlineStr"/>
      <c r="P683" s="5" t="inlineStr"/>
      <c r="Q683" s="5" t="inlineStr"/>
      <c r="R683" s="5" t="inlineStr"/>
      <c r="S683" s="5" t="inlineStr"/>
      <c r="T683" s="5" t="inlineStr">
        <is>
          <t>Assinatura Vale Saúde Sempre inclusa</t>
        </is>
      </c>
      <c r="U683" s="5" t="inlineStr">
        <is>
          <t>https://vivo.com.br/para-voce/produtos-e-servicos/para-o-celular/planos-controle</t>
        </is>
      </c>
      <c r="V683" s="5" t="inlineStr">
        <is>
          <t>data/raw/vivo_control_SP.html</t>
        </is>
      </c>
    </row>
    <row r="684">
      <c r="A684" s="2" t="inlineStr">
        <is>
          <t>2026-07-04</t>
        </is>
      </c>
      <c r="B684" s="2" t="inlineStr">
        <is>
          <t>2026-07-04T21:56:26</t>
        </is>
      </c>
      <c r="C684" s="2" t="inlineStr">
        <is>
          <t>vivo</t>
        </is>
      </c>
      <c r="D684" s="2" t="inlineStr">
        <is>
          <t>control</t>
        </is>
      </c>
      <c r="E684" s="2" t="inlineStr">
        <is>
          <t>SP</t>
        </is>
      </c>
      <c r="F684" s="2" t="inlineStr">
        <is>
          <t>Vivo Controle Segurança</t>
        </is>
      </c>
      <c r="G684" s="2" t="inlineStr">
        <is>
          <t>vivo:VIV202600029274-61gb</t>
        </is>
      </c>
      <c r="H684" s="3" t="n">
        <v>90</v>
      </c>
      <c r="I684" s="3" t="inlineStr"/>
      <c r="J684" s="2" t="inlineStr"/>
      <c r="K684" s="2" t="inlineStr"/>
      <c r="L684" s="4" t="n">
        <v>61</v>
      </c>
      <c r="M684" s="2" t="inlineStr">
        <is>
          <t>20 GB de franquia 31 GB de bônus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Incluso Proteção Rua e Seguro de Bens</t>
        </is>
      </c>
      <c r="U684" s="2" t="inlineStr">
        <is>
          <t>https://vivo.com.br/para-voce/produtos-e-servicos/para-o-celular/planos-controle</t>
        </is>
      </c>
      <c r="V684" s="2" t="inlineStr">
        <is>
          <t>data/raw/vivo_control_SP.html</t>
        </is>
      </c>
    </row>
    <row r="685">
      <c r="A685" s="5" t="inlineStr">
        <is>
          <t>2026-07-04</t>
        </is>
      </c>
      <c r="B685" s="5" t="inlineStr">
        <is>
          <t>2026-07-04T21:56:26</t>
        </is>
      </c>
      <c r="C685" s="5" t="inlineStr">
        <is>
          <t>vivo</t>
        </is>
      </c>
      <c r="D685" s="5" t="inlineStr">
        <is>
          <t>lite</t>
        </is>
      </c>
      <c r="E685" s="5" t="inlineStr">
        <is>
          <t>SP</t>
        </is>
      </c>
      <c r="F685" s="5" t="inlineStr">
        <is>
          <t>Easy Lite</t>
        </is>
      </c>
      <c r="G685" s="5" t="inlineStr">
        <is>
          <t>vivo:VIV202600032594-30gb</t>
        </is>
      </c>
      <c r="H685" s="6" t="n">
        <v>45</v>
      </c>
      <c r="I685" s="6" t="n">
        <v>30</v>
      </c>
      <c r="J685" s="5" t="inlineStr">
        <is>
          <t>preço sem fidelidade; fidelidade 12m no promo</t>
        </is>
      </c>
      <c r="K685" s="5" t="inlineStr"/>
      <c r="L685" s="7" t="n">
        <v>30</v>
      </c>
      <c r="M685" s="5" t="inlineStr">
        <is>
          <t>30 GB de franquia</t>
        </is>
      </c>
      <c r="N685" s="5" t="inlineStr"/>
      <c r="O685" s="5" t="inlineStr"/>
      <c r="P685" s="5" t="inlineStr"/>
      <c r="Q685" s="5" t="inlineStr"/>
      <c r="R685" s="5" t="inlineStr"/>
      <c r="S685" s="5" t="n">
        <v>12</v>
      </c>
      <c r="T685" s="5" t="inlineStr">
        <is>
          <t>2 meses de YouTube sem consumo no plano</t>
        </is>
      </c>
      <c r="U685" s="5" t="inlineStr">
        <is>
          <t>https://vivo.com.br/para-voce/produtos-e-servicos/para-o-celular/easy-lite</t>
        </is>
      </c>
      <c r="V685" s="5" t="inlineStr">
        <is>
          <t>data/raw/vivo_lite_SP.html</t>
        </is>
      </c>
    </row>
    <row r="686">
      <c r="A686" s="2" t="inlineStr">
        <is>
          <t>2026-07-04</t>
        </is>
      </c>
      <c r="B686" s="2" t="inlineStr">
        <is>
          <t>2026-07-04T21:56:26</t>
        </is>
      </c>
      <c r="C686" s="2" t="inlineStr">
        <is>
          <t>vivo</t>
        </is>
      </c>
      <c r="D686" s="2" t="inlineStr">
        <is>
          <t>lite</t>
        </is>
      </c>
      <c r="E686" s="2" t="inlineStr">
        <is>
          <t>SP</t>
        </is>
      </c>
      <c r="F686" s="2" t="inlineStr">
        <is>
          <t>Easy Lite</t>
        </is>
      </c>
      <c r="G686" s="2" t="inlineStr">
        <is>
          <t>vivo:VIV202600032596-40gb</t>
        </is>
      </c>
      <c r="H686" s="3" t="n">
        <v>55</v>
      </c>
      <c r="I686" s="3" t="n">
        <v>40</v>
      </c>
      <c r="J686" s="2" t="inlineStr">
        <is>
          <t>preço sem fidelidade; fidelidade 12m no promo</t>
        </is>
      </c>
      <c r="K686" s="2" t="inlineStr"/>
      <c r="L686" s="4" t="n">
        <v>40</v>
      </c>
      <c r="M686" s="2" t="inlineStr">
        <is>
          <t>40 GB de franquia</t>
        </is>
      </c>
      <c r="N686" s="2" t="inlineStr"/>
      <c r="O686" s="2" t="inlineStr"/>
      <c r="P686" s="2" t="inlineStr"/>
      <c r="Q686" s="2" t="inlineStr"/>
      <c r="R686" s="2" t="inlineStr"/>
      <c r="S686" s="2" t="n">
        <v>12</v>
      </c>
      <c r="T686" s="2" t="inlineStr">
        <is>
          <t>2 meses de YouTube sem consumo no plano</t>
        </is>
      </c>
      <c r="U686" s="2" t="inlineStr">
        <is>
          <t>https://vivo.com.br/para-voce/produtos-e-servicos/para-o-celular/easy-lite</t>
        </is>
      </c>
      <c r="V686" s="2" t="inlineStr">
        <is>
          <t>data/raw/vivo_lite_SP.html</t>
        </is>
      </c>
    </row>
    <row r="687">
      <c r="A687" s="5" t="inlineStr">
        <is>
          <t>2026-07-04</t>
        </is>
      </c>
      <c r="B687" s="5" t="inlineStr">
        <is>
          <t>2026-07-04T21:56:26</t>
        </is>
      </c>
      <c r="C687" s="5" t="inlineStr">
        <is>
          <t>vivo</t>
        </is>
      </c>
      <c r="D687" s="5" t="inlineStr">
        <is>
          <t>lite</t>
        </is>
      </c>
      <c r="E687" s="5" t="inlineStr">
        <is>
          <t>SP</t>
        </is>
      </c>
      <c r="F687" s="5" t="inlineStr">
        <is>
          <t>Easy Lite</t>
        </is>
      </c>
      <c r="G687" s="5" t="inlineStr">
        <is>
          <t>vivo:VIV202600032599-20gb</t>
        </is>
      </c>
      <c r="H687" s="6" t="n">
        <v>35</v>
      </c>
      <c r="I687" s="6" t="inlineStr"/>
      <c r="J687" s="5" t="inlineStr"/>
      <c r="K687" s="5" t="inlineStr"/>
      <c r="L687" s="7" t="n">
        <v>20</v>
      </c>
      <c r="M687" s="5" t="inlineStr">
        <is>
          <t>20 GB de franquia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2 meses de YouTube sem consumo no plano</t>
        </is>
      </c>
      <c r="U687" s="5" t="inlineStr">
        <is>
          <t>https://vivo.com.br/para-voce/produtos-e-servicos/para-o-celular/easy-lite</t>
        </is>
      </c>
      <c r="V687" s="5" t="inlineStr">
        <is>
          <t>data/raw/vivo_lite_SP.html</t>
        </is>
      </c>
    </row>
    <row r="688">
      <c r="A688" s="2" t="inlineStr">
        <is>
          <t>2026-07-04</t>
        </is>
      </c>
      <c r="B688" s="2" t="inlineStr">
        <is>
          <t>2026-07-04T21:56:26</t>
        </is>
      </c>
      <c r="C688" s="2" t="inlineStr">
        <is>
          <t>vivo</t>
        </is>
      </c>
      <c r="D688" s="2" t="inlineStr">
        <is>
          <t>postpaid</t>
        </is>
      </c>
      <c r="E688" s="2" t="inlineStr">
        <is>
          <t>SP</t>
        </is>
      </c>
      <c r="F688" s="2" t="inlineStr">
        <is>
          <t>Vivo Pós com Amazon</t>
        </is>
      </c>
      <c r="G688" s="2" t="inlineStr">
        <is>
          <t>vivo:VIV202600029255-60gb</t>
        </is>
      </c>
      <c r="H688" s="3" t="n">
        <v>150</v>
      </c>
      <c r="I688" s="3" t="inlineStr"/>
      <c r="J688" s="2" t="inlineStr"/>
      <c r="K688" s="2" t="inlineStr"/>
      <c r="L688" s="4" t="n">
        <v>60</v>
      </c>
      <c r="M688" s="2" t="inlineStr">
        <is>
          <t>50 GB de franquia 10 GB de bônus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Assinatura Amazon Prime inclusa</t>
        </is>
      </c>
      <c r="U688" s="2" t="inlineStr">
        <is>
          <t>https://vivo.com.br/para-voce/produtos-e-servicos/para-o-celular/planos-pos-pago</t>
        </is>
      </c>
      <c r="V688" s="2" t="inlineStr">
        <is>
          <t>data/raw/vivo_postpaid_SP.html</t>
        </is>
      </c>
    </row>
    <row r="689">
      <c r="A689" s="5" t="inlineStr">
        <is>
          <t>2026-07-04</t>
        </is>
      </c>
      <c r="B689" s="5" t="inlineStr">
        <is>
          <t>2026-07-04T21:56:26</t>
        </is>
      </c>
      <c r="C689" s="5" t="inlineStr">
        <is>
          <t>vivo</t>
        </is>
      </c>
      <c r="D689" s="5" t="inlineStr">
        <is>
          <t>postpaid</t>
        </is>
      </c>
      <c r="E689" s="5" t="inlineStr">
        <is>
          <t>SP</t>
        </is>
      </c>
      <c r="F689" s="5" t="inlineStr">
        <is>
          <t>Vivo Pós com Disney+</t>
        </is>
      </c>
      <c r="G689" s="5" t="inlineStr">
        <is>
          <t>vivo:VIV202600022115-60gb</t>
        </is>
      </c>
      <c r="H689" s="6" t="n">
        <v>180</v>
      </c>
      <c r="I689" s="6" t="inlineStr"/>
      <c r="J689" s="5" t="inlineStr"/>
      <c r="K689" s="5" t="inlineStr"/>
      <c r="L689" s="7" t="n">
        <v>60</v>
      </c>
      <c r="M689" s="5" t="inlineStr">
        <is>
          <t>50 GB de franquia 10 GB de bônus</t>
        </is>
      </c>
      <c r="N689" s="5" t="inlineStr"/>
      <c r="O689" s="5" t="inlineStr"/>
      <c r="P689" s="5" t="inlineStr"/>
      <c r="Q689" s="5" t="inlineStr"/>
      <c r="R689" s="5" t="inlineStr">
        <is>
          <t>Disney+</t>
        </is>
      </c>
      <c r="S689" s="5" t="inlineStr"/>
      <c r="T689" s="5" t="inlineStr">
        <is>
          <t>Assinatura Disney+ Padrão inclusa</t>
        </is>
      </c>
      <c r="U689" s="5" t="inlineStr">
        <is>
          <t>https://vivo.com.br/para-voce/produtos-e-servicos/para-o-celular/planos-pos-pago</t>
        </is>
      </c>
      <c r="V689" s="5" t="inlineStr">
        <is>
          <t>data/raw/vivo_postpaid_SP.html</t>
        </is>
      </c>
    </row>
    <row r="690">
      <c r="A690" s="2" t="inlineStr">
        <is>
          <t>2026-07-04</t>
        </is>
      </c>
      <c r="B690" s="2" t="inlineStr">
        <is>
          <t>2026-07-04T21:56:26</t>
        </is>
      </c>
      <c r="C690" s="2" t="inlineStr">
        <is>
          <t>vivo</t>
        </is>
      </c>
      <c r="D690" s="2" t="inlineStr">
        <is>
          <t>postpaid</t>
        </is>
      </c>
      <c r="E690" s="2" t="inlineStr">
        <is>
          <t>SP</t>
        </is>
      </c>
      <c r="F690" s="2" t="inlineStr">
        <is>
          <t>Vivo Pós com Globoplay</t>
        </is>
      </c>
      <c r="G690" s="2" t="inlineStr">
        <is>
          <t>vivo:VIV202600029246-60gb</t>
        </is>
      </c>
      <c r="H690" s="3" t="n">
        <v>165</v>
      </c>
      <c r="I690" s="3" t="inlineStr"/>
      <c r="J690" s="2" t="inlineStr"/>
      <c r="K690" s="2" t="inlineStr"/>
      <c r="L690" s="4" t="n">
        <v>60</v>
      </c>
      <c r="M690" s="2" t="inlineStr">
        <is>
          <t>50 GB de franquia 10 GB de bônus</t>
        </is>
      </c>
      <c r="N690" s="2" t="inlineStr"/>
      <c r="O690" s="2" t="inlineStr"/>
      <c r="P690" s="2" t="inlineStr"/>
      <c r="Q690" s="2" t="inlineStr"/>
      <c r="R690" s="2" t="inlineStr">
        <is>
          <t>Globoplay</t>
        </is>
      </c>
      <c r="S690" s="2" t="inlineStr"/>
      <c r="T690" s="2" t="inlineStr">
        <is>
          <t>Assinatura Globoplay inclusa</t>
        </is>
      </c>
      <c r="U690" s="2" t="inlineStr">
        <is>
          <t>https://vivo.com.br/para-voce/produtos-e-servicos/para-o-celular/planos-pos-pago</t>
        </is>
      </c>
      <c r="V690" s="2" t="inlineStr">
        <is>
          <t>data/raw/vivo_postpaid_SP.html</t>
        </is>
      </c>
    </row>
    <row r="691">
      <c r="A691" s="5" t="inlineStr">
        <is>
          <t>2026-07-04</t>
        </is>
      </c>
      <c r="B691" s="5" t="inlineStr">
        <is>
          <t>2026-07-04T21:56:26</t>
        </is>
      </c>
      <c r="C691" s="5" t="inlineStr">
        <is>
          <t>vivo</t>
        </is>
      </c>
      <c r="D691" s="5" t="inlineStr">
        <is>
          <t>postpaid</t>
        </is>
      </c>
      <c r="E691" s="5" t="inlineStr">
        <is>
          <t>SP</t>
        </is>
      </c>
      <c r="F691" s="5" t="inlineStr">
        <is>
          <t>Vivo Pós com Netflix</t>
        </is>
      </c>
      <c r="G691" s="5" t="inlineStr">
        <is>
          <t>vivo:VIV202600029234-60gb</t>
        </is>
      </c>
      <c r="H691" s="6" t="n">
        <v>180</v>
      </c>
      <c r="I691" s="6" t="inlineStr"/>
      <c r="J691" s="5" t="inlineStr"/>
      <c r="K691" s="5" t="inlineStr"/>
      <c r="L691" s="7" t="n">
        <v>60</v>
      </c>
      <c r="M691" s="5" t="inlineStr">
        <is>
          <t>50 GB de franquia 10 GB de bônus</t>
        </is>
      </c>
      <c r="N691" s="5" t="inlineStr"/>
      <c r="O691" s="5" t="inlineStr"/>
      <c r="P691" s="5" t="inlineStr"/>
      <c r="Q691" s="5" t="inlineStr"/>
      <c r="R691" s="5" t="inlineStr">
        <is>
          <t>Netflix</t>
        </is>
      </c>
      <c r="S691" s="5" t="inlineStr"/>
      <c r="T691" s="5" t="inlineStr">
        <is>
          <t>Assinatura Netflix Padrão inclusa</t>
        </is>
      </c>
      <c r="U691" s="5" t="inlineStr">
        <is>
          <t>https://vivo.com.br/para-voce/produtos-e-servicos/para-o-celular/planos-pos-pago</t>
        </is>
      </c>
      <c r="V691" s="5" t="inlineStr">
        <is>
          <t>data/raw/vivo_postpaid_SP.html</t>
        </is>
      </c>
    </row>
    <row r="692">
      <c r="A692" s="2" t="inlineStr">
        <is>
          <t>2026-07-04</t>
        </is>
      </c>
      <c r="B692" s="2" t="inlineStr">
        <is>
          <t>2026-07-04T21:56:26</t>
        </is>
      </c>
      <c r="C692" s="2" t="inlineStr">
        <is>
          <t>vivo</t>
        </is>
      </c>
      <c r="D692" s="2" t="inlineStr">
        <is>
          <t>postpaid</t>
        </is>
      </c>
      <c r="E692" s="2" t="inlineStr">
        <is>
          <t>SP</t>
        </is>
      </c>
      <c r="F692" s="2" t="inlineStr">
        <is>
          <t>Vivo Pós com Premiere</t>
        </is>
      </c>
      <c r="G692" s="2" t="inlineStr">
        <is>
          <t>vivo:VIV202600029249-60gb</t>
        </is>
      </c>
      <c r="H692" s="3" t="n">
        <v>180</v>
      </c>
      <c r="I692" s="3" t="inlineStr"/>
      <c r="J692" s="2" t="inlineStr"/>
      <c r="K692" s="2" t="inlineStr"/>
      <c r="L692" s="4" t="n">
        <v>60</v>
      </c>
      <c r="M692" s="2" t="inlineStr">
        <is>
          <t>50 GB de franquia 10 GB de bônus</t>
        </is>
      </c>
      <c r="N692" s="2" t="inlineStr"/>
      <c r="O692" s="2" t="inlineStr"/>
      <c r="P692" s="2" t="inlineStr"/>
      <c r="Q692" s="2" t="inlineStr"/>
      <c r="R692" s="2" t="inlineStr">
        <is>
          <t>Premiere</t>
        </is>
      </c>
      <c r="S692" s="2" t="inlineStr"/>
      <c r="T692" s="2" t="inlineStr">
        <is>
          <t>Assinatura Premiere inclusa</t>
        </is>
      </c>
      <c r="U692" s="2" t="inlineStr">
        <is>
          <t>https://vivo.com.br/para-voce/produtos-e-servicos/para-o-celular/planos-pos-pago</t>
        </is>
      </c>
      <c r="V692" s="2" t="inlineStr">
        <is>
          <t>data/raw/vivo_postpaid_SP.html</t>
        </is>
      </c>
    </row>
    <row r="693">
      <c r="A693" s="5" t="inlineStr">
        <is>
          <t>2026-07-04</t>
        </is>
      </c>
      <c r="B693" s="5" t="inlineStr">
        <is>
          <t>2026-07-04T21:56:26</t>
        </is>
      </c>
      <c r="C693" s="5" t="inlineStr">
        <is>
          <t>vivo</t>
        </is>
      </c>
      <c r="D693" s="5" t="inlineStr">
        <is>
          <t>postpaid</t>
        </is>
      </c>
      <c r="E693" s="5" t="inlineStr">
        <is>
          <t>SP</t>
        </is>
      </c>
      <c r="F693" s="5" t="inlineStr">
        <is>
          <t>Vivo Pós com Spotify</t>
        </is>
      </c>
      <c r="G693" s="5" t="inlineStr">
        <is>
          <t>vivo:VIV202600029229-60gb</t>
        </is>
      </c>
      <c r="H693" s="6" t="n">
        <v>165</v>
      </c>
      <c r="I693" s="6" t="inlineStr"/>
      <c r="J693" s="5" t="inlineStr"/>
      <c r="K693" s="5" t="inlineStr"/>
      <c r="L693" s="7" t="n">
        <v>60</v>
      </c>
      <c r="M693" s="5" t="inlineStr">
        <is>
          <t>50 GB de franquia 10 GB de bônus</t>
        </is>
      </c>
      <c r="N693" s="5" t="inlineStr"/>
      <c r="O693" s="5" t="inlineStr"/>
      <c r="P693" s="5" t="inlineStr"/>
      <c r="Q693" s="5" t="inlineStr"/>
      <c r="R693" s="5" t="inlineStr">
        <is>
          <t>Spotify</t>
        </is>
      </c>
      <c r="S693" s="5" t="inlineStr"/>
      <c r="T693" s="5" t="inlineStr">
        <is>
          <t>Assinatura Spotify Premium inclusa</t>
        </is>
      </c>
      <c r="U693" s="5" t="inlineStr">
        <is>
          <t>https://vivo.com.br/para-voce/produtos-e-servicos/para-o-celular/planos-pos-pago</t>
        </is>
      </c>
      <c r="V693" s="5" t="inlineStr">
        <is>
          <t>data/raw/vivo_postpaid_SP.html</t>
        </is>
      </c>
    </row>
    <row r="694">
      <c r="A694" s="2" t="inlineStr">
        <is>
          <t>2026-07-04</t>
        </is>
      </c>
      <c r="B694" s="2" t="inlineStr">
        <is>
          <t>2026-07-04T21:56:26</t>
        </is>
      </c>
      <c r="C694" s="2" t="inlineStr">
        <is>
          <t>vivo</t>
        </is>
      </c>
      <c r="D694" s="2" t="inlineStr">
        <is>
          <t>postpaid</t>
        </is>
      </c>
      <c r="E694" s="2" t="inlineStr">
        <is>
          <t>SP</t>
        </is>
      </c>
      <c r="F694" s="2" t="inlineStr">
        <is>
          <t>Vivo Pós com Travel</t>
        </is>
      </c>
      <c r="G694" s="2" t="inlineStr">
        <is>
          <t>vivo:VIV202600029244-70gb</t>
        </is>
      </c>
      <c r="H694" s="3" t="n">
        <v>215</v>
      </c>
      <c r="I694" s="3" t="inlineStr"/>
      <c r="J694" s="2" t="inlineStr"/>
      <c r="K694" s="2" t="inlineStr"/>
      <c r="L694" s="4" t="n">
        <v>70</v>
      </c>
      <c r="M694" s="2" t="inlineStr">
        <is>
          <t>60 GB de franquia 10 GB de bônus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2 meses de YouTube sem consumo no plano</t>
        </is>
      </c>
      <c r="U694" s="2" t="inlineStr">
        <is>
          <t>https://vivo.com.br/para-voce/produtos-e-servicos/para-o-celular/planos-pos-pago</t>
        </is>
      </c>
      <c r="V694" s="2" t="inlineStr">
        <is>
          <t>data/raw/vivo_postpaid_SP.html</t>
        </is>
      </c>
    </row>
    <row r="695">
      <c r="A695" s="5" t="inlineStr">
        <is>
          <t>2026-07-04</t>
        </is>
      </c>
      <c r="B695" s="5" t="inlineStr">
        <is>
          <t>2026-07-04T21:56:26</t>
        </is>
      </c>
      <c r="C695" s="5" t="inlineStr">
        <is>
          <t>vivo</t>
        </is>
      </c>
      <c r="D695" s="5" t="inlineStr">
        <is>
          <t>prepaid</t>
        </is>
      </c>
      <c r="E695" s="5" t="inlineStr">
        <is>
          <t>SP</t>
        </is>
      </c>
      <c r="F695" s="5" t="inlineStr">
        <is>
          <t>Vivo Pré</t>
        </is>
      </c>
      <c r="G695" s="5" t="inlineStr">
        <is>
          <t>vivo:VIV202600029370-25gb</t>
        </is>
      </c>
      <c r="H695" s="6" t="n">
        <v>30</v>
      </c>
      <c r="I695" s="6" t="inlineStr"/>
      <c r="J695" s="5" t="inlineStr"/>
      <c r="K695" s="5" t="inlineStr"/>
      <c r="L695" s="7" t="n">
        <v>25</v>
      </c>
      <c r="M695" s="5" t="inlineStr">
        <is>
          <t>15 GB para navegar como quiser 5 GB de bônus 5 GB para navegar no Youtube</t>
        </is>
      </c>
      <c r="N695" s="5" t="n">
        <v>30</v>
      </c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https://vivo.com.br/para-voce/produtos-e-servicos/para-o-celular/pre-pago/vivo-pre</t>
        </is>
      </c>
      <c r="V695" s="5" t="inlineStr">
        <is>
          <t>data/raw/vivo_prepaid_SP.html</t>
        </is>
      </c>
    </row>
    <row r="696">
      <c r="A696" s="2" t="inlineStr">
        <is>
          <t>2026-07-04</t>
        </is>
      </c>
      <c r="B696" s="2" t="inlineStr">
        <is>
          <t>2026-07-04T21:56:26</t>
        </is>
      </c>
      <c r="C696" s="2" t="inlineStr">
        <is>
          <t>vivo</t>
        </is>
      </c>
      <c r="D696" s="2" t="inlineStr">
        <is>
          <t>prepaid</t>
        </is>
      </c>
      <c r="E696" s="2" t="inlineStr">
        <is>
          <t>SP</t>
        </is>
      </c>
      <c r="F696" s="2" t="inlineStr">
        <is>
          <t>Vivo Pré</t>
        </is>
      </c>
      <c r="G696" s="2" t="inlineStr">
        <is>
          <t>vivo:VIV202600029370-9gb</t>
        </is>
      </c>
      <c r="H696" s="3" t="n">
        <v>25</v>
      </c>
      <c r="I696" s="3" t="inlineStr"/>
      <c r="J696" s="2" t="inlineStr"/>
      <c r="K696" s="2" t="inlineStr"/>
      <c r="L696" s="4" t="n">
        <v>9</v>
      </c>
      <c r="M696" s="2" t="inlineStr">
        <is>
          <t>6 GB para navegar como quiser 3 GB para navegar no YouTube</t>
        </is>
      </c>
      <c r="N696" s="2" t="n">
        <v>22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https://vivo.com.br/para-voce/produtos-e-servicos/para-o-celular/pre-pago/vivo-pre</t>
        </is>
      </c>
      <c r="V696" s="2" t="inlineStr">
        <is>
          <t>data/raw/vivo_prepaid_SP.html</t>
        </is>
      </c>
    </row>
    <row r="697">
      <c r="A697" s="5" t="inlineStr">
        <is>
          <t>2026-07-04</t>
        </is>
      </c>
      <c r="B697" s="5" t="inlineStr">
        <is>
          <t>2026-07-04T21:56:26</t>
        </is>
      </c>
      <c r="C697" s="5" t="inlineStr">
        <is>
          <t>vivo</t>
        </is>
      </c>
      <c r="D697" s="5" t="inlineStr">
        <is>
          <t>prepaid</t>
        </is>
      </c>
      <c r="E697" s="5" t="inlineStr">
        <is>
          <t>SP</t>
        </is>
      </c>
      <c r="F697" s="5" t="inlineStr">
        <is>
          <t>Vivo Pré</t>
        </is>
      </c>
      <c r="G697" s="5" t="inlineStr">
        <is>
          <t>vivo:VIV202600029370-5gb</t>
        </is>
      </c>
      <c r="H697" s="6" t="n">
        <v>20</v>
      </c>
      <c r="I697" s="6" t="inlineStr"/>
      <c r="J697" s="5" t="inlineStr"/>
      <c r="K697" s="5" t="inlineStr"/>
      <c r="L697" s="7" t="n">
        <v>5</v>
      </c>
      <c r="M697" s="5" t="inlineStr">
        <is>
          <t>5 GB para navegar como quiser</t>
        </is>
      </c>
      <c r="N697" s="5" t="n">
        <v>17</v>
      </c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https://vivo.com.br/para-voce/produtos-e-servicos/para-o-celular/pre-pago/vivo-pre</t>
        </is>
      </c>
      <c r="V697" s="5" t="inlineStr">
        <is>
          <t>data/raw/vivo_prepaid_SP.html</t>
        </is>
      </c>
    </row>
    <row r="698">
      <c r="A698" s="2" t="inlineStr">
        <is>
          <t>2026-07-04</t>
        </is>
      </c>
      <c r="B698" s="2" t="inlineStr">
        <is>
          <t>2026-07-04T21:56:26</t>
        </is>
      </c>
      <c r="C698" s="2" t="inlineStr">
        <is>
          <t>vivo</t>
        </is>
      </c>
      <c r="D698" s="2" t="inlineStr">
        <is>
          <t>prepaid</t>
        </is>
      </c>
      <c r="E698" s="2" t="inlineStr">
        <is>
          <t>SP</t>
        </is>
      </c>
      <c r="F698" s="2" t="inlineStr">
        <is>
          <t>Vivo Pré</t>
        </is>
      </c>
      <c r="G698" s="2" t="inlineStr">
        <is>
          <t>vivo:VIV202600029370-4gb</t>
        </is>
      </c>
      <c r="H698" s="3" t="n">
        <v>17</v>
      </c>
      <c r="I698" s="3" t="inlineStr"/>
      <c r="J698" s="2" t="inlineStr"/>
      <c r="K698" s="2" t="inlineStr"/>
      <c r="L698" s="4" t="n">
        <v>4</v>
      </c>
      <c r="M698" s="2" t="inlineStr">
        <is>
          <t>4 GB para navegar como quiser</t>
        </is>
      </c>
      <c r="N698" s="2" t="n">
        <v>15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https://vivo.com.br/para-voce/produtos-e-servicos/para-o-celular/pre-pago/vivo-pre</t>
        </is>
      </c>
      <c r="V698" s="2" t="inlineStr">
        <is>
          <t>data/raw/vivo_prepaid_SP.html</t>
        </is>
      </c>
    </row>
    <row r="699">
      <c r="A699" s="5" t="inlineStr">
        <is>
          <t>2026-07-05</t>
        </is>
      </c>
      <c r="B699" s="5" t="inlineStr">
        <is>
          <t>2026-07-05T21:58:39</t>
        </is>
      </c>
      <c r="C699" s="5" t="inlineStr">
        <is>
          <t>claro</t>
        </is>
      </c>
      <c r="D699" s="5" t="inlineStr">
        <is>
          <t>control</t>
        </is>
      </c>
      <c r="E699" s="5" t="inlineStr">
        <is>
          <t>SP</t>
        </is>
      </c>
      <c r="F699" s="5" t="inlineStr">
        <is>
          <t>Controle 25GB</t>
        </is>
      </c>
      <c r="G699" s="5" t="inlineStr">
        <is>
          <t>claro:plano-controle-25gb</t>
        </is>
      </c>
      <c r="H699" s="6" t="n">
        <v>59.9</v>
      </c>
      <c r="I699" s="6" t="n">
        <v>54.9</v>
      </c>
      <c r="J699" s="5" t="inlineStr">
        <is>
          <t>De R$ 59,90 Por:</t>
        </is>
      </c>
      <c r="K699" s="5" t="inlineStr"/>
      <c r="L699" s="7" t="n">
        <v>25</v>
      </c>
      <c r="M699" s="5" t="inlineStr"/>
      <c r="N699" s="5" t="inlineStr"/>
      <c r="O699" s="5" t="inlineStr">
        <is>
          <t>WhatsApp</t>
        </is>
      </c>
      <c r="P699" s="5" t="inlineStr"/>
      <c r="Q699" s="5" t="inlineStr"/>
      <c r="R699" s="5" t="inlineStr"/>
      <c r="S699" s="5" t="inlineStr"/>
      <c r="T699" s="5" t="inlineStr">
        <is>
          <t>Para uso livre; Para redes sociais e vídeos; Bônus exclusivo; Aproveite na sua franquia; WhatsApp e ligações ilimitadas</t>
        </is>
      </c>
      <c r="U699" s="5" t="inlineStr">
        <is>
          <t>https://www.claro.com.br/celular/controle</t>
        </is>
      </c>
      <c r="V699" s="5" t="inlineStr">
        <is>
          <t>data/raw/claro_control_SP.json</t>
        </is>
      </c>
    </row>
    <row r="700">
      <c r="A700" s="2" t="inlineStr">
        <is>
          <t>2026-07-05</t>
        </is>
      </c>
      <c r="B700" s="2" t="inlineStr">
        <is>
          <t>2026-07-05T21:58:39</t>
        </is>
      </c>
      <c r="C700" s="2" t="inlineStr">
        <is>
          <t>claro</t>
        </is>
      </c>
      <c r="D700" s="2" t="inlineStr">
        <is>
          <t>control</t>
        </is>
      </c>
      <c r="E700" s="2" t="inlineStr">
        <is>
          <t>SP</t>
        </is>
      </c>
      <c r="F700" s="2" t="inlineStr">
        <is>
          <t>Controle 30GB</t>
        </is>
      </c>
      <c r="G700" s="2" t="inlineStr">
        <is>
          <t>claro:plano-controle-30gb</t>
        </is>
      </c>
      <c r="H700" s="3" t="n">
        <v>69.90000000000001</v>
      </c>
      <c r="I700" s="3" t="inlineStr"/>
      <c r="J700" s="2" t="inlineStr"/>
      <c r="K700" s="2" t="inlineStr"/>
      <c r="L700" s="4" t="n">
        <v>30</v>
      </c>
      <c r="M700" s="2" t="inlineStr"/>
      <c r="N700" s="2" t="inlineStr"/>
      <c r="O700" s="2" t="inlineStr">
        <is>
          <t>WhatsApp</t>
        </is>
      </c>
      <c r="P700" s="2" t="inlineStr"/>
      <c r="Q700" s="2" t="inlineStr"/>
      <c r="R700" s="2" t="inlineStr"/>
      <c r="S700" s="2" t="inlineStr"/>
      <c r="T700" s="2" t="inlineStr">
        <is>
          <t>Para uso livre; Bônus do Hexa para uso livre; Bônus para redes sociais e apps; Redes sociais e apps; WhatsApp ilimitado</t>
        </is>
      </c>
      <c r="U700" s="2" t="inlineStr">
        <is>
          <t>https://www.claro.com.br/celular/controle</t>
        </is>
      </c>
      <c r="V700" s="2" t="inlineStr">
        <is>
          <t>data/raw/claro_control_SP.json</t>
        </is>
      </c>
    </row>
    <row r="701">
      <c r="A701" s="5" t="inlineStr">
        <is>
          <t>2026-07-05</t>
        </is>
      </c>
      <c r="B701" s="5" t="inlineStr">
        <is>
          <t>2026-07-05T21:58:39</t>
        </is>
      </c>
      <c r="C701" s="5" t="inlineStr">
        <is>
          <t>claro</t>
        </is>
      </c>
      <c r="D701" s="5" t="inlineStr">
        <is>
          <t>control</t>
        </is>
      </c>
      <c r="E701" s="5" t="inlineStr">
        <is>
          <t>SP</t>
        </is>
      </c>
      <c r="F701" s="5" t="inlineStr">
        <is>
          <t>Controle 30GB</t>
        </is>
      </c>
      <c r="G701" s="5" t="inlineStr">
        <is>
          <t>claro:plano-controle-30gb-gaming</t>
        </is>
      </c>
      <c r="H701" s="6" t="n">
        <v>99.90000000000001</v>
      </c>
      <c r="I701" s="6" t="inlineStr"/>
      <c r="J701" s="5" t="inlineStr"/>
      <c r="K701" s="5" t="inlineStr"/>
      <c r="L701" s="7" t="n">
        <v>30</v>
      </c>
      <c r="M701" s="5" t="inlineStr"/>
      <c r="N701" s="5" t="inlineStr"/>
      <c r="O701" s="5" t="inlineStr">
        <is>
          <t>WhatsApp</t>
        </is>
      </c>
      <c r="P701" s="5" t="inlineStr"/>
      <c r="Q701" s="5" t="inlineStr"/>
      <c r="R701" s="5" t="inlineStr"/>
      <c r="S701" s="5" t="inlineStr"/>
      <c r="T701" s="5" t="inlineStr">
        <is>
          <t>Para uso livre; Bônus para redes sociais e apps; Bônus uso livre; Redes sociais e apps; WhatsApp ilimitado</t>
        </is>
      </c>
      <c r="U701" s="5" t="inlineStr">
        <is>
          <t>https://www.claro.com.br/celular/controle</t>
        </is>
      </c>
      <c r="V701" s="5" t="inlineStr">
        <is>
          <t>data/raw/claro_control_SP.json</t>
        </is>
      </c>
    </row>
    <row r="702">
      <c r="A702" s="2" t="inlineStr">
        <is>
          <t>2026-07-05</t>
        </is>
      </c>
      <c r="B702" s="2" t="inlineStr">
        <is>
          <t>2026-07-05T21:58:39</t>
        </is>
      </c>
      <c r="C702" s="2" t="inlineStr">
        <is>
          <t>claro</t>
        </is>
      </c>
      <c r="D702" s="2" t="inlineStr">
        <is>
          <t>flex</t>
        </is>
      </c>
      <c r="E702" s="2" t="inlineStr">
        <is>
          <t>SP</t>
        </is>
      </c>
      <c r="F702" s="2" t="inlineStr">
        <is>
          <t>Flex 15GB</t>
        </is>
      </c>
      <c r="G702" s="2" t="inlineStr">
        <is>
          <t>claro:plano-flex-15gb</t>
        </is>
      </c>
      <c r="H702" s="3" t="n">
        <v>44.9</v>
      </c>
      <c r="I702" s="3" t="inlineStr"/>
      <c r="J702" s="2" t="inlineStr"/>
      <c r="K702" s="2" t="inlineStr"/>
      <c r="L702" s="4" t="n">
        <v>15</v>
      </c>
      <c r="M702" s="2" t="inlineStr"/>
      <c r="N702" s="2" t="inlineStr"/>
      <c r="O702" s="2" t="inlineStr">
        <is>
          <t>WhatsApp</t>
        </is>
      </c>
      <c r="P702" s="2" t="inlineStr"/>
      <c r="Q702" s="2" t="inlineStr"/>
      <c r="R702" s="2" t="inlineStr"/>
      <c r="S702" s="2" t="inlineStr"/>
      <c r="T702" s="2" t="inlineStr">
        <is>
          <t>Para uso livre; Bônus do Hexa para uso livre; Para redes sociais e apps; Bônus extra nos apps; WhatsApp ilimitado</t>
        </is>
      </c>
      <c r="U702" s="2" t="inlineStr">
        <is>
          <t>https://www.claro.com.br/celular/flex</t>
        </is>
      </c>
      <c r="V702" s="2" t="inlineStr">
        <is>
          <t>data/raw/claro_flex_SP.json</t>
        </is>
      </c>
    </row>
    <row r="703">
      <c r="A703" s="5" t="inlineStr">
        <is>
          <t>2026-07-05</t>
        </is>
      </c>
      <c r="B703" s="5" t="inlineStr">
        <is>
          <t>2026-07-05T21:58:39</t>
        </is>
      </c>
      <c r="C703" s="5" t="inlineStr">
        <is>
          <t>claro</t>
        </is>
      </c>
      <c r="D703" s="5" t="inlineStr">
        <is>
          <t>flex</t>
        </is>
      </c>
      <c r="E703" s="5" t="inlineStr">
        <is>
          <t>SP</t>
        </is>
      </c>
      <c r="F703" s="5" t="inlineStr">
        <is>
          <t>Flex 20GB</t>
        </is>
      </c>
      <c r="G703" s="5" t="inlineStr">
        <is>
          <t>claro:plano-flex-20gb</t>
        </is>
      </c>
      <c r="H703" s="6" t="n">
        <v>59.9</v>
      </c>
      <c r="I703" s="6" t="inlineStr"/>
      <c r="J703" s="5" t="inlineStr"/>
      <c r="K703" s="5" t="inlineStr"/>
      <c r="L703" s="7" t="n">
        <v>20</v>
      </c>
      <c r="M703" s="5" t="inlineStr"/>
      <c r="N703" s="5" t="inlineStr"/>
      <c r="O703" s="5" t="inlineStr">
        <is>
          <t>WhatsApp</t>
        </is>
      </c>
      <c r="P703" s="5" t="inlineStr"/>
      <c r="Q703" s="5" t="inlineStr"/>
      <c r="R703" s="5" t="inlineStr"/>
      <c r="S703" s="5" t="inlineStr"/>
      <c r="T703" s="5" t="inlineStr">
        <is>
          <t>Para uso livre; Bônus do Hexa para uso livre; Para redes sociais e apps; Bônus extra nos apps; WhatsApp ilimitado</t>
        </is>
      </c>
      <c r="U703" s="5" t="inlineStr">
        <is>
          <t>https://www.claro.com.br/celular/flex</t>
        </is>
      </c>
      <c r="V703" s="5" t="inlineStr">
        <is>
          <t>data/raw/claro_flex_SP.json</t>
        </is>
      </c>
    </row>
    <row r="704">
      <c r="A704" s="2" t="inlineStr">
        <is>
          <t>2026-07-05</t>
        </is>
      </c>
      <c r="B704" s="2" t="inlineStr">
        <is>
          <t>2026-07-05T21:58:39</t>
        </is>
      </c>
      <c r="C704" s="2" t="inlineStr">
        <is>
          <t>claro</t>
        </is>
      </c>
      <c r="D704" s="2" t="inlineStr">
        <is>
          <t>flex</t>
        </is>
      </c>
      <c r="E704" s="2" t="inlineStr">
        <is>
          <t>SP</t>
        </is>
      </c>
      <c r="F704" s="2" t="inlineStr">
        <is>
          <t>Flex 30GB</t>
        </is>
      </c>
      <c r="G704" s="2" t="inlineStr">
        <is>
          <t>claro:plano-flex-30gb</t>
        </is>
      </c>
      <c r="H704" s="3" t="n">
        <v>69.90000000000001</v>
      </c>
      <c r="I704" s="3" t="inlineStr"/>
      <c r="J704" s="2" t="inlineStr"/>
      <c r="K704" s="2" t="inlineStr"/>
      <c r="L704" s="4" t="n">
        <v>30</v>
      </c>
      <c r="M704" s="2" t="inlineStr"/>
      <c r="N704" s="2" t="inlineStr"/>
      <c r="O704" s="2" t="inlineStr">
        <is>
          <t>WhatsApp</t>
        </is>
      </c>
      <c r="P704" s="2" t="inlineStr"/>
      <c r="Q704" s="2" t="inlineStr"/>
      <c r="R704" s="2" t="inlineStr"/>
      <c r="S704" s="2" t="inlineStr"/>
      <c r="T704" s="2" t="inlineStr">
        <is>
          <t>Para uso livre; Bônus do Hexa para uso livre; Para redes sociais e apps; Bônus extra nos apps; WhatsApp ilimitado; Assinatura Claro musica inclusa</t>
        </is>
      </c>
      <c r="U704" s="2" t="inlineStr">
        <is>
          <t>https://www.claro.com.br/celular/flex</t>
        </is>
      </c>
      <c r="V704" s="2" t="inlineStr">
        <is>
          <t>data/raw/claro_flex_SP.json</t>
        </is>
      </c>
    </row>
    <row r="705">
      <c r="A705" s="5" t="inlineStr">
        <is>
          <t>2026-07-05</t>
        </is>
      </c>
      <c r="B705" s="5" t="inlineStr">
        <is>
          <t>2026-07-05T21:58:39</t>
        </is>
      </c>
      <c r="C705" s="5" t="inlineStr">
        <is>
          <t>claro</t>
        </is>
      </c>
      <c r="D705" s="5" t="inlineStr">
        <is>
          <t>flex</t>
        </is>
      </c>
      <c r="E705" s="5" t="inlineStr">
        <is>
          <t>SP</t>
        </is>
      </c>
      <c r="F705" s="5" t="inlineStr">
        <is>
          <t>Flex 40GB</t>
        </is>
      </c>
      <c r="G705" s="5" t="inlineStr">
        <is>
          <t>claro:plano-flex-40gb</t>
        </is>
      </c>
      <c r="H705" s="6" t="n">
        <v>119.9</v>
      </c>
      <c r="I705" s="6" t="inlineStr"/>
      <c r="J705" s="5" t="inlineStr"/>
      <c r="K705" s="5" t="inlineStr"/>
      <c r="L705" s="7" t="n">
        <v>40</v>
      </c>
      <c r="M705" s="5" t="inlineStr"/>
      <c r="N705" s="5" t="inlineStr"/>
      <c r="O705" s="5" t="inlineStr">
        <is>
          <t>WhatsApp</t>
        </is>
      </c>
      <c r="P705" s="5" t="inlineStr"/>
      <c r="Q705" s="5" t="inlineStr"/>
      <c r="R705" s="5" t="inlineStr"/>
      <c r="S705" s="5" t="inlineStr"/>
      <c r="T705" s="5" t="inlineStr">
        <is>
          <t>Para uso livre; Para redes sociais e apps; Bônus uso livre; Bônus extra nos apps; WhatsApp ilimitado; Assinatura Claro musica inclusa</t>
        </is>
      </c>
      <c r="U705" s="5" t="inlineStr">
        <is>
          <t>https://www.claro.com.br/celular/flex</t>
        </is>
      </c>
      <c r="V705" s="5" t="inlineStr">
        <is>
          <t>data/raw/claro_flex_SP.json</t>
        </is>
      </c>
    </row>
    <row r="706">
      <c r="A706" s="2" t="inlineStr">
        <is>
          <t>2026-07-05</t>
        </is>
      </c>
      <c r="B706" s="2" t="inlineStr">
        <is>
          <t>2026-07-05T21:58:39</t>
        </is>
      </c>
      <c r="C706" s="2" t="inlineStr">
        <is>
          <t>claro</t>
        </is>
      </c>
      <c r="D706" s="2" t="inlineStr">
        <is>
          <t>postpaid</t>
        </is>
      </c>
      <c r="E706" s="2" t="inlineStr">
        <is>
          <t>SP</t>
        </is>
      </c>
      <c r="F706" s="2" t="inlineStr">
        <is>
          <t>Pós 100GB</t>
        </is>
      </c>
      <c r="G706" s="2" t="inlineStr">
        <is>
          <t>claro:plano-pos-100gb</t>
        </is>
      </c>
      <c r="H706" s="3" t="n">
        <v>179.9</v>
      </c>
      <c r="I706" s="3" t="inlineStr"/>
      <c r="J706" s="2" t="inlineStr"/>
      <c r="K706" s="2" t="inlineStr"/>
      <c r="L706" s="4" t="n">
        <v>100</v>
      </c>
      <c r="M706" s="2" t="inlineStr"/>
      <c r="N706" s="2" t="inlineStr"/>
      <c r="O706" s="2" t="inlineStr">
        <is>
          <t>WhatsApp</t>
        </is>
      </c>
      <c r="P706" s="2" t="inlineStr"/>
      <c r="Q706" s="2" t="inlineStr"/>
      <c r="R706" s="2" t="inlineStr"/>
      <c r="S706" s="2" t="inlineStr"/>
      <c r="T706" s="2" t="inlineStr">
        <is>
          <t>Armazenamento na nuvem:; Google One ou iCloud+; WhatsApp ilimitado; Roaming: Passaporte Américas; Claro Sync: Smartwatch conectado</t>
        </is>
      </c>
      <c r="U706" s="2" t="inlineStr">
        <is>
          <t>https://www.claro.com.br/celular/pos</t>
        </is>
      </c>
      <c r="V706" s="2" t="inlineStr">
        <is>
          <t>data/raw/claro_postpaid_SP.json</t>
        </is>
      </c>
    </row>
    <row r="707">
      <c r="A707" s="5" t="inlineStr">
        <is>
          <t>2026-07-05</t>
        </is>
      </c>
      <c r="B707" s="5" t="inlineStr">
        <is>
          <t>2026-07-05T21:58:39</t>
        </is>
      </c>
      <c r="C707" s="5" t="inlineStr">
        <is>
          <t>claro</t>
        </is>
      </c>
      <c r="D707" s="5" t="inlineStr">
        <is>
          <t>postpaid</t>
        </is>
      </c>
      <c r="E707" s="5" t="inlineStr">
        <is>
          <t>SP</t>
        </is>
      </c>
      <c r="F707" s="5" t="inlineStr">
        <is>
          <t>Pós 150GB</t>
        </is>
      </c>
      <c r="G707" s="5" t="inlineStr">
        <is>
          <t>claro:plano-pos-150gb</t>
        </is>
      </c>
      <c r="H707" s="6" t="n">
        <v>239.9</v>
      </c>
      <c r="I707" s="6" t="inlineStr"/>
      <c r="J707" s="5" t="inlineStr"/>
      <c r="K707" s="5" t="inlineStr"/>
      <c r="L707" s="7" t="n">
        <v>150</v>
      </c>
      <c r="M707" s="5" t="inlineStr"/>
      <c r="N707" s="5" t="inlineStr"/>
      <c r="O707" s="5" t="inlineStr">
        <is>
          <t>WhatsApp</t>
        </is>
      </c>
      <c r="P707" s="5" t="inlineStr"/>
      <c r="Q707" s="5" t="inlineStr"/>
      <c r="R707" s="5" t="inlineStr"/>
      <c r="S707" s="5" t="inlineStr"/>
      <c r="T707" s="5" t="inlineStr">
        <is>
          <t>Armazenamento na nuvem:; Google One ou iCloud+; WhatsApp ilimitado; Roaming: Passaporte Américas e Europa; Claro Sync: Smartwatch conectado</t>
        </is>
      </c>
      <c r="U707" s="5" t="inlineStr">
        <is>
          <t>https://www.claro.com.br/celular/pos</t>
        </is>
      </c>
      <c r="V707" s="5" t="inlineStr">
        <is>
          <t>data/raw/claro_postpaid_SP.json</t>
        </is>
      </c>
    </row>
    <row r="708">
      <c r="A708" s="2" t="inlineStr">
        <is>
          <t>2026-07-05</t>
        </is>
      </c>
      <c r="B708" s="2" t="inlineStr">
        <is>
          <t>2026-07-05T21:58:39</t>
        </is>
      </c>
      <c r="C708" s="2" t="inlineStr">
        <is>
          <t>claro</t>
        </is>
      </c>
      <c r="D708" s="2" t="inlineStr">
        <is>
          <t>postpaid</t>
        </is>
      </c>
      <c r="E708" s="2" t="inlineStr">
        <is>
          <t>SP</t>
        </is>
      </c>
      <c r="F708" s="2" t="inlineStr">
        <is>
          <t>Pós 200GB</t>
        </is>
      </c>
      <c r="G708" s="2" t="inlineStr">
        <is>
          <t>claro:plano-pos-200gb</t>
        </is>
      </c>
      <c r="H708" s="3" t="n">
        <v>339.9</v>
      </c>
      <c r="I708" s="3" t="inlineStr"/>
      <c r="J708" s="2" t="inlineStr"/>
      <c r="K708" s="2" t="inlineStr"/>
      <c r="L708" s="4" t="n">
        <v>200</v>
      </c>
      <c r="M708" s="2" t="inlineStr"/>
      <c r="N708" s="2" t="inlineStr"/>
      <c r="O708" s="2" t="inlineStr">
        <is>
          <t>WhatsApp</t>
        </is>
      </c>
      <c r="P708" s="2" t="inlineStr"/>
      <c r="Q708" s="2" t="inlineStr"/>
      <c r="R708" s="2" t="inlineStr"/>
      <c r="S708" s="2" t="inlineStr"/>
      <c r="T708" s="2" t="inlineStr">
        <is>
          <t>Armazenamento na nuvem:; Google One ou iCloud+; WhatsApp ilimitado; Roaming: Passaporte Mundo; Claro Sync: Smartwatch conectado</t>
        </is>
      </c>
      <c r="U708" s="2" t="inlineStr">
        <is>
          <t>https://www.claro.com.br/celular/pos</t>
        </is>
      </c>
      <c r="V708" s="2" t="inlineStr">
        <is>
          <t>data/raw/claro_postpaid_SP.json</t>
        </is>
      </c>
    </row>
    <row r="709">
      <c r="A709" s="5" t="inlineStr">
        <is>
          <t>2026-07-05</t>
        </is>
      </c>
      <c r="B709" s="5" t="inlineStr">
        <is>
          <t>2026-07-05T21:58:39</t>
        </is>
      </c>
      <c r="C709" s="5" t="inlineStr">
        <is>
          <t>claro</t>
        </is>
      </c>
      <c r="D709" s="5" t="inlineStr">
        <is>
          <t>postpaid</t>
        </is>
      </c>
      <c r="E709" s="5" t="inlineStr">
        <is>
          <t>SP</t>
        </is>
      </c>
      <c r="F709" s="5" t="inlineStr">
        <is>
          <t>Pós 50GB com GeForce NOW</t>
        </is>
      </c>
      <c r="G709" s="5" t="inlineStr">
        <is>
          <t>claro:plano-pos-60gb-geforce</t>
        </is>
      </c>
      <c r="H709" s="6" t="n">
        <v>164.9</v>
      </c>
      <c r="I709" s="6" t="inlineStr"/>
      <c r="J709" s="5" t="inlineStr"/>
      <c r="K709" s="5" t="inlineStr"/>
      <c r="L709" s="7" t="n">
        <v>50</v>
      </c>
      <c r="M709" s="5" t="inlineStr"/>
      <c r="N709" s="5" t="inlineStr"/>
      <c r="O709" s="5" t="inlineStr">
        <is>
          <t>WhatsApp</t>
        </is>
      </c>
      <c r="P709" s="5" t="inlineStr"/>
      <c r="Q709" s="5" t="inlineStr"/>
      <c r="R709" s="5" t="inlineStr"/>
      <c r="S709" s="5" t="inlineStr"/>
      <c r="T709" s="5" t="inlineStr">
        <is>
          <t>Armazenamento na nuvem:; Google One ou iCloud+; WhatsApp ilimitado; Roaming: Passaporte Américas; Claro Sync: Smartwatch conectado; Inclusa assinatura GeForce NOW</t>
        </is>
      </c>
      <c r="U709" s="5" t="inlineStr">
        <is>
          <t>https://www.claro.com.br/celular/pos</t>
        </is>
      </c>
      <c r="V709" s="5" t="inlineStr">
        <is>
          <t>data/raw/claro_postpaid_SP.json</t>
        </is>
      </c>
    </row>
    <row r="710">
      <c r="A710" s="2" t="inlineStr">
        <is>
          <t>2026-07-05</t>
        </is>
      </c>
      <c r="B710" s="2" t="inlineStr">
        <is>
          <t>2026-07-05T21:58:39</t>
        </is>
      </c>
      <c r="C710" s="2" t="inlineStr">
        <is>
          <t>claro</t>
        </is>
      </c>
      <c r="D710" s="2" t="inlineStr">
        <is>
          <t>postpaid</t>
        </is>
      </c>
      <c r="E710" s="2" t="inlineStr">
        <is>
          <t>SP</t>
        </is>
      </c>
      <c r="F710" s="2" t="inlineStr">
        <is>
          <t>Pós 60GB</t>
        </is>
      </c>
      <c r="G710" s="2" t="inlineStr">
        <is>
          <t>claro:plano-pos-60gb</t>
        </is>
      </c>
      <c r="H710" s="3" t="n">
        <v>124.9</v>
      </c>
      <c r="I710" s="3" t="inlineStr"/>
      <c r="J710" s="2" t="inlineStr"/>
      <c r="K710" s="2" t="inlineStr"/>
      <c r="L710" s="4" t="n">
        <v>60</v>
      </c>
      <c r="M710" s="2" t="inlineStr"/>
      <c r="N710" s="2" t="inlineStr"/>
      <c r="O710" s="2" t="inlineStr">
        <is>
          <t>WhatsApp</t>
        </is>
      </c>
      <c r="P710" s="2" t="inlineStr"/>
      <c r="Q710" s="2" t="inlineStr"/>
      <c r="R710" s="2" t="inlineStr"/>
      <c r="S710" s="2" t="inlineStr"/>
      <c r="T710" s="2" t="inlineStr">
        <is>
          <t>Armazenamento na nuvem:; Google One ou iCloud+; WhatsApp ilimitado; Roaming: Passaporte Américas; Claro Sync: Smartwatch conectado</t>
        </is>
      </c>
      <c r="U710" s="2" t="inlineStr">
        <is>
          <t>https://www.claro.com.br/celular/pos</t>
        </is>
      </c>
      <c r="V710" s="2" t="inlineStr">
        <is>
          <t>data/raw/claro_postpaid_SP.json</t>
        </is>
      </c>
    </row>
    <row r="711">
      <c r="A711" s="5" t="inlineStr">
        <is>
          <t>2026-07-05</t>
        </is>
      </c>
      <c r="B711" s="5" t="inlineStr">
        <is>
          <t>2026-07-05T21:58:39</t>
        </is>
      </c>
      <c r="C711" s="5" t="inlineStr">
        <is>
          <t>claro</t>
        </is>
      </c>
      <c r="D711" s="5" t="inlineStr">
        <is>
          <t>prepaid</t>
        </is>
      </c>
      <c r="E711" s="5" t="inlineStr">
        <is>
          <t>SP</t>
        </is>
      </c>
      <c r="F711" s="5" t="inlineStr">
        <is>
          <t>Prezão 10GB (25 dias)</t>
        </is>
      </c>
      <c r="G711" s="5" t="inlineStr">
        <is>
          <t>claro:prezao-25d-10gb</t>
        </is>
      </c>
      <c r="H711" s="6" t="n">
        <v>25</v>
      </c>
      <c r="I711" s="6" t="inlineStr"/>
      <c r="J711" s="5" t="inlineStr">
        <is>
          <t>recarga Prezão R$25 — validade 25 dias</t>
        </is>
      </c>
      <c r="K711" s="5" t="inlineStr"/>
      <c r="L711" s="7" t="n">
        <v>10</v>
      </c>
      <c r="M711" s="5" t="inlineStr"/>
      <c r="N711" s="5" t="n">
        <v>25</v>
      </c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https://www.claro.com.br/celular/planos-pre/prezao</t>
        </is>
      </c>
      <c r="V711" s="5" t="inlineStr">
        <is>
          <t>data/raw/claro_prepaid_SP.json</t>
        </is>
      </c>
    </row>
    <row r="712">
      <c r="A712" s="2" t="inlineStr">
        <is>
          <t>2026-07-05</t>
        </is>
      </c>
      <c r="B712" s="2" t="inlineStr">
        <is>
          <t>2026-07-05T21:58:39</t>
        </is>
      </c>
      <c r="C712" s="2" t="inlineStr">
        <is>
          <t>claro</t>
        </is>
      </c>
      <c r="D712" s="2" t="inlineStr">
        <is>
          <t>prepaid</t>
        </is>
      </c>
      <c r="E712" s="2" t="inlineStr">
        <is>
          <t>SP</t>
        </is>
      </c>
      <c r="F712" s="2" t="inlineStr">
        <is>
          <t>Prezão 12GB (30 dias)</t>
        </is>
      </c>
      <c r="G712" s="2" t="inlineStr">
        <is>
          <t>claro:prezao-30d-12gb</t>
        </is>
      </c>
      <c r="H712" s="3" t="n">
        <v>30</v>
      </c>
      <c r="I712" s="3" t="inlineStr"/>
      <c r="J712" s="2" t="inlineStr">
        <is>
          <t>recarga Prezão R$30 — validade 30 dias</t>
        </is>
      </c>
      <c r="K712" s="2" t="inlineStr"/>
      <c r="L712" s="4" t="n">
        <v>12</v>
      </c>
      <c r="M712" s="2" t="inlineStr"/>
      <c r="N712" s="2" t="n">
        <v>30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https://www.claro.com.br/celular/planos-pre/prezao</t>
        </is>
      </c>
      <c r="V712" s="2" t="inlineStr">
        <is>
          <t>data/raw/claro_prepaid_SP.json</t>
        </is>
      </c>
    </row>
    <row r="713">
      <c r="A713" s="5" t="inlineStr">
        <is>
          <t>2026-07-05</t>
        </is>
      </c>
      <c r="B713" s="5" t="inlineStr">
        <is>
          <t>2026-07-05T21:58:39</t>
        </is>
      </c>
      <c r="C713" s="5" t="inlineStr">
        <is>
          <t>claro</t>
        </is>
      </c>
      <c r="D713" s="5" t="inlineStr">
        <is>
          <t>prepaid</t>
        </is>
      </c>
      <c r="E713" s="5" t="inlineStr">
        <is>
          <t>SP</t>
        </is>
      </c>
      <c r="F713" s="5" t="inlineStr">
        <is>
          <t>Prezão 4GB (12 dias)</t>
        </is>
      </c>
      <c r="G713" s="5" t="inlineStr">
        <is>
          <t>claro:prezao-12d-4gb</t>
        </is>
      </c>
      <c r="H713" s="6" t="n">
        <v>15</v>
      </c>
      <c r="I713" s="6" t="inlineStr"/>
      <c r="J713" s="5" t="inlineStr">
        <is>
          <t>recarga Prezão R$15 — validade 12 dias</t>
        </is>
      </c>
      <c r="K713" s="5" t="inlineStr"/>
      <c r="L713" s="7" t="n">
        <v>4</v>
      </c>
      <c r="M713" s="5" t="inlineStr"/>
      <c r="N713" s="5" t="n">
        <v>12</v>
      </c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https://www.claro.com.br/celular/planos-pre/prezao</t>
        </is>
      </c>
      <c r="V713" s="5" t="inlineStr">
        <is>
          <t>data/raw/claro_prepaid_SP.json</t>
        </is>
      </c>
    </row>
    <row r="714">
      <c r="A714" s="2" t="inlineStr">
        <is>
          <t>2026-07-05</t>
        </is>
      </c>
      <c r="B714" s="2" t="inlineStr">
        <is>
          <t>2026-07-05T21:58:39</t>
        </is>
      </c>
      <c r="C714" s="2" t="inlineStr">
        <is>
          <t>claro</t>
        </is>
      </c>
      <c r="D714" s="2" t="inlineStr">
        <is>
          <t>prepaid</t>
        </is>
      </c>
      <c r="E714" s="2" t="inlineStr">
        <is>
          <t>SP</t>
        </is>
      </c>
      <c r="F714" s="2" t="inlineStr">
        <is>
          <t>Prezão 5GB (15 dias)</t>
        </is>
      </c>
      <c r="G714" s="2" t="inlineStr">
        <is>
          <t>claro:prezao-15d-5gb</t>
        </is>
      </c>
      <c r="H714" s="3" t="n">
        <v>15</v>
      </c>
      <c r="I714" s="3" t="inlineStr"/>
      <c r="J714" s="2" t="inlineStr">
        <is>
          <t>recarga Prezão R$15 — validade 15 dias</t>
        </is>
      </c>
      <c r="K714" s="2" t="inlineStr"/>
      <c r="L714" s="4" t="n">
        <v>5</v>
      </c>
      <c r="M714" s="2" t="inlineStr"/>
      <c r="N714" s="2" t="n">
        <v>15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https://www.claro.com.br/celular/planos-pre/prezao</t>
        </is>
      </c>
      <c r="V714" s="2" t="inlineStr">
        <is>
          <t>data/raw/claro_prepaid_SP.json</t>
        </is>
      </c>
    </row>
    <row r="715">
      <c r="A715" s="5" t="inlineStr">
        <is>
          <t>2026-07-05</t>
        </is>
      </c>
      <c r="B715" s="5" t="inlineStr">
        <is>
          <t>2026-07-05T21:58:39</t>
        </is>
      </c>
      <c r="C715" s="5" t="inlineStr">
        <is>
          <t>claro</t>
        </is>
      </c>
      <c r="D715" s="5" t="inlineStr">
        <is>
          <t>prepaid</t>
        </is>
      </c>
      <c r="E715" s="5" t="inlineStr">
        <is>
          <t>SP</t>
        </is>
      </c>
      <c r="F715" s="5" t="inlineStr">
        <is>
          <t>Prezão 6GB (20 dias)</t>
        </is>
      </c>
      <c r="G715" s="5" t="inlineStr">
        <is>
          <t>claro:prezao-20d-6gb</t>
        </is>
      </c>
      <c r="H715" s="6" t="n">
        <v>20</v>
      </c>
      <c r="I715" s="6" t="inlineStr"/>
      <c r="J715" s="5" t="inlineStr">
        <is>
          <t>recarga Prezão R$20 — validade 20 dias</t>
        </is>
      </c>
      <c r="K715" s="5" t="inlineStr"/>
      <c r="L715" s="7" t="n">
        <v>6</v>
      </c>
      <c r="M715" s="5" t="inlineStr"/>
      <c r="N715" s="5" t="n">
        <v>20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https://www.claro.com.br/celular/planos-pre/prezao</t>
        </is>
      </c>
      <c r="V715" s="5" t="inlineStr">
        <is>
          <t>data/raw/claro_prepaid_SP.json</t>
        </is>
      </c>
    </row>
    <row r="716">
      <c r="A716" s="2" t="inlineStr">
        <is>
          <t>2026-07-05</t>
        </is>
      </c>
      <c r="B716" s="2" t="inlineStr">
        <is>
          <t>2026-07-05T21:58:39</t>
        </is>
      </c>
      <c r="C716" s="2" t="inlineStr">
        <is>
          <t>claro</t>
        </is>
      </c>
      <c r="D716" s="2" t="inlineStr">
        <is>
          <t>prepaid</t>
        </is>
      </c>
      <c r="E716" s="2" t="inlineStr">
        <is>
          <t>SP</t>
        </is>
      </c>
      <c r="F716" s="2" t="inlineStr">
        <is>
          <t>Prezão 8GB (20 dias)</t>
        </is>
      </c>
      <c r="G716" s="2" t="inlineStr">
        <is>
          <t>claro:prezao-20d-8gb</t>
        </is>
      </c>
      <c r="H716" s="3" t="n">
        <v>20</v>
      </c>
      <c r="I716" s="3" t="inlineStr"/>
      <c r="J716" s="2" t="inlineStr">
        <is>
          <t>recarga Prezão R$20 — validade 20 dias</t>
        </is>
      </c>
      <c r="K716" s="2" t="inlineStr"/>
      <c r="L716" s="4" t="n">
        <v>8</v>
      </c>
      <c r="M716" s="2" t="inlineStr"/>
      <c r="N716" s="2" t="n">
        <v>20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https://www.claro.com.br/celular/planos-pre/prezao</t>
        </is>
      </c>
      <c r="V716" s="2" t="inlineStr">
        <is>
          <t>data/raw/claro_prepaid_SP.json</t>
        </is>
      </c>
    </row>
    <row r="717">
      <c r="A717" s="5" t="inlineStr">
        <is>
          <t>2026-07-05</t>
        </is>
      </c>
      <c r="B717" s="5" t="inlineStr">
        <is>
          <t>2026-07-05T21:58:39</t>
        </is>
      </c>
      <c r="C717" s="5" t="inlineStr">
        <is>
          <t>claro</t>
        </is>
      </c>
      <c r="D717" s="5" t="inlineStr">
        <is>
          <t>prepaid</t>
        </is>
      </c>
      <c r="E717" s="5" t="inlineStr">
        <is>
          <t>SP</t>
        </is>
      </c>
      <c r="F717" s="5" t="inlineStr">
        <is>
          <t>Prezão 9GB (25 dias)</t>
        </is>
      </c>
      <c r="G717" s="5" t="inlineStr">
        <is>
          <t>claro:prezao-25d-9gb</t>
        </is>
      </c>
      <c r="H717" s="6" t="n">
        <v>25</v>
      </c>
      <c r="I717" s="6" t="inlineStr"/>
      <c r="J717" s="5" t="inlineStr">
        <is>
          <t>recarga Prezão R$25 — validade 25 dias</t>
        </is>
      </c>
      <c r="K717" s="5" t="inlineStr"/>
      <c r="L717" s="7" t="n">
        <v>9</v>
      </c>
      <c r="M717" s="5" t="inlineStr"/>
      <c r="N717" s="5" t="n">
        <v>25</v>
      </c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https://www.claro.com.br/celular/planos-pre/prezao</t>
        </is>
      </c>
      <c r="V717" s="5" t="inlineStr">
        <is>
          <t>data/raw/claro_prepaid_SP.json</t>
        </is>
      </c>
    </row>
    <row r="718">
      <c r="A718" s="2" t="inlineStr">
        <is>
          <t>2026-07-05</t>
        </is>
      </c>
      <c r="B718" s="2" t="inlineStr">
        <is>
          <t>2026-07-05T21:58:39</t>
        </is>
      </c>
      <c r="C718" s="2" t="inlineStr">
        <is>
          <t>tim</t>
        </is>
      </c>
      <c r="D718" s="2" t="inlineStr">
        <is>
          <t>control</t>
        </is>
      </c>
      <c r="E718" s="2" t="inlineStr">
        <is>
          <t>SP</t>
        </is>
      </c>
      <c r="F718" s="2" t="inlineStr">
        <is>
          <t>TIM Controle 41GB</t>
        </is>
      </c>
      <c r="G718" s="2" t="inlineStr">
        <is>
          <t>tim:162901</t>
        </is>
      </c>
      <c r="H718" s="3" t="n">
        <v>58.99</v>
      </c>
      <c r="I718" s="3" t="inlineStr"/>
      <c r="J718" s="2" t="inlineStr"/>
      <c r="K718" s="2" t="inlineStr"/>
      <c r="L718" s="4" t="n">
        <v>41</v>
      </c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https://www.tim.com.br/sp/para-voce/planos/controle</t>
        </is>
      </c>
      <c r="V718" s="2" t="inlineStr">
        <is>
          <t>data/raw/tim_control_SP.html</t>
        </is>
      </c>
    </row>
    <row r="719">
      <c r="A719" s="5" t="inlineStr">
        <is>
          <t>2026-07-05</t>
        </is>
      </c>
      <c r="B719" s="5" t="inlineStr">
        <is>
          <t>2026-07-05T21:58:39</t>
        </is>
      </c>
      <c r="C719" s="5" t="inlineStr">
        <is>
          <t>tim</t>
        </is>
      </c>
      <c r="D719" s="5" t="inlineStr">
        <is>
          <t>control</t>
        </is>
      </c>
      <c r="E719" s="5" t="inlineStr">
        <is>
          <t>SP</t>
        </is>
      </c>
      <c r="F719" s="5" t="inlineStr">
        <is>
          <t>TIM Controle Light Express 31GB</t>
        </is>
      </c>
      <c r="G719" s="5" t="inlineStr">
        <is>
          <t>tim:143536</t>
        </is>
      </c>
      <c r="H719" s="6" t="n">
        <v>60.99</v>
      </c>
      <c r="I719" s="6" t="inlineStr"/>
      <c r="J719" s="5" t="inlineStr"/>
      <c r="K719" s="5" t="inlineStr"/>
      <c r="L719" s="7" t="n">
        <v>31</v>
      </c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https://www.tim.com.br/sp/para-voce/planos/controle</t>
        </is>
      </c>
      <c r="V719" s="5" t="inlineStr">
        <is>
          <t>data/raw/tim_control_SP.html</t>
        </is>
      </c>
    </row>
    <row r="720">
      <c r="A720" s="2" t="inlineStr">
        <is>
          <t>2026-07-05</t>
        </is>
      </c>
      <c r="B720" s="2" t="inlineStr">
        <is>
          <t>2026-07-05T21:58:39</t>
        </is>
      </c>
      <c r="C720" s="2" t="inlineStr">
        <is>
          <t>tim</t>
        </is>
      </c>
      <c r="D720" s="2" t="inlineStr">
        <is>
          <t>control</t>
        </is>
      </c>
      <c r="E720" s="2" t="inlineStr">
        <is>
          <t>SP</t>
        </is>
      </c>
      <c r="F720" s="2" t="inlineStr">
        <is>
          <t>TIM Controle Plus 45GB</t>
        </is>
      </c>
      <c r="G720" s="2" t="inlineStr">
        <is>
          <t>tim:155891</t>
        </is>
      </c>
      <c r="H720" s="3" t="n">
        <v>64.98999999999999</v>
      </c>
      <c r="I720" s="3" t="inlineStr"/>
      <c r="J720" s="2" t="inlineStr"/>
      <c r="K720" s="2" t="inlineStr"/>
      <c r="L720" s="4" t="n">
        <v>45</v>
      </c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https://www.tim.com.br/sp/para-voce/planos/controle</t>
        </is>
      </c>
      <c r="V720" s="2" t="inlineStr">
        <is>
          <t>data/raw/tim_control_SP.html</t>
        </is>
      </c>
    </row>
    <row r="721">
      <c r="A721" s="5" t="inlineStr">
        <is>
          <t>2026-07-05</t>
        </is>
      </c>
      <c r="B721" s="5" t="inlineStr">
        <is>
          <t>2026-07-05T21:58:39</t>
        </is>
      </c>
      <c r="C721" s="5" t="inlineStr">
        <is>
          <t>tim</t>
        </is>
      </c>
      <c r="D721" s="5" t="inlineStr">
        <is>
          <t>control</t>
        </is>
      </c>
      <c r="E721" s="5" t="inlineStr">
        <is>
          <t>SP</t>
        </is>
      </c>
      <c r="F721" s="5" t="inlineStr">
        <is>
          <t>TIM Controle Premium 53GB</t>
        </is>
      </c>
      <c r="G721" s="5" t="inlineStr">
        <is>
          <t>tim:162896</t>
        </is>
      </c>
      <c r="H721" s="6" t="n">
        <v>84.98999999999999</v>
      </c>
      <c r="I721" s="6" t="inlineStr"/>
      <c r="J721" s="5" t="inlineStr"/>
      <c r="K721" s="5" t="inlineStr"/>
      <c r="L721" s="7" t="n">
        <v>53</v>
      </c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https://www.tim.com.br/sp/para-voce/planos/controle</t>
        </is>
      </c>
      <c r="V721" s="5" t="inlineStr">
        <is>
          <t>data/raw/tim_control_SP.html</t>
        </is>
      </c>
    </row>
    <row r="722">
      <c r="A722" s="2" t="inlineStr">
        <is>
          <t>2026-07-05</t>
        </is>
      </c>
      <c r="B722" s="2" t="inlineStr">
        <is>
          <t>2026-07-05T21:58:39</t>
        </is>
      </c>
      <c r="C722" s="2" t="inlineStr">
        <is>
          <t>tim</t>
        </is>
      </c>
      <c r="D722" s="2" t="inlineStr">
        <is>
          <t>control</t>
        </is>
      </c>
      <c r="E722" s="2" t="inlineStr">
        <is>
          <t>SP</t>
        </is>
      </c>
      <c r="F722" s="2" t="inlineStr">
        <is>
          <t>TIM Controle Pro Express</t>
        </is>
      </c>
      <c r="G722" s="2" t="inlineStr">
        <is>
          <t>tim:143576</t>
        </is>
      </c>
      <c r="H722" s="3" t="n">
        <v>64.98999999999999</v>
      </c>
      <c r="I722" s="3" t="inlineStr"/>
      <c r="J722" s="2" t="inlineStr"/>
      <c r="K722" s="2" t="inlineStr"/>
      <c r="L722" s="4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https://www.tim.com.br/sp/para-voce/planos/controle</t>
        </is>
      </c>
      <c r="V722" s="2" t="inlineStr">
        <is>
          <t>data/raw/tim_control_SP.html</t>
        </is>
      </c>
    </row>
    <row r="723">
      <c r="A723" s="5" t="inlineStr">
        <is>
          <t>2026-07-05</t>
        </is>
      </c>
      <c r="B723" s="5" t="inlineStr">
        <is>
          <t>2026-07-05T21:58:39</t>
        </is>
      </c>
      <c r="C723" s="5" t="inlineStr">
        <is>
          <t>tim</t>
        </is>
      </c>
      <c r="D723" s="5" t="inlineStr">
        <is>
          <t>postpaid</t>
        </is>
      </c>
      <c r="E723" s="5" t="inlineStr">
        <is>
          <t>SP</t>
        </is>
      </c>
      <c r="F723" s="5" t="inlineStr">
        <is>
          <t>TIM Black 70GB</t>
        </is>
      </c>
      <c r="G723" s="5" t="inlineStr">
        <is>
          <t>tim:54206</t>
        </is>
      </c>
      <c r="H723" s="6" t="n">
        <v>129.99</v>
      </c>
      <c r="I723" s="6" t="inlineStr"/>
      <c r="J723" s="5" t="inlineStr"/>
      <c r="K723" s="5" t="inlineStr">
        <is>
          <t>bill</t>
        </is>
      </c>
      <c r="L723" s="7" t="n">
        <v>70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https://www.tim.com.br/sp/para-voce/planos/pos-pago/tim-black</t>
        </is>
      </c>
      <c r="V723" s="5" t="inlineStr">
        <is>
          <t>data/raw/tim_postpaid_SP.html</t>
        </is>
      </c>
    </row>
    <row r="724">
      <c r="A724" s="2" t="inlineStr">
        <is>
          <t>2026-07-05</t>
        </is>
      </c>
      <c r="B724" s="2" t="inlineStr">
        <is>
          <t>2026-07-05T21:58:39</t>
        </is>
      </c>
      <c r="C724" s="2" t="inlineStr">
        <is>
          <t>tim</t>
        </is>
      </c>
      <c r="D724" s="2" t="inlineStr">
        <is>
          <t>postpaid</t>
        </is>
      </c>
      <c r="E724" s="2" t="inlineStr">
        <is>
          <t>SP</t>
        </is>
      </c>
      <c r="F724" s="2" t="inlineStr">
        <is>
          <t>TIM Black A Express 67GB</t>
        </is>
      </c>
      <c r="G724" s="2" t="inlineStr">
        <is>
          <t>tim:55121</t>
        </is>
      </c>
      <c r="H724" s="3" t="n">
        <v>119.99</v>
      </c>
      <c r="I724" s="3" t="inlineStr"/>
      <c r="J724" s="2" t="inlineStr"/>
      <c r="K724" s="2" t="inlineStr">
        <is>
          <t>credit_card</t>
        </is>
      </c>
      <c r="L724" s="4" t="n">
        <v>67</v>
      </c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https://www.tim.com.br/sp/para-voce/planos/pos-pago/tim-black</t>
        </is>
      </c>
      <c r="V724" s="2" t="inlineStr">
        <is>
          <t>data/raw/tim_postpaid_SP.html</t>
        </is>
      </c>
    </row>
    <row r="725">
      <c r="A725" s="5" t="inlineStr">
        <is>
          <t>2026-07-05</t>
        </is>
      </c>
      <c r="B725" s="5" t="inlineStr">
        <is>
          <t>2026-07-05T21:58:39</t>
        </is>
      </c>
      <c r="C725" s="5" t="inlineStr">
        <is>
          <t>tim</t>
        </is>
      </c>
      <c r="D725" s="5" t="inlineStr">
        <is>
          <t>postpaid</t>
        </is>
      </c>
      <c r="E725" s="5" t="inlineStr">
        <is>
          <t>SP</t>
        </is>
      </c>
      <c r="F725" s="5" t="inlineStr">
        <is>
          <t>TIM Black B Express 82GB</t>
        </is>
      </c>
      <c r="G725" s="5" t="inlineStr">
        <is>
          <t>tim:52146</t>
        </is>
      </c>
      <c r="H725" s="6" t="n">
        <v>144.99</v>
      </c>
      <c r="I725" s="6" t="inlineStr"/>
      <c r="J725" s="5" t="inlineStr"/>
      <c r="K725" s="5" t="inlineStr">
        <is>
          <t>credit_card</t>
        </is>
      </c>
      <c r="L725" s="7" t="n">
        <v>82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https://www.tim.com.br/sp/para-voce/planos/pos-pago/tim-black</t>
        </is>
      </c>
      <c r="V725" s="5" t="inlineStr">
        <is>
          <t>data/raw/tim_postpaid_SP.html</t>
        </is>
      </c>
    </row>
    <row r="726">
      <c r="A726" s="2" t="inlineStr">
        <is>
          <t>2026-07-05</t>
        </is>
      </c>
      <c r="B726" s="2" t="inlineStr">
        <is>
          <t>2026-07-05T21:58:39</t>
        </is>
      </c>
      <c r="C726" s="2" t="inlineStr">
        <is>
          <t>tim</t>
        </is>
      </c>
      <c r="D726" s="2" t="inlineStr">
        <is>
          <t>postpaid</t>
        </is>
      </c>
      <c r="E726" s="2" t="inlineStr">
        <is>
          <t>SP</t>
        </is>
      </c>
      <c r="F726" s="2" t="inlineStr">
        <is>
          <t>TIM Black C Express 107GB</t>
        </is>
      </c>
      <c r="G726" s="2" t="inlineStr">
        <is>
          <t>tim:52151</t>
        </is>
      </c>
      <c r="H726" s="3" t="n">
        <v>164.99</v>
      </c>
      <c r="I726" s="3" t="inlineStr"/>
      <c r="J726" s="2" t="inlineStr"/>
      <c r="K726" s="2" t="inlineStr">
        <is>
          <t>credit_card</t>
        </is>
      </c>
      <c r="L726" s="4" t="n">
        <v>107</v>
      </c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https://www.tim.com.br/sp/para-voce/planos/pos-pago/tim-black</t>
        </is>
      </c>
      <c r="V726" s="2" t="inlineStr">
        <is>
          <t>data/raw/tim_postpaid_SP.html</t>
        </is>
      </c>
    </row>
    <row r="727">
      <c r="A727" s="5" t="inlineStr">
        <is>
          <t>2026-07-05</t>
        </is>
      </c>
      <c r="B727" s="5" t="inlineStr">
        <is>
          <t>2026-07-05T21:58:39</t>
        </is>
      </c>
      <c r="C727" s="5" t="inlineStr">
        <is>
          <t>tim</t>
        </is>
      </c>
      <c r="D727" s="5" t="inlineStr">
        <is>
          <t>postpaid</t>
        </is>
      </c>
      <c r="E727" s="5" t="inlineStr">
        <is>
          <t>SP</t>
        </is>
      </c>
      <c r="F727" s="5" t="inlineStr">
        <is>
          <t>TIM Black C Ultra 95GB</t>
        </is>
      </c>
      <c r="G727" s="5" t="inlineStr">
        <is>
          <t>tim:100581</t>
        </is>
      </c>
      <c r="H727" s="6" t="n">
        <v>159.99</v>
      </c>
      <c r="I727" s="6" t="inlineStr"/>
      <c r="J727" s="5" t="inlineStr"/>
      <c r="K727" s="5" t="inlineStr">
        <is>
          <t>bill</t>
        </is>
      </c>
      <c r="L727" s="7" t="n">
        <v>95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https://www.tim.com.br/sp/para-voce/planos/pos-pago/tim-black</t>
        </is>
      </c>
      <c r="V727" s="5" t="inlineStr">
        <is>
          <t>data/raw/tim_postpaid_SP.html</t>
        </is>
      </c>
    </row>
    <row r="728">
      <c r="A728" s="2" t="inlineStr">
        <is>
          <t>2026-07-05</t>
        </is>
      </c>
      <c r="B728" s="2" t="inlineStr">
        <is>
          <t>2026-07-05T21:58:39</t>
        </is>
      </c>
      <c r="C728" s="2" t="inlineStr">
        <is>
          <t>tim</t>
        </is>
      </c>
      <c r="D728" s="2" t="inlineStr">
        <is>
          <t>postpaid</t>
        </is>
      </c>
      <c r="E728" s="2" t="inlineStr">
        <is>
          <t>SP</t>
        </is>
      </c>
      <c r="F728" s="2" t="inlineStr">
        <is>
          <t>TIM Black Plus 80GB</t>
        </is>
      </c>
      <c r="G728" s="2" t="inlineStr">
        <is>
          <t>tim:54256</t>
        </is>
      </c>
      <c r="H728" s="3" t="n">
        <v>149.99</v>
      </c>
      <c r="I728" s="3" t="inlineStr"/>
      <c r="J728" s="2" t="inlineStr"/>
      <c r="K728" s="2" t="inlineStr">
        <is>
          <t>bill</t>
        </is>
      </c>
      <c r="L728" s="4" t="n">
        <v>80</v>
      </c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https://www.tim.com.br/sp/para-voce/planos/pos-pago/tim-black</t>
        </is>
      </c>
      <c r="V728" s="2" t="inlineStr">
        <is>
          <t>data/raw/tim_postpaid_SP.html</t>
        </is>
      </c>
    </row>
    <row r="729">
      <c r="A729" s="5" t="inlineStr">
        <is>
          <t>2026-07-05</t>
        </is>
      </c>
      <c r="B729" s="5" t="inlineStr">
        <is>
          <t>2026-07-05T21:58:39</t>
        </is>
      </c>
      <c r="C729" s="5" t="inlineStr">
        <is>
          <t>tim</t>
        </is>
      </c>
      <c r="D729" s="5" t="inlineStr">
        <is>
          <t>postpaid</t>
        </is>
      </c>
      <c r="E729" s="5" t="inlineStr">
        <is>
          <t>SP</t>
        </is>
      </c>
      <c r="F729" s="5" t="inlineStr">
        <is>
          <t>TIM Black Premium 110GB</t>
        </is>
      </c>
      <c r="G729" s="5" t="inlineStr">
        <is>
          <t>tim:54261</t>
        </is>
      </c>
      <c r="H729" s="6" t="n">
        <v>159.99</v>
      </c>
      <c r="I729" s="6" t="inlineStr"/>
      <c r="J729" s="5" t="inlineStr"/>
      <c r="K729" s="5" t="inlineStr">
        <is>
          <t>bill</t>
        </is>
      </c>
      <c r="L729" s="7" t="n">
        <v>110</v>
      </c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https://www.tim.com.br/sp/para-voce/planos/pos-pago/tim-black</t>
        </is>
      </c>
      <c r="V729" s="5" t="inlineStr">
        <is>
          <t>data/raw/tim_postpaid_SP.html</t>
        </is>
      </c>
    </row>
    <row r="730">
      <c r="A730" s="2" t="inlineStr">
        <is>
          <t>2026-07-05</t>
        </is>
      </c>
      <c r="B730" s="2" t="inlineStr">
        <is>
          <t>2026-07-05T21:58:39</t>
        </is>
      </c>
      <c r="C730" s="2" t="inlineStr">
        <is>
          <t>tim</t>
        </is>
      </c>
      <c r="D730" s="2" t="inlineStr">
        <is>
          <t>prepaid</t>
        </is>
      </c>
      <c r="E730" s="2" t="inlineStr">
        <is>
          <t>SP</t>
        </is>
      </c>
      <c r="F730" s="2" t="inlineStr">
        <is>
          <t>TIM Pré XIP Plus 16GB</t>
        </is>
      </c>
      <c r="G730" s="2" t="inlineStr">
        <is>
          <t>tim:106306</t>
        </is>
      </c>
      <c r="H730" s="3" t="n">
        <v>30</v>
      </c>
      <c r="I730" s="3" t="inlineStr"/>
      <c r="J730" s="2" t="inlineStr"/>
      <c r="K730" s="2" t="inlineStr"/>
      <c r="L730" s="4" t="n">
        <v>16</v>
      </c>
      <c r="M730" s="2" t="inlineStr"/>
      <c r="N730" s="2" t="n">
        <v>30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https://www.tim.com.br/sp/para-voce/planos/pre-pago</t>
        </is>
      </c>
      <c r="V730" s="2" t="inlineStr">
        <is>
          <t>data/raw/tim_prepaid_SP.html</t>
        </is>
      </c>
    </row>
    <row r="731">
      <c r="A731" s="5" t="inlineStr">
        <is>
          <t>2026-07-05</t>
        </is>
      </c>
      <c r="B731" s="5" t="inlineStr">
        <is>
          <t>2026-07-05T21:58:39</t>
        </is>
      </c>
      <c r="C731" s="5" t="inlineStr">
        <is>
          <t>tim</t>
        </is>
      </c>
      <c r="D731" s="5" t="inlineStr">
        <is>
          <t>prepaid</t>
        </is>
      </c>
      <c r="E731" s="5" t="inlineStr">
        <is>
          <t>SP</t>
        </is>
      </c>
      <c r="F731" s="5" t="inlineStr">
        <is>
          <t>TIM Pré XIP Plus 6GB</t>
        </is>
      </c>
      <c r="G731" s="5" t="inlineStr">
        <is>
          <t>tim:59906</t>
        </is>
      </c>
      <c r="H731" s="6" t="n">
        <v>20</v>
      </c>
      <c r="I731" s="6" t="inlineStr"/>
      <c r="J731" s="5" t="inlineStr"/>
      <c r="K731" s="5" t="inlineStr"/>
      <c r="L731" s="7" t="n">
        <v>6</v>
      </c>
      <c r="M731" s="5" t="inlineStr"/>
      <c r="N731" s="5" t="n">
        <v>17</v>
      </c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https://www.tim.com.br/sp/para-voce/planos/pre-pago</t>
        </is>
      </c>
      <c r="V731" s="5" t="inlineStr">
        <is>
          <t>data/raw/tim_prepaid_SP.html</t>
        </is>
      </c>
    </row>
    <row r="732">
      <c r="A732" s="2" t="inlineStr">
        <is>
          <t>2026-07-05</t>
        </is>
      </c>
      <c r="B732" s="2" t="inlineStr">
        <is>
          <t>2026-07-05T21:58:39</t>
        </is>
      </c>
      <c r="C732" s="2" t="inlineStr">
        <is>
          <t>tim</t>
        </is>
      </c>
      <c r="D732" s="2" t="inlineStr">
        <is>
          <t>prepaid</t>
        </is>
      </c>
      <c r="E732" s="2" t="inlineStr">
        <is>
          <t>SP</t>
        </is>
      </c>
      <c r="F732" s="2" t="inlineStr">
        <is>
          <t>TIM Pré XIP Plus 8GB</t>
        </is>
      </c>
      <c r="G732" s="2" t="inlineStr">
        <is>
          <t>tim:59901</t>
        </is>
      </c>
      <c r="H732" s="3" t="n">
        <v>25</v>
      </c>
      <c r="I732" s="3" t="inlineStr"/>
      <c r="J732" s="2" t="inlineStr"/>
      <c r="K732" s="2" t="inlineStr"/>
      <c r="L732" s="4" t="n">
        <v>8</v>
      </c>
      <c r="M732" s="2" t="inlineStr"/>
      <c r="N732" s="2" t="n">
        <v>22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https://www.tim.com.br/sp/para-voce/planos/pre-pago</t>
        </is>
      </c>
      <c r="V732" s="2" t="inlineStr">
        <is>
          <t>data/raw/tim_prepaid_SP.html</t>
        </is>
      </c>
    </row>
    <row r="733">
      <c r="A733" s="5" t="inlineStr">
        <is>
          <t>2026-07-05</t>
        </is>
      </c>
      <c r="B733" s="5" t="inlineStr">
        <is>
          <t>2026-07-05T21:58:39</t>
        </is>
      </c>
      <c r="C733" s="5" t="inlineStr">
        <is>
          <t>vivo</t>
        </is>
      </c>
      <c r="D733" s="5" t="inlineStr">
        <is>
          <t>control</t>
        </is>
      </c>
      <c r="E733" s="5" t="inlineStr">
        <is>
          <t>SP</t>
        </is>
      </c>
      <c r="F733" s="5" t="inlineStr">
        <is>
          <t>Vivo Controle</t>
        </is>
      </c>
      <c r="G733" s="5" t="inlineStr">
        <is>
          <t>vivo:VIV202600029270-46gb</t>
        </is>
      </c>
      <c r="H733" s="6" t="n">
        <v>59</v>
      </c>
      <c r="I733" s="6" t="inlineStr"/>
      <c r="J733" s="5" t="inlineStr"/>
      <c r="K733" s="5" t="inlineStr"/>
      <c r="L733" s="7" t="n">
        <v>46</v>
      </c>
      <c r="M733" s="5" t="inlineStr">
        <is>
          <t>15 GB de franquia 31 GB de bônus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>
        <is>
          <t>2 meses de YouTube sem consumo no plano</t>
        </is>
      </c>
      <c r="U733" s="5" t="inlineStr">
        <is>
          <t>https://vivo.com.br/para-voce/produtos-e-servicos/para-o-celular/planos-controle</t>
        </is>
      </c>
      <c r="V733" s="5" t="inlineStr">
        <is>
          <t>data/raw/vivo_control_SP.html</t>
        </is>
      </c>
    </row>
    <row r="734">
      <c r="A734" s="2" t="inlineStr">
        <is>
          <t>2026-07-05</t>
        </is>
      </c>
      <c r="B734" s="2" t="inlineStr">
        <is>
          <t>2026-07-05T21:58:39</t>
        </is>
      </c>
      <c r="C734" s="2" t="inlineStr">
        <is>
          <t>vivo</t>
        </is>
      </c>
      <c r="D734" s="2" t="inlineStr">
        <is>
          <t>control</t>
        </is>
      </c>
      <c r="E734" s="2" t="inlineStr">
        <is>
          <t>SP</t>
        </is>
      </c>
      <c r="F734" s="2" t="inlineStr">
        <is>
          <t>Vivo Controle</t>
        </is>
      </c>
      <c r="G734" s="2" t="inlineStr">
        <is>
          <t>vivo:VIV202600029300-61gb</t>
        </is>
      </c>
      <c r="H734" s="3" t="n">
        <v>80</v>
      </c>
      <c r="I734" s="3" t="inlineStr"/>
      <c r="J734" s="2" t="inlineStr"/>
      <c r="K734" s="2" t="inlineStr"/>
      <c r="L734" s="4" t="n">
        <v>61</v>
      </c>
      <c r="M734" s="2" t="inlineStr">
        <is>
          <t>20 GB de franquia 31 GB de bônus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2 meses de YouTube sem consumo no plano</t>
        </is>
      </c>
      <c r="U734" s="2" t="inlineStr">
        <is>
          <t>https://vivo.com.br/para-voce/produtos-e-servicos/para-o-celular/planos-controle</t>
        </is>
      </c>
      <c r="V734" s="2" t="inlineStr">
        <is>
          <t>data/raw/vivo_control_SP.html</t>
        </is>
      </c>
    </row>
    <row r="735">
      <c r="A735" s="5" t="inlineStr">
        <is>
          <t>2026-07-05</t>
        </is>
      </c>
      <c r="B735" s="5" t="inlineStr">
        <is>
          <t>2026-07-05T21:58:39</t>
        </is>
      </c>
      <c r="C735" s="5" t="inlineStr">
        <is>
          <t>vivo</t>
        </is>
      </c>
      <c r="D735" s="5" t="inlineStr">
        <is>
          <t>control</t>
        </is>
      </c>
      <c r="E735" s="5" t="inlineStr">
        <is>
          <t>SP</t>
        </is>
      </c>
      <c r="F735" s="5" t="inlineStr">
        <is>
          <t>Vivo Controle Educação</t>
        </is>
      </c>
      <c r="G735" s="5" t="inlineStr">
        <is>
          <t>vivo:VIV202600029273-61gb</t>
        </is>
      </c>
      <c r="H735" s="6" t="n">
        <v>90</v>
      </c>
      <c r="I735" s="6" t="inlineStr"/>
      <c r="J735" s="5" t="inlineStr"/>
      <c r="K735" s="5" t="inlineStr"/>
      <c r="L735" s="7" t="n">
        <v>61</v>
      </c>
      <c r="M735" s="5" t="inlineStr">
        <is>
          <t>20 GB de franquia 31 GB de bônus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>
        <is>
          <t>Assinatura Vivae inclusa</t>
        </is>
      </c>
      <c r="U735" s="5" t="inlineStr">
        <is>
          <t>https://vivo.com.br/para-voce/produtos-e-servicos/para-o-celular/planos-controle</t>
        </is>
      </c>
      <c r="V735" s="5" t="inlineStr">
        <is>
          <t>data/raw/vivo_control_SP.html</t>
        </is>
      </c>
    </row>
    <row r="736">
      <c r="A736" s="2" t="inlineStr">
        <is>
          <t>2026-07-05</t>
        </is>
      </c>
      <c r="B736" s="2" t="inlineStr">
        <is>
          <t>2026-07-05T21:58:39</t>
        </is>
      </c>
      <c r="C736" s="2" t="inlineStr">
        <is>
          <t>vivo</t>
        </is>
      </c>
      <c r="D736" s="2" t="inlineStr">
        <is>
          <t>control</t>
        </is>
      </c>
      <c r="E736" s="2" t="inlineStr">
        <is>
          <t>SP</t>
        </is>
      </c>
      <c r="F736" s="2" t="inlineStr">
        <is>
          <t>Vivo Controle Entretenimento</t>
        </is>
      </c>
      <c r="G736" s="2" t="inlineStr">
        <is>
          <t>vivo:VIV202600029307-61gb</t>
        </is>
      </c>
      <c r="H736" s="3" t="n">
        <v>110</v>
      </c>
      <c r="I736" s="3" t="inlineStr"/>
      <c r="J736" s="2" t="inlineStr"/>
      <c r="K736" s="2" t="inlineStr"/>
      <c r="L736" s="4" t="n">
        <v>61</v>
      </c>
      <c r="M736" s="2" t="inlineStr">
        <is>
          <t>20 GB de franquia 31 GB de bônus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Assinatura Vivo TV Inicial inclusa</t>
        </is>
      </c>
      <c r="U736" s="2" t="inlineStr">
        <is>
          <t>https://vivo.com.br/para-voce/produtos-e-servicos/para-o-celular/planos-controle</t>
        </is>
      </c>
      <c r="V736" s="2" t="inlineStr">
        <is>
          <t>data/raw/vivo_control_SP.html</t>
        </is>
      </c>
    </row>
    <row r="737">
      <c r="A737" s="5" t="inlineStr">
        <is>
          <t>2026-07-05</t>
        </is>
      </c>
      <c r="B737" s="5" t="inlineStr">
        <is>
          <t>2026-07-05T21:58:39</t>
        </is>
      </c>
      <c r="C737" s="5" t="inlineStr">
        <is>
          <t>vivo</t>
        </is>
      </c>
      <c r="D737" s="5" t="inlineStr">
        <is>
          <t>control</t>
        </is>
      </c>
      <c r="E737" s="5" t="inlineStr">
        <is>
          <t>SP</t>
        </is>
      </c>
      <c r="F737" s="5" t="inlineStr">
        <is>
          <t>Vivo Controle Música</t>
        </is>
      </c>
      <c r="G737" s="5" t="inlineStr">
        <is>
          <t>vivo:VIV202600029313-61gb</t>
        </is>
      </c>
      <c r="H737" s="6" t="n">
        <v>95</v>
      </c>
      <c r="I737" s="6" t="inlineStr"/>
      <c r="J737" s="5" t="inlineStr"/>
      <c r="K737" s="5" t="inlineStr"/>
      <c r="L737" s="7" t="n">
        <v>61</v>
      </c>
      <c r="M737" s="5" t="inlineStr">
        <is>
          <t>20 GB de franquia 31 GB de bônus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>
        <is>
          <t>Apple Music Individual</t>
        </is>
      </c>
      <c r="U737" s="5" t="inlineStr">
        <is>
          <t>https://vivo.com.br/para-voce/produtos-e-servicos/para-o-celular/planos-controle</t>
        </is>
      </c>
      <c r="V737" s="5" t="inlineStr">
        <is>
          <t>data/raw/vivo_control_SP.html</t>
        </is>
      </c>
    </row>
    <row r="738">
      <c r="A738" s="2" t="inlineStr">
        <is>
          <t>2026-07-05</t>
        </is>
      </c>
      <c r="B738" s="2" t="inlineStr">
        <is>
          <t>2026-07-05T21:58:39</t>
        </is>
      </c>
      <c r="C738" s="2" t="inlineStr">
        <is>
          <t>vivo</t>
        </is>
      </c>
      <c r="D738" s="2" t="inlineStr">
        <is>
          <t>control</t>
        </is>
      </c>
      <c r="E738" s="2" t="inlineStr">
        <is>
          <t>SP</t>
        </is>
      </c>
      <c r="F738" s="2" t="inlineStr">
        <is>
          <t>Vivo Controle Netflix</t>
        </is>
      </c>
      <c r="G738" s="2" t="inlineStr">
        <is>
          <t>vivo:VIV202600029308-61gb</t>
        </is>
      </c>
      <c r="H738" s="3" t="n">
        <v>95</v>
      </c>
      <c r="I738" s="3" t="inlineStr"/>
      <c r="J738" s="2" t="inlineStr"/>
      <c r="K738" s="2" t="inlineStr"/>
      <c r="L738" s="4" t="n">
        <v>61</v>
      </c>
      <c r="M738" s="2" t="inlineStr">
        <is>
          <t>20 GB de franquia 31 GB de bônus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Assinatura Netflix Padrão com anúncios</t>
        </is>
      </c>
      <c r="U738" s="2" t="inlineStr">
        <is>
          <t>https://vivo.com.br/para-voce/produtos-e-servicos/para-o-celular/planos-controle</t>
        </is>
      </c>
      <c r="V738" s="2" t="inlineStr">
        <is>
          <t>data/raw/vivo_control_SP.html</t>
        </is>
      </c>
    </row>
    <row r="739">
      <c r="A739" s="5" t="inlineStr">
        <is>
          <t>2026-07-05</t>
        </is>
      </c>
      <c r="B739" s="5" t="inlineStr">
        <is>
          <t>2026-07-05T21:58:39</t>
        </is>
      </c>
      <c r="C739" s="5" t="inlineStr">
        <is>
          <t>vivo</t>
        </is>
      </c>
      <c r="D739" s="5" t="inlineStr">
        <is>
          <t>control</t>
        </is>
      </c>
      <c r="E739" s="5" t="inlineStr">
        <is>
          <t>SP</t>
        </is>
      </c>
      <c r="F739" s="5" t="inlineStr">
        <is>
          <t>Vivo Controle Saúde</t>
        </is>
      </c>
      <c r="G739" s="5" t="inlineStr">
        <is>
          <t>vivo:VIV202600029301-61gb</t>
        </is>
      </c>
      <c r="H739" s="6" t="n">
        <v>90</v>
      </c>
      <c r="I739" s="6" t="inlineStr"/>
      <c r="J739" s="5" t="inlineStr"/>
      <c r="K739" s="5" t="inlineStr"/>
      <c r="L739" s="7" t="n">
        <v>61</v>
      </c>
      <c r="M739" s="5" t="inlineStr">
        <is>
          <t>20 GB de franquia 31 GB de bônus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>
        <is>
          <t>Assinatura Vale Saúde Sempre inclusa</t>
        </is>
      </c>
      <c r="U739" s="5" t="inlineStr">
        <is>
          <t>https://vivo.com.br/para-voce/produtos-e-servicos/para-o-celular/planos-controle</t>
        </is>
      </c>
      <c r="V739" s="5" t="inlineStr">
        <is>
          <t>data/raw/vivo_control_SP.html</t>
        </is>
      </c>
    </row>
    <row r="740">
      <c r="A740" s="2" t="inlineStr">
        <is>
          <t>2026-07-05</t>
        </is>
      </c>
      <c r="B740" s="2" t="inlineStr">
        <is>
          <t>2026-07-05T21:58:39</t>
        </is>
      </c>
      <c r="C740" s="2" t="inlineStr">
        <is>
          <t>vivo</t>
        </is>
      </c>
      <c r="D740" s="2" t="inlineStr">
        <is>
          <t>control</t>
        </is>
      </c>
      <c r="E740" s="2" t="inlineStr">
        <is>
          <t>SP</t>
        </is>
      </c>
      <c r="F740" s="2" t="inlineStr">
        <is>
          <t>Vivo Controle Segurança</t>
        </is>
      </c>
      <c r="G740" s="2" t="inlineStr">
        <is>
          <t>vivo:VIV202600029274-61gb</t>
        </is>
      </c>
      <c r="H740" s="3" t="n">
        <v>90</v>
      </c>
      <c r="I740" s="3" t="inlineStr"/>
      <c r="J740" s="2" t="inlineStr"/>
      <c r="K740" s="2" t="inlineStr"/>
      <c r="L740" s="4" t="n">
        <v>61</v>
      </c>
      <c r="M740" s="2" t="inlineStr">
        <is>
          <t>20 GB de franquia 31 GB de bônus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Incluso Proteção Rua e Seguro de Bens</t>
        </is>
      </c>
      <c r="U740" s="2" t="inlineStr">
        <is>
          <t>https://vivo.com.br/para-voce/produtos-e-servicos/para-o-celular/planos-controle</t>
        </is>
      </c>
      <c r="V740" s="2" t="inlineStr">
        <is>
          <t>data/raw/vivo_control_SP.html</t>
        </is>
      </c>
    </row>
    <row r="741">
      <c r="A741" s="5" t="inlineStr">
        <is>
          <t>2026-07-05</t>
        </is>
      </c>
      <c r="B741" s="5" t="inlineStr">
        <is>
          <t>2026-07-05T21:58:39</t>
        </is>
      </c>
      <c r="C741" s="5" t="inlineStr">
        <is>
          <t>vivo</t>
        </is>
      </c>
      <c r="D741" s="5" t="inlineStr">
        <is>
          <t>lite</t>
        </is>
      </c>
      <c r="E741" s="5" t="inlineStr">
        <is>
          <t>SP</t>
        </is>
      </c>
      <c r="F741" s="5" t="inlineStr">
        <is>
          <t>Easy Lite</t>
        </is>
      </c>
      <c r="G741" s="5" t="inlineStr">
        <is>
          <t>vivo:VIV202600032594-30gb</t>
        </is>
      </c>
      <c r="H741" s="6" t="n">
        <v>45</v>
      </c>
      <c r="I741" s="6" t="n">
        <v>30</v>
      </c>
      <c r="J741" s="5" t="inlineStr">
        <is>
          <t>preço sem fidelidade; fidelidade 12m no promo</t>
        </is>
      </c>
      <c r="K741" s="5" t="inlineStr"/>
      <c r="L741" s="7" t="n">
        <v>30</v>
      </c>
      <c r="M741" s="5" t="inlineStr">
        <is>
          <t>30 GB de franquia</t>
        </is>
      </c>
      <c r="N741" s="5" t="inlineStr"/>
      <c r="O741" s="5" t="inlineStr"/>
      <c r="P741" s="5" t="inlineStr"/>
      <c r="Q741" s="5" t="inlineStr"/>
      <c r="R741" s="5" t="inlineStr"/>
      <c r="S741" s="5" t="n">
        <v>12</v>
      </c>
      <c r="T741" s="5" t="inlineStr">
        <is>
          <t>2 meses de YouTube sem consumo no plano</t>
        </is>
      </c>
      <c r="U741" s="5" t="inlineStr">
        <is>
          <t>https://vivo.com.br/para-voce/produtos-e-servicos/para-o-celular/easy-lite</t>
        </is>
      </c>
      <c r="V741" s="5" t="inlineStr">
        <is>
          <t>data/raw/vivo_lite_SP.html</t>
        </is>
      </c>
    </row>
    <row r="742">
      <c r="A742" s="2" t="inlineStr">
        <is>
          <t>2026-07-05</t>
        </is>
      </c>
      <c r="B742" s="2" t="inlineStr">
        <is>
          <t>2026-07-05T21:58:39</t>
        </is>
      </c>
      <c r="C742" s="2" t="inlineStr">
        <is>
          <t>vivo</t>
        </is>
      </c>
      <c r="D742" s="2" t="inlineStr">
        <is>
          <t>lite</t>
        </is>
      </c>
      <c r="E742" s="2" t="inlineStr">
        <is>
          <t>SP</t>
        </is>
      </c>
      <c r="F742" s="2" t="inlineStr">
        <is>
          <t>Easy Lite</t>
        </is>
      </c>
      <c r="G742" s="2" t="inlineStr">
        <is>
          <t>vivo:VIV202600032596-40gb</t>
        </is>
      </c>
      <c r="H742" s="3" t="n">
        <v>55</v>
      </c>
      <c r="I742" s="3" t="n">
        <v>40</v>
      </c>
      <c r="J742" s="2" t="inlineStr">
        <is>
          <t>preço sem fidelidade; fidelidade 12m no promo</t>
        </is>
      </c>
      <c r="K742" s="2" t="inlineStr"/>
      <c r="L742" s="4" t="n">
        <v>40</v>
      </c>
      <c r="M742" s="2" t="inlineStr">
        <is>
          <t>40 GB de franquia</t>
        </is>
      </c>
      <c r="N742" s="2" t="inlineStr"/>
      <c r="O742" s="2" t="inlineStr"/>
      <c r="P742" s="2" t="inlineStr"/>
      <c r="Q742" s="2" t="inlineStr"/>
      <c r="R742" s="2" t="inlineStr"/>
      <c r="S742" s="2" t="n">
        <v>12</v>
      </c>
      <c r="T742" s="2" t="inlineStr">
        <is>
          <t>2 meses de YouTube sem consumo no plano</t>
        </is>
      </c>
      <c r="U742" s="2" t="inlineStr">
        <is>
          <t>https://vivo.com.br/para-voce/produtos-e-servicos/para-o-celular/easy-lite</t>
        </is>
      </c>
      <c r="V742" s="2" t="inlineStr">
        <is>
          <t>data/raw/vivo_lite_SP.html</t>
        </is>
      </c>
    </row>
    <row r="743">
      <c r="A743" s="5" t="inlineStr">
        <is>
          <t>2026-07-05</t>
        </is>
      </c>
      <c r="B743" s="5" t="inlineStr">
        <is>
          <t>2026-07-05T21:58:39</t>
        </is>
      </c>
      <c r="C743" s="5" t="inlineStr">
        <is>
          <t>vivo</t>
        </is>
      </c>
      <c r="D743" s="5" t="inlineStr">
        <is>
          <t>lite</t>
        </is>
      </c>
      <c r="E743" s="5" t="inlineStr">
        <is>
          <t>SP</t>
        </is>
      </c>
      <c r="F743" s="5" t="inlineStr">
        <is>
          <t>Easy Lite</t>
        </is>
      </c>
      <c r="G743" s="5" t="inlineStr">
        <is>
          <t>vivo:VIV202600032599-20gb</t>
        </is>
      </c>
      <c r="H743" s="6" t="n">
        <v>35</v>
      </c>
      <c r="I743" s="6" t="inlineStr"/>
      <c r="J743" s="5" t="inlineStr"/>
      <c r="K743" s="5" t="inlineStr"/>
      <c r="L743" s="7" t="n">
        <v>20</v>
      </c>
      <c r="M743" s="5" t="inlineStr">
        <is>
          <t>20 GB de franquia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>
        <is>
          <t>2 meses de YouTube sem consumo no plano</t>
        </is>
      </c>
      <c r="U743" s="5" t="inlineStr">
        <is>
          <t>https://vivo.com.br/para-voce/produtos-e-servicos/para-o-celular/easy-lite</t>
        </is>
      </c>
      <c r="V743" s="5" t="inlineStr">
        <is>
          <t>data/raw/vivo_lite_SP.html</t>
        </is>
      </c>
    </row>
    <row r="744">
      <c r="A744" s="2" t="inlineStr">
        <is>
          <t>2026-07-05</t>
        </is>
      </c>
      <c r="B744" s="2" t="inlineStr">
        <is>
          <t>2026-07-05T21:58:39</t>
        </is>
      </c>
      <c r="C744" s="2" t="inlineStr">
        <is>
          <t>vivo</t>
        </is>
      </c>
      <c r="D744" s="2" t="inlineStr">
        <is>
          <t>postpaid</t>
        </is>
      </c>
      <c r="E744" s="2" t="inlineStr">
        <is>
          <t>SP</t>
        </is>
      </c>
      <c r="F744" s="2" t="inlineStr">
        <is>
          <t>Vivo Pós com Amazon</t>
        </is>
      </c>
      <c r="G744" s="2" t="inlineStr">
        <is>
          <t>vivo:VIV202600029255-60gb</t>
        </is>
      </c>
      <c r="H744" s="3" t="n">
        <v>150</v>
      </c>
      <c r="I744" s="3" t="inlineStr"/>
      <c r="J744" s="2" t="inlineStr"/>
      <c r="K744" s="2" t="inlineStr"/>
      <c r="L744" s="4" t="n">
        <v>60</v>
      </c>
      <c r="M744" s="2" t="inlineStr">
        <is>
          <t>50 GB de franquia 10 GB de bônus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Assinatura Amazon Prime inclusa</t>
        </is>
      </c>
      <c r="U744" s="2" t="inlineStr">
        <is>
          <t>https://vivo.com.br/para-voce/produtos-e-servicos/para-o-celular/planos-pos-pago</t>
        </is>
      </c>
      <c r="V744" s="2" t="inlineStr">
        <is>
          <t>data/raw/vivo_postpaid_SP.html</t>
        </is>
      </c>
    </row>
    <row r="745">
      <c r="A745" s="5" t="inlineStr">
        <is>
          <t>2026-07-05</t>
        </is>
      </c>
      <c r="B745" s="5" t="inlineStr">
        <is>
          <t>2026-07-05T21:58:39</t>
        </is>
      </c>
      <c r="C745" s="5" t="inlineStr">
        <is>
          <t>vivo</t>
        </is>
      </c>
      <c r="D745" s="5" t="inlineStr">
        <is>
          <t>postpaid</t>
        </is>
      </c>
      <c r="E745" s="5" t="inlineStr">
        <is>
          <t>SP</t>
        </is>
      </c>
      <c r="F745" s="5" t="inlineStr">
        <is>
          <t>Vivo Pós com Disney+</t>
        </is>
      </c>
      <c r="G745" s="5" t="inlineStr">
        <is>
          <t>vivo:VIV202600022115-60gb</t>
        </is>
      </c>
      <c r="H745" s="6" t="n">
        <v>180</v>
      </c>
      <c r="I745" s="6" t="inlineStr"/>
      <c r="J745" s="5" t="inlineStr"/>
      <c r="K745" s="5" t="inlineStr"/>
      <c r="L745" s="7" t="n">
        <v>60</v>
      </c>
      <c r="M745" s="5" t="inlineStr">
        <is>
          <t>50 GB de franquia 10 GB de bônus</t>
        </is>
      </c>
      <c r="N745" s="5" t="inlineStr"/>
      <c r="O745" s="5" t="inlineStr"/>
      <c r="P745" s="5" t="inlineStr"/>
      <c r="Q745" s="5" t="inlineStr"/>
      <c r="R745" s="5" t="inlineStr">
        <is>
          <t>Disney+</t>
        </is>
      </c>
      <c r="S745" s="5" t="inlineStr"/>
      <c r="T745" s="5" t="inlineStr">
        <is>
          <t>Assinatura Disney+ Padrão inclusa</t>
        </is>
      </c>
      <c r="U745" s="5" t="inlineStr">
        <is>
          <t>https://vivo.com.br/para-voce/produtos-e-servicos/para-o-celular/planos-pos-pago</t>
        </is>
      </c>
      <c r="V745" s="5" t="inlineStr">
        <is>
          <t>data/raw/vivo_postpaid_SP.html</t>
        </is>
      </c>
    </row>
    <row r="746">
      <c r="A746" s="2" t="inlineStr">
        <is>
          <t>2026-07-05</t>
        </is>
      </c>
      <c r="B746" s="2" t="inlineStr">
        <is>
          <t>2026-07-05T21:58:39</t>
        </is>
      </c>
      <c r="C746" s="2" t="inlineStr">
        <is>
          <t>vivo</t>
        </is>
      </c>
      <c r="D746" s="2" t="inlineStr">
        <is>
          <t>postpaid</t>
        </is>
      </c>
      <c r="E746" s="2" t="inlineStr">
        <is>
          <t>SP</t>
        </is>
      </c>
      <c r="F746" s="2" t="inlineStr">
        <is>
          <t>Vivo Pós com Globoplay</t>
        </is>
      </c>
      <c r="G746" s="2" t="inlineStr">
        <is>
          <t>vivo:VIV202600029246-60gb</t>
        </is>
      </c>
      <c r="H746" s="3" t="n">
        <v>165</v>
      </c>
      <c r="I746" s="3" t="inlineStr"/>
      <c r="J746" s="2" t="inlineStr"/>
      <c r="K746" s="2" t="inlineStr"/>
      <c r="L746" s="4" t="n">
        <v>60</v>
      </c>
      <c r="M746" s="2" t="inlineStr">
        <is>
          <t>50 GB de franquia 10 GB de bônus</t>
        </is>
      </c>
      <c r="N746" s="2" t="inlineStr"/>
      <c r="O746" s="2" t="inlineStr"/>
      <c r="P746" s="2" t="inlineStr"/>
      <c r="Q746" s="2" t="inlineStr"/>
      <c r="R746" s="2" t="inlineStr">
        <is>
          <t>Globoplay</t>
        </is>
      </c>
      <c r="S746" s="2" t="inlineStr"/>
      <c r="T746" s="2" t="inlineStr">
        <is>
          <t>Assinatura Globoplay inclusa</t>
        </is>
      </c>
      <c r="U746" s="2" t="inlineStr">
        <is>
          <t>https://vivo.com.br/para-voce/produtos-e-servicos/para-o-celular/planos-pos-pago</t>
        </is>
      </c>
      <c r="V746" s="2" t="inlineStr">
        <is>
          <t>data/raw/vivo_postpaid_SP.html</t>
        </is>
      </c>
    </row>
    <row r="747">
      <c r="A747" s="5" t="inlineStr">
        <is>
          <t>2026-07-05</t>
        </is>
      </c>
      <c r="B747" s="5" t="inlineStr">
        <is>
          <t>2026-07-05T21:58:39</t>
        </is>
      </c>
      <c r="C747" s="5" t="inlineStr">
        <is>
          <t>vivo</t>
        </is>
      </c>
      <c r="D747" s="5" t="inlineStr">
        <is>
          <t>postpaid</t>
        </is>
      </c>
      <c r="E747" s="5" t="inlineStr">
        <is>
          <t>SP</t>
        </is>
      </c>
      <c r="F747" s="5" t="inlineStr">
        <is>
          <t>Vivo Pós com Netflix</t>
        </is>
      </c>
      <c r="G747" s="5" t="inlineStr">
        <is>
          <t>vivo:VIV202600029234-60gb</t>
        </is>
      </c>
      <c r="H747" s="6" t="n">
        <v>180</v>
      </c>
      <c r="I747" s="6" t="inlineStr"/>
      <c r="J747" s="5" t="inlineStr"/>
      <c r="K747" s="5" t="inlineStr"/>
      <c r="L747" s="7" t="n">
        <v>60</v>
      </c>
      <c r="M747" s="5" t="inlineStr">
        <is>
          <t>50 GB de franquia 10 GB de bônus</t>
        </is>
      </c>
      <c r="N747" s="5" t="inlineStr"/>
      <c r="O747" s="5" t="inlineStr"/>
      <c r="P747" s="5" t="inlineStr"/>
      <c r="Q747" s="5" t="inlineStr"/>
      <c r="R747" s="5" t="inlineStr">
        <is>
          <t>Netflix</t>
        </is>
      </c>
      <c r="S747" s="5" t="inlineStr"/>
      <c r="T747" s="5" t="inlineStr">
        <is>
          <t>Assinatura Netflix Padrão inclusa</t>
        </is>
      </c>
      <c r="U747" s="5" t="inlineStr">
        <is>
          <t>https://vivo.com.br/para-voce/produtos-e-servicos/para-o-celular/planos-pos-pago</t>
        </is>
      </c>
      <c r="V747" s="5" t="inlineStr">
        <is>
          <t>data/raw/vivo_postpaid_SP.html</t>
        </is>
      </c>
    </row>
    <row r="748">
      <c r="A748" s="2" t="inlineStr">
        <is>
          <t>2026-07-05</t>
        </is>
      </c>
      <c r="B748" s="2" t="inlineStr">
        <is>
          <t>2026-07-05T21:58:39</t>
        </is>
      </c>
      <c r="C748" s="2" t="inlineStr">
        <is>
          <t>vivo</t>
        </is>
      </c>
      <c r="D748" s="2" t="inlineStr">
        <is>
          <t>postpaid</t>
        </is>
      </c>
      <c r="E748" s="2" t="inlineStr">
        <is>
          <t>SP</t>
        </is>
      </c>
      <c r="F748" s="2" t="inlineStr">
        <is>
          <t>Vivo Pós com Premiere</t>
        </is>
      </c>
      <c r="G748" s="2" t="inlineStr">
        <is>
          <t>vivo:VIV202600029249-60gb</t>
        </is>
      </c>
      <c r="H748" s="3" t="n">
        <v>180</v>
      </c>
      <c r="I748" s="3" t="inlineStr"/>
      <c r="J748" s="2" t="inlineStr"/>
      <c r="K748" s="2" t="inlineStr"/>
      <c r="L748" s="4" t="n">
        <v>60</v>
      </c>
      <c r="M748" s="2" t="inlineStr">
        <is>
          <t>50 GB de franquia 10 GB de bônus</t>
        </is>
      </c>
      <c r="N748" s="2" t="inlineStr"/>
      <c r="O748" s="2" t="inlineStr"/>
      <c r="P748" s="2" t="inlineStr"/>
      <c r="Q748" s="2" t="inlineStr"/>
      <c r="R748" s="2" t="inlineStr">
        <is>
          <t>Premiere</t>
        </is>
      </c>
      <c r="S748" s="2" t="inlineStr"/>
      <c r="T748" s="2" t="inlineStr">
        <is>
          <t>Assinatura Premiere inclusa</t>
        </is>
      </c>
      <c r="U748" s="2" t="inlineStr">
        <is>
          <t>https://vivo.com.br/para-voce/produtos-e-servicos/para-o-celular/planos-pos-pago</t>
        </is>
      </c>
      <c r="V748" s="2" t="inlineStr">
        <is>
          <t>data/raw/vivo_postpaid_SP.html</t>
        </is>
      </c>
    </row>
    <row r="749">
      <c r="A749" s="5" t="inlineStr">
        <is>
          <t>2026-07-05</t>
        </is>
      </c>
      <c r="B749" s="5" t="inlineStr">
        <is>
          <t>2026-07-05T21:58:39</t>
        </is>
      </c>
      <c r="C749" s="5" t="inlineStr">
        <is>
          <t>vivo</t>
        </is>
      </c>
      <c r="D749" s="5" t="inlineStr">
        <is>
          <t>postpaid</t>
        </is>
      </c>
      <c r="E749" s="5" t="inlineStr">
        <is>
          <t>SP</t>
        </is>
      </c>
      <c r="F749" s="5" t="inlineStr">
        <is>
          <t>Vivo Pós com Spotify</t>
        </is>
      </c>
      <c r="G749" s="5" t="inlineStr">
        <is>
          <t>vivo:VIV202600029229-60gb</t>
        </is>
      </c>
      <c r="H749" s="6" t="n">
        <v>165</v>
      </c>
      <c r="I749" s="6" t="inlineStr"/>
      <c r="J749" s="5" t="inlineStr"/>
      <c r="K749" s="5" t="inlineStr"/>
      <c r="L749" s="7" t="n">
        <v>60</v>
      </c>
      <c r="M749" s="5" t="inlineStr">
        <is>
          <t>50 GB de franquia 10 GB de bônus</t>
        </is>
      </c>
      <c r="N749" s="5" t="inlineStr"/>
      <c r="O749" s="5" t="inlineStr"/>
      <c r="P749" s="5" t="inlineStr"/>
      <c r="Q749" s="5" t="inlineStr"/>
      <c r="R749" s="5" t="inlineStr">
        <is>
          <t>Spotify</t>
        </is>
      </c>
      <c r="S749" s="5" t="inlineStr"/>
      <c r="T749" s="5" t="inlineStr">
        <is>
          <t>Assinatura Spotify Premium inclusa</t>
        </is>
      </c>
      <c r="U749" s="5" t="inlineStr">
        <is>
          <t>https://vivo.com.br/para-voce/produtos-e-servicos/para-o-celular/planos-pos-pago</t>
        </is>
      </c>
      <c r="V749" s="5" t="inlineStr">
        <is>
          <t>data/raw/vivo_postpaid_SP.html</t>
        </is>
      </c>
    </row>
    <row r="750">
      <c r="A750" s="2" t="inlineStr">
        <is>
          <t>2026-07-05</t>
        </is>
      </c>
      <c r="B750" s="2" t="inlineStr">
        <is>
          <t>2026-07-05T21:58:39</t>
        </is>
      </c>
      <c r="C750" s="2" t="inlineStr">
        <is>
          <t>vivo</t>
        </is>
      </c>
      <c r="D750" s="2" t="inlineStr">
        <is>
          <t>postpaid</t>
        </is>
      </c>
      <c r="E750" s="2" t="inlineStr">
        <is>
          <t>SP</t>
        </is>
      </c>
      <c r="F750" s="2" t="inlineStr">
        <is>
          <t>Vivo Pós com Travel</t>
        </is>
      </c>
      <c r="G750" s="2" t="inlineStr">
        <is>
          <t>vivo:VIV202600029244-70gb</t>
        </is>
      </c>
      <c r="H750" s="3" t="n">
        <v>215</v>
      </c>
      <c r="I750" s="3" t="inlineStr"/>
      <c r="J750" s="2" t="inlineStr"/>
      <c r="K750" s="2" t="inlineStr"/>
      <c r="L750" s="4" t="n">
        <v>70</v>
      </c>
      <c r="M750" s="2" t="inlineStr">
        <is>
          <t>60 GB de franquia 10 GB de bônus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2 meses de YouTube sem consumo no plano</t>
        </is>
      </c>
      <c r="U750" s="2" t="inlineStr">
        <is>
          <t>https://vivo.com.br/para-voce/produtos-e-servicos/para-o-celular/planos-pos-pago</t>
        </is>
      </c>
      <c r="V750" s="2" t="inlineStr">
        <is>
          <t>data/raw/vivo_postpaid_SP.html</t>
        </is>
      </c>
    </row>
    <row r="751">
      <c r="A751" s="5" t="inlineStr">
        <is>
          <t>2026-07-05</t>
        </is>
      </c>
      <c r="B751" s="5" t="inlineStr">
        <is>
          <t>2026-07-05T21:58:39</t>
        </is>
      </c>
      <c r="C751" s="5" t="inlineStr">
        <is>
          <t>vivo</t>
        </is>
      </c>
      <c r="D751" s="5" t="inlineStr">
        <is>
          <t>prepaid</t>
        </is>
      </c>
      <c r="E751" s="5" t="inlineStr">
        <is>
          <t>SP</t>
        </is>
      </c>
      <c r="F751" s="5" t="inlineStr">
        <is>
          <t>Vivo Pré</t>
        </is>
      </c>
      <c r="G751" s="5" t="inlineStr">
        <is>
          <t>vivo:VIV202600029370-25gb</t>
        </is>
      </c>
      <c r="H751" s="6" t="n">
        <v>30</v>
      </c>
      <c r="I751" s="6" t="inlineStr"/>
      <c r="J751" s="5" t="inlineStr"/>
      <c r="K751" s="5" t="inlineStr"/>
      <c r="L751" s="7" t="n">
        <v>25</v>
      </c>
      <c r="M751" s="5" t="inlineStr">
        <is>
          <t>15 GB para navegar como quiser 5 GB de bônus 5 GB para navegar no Youtube</t>
        </is>
      </c>
      <c r="N751" s="5" t="n">
        <v>30</v>
      </c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https://vivo.com.br/para-voce/produtos-e-servicos/para-o-celular/pre-pago/vivo-pre</t>
        </is>
      </c>
      <c r="V751" s="5" t="inlineStr">
        <is>
          <t>data/raw/vivo_prepaid_SP.html</t>
        </is>
      </c>
    </row>
    <row r="752">
      <c r="A752" s="2" t="inlineStr">
        <is>
          <t>2026-07-05</t>
        </is>
      </c>
      <c r="B752" s="2" t="inlineStr">
        <is>
          <t>2026-07-05T21:58:39</t>
        </is>
      </c>
      <c r="C752" s="2" t="inlineStr">
        <is>
          <t>vivo</t>
        </is>
      </c>
      <c r="D752" s="2" t="inlineStr">
        <is>
          <t>prepaid</t>
        </is>
      </c>
      <c r="E752" s="2" t="inlineStr">
        <is>
          <t>SP</t>
        </is>
      </c>
      <c r="F752" s="2" t="inlineStr">
        <is>
          <t>Vivo Pré</t>
        </is>
      </c>
      <c r="G752" s="2" t="inlineStr">
        <is>
          <t>vivo:VIV202600029370-9gb</t>
        </is>
      </c>
      <c r="H752" s="3" t="n">
        <v>25</v>
      </c>
      <c r="I752" s="3" t="inlineStr"/>
      <c r="J752" s="2" t="inlineStr"/>
      <c r="K752" s="2" t="inlineStr"/>
      <c r="L752" s="4" t="n">
        <v>9</v>
      </c>
      <c r="M752" s="2" t="inlineStr">
        <is>
          <t>6 GB para navegar como quiser 3 GB para navegar no YouTube</t>
        </is>
      </c>
      <c r="N752" s="2" t="n">
        <v>22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https://vivo.com.br/para-voce/produtos-e-servicos/para-o-celular/pre-pago/vivo-pre</t>
        </is>
      </c>
      <c r="V752" s="2" t="inlineStr">
        <is>
          <t>data/raw/vivo_prepaid_SP.html</t>
        </is>
      </c>
    </row>
    <row r="753">
      <c r="A753" s="5" t="inlineStr">
        <is>
          <t>2026-07-05</t>
        </is>
      </c>
      <c r="B753" s="5" t="inlineStr">
        <is>
          <t>2026-07-05T21:58:39</t>
        </is>
      </c>
      <c r="C753" s="5" t="inlineStr">
        <is>
          <t>vivo</t>
        </is>
      </c>
      <c r="D753" s="5" t="inlineStr">
        <is>
          <t>prepaid</t>
        </is>
      </c>
      <c r="E753" s="5" t="inlineStr">
        <is>
          <t>SP</t>
        </is>
      </c>
      <c r="F753" s="5" t="inlineStr">
        <is>
          <t>Vivo Pré</t>
        </is>
      </c>
      <c r="G753" s="5" t="inlineStr">
        <is>
          <t>vivo:VIV202600029370-5gb</t>
        </is>
      </c>
      <c r="H753" s="6" t="n">
        <v>20</v>
      </c>
      <c r="I753" s="6" t="inlineStr"/>
      <c r="J753" s="5" t="inlineStr"/>
      <c r="K753" s="5" t="inlineStr"/>
      <c r="L753" s="7" t="n">
        <v>5</v>
      </c>
      <c r="M753" s="5" t="inlineStr">
        <is>
          <t>5 GB para navegar como quiser</t>
        </is>
      </c>
      <c r="N753" s="5" t="n">
        <v>17</v>
      </c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https://vivo.com.br/para-voce/produtos-e-servicos/para-o-celular/pre-pago/vivo-pre</t>
        </is>
      </c>
      <c r="V753" s="5" t="inlineStr">
        <is>
          <t>data/raw/vivo_prepaid_SP.html</t>
        </is>
      </c>
    </row>
    <row r="754">
      <c r="A754" s="2" t="inlineStr">
        <is>
          <t>2026-07-05</t>
        </is>
      </c>
      <c r="B754" s="2" t="inlineStr">
        <is>
          <t>2026-07-05T21:58:39</t>
        </is>
      </c>
      <c r="C754" s="2" t="inlineStr">
        <is>
          <t>vivo</t>
        </is>
      </c>
      <c r="D754" s="2" t="inlineStr">
        <is>
          <t>prepaid</t>
        </is>
      </c>
      <c r="E754" s="2" t="inlineStr">
        <is>
          <t>SP</t>
        </is>
      </c>
      <c r="F754" s="2" t="inlineStr">
        <is>
          <t>Vivo Pré</t>
        </is>
      </c>
      <c r="G754" s="2" t="inlineStr">
        <is>
          <t>vivo:VIV202600029370-4gb</t>
        </is>
      </c>
      <c r="H754" s="3" t="n">
        <v>17</v>
      </c>
      <c r="I754" s="3" t="inlineStr"/>
      <c r="J754" s="2" t="inlineStr"/>
      <c r="K754" s="2" t="inlineStr"/>
      <c r="L754" s="4" t="n">
        <v>4</v>
      </c>
      <c r="M754" s="2" t="inlineStr">
        <is>
          <t>4 GB para navegar como quiser</t>
        </is>
      </c>
      <c r="N754" s="2" t="n">
        <v>15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https://vivo.com.br/para-voce/produtos-e-servicos/para-o-celular/pre-pago/vivo-pre</t>
        </is>
      </c>
      <c r="V754" s="2" t="inlineStr">
        <is>
          <t>data/raw/vivo_prepaid_SP.html</t>
        </is>
      </c>
    </row>
    <row r="755">
      <c r="A755" s="5" t="inlineStr">
        <is>
          <t>2026-07-06</t>
        </is>
      </c>
      <c r="B755" s="5" t="inlineStr">
        <is>
          <t>2026-07-06T22:11:41</t>
        </is>
      </c>
      <c r="C755" s="5" t="inlineStr">
        <is>
          <t>claro</t>
        </is>
      </c>
      <c r="D755" s="5" t="inlineStr">
        <is>
          <t>control</t>
        </is>
      </c>
      <c r="E755" s="5" t="inlineStr">
        <is>
          <t>SP</t>
        </is>
      </c>
      <c r="F755" s="5" t="inlineStr">
        <is>
          <t>Controle 25GB</t>
        </is>
      </c>
      <c r="G755" s="5" t="inlineStr">
        <is>
          <t>claro:plano-controle-25gb</t>
        </is>
      </c>
      <c r="H755" s="6" t="n">
        <v>59.9</v>
      </c>
      <c r="I755" s="6" t="n">
        <v>54.9</v>
      </c>
      <c r="J755" s="5" t="inlineStr">
        <is>
          <t>De R$ 59,90 Por:</t>
        </is>
      </c>
      <c r="K755" s="5" t="inlineStr"/>
      <c r="L755" s="7" t="n">
        <v>25</v>
      </c>
      <c r="M755" s="5" t="inlineStr"/>
      <c r="N755" s="5" t="inlineStr"/>
      <c r="O755" s="5" t="inlineStr">
        <is>
          <t>WhatsApp</t>
        </is>
      </c>
      <c r="P755" s="5" t="inlineStr"/>
      <c r="Q755" s="5" t="inlineStr"/>
      <c r="R755" s="5" t="inlineStr"/>
      <c r="S755" s="5" t="inlineStr"/>
      <c r="T755" s="5" t="inlineStr">
        <is>
          <t>Para uso livre; Para redes sociais e vídeos; Bônus exclusivo; Aproveite na sua franquia; WhatsApp e ligações ilimitadas</t>
        </is>
      </c>
      <c r="U755" s="5" t="inlineStr">
        <is>
          <t>https://www.claro.com.br/celular/controle</t>
        </is>
      </c>
      <c r="V755" s="5" t="inlineStr">
        <is>
          <t>data/raw/claro_control_SP.json</t>
        </is>
      </c>
    </row>
    <row r="756">
      <c r="A756" s="2" t="inlineStr">
        <is>
          <t>2026-07-06</t>
        </is>
      </c>
      <c r="B756" s="2" t="inlineStr">
        <is>
          <t>2026-07-06T22:11:41</t>
        </is>
      </c>
      <c r="C756" s="2" t="inlineStr">
        <is>
          <t>claro</t>
        </is>
      </c>
      <c r="D756" s="2" t="inlineStr">
        <is>
          <t>control</t>
        </is>
      </c>
      <c r="E756" s="2" t="inlineStr">
        <is>
          <t>SP</t>
        </is>
      </c>
      <c r="F756" s="2" t="inlineStr">
        <is>
          <t>Controle 30GB</t>
        </is>
      </c>
      <c r="G756" s="2" t="inlineStr">
        <is>
          <t>claro:plano-controle-30gb</t>
        </is>
      </c>
      <c r="H756" s="3" t="n">
        <v>69.90000000000001</v>
      </c>
      <c r="I756" s="3" t="inlineStr"/>
      <c r="J756" s="2" t="inlineStr"/>
      <c r="K756" s="2" t="inlineStr"/>
      <c r="L756" s="4" t="n">
        <v>30</v>
      </c>
      <c r="M756" s="2" t="inlineStr"/>
      <c r="N756" s="2" t="inlineStr"/>
      <c r="O756" s="2" t="inlineStr">
        <is>
          <t>WhatsApp</t>
        </is>
      </c>
      <c r="P756" s="2" t="inlineStr"/>
      <c r="Q756" s="2" t="inlineStr"/>
      <c r="R756" s="2" t="inlineStr"/>
      <c r="S756" s="2" t="inlineStr"/>
      <c r="T756" s="2" t="inlineStr">
        <is>
          <t>Para uso livre; Bônus especial para uso livre; Bônus para redes sociais e apps; Redes sociais e apps; WhatsApp ilimitado</t>
        </is>
      </c>
      <c r="U756" s="2" t="inlineStr">
        <is>
          <t>https://www.claro.com.br/celular/controle</t>
        </is>
      </c>
      <c r="V756" s="2" t="inlineStr">
        <is>
          <t>data/raw/claro_control_SP.json</t>
        </is>
      </c>
    </row>
    <row r="757">
      <c r="A757" s="5" t="inlineStr">
        <is>
          <t>2026-07-06</t>
        </is>
      </c>
      <c r="B757" s="5" t="inlineStr">
        <is>
          <t>2026-07-06T22:11:41</t>
        </is>
      </c>
      <c r="C757" s="5" t="inlineStr">
        <is>
          <t>claro</t>
        </is>
      </c>
      <c r="D757" s="5" t="inlineStr">
        <is>
          <t>control</t>
        </is>
      </c>
      <c r="E757" s="5" t="inlineStr">
        <is>
          <t>SP</t>
        </is>
      </c>
      <c r="F757" s="5" t="inlineStr">
        <is>
          <t>Controle 30GB</t>
        </is>
      </c>
      <c r="G757" s="5" t="inlineStr">
        <is>
          <t>claro:plano-controle-30gb-gaming</t>
        </is>
      </c>
      <c r="H757" s="6" t="n">
        <v>99.90000000000001</v>
      </c>
      <c r="I757" s="6" t="inlineStr"/>
      <c r="J757" s="5" t="inlineStr"/>
      <c r="K757" s="5" t="inlineStr"/>
      <c r="L757" s="7" t="n">
        <v>30</v>
      </c>
      <c r="M757" s="5" t="inlineStr"/>
      <c r="N757" s="5" t="inlineStr"/>
      <c r="O757" s="5" t="inlineStr">
        <is>
          <t>WhatsApp</t>
        </is>
      </c>
      <c r="P757" s="5" t="inlineStr"/>
      <c r="Q757" s="5" t="inlineStr"/>
      <c r="R757" s="5" t="inlineStr"/>
      <c r="S757" s="5" t="inlineStr"/>
      <c r="T757" s="5" t="inlineStr">
        <is>
          <t>Para uso livre; Bônus para redes sociais e apps; Bônus uso livre; Redes sociais e apps; WhatsApp ilimitado</t>
        </is>
      </c>
      <c r="U757" s="5" t="inlineStr">
        <is>
          <t>https://www.claro.com.br/celular/controle</t>
        </is>
      </c>
      <c r="V757" s="5" t="inlineStr">
        <is>
          <t>data/raw/claro_control_SP.json</t>
        </is>
      </c>
    </row>
    <row r="758">
      <c r="A758" s="2" t="inlineStr">
        <is>
          <t>2026-07-06</t>
        </is>
      </c>
      <c r="B758" s="2" t="inlineStr">
        <is>
          <t>2026-07-06T22:11:41</t>
        </is>
      </c>
      <c r="C758" s="2" t="inlineStr">
        <is>
          <t>claro</t>
        </is>
      </c>
      <c r="D758" s="2" t="inlineStr">
        <is>
          <t>flex</t>
        </is>
      </c>
      <c r="E758" s="2" t="inlineStr">
        <is>
          <t>SP</t>
        </is>
      </c>
      <c r="F758" s="2" t="inlineStr">
        <is>
          <t>Flex 15GB</t>
        </is>
      </c>
      <c r="G758" s="2" t="inlineStr">
        <is>
          <t>claro:plano-flex-15gb</t>
        </is>
      </c>
      <c r="H758" s="3" t="n">
        <v>44.9</v>
      </c>
      <c r="I758" s="3" t="inlineStr"/>
      <c r="J758" s="2" t="inlineStr"/>
      <c r="K758" s="2" t="inlineStr"/>
      <c r="L758" s="4" t="n">
        <v>15</v>
      </c>
      <c r="M758" s="2" t="inlineStr"/>
      <c r="N758" s="2" t="inlineStr"/>
      <c r="O758" s="2" t="inlineStr">
        <is>
          <t>WhatsApp</t>
        </is>
      </c>
      <c r="P758" s="2" t="inlineStr"/>
      <c r="Q758" s="2" t="inlineStr"/>
      <c r="R758" s="2" t="inlineStr"/>
      <c r="S758" s="2" t="inlineStr"/>
      <c r="T758" s="2" t="inlineStr">
        <is>
          <t>Para uso livre; Bônus especial para uso livre; Para redes sociais e apps; Bônus extra nos apps; WhatsApp ilimitado</t>
        </is>
      </c>
      <c r="U758" s="2" t="inlineStr">
        <is>
          <t>https://www.claro.com.br/celular/flex</t>
        </is>
      </c>
      <c r="V758" s="2" t="inlineStr">
        <is>
          <t>data/raw/claro_flex_SP.json</t>
        </is>
      </c>
    </row>
    <row r="759">
      <c r="A759" s="5" t="inlineStr">
        <is>
          <t>2026-07-06</t>
        </is>
      </c>
      <c r="B759" s="5" t="inlineStr">
        <is>
          <t>2026-07-06T22:11:41</t>
        </is>
      </c>
      <c r="C759" s="5" t="inlineStr">
        <is>
          <t>claro</t>
        </is>
      </c>
      <c r="D759" s="5" t="inlineStr">
        <is>
          <t>flex</t>
        </is>
      </c>
      <c r="E759" s="5" t="inlineStr">
        <is>
          <t>SP</t>
        </is>
      </c>
      <c r="F759" s="5" t="inlineStr">
        <is>
          <t>Flex 20GB</t>
        </is>
      </c>
      <c r="G759" s="5" t="inlineStr">
        <is>
          <t>claro:plano-flex-20gb</t>
        </is>
      </c>
      <c r="H759" s="6" t="n">
        <v>59.9</v>
      </c>
      <c r="I759" s="6" t="inlineStr"/>
      <c r="J759" s="5" t="inlineStr"/>
      <c r="K759" s="5" t="inlineStr"/>
      <c r="L759" s="7" t="n">
        <v>20</v>
      </c>
      <c r="M759" s="5" t="inlineStr"/>
      <c r="N759" s="5" t="inlineStr"/>
      <c r="O759" s="5" t="inlineStr">
        <is>
          <t>WhatsApp</t>
        </is>
      </c>
      <c r="P759" s="5" t="inlineStr"/>
      <c r="Q759" s="5" t="inlineStr"/>
      <c r="R759" s="5" t="inlineStr"/>
      <c r="S759" s="5" t="inlineStr"/>
      <c r="T759" s="5" t="inlineStr">
        <is>
          <t>Para uso livre; Bônus especial para uso livre; Para redes sociais e apps; Bônus extra nos apps; WhatsApp ilimitado</t>
        </is>
      </c>
      <c r="U759" s="5" t="inlineStr">
        <is>
          <t>https://www.claro.com.br/celular/flex</t>
        </is>
      </c>
      <c r="V759" s="5" t="inlineStr">
        <is>
          <t>data/raw/claro_flex_SP.json</t>
        </is>
      </c>
    </row>
    <row r="760">
      <c r="A760" s="2" t="inlineStr">
        <is>
          <t>2026-07-06</t>
        </is>
      </c>
      <c r="B760" s="2" t="inlineStr">
        <is>
          <t>2026-07-06T22:11:41</t>
        </is>
      </c>
      <c r="C760" s="2" t="inlineStr">
        <is>
          <t>claro</t>
        </is>
      </c>
      <c r="D760" s="2" t="inlineStr">
        <is>
          <t>flex</t>
        </is>
      </c>
      <c r="E760" s="2" t="inlineStr">
        <is>
          <t>SP</t>
        </is>
      </c>
      <c r="F760" s="2" t="inlineStr">
        <is>
          <t>Flex 30GB</t>
        </is>
      </c>
      <c r="G760" s="2" t="inlineStr">
        <is>
          <t>claro:plano-flex-30gb</t>
        </is>
      </c>
      <c r="H760" s="3" t="n">
        <v>69.90000000000001</v>
      </c>
      <c r="I760" s="3" t="inlineStr"/>
      <c r="J760" s="2" t="inlineStr"/>
      <c r="K760" s="2" t="inlineStr"/>
      <c r="L760" s="4" t="n">
        <v>30</v>
      </c>
      <c r="M760" s="2" t="inlineStr"/>
      <c r="N760" s="2" t="inlineStr"/>
      <c r="O760" s="2" t="inlineStr">
        <is>
          <t>WhatsApp</t>
        </is>
      </c>
      <c r="P760" s="2" t="inlineStr"/>
      <c r="Q760" s="2" t="inlineStr"/>
      <c r="R760" s="2" t="inlineStr"/>
      <c r="S760" s="2" t="inlineStr"/>
      <c r="T760" s="2" t="inlineStr">
        <is>
          <t>Para uso livre; Bônus especial para uso livre; Para redes sociais e apps; Bônus extra nos apps; WhatsApp ilimitado; Assinatura Claro musica inclusa</t>
        </is>
      </c>
      <c r="U760" s="2" t="inlineStr">
        <is>
          <t>https://www.claro.com.br/celular/flex</t>
        </is>
      </c>
      <c r="V760" s="2" t="inlineStr">
        <is>
          <t>data/raw/claro_flex_SP.json</t>
        </is>
      </c>
    </row>
    <row r="761">
      <c r="A761" s="5" t="inlineStr">
        <is>
          <t>2026-07-06</t>
        </is>
      </c>
      <c r="B761" s="5" t="inlineStr">
        <is>
          <t>2026-07-06T22:11:41</t>
        </is>
      </c>
      <c r="C761" s="5" t="inlineStr">
        <is>
          <t>claro</t>
        </is>
      </c>
      <c r="D761" s="5" t="inlineStr">
        <is>
          <t>flex</t>
        </is>
      </c>
      <c r="E761" s="5" t="inlineStr">
        <is>
          <t>SP</t>
        </is>
      </c>
      <c r="F761" s="5" t="inlineStr">
        <is>
          <t>Flex 40GB</t>
        </is>
      </c>
      <c r="G761" s="5" t="inlineStr">
        <is>
          <t>claro:plano-flex-40gb</t>
        </is>
      </c>
      <c r="H761" s="6" t="n">
        <v>119.9</v>
      </c>
      <c r="I761" s="6" t="inlineStr"/>
      <c r="J761" s="5" t="inlineStr"/>
      <c r="K761" s="5" t="inlineStr"/>
      <c r="L761" s="7" t="n">
        <v>40</v>
      </c>
      <c r="M761" s="5" t="inlineStr"/>
      <c r="N761" s="5" t="inlineStr"/>
      <c r="O761" s="5" t="inlineStr">
        <is>
          <t>WhatsApp</t>
        </is>
      </c>
      <c r="P761" s="5" t="inlineStr"/>
      <c r="Q761" s="5" t="inlineStr"/>
      <c r="R761" s="5" t="inlineStr"/>
      <c r="S761" s="5" t="inlineStr"/>
      <c r="T761" s="5" t="inlineStr">
        <is>
          <t>Para uso livre; Para redes sociais e apps; Bônus uso livre; Bônus extra nos apps; WhatsApp ilimitado; Assinatura Claro musica inclusa</t>
        </is>
      </c>
      <c r="U761" s="5" t="inlineStr">
        <is>
          <t>https://www.claro.com.br/celular/flex</t>
        </is>
      </c>
      <c r="V761" s="5" t="inlineStr">
        <is>
          <t>data/raw/claro_flex_SP.json</t>
        </is>
      </c>
    </row>
    <row r="762">
      <c r="A762" s="2" t="inlineStr">
        <is>
          <t>2026-07-06</t>
        </is>
      </c>
      <c r="B762" s="2" t="inlineStr">
        <is>
          <t>2026-07-06T22:11:41</t>
        </is>
      </c>
      <c r="C762" s="2" t="inlineStr">
        <is>
          <t>claro</t>
        </is>
      </c>
      <c r="D762" s="2" t="inlineStr">
        <is>
          <t>postpaid</t>
        </is>
      </c>
      <c r="E762" s="2" t="inlineStr">
        <is>
          <t>SP</t>
        </is>
      </c>
      <c r="F762" s="2" t="inlineStr">
        <is>
          <t>Pós 100GB</t>
        </is>
      </c>
      <c r="G762" s="2" t="inlineStr">
        <is>
          <t>claro:plano-pos-100gb</t>
        </is>
      </c>
      <c r="H762" s="3" t="n">
        <v>179.9</v>
      </c>
      <c r="I762" s="3" t="inlineStr"/>
      <c r="J762" s="2" t="inlineStr"/>
      <c r="K762" s="2" t="inlineStr"/>
      <c r="L762" s="4" t="n">
        <v>100</v>
      </c>
      <c r="M762" s="2" t="inlineStr"/>
      <c r="N762" s="2" t="inlineStr"/>
      <c r="O762" s="2" t="inlineStr">
        <is>
          <t>WhatsApp</t>
        </is>
      </c>
      <c r="P762" s="2" t="inlineStr"/>
      <c r="Q762" s="2" t="inlineStr"/>
      <c r="R762" s="2" t="inlineStr"/>
      <c r="S762" s="2" t="inlineStr"/>
      <c r="T762" s="2" t="inlineStr">
        <is>
          <t>Armazenamento na nuvem:; Google One ou iCloud+; WhatsApp ilimitado; Roaming: Passaporte Américas; Claro Sync: Smartwatch conectado</t>
        </is>
      </c>
      <c r="U762" s="2" t="inlineStr">
        <is>
          <t>https://www.claro.com.br/celular/pos</t>
        </is>
      </c>
      <c r="V762" s="2" t="inlineStr">
        <is>
          <t>data/raw/claro_postpaid_SP.json</t>
        </is>
      </c>
    </row>
    <row r="763">
      <c r="A763" s="5" t="inlineStr">
        <is>
          <t>2026-07-06</t>
        </is>
      </c>
      <c r="B763" s="5" t="inlineStr">
        <is>
          <t>2026-07-06T22:11:41</t>
        </is>
      </c>
      <c r="C763" s="5" t="inlineStr">
        <is>
          <t>claro</t>
        </is>
      </c>
      <c r="D763" s="5" t="inlineStr">
        <is>
          <t>postpaid</t>
        </is>
      </c>
      <c r="E763" s="5" t="inlineStr">
        <is>
          <t>SP</t>
        </is>
      </c>
      <c r="F763" s="5" t="inlineStr">
        <is>
          <t>Pós 150GB</t>
        </is>
      </c>
      <c r="G763" s="5" t="inlineStr">
        <is>
          <t>claro:plano-pos-150gb</t>
        </is>
      </c>
      <c r="H763" s="6" t="n">
        <v>239.9</v>
      </c>
      <c r="I763" s="6" t="inlineStr"/>
      <c r="J763" s="5" t="inlineStr"/>
      <c r="K763" s="5" t="inlineStr"/>
      <c r="L763" s="7" t="n">
        <v>150</v>
      </c>
      <c r="M763" s="5" t="inlineStr"/>
      <c r="N763" s="5" t="inlineStr"/>
      <c r="O763" s="5" t="inlineStr">
        <is>
          <t>WhatsApp</t>
        </is>
      </c>
      <c r="P763" s="5" t="inlineStr"/>
      <c r="Q763" s="5" t="inlineStr"/>
      <c r="R763" s="5" t="inlineStr"/>
      <c r="S763" s="5" t="inlineStr"/>
      <c r="T763" s="5" t="inlineStr">
        <is>
          <t>Armazenamento na nuvem:; Google One ou iCloud+; WhatsApp ilimitado; Roaming: Passaporte Américas e Europa; Claro Sync: Smartwatch conectado</t>
        </is>
      </c>
      <c r="U763" s="5" t="inlineStr">
        <is>
          <t>https://www.claro.com.br/celular/pos</t>
        </is>
      </c>
      <c r="V763" s="5" t="inlineStr">
        <is>
          <t>data/raw/claro_postpaid_SP.json</t>
        </is>
      </c>
    </row>
    <row r="764">
      <c r="A764" s="2" t="inlineStr">
        <is>
          <t>2026-07-06</t>
        </is>
      </c>
      <c r="B764" s="2" t="inlineStr">
        <is>
          <t>2026-07-06T22:11:41</t>
        </is>
      </c>
      <c r="C764" s="2" t="inlineStr">
        <is>
          <t>claro</t>
        </is>
      </c>
      <c r="D764" s="2" t="inlineStr">
        <is>
          <t>postpaid</t>
        </is>
      </c>
      <c r="E764" s="2" t="inlineStr">
        <is>
          <t>SP</t>
        </is>
      </c>
      <c r="F764" s="2" t="inlineStr">
        <is>
          <t>Pós 200GB</t>
        </is>
      </c>
      <c r="G764" s="2" t="inlineStr">
        <is>
          <t>claro:plano-pos-200gb</t>
        </is>
      </c>
      <c r="H764" s="3" t="n">
        <v>339.9</v>
      </c>
      <c r="I764" s="3" t="inlineStr"/>
      <c r="J764" s="2" t="inlineStr"/>
      <c r="K764" s="2" t="inlineStr"/>
      <c r="L764" s="4" t="n">
        <v>200</v>
      </c>
      <c r="M764" s="2" t="inlineStr"/>
      <c r="N764" s="2" t="inlineStr"/>
      <c r="O764" s="2" t="inlineStr">
        <is>
          <t>WhatsApp</t>
        </is>
      </c>
      <c r="P764" s="2" t="inlineStr"/>
      <c r="Q764" s="2" t="inlineStr"/>
      <c r="R764" s="2" t="inlineStr"/>
      <c r="S764" s="2" t="inlineStr"/>
      <c r="T764" s="2" t="inlineStr">
        <is>
          <t>Armazenamento na nuvem:; Google One ou iCloud+; WhatsApp ilimitado; Roaming: Passaporte Mundo; Claro Sync: Smartwatch conectado</t>
        </is>
      </c>
      <c r="U764" s="2" t="inlineStr">
        <is>
          <t>https://www.claro.com.br/celular/pos</t>
        </is>
      </c>
      <c r="V764" s="2" t="inlineStr">
        <is>
          <t>data/raw/claro_postpaid_SP.json</t>
        </is>
      </c>
    </row>
    <row r="765">
      <c r="A765" s="5" t="inlineStr">
        <is>
          <t>2026-07-06</t>
        </is>
      </c>
      <c r="B765" s="5" t="inlineStr">
        <is>
          <t>2026-07-06T22:11:41</t>
        </is>
      </c>
      <c r="C765" s="5" t="inlineStr">
        <is>
          <t>claro</t>
        </is>
      </c>
      <c r="D765" s="5" t="inlineStr">
        <is>
          <t>postpaid</t>
        </is>
      </c>
      <c r="E765" s="5" t="inlineStr">
        <is>
          <t>SP</t>
        </is>
      </c>
      <c r="F765" s="5" t="inlineStr">
        <is>
          <t>Pós 50GB com GeForce NOW</t>
        </is>
      </c>
      <c r="G765" s="5" t="inlineStr">
        <is>
          <t>claro:plano-pos-60gb-geforce</t>
        </is>
      </c>
      <c r="H765" s="6" t="n">
        <v>164.9</v>
      </c>
      <c r="I765" s="6" t="inlineStr"/>
      <c r="J765" s="5" t="inlineStr"/>
      <c r="K765" s="5" t="inlineStr"/>
      <c r="L765" s="7" t="n">
        <v>50</v>
      </c>
      <c r="M765" s="5" t="inlineStr"/>
      <c r="N765" s="5" t="inlineStr"/>
      <c r="O765" s="5" t="inlineStr">
        <is>
          <t>WhatsApp</t>
        </is>
      </c>
      <c r="P765" s="5" t="inlineStr"/>
      <c r="Q765" s="5" t="inlineStr"/>
      <c r="R765" s="5" t="inlineStr"/>
      <c r="S765" s="5" t="inlineStr"/>
      <c r="T765" s="5" t="inlineStr">
        <is>
          <t>Armazenamento na nuvem:; Google One ou iCloud+; WhatsApp ilimitado; Roaming: Passaporte Américas; Claro Sync: Smartwatch conectado; Inclusa assinatura GeForce NOW</t>
        </is>
      </c>
      <c r="U765" s="5" t="inlineStr">
        <is>
          <t>https://www.claro.com.br/celular/pos</t>
        </is>
      </c>
      <c r="V765" s="5" t="inlineStr">
        <is>
          <t>data/raw/claro_postpaid_SP.json</t>
        </is>
      </c>
    </row>
    <row r="766">
      <c r="A766" s="2" t="inlineStr">
        <is>
          <t>2026-07-06</t>
        </is>
      </c>
      <c r="B766" s="2" t="inlineStr">
        <is>
          <t>2026-07-06T22:11:41</t>
        </is>
      </c>
      <c r="C766" s="2" t="inlineStr">
        <is>
          <t>claro</t>
        </is>
      </c>
      <c r="D766" s="2" t="inlineStr">
        <is>
          <t>postpaid</t>
        </is>
      </c>
      <c r="E766" s="2" t="inlineStr">
        <is>
          <t>SP</t>
        </is>
      </c>
      <c r="F766" s="2" t="inlineStr">
        <is>
          <t>Pós 60GB</t>
        </is>
      </c>
      <c r="G766" s="2" t="inlineStr">
        <is>
          <t>claro:plano-pos-60gb</t>
        </is>
      </c>
      <c r="H766" s="3" t="n">
        <v>124.9</v>
      </c>
      <c r="I766" s="3" t="inlineStr"/>
      <c r="J766" s="2" t="inlineStr"/>
      <c r="K766" s="2" t="inlineStr"/>
      <c r="L766" s="4" t="n">
        <v>60</v>
      </c>
      <c r="M766" s="2" t="inlineStr"/>
      <c r="N766" s="2" t="inlineStr"/>
      <c r="O766" s="2" t="inlineStr">
        <is>
          <t>WhatsApp</t>
        </is>
      </c>
      <c r="P766" s="2" t="inlineStr"/>
      <c r="Q766" s="2" t="inlineStr"/>
      <c r="R766" s="2" t="inlineStr"/>
      <c r="S766" s="2" t="inlineStr"/>
      <c r="T766" s="2" t="inlineStr">
        <is>
          <t>Armazenamento na nuvem:; Google One ou iCloud+; WhatsApp ilimitado; Roaming: Passaporte Américas; Claro Sync: Smartwatch conectado</t>
        </is>
      </c>
      <c r="U766" s="2" t="inlineStr">
        <is>
          <t>https://www.claro.com.br/celular/pos</t>
        </is>
      </c>
      <c r="V766" s="2" t="inlineStr">
        <is>
          <t>data/raw/claro_postpaid_SP.json</t>
        </is>
      </c>
    </row>
    <row r="767">
      <c r="A767" s="5" t="inlineStr">
        <is>
          <t>2026-07-06</t>
        </is>
      </c>
      <c r="B767" s="5" t="inlineStr">
        <is>
          <t>2026-07-06T22:11:41</t>
        </is>
      </c>
      <c r="C767" s="5" t="inlineStr">
        <is>
          <t>claro</t>
        </is>
      </c>
      <c r="D767" s="5" t="inlineStr">
        <is>
          <t>prepaid</t>
        </is>
      </c>
      <c r="E767" s="5" t="inlineStr">
        <is>
          <t>SP</t>
        </is>
      </c>
      <c r="F767" s="5" t="inlineStr">
        <is>
          <t>Prezão 10GB (25 dias)</t>
        </is>
      </c>
      <c r="G767" s="5" t="inlineStr">
        <is>
          <t>claro:prezao-25d-10gb</t>
        </is>
      </c>
      <c r="H767" s="6" t="n">
        <v>25</v>
      </c>
      <c r="I767" s="6" t="inlineStr"/>
      <c r="J767" s="5" t="inlineStr">
        <is>
          <t>recarga Prezão R$25 — validade 25 dias</t>
        </is>
      </c>
      <c r="K767" s="5" t="inlineStr"/>
      <c r="L767" s="7" t="n">
        <v>10</v>
      </c>
      <c r="M767" s="5" t="inlineStr"/>
      <c r="N767" s="5" t="n">
        <v>25</v>
      </c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https://www.claro.com.br/celular/planos-pre/prezao</t>
        </is>
      </c>
      <c r="V767" s="5" t="inlineStr">
        <is>
          <t>data/raw/claro_prepaid_SP.json</t>
        </is>
      </c>
    </row>
    <row r="768">
      <c r="A768" s="2" t="inlineStr">
        <is>
          <t>2026-07-06</t>
        </is>
      </c>
      <c r="B768" s="2" t="inlineStr">
        <is>
          <t>2026-07-06T22:11:41</t>
        </is>
      </c>
      <c r="C768" s="2" t="inlineStr">
        <is>
          <t>claro</t>
        </is>
      </c>
      <c r="D768" s="2" t="inlineStr">
        <is>
          <t>prepaid</t>
        </is>
      </c>
      <c r="E768" s="2" t="inlineStr">
        <is>
          <t>SP</t>
        </is>
      </c>
      <c r="F768" s="2" t="inlineStr">
        <is>
          <t>Prezão 12GB (30 dias)</t>
        </is>
      </c>
      <c r="G768" s="2" t="inlineStr">
        <is>
          <t>claro:prezao-30d-12gb</t>
        </is>
      </c>
      <c r="H768" s="3" t="n">
        <v>30</v>
      </c>
      <c r="I768" s="3" t="inlineStr"/>
      <c r="J768" s="2" t="inlineStr">
        <is>
          <t>recarga Prezão R$30 — validade 30 dias</t>
        </is>
      </c>
      <c r="K768" s="2" t="inlineStr"/>
      <c r="L768" s="4" t="n">
        <v>12</v>
      </c>
      <c r="M768" s="2" t="inlineStr"/>
      <c r="N768" s="2" t="n">
        <v>30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https://www.claro.com.br/celular/planos-pre/prezao</t>
        </is>
      </c>
      <c r="V768" s="2" t="inlineStr">
        <is>
          <t>data/raw/claro_prepaid_SP.json</t>
        </is>
      </c>
    </row>
    <row r="769">
      <c r="A769" s="5" t="inlineStr">
        <is>
          <t>2026-07-06</t>
        </is>
      </c>
      <c r="B769" s="5" t="inlineStr">
        <is>
          <t>2026-07-06T22:11:41</t>
        </is>
      </c>
      <c r="C769" s="5" t="inlineStr">
        <is>
          <t>claro</t>
        </is>
      </c>
      <c r="D769" s="5" t="inlineStr">
        <is>
          <t>prepaid</t>
        </is>
      </c>
      <c r="E769" s="5" t="inlineStr">
        <is>
          <t>SP</t>
        </is>
      </c>
      <c r="F769" s="5" t="inlineStr">
        <is>
          <t>Prezão 4GB (12 dias)</t>
        </is>
      </c>
      <c r="G769" s="5" t="inlineStr">
        <is>
          <t>claro:prezao-12d-4gb</t>
        </is>
      </c>
      <c r="H769" s="6" t="n">
        <v>15</v>
      </c>
      <c r="I769" s="6" t="inlineStr"/>
      <c r="J769" s="5" t="inlineStr">
        <is>
          <t>recarga Prezão R$15 — validade 12 dias</t>
        </is>
      </c>
      <c r="K769" s="5" t="inlineStr"/>
      <c r="L769" s="7" t="n">
        <v>4</v>
      </c>
      <c r="M769" s="5" t="inlineStr"/>
      <c r="N769" s="5" t="n">
        <v>12</v>
      </c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https://www.claro.com.br/celular/planos-pre/prezao</t>
        </is>
      </c>
      <c r="V769" s="5" t="inlineStr">
        <is>
          <t>data/raw/claro_prepaid_SP.json</t>
        </is>
      </c>
    </row>
    <row r="770">
      <c r="A770" s="2" t="inlineStr">
        <is>
          <t>2026-07-06</t>
        </is>
      </c>
      <c r="B770" s="2" t="inlineStr">
        <is>
          <t>2026-07-06T22:11:41</t>
        </is>
      </c>
      <c r="C770" s="2" t="inlineStr">
        <is>
          <t>claro</t>
        </is>
      </c>
      <c r="D770" s="2" t="inlineStr">
        <is>
          <t>prepaid</t>
        </is>
      </c>
      <c r="E770" s="2" t="inlineStr">
        <is>
          <t>SP</t>
        </is>
      </c>
      <c r="F770" s="2" t="inlineStr">
        <is>
          <t>Prezão 5GB (15 dias)</t>
        </is>
      </c>
      <c r="G770" s="2" t="inlineStr">
        <is>
          <t>claro:prezao-15d-5gb</t>
        </is>
      </c>
      <c r="H770" s="3" t="n">
        <v>15</v>
      </c>
      <c r="I770" s="3" t="inlineStr"/>
      <c r="J770" s="2" t="inlineStr">
        <is>
          <t>recarga Prezão R$15 — validade 15 dias</t>
        </is>
      </c>
      <c r="K770" s="2" t="inlineStr"/>
      <c r="L770" s="4" t="n">
        <v>5</v>
      </c>
      <c r="M770" s="2" t="inlineStr"/>
      <c r="N770" s="2" t="n">
        <v>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https://www.claro.com.br/celular/planos-pre/prezao</t>
        </is>
      </c>
      <c r="V770" s="2" t="inlineStr">
        <is>
          <t>data/raw/claro_prepaid_SP.json</t>
        </is>
      </c>
    </row>
    <row r="771">
      <c r="A771" s="5" t="inlineStr">
        <is>
          <t>2026-07-06</t>
        </is>
      </c>
      <c r="B771" s="5" t="inlineStr">
        <is>
          <t>2026-07-06T22:11:41</t>
        </is>
      </c>
      <c r="C771" s="5" t="inlineStr">
        <is>
          <t>claro</t>
        </is>
      </c>
      <c r="D771" s="5" t="inlineStr">
        <is>
          <t>prepaid</t>
        </is>
      </c>
      <c r="E771" s="5" t="inlineStr">
        <is>
          <t>SP</t>
        </is>
      </c>
      <c r="F771" s="5" t="inlineStr">
        <is>
          <t>Prezão 6GB (20 dias)</t>
        </is>
      </c>
      <c r="G771" s="5" t="inlineStr">
        <is>
          <t>claro:prezao-20d-6gb</t>
        </is>
      </c>
      <c r="H771" s="6" t="n">
        <v>20</v>
      </c>
      <c r="I771" s="6" t="inlineStr"/>
      <c r="J771" s="5" t="inlineStr">
        <is>
          <t>recarga Prezão R$20 — validade 20 dias</t>
        </is>
      </c>
      <c r="K771" s="5" t="inlineStr"/>
      <c r="L771" s="7" t="n">
        <v>6</v>
      </c>
      <c r="M771" s="5" t="inlineStr"/>
      <c r="N771" s="5" t="n">
        <v>20</v>
      </c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https://www.claro.com.br/celular/planos-pre/prezao</t>
        </is>
      </c>
      <c r="V771" s="5" t="inlineStr">
        <is>
          <t>data/raw/claro_prepaid_SP.json</t>
        </is>
      </c>
    </row>
    <row r="772">
      <c r="A772" s="2" t="inlineStr">
        <is>
          <t>2026-07-06</t>
        </is>
      </c>
      <c r="B772" s="2" t="inlineStr">
        <is>
          <t>2026-07-06T22:11:41</t>
        </is>
      </c>
      <c r="C772" s="2" t="inlineStr">
        <is>
          <t>claro</t>
        </is>
      </c>
      <c r="D772" s="2" t="inlineStr">
        <is>
          <t>prepaid</t>
        </is>
      </c>
      <c r="E772" s="2" t="inlineStr">
        <is>
          <t>SP</t>
        </is>
      </c>
      <c r="F772" s="2" t="inlineStr">
        <is>
          <t>Prezão 8GB (20 dias)</t>
        </is>
      </c>
      <c r="G772" s="2" t="inlineStr">
        <is>
          <t>claro:prezao-20d-8gb</t>
        </is>
      </c>
      <c r="H772" s="3" t="n">
        <v>20</v>
      </c>
      <c r="I772" s="3" t="inlineStr"/>
      <c r="J772" s="2" t="inlineStr">
        <is>
          <t>recarga Prezão R$20 — validade 20 dias</t>
        </is>
      </c>
      <c r="K772" s="2" t="inlineStr"/>
      <c r="L772" s="4" t="n">
        <v>8</v>
      </c>
      <c r="M772" s="2" t="inlineStr"/>
      <c r="N772" s="2" t="n">
        <v>20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https://www.claro.com.br/celular/planos-pre/prezao</t>
        </is>
      </c>
      <c r="V772" s="2" t="inlineStr">
        <is>
          <t>data/raw/claro_prepaid_SP.json</t>
        </is>
      </c>
    </row>
    <row r="773">
      <c r="A773" s="5" t="inlineStr">
        <is>
          <t>2026-07-06</t>
        </is>
      </c>
      <c r="B773" s="5" t="inlineStr">
        <is>
          <t>2026-07-06T22:11:41</t>
        </is>
      </c>
      <c r="C773" s="5" t="inlineStr">
        <is>
          <t>claro</t>
        </is>
      </c>
      <c r="D773" s="5" t="inlineStr">
        <is>
          <t>prepaid</t>
        </is>
      </c>
      <c r="E773" s="5" t="inlineStr">
        <is>
          <t>SP</t>
        </is>
      </c>
      <c r="F773" s="5" t="inlineStr">
        <is>
          <t>Prezão 9GB (25 dias)</t>
        </is>
      </c>
      <c r="G773" s="5" t="inlineStr">
        <is>
          <t>claro:prezao-25d-9gb</t>
        </is>
      </c>
      <c r="H773" s="6" t="n">
        <v>25</v>
      </c>
      <c r="I773" s="6" t="inlineStr"/>
      <c r="J773" s="5" t="inlineStr">
        <is>
          <t>recarga Prezão R$25 — validade 25 dias</t>
        </is>
      </c>
      <c r="K773" s="5" t="inlineStr"/>
      <c r="L773" s="7" t="n">
        <v>9</v>
      </c>
      <c r="M773" s="5" t="inlineStr"/>
      <c r="N773" s="5" t="n">
        <v>25</v>
      </c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https://www.claro.com.br/celular/planos-pre/prezao</t>
        </is>
      </c>
      <c r="V773" s="5" t="inlineStr">
        <is>
          <t>data/raw/claro_prepaid_SP.json</t>
        </is>
      </c>
    </row>
    <row r="774">
      <c r="A774" s="2" t="inlineStr">
        <is>
          <t>2026-07-06</t>
        </is>
      </c>
      <c r="B774" s="2" t="inlineStr">
        <is>
          <t>2026-07-06T22:11:41</t>
        </is>
      </c>
      <c r="C774" s="2" t="inlineStr">
        <is>
          <t>tim</t>
        </is>
      </c>
      <c r="D774" s="2" t="inlineStr">
        <is>
          <t>control</t>
        </is>
      </c>
      <c r="E774" s="2" t="inlineStr">
        <is>
          <t>SP</t>
        </is>
      </c>
      <c r="F774" s="2" t="inlineStr">
        <is>
          <t>TIM Controle 41GB</t>
        </is>
      </c>
      <c r="G774" s="2" t="inlineStr">
        <is>
          <t>tim:167036</t>
        </is>
      </c>
      <c r="H774" s="3" t="n">
        <v>49.99</v>
      </c>
      <c r="I774" s="3" t="inlineStr"/>
      <c r="J774" s="2" t="inlineStr"/>
      <c r="K774" s="2" t="inlineStr"/>
      <c r="L774" s="4" t="n">
        <v>41</v>
      </c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https://www.tim.com.br/sp/para-voce/planos/controle</t>
        </is>
      </c>
      <c r="V774" s="2" t="inlineStr">
        <is>
          <t>data/raw/tim_control_SP.html</t>
        </is>
      </c>
    </row>
    <row r="775">
      <c r="A775" s="5" t="inlineStr">
        <is>
          <t>2026-07-06</t>
        </is>
      </c>
      <c r="B775" s="5" t="inlineStr">
        <is>
          <t>2026-07-06T22:11:41</t>
        </is>
      </c>
      <c r="C775" s="5" t="inlineStr">
        <is>
          <t>tim</t>
        </is>
      </c>
      <c r="D775" s="5" t="inlineStr">
        <is>
          <t>control</t>
        </is>
      </c>
      <c r="E775" s="5" t="inlineStr">
        <is>
          <t>SP</t>
        </is>
      </c>
      <c r="F775" s="5" t="inlineStr">
        <is>
          <t>TIM Controle Light Express 31GB</t>
        </is>
      </c>
      <c r="G775" s="5" t="inlineStr">
        <is>
          <t>tim:167046</t>
        </is>
      </c>
      <c r="H775" s="6" t="n">
        <v>60.99</v>
      </c>
      <c r="I775" s="6" t="inlineStr"/>
      <c r="J775" s="5" t="inlineStr"/>
      <c r="K775" s="5" t="inlineStr"/>
      <c r="L775" s="7" t="n">
        <v>31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https://www.tim.com.br/sp/para-voce/planos/controle</t>
        </is>
      </c>
      <c r="V775" s="5" t="inlineStr">
        <is>
          <t>data/raw/tim_control_SP.html</t>
        </is>
      </c>
    </row>
    <row r="776">
      <c r="A776" s="2" t="inlineStr">
        <is>
          <t>2026-07-06</t>
        </is>
      </c>
      <c r="B776" s="2" t="inlineStr">
        <is>
          <t>2026-07-06T22:11:41</t>
        </is>
      </c>
      <c r="C776" s="2" t="inlineStr">
        <is>
          <t>tim</t>
        </is>
      </c>
      <c r="D776" s="2" t="inlineStr">
        <is>
          <t>control</t>
        </is>
      </c>
      <c r="E776" s="2" t="inlineStr">
        <is>
          <t>SP</t>
        </is>
      </c>
      <c r="F776" s="2" t="inlineStr">
        <is>
          <t>TIM Controle Plus 45GB</t>
        </is>
      </c>
      <c r="G776" s="2" t="inlineStr">
        <is>
          <t>tim:167031</t>
        </is>
      </c>
      <c r="H776" s="3" t="n">
        <v>59.99</v>
      </c>
      <c r="I776" s="3" t="inlineStr"/>
      <c r="J776" s="2" t="inlineStr"/>
      <c r="K776" s="2" t="inlineStr"/>
      <c r="L776" s="4" t="n">
        <v>45</v>
      </c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https://www.tim.com.br/sp/para-voce/planos/controle</t>
        </is>
      </c>
      <c r="V776" s="2" t="inlineStr">
        <is>
          <t>data/raw/tim_control_SP.html</t>
        </is>
      </c>
    </row>
    <row r="777">
      <c r="A777" s="5" t="inlineStr">
        <is>
          <t>2026-07-06</t>
        </is>
      </c>
      <c r="B777" s="5" t="inlineStr">
        <is>
          <t>2026-07-06T22:11:41</t>
        </is>
      </c>
      <c r="C777" s="5" t="inlineStr">
        <is>
          <t>tim</t>
        </is>
      </c>
      <c r="D777" s="5" t="inlineStr">
        <is>
          <t>control</t>
        </is>
      </c>
      <c r="E777" s="5" t="inlineStr">
        <is>
          <t>SP</t>
        </is>
      </c>
      <c r="F777" s="5" t="inlineStr">
        <is>
          <t>TIM Controle Premium 53GB</t>
        </is>
      </c>
      <c r="G777" s="5" t="inlineStr">
        <is>
          <t>tim:167041</t>
        </is>
      </c>
      <c r="H777" s="6" t="n">
        <v>69.98999999999999</v>
      </c>
      <c r="I777" s="6" t="inlineStr"/>
      <c r="J777" s="5" t="inlineStr"/>
      <c r="K777" s="5" t="inlineStr"/>
      <c r="L777" s="7" t="n">
        <v>53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https://www.tim.com.br/sp/para-voce/planos/controle</t>
        </is>
      </c>
      <c r="V777" s="5" t="inlineStr">
        <is>
          <t>data/raw/tim_control_SP.html</t>
        </is>
      </c>
    </row>
    <row r="778">
      <c r="A778" s="2" t="inlineStr">
        <is>
          <t>2026-07-06</t>
        </is>
      </c>
      <c r="B778" s="2" t="inlineStr">
        <is>
          <t>2026-07-06T22:11:41</t>
        </is>
      </c>
      <c r="C778" s="2" t="inlineStr">
        <is>
          <t>tim</t>
        </is>
      </c>
      <c r="D778" s="2" t="inlineStr">
        <is>
          <t>control</t>
        </is>
      </c>
      <c r="E778" s="2" t="inlineStr">
        <is>
          <t>SP</t>
        </is>
      </c>
      <c r="F778" s="2" t="inlineStr">
        <is>
          <t>TIM Controle Pro Express</t>
        </is>
      </c>
      <c r="G778" s="2" t="inlineStr">
        <is>
          <t>tim:167051</t>
        </is>
      </c>
      <c r="H778" s="3" t="n">
        <v>64.98999999999999</v>
      </c>
      <c r="I778" s="3" t="inlineStr"/>
      <c r="J778" s="2" t="inlineStr"/>
      <c r="K778" s="2" t="inlineStr"/>
      <c r="L778" s="4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>
        <is>
          <t>https://www.tim.com.br/sp/para-voce/planos/controle</t>
        </is>
      </c>
      <c r="V778" s="2" t="inlineStr">
        <is>
          <t>data/raw/tim_control_SP.html</t>
        </is>
      </c>
    </row>
    <row r="779">
      <c r="A779" s="5" t="inlineStr">
        <is>
          <t>2026-07-06</t>
        </is>
      </c>
      <c r="B779" s="5" t="inlineStr">
        <is>
          <t>2026-07-06T22:11:41</t>
        </is>
      </c>
      <c r="C779" s="5" t="inlineStr">
        <is>
          <t>tim</t>
        </is>
      </c>
      <c r="D779" s="5" t="inlineStr">
        <is>
          <t>postpaid</t>
        </is>
      </c>
      <c r="E779" s="5" t="inlineStr">
        <is>
          <t>SP</t>
        </is>
      </c>
      <c r="F779" s="5" t="inlineStr">
        <is>
          <t>TIM Black 70GB</t>
        </is>
      </c>
      <c r="G779" s="5" t="inlineStr">
        <is>
          <t>tim:54206</t>
        </is>
      </c>
      <c r="H779" s="6" t="n">
        <v>129.99</v>
      </c>
      <c r="I779" s="6" t="inlineStr"/>
      <c r="J779" s="5" t="inlineStr"/>
      <c r="K779" s="5" t="inlineStr">
        <is>
          <t>bill</t>
        </is>
      </c>
      <c r="L779" s="7" t="n">
        <v>70</v>
      </c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https://www.tim.com.br/sp/para-voce/planos/pos-pago/tim-black</t>
        </is>
      </c>
      <c r="V779" s="5" t="inlineStr">
        <is>
          <t>data/raw/tim_postpaid_SP.html</t>
        </is>
      </c>
    </row>
    <row r="780">
      <c r="A780" s="2" t="inlineStr">
        <is>
          <t>2026-07-06</t>
        </is>
      </c>
      <c r="B780" s="2" t="inlineStr">
        <is>
          <t>2026-07-06T22:11:41</t>
        </is>
      </c>
      <c r="C780" s="2" t="inlineStr">
        <is>
          <t>tim</t>
        </is>
      </c>
      <c r="D780" s="2" t="inlineStr">
        <is>
          <t>postpaid</t>
        </is>
      </c>
      <c r="E780" s="2" t="inlineStr">
        <is>
          <t>SP</t>
        </is>
      </c>
      <c r="F780" s="2" t="inlineStr">
        <is>
          <t>TIM Black A Express 67GB</t>
        </is>
      </c>
      <c r="G780" s="2" t="inlineStr">
        <is>
          <t>tim:55121</t>
        </is>
      </c>
      <c r="H780" s="3" t="n">
        <v>119.99</v>
      </c>
      <c r="I780" s="3" t="inlineStr"/>
      <c r="J780" s="2" t="inlineStr"/>
      <c r="K780" s="2" t="inlineStr">
        <is>
          <t>credit_card</t>
        </is>
      </c>
      <c r="L780" s="4" t="n">
        <v>67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>
        <is>
          <t>https://www.tim.com.br/sp/para-voce/planos/pos-pago/tim-black</t>
        </is>
      </c>
      <c r="V780" s="2" t="inlineStr">
        <is>
          <t>data/raw/tim_postpaid_SP.html</t>
        </is>
      </c>
    </row>
    <row r="781">
      <c r="A781" s="5" t="inlineStr">
        <is>
          <t>2026-07-06</t>
        </is>
      </c>
      <c r="B781" s="5" t="inlineStr">
        <is>
          <t>2026-07-06T22:11:41</t>
        </is>
      </c>
      <c r="C781" s="5" t="inlineStr">
        <is>
          <t>tim</t>
        </is>
      </c>
      <c r="D781" s="5" t="inlineStr">
        <is>
          <t>postpaid</t>
        </is>
      </c>
      <c r="E781" s="5" t="inlineStr">
        <is>
          <t>SP</t>
        </is>
      </c>
      <c r="F781" s="5" t="inlineStr">
        <is>
          <t>TIM Black B Express 82GB</t>
        </is>
      </c>
      <c r="G781" s="5" t="inlineStr">
        <is>
          <t>tim:52146</t>
        </is>
      </c>
      <c r="H781" s="6" t="n">
        <v>144.99</v>
      </c>
      <c r="I781" s="6" t="inlineStr"/>
      <c r="J781" s="5" t="inlineStr"/>
      <c r="K781" s="5" t="inlineStr">
        <is>
          <t>credit_card</t>
        </is>
      </c>
      <c r="L781" s="7" t="n">
        <v>82</v>
      </c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https://www.tim.com.br/sp/para-voce/planos/pos-pago/tim-black</t>
        </is>
      </c>
      <c r="V781" s="5" t="inlineStr">
        <is>
          <t>data/raw/tim_postpaid_SP.html</t>
        </is>
      </c>
    </row>
    <row r="782">
      <c r="A782" s="2" t="inlineStr">
        <is>
          <t>2026-07-06</t>
        </is>
      </c>
      <c r="B782" s="2" t="inlineStr">
        <is>
          <t>2026-07-06T22:11:41</t>
        </is>
      </c>
      <c r="C782" s="2" t="inlineStr">
        <is>
          <t>tim</t>
        </is>
      </c>
      <c r="D782" s="2" t="inlineStr">
        <is>
          <t>postpaid</t>
        </is>
      </c>
      <c r="E782" s="2" t="inlineStr">
        <is>
          <t>SP</t>
        </is>
      </c>
      <c r="F782" s="2" t="inlineStr">
        <is>
          <t>TIM Black C Express 107GB</t>
        </is>
      </c>
      <c r="G782" s="2" t="inlineStr">
        <is>
          <t>tim:52151</t>
        </is>
      </c>
      <c r="H782" s="3" t="n">
        <v>164.99</v>
      </c>
      <c r="I782" s="3" t="inlineStr"/>
      <c r="J782" s="2" t="inlineStr"/>
      <c r="K782" s="2" t="inlineStr">
        <is>
          <t>credit_card</t>
        </is>
      </c>
      <c r="L782" s="4" t="n">
        <v>107</v>
      </c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https://www.tim.com.br/sp/para-voce/planos/pos-pago/tim-black</t>
        </is>
      </c>
      <c r="V782" s="2" t="inlineStr">
        <is>
          <t>data/raw/tim_postpaid_SP.html</t>
        </is>
      </c>
    </row>
    <row r="783">
      <c r="A783" s="5" t="inlineStr">
        <is>
          <t>2026-07-06</t>
        </is>
      </c>
      <c r="B783" s="5" t="inlineStr">
        <is>
          <t>2026-07-06T22:11:41</t>
        </is>
      </c>
      <c r="C783" s="5" t="inlineStr">
        <is>
          <t>tim</t>
        </is>
      </c>
      <c r="D783" s="5" t="inlineStr">
        <is>
          <t>postpaid</t>
        </is>
      </c>
      <c r="E783" s="5" t="inlineStr">
        <is>
          <t>SP</t>
        </is>
      </c>
      <c r="F783" s="5" t="inlineStr">
        <is>
          <t>TIM Black C Ultra 95GB</t>
        </is>
      </c>
      <c r="G783" s="5" t="inlineStr">
        <is>
          <t>tim:100581</t>
        </is>
      </c>
      <c r="H783" s="6" t="n">
        <v>159.99</v>
      </c>
      <c r="I783" s="6" t="inlineStr"/>
      <c r="J783" s="5" t="inlineStr"/>
      <c r="K783" s="5" t="inlineStr">
        <is>
          <t>bill</t>
        </is>
      </c>
      <c r="L783" s="7" t="n">
        <v>95</v>
      </c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https://www.tim.com.br/sp/para-voce/planos/pos-pago/tim-black</t>
        </is>
      </c>
      <c r="V783" s="5" t="inlineStr">
        <is>
          <t>data/raw/tim_postpaid_SP.html</t>
        </is>
      </c>
    </row>
    <row r="784">
      <c r="A784" s="2" t="inlineStr">
        <is>
          <t>2026-07-06</t>
        </is>
      </c>
      <c r="B784" s="2" t="inlineStr">
        <is>
          <t>2026-07-06T22:11:41</t>
        </is>
      </c>
      <c r="C784" s="2" t="inlineStr">
        <is>
          <t>tim</t>
        </is>
      </c>
      <c r="D784" s="2" t="inlineStr">
        <is>
          <t>postpaid</t>
        </is>
      </c>
      <c r="E784" s="2" t="inlineStr">
        <is>
          <t>SP</t>
        </is>
      </c>
      <c r="F784" s="2" t="inlineStr">
        <is>
          <t>TIM Black Plus 80GB</t>
        </is>
      </c>
      <c r="G784" s="2" t="inlineStr">
        <is>
          <t>tim:54256</t>
        </is>
      </c>
      <c r="H784" s="3" t="n">
        <v>149.99</v>
      </c>
      <c r="I784" s="3" t="inlineStr"/>
      <c r="J784" s="2" t="inlineStr"/>
      <c r="K784" s="2" t="inlineStr">
        <is>
          <t>bill</t>
        </is>
      </c>
      <c r="L784" s="4" t="n">
        <v>80</v>
      </c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>
        <is>
          <t>https://www.tim.com.br/sp/para-voce/planos/pos-pago/tim-black</t>
        </is>
      </c>
      <c r="V784" s="2" t="inlineStr">
        <is>
          <t>data/raw/tim_postpaid_SP.html</t>
        </is>
      </c>
    </row>
    <row r="785">
      <c r="A785" s="5" t="inlineStr">
        <is>
          <t>2026-07-06</t>
        </is>
      </c>
      <c r="B785" s="5" t="inlineStr">
        <is>
          <t>2026-07-06T22:11:41</t>
        </is>
      </c>
      <c r="C785" s="5" t="inlineStr">
        <is>
          <t>tim</t>
        </is>
      </c>
      <c r="D785" s="5" t="inlineStr">
        <is>
          <t>postpaid</t>
        </is>
      </c>
      <c r="E785" s="5" t="inlineStr">
        <is>
          <t>SP</t>
        </is>
      </c>
      <c r="F785" s="5" t="inlineStr">
        <is>
          <t>TIM Black Premium 110GB</t>
        </is>
      </c>
      <c r="G785" s="5" t="inlineStr">
        <is>
          <t>tim:54261</t>
        </is>
      </c>
      <c r="H785" s="6" t="n">
        <v>159.99</v>
      </c>
      <c r="I785" s="6" t="inlineStr"/>
      <c r="J785" s="5" t="inlineStr"/>
      <c r="K785" s="5" t="inlineStr">
        <is>
          <t>bill</t>
        </is>
      </c>
      <c r="L785" s="7" t="n">
        <v>110</v>
      </c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https://www.tim.com.br/sp/para-voce/planos/pos-pago/tim-black</t>
        </is>
      </c>
      <c r="V785" s="5" t="inlineStr">
        <is>
          <t>data/raw/tim_postpaid_SP.html</t>
        </is>
      </c>
    </row>
    <row r="786">
      <c r="A786" s="2" t="inlineStr">
        <is>
          <t>2026-07-06</t>
        </is>
      </c>
      <c r="B786" s="2" t="inlineStr">
        <is>
          <t>2026-07-06T22:11:41</t>
        </is>
      </c>
      <c r="C786" s="2" t="inlineStr">
        <is>
          <t>tim</t>
        </is>
      </c>
      <c r="D786" s="2" t="inlineStr">
        <is>
          <t>prepaid</t>
        </is>
      </c>
      <c r="E786" s="2" t="inlineStr">
        <is>
          <t>SP</t>
        </is>
      </c>
      <c r="F786" s="2" t="inlineStr">
        <is>
          <t>TIM Pré XIP Plus 16GB</t>
        </is>
      </c>
      <c r="G786" s="2" t="inlineStr">
        <is>
          <t>tim:106306</t>
        </is>
      </c>
      <c r="H786" s="3" t="n">
        <v>30</v>
      </c>
      <c r="I786" s="3" t="inlineStr"/>
      <c r="J786" s="2" t="inlineStr"/>
      <c r="K786" s="2" t="inlineStr"/>
      <c r="L786" s="4" t="n">
        <v>16</v>
      </c>
      <c r="M786" s="2" t="inlineStr"/>
      <c r="N786" s="2" t="n">
        <v>30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>
        <is>
          <t>https://www.tim.com.br/sp/para-voce/planos/pre-pago</t>
        </is>
      </c>
      <c r="V786" s="2" t="inlineStr">
        <is>
          <t>data/raw/tim_prepaid_SP.html</t>
        </is>
      </c>
    </row>
    <row r="787">
      <c r="A787" s="5" t="inlineStr">
        <is>
          <t>2026-07-06</t>
        </is>
      </c>
      <c r="B787" s="5" t="inlineStr">
        <is>
          <t>2026-07-06T22:11:41</t>
        </is>
      </c>
      <c r="C787" s="5" t="inlineStr">
        <is>
          <t>tim</t>
        </is>
      </c>
      <c r="D787" s="5" t="inlineStr">
        <is>
          <t>prepaid</t>
        </is>
      </c>
      <c r="E787" s="5" t="inlineStr">
        <is>
          <t>SP</t>
        </is>
      </c>
      <c r="F787" s="5" t="inlineStr">
        <is>
          <t>TIM Pré XIP Plus 6GB</t>
        </is>
      </c>
      <c r="G787" s="5" t="inlineStr">
        <is>
          <t>tim:59906</t>
        </is>
      </c>
      <c r="H787" s="6" t="n">
        <v>20</v>
      </c>
      <c r="I787" s="6" t="inlineStr"/>
      <c r="J787" s="5" t="inlineStr"/>
      <c r="K787" s="5" t="inlineStr"/>
      <c r="L787" s="7" t="n">
        <v>6</v>
      </c>
      <c r="M787" s="5" t="inlineStr"/>
      <c r="N787" s="5" t="n">
        <v>17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https://www.tim.com.br/sp/para-voce/planos/pre-pago</t>
        </is>
      </c>
      <c r="V787" s="5" t="inlineStr">
        <is>
          <t>data/raw/tim_prepaid_SP.html</t>
        </is>
      </c>
    </row>
    <row r="788">
      <c r="A788" s="2" t="inlineStr">
        <is>
          <t>2026-07-06</t>
        </is>
      </c>
      <c r="B788" s="2" t="inlineStr">
        <is>
          <t>2026-07-06T22:11:41</t>
        </is>
      </c>
      <c r="C788" s="2" t="inlineStr">
        <is>
          <t>tim</t>
        </is>
      </c>
      <c r="D788" s="2" t="inlineStr">
        <is>
          <t>prepaid</t>
        </is>
      </c>
      <c r="E788" s="2" t="inlineStr">
        <is>
          <t>SP</t>
        </is>
      </c>
      <c r="F788" s="2" t="inlineStr">
        <is>
          <t>TIM Pré XIP Plus 8GB</t>
        </is>
      </c>
      <c r="G788" s="2" t="inlineStr">
        <is>
          <t>tim:59901</t>
        </is>
      </c>
      <c r="H788" s="3" t="n">
        <v>25</v>
      </c>
      <c r="I788" s="3" t="inlineStr"/>
      <c r="J788" s="2" t="inlineStr"/>
      <c r="K788" s="2" t="inlineStr"/>
      <c r="L788" s="4" t="n">
        <v>8</v>
      </c>
      <c r="M788" s="2" t="inlineStr"/>
      <c r="N788" s="2" t="n">
        <v>22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>
        <is>
          <t>https://www.tim.com.br/sp/para-voce/planos/pre-pago</t>
        </is>
      </c>
      <c r="V788" s="2" t="inlineStr">
        <is>
          <t>data/raw/tim_prepaid_SP.html</t>
        </is>
      </c>
    </row>
    <row r="789">
      <c r="A789" s="5" t="inlineStr">
        <is>
          <t>2026-07-06</t>
        </is>
      </c>
      <c r="B789" s="5" t="inlineStr">
        <is>
          <t>2026-07-06T22:11:41</t>
        </is>
      </c>
      <c r="C789" s="5" t="inlineStr">
        <is>
          <t>vivo</t>
        </is>
      </c>
      <c r="D789" s="5" t="inlineStr">
        <is>
          <t>control</t>
        </is>
      </c>
      <c r="E789" s="5" t="inlineStr">
        <is>
          <t>SP</t>
        </is>
      </c>
      <c r="F789" s="5" t="inlineStr">
        <is>
          <t>Vivo Controle</t>
        </is>
      </c>
      <c r="G789" s="5" t="inlineStr">
        <is>
          <t>vivo:VIV202600029270-46gb</t>
        </is>
      </c>
      <c r="H789" s="6" t="n">
        <v>59</v>
      </c>
      <c r="I789" s="6" t="inlineStr"/>
      <c r="J789" s="5" t="inlineStr"/>
      <c r="K789" s="5" t="inlineStr"/>
      <c r="L789" s="7" t="n">
        <v>46</v>
      </c>
      <c r="M789" s="5" t="inlineStr">
        <is>
          <t>15 GB de franquia 31 GB de bônus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>
        <is>
          <t>2 meses de YouTube sem consumo no plano</t>
        </is>
      </c>
      <c r="U789" s="5" t="inlineStr">
        <is>
          <t>https://vivo.com.br/para-voce/produtos-e-servicos/para-o-celular/planos-controle</t>
        </is>
      </c>
      <c r="V789" s="5" t="inlineStr">
        <is>
          <t>data/raw/vivo_control_SP.html</t>
        </is>
      </c>
    </row>
    <row r="790">
      <c r="A790" s="2" t="inlineStr">
        <is>
          <t>2026-07-06</t>
        </is>
      </c>
      <c r="B790" s="2" t="inlineStr">
        <is>
          <t>2026-07-06T22:11:41</t>
        </is>
      </c>
      <c r="C790" s="2" t="inlineStr">
        <is>
          <t>vivo</t>
        </is>
      </c>
      <c r="D790" s="2" t="inlineStr">
        <is>
          <t>control</t>
        </is>
      </c>
      <c r="E790" s="2" t="inlineStr">
        <is>
          <t>SP</t>
        </is>
      </c>
      <c r="F790" s="2" t="inlineStr">
        <is>
          <t>Vivo Controle</t>
        </is>
      </c>
      <c r="G790" s="2" t="inlineStr">
        <is>
          <t>vivo:VIV202600029300-61gb</t>
        </is>
      </c>
      <c r="H790" s="3" t="n">
        <v>80</v>
      </c>
      <c r="I790" s="3" t="inlineStr"/>
      <c r="J790" s="2" t="inlineStr"/>
      <c r="K790" s="2" t="inlineStr"/>
      <c r="L790" s="4" t="n">
        <v>61</v>
      </c>
      <c r="M790" s="2" t="inlineStr">
        <is>
          <t>20 GB de franquia 31 GB de bônus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2 meses de YouTube sem consumo no plano</t>
        </is>
      </c>
      <c r="U790" s="2" t="inlineStr">
        <is>
          <t>https://vivo.com.br/para-voce/produtos-e-servicos/para-o-celular/planos-controle</t>
        </is>
      </c>
      <c r="V790" s="2" t="inlineStr">
        <is>
          <t>data/raw/vivo_control_SP.html</t>
        </is>
      </c>
    </row>
    <row r="791">
      <c r="A791" s="5" t="inlineStr">
        <is>
          <t>2026-07-06</t>
        </is>
      </c>
      <c r="B791" s="5" t="inlineStr">
        <is>
          <t>2026-07-06T22:11:41</t>
        </is>
      </c>
      <c r="C791" s="5" t="inlineStr">
        <is>
          <t>vivo</t>
        </is>
      </c>
      <c r="D791" s="5" t="inlineStr">
        <is>
          <t>control</t>
        </is>
      </c>
      <c r="E791" s="5" t="inlineStr">
        <is>
          <t>SP</t>
        </is>
      </c>
      <c r="F791" s="5" t="inlineStr">
        <is>
          <t>Vivo Controle Educação</t>
        </is>
      </c>
      <c r="G791" s="5" t="inlineStr">
        <is>
          <t>vivo:VIV202600029273-61gb</t>
        </is>
      </c>
      <c r="H791" s="6" t="n">
        <v>90</v>
      </c>
      <c r="I791" s="6" t="inlineStr"/>
      <c r="J791" s="5" t="inlineStr"/>
      <c r="K791" s="5" t="inlineStr"/>
      <c r="L791" s="7" t="n">
        <v>61</v>
      </c>
      <c r="M791" s="5" t="inlineStr">
        <is>
          <t>20 GB de franquia 31 GB de bônus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>
        <is>
          <t>Assinatura Vivae inclusa</t>
        </is>
      </c>
      <c r="U791" s="5" t="inlineStr">
        <is>
          <t>https://vivo.com.br/para-voce/produtos-e-servicos/para-o-celular/planos-controle</t>
        </is>
      </c>
      <c r="V791" s="5" t="inlineStr">
        <is>
          <t>data/raw/vivo_control_SP.html</t>
        </is>
      </c>
    </row>
    <row r="792">
      <c r="A792" s="2" t="inlineStr">
        <is>
          <t>2026-07-06</t>
        </is>
      </c>
      <c r="B792" s="2" t="inlineStr">
        <is>
          <t>2026-07-06T22:11:41</t>
        </is>
      </c>
      <c r="C792" s="2" t="inlineStr">
        <is>
          <t>vivo</t>
        </is>
      </c>
      <c r="D792" s="2" t="inlineStr">
        <is>
          <t>control</t>
        </is>
      </c>
      <c r="E792" s="2" t="inlineStr">
        <is>
          <t>SP</t>
        </is>
      </c>
      <c r="F792" s="2" t="inlineStr">
        <is>
          <t>Vivo Controle Entretenimento</t>
        </is>
      </c>
      <c r="G792" s="2" t="inlineStr">
        <is>
          <t>vivo:VIV202600029307-61gb</t>
        </is>
      </c>
      <c r="H792" s="3" t="n">
        <v>110</v>
      </c>
      <c r="I792" s="3" t="inlineStr"/>
      <c r="J792" s="2" t="inlineStr"/>
      <c r="K792" s="2" t="inlineStr"/>
      <c r="L792" s="4" t="n">
        <v>61</v>
      </c>
      <c r="M792" s="2" t="inlineStr">
        <is>
          <t>20 GB de franquia 31 GB de bônus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>
        <is>
          <t>Assinatura Vivo TV Inicial inclusa</t>
        </is>
      </c>
      <c r="U792" s="2" t="inlineStr">
        <is>
          <t>https://vivo.com.br/para-voce/produtos-e-servicos/para-o-celular/planos-controle</t>
        </is>
      </c>
      <c r="V792" s="2" t="inlineStr">
        <is>
          <t>data/raw/vivo_control_SP.html</t>
        </is>
      </c>
    </row>
    <row r="793">
      <c r="A793" s="5" t="inlineStr">
        <is>
          <t>2026-07-06</t>
        </is>
      </c>
      <c r="B793" s="5" t="inlineStr">
        <is>
          <t>2026-07-06T22:11:41</t>
        </is>
      </c>
      <c r="C793" s="5" t="inlineStr">
        <is>
          <t>vivo</t>
        </is>
      </c>
      <c r="D793" s="5" t="inlineStr">
        <is>
          <t>control</t>
        </is>
      </c>
      <c r="E793" s="5" t="inlineStr">
        <is>
          <t>SP</t>
        </is>
      </c>
      <c r="F793" s="5" t="inlineStr">
        <is>
          <t>Vivo Controle Música</t>
        </is>
      </c>
      <c r="G793" s="5" t="inlineStr">
        <is>
          <t>vivo:VIV202600029313-61gb</t>
        </is>
      </c>
      <c r="H793" s="6" t="n">
        <v>95</v>
      </c>
      <c r="I793" s="6" t="inlineStr"/>
      <c r="J793" s="5" t="inlineStr"/>
      <c r="K793" s="5" t="inlineStr"/>
      <c r="L793" s="7" t="n">
        <v>61</v>
      </c>
      <c r="M793" s="5" t="inlineStr">
        <is>
          <t>20 GB de franquia 31 GB de bônus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>
        <is>
          <t>Apple Music Individual</t>
        </is>
      </c>
      <c r="U793" s="5" t="inlineStr">
        <is>
          <t>https://vivo.com.br/para-voce/produtos-e-servicos/para-o-celular/planos-controle</t>
        </is>
      </c>
      <c r="V793" s="5" t="inlineStr">
        <is>
          <t>data/raw/vivo_control_SP.html</t>
        </is>
      </c>
    </row>
    <row r="794">
      <c r="A794" s="2" t="inlineStr">
        <is>
          <t>2026-07-06</t>
        </is>
      </c>
      <c r="B794" s="2" t="inlineStr">
        <is>
          <t>2026-07-06T22:11:41</t>
        </is>
      </c>
      <c r="C794" s="2" t="inlineStr">
        <is>
          <t>vivo</t>
        </is>
      </c>
      <c r="D794" s="2" t="inlineStr">
        <is>
          <t>control</t>
        </is>
      </c>
      <c r="E794" s="2" t="inlineStr">
        <is>
          <t>SP</t>
        </is>
      </c>
      <c r="F794" s="2" t="inlineStr">
        <is>
          <t>Vivo Controle Netflix</t>
        </is>
      </c>
      <c r="G794" s="2" t="inlineStr">
        <is>
          <t>vivo:VIV202600029308-61gb</t>
        </is>
      </c>
      <c r="H794" s="3" t="n">
        <v>95</v>
      </c>
      <c r="I794" s="3" t="inlineStr"/>
      <c r="J794" s="2" t="inlineStr"/>
      <c r="K794" s="2" t="inlineStr"/>
      <c r="L794" s="4" t="n">
        <v>61</v>
      </c>
      <c r="M794" s="2" t="inlineStr">
        <is>
          <t>20 GB de franquia 31 GB de bônus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Assinatura Netflix Padrão com anúncios</t>
        </is>
      </c>
      <c r="U794" s="2" t="inlineStr">
        <is>
          <t>https://vivo.com.br/para-voce/produtos-e-servicos/para-o-celular/planos-controle</t>
        </is>
      </c>
      <c r="V794" s="2" t="inlineStr">
        <is>
          <t>data/raw/vivo_control_SP.html</t>
        </is>
      </c>
    </row>
    <row r="795">
      <c r="A795" s="5" t="inlineStr">
        <is>
          <t>2026-07-06</t>
        </is>
      </c>
      <c r="B795" s="5" t="inlineStr">
        <is>
          <t>2026-07-06T22:11:41</t>
        </is>
      </c>
      <c r="C795" s="5" t="inlineStr">
        <is>
          <t>vivo</t>
        </is>
      </c>
      <c r="D795" s="5" t="inlineStr">
        <is>
          <t>control</t>
        </is>
      </c>
      <c r="E795" s="5" t="inlineStr">
        <is>
          <t>SP</t>
        </is>
      </c>
      <c r="F795" s="5" t="inlineStr">
        <is>
          <t>Vivo Controle Saúde</t>
        </is>
      </c>
      <c r="G795" s="5" t="inlineStr">
        <is>
          <t>vivo:VIV202600029301-61gb</t>
        </is>
      </c>
      <c r="H795" s="6" t="n">
        <v>90</v>
      </c>
      <c r="I795" s="6" t="inlineStr"/>
      <c r="J795" s="5" t="inlineStr"/>
      <c r="K795" s="5" t="inlineStr"/>
      <c r="L795" s="7" t="n">
        <v>61</v>
      </c>
      <c r="M795" s="5" t="inlineStr">
        <is>
          <t>20 GB de franquia 31 GB de bônus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>
        <is>
          <t>Assinatura Vale Saúde Sempre inclusa</t>
        </is>
      </c>
      <c r="U795" s="5" t="inlineStr">
        <is>
          <t>https://vivo.com.br/para-voce/produtos-e-servicos/para-o-celular/planos-controle</t>
        </is>
      </c>
      <c r="V795" s="5" t="inlineStr">
        <is>
          <t>data/raw/vivo_control_SP.html</t>
        </is>
      </c>
    </row>
    <row r="796">
      <c r="A796" s="2" t="inlineStr">
        <is>
          <t>2026-07-06</t>
        </is>
      </c>
      <c r="B796" s="2" t="inlineStr">
        <is>
          <t>2026-07-06T22:11:41</t>
        </is>
      </c>
      <c r="C796" s="2" t="inlineStr">
        <is>
          <t>vivo</t>
        </is>
      </c>
      <c r="D796" s="2" t="inlineStr">
        <is>
          <t>control</t>
        </is>
      </c>
      <c r="E796" s="2" t="inlineStr">
        <is>
          <t>SP</t>
        </is>
      </c>
      <c r="F796" s="2" t="inlineStr">
        <is>
          <t>Vivo Controle Segurança</t>
        </is>
      </c>
      <c r="G796" s="2" t="inlineStr">
        <is>
          <t>vivo:VIV202600029274-61gb</t>
        </is>
      </c>
      <c r="H796" s="3" t="n">
        <v>90</v>
      </c>
      <c r="I796" s="3" t="inlineStr"/>
      <c r="J796" s="2" t="inlineStr"/>
      <c r="K796" s="2" t="inlineStr"/>
      <c r="L796" s="4" t="n">
        <v>61</v>
      </c>
      <c r="M796" s="2" t="inlineStr">
        <is>
          <t>20 GB de franquia 31 GB de bônus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Incluso Proteção Rua e Seguro de Bens</t>
        </is>
      </c>
      <c r="U796" s="2" t="inlineStr">
        <is>
          <t>https://vivo.com.br/para-voce/produtos-e-servicos/para-o-celular/planos-controle</t>
        </is>
      </c>
      <c r="V796" s="2" t="inlineStr">
        <is>
          <t>data/raw/vivo_control_SP.html</t>
        </is>
      </c>
    </row>
    <row r="797">
      <c r="A797" s="5" t="inlineStr">
        <is>
          <t>2026-07-06</t>
        </is>
      </c>
      <c r="B797" s="5" t="inlineStr">
        <is>
          <t>2026-07-06T22:11:41</t>
        </is>
      </c>
      <c r="C797" s="5" t="inlineStr">
        <is>
          <t>vivo</t>
        </is>
      </c>
      <c r="D797" s="5" t="inlineStr">
        <is>
          <t>lite</t>
        </is>
      </c>
      <c r="E797" s="5" t="inlineStr">
        <is>
          <t>SP</t>
        </is>
      </c>
      <c r="F797" s="5" t="inlineStr">
        <is>
          <t>Easy Lite</t>
        </is>
      </c>
      <c r="G797" s="5" t="inlineStr">
        <is>
          <t>vivo:VIV202600032594-30gb</t>
        </is>
      </c>
      <c r="H797" s="6" t="n">
        <v>45</v>
      </c>
      <c r="I797" s="6" t="n">
        <v>30</v>
      </c>
      <c r="J797" s="5" t="inlineStr">
        <is>
          <t>preço sem fidelidade; fidelidade 12m no promo</t>
        </is>
      </c>
      <c r="K797" s="5" t="inlineStr"/>
      <c r="L797" s="7" t="n">
        <v>30</v>
      </c>
      <c r="M797" s="5" t="inlineStr">
        <is>
          <t>30 GB de franquia</t>
        </is>
      </c>
      <c r="N797" s="5" t="inlineStr"/>
      <c r="O797" s="5" t="inlineStr"/>
      <c r="P797" s="5" t="inlineStr"/>
      <c r="Q797" s="5" t="inlineStr"/>
      <c r="R797" s="5" t="inlineStr"/>
      <c r="S797" s="5" t="n">
        <v>12</v>
      </c>
      <c r="T797" s="5" t="inlineStr">
        <is>
          <t>2 meses de YouTube sem consumo no plano</t>
        </is>
      </c>
      <c r="U797" s="5" t="inlineStr">
        <is>
          <t>https://vivo.com.br/para-voce/produtos-e-servicos/para-o-celular/easy-lite</t>
        </is>
      </c>
      <c r="V797" s="5" t="inlineStr">
        <is>
          <t>data/raw/vivo_lite_SP.html</t>
        </is>
      </c>
    </row>
    <row r="798">
      <c r="A798" s="2" t="inlineStr">
        <is>
          <t>2026-07-06</t>
        </is>
      </c>
      <c r="B798" s="2" t="inlineStr">
        <is>
          <t>2026-07-06T22:11:41</t>
        </is>
      </c>
      <c r="C798" s="2" t="inlineStr">
        <is>
          <t>vivo</t>
        </is>
      </c>
      <c r="D798" s="2" t="inlineStr">
        <is>
          <t>lite</t>
        </is>
      </c>
      <c r="E798" s="2" t="inlineStr">
        <is>
          <t>SP</t>
        </is>
      </c>
      <c r="F798" s="2" t="inlineStr">
        <is>
          <t>Easy Lite</t>
        </is>
      </c>
      <c r="G798" s="2" t="inlineStr">
        <is>
          <t>vivo:VIV202600032596-40gb</t>
        </is>
      </c>
      <c r="H798" s="3" t="n">
        <v>55</v>
      </c>
      <c r="I798" s="3" t="n">
        <v>40</v>
      </c>
      <c r="J798" s="2" t="inlineStr">
        <is>
          <t>preço sem fidelidade; fidelidade 12m no promo</t>
        </is>
      </c>
      <c r="K798" s="2" t="inlineStr"/>
      <c r="L798" s="4" t="n">
        <v>40</v>
      </c>
      <c r="M798" s="2" t="inlineStr">
        <is>
          <t>40 GB de franquia</t>
        </is>
      </c>
      <c r="N798" s="2" t="inlineStr"/>
      <c r="O798" s="2" t="inlineStr"/>
      <c r="P798" s="2" t="inlineStr"/>
      <c r="Q798" s="2" t="inlineStr"/>
      <c r="R798" s="2" t="inlineStr"/>
      <c r="S798" s="2" t="n">
        <v>12</v>
      </c>
      <c r="T798" s="2" t="inlineStr">
        <is>
          <t>2 meses de YouTube sem consumo no plano</t>
        </is>
      </c>
      <c r="U798" s="2" t="inlineStr">
        <is>
          <t>https://vivo.com.br/para-voce/produtos-e-servicos/para-o-celular/easy-lite</t>
        </is>
      </c>
      <c r="V798" s="2" t="inlineStr">
        <is>
          <t>data/raw/vivo_lite_SP.html</t>
        </is>
      </c>
    </row>
    <row r="799">
      <c r="A799" s="5" t="inlineStr">
        <is>
          <t>2026-07-06</t>
        </is>
      </c>
      <c r="B799" s="5" t="inlineStr">
        <is>
          <t>2026-07-06T22:11:41</t>
        </is>
      </c>
      <c r="C799" s="5" t="inlineStr">
        <is>
          <t>vivo</t>
        </is>
      </c>
      <c r="D799" s="5" t="inlineStr">
        <is>
          <t>lite</t>
        </is>
      </c>
      <c r="E799" s="5" t="inlineStr">
        <is>
          <t>SP</t>
        </is>
      </c>
      <c r="F799" s="5" t="inlineStr">
        <is>
          <t>Easy Lite</t>
        </is>
      </c>
      <c r="G799" s="5" t="inlineStr">
        <is>
          <t>vivo:VIV202600032599-20gb</t>
        </is>
      </c>
      <c r="H799" s="6" t="n">
        <v>35</v>
      </c>
      <c r="I799" s="6" t="inlineStr"/>
      <c r="J799" s="5" t="inlineStr"/>
      <c r="K799" s="5" t="inlineStr"/>
      <c r="L799" s="7" t="n">
        <v>20</v>
      </c>
      <c r="M799" s="5" t="inlineStr">
        <is>
          <t>20 GB de franquia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>
        <is>
          <t>2 meses de YouTube sem consumo no plano</t>
        </is>
      </c>
      <c r="U799" s="5" t="inlineStr">
        <is>
          <t>https://vivo.com.br/para-voce/produtos-e-servicos/para-o-celular/easy-lite</t>
        </is>
      </c>
      <c r="V799" s="5" t="inlineStr">
        <is>
          <t>data/raw/vivo_lite_SP.html</t>
        </is>
      </c>
    </row>
    <row r="800">
      <c r="A800" s="2" t="inlineStr">
        <is>
          <t>2026-07-06</t>
        </is>
      </c>
      <c r="B800" s="2" t="inlineStr">
        <is>
          <t>2026-07-06T22:11:41</t>
        </is>
      </c>
      <c r="C800" s="2" t="inlineStr">
        <is>
          <t>vivo</t>
        </is>
      </c>
      <c r="D800" s="2" t="inlineStr">
        <is>
          <t>postpaid</t>
        </is>
      </c>
      <c r="E800" s="2" t="inlineStr">
        <is>
          <t>SP</t>
        </is>
      </c>
      <c r="F800" s="2" t="inlineStr">
        <is>
          <t>Vivo Pós com Amazon</t>
        </is>
      </c>
      <c r="G800" s="2" t="inlineStr">
        <is>
          <t>vivo:VIV202600029255-60gb</t>
        </is>
      </c>
      <c r="H800" s="3" t="n">
        <v>150</v>
      </c>
      <c r="I800" s="3" t="inlineStr"/>
      <c r="J800" s="2" t="inlineStr"/>
      <c r="K800" s="2" t="inlineStr"/>
      <c r="L800" s="4" t="n">
        <v>60</v>
      </c>
      <c r="M800" s="2" t="inlineStr">
        <is>
          <t>50 GB de franquia 10 GB de bônus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>
        <is>
          <t>Assinatura Amazon Prime inclusa</t>
        </is>
      </c>
      <c r="U800" s="2" t="inlineStr">
        <is>
          <t>https://vivo.com.br/para-voce/produtos-e-servicos/para-o-celular/planos-pos-pago</t>
        </is>
      </c>
      <c r="V800" s="2" t="inlineStr">
        <is>
          <t>data/raw/vivo_postpaid_SP.html</t>
        </is>
      </c>
    </row>
    <row r="801">
      <c r="A801" s="5" t="inlineStr">
        <is>
          <t>2026-07-06</t>
        </is>
      </c>
      <c r="B801" s="5" t="inlineStr">
        <is>
          <t>2026-07-06T22:11:41</t>
        </is>
      </c>
      <c r="C801" s="5" t="inlineStr">
        <is>
          <t>vivo</t>
        </is>
      </c>
      <c r="D801" s="5" t="inlineStr">
        <is>
          <t>postpaid</t>
        </is>
      </c>
      <c r="E801" s="5" t="inlineStr">
        <is>
          <t>SP</t>
        </is>
      </c>
      <c r="F801" s="5" t="inlineStr">
        <is>
          <t>Vivo Pós com Disney+</t>
        </is>
      </c>
      <c r="G801" s="5" t="inlineStr">
        <is>
          <t>vivo:VIV202600022115-60gb</t>
        </is>
      </c>
      <c r="H801" s="6" t="n">
        <v>180</v>
      </c>
      <c r="I801" s="6" t="inlineStr"/>
      <c r="J801" s="5" t="inlineStr"/>
      <c r="K801" s="5" t="inlineStr"/>
      <c r="L801" s="7" t="n">
        <v>60</v>
      </c>
      <c r="M801" s="5" t="inlineStr">
        <is>
          <t>50 GB de franquia 10 GB de bônus</t>
        </is>
      </c>
      <c r="N801" s="5" t="inlineStr"/>
      <c r="O801" s="5" t="inlineStr"/>
      <c r="P801" s="5" t="inlineStr"/>
      <c r="Q801" s="5" t="inlineStr"/>
      <c r="R801" s="5" t="inlineStr">
        <is>
          <t>Disney+</t>
        </is>
      </c>
      <c r="S801" s="5" t="inlineStr"/>
      <c r="T801" s="5" t="inlineStr">
        <is>
          <t>Assinatura Disney+ Padrão inclusa</t>
        </is>
      </c>
      <c r="U801" s="5" t="inlineStr">
        <is>
          <t>https://vivo.com.br/para-voce/produtos-e-servicos/para-o-celular/planos-pos-pago</t>
        </is>
      </c>
      <c r="V801" s="5" t="inlineStr">
        <is>
          <t>data/raw/vivo_postpaid_SP.html</t>
        </is>
      </c>
    </row>
    <row r="802">
      <c r="A802" s="2" t="inlineStr">
        <is>
          <t>2026-07-06</t>
        </is>
      </c>
      <c r="B802" s="2" t="inlineStr">
        <is>
          <t>2026-07-06T22:11:41</t>
        </is>
      </c>
      <c r="C802" s="2" t="inlineStr">
        <is>
          <t>vivo</t>
        </is>
      </c>
      <c r="D802" s="2" t="inlineStr">
        <is>
          <t>postpaid</t>
        </is>
      </c>
      <c r="E802" s="2" t="inlineStr">
        <is>
          <t>SP</t>
        </is>
      </c>
      <c r="F802" s="2" t="inlineStr">
        <is>
          <t>Vivo Pós com Globoplay</t>
        </is>
      </c>
      <c r="G802" s="2" t="inlineStr">
        <is>
          <t>vivo:VIV202600029246-60gb</t>
        </is>
      </c>
      <c r="H802" s="3" t="n">
        <v>165</v>
      </c>
      <c r="I802" s="3" t="inlineStr"/>
      <c r="J802" s="2" t="inlineStr"/>
      <c r="K802" s="2" t="inlineStr"/>
      <c r="L802" s="4" t="n">
        <v>60</v>
      </c>
      <c r="M802" s="2" t="inlineStr">
        <is>
          <t>50 GB de franquia 10 GB de bônus</t>
        </is>
      </c>
      <c r="N802" s="2" t="inlineStr"/>
      <c r="O802" s="2" t="inlineStr"/>
      <c r="P802" s="2" t="inlineStr"/>
      <c r="Q802" s="2" t="inlineStr"/>
      <c r="R802" s="2" t="inlineStr">
        <is>
          <t>Globoplay</t>
        </is>
      </c>
      <c r="S802" s="2" t="inlineStr"/>
      <c r="T802" s="2" t="inlineStr">
        <is>
          <t>Assinatura Globoplay inclusa</t>
        </is>
      </c>
      <c r="U802" s="2" t="inlineStr">
        <is>
          <t>https://vivo.com.br/para-voce/produtos-e-servicos/para-o-celular/planos-pos-pago</t>
        </is>
      </c>
      <c r="V802" s="2" t="inlineStr">
        <is>
          <t>data/raw/vivo_postpaid_SP.html</t>
        </is>
      </c>
    </row>
    <row r="803">
      <c r="A803" s="5" t="inlineStr">
        <is>
          <t>2026-07-06</t>
        </is>
      </c>
      <c r="B803" s="5" t="inlineStr">
        <is>
          <t>2026-07-06T22:11:41</t>
        </is>
      </c>
      <c r="C803" s="5" t="inlineStr">
        <is>
          <t>vivo</t>
        </is>
      </c>
      <c r="D803" s="5" t="inlineStr">
        <is>
          <t>postpaid</t>
        </is>
      </c>
      <c r="E803" s="5" t="inlineStr">
        <is>
          <t>SP</t>
        </is>
      </c>
      <c r="F803" s="5" t="inlineStr">
        <is>
          <t>Vivo Pós com Netflix</t>
        </is>
      </c>
      <c r="G803" s="5" t="inlineStr">
        <is>
          <t>vivo:VIV202600029234-60gb</t>
        </is>
      </c>
      <c r="H803" s="6" t="n">
        <v>180</v>
      </c>
      <c r="I803" s="6" t="inlineStr"/>
      <c r="J803" s="5" t="inlineStr"/>
      <c r="K803" s="5" t="inlineStr"/>
      <c r="L803" s="7" t="n">
        <v>60</v>
      </c>
      <c r="M803" s="5" t="inlineStr">
        <is>
          <t>50 GB de franquia 10 GB de bônus</t>
        </is>
      </c>
      <c r="N803" s="5" t="inlineStr"/>
      <c r="O803" s="5" t="inlineStr"/>
      <c r="P803" s="5" t="inlineStr"/>
      <c r="Q803" s="5" t="inlineStr"/>
      <c r="R803" s="5" t="inlineStr">
        <is>
          <t>Netflix</t>
        </is>
      </c>
      <c r="S803" s="5" t="inlineStr"/>
      <c r="T803" s="5" t="inlineStr">
        <is>
          <t>Assinatura Netflix Padrão inclusa</t>
        </is>
      </c>
      <c r="U803" s="5" t="inlineStr">
        <is>
          <t>https://vivo.com.br/para-voce/produtos-e-servicos/para-o-celular/planos-pos-pago</t>
        </is>
      </c>
      <c r="V803" s="5" t="inlineStr">
        <is>
          <t>data/raw/vivo_postpaid_SP.html</t>
        </is>
      </c>
    </row>
    <row r="804">
      <c r="A804" s="2" t="inlineStr">
        <is>
          <t>2026-07-06</t>
        </is>
      </c>
      <c r="B804" s="2" t="inlineStr">
        <is>
          <t>2026-07-06T22:11:41</t>
        </is>
      </c>
      <c r="C804" s="2" t="inlineStr">
        <is>
          <t>vivo</t>
        </is>
      </c>
      <c r="D804" s="2" t="inlineStr">
        <is>
          <t>postpaid</t>
        </is>
      </c>
      <c r="E804" s="2" t="inlineStr">
        <is>
          <t>SP</t>
        </is>
      </c>
      <c r="F804" s="2" t="inlineStr">
        <is>
          <t>Vivo Pós com Premiere</t>
        </is>
      </c>
      <c r="G804" s="2" t="inlineStr">
        <is>
          <t>vivo:VIV202600029249-60gb</t>
        </is>
      </c>
      <c r="H804" s="3" t="n">
        <v>180</v>
      </c>
      <c r="I804" s="3" t="inlineStr"/>
      <c r="J804" s="2" t="inlineStr"/>
      <c r="K804" s="2" t="inlineStr"/>
      <c r="L804" s="4" t="n">
        <v>60</v>
      </c>
      <c r="M804" s="2" t="inlineStr">
        <is>
          <t>50 GB de franquia 10 GB de bônus</t>
        </is>
      </c>
      <c r="N804" s="2" t="inlineStr"/>
      <c r="O804" s="2" t="inlineStr"/>
      <c r="P804" s="2" t="inlineStr"/>
      <c r="Q804" s="2" t="inlineStr"/>
      <c r="R804" s="2" t="inlineStr">
        <is>
          <t>Premiere</t>
        </is>
      </c>
      <c r="S804" s="2" t="inlineStr"/>
      <c r="T804" s="2" t="inlineStr">
        <is>
          <t>Assinatura Premiere inclusa</t>
        </is>
      </c>
      <c r="U804" s="2" t="inlineStr">
        <is>
          <t>https://vivo.com.br/para-voce/produtos-e-servicos/para-o-celular/planos-pos-pago</t>
        </is>
      </c>
      <c r="V804" s="2" t="inlineStr">
        <is>
          <t>data/raw/vivo_postpaid_SP.html</t>
        </is>
      </c>
    </row>
    <row r="805">
      <c r="A805" s="5" t="inlineStr">
        <is>
          <t>2026-07-06</t>
        </is>
      </c>
      <c r="B805" s="5" t="inlineStr">
        <is>
          <t>2026-07-06T22:11:41</t>
        </is>
      </c>
      <c r="C805" s="5" t="inlineStr">
        <is>
          <t>vivo</t>
        </is>
      </c>
      <c r="D805" s="5" t="inlineStr">
        <is>
          <t>postpaid</t>
        </is>
      </c>
      <c r="E805" s="5" t="inlineStr">
        <is>
          <t>SP</t>
        </is>
      </c>
      <c r="F805" s="5" t="inlineStr">
        <is>
          <t>Vivo Pós com Spotify</t>
        </is>
      </c>
      <c r="G805" s="5" t="inlineStr">
        <is>
          <t>vivo:VIV202600029229-60gb</t>
        </is>
      </c>
      <c r="H805" s="6" t="n">
        <v>165</v>
      </c>
      <c r="I805" s="6" t="inlineStr"/>
      <c r="J805" s="5" t="inlineStr"/>
      <c r="K805" s="5" t="inlineStr"/>
      <c r="L805" s="7" t="n">
        <v>60</v>
      </c>
      <c r="M805" s="5" t="inlineStr">
        <is>
          <t>50 GB de franquia 10 GB de bônus</t>
        </is>
      </c>
      <c r="N805" s="5" t="inlineStr"/>
      <c r="O805" s="5" t="inlineStr"/>
      <c r="P805" s="5" t="inlineStr"/>
      <c r="Q805" s="5" t="inlineStr"/>
      <c r="R805" s="5" t="inlineStr">
        <is>
          <t>Spotify</t>
        </is>
      </c>
      <c r="S805" s="5" t="inlineStr"/>
      <c r="T805" s="5" t="inlineStr">
        <is>
          <t>Assinatura Spotify Premium inclusa</t>
        </is>
      </c>
      <c r="U805" s="5" t="inlineStr">
        <is>
          <t>https://vivo.com.br/para-voce/produtos-e-servicos/para-o-celular/planos-pos-pago</t>
        </is>
      </c>
      <c r="V805" s="5" t="inlineStr">
        <is>
          <t>data/raw/vivo_postpaid_SP.html</t>
        </is>
      </c>
    </row>
    <row r="806">
      <c r="A806" s="2" t="inlineStr">
        <is>
          <t>2026-07-06</t>
        </is>
      </c>
      <c r="B806" s="2" t="inlineStr">
        <is>
          <t>2026-07-06T22:11:41</t>
        </is>
      </c>
      <c r="C806" s="2" t="inlineStr">
        <is>
          <t>vivo</t>
        </is>
      </c>
      <c r="D806" s="2" t="inlineStr">
        <is>
          <t>postpaid</t>
        </is>
      </c>
      <c r="E806" s="2" t="inlineStr">
        <is>
          <t>SP</t>
        </is>
      </c>
      <c r="F806" s="2" t="inlineStr">
        <is>
          <t>Vivo Pós com Travel</t>
        </is>
      </c>
      <c r="G806" s="2" t="inlineStr">
        <is>
          <t>vivo:VIV202600029244-70gb</t>
        </is>
      </c>
      <c r="H806" s="3" t="n">
        <v>215</v>
      </c>
      <c r="I806" s="3" t="inlineStr"/>
      <c r="J806" s="2" t="inlineStr"/>
      <c r="K806" s="2" t="inlineStr"/>
      <c r="L806" s="4" t="n">
        <v>70</v>
      </c>
      <c r="M806" s="2" t="inlineStr">
        <is>
          <t>60 GB de franquia 10 GB de bônus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2 meses de YouTube sem consumo no plano</t>
        </is>
      </c>
      <c r="U806" s="2" t="inlineStr">
        <is>
          <t>https://vivo.com.br/para-voce/produtos-e-servicos/para-o-celular/planos-pos-pago</t>
        </is>
      </c>
      <c r="V806" s="2" t="inlineStr">
        <is>
          <t>data/raw/vivo_postpaid_SP.html</t>
        </is>
      </c>
    </row>
    <row r="807">
      <c r="A807" s="5" t="inlineStr">
        <is>
          <t>2026-07-06</t>
        </is>
      </c>
      <c r="B807" s="5" t="inlineStr">
        <is>
          <t>2026-07-06T22:11:41</t>
        </is>
      </c>
      <c r="C807" s="5" t="inlineStr">
        <is>
          <t>vivo</t>
        </is>
      </c>
      <c r="D807" s="5" t="inlineStr">
        <is>
          <t>prepaid</t>
        </is>
      </c>
      <c r="E807" s="5" t="inlineStr">
        <is>
          <t>SP</t>
        </is>
      </c>
      <c r="F807" s="5" t="inlineStr">
        <is>
          <t>Vivo Pré</t>
        </is>
      </c>
      <c r="G807" s="5" t="inlineStr">
        <is>
          <t>vivo:VIV202600029370-25gb</t>
        </is>
      </c>
      <c r="H807" s="6" t="n">
        <v>30</v>
      </c>
      <c r="I807" s="6" t="inlineStr"/>
      <c r="J807" s="5" t="inlineStr"/>
      <c r="K807" s="5" t="inlineStr"/>
      <c r="L807" s="7" t="n">
        <v>25</v>
      </c>
      <c r="M807" s="5" t="inlineStr">
        <is>
          <t>15 GB para navegar como quiser 5 GB de bônus 5 GB para navegar no Youtube</t>
        </is>
      </c>
      <c r="N807" s="5" t="n">
        <v>30</v>
      </c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https://vivo.com.br/para-voce/produtos-e-servicos/para-o-celular/pre-pago/vivo-pre</t>
        </is>
      </c>
      <c r="V807" s="5" t="inlineStr">
        <is>
          <t>data/raw/vivo_prepaid_SP.html</t>
        </is>
      </c>
    </row>
    <row r="808">
      <c r="A808" s="2" t="inlineStr">
        <is>
          <t>2026-07-06</t>
        </is>
      </c>
      <c r="B808" s="2" t="inlineStr">
        <is>
          <t>2026-07-06T22:11:41</t>
        </is>
      </c>
      <c r="C808" s="2" t="inlineStr">
        <is>
          <t>vivo</t>
        </is>
      </c>
      <c r="D808" s="2" t="inlineStr">
        <is>
          <t>prepaid</t>
        </is>
      </c>
      <c r="E808" s="2" t="inlineStr">
        <is>
          <t>SP</t>
        </is>
      </c>
      <c r="F808" s="2" t="inlineStr">
        <is>
          <t>Vivo Pré</t>
        </is>
      </c>
      <c r="G808" s="2" t="inlineStr">
        <is>
          <t>vivo:VIV202600029370-9gb</t>
        </is>
      </c>
      <c r="H808" s="3" t="n">
        <v>25</v>
      </c>
      <c r="I808" s="3" t="inlineStr"/>
      <c r="J808" s="2" t="inlineStr"/>
      <c r="K808" s="2" t="inlineStr"/>
      <c r="L808" s="4" t="n">
        <v>9</v>
      </c>
      <c r="M808" s="2" t="inlineStr">
        <is>
          <t>6 GB para navegar como quiser 3 GB para navegar no YouTube</t>
        </is>
      </c>
      <c r="N808" s="2" t="n">
        <v>22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https://vivo.com.br/para-voce/produtos-e-servicos/para-o-celular/pre-pago/vivo-pre</t>
        </is>
      </c>
      <c r="V808" s="2" t="inlineStr">
        <is>
          <t>data/raw/vivo_prepaid_SP.html</t>
        </is>
      </c>
    </row>
    <row r="809">
      <c r="A809" s="5" t="inlineStr">
        <is>
          <t>2026-07-06</t>
        </is>
      </c>
      <c r="B809" s="5" t="inlineStr">
        <is>
          <t>2026-07-06T22:11:41</t>
        </is>
      </c>
      <c r="C809" s="5" t="inlineStr">
        <is>
          <t>vivo</t>
        </is>
      </c>
      <c r="D809" s="5" t="inlineStr">
        <is>
          <t>prepaid</t>
        </is>
      </c>
      <c r="E809" s="5" t="inlineStr">
        <is>
          <t>SP</t>
        </is>
      </c>
      <c r="F809" s="5" t="inlineStr">
        <is>
          <t>Vivo Pré</t>
        </is>
      </c>
      <c r="G809" s="5" t="inlineStr">
        <is>
          <t>vivo:VIV202600029370-5gb</t>
        </is>
      </c>
      <c r="H809" s="6" t="n">
        <v>20</v>
      </c>
      <c r="I809" s="6" t="inlineStr"/>
      <c r="J809" s="5" t="inlineStr"/>
      <c r="K809" s="5" t="inlineStr"/>
      <c r="L809" s="7" t="n">
        <v>5</v>
      </c>
      <c r="M809" s="5" t="inlineStr">
        <is>
          <t>5 GB para navegar como quiser</t>
        </is>
      </c>
      <c r="N809" s="5" t="n">
        <v>17</v>
      </c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https://vivo.com.br/para-voce/produtos-e-servicos/para-o-celular/pre-pago/vivo-pre</t>
        </is>
      </c>
      <c r="V809" s="5" t="inlineStr">
        <is>
          <t>data/raw/vivo_prepaid_SP.html</t>
        </is>
      </c>
    </row>
    <row r="810">
      <c r="A810" s="2" t="inlineStr">
        <is>
          <t>2026-07-06</t>
        </is>
      </c>
      <c r="B810" s="2" t="inlineStr">
        <is>
          <t>2026-07-06T22:11:41</t>
        </is>
      </c>
      <c r="C810" s="2" t="inlineStr">
        <is>
          <t>vivo</t>
        </is>
      </c>
      <c r="D810" s="2" t="inlineStr">
        <is>
          <t>prepaid</t>
        </is>
      </c>
      <c r="E810" s="2" t="inlineStr">
        <is>
          <t>SP</t>
        </is>
      </c>
      <c r="F810" s="2" t="inlineStr">
        <is>
          <t>Vivo Pré</t>
        </is>
      </c>
      <c r="G810" s="2" t="inlineStr">
        <is>
          <t>vivo:VIV202600029370-4gb</t>
        </is>
      </c>
      <c r="H810" s="3" t="n">
        <v>17</v>
      </c>
      <c r="I810" s="3" t="inlineStr"/>
      <c r="J810" s="2" t="inlineStr"/>
      <c r="K810" s="2" t="inlineStr"/>
      <c r="L810" s="4" t="n">
        <v>4</v>
      </c>
      <c r="M810" s="2" t="inlineStr">
        <is>
          <t>4 GB para navegar como quiser</t>
        </is>
      </c>
      <c r="N810" s="2" t="n">
        <v>15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>
        <is>
          <t>https://vivo.com.br/para-voce/produtos-e-servicos/para-o-celular/pre-pago/vivo-pre</t>
        </is>
      </c>
      <c r="V810" s="2" t="inlineStr">
        <is>
          <t>data/raw/vivo_prepaid_SP.html</t>
        </is>
      </c>
    </row>
    <row r="811">
      <c r="A811" s="5" t="inlineStr">
        <is>
          <t>2026-07-07</t>
        </is>
      </c>
      <c r="B811" s="5" t="inlineStr">
        <is>
          <t>2026-07-07T22:09:54</t>
        </is>
      </c>
      <c r="C811" s="5" t="inlineStr">
        <is>
          <t>claro</t>
        </is>
      </c>
      <c r="D811" s="5" t="inlineStr">
        <is>
          <t>control</t>
        </is>
      </c>
      <c r="E811" s="5" t="inlineStr">
        <is>
          <t>SP</t>
        </is>
      </c>
      <c r="F811" s="5" t="inlineStr">
        <is>
          <t>Controle 25GB</t>
        </is>
      </c>
      <c r="G811" s="5" t="inlineStr">
        <is>
          <t>claro:plano-controle-25gb</t>
        </is>
      </c>
      <c r="H811" s="6" t="n">
        <v>59.9</v>
      </c>
      <c r="I811" s="6" t="n">
        <v>54.9</v>
      </c>
      <c r="J811" s="5" t="inlineStr">
        <is>
          <t>De R$ 59,90 Por:</t>
        </is>
      </c>
      <c r="K811" s="5" t="inlineStr"/>
      <c r="L811" s="7" t="n">
        <v>25</v>
      </c>
      <c r="M811" s="5" t="inlineStr"/>
      <c r="N811" s="5" t="inlineStr"/>
      <c r="O811" s="5" t="inlineStr">
        <is>
          <t>WhatsApp</t>
        </is>
      </c>
      <c r="P811" s="5" t="inlineStr"/>
      <c r="Q811" s="5" t="inlineStr"/>
      <c r="R811" s="5" t="inlineStr"/>
      <c r="S811" s="5" t="inlineStr"/>
      <c r="T811" s="5" t="inlineStr">
        <is>
          <t>Para uso livre; Para redes sociais e vídeos; Bônus exclusivo; Aproveite na sua franquia; WhatsApp e ligações ilimitadas</t>
        </is>
      </c>
      <c r="U811" s="5" t="inlineStr">
        <is>
          <t>https://www.claro.com.br/celular/controle</t>
        </is>
      </c>
      <c r="V811" s="5" t="inlineStr">
        <is>
          <t>data/raw/claro_control_SP.json</t>
        </is>
      </c>
    </row>
    <row r="812">
      <c r="A812" s="2" t="inlineStr">
        <is>
          <t>2026-07-07</t>
        </is>
      </c>
      <c r="B812" s="2" t="inlineStr">
        <is>
          <t>2026-07-07T22:09:54</t>
        </is>
      </c>
      <c r="C812" s="2" t="inlineStr">
        <is>
          <t>claro</t>
        </is>
      </c>
      <c r="D812" s="2" t="inlineStr">
        <is>
          <t>control</t>
        </is>
      </c>
      <c r="E812" s="2" t="inlineStr">
        <is>
          <t>SP</t>
        </is>
      </c>
      <c r="F812" s="2" t="inlineStr">
        <is>
          <t>Controle 30GB</t>
        </is>
      </c>
      <c r="G812" s="2" t="inlineStr">
        <is>
          <t>claro:plano-controle-30gb</t>
        </is>
      </c>
      <c r="H812" s="3" t="n">
        <v>69.90000000000001</v>
      </c>
      <c r="I812" s="3" t="inlineStr"/>
      <c r="J812" s="2" t="inlineStr"/>
      <c r="K812" s="2" t="inlineStr"/>
      <c r="L812" s="4" t="n">
        <v>30</v>
      </c>
      <c r="M812" s="2" t="inlineStr"/>
      <c r="N812" s="2" t="inlineStr"/>
      <c r="O812" s="2" t="inlineStr">
        <is>
          <t>WhatsApp</t>
        </is>
      </c>
      <c r="P812" s="2" t="inlineStr"/>
      <c r="Q812" s="2" t="inlineStr"/>
      <c r="R812" s="2" t="inlineStr"/>
      <c r="S812" s="2" t="inlineStr"/>
      <c r="T812" s="2" t="inlineStr">
        <is>
          <t>Para uso livre; Bônus especial para uso livre; Bônus para redes sociais e apps; Redes sociais e apps; WhatsApp ilimitado</t>
        </is>
      </c>
      <c r="U812" s="2" t="inlineStr">
        <is>
          <t>https://www.claro.com.br/celular/controle</t>
        </is>
      </c>
      <c r="V812" s="2" t="inlineStr">
        <is>
          <t>data/raw/claro_control_SP.json</t>
        </is>
      </c>
    </row>
    <row r="813">
      <c r="A813" s="5" t="inlineStr">
        <is>
          <t>2026-07-07</t>
        </is>
      </c>
      <c r="B813" s="5" t="inlineStr">
        <is>
          <t>2026-07-07T22:09:54</t>
        </is>
      </c>
      <c r="C813" s="5" t="inlineStr">
        <is>
          <t>claro</t>
        </is>
      </c>
      <c r="D813" s="5" t="inlineStr">
        <is>
          <t>control</t>
        </is>
      </c>
      <c r="E813" s="5" t="inlineStr">
        <is>
          <t>SP</t>
        </is>
      </c>
      <c r="F813" s="5" t="inlineStr">
        <is>
          <t>Controle 30GB</t>
        </is>
      </c>
      <c r="G813" s="5" t="inlineStr">
        <is>
          <t>claro:plano-controle-30gb-gaming</t>
        </is>
      </c>
      <c r="H813" s="6" t="n">
        <v>99.90000000000001</v>
      </c>
      <c r="I813" s="6" t="inlineStr"/>
      <c r="J813" s="5" t="inlineStr"/>
      <c r="K813" s="5" t="inlineStr"/>
      <c r="L813" s="7" t="n">
        <v>30</v>
      </c>
      <c r="M813" s="5" t="inlineStr"/>
      <c r="N813" s="5" t="inlineStr"/>
      <c r="O813" s="5" t="inlineStr">
        <is>
          <t>WhatsApp</t>
        </is>
      </c>
      <c r="P813" s="5" t="inlineStr"/>
      <c r="Q813" s="5" t="inlineStr"/>
      <c r="R813" s="5" t="inlineStr"/>
      <c r="S813" s="5" t="inlineStr"/>
      <c r="T813" s="5" t="inlineStr">
        <is>
          <t>Para uso livre; Bônus para redes sociais e apps; Bônus uso livre; Redes sociais e apps; WhatsApp ilimitado</t>
        </is>
      </c>
      <c r="U813" s="5" t="inlineStr">
        <is>
          <t>https://www.claro.com.br/celular/controle</t>
        </is>
      </c>
      <c r="V813" s="5" t="inlineStr">
        <is>
          <t>data/raw/claro_control_SP.json</t>
        </is>
      </c>
    </row>
    <row r="814">
      <c r="A814" s="2" t="inlineStr">
        <is>
          <t>2026-07-07</t>
        </is>
      </c>
      <c r="B814" s="2" t="inlineStr">
        <is>
          <t>2026-07-07T22:09:54</t>
        </is>
      </c>
      <c r="C814" s="2" t="inlineStr">
        <is>
          <t>claro</t>
        </is>
      </c>
      <c r="D814" s="2" t="inlineStr">
        <is>
          <t>flex</t>
        </is>
      </c>
      <c r="E814" s="2" t="inlineStr">
        <is>
          <t>SP</t>
        </is>
      </c>
      <c r="F814" s="2" t="inlineStr">
        <is>
          <t>Flex 15GB</t>
        </is>
      </c>
      <c r="G814" s="2" t="inlineStr">
        <is>
          <t>claro:plano-flex-15gb</t>
        </is>
      </c>
      <c r="H814" s="3" t="n">
        <v>44.9</v>
      </c>
      <c r="I814" s="3" t="inlineStr"/>
      <c r="J814" s="2" t="inlineStr"/>
      <c r="K814" s="2" t="inlineStr"/>
      <c r="L814" s="4" t="n">
        <v>15</v>
      </c>
      <c r="M814" s="2" t="inlineStr"/>
      <c r="N814" s="2" t="inlineStr"/>
      <c r="O814" s="2" t="inlineStr">
        <is>
          <t>WhatsApp</t>
        </is>
      </c>
      <c r="P814" s="2" t="inlineStr"/>
      <c r="Q814" s="2" t="inlineStr"/>
      <c r="R814" s="2" t="inlineStr"/>
      <c r="S814" s="2" t="inlineStr"/>
      <c r="T814" s="2" t="inlineStr">
        <is>
          <t>Para uso livre; Bônus especial para uso livre; Para redes sociais e apps; Bônus extra nos apps; WhatsApp ilimitado</t>
        </is>
      </c>
      <c r="U814" s="2" t="inlineStr">
        <is>
          <t>https://www.claro.com.br/celular/flex</t>
        </is>
      </c>
      <c r="V814" s="2" t="inlineStr">
        <is>
          <t>data/raw/claro_flex_SP.json</t>
        </is>
      </c>
    </row>
    <row r="815">
      <c r="A815" s="5" t="inlineStr">
        <is>
          <t>2026-07-07</t>
        </is>
      </c>
      <c r="B815" s="5" t="inlineStr">
        <is>
          <t>2026-07-07T22:09:54</t>
        </is>
      </c>
      <c r="C815" s="5" t="inlineStr">
        <is>
          <t>claro</t>
        </is>
      </c>
      <c r="D815" s="5" t="inlineStr">
        <is>
          <t>flex</t>
        </is>
      </c>
      <c r="E815" s="5" t="inlineStr">
        <is>
          <t>SP</t>
        </is>
      </c>
      <c r="F815" s="5" t="inlineStr">
        <is>
          <t>Flex 20GB</t>
        </is>
      </c>
      <c r="G815" s="5" t="inlineStr">
        <is>
          <t>claro:plano-flex-20gb</t>
        </is>
      </c>
      <c r="H815" s="6" t="n">
        <v>59.9</v>
      </c>
      <c r="I815" s="6" t="inlineStr"/>
      <c r="J815" s="5" t="inlineStr"/>
      <c r="K815" s="5" t="inlineStr"/>
      <c r="L815" s="7" t="n">
        <v>20</v>
      </c>
      <c r="M815" s="5" t="inlineStr"/>
      <c r="N815" s="5" t="inlineStr"/>
      <c r="O815" s="5" t="inlineStr">
        <is>
          <t>WhatsApp</t>
        </is>
      </c>
      <c r="P815" s="5" t="inlineStr"/>
      <c r="Q815" s="5" t="inlineStr"/>
      <c r="R815" s="5" t="inlineStr"/>
      <c r="S815" s="5" t="inlineStr"/>
      <c r="T815" s="5" t="inlineStr">
        <is>
          <t>Para uso livre; Bônus especial para uso livre; Para redes sociais e apps; Bônus extra nos apps; WhatsApp ilimitado</t>
        </is>
      </c>
      <c r="U815" s="5" t="inlineStr">
        <is>
          <t>https://www.claro.com.br/celular/flex</t>
        </is>
      </c>
      <c r="V815" s="5" t="inlineStr">
        <is>
          <t>data/raw/claro_flex_SP.json</t>
        </is>
      </c>
    </row>
    <row r="816">
      <c r="A816" s="2" t="inlineStr">
        <is>
          <t>2026-07-07</t>
        </is>
      </c>
      <c r="B816" s="2" t="inlineStr">
        <is>
          <t>2026-07-07T22:09:54</t>
        </is>
      </c>
      <c r="C816" s="2" t="inlineStr">
        <is>
          <t>claro</t>
        </is>
      </c>
      <c r="D816" s="2" t="inlineStr">
        <is>
          <t>flex</t>
        </is>
      </c>
      <c r="E816" s="2" t="inlineStr">
        <is>
          <t>SP</t>
        </is>
      </c>
      <c r="F816" s="2" t="inlineStr">
        <is>
          <t>Flex 30GB</t>
        </is>
      </c>
      <c r="G816" s="2" t="inlineStr">
        <is>
          <t>claro:plano-flex-30gb</t>
        </is>
      </c>
      <c r="H816" s="3" t="n">
        <v>69.90000000000001</v>
      </c>
      <c r="I816" s="3" t="inlineStr"/>
      <c r="J816" s="2" t="inlineStr"/>
      <c r="K816" s="2" t="inlineStr"/>
      <c r="L816" s="4" t="n">
        <v>30</v>
      </c>
      <c r="M816" s="2" t="inlineStr"/>
      <c r="N816" s="2" t="inlineStr"/>
      <c r="O816" s="2" t="inlineStr">
        <is>
          <t>WhatsApp</t>
        </is>
      </c>
      <c r="P816" s="2" t="inlineStr"/>
      <c r="Q816" s="2" t="inlineStr"/>
      <c r="R816" s="2" t="inlineStr"/>
      <c r="S816" s="2" t="inlineStr"/>
      <c r="T816" s="2" t="inlineStr">
        <is>
          <t>Para uso livre; Bônus especial para uso livre; Para redes sociais e apps; Bônus extra nos apps; WhatsApp ilimitado; Assinatura Claro musica inclusa</t>
        </is>
      </c>
      <c r="U816" s="2" t="inlineStr">
        <is>
          <t>https://www.claro.com.br/celular/flex</t>
        </is>
      </c>
      <c r="V816" s="2" t="inlineStr">
        <is>
          <t>data/raw/claro_flex_SP.json</t>
        </is>
      </c>
    </row>
    <row r="817">
      <c r="A817" s="5" t="inlineStr">
        <is>
          <t>2026-07-07</t>
        </is>
      </c>
      <c r="B817" s="5" t="inlineStr">
        <is>
          <t>2026-07-07T22:09:54</t>
        </is>
      </c>
      <c r="C817" s="5" t="inlineStr">
        <is>
          <t>claro</t>
        </is>
      </c>
      <c r="D817" s="5" t="inlineStr">
        <is>
          <t>flex</t>
        </is>
      </c>
      <c r="E817" s="5" t="inlineStr">
        <is>
          <t>SP</t>
        </is>
      </c>
      <c r="F817" s="5" t="inlineStr">
        <is>
          <t>Flex 40GB</t>
        </is>
      </c>
      <c r="G817" s="5" t="inlineStr">
        <is>
          <t>claro:plano-flex-40gb</t>
        </is>
      </c>
      <c r="H817" s="6" t="n">
        <v>119.9</v>
      </c>
      <c r="I817" s="6" t="inlineStr"/>
      <c r="J817" s="5" t="inlineStr"/>
      <c r="K817" s="5" t="inlineStr"/>
      <c r="L817" s="7" t="n">
        <v>40</v>
      </c>
      <c r="M817" s="5" t="inlineStr"/>
      <c r="N817" s="5" t="inlineStr"/>
      <c r="O817" s="5" t="inlineStr">
        <is>
          <t>WhatsApp</t>
        </is>
      </c>
      <c r="P817" s="5" t="inlineStr"/>
      <c r="Q817" s="5" t="inlineStr"/>
      <c r="R817" s="5" t="inlineStr"/>
      <c r="S817" s="5" t="inlineStr"/>
      <c r="T817" s="5" t="inlineStr">
        <is>
          <t>Para uso livre; Para redes sociais e apps; Bônus uso livre; Bônus extra nos apps; WhatsApp ilimitado; Assinatura Claro musica inclusa</t>
        </is>
      </c>
      <c r="U817" s="5" t="inlineStr">
        <is>
          <t>https://www.claro.com.br/celular/flex</t>
        </is>
      </c>
      <c r="V817" s="5" t="inlineStr">
        <is>
          <t>data/raw/claro_flex_SP.json</t>
        </is>
      </c>
    </row>
    <row r="818">
      <c r="A818" s="2" t="inlineStr">
        <is>
          <t>2026-07-07</t>
        </is>
      </c>
      <c r="B818" s="2" t="inlineStr">
        <is>
          <t>2026-07-07T22:09:54</t>
        </is>
      </c>
      <c r="C818" s="2" t="inlineStr">
        <is>
          <t>claro</t>
        </is>
      </c>
      <c r="D818" s="2" t="inlineStr">
        <is>
          <t>postpaid</t>
        </is>
      </c>
      <c r="E818" s="2" t="inlineStr">
        <is>
          <t>SP</t>
        </is>
      </c>
      <c r="F818" s="2" t="inlineStr">
        <is>
          <t>Pós 100GB</t>
        </is>
      </c>
      <c r="G818" s="2" t="inlineStr">
        <is>
          <t>claro:plano-pos-100gb</t>
        </is>
      </c>
      <c r="H818" s="3" t="n">
        <v>179.9</v>
      </c>
      <c r="I818" s="3" t="inlineStr"/>
      <c r="J818" s="2" t="inlineStr"/>
      <c r="K818" s="2" t="inlineStr"/>
      <c r="L818" s="4" t="n">
        <v>100</v>
      </c>
      <c r="M818" s="2" t="inlineStr"/>
      <c r="N818" s="2" t="inlineStr"/>
      <c r="O818" s="2" t="inlineStr">
        <is>
          <t>WhatsApp</t>
        </is>
      </c>
      <c r="P818" s="2" t="inlineStr"/>
      <c r="Q818" s="2" t="inlineStr"/>
      <c r="R818" s="2" t="inlineStr"/>
      <c r="S818" s="2" t="inlineStr"/>
      <c r="T818" s="2" t="inlineStr">
        <is>
          <t>Armazenamento na nuvem:; Google One ou iCloud+; WhatsApp ilimitado; Roaming: Passaporte Américas; Claro Sync: Smartwatch conectado</t>
        </is>
      </c>
      <c r="U818" s="2" t="inlineStr">
        <is>
          <t>https://www.claro.com.br/celular/pos</t>
        </is>
      </c>
      <c r="V818" s="2" t="inlineStr">
        <is>
          <t>data/raw/claro_postpaid_SP.json</t>
        </is>
      </c>
    </row>
    <row r="819">
      <c r="A819" s="5" t="inlineStr">
        <is>
          <t>2026-07-07</t>
        </is>
      </c>
      <c r="B819" s="5" t="inlineStr">
        <is>
          <t>2026-07-07T22:09:54</t>
        </is>
      </c>
      <c r="C819" s="5" t="inlineStr">
        <is>
          <t>claro</t>
        </is>
      </c>
      <c r="D819" s="5" t="inlineStr">
        <is>
          <t>postpaid</t>
        </is>
      </c>
      <c r="E819" s="5" t="inlineStr">
        <is>
          <t>SP</t>
        </is>
      </c>
      <c r="F819" s="5" t="inlineStr">
        <is>
          <t>Pós 150GB</t>
        </is>
      </c>
      <c r="G819" s="5" t="inlineStr">
        <is>
          <t>claro:plano-pos-150gb</t>
        </is>
      </c>
      <c r="H819" s="6" t="n">
        <v>239.9</v>
      </c>
      <c r="I819" s="6" t="inlineStr"/>
      <c r="J819" s="5" t="inlineStr"/>
      <c r="K819" s="5" t="inlineStr"/>
      <c r="L819" s="7" t="n">
        <v>150</v>
      </c>
      <c r="M819" s="5" t="inlineStr"/>
      <c r="N819" s="5" t="inlineStr"/>
      <c r="O819" s="5" t="inlineStr">
        <is>
          <t>WhatsApp</t>
        </is>
      </c>
      <c r="P819" s="5" t="inlineStr"/>
      <c r="Q819" s="5" t="inlineStr"/>
      <c r="R819" s="5" t="inlineStr"/>
      <c r="S819" s="5" t="inlineStr"/>
      <c r="T819" s="5" t="inlineStr">
        <is>
          <t>Armazenamento na nuvem:; Google One ou iCloud+; WhatsApp ilimitado; Roaming: Passaporte Américas e Europa; Claro Sync: Smartwatch conectado</t>
        </is>
      </c>
      <c r="U819" s="5" t="inlineStr">
        <is>
          <t>https://www.claro.com.br/celular/pos</t>
        </is>
      </c>
      <c r="V819" s="5" t="inlineStr">
        <is>
          <t>data/raw/claro_postpaid_SP.json</t>
        </is>
      </c>
    </row>
    <row r="820">
      <c r="A820" s="2" t="inlineStr">
        <is>
          <t>2026-07-07</t>
        </is>
      </c>
      <c r="B820" s="2" t="inlineStr">
        <is>
          <t>2026-07-07T22:09:54</t>
        </is>
      </c>
      <c r="C820" s="2" t="inlineStr">
        <is>
          <t>claro</t>
        </is>
      </c>
      <c r="D820" s="2" t="inlineStr">
        <is>
          <t>postpaid</t>
        </is>
      </c>
      <c r="E820" s="2" t="inlineStr">
        <is>
          <t>SP</t>
        </is>
      </c>
      <c r="F820" s="2" t="inlineStr">
        <is>
          <t>Pós 200GB</t>
        </is>
      </c>
      <c r="G820" s="2" t="inlineStr">
        <is>
          <t>claro:plano-pos-200gb</t>
        </is>
      </c>
      <c r="H820" s="3" t="n">
        <v>339.9</v>
      </c>
      <c r="I820" s="3" t="inlineStr"/>
      <c r="J820" s="2" t="inlineStr"/>
      <c r="K820" s="2" t="inlineStr"/>
      <c r="L820" s="4" t="n">
        <v>200</v>
      </c>
      <c r="M820" s="2" t="inlineStr"/>
      <c r="N820" s="2" t="inlineStr"/>
      <c r="O820" s="2" t="inlineStr">
        <is>
          <t>WhatsApp</t>
        </is>
      </c>
      <c r="P820" s="2" t="inlineStr"/>
      <c r="Q820" s="2" t="inlineStr"/>
      <c r="R820" s="2" t="inlineStr"/>
      <c r="S820" s="2" t="inlineStr"/>
      <c r="T820" s="2" t="inlineStr">
        <is>
          <t>Armazenamento na nuvem:; Google One ou iCloud+; WhatsApp ilimitado; Roaming: Passaporte Mundo; Claro Sync: Smartwatch conectado</t>
        </is>
      </c>
      <c r="U820" s="2" t="inlineStr">
        <is>
          <t>https://www.claro.com.br/celular/pos</t>
        </is>
      </c>
      <c r="V820" s="2" t="inlineStr">
        <is>
          <t>data/raw/claro_postpaid_SP.json</t>
        </is>
      </c>
    </row>
    <row r="821">
      <c r="A821" s="5" t="inlineStr">
        <is>
          <t>2026-07-07</t>
        </is>
      </c>
      <c r="B821" s="5" t="inlineStr">
        <is>
          <t>2026-07-07T22:09:54</t>
        </is>
      </c>
      <c r="C821" s="5" t="inlineStr">
        <is>
          <t>claro</t>
        </is>
      </c>
      <c r="D821" s="5" t="inlineStr">
        <is>
          <t>postpaid</t>
        </is>
      </c>
      <c r="E821" s="5" t="inlineStr">
        <is>
          <t>SP</t>
        </is>
      </c>
      <c r="F821" s="5" t="inlineStr">
        <is>
          <t>Pós 50GB com GeForce NOW</t>
        </is>
      </c>
      <c r="G821" s="5" t="inlineStr">
        <is>
          <t>claro:plano-pos-60gb-geforce</t>
        </is>
      </c>
      <c r="H821" s="6" t="n">
        <v>164.9</v>
      </c>
      <c r="I821" s="6" t="inlineStr"/>
      <c r="J821" s="5" t="inlineStr"/>
      <c r="K821" s="5" t="inlineStr"/>
      <c r="L821" s="7" t="n">
        <v>50</v>
      </c>
      <c r="M821" s="5" t="inlineStr"/>
      <c r="N821" s="5" t="inlineStr"/>
      <c r="O821" s="5" t="inlineStr">
        <is>
          <t>WhatsApp</t>
        </is>
      </c>
      <c r="P821" s="5" t="inlineStr"/>
      <c r="Q821" s="5" t="inlineStr"/>
      <c r="R821" s="5" t="inlineStr"/>
      <c r="S821" s="5" t="inlineStr"/>
      <c r="T821" s="5" t="inlineStr">
        <is>
          <t>Armazenamento na nuvem:; Google One ou iCloud+; WhatsApp ilimitado; Roaming: Passaporte Américas; Claro Sync: Smartwatch conectado; Inclusa assinatura GeForce NOW</t>
        </is>
      </c>
      <c r="U821" s="5" t="inlineStr">
        <is>
          <t>https://www.claro.com.br/celular/pos</t>
        </is>
      </c>
      <c r="V821" s="5" t="inlineStr">
        <is>
          <t>data/raw/claro_postpaid_SP.json</t>
        </is>
      </c>
    </row>
    <row r="822">
      <c r="A822" s="2" t="inlineStr">
        <is>
          <t>2026-07-07</t>
        </is>
      </c>
      <c r="B822" s="2" t="inlineStr">
        <is>
          <t>2026-07-07T22:09:54</t>
        </is>
      </c>
      <c r="C822" s="2" t="inlineStr">
        <is>
          <t>claro</t>
        </is>
      </c>
      <c r="D822" s="2" t="inlineStr">
        <is>
          <t>postpaid</t>
        </is>
      </c>
      <c r="E822" s="2" t="inlineStr">
        <is>
          <t>SP</t>
        </is>
      </c>
      <c r="F822" s="2" t="inlineStr">
        <is>
          <t>Pós 60GB</t>
        </is>
      </c>
      <c r="G822" s="2" t="inlineStr">
        <is>
          <t>claro:plano-pos-60gb</t>
        </is>
      </c>
      <c r="H822" s="3" t="n">
        <v>124.9</v>
      </c>
      <c r="I822" s="3" t="inlineStr"/>
      <c r="J822" s="2" t="inlineStr"/>
      <c r="K822" s="2" t="inlineStr"/>
      <c r="L822" s="4" t="n">
        <v>60</v>
      </c>
      <c r="M822" s="2" t="inlineStr"/>
      <c r="N822" s="2" t="inlineStr"/>
      <c r="O822" s="2" t="inlineStr">
        <is>
          <t>WhatsApp</t>
        </is>
      </c>
      <c r="P822" s="2" t="inlineStr"/>
      <c r="Q822" s="2" t="inlineStr"/>
      <c r="R822" s="2" t="inlineStr"/>
      <c r="S822" s="2" t="inlineStr"/>
      <c r="T822" s="2" t="inlineStr">
        <is>
          <t>Armazenamento na nuvem:; Google One ou iCloud+; WhatsApp ilimitado; Roaming: Passaporte Américas; Claro Sync: Smartwatch conectado</t>
        </is>
      </c>
      <c r="U822" s="2" t="inlineStr">
        <is>
          <t>https://www.claro.com.br/celular/pos</t>
        </is>
      </c>
      <c r="V822" s="2" t="inlineStr">
        <is>
          <t>data/raw/claro_postpaid_SP.json</t>
        </is>
      </c>
    </row>
    <row r="823">
      <c r="A823" s="5" t="inlineStr">
        <is>
          <t>2026-07-07</t>
        </is>
      </c>
      <c r="B823" s="5" t="inlineStr">
        <is>
          <t>2026-07-07T22:09:54</t>
        </is>
      </c>
      <c r="C823" s="5" t="inlineStr">
        <is>
          <t>claro</t>
        </is>
      </c>
      <c r="D823" s="5" t="inlineStr">
        <is>
          <t>prepaid</t>
        </is>
      </c>
      <c r="E823" s="5" t="inlineStr">
        <is>
          <t>SP</t>
        </is>
      </c>
      <c r="F823" s="5" t="inlineStr">
        <is>
          <t>Prezão 10GB (25 dias)</t>
        </is>
      </c>
      <c r="G823" s="5" t="inlineStr">
        <is>
          <t>claro:prezao-25d-10gb</t>
        </is>
      </c>
      <c r="H823" s="6" t="n">
        <v>25</v>
      </c>
      <c r="I823" s="6" t="inlineStr"/>
      <c r="J823" s="5" t="inlineStr">
        <is>
          <t>recarga Prezão R$25 — validade 25 dias</t>
        </is>
      </c>
      <c r="K823" s="5" t="inlineStr"/>
      <c r="L823" s="7" t="n">
        <v>10</v>
      </c>
      <c r="M823" s="5" t="inlineStr"/>
      <c r="N823" s="5" t="n">
        <v>25</v>
      </c>
      <c r="O823" s="5" t="inlineStr"/>
      <c r="P823" s="5" t="inlineStr"/>
      <c r="Q823" s="5" t="inlineStr"/>
      <c r="R823" s="5" t="inlineStr"/>
      <c r="S823" s="5" t="inlineStr"/>
      <c r="T823" s="5" t="inlineStr"/>
      <c r="U823" s="5" t="inlineStr">
        <is>
          <t>https://www.claro.com.br/celular/planos-pre/prezao</t>
        </is>
      </c>
      <c r="V823" s="5" t="inlineStr">
        <is>
          <t>data/raw/claro_prepaid_SP.json</t>
        </is>
      </c>
    </row>
    <row r="824">
      <c r="A824" s="2" t="inlineStr">
        <is>
          <t>2026-07-07</t>
        </is>
      </c>
      <c r="B824" s="2" t="inlineStr">
        <is>
          <t>2026-07-07T22:09:54</t>
        </is>
      </c>
      <c r="C824" s="2" t="inlineStr">
        <is>
          <t>claro</t>
        </is>
      </c>
      <c r="D824" s="2" t="inlineStr">
        <is>
          <t>prepaid</t>
        </is>
      </c>
      <c r="E824" s="2" t="inlineStr">
        <is>
          <t>SP</t>
        </is>
      </c>
      <c r="F824" s="2" t="inlineStr">
        <is>
          <t>Prezão 12GB (30 dias)</t>
        </is>
      </c>
      <c r="G824" s="2" t="inlineStr">
        <is>
          <t>claro:prezao-30d-12gb</t>
        </is>
      </c>
      <c r="H824" s="3" t="n">
        <v>30</v>
      </c>
      <c r="I824" s="3" t="inlineStr"/>
      <c r="J824" s="2" t="inlineStr">
        <is>
          <t>recarga Prezão R$30 — validade 30 dias</t>
        </is>
      </c>
      <c r="K824" s="2" t="inlineStr"/>
      <c r="L824" s="4" t="n">
        <v>12</v>
      </c>
      <c r="M824" s="2" t="inlineStr"/>
      <c r="N824" s="2" t="n">
        <v>30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>
        <is>
          <t>https://www.claro.com.br/celular/planos-pre/prezao</t>
        </is>
      </c>
      <c r="V824" s="2" t="inlineStr">
        <is>
          <t>data/raw/claro_prepaid_SP.json</t>
        </is>
      </c>
    </row>
    <row r="825">
      <c r="A825" s="5" t="inlineStr">
        <is>
          <t>2026-07-07</t>
        </is>
      </c>
      <c r="B825" s="5" t="inlineStr">
        <is>
          <t>2026-07-07T22:09:54</t>
        </is>
      </c>
      <c r="C825" s="5" t="inlineStr">
        <is>
          <t>claro</t>
        </is>
      </c>
      <c r="D825" s="5" t="inlineStr">
        <is>
          <t>prepaid</t>
        </is>
      </c>
      <c r="E825" s="5" t="inlineStr">
        <is>
          <t>SP</t>
        </is>
      </c>
      <c r="F825" s="5" t="inlineStr">
        <is>
          <t>Prezão 4GB (12 dias)</t>
        </is>
      </c>
      <c r="G825" s="5" t="inlineStr">
        <is>
          <t>claro:prezao-12d-4gb</t>
        </is>
      </c>
      <c r="H825" s="6" t="n">
        <v>15</v>
      </c>
      <c r="I825" s="6" t="inlineStr"/>
      <c r="J825" s="5" t="inlineStr">
        <is>
          <t>recarga Prezão R$15 — validade 12 dias</t>
        </is>
      </c>
      <c r="K825" s="5" t="inlineStr"/>
      <c r="L825" s="7" t="n">
        <v>4</v>
      </c>
      <c r="M825" s="5" t="inlineStr"/>
      <c r="N825" s="5" t="n">
        <v>12</v>
      </c>
      <c r="O825" s="5" t="inlineStr"/>
      <c r="P825" s="5" t="inlineStr"/>
      <c r="Q825" s="5" t="inlineStr"/>
      <c r="R825" s="5" t="inlineStr"/>
      <c r="S825" s="5" t="inlineStr"/>
      <c r="T825" s="5" t="inlineStr"/>
      <c r="U825" s="5" t="inlineStr">
        <is>
          <t>https://www.claro.com.br/celular/planos-pre/prezao</t>
        </is>
      </c>
      <c r="V825" s="5" t="inlineStr">
        <is>
          <t>data/raw/claro_prepaid_SP.json</t>
        </is>
      </c>
    </row>
    <row r="826">
      <c r="A826" s="2" t="inlineStr">
        <is>
          <t>2026-07-07</t>
        </is>
      </c>
      <c r="B826" s="2" t="inlineStr">
        <is>
          <t>2026-07-07T22:09:54</t>
        </is>
      </c>
      <c r="C826" s="2" t="inlineStr">
        <is>
          <t>claro</t>
        </is>
      </c>
      <c r="D826" s="2" t="inlineStr">
        <is>
          <t>prepaid</t>
        </is>
      </c>
      <c r="E826" s="2" t="inlineStr">
        <is>
          <t>SP</t>
        </is>
      </c>
      <c r="F826" s="2" t="inlineStr">
        <is>
          <t>Prezão 5GB (15 dias)</t>
        </is>
      </c>
      <c r="G826" s="2" t="inlineStr">
        <is>
          <t>claro:prezao-15d-5gb</t>
        </is>
      </c>
      <c r="H826" s="3" t="n">
        <v>15</v>
      </c>
      <c r="I826" s="3" t="inlineStr"/>
      <c r="J826" s="2" t="inlineStr">
        <is>
          <t>recarga Prezão R$15 — validade 15 dias</t>
        </is>
      </c>
      <c r="K826" s="2" t="inlineStr"/>
      <c r="L826" s="4" t="n">
        <v>5</v>
      </c>
      <c r="M826" s="2" t="inlineStr"/>
      <c r="N826" s="2" t="n">
        <v>15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>
        <is>
          <t>https://www.claro.com.br/celular/planos-pre/prezao</t>
        </is>
      </c>
      <c r="V826" s="2" t="inlineStr">
        <is>
          <t>data/raw/claro_prepaid_SP.json</t>
        </is>
      </c>
    </row>
    <row r="827">
      <c r="A827" s="5" t="inlineStr">
        <is>
          <t>2026-07-07</t>
        </is>
      </c>
      <c r="B827" s="5" t="inlineStr">
        <is>
          <t>2026-07-07T22:09:54</t>
        </is>
      </c>
      <c r="C827" s="5" t="inlineStr">
        <is>
          <t>claro</t>
        </is>
      </c>
      <c r="D827" s="5" t="inlineStr">
        <is>
          <t>prepaid</t>
        </is>
      </c>
      <c r="E827" s="5" t="inlineStr">
        <is>
          <t>SP</t>
        </is>
      </c>
      <c r="F827" s="5" t="inlineStr">
        <is>
          <t>Prezão 6GB (20 dias)</t>
        </is>
      </c>
      <c r="G827" s="5" t="inlineStr">
        <is>
          <t>claro:prezao-20d-6gb</t>
        </is>
      </c>
      <c r="H827" s="6" t="n">
        <v>20</v>
      </c>
      <c r="I827" s="6" t="inlineStr"/>
      <c r="J827" s="5" t="inlineStr">
        <is>
          <t>recarga Prezão R$20 — validade 20 dias</t>
        </is>
      </c>
      <c r="K827" s="5" t="inlineStr"/>
      <c r="L827" s="7" t="n">
        <v>6</v>
      </c>
      <c r="M827" s="5" t="inlineStr"/>
      <c r="N827" s="5" t="n">
        <v>20</v>
      </c>
      <c r="O827" s="5" t="inlineStr"/>
      <c r="P827" s="5" t="inlineStr"/>
      <c r="Q827" s="5" t="inlineStr"/>
      <c r="R827" s="5" t="inlineStr"/>
      <c r="S827" s="5" t="inlineStr"/>
      <c r="T827" s="5" t="inlineStr"/>
      <c r="U827" s="5" t="inlineStr">
        <is>
          <t>https://www.claro.com.br/celular/planos-pre/prezao</t>
        </is>
      </c>
      <c r="V827" s="5" t="inlineStr">
        <is>
          <t>data/raw/claro_prepaid_SP.json</t>
        </is>
      </c>
    </row>
    <row r="828">
      <c r="A828" s="2" t="inlineStr">
        <is>
          <t>2026-07-07</t>
        </is>
      </c>
      <c r="B828" s="2" t="inlineStr">
        <is>
          <t>2026-07-07T22:09:54</t>
        </is>
      </c>
      <c r="C828" s="2" t="inlineStr">
        <is>
          <t>claro</t>
        </is>
      </c>
      <c r="D828" s="2" t="inlineStr">
        <is>
          <t>prepaid</t>
        </is>
      </c>
      <c r="E828" s="2" t="inlineStr">
        <is>
          <t>SP</t>
        </is>
      </c>
      <c r="F828" s="2" t="inlineStr">
        <is>
          <t>Prezão 8GB (20 dias)</t>
        </is>
      </c>
      <c r="G828" s="2" t="inlineStr">
        <is>
          <t>claro:prezao-20d-8gb</t>
        </is>
      </c>
      <c r="H828" s="3" t="n">
        <v>20</v>
      </c>
      <c r="I828" s="3" t="inlineStr"/>
      <c r="J828" s="2" t="inlineStr">
        <is>
          <t>recarga Prezão R$20 — validade 20 dias</t>
        </is>
      </c>
      <c r="K828" s="2" t="inlineStr"/>
      <c r="L828" s="4" t="n">
        <v>8</v>
      </c>
      <c r="M828" s="2" t="inlineStr"/>
      <c r="N828" s="2" t="n">
        <v>20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>
        <is>
          <t>https://www.claro.com.br/celular/planos-pre/prezao</t>
        </is>
      </c>
      <c r="V828" s="2" t="inlineStr">
        <is>
          <t>data/raw/claro_prepaid_SP.json</t>
        </is>
      </c>
    </row>
    <row r="829">
      <c r="A829" s="5" t="inlineStr">
        <is>
          <t>2026-07-07</t>
        </is>
      </c>
      <c r="B829" s="5" t="inlineStr">
        <is>
          <t>2026-07-07T22:09:54</t>
        </is>
      </c>
      <c r="C829" s="5" t="inlineStr">
        <is>
          <t>claro</t>
        </is>
      </c>
      <c r="D829" s="5" t="inlineStr">
        <is>
          <t>prepaid</t>
        </is>
      </c>
      <c r="E829" s="5" t="inlineStr">
        <is>
          <t>SP</t>
        </is>
      </c>
      <c r="F829" s="5" t="inlineStr">
        <is>
          <t>Prezão 9GB (25 dias)</t>
        </is>
      </c>
      <c r="G829" s="5" t="inlineStr">
        <is>
          <t>claro:prezao-25d-9gb</t>
        </is>
      </c>
      <c r="H829" s="6" t="n">
        <v>25</v>
      </c>
      <c r="I829" s="6" t="inlineStr"/>
      <c r="J829" s="5" t="inlineStr">
        <is>
          <t>recarga Prezão R$25 — validade 25 dias</t>
        </is>
      </c>
      <c r="K829" s="5" t="inlineStr"/>
      <c r="L829" s="7" t="n">
        <v>9</v>
      </c>
      <c r="M829" s="5" t="inlineStr"/>
      <c r="N829" s="5" t="n">
        <v>25</v>
      </c>
      <c r="O829" s="5" t="inlineStr"/>
      <c r="P829" s="5" t="inlineStr"/>
      <c r="Q829" s="5" t="inlineStr"/>
      <c r="R829" s="5" t="inlineStr"/>
      <c r="S829" s="5" t="inlineStr"/>
      <c r="T829" s="5" t="inlineStr"/>
      <c r="U829" s="5" t="inlineStr">
        <is>
          <t>https://www.claro.com.br/celular/planos-pre/prezao</t>
        </is>
      </c>
      <c r="V829" s="5" t="inlineStr">
        <is>
          <t>data/raw/claro_prepaid_SP.json</t>
        </is>
      </c>
    </row>
    <row r="830">
      <c r="A830" s="2" t="inlineStr">
        <is>
          <t>2026-07-07</t>
        </is>
      </c>
      <c r="B830" s="2" t="inlineStr">
        <is>
          <t>2026-07-07T22:09:54</t>
        </is>
      </c>
      <c r="C830" s="2" t="inlineStr">
        <is>
          <t>tim</t>
        </is>
      </c>
      <c r="D830" s="2" t="inlineStr">
        <is>
          <t>control</t>
        </is>
      </c>
      <c r="E830" s="2" t="inlineStr">
        <is>
          <t>SP</t>
        </is>
      </c>
      <c r="F830" s="2" t="inlineStr">
        <is>
          <t>TIM Controle 41GB</t>
        </is>
      </c>
      <c r="G830" s="2" t="inlineStr">
        <is>
          <t>tim:167036</t>
        </is>
      </c>
      <c r="H830" s="3" t="n">
        <v>49.99</v>
      </c>
      <c r="I830" s="3" t="inlineStr"/>
      <c r="J830" s="2" t="inlineStr"/>
      <c r="K830" s="2" t="inlineStr"/>
      <c r="L830" s="4" t="n">
        <v>41</v>
      </c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>
        <is>
          <t>https://www.tim.com.br/sp/para-voce/planos/controle</t>
        </is>
      </c>
      <c r="V830" s="2" t="inlineStr">
        <is>
          <t>data/raw/tim_control_SP.html</t>
        </is>
      </c>
    </row>
    <row r="831">
      <c r="A831" s="5" t="inlineStr">
        <is>
          <t>2026-07-07</t>
        </is>
      </c>
      <c r="B831" s="5" t="inlineStr">
        <is>
          <t>2026-07-07T22:09:54</t>
        </is>
      </c>
      <c r="C831" s="5" t="inlineStr">
        <is>
          <t>tim</t>
        </is>
      </c>
      <c r="D831" s="5" t="inlineStr">
        <is>
          <t>control</t>
        </is>
      </c>
      <c r="E831" s="5" t="inlineStr">
        <is>
          <t>SP</t>
        </is>
      </c>
      <c r="F831" s="5" t="inlineStr">
        <is>
          <t>TIM Controle Light Express 31GB</t>
        </is>
      </c>
      <c r="G831" s="5" t="inlineStr">
        <is>
          <t>tim:167046</t>
        </is>
      </c>
      <c r="H831" s="6" t="n">
        <v>60.99</v>
      </c>
      <c r="I831" s="6" t="inlineStr"/>
      <c r="J831" s="5" t="inlineStr"/>
      <c r="K831" s="5" t="inlineStr"/>
      <c r="L831" s="7" t="n">
        <v>31</v>
      </c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>
        <is>
          <t>https://www.tim.com.br/sp/para-voce/planos/controle</t>
        </is>
      </c>
      <c r="V831" s="5" t="inlineStr">
        <is>
          <t>data/raw/tim_control_SP.html</t>
        </is>
      </c>
    </row>
    <row r="832">
      <c r="A832" s="2" t="inlineStr">
        <is>
          <t>2026-07-07</t>
        </is>
      </c>
      <c r="B832" s="2" t="inlineStr">
        <is>
          <t>2026-07-07T22:09:54</t>
        </is>
      </c>
      <c r="C832" s="2" t="inlineStr">
        <is>
          <t>tim</t>
        </is>
      </c>
      <c r="D832" s="2" t="inlineStr">
        <is>
          <t>control</t>
        </is>
      </c>
      <c r="E832" s="2" t="inlineStr">
        <is>
          <t>SP</t>
        </is>
      </c>
      <c r="F832" s="2" t="inlineStr">
        <is>
          <t>TIM Controle Plus 45GB</t>
        </is>
      </c>
      <c r="G832" s="2" t="inlineStr">
        <is>
          <t>tim:167031</t>
        </is>
      </c>
      <c r="H832" s="3" t="n">
        <v>59.99</v>
      </c>
      <c r="I832" s="3" t="inlineStr"/>
      <c r="J832" s="2" t="inlineStr"/>
      <c r="K832" s="2" t="inlineStr"/>
      <c r="L832" s="4" t="n">
        <v>45</v>
      </c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>
        <is>
          <t>https://www.tim.com.br/sp/para-voce/planos/controle</t>
        </is>
      </c>
      <c r="V832" s="2" t="inlineStr">
        <is>
          <t>data/raw/tim_control_SP.html</t>
        </is>
      </c>
    </row>
    <row r="833">
      <c r="A833" s="5" t="inlineStr">
        <is>
          <t>2026-07-07</t>
        </is>
      </c>
      <c r="B833" s="5" t="inlineStr">
        <is>
          <t>2026-07-07T22:09:54</t>
        </is>
      </c>
      <c r="C833" s="5" t="inlineStr">
        <is>
          <t>tim</t>
        </is>
      </c>
      <c r="D833" s="5" t="inlineStr">
        <is>
          <t>control</t>
        </is>
      </c>
      <c r="E833" s="5" t="inlineStr">
        <is>
          <t>SP</t>
        </is>
      </c>
      <c r="F833" s="5" t="inlineStr">
        <is>
          <t>TIM Controle Premium 53GB</t>
        </is>
      </c>
      <c r="G833" s="5" t="inlineStr">
        <is>
          <t>tim:167041</t>
        </is>
      </c>
      <c r="H833" s="6" t="n">
        <v>69.98999999999999</v>
      </c>
      <c r="I833" s="6" t="inlineStr"/>
      <c r="J833" s="5" t="inlineStr"/>
      <c r="K833" s="5" t="inlineStr"/>
      <c r="L833" s="7" t="n">
        <v>53</v>
      </c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>
        <is>
          <t>https://www.tim.com.br/sp/para-voce/planos/controle</t>
        </is>
      </c>
      <c r="V833" s="5" t="inlineStr">
        <is>
          <t>data/raw/tim_control_SP.html</t>
        </is>
      </c>
    </row>
    <row r="834">
      <c r="A834" s="2" t="inlineStr">
        <is>
          <t>2026-07-07</t>
        </is>
      </c>
      <c r="B834" s="2" t="inlineStr">
        <is>
          <t>2026-07-07T22:09:54</t>
        </is>
      </c>
      <c r="C834" s="2" t="inlineStr">
        <is>
          <t>tim</t>
        </is>
      </c>
      <c r="D834" s="2" t="inlineStr">
        <is>
          <t>control</t>
        </is>
      </c>
      <c r="E834" s="2" t="inlineStr">
        <is>
          <t>SP</t>
        </is>
      </c>
      <c r="F834" s="2" t="inlineStr">
        <is>
          <t>TIM Controle Pro Express</t>
        </is>
      </c>
      <c r="G834" s="2" t="inlineStr">
        <is>
          <t>tim:167051</t>
        </is>
      </c>
      <c r="H834" s="3" t="n">
        <v>64.98999999999999</v>
      </c>
      <c r="I834" s="3" t="inlineStr"/>
      <c r="J834" s="2" t="inlineStr"/>
      <c r="K834" s="2" t="inlineStr"/>
      <c r="L834" s="4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>
        <is>
          <t>https://www.tim.com.br/sp/para-voce/planos/controle</t>
        </is>
      </c>
      <c r="V834" s="2" t="inlineStr">
        <is>
          <t>data/raw/tim_control_SP.html</t>
        </is>
      </c>
    </row>
    <row r="835">
      <c r="A835" s="5" t="inlineStr">
        <is>
          <t>2026-07-07</t>
        </is>
      </c>
      <c r="B835" s="5" t="inlineStr">
        <is>
          <t>2026-07-07T22:09:54</t>
        </is>
      </c>
      <c r="C835" s="5" t="inlineStr">
        <is>
          <t>tim</t>
        </is>
      </c>
      <c r="D835" s="5" t="inlineStr">
        <is>
          <t>postpaid</t>
        </is>
      </c>
      <c r="E835" s="5" t="inlineStr">
        <is>
          <t>SP</t>
        </is>
      </c>
      <c r="F835" s="5" t="inlineStr">
        <is>
          <t>TIM Black 70GB</t>
        </is>
      </c>
      <c r="G835" s="5" t="inlineStr">
        <is>
          <t>tim:54206</t>
        </is>
      </c>
      <c r="H835" s="6" t="n">
        <v>129.99</v>
      </c>
      <c r="I835" s="6" t="inlineStr"/>
      <c r="J835" s="5" t="inlineStr"/>
      <c r="K835" s="5" t="inlineStr">
        <is>
          <t>bill</t>
        </is>
      </c>
      <c r="L835" s="7" t="n">
        <v>70</v>
      </c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>
        <is>
          <t>https://www.tim.com.br/sp/para-voce/planos/pos-pago/tim-black</t>
        </is>
      </c>
      <c r="V835" s="5" t="inlineStr">
        <is>
          <t>data/raw/tim_postpaid_SP.html</t>
        </is>
      </c>
    </row>
    <row r="836">
      <c r="A836" s="2" t="inlineStr">
        <is>
          <t>2026-07-07</t>
        </is>
      </c>
      <c r="B836" s="2" t="inlineStr">
        <is>
          <t>2026-07-07T22:09:54</t>
        </is>
      </c>
      <c r="C836" s="2" t="inlineStr">
        <is>
          <t>tim</t>
        </is>
      </c>
      <c r="D836" s="2" t="inlineStr">
        <is>
          <t>postpaid</t>
        </is>
      </c>
      <c r="E836" s="2" t="inlineStr">
        <is>
          <t>SP</t>
        </is>
      </c>
      <c r="F836" s="2" t="inlineStr">
        <is>
          <t>TIM Black A Express 67GB</t>
        </is>
      </c>
      <c r="G836" s="2" t="inlineStr">
        <is>
          <t>tim:55121</t>
        </is>
      </c>
      <c r="H836" s="3" t="n">
        <v>119.99</v>
      </c>
      <c r="I836" s="3" t="inlineStr"/>
      <c r="J836" s="2" t="inlineStr"/>
      <c r="K836" s="2" t="inlineStr">
        <is>
          <t>credit_card</t>
        </is>
      </c>
      <c r="L836" s="4" t="n">
        <v>67</v>
      </c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>
        <is>
          <t>https://www.tim.com.br/sp/para-voce/planos/pos-pago/tim-black</t>
        </is>
      </c>
      <c r="V836" s="2" t="inlineStr">
        <is>
          <t>data/raw/tim_postpaid_SP.html</t>
        </is>
      </c>
    </row>
    <row r="837">
      <c r="A837" s="5" t="inlineStr">
        <is>
          <t>2026-07-07</t>
        </is>
      </c>
      <c r="B837" s="5" t="inlineStr">
        <is>
          <t>2026-07-07T22:09:54</t>
        </is>
      </c>
      <c r="C837" s="5" t="inlineStr">
        <is>
          <t>tim</t>
        </is>
      </c>
      <c r="D837" s="5" t="inlineStr">
        <is>
          <t>postpaid</t>
        </is>
      </c>
      <c r="E837" s="5" t="inlineStr">
        <is>
          <t>SP</t>
        </is>
      </c>
      <c r="F837" s="5" t="inlineStr">
        <is>
          <t>TIM Black B Express 82GB</t>
        </is>
      </c>
      <c r="G837" s="5" t="inlineStr">
        <is>
          <t>tim:52146</t>
        </is>
      </c>
      <c r="H837" s="6" t="n">
        <v>144.99</v>
      </c>
      <c r="I837" s="6" t="inlineStr"/>
      <c r="J837" s="5" t="inlineStr"/>
      <c r="K837" s="5" t="inlineStr">
        <is>
          <t>credit_card</t>
        </is>
      </c>
      <c r="L837" s="7" t="n">
        <v>82</v>
      </c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>
        <is>
          <t>https://www.tim.com.br/sp/para-voce/planos/pos-pago/tim-black</t>
        </is>
      </c>
      <c r="V837" s="5" t="inlineStr">
        <is>
          <t>data/raw/tim_postpaid_SP.html</t>
        </is>
      </c>
    </row>
    <row r="838">
      <c r="A838" s="2" t="inlineStr">
        <is>
          <t>2026-07-07</t>
        </is>
      </c>
      <c r="B838" s="2" t="inlineStr">
        <is>
          <t>2026-07-07T22:09:54</t>
        </is>
      </c>
      <c r="C838" s="2" t="inlineStr">
        <is>
          <t>tim</t>
        </is>
      </c>
      <c r="D838" s="2" t="inlineStr">
        <is>
          <t>postpaid</t>
        </is>
      </c>
      <c r="E838" s="2" t="inlineStr">
        <is>
          <t>SP</t>
        </is>
      </c>
      <c r="F838" s="2" t="inlineStr">
        <is>
          <t>TIM Black C Express 107GB</t>
        </is>
      </c>
      <c r="G838" s="2" t="inlineStr">
        <is>
          <t>tim:52151</t>
        </is>
      </c>
      <c r="H838" s="3" t="n">
        <v>164.99</v>
      </c>
      <c r="I838" s="3" t="inlineStr"/>
      <c r="J838" s="2" t="inlineStr"/>
      <c r="K838" s="2" t="inlineStr">
        <is>
          <t>credit_card</t>
        </is>
      </c>
      <c r="L838" s="4" t="n">
        <v>107</v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>
        <is>
          <t>https://www.tim.com.br/sp/para-voce/planos/pos-pago/tim-black</t>
        </is>
      </c>
      <c r="V838" s="2" t="inlineStr">
        <is>
          <t>data/raw/tim_postpaid_SP.html</t>
        </is>
      </c>
    </row>
    <row r="839">
      <c r="A839" s="5" t="inlineStr">
        <is>
          <t>2026-07-07</t>
        </is>
      </c>
      <c r="B839" s="5" t="inlineStr">
        <is>
          <t>2026-07-07T22:09:54</t>
        </is>
      </c>
      <c r="C839" s="5" t="inlineStr">
        <is>
          <t>tim</t>
        </is>
      </c>
      <c r="D839" s="5" t="inlineStr">
        <is>
          <t>postpaid</t>
        </is>
      </c>
      <c r="E839" s="5" t="inlineStr">
        <is>
          <t>SP</t>
        </is>
      </c>
      <c r="F839" s="5" t="inlineStr">
        <is>
          <t>TIM Black C Ultra 95GB</t>
        </is>
      </c>
      <c r="G839" s="5" t="inlineStr">
        <is>
          <t>tim:100581</t>
        </is>
      </c>
      <c r="H839" s="6" t="n">
        <v>159.99</v>
      </c>
      <c r="I839" s="6" t="inlineStr"/>
      <c r="J839" s="5" t="inlineStr"/>
      <c r="K839" s="5" t="inlineStr">
        <is>
          <t>bill</t>
        </is>
      </c>
      <c r="L839" s="7" t="n">
        <v>95</v>
      </c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>
        <is>
          <t>https://www.tim.com.br/sp/para-voce/planos/pos-pago/tim-black</t>
        </is>
      </c>
      <c r="V839" s="5" t="inlineStr">
        <is>
          <t>data/raw/tim_postpaid_SP.html</t>
        </is>
      </c>
    </row>
    <row r="840">
      <c r="A840" s="2" t="inlineStr">
        <is>
          <t>2026-07-07</t>
        </is>
      </c>
      <c r="B840" s="2" t="inlineStr">
        <is>
          <t>2026-07-07T22:09:54</t>
        </is>
      </c>
      <c r="C840" s="2" t="inlineStr">
        <is>
          <t>tim</t>
        </is>
      </c>
      <c r="D840" s="2" t="inlineStr">
        <is>
          <t>postpaid</t>
        </is>
      </c>
      <c r="E840" s="2" t="inlineStr">
        <is>
          <t>SP</t>
        </is>
      </c>
      <c r="F840" s="2" t="inlineStr">
        <is>
          <t>TIM Black Plus 80GB</t>
        </is>
      </c>
      <c r="G840" s="2" t="inlineStr">
        <is>
          <t>tim:54256</t>
        </is>
      </c>
      <c r="H840" s="3" t="n">
        <v>149.99</v>
      </c>
      <c r="I840" s="3" t="inlineStr"/>
      <c r="J840" s="2" t="inlineStr"/>
      <c r="K840" s="2" t="inlineStr">
        <is>
          <t>bill</t>
        </is>
      </c>
      <c r="L840" s="4" t="n">
        <v>80</v>
      </c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>
        <is>
          <t>https://www.tim.com.br/sp/para-voce/planos/pos-pago/tim-black</t>
        </is>
      </c>
      <c r="V840" s="2" t="inlineStr">
        <is>
          <t>data/raw/tim_postpaid_SP.html</t>
        </is>
      </c>
    </row>
    <row r="841">
      <c r="A841" s="5" t="inlineStr">
        <is>
          <t>2026-07-07</t>
        </is>
      </c>
      <c r="B841" s="5" t="inlineStr">
        <is>
          <t>2026-07-07T22:09:54</t>
        </is>
      </c>
      <c r="C841" s="5" t="inlineStr">
        <is>
          <t>tim</t>
        </is>
      </c>
      <c r="D841" s="5" t="inlineStr">
        <is>
          <t>postpaid</t>
        </is>
      </c>
      <c r="E841" s="5" t="inlineStr">
        <is>
          <t>SP</t>
        </is>
      </c>
      <c r="F841" s="5" t="inlineStr">
        <is>
          <t>TIM Black Premium 110GB</t>
        </is>
      </c>
      <c r="G841" s="5" t="inlineStr">
        <is>
          <t>tim:54261</t>
        </is>
      </c>
      <c r="H841" s="6" t="n">
        <v>159.99</v>
      </c>
      <c r="I841" s="6" t="inlineStr"/>
      <c r="J841" s="5" t="inlineStr"/>
      <c r="K841" s="5" t="inlineStr">
        <is>
          <t>bill</t>
        </is>
      </c>
      <c r="L841" s="7" t="n">
        <v>110</v>
      </c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https://www.tim.com.br/sp/para-voce/planos/pos-pago/tim-black</t>
        </is>
      </c>
      <c r="V841" s="5" t="inlineStr">
        <is>
          <t>data/raw/tim_postpaid_SP.html</t>
        </is>
      </c>
    </row>
    <row r="842">
      <c r="A842" s="2" t="inlineStr">
        <is>
          <t>2026-07-07</t>
        </is>
      </c>
      <c r="B842" s="2" t="inlineStr">
        <is>
          <t>2026-07-07T22:09:54</t>
        </is>
      </c>
      <c r="C842" s="2" t="inlineStr">
        <is>
          <t>tim</t>
        </is>
      </c>
      <c r="D842" s="2" t="inlineStr">
        <is>
          <t>prepaid</t>
        </is>
      </c>
      <c r="E842" s="2" t="inlineStr">
        <is>
          <t>SP</t>
        </is>
      </c>
      <c r="F842" s="2" t="inlineStr">
        <is>
          <t>TIM Pré XIP Plus 16GB</t>
        </is>
      </c>
      <c r="G842" s="2" t="inlineStr">
        <is>
          <t>tim:106306</t>
        </is>
      </c>
      <c r="H842" s="3" t="n">
        <v>30</v>
      </c>
      <c r="I842" s="3" t="inlineStr"/>
      <c r="J842" s="2" t="inlineStr"/>
      <c r="K842" s="2" t="inlineStr"/>
      <c r="L842" s="4" t="n">
        <v>16</v>
      </c>
      <c r="M842" s="2" t="inlineStr"/>
      <c r="N842" s="2" t="n">
        <v>30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>
        <is>
          <t>https://www.tim.com.br/sp/para-voce/planos/pre-pago</t>
        </is>
      </c>
      <c r="V842" s="2" t="inlineStr">
        <is>
          <t>data/raw/tim_prepaid_SP.html</t>
        </is>
      </c>
    </row>
    <row r="843">
      <c r="A843" s="5" t="inlineStr">
        <is>
          <t>2026-07-07</t>
        </is>
      </c>
      <c r="B843" s="5" t="inlineStr">
        <is>
          <t>2026-07-07T22:09:54</t>
        </is>
      </c>
      <c r="C843" s="5" t="inlineStr">
        <is>
          <t>tim</t>
        </is>
      </c>
      <c r="D843" s="5" t="inlineStr">
        <is>
          <t>prepaid</t>
        </is>
      </c>
      <c r="E843" s="5" t="inlineStr">
        <is>
          <t>SP</t>
        </is>
      </c>
      <c r="F843" s="5" t="inlineStr">
        <is>
          <t>TIM Pré XIP Plus 6GB</t>
        </is>
      </c>
      <c r="G843" s="5" t="inlineStr">
        <is>
          <t>tim:59906</t>
        </is>
      </c>
      <c r="H843" s="6" t="n">
        <v>20</v>
      </c>
      <c r="I843" s="6" t="inlineStr"/>
      <c r="J843" s="5" t="inlineStr"/>
      <c r="K843" s="5" t="inlineStr"/>
      <c r="L843" s="7" t="n">
        <v>6</v>
      </c>
      <c r="M843" s="5" t="inlineStr"/>
      <c r="N843" s="5" t="n">
        <v>17</v>
      </c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https://www.tim.com.br/sp/para-voce/planos/pre-pago</t>
        </is>
      </c>
      <c r="V843" s="5" t="inlineStr">
        <is>
          <t>data/raw/tim_prepaid_SP.html</t>
        </is>
      </c>
    </row>
    <row r="844">
      <c r="A844" s="2" t="inlineStr">
        <is>
          <t>2026-07-07</t>
        </is>
      </c>
      <c r="B844" s="2" t="inlineStr">
        <is>
          <t>2026-07-07T22:09:54</t>
        </is>
      </c>
      <c r="C844" s="2" t="inlineStr">
        <is>
          <t>tim</t>
        </is>
      </c>
      <c r="D844" s="2" t="inlineStr">
        <is>
          <t>prepaid</t>
        </is>
      </c>
      <c r="E844" s="2" t="inlineStr">
        <is>
          <t>SP</t>
        </is>
      </c>
      <c r="F844" s="2" t="inlineStr">
        <is>
          <t>TIM Pré XIP Plus 8GB</t>
        </is>
      </c>
      <c r="G844" s="2" t="inlineStr">
        <is>
          <t>tim:59901</t>
        </is>
      </c>
      <c r="H844" s="3" t="n">
        <v>25</v>
      </c>
      <c r="I844" s="3" t="inlineStr"/>
      <c r="J844" s="2" t="inlineStr"/>
      <c r="K844" s="2" t="inlineStr"/>
      <c r="L844" s="4" t="n">
        <v>8</v>
      </c>
      <c r="M844" s="2" t="inlineStr"/>
      <c r="N844" s="2" t="n">
        <v>22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>
        <is>
          <t>https://www.tim.com.br/sp/para-voce/planos/pre-pago</t>
        </is>
      </c>
      <c r="V844" s="2" t="inlineStr">
        <is>
          <t>data/raw/tim_prepaid_SP.html</t>
        </is>
      </c>
    </row>
    <row r="845">
      <c r="A845" s="5" t="inlineStr">
        <is>
          <t>2026-07-07</t>
        </is>
      </c>
      <c r="B845" s="5" t="inlineStr">
        <is>
          <t>2026-07-07T22:09:54</t>
        </is>
      </c>
      <c r="C845" s="5" t="inlineStr">
        <is>
          <t>vivo</t>
        </is>
      </c>
      <c r="D845" s="5" t="inlineStr">
        <is>
          <t>control</t>
        </is>
      </c>
      <c r="E845" s="5" t="inlineStr">
        <is>
          <t>SP</t>
        </is>
      </c>
      <c r="F845" s="5" t="inlineStr">
        <is>
          <t>Vivo Controle</t>
        </is>
      </c>
      <c r="G845" s="5" t="inlineStr">
        <is>
          <t>vivo:VIV202600029270-46gb</t>
        </is>
      </c>
      <c r="H845" s="6" t="n">
        <v>59</v>
      </c>
      <c r="I845" s="6" t="inlineStr"/>
      <c r="J845" s="5" t="inlineStr"/>
      <c r="K845" s="5" t="inlineStr"/>
      <c r="L845" s="7" t="n">
        <v>46</v>
      </c>
      <c r="M845" s="5" t="inlineStr">
        <is>
          <t>15 GB de franquia 31 GB de bônus</t>
        </is>
      </c>
      <c r="N845" s="5" t="inlineStr"/>
      <c r="O845" s="5" t="inlineStr"/>
      <c r="P845" s="5" t="inlineStr"/>
      <c r="Q845" s="5" t="inlineStr"/>
      <c r="R845" s="5" t="inlineStr"/>
      <c r="S845" s="5" t="inlineStr"/>
      <c r="T845" s="5" t="inlineStr">
        <is>
          <t>2 meses de YouTube sem consumo no plano</t>
        </is>
      </c>
      <c r="U845" s="5" t="inlineStr">
        <is>
          <t>https://vivo.com.br/para-voce/produtos-e-servicos/para-o-celular/planos-controle</t>
        </is>
      </c>
      <c r="V845" s="5" t="inlineStr">
        <is>
          <t>data/raw/vivo_control_SP.html</t>
        </is>
      </c>
    </row>
    <row r="846">
      <c r="A846" s="2" t="inlineStr">
        <is>
          <t>2026-07-07</t>
        </is>
      </c>
      <c r="B846" s="2" t="inlineStr">
        <is>
          <t>2026-07-07T22:09:54</t>
        </is>
      </c>
      <c r="C846" s="2" t="inlineStr">
        <is>
          <t>vivo</t>
        </is>
      </c>
      <c r="D846" s="2" t="inlineStr">
        <is>
          <t>control</t>
        </is>
      </c>
      <c r="E846" s="2" t="inlineStr">
        <is>
          <t>SP</t>
        </is>
      </c>
      <c r="F846" s="2" t="inlineStr">
        <is>
          <t>Vivo Controle</t>
        </is>
      </c>
      <c r="G846" s="2" t="inlineStr">
        <is>
          <t>vivo:VIV202600029300-61gb</t>
        </is>
      </c>
      <c r="H846" s="3" t="n">
        <v>80</v>
      </c>
      <c r="I846" s="3" t="inlineStr"/>
      <c r="J846" s="2" t="inlineStr"/>
      <c r="K846" s="2" t="inlineStr"/>
      <c r="L846" s="4" t="n">
        <v>61</v>
      </c>
      <c r="M846" s="2" t="inlineStr">
        <is>
          <t>20 GB de franquia 31 GB de bônus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>
        <is>
          <t>2 meses de YouTube sem consumo no plano</t>
        </is>
      </c>
      <c r="U846" s="2" t="inlineStr">
        <is>
          <t>https://vivo.com.br/para-voce/produtos-e-servicos/para-o-celular/planos-controle</t>
        </is>
      </c>
      <c r="V846" s="2" t="inlineStr">
        <is>
          <t>data/raw/vivo_control_SP.html</t>
        </is>
      </c>
    </row>
    <row r="847">
      <c r="A847" s="5" t="inlineStr">
        <is>
          <t>2026-07-07</t>
        </is>
      </c>
      <c r="B847" s="5" t="inlineStr">
        <is>
          <t>2026-07-07T22:09:54</t>
        </is>
      </c>
      <c r="C847" s="5" t="inlineStr">
        <is>
          <t>vivo</t>
        </is>
      </c>
      <c r="D847" s="5" t="inlineStr">
        <is>
          <t>control</t>
        </is>
      </c>
      <c r="E847" s="5" t="inlineStr">
        <is>
          <t>SP</t>
        </is>
      </c>
      <c r="F847" s="5" t="inlineStr">
        <is>
          <t>Vivo Controle Educação</t>
        </is>
      </c>
      <c r="G847" s="5" t="inlineStr">
        <is>
          <t>vivo:VIV202600029273-61gb</t>
        </is>
      </c>
      <c r="H847" s="6" t="n">
        <v>90</v>
      </c>
      <c r="I847" s="6" t="inlineStr"/>
      <c r="J847" s="5" t="inlineStr"/>
      <c r="K847" s="5" t="inlineStr"/>
      <c r="L847" s="7" t="n">
        <v>61</v>
      </c>
      <c r="M847" s="5" t="inlineStr">
        <is>
          <t>20 GB de franquia 31 GB de bônus</t>
        </is>
      </c>
      <c r="N847" s="5" t="inlineStr"/>
      <c r="O847" s="5" t="inlineStr"/>
      <c r="P847" s="5" t="inlineStr"/>
      <c r="Q847" s="5" t="inlineStr"/>
      <c r="R847" s="5" t="inlineStr"/>
      <c r="S847" s="5" t="inlineStr"/>
      <c r="T847" s="5" t="inlineStr">
        <is>
          <t>Assinatura Vivae inclusa</t>
        </is>
      </c>
      <c r="U847" s="5" t="inlineStr">
        <is>
          <t>https://vivo.com.br/para-voce/produtos-e-servicos/para-o-celular/planos-controle</t>
        </is>
      </c>
      <c r="V847" s="5" t="inlineStr">
        <is>
          <t>data/raw/vivo_control_SP.html</t>
        </is>
      </c>
    </row>
    <row r="848">
      <c r="A848" s="2" t="inlineStr">
        <is>
          <t>2026-07-07</t>
        </is>
      </c>
      <c r="B848" s="2" t="inlineStr">
        <is>
          <t>2026-07-07T22:09:54</t>
        </is>
      </c>
      <c r="C848" s="2" t="inlineStr">
        <is>
          <t>vivo</t>
        </is>
      </c>
      <c r="D848" s="2" t="inlineStr">
        <is>
          <t>control</t>
        </is>
      </c>
      <c r="E848" s="2" t="inlineStr">
        <is>
          <t>SP</t>
        </is>
      </c>
      <c r="F848" s="2" t="inlineStr">
        <is>
          <t>Vivo Controle Entretenimento</t>
        </is>
      </c>
      <c r="G848" s="2" t="inlineStr">
        <is>
          <t>vivo:VIV202600029307-61gb</t>
        </is>
      </c>
      <c r="H848" s="3" t="n">
        <v>110</v>
      </c>
      <c r="I848" s="3" t="inlineStr"/>
      <c r="J848" s="2" t="inlineStr"/>
      <c r="K848" s="2" t="inlineStr"/>
      <c r="L848" s="4" t="n">
        <v>61</v>
      </c>
      <c r="M848" s="2" t="inlineStr">
        <is>
          <t>20 GB de franquia 31 GB de bônus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>
        <is>
          <t>Assinatura Vivo TV Inicial inclusa</t>
        </is>
      </c>
      <c r="U848" s="2" t="inlineStr">
        <is>
          <t>https://vivo.com.br/para-voce/produtos-e-servicos/para-o-celular/planos-controle</t>
        </is>
      </c>
      <c r="V848" s="2" t="inlineStr">
        <is>
          <t>data/raw/vivo_control_SP.html</t>
        </is>
      </c>
    </row>
    <row r="849">
      <c r="A849" s="5" t="inlineStr">
        <is>
          <t>2026-07-07</t>
        </is>
      </c>
      <c r="B849" s="5" t="inlineStr">
        <is>
          <t>2026-07-07T22:09:54</t>
        </is>
      </c>
      <c r="C849" s="5" t="inlineStr">
        <is>
          <t>vivo</t>
        </is>
      </c>
      <c r="D849" s="5" t="inlineStr">
        <is>
          <t>control</t>
        </is>
      </c>
      <c r="E849" s="5" t="inlineStr">
        <is>
          <t>SP</t>
        </is>
      </c>
      <c r="F849" s="5" t="inlineStr">
        <is>
          <t>Vivo Controle Música</t>
        </is>
      </c>
      <c r="G849" s="5" t="inlineStr">
        <is>
          <t>vivo:VIV202600029313-61gb</t>
        </is>
      </c>
      <c r="H849" s="6" t="n">
        <v>95</v>
      </c>
      <c r="I849" s="6" t="inlineStr"/>
      <c r="J849" s="5" t="inlineStr"/>
      <c r="K849" s="5" t="inlineStr"/>
      <c r="L849" s="7" t="n">
        <v>61</v>
      </c>
      <c r="M849" s="5" t="inlineStr">
        <is>
          <t>20 GB de franquia 31 GB de bônus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>
        <is>
          <t>Apple Music Individual</t>
        </is>
      </c>
      <c r="U849" s="5" t="inlineStr">
        <is>
          <t>https://vivo.com.br/para-voce/produtos-e-servicos/para-o-celular/planos-controle</t>
        </is>
      </c>
      <c r="V849" s="5" t="inlineStr">
        <is>
          <t>data/raw/vivo_control_SP.html</t>
        </is>
      </c>
    </row>
    <row r="850">
      <c r="A850" s="2" t="inlineStr">
        <is>
          <t>2026-07-07</t>
        </is>
      </c>
      <c r="B850" s="2" t="inlineStr">
        <is>
          <t>2026-07-07T22:09:54</t>
        </is>
      </c>
      <c r="C850" s="2" t="inlineStr">
        <is>
          <t>vivo</t>
        </is>
      </c>
      <c r="D850" s="2" t="inlineStr">
        <is>
          <t>control</t>
        </is>
      </c>
      <c r="E850" s="2" t="inlineStr">
        <is>
          <t>SP</t>
        </is>
      </c>
      <c r="F850" s="2" t="inlineStr">
        <is>
          <t>Vivo Controle Netflix</t>
        </is>
      </c>
      <c r="G850" s="2" t="inlineStr">
        <is>
          <t>vivo:VIV202600029308-61gb</t>
        </is>
      </c>
      <c r="H850" s="3" t="n">
        <v>95</v>
      </c>
      <c r="I850" s="3" t="inlineStr"/>
      <c r="J850" s="2" t="inlineStr"/>
      <c r="K850" s="2" t="inlineStr"/>
      <c r="L850" s="4" t="n">
        <v>61</v>
      </c>
      <c r="M850" s="2" t="inlineStr">
        <is>
          <t>20 GB de franquia 31 GB de bônus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inlineStr">
        <is>
          <t>Assinatura Netflix Padrão com anúncios</t>
        </is>
      </c>
      <c r="U850" s="2" t="inlineStr">
        <is>
          <t>https://vivo.com.br/para-voce/produtos-e-servicos/para-o-celular/planos-controle</t>
        </is>
      </c>
      <c r="V850" s="2" t="inlineStr">
        <is>
          <t>data/raw/vivo_control_SP.html</t>
        </is>
      </c>
    </row>
    <row r="851">
      <c r="A851" s="5" t="inlineStr">
        <is>
          <t>2026-07-07</t>
        </is>
      </c>
      <c r="B851" s="5" t="inlineStr">
        <is>
          <t>2026-07-07T22:09:54</t>
        </is>
      </c>
      <c r="C851" s="5" t="inlineStr">
        <is>
          <t>vivo</t>
        </is>
      </c>
      <c r="D851" s="5" t="inlineStr">
        <is>
          <t>control</t>
        </is>
      </c>
      <c r="E851" s="5" t="inlineStr">
        <is>
          <t>SP</t>
        </is>
      </c>
      <c r="F851" s="5" t="inlineStr">
        <is>
          <t>Vivo Controle Saúde</t>
        </is>
      </c>
      <c r="G851" s="5" t="inlineStr">
        <is>
          <t>vivo:VIV202600029301-61gb</t>
        </is>
      </c>
      <c r="H851" s="6" t="n">
        <v>90</v>
      </c>
      <c r="I851" s="6" t="inlineStr"/>
      <c r="J851" s="5" t="inlineStr"/>
      <c r="K851" s="5" t="inlineStr"/>
      <c r="L851" s="7" t="n">
        <v>61</v>
      </c>
      <c r="M851" s="5" t="inlineStr">
        <is>
          <t>20 GB de franquia 31 GB de bônus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>
        <is>
          <t>Assinatura Vale Saúde Sempre inclusa</t>
        </is>
      </c>
      <c r="U851" s="5" t="inlineStr">
        <is>
          <t>https://vivo.com.br/para-voce/produtos-e-servicos/para-o-celular/planos-controle</t>
        </is>
      </c>
      <c r="V851" s="5" t="inlineStr">
        <is>
          <t>data/raw/vivo_control_SP.html</t>
        </is>
      </c>
    </row>
    <row r="852">
      <c r="A852" s="2" t="inlineStr">
        <is>
          <t>2026-07-07</t>
        </is>
      </c>
      <c r="B852" s="2" t="inlineStr">
        <is>
          <t>2026-07-07T22:09:54</t>
        </is>
      </c>
      <c r="C852" s="2" t="inlineStr">
        <is>
          <t>vivo</t>
        </is>
      </c>
      <c r="D852" s="2" t="inlineStr">
        <is>
          <t>lite</t>
        </is>
      </c>
      <c r="E852" s="2" t="inlineStr">
        <is>
          <t>SP</t>
        </is>
      </c>
      <c r="F852" s="2" t="inlineStr">
        <is>
          <t>Easy Lite</t>
        </is>
      </c>
      <c r="G852" s="2" t="inlineStr">
        <is>
          <t>vivo:VIV202600032594-30gb</t>
        </is>
      </c>
      <c r="H852" s="3" t="n">
        <v>45</v>
      </c>
      <c r="I852" s="3" t="n">
        <v>30</v>
      </c>
      <c r="J852" s="2" t="inlineStr">
        <is>
          <t>preço sem fidelidade; fidelidade 12m no promo</t>
        </is>
      </c>
      <c r="K852" s="2" t="inlineStr"/>
      <c r="L852" s="4" t="n">
        <v>30</v>
      </c>
      <c r="M852" s="2" t="inlineStr">
        <is>
          <t>30 GB de franquia</t>
        </is>
      </c>
      <c r="N852" s="2" t="inlineStr"/>
      <c r="O852" s="2" t="inlineStr"/>
      <c r="P852" s="2" t="inlineStr"/>
      <c r="Q852" s="2" t="inlineStr"/>
      <c r="R852" s="2" t="inlineStr"/>
      <c r="S852" s="2" t="n">
        <v>12</v>
      </c>
      <c r="T852" s="2" t="inlineStr">
        <is>
          <t>2 meses de YouTube sem consumo no plano</t>
        </is>
      </c>
      <c r="U852" s="2" t="inlineStr">
        <is>
          <t>https://vivo.com.br/para-voce/produtos-e-servicos/para-o-celular/easy-lite</t>
        </is>
      </c>
      <c r="V852" s="2" t="inlineStr">
        <is>
          <t>data/raw/vivo_lite_SP.html</t>
        </is>
      </c>
    </row>
    <row r="853">
      <c r="A853" s="5" t="inlineStr">
        <is>
          <t>2026-07-07</t>
        </is>
      </c>
      <c r="B853" s="5" t="inlineStr">
        <is>
          <t>2026-07-07T22:09:54</t>
        </is>
      </c>
      <c r="C853" s="5" t="inlineStr">
        <is>
          <t>vivo</t>
        </is>
      </c>
      <c r="D853" s="5" t="inlineStr">
        <is>
          <t>lite</t>
        </is>
      </c>
      <c r="E853" s="5" t="inlineStr">
        <is>
          <t>SP</t>
        </is>
      </c>
      <c r="F853" s="5" t="inlineStr">
        <is>
          <t>Easy Lite</t>
        </is>
      </c>
      <c r="G853" s="5" t="inlineStr">
        <is>
          <t>vivo:VIV202600032596-40gb</t>
        </is>
      </c>
      <c r="H853" s="6" t="n">
        <v>55</v>
      </c>
      <c r="I853" s="6" t="n">
        <v>40</v>
      </c>
      <c r="J853" s="5" t="inlineStr">
        <is>
          <t>preço sem fidelidade; fidelidade 12m no promo</t>
        </is>
      </c>
      <c r="K853" s="5" t="inlineStr"/>
      <c r="L853" s="7" t="n">
        <v>40</v>
      </c>
      <c r="M853" s="5" t="inlineStr">
        <is>
          <t>40 GB de franquia</t>
        </is>
      </c>
      <c r="N853" s="5" t="inlineStr"/>
      <c r="O853" s="5" t="inlineStr"/>
      <c r="P853" s="5" t="inlineStr"/>
      <c r="Q853" s="5" t="inlineStr"/>
      <c r="R853" s="5" t="inlineStr"/>
      <c r="S853" s="5" t="n">
        <v>12</v>
      </c>
      <c r="T853" s="5" t="inlineStr">
        <is>
          <t>2 meses de YouTube sem consumo no plano</t>
        </is>
      </c>
      <c r="U853" s="5" t="inlineStr">
        <is>
          <t>https://vivo.com.br/para-voce/produtos-e-servicos/para-o-celular/easy-lite</t>
        </is>
      </c>
      <c r="V853" s="5" t="inlineStr">
        <is>
          <t>data/raw/vivo_lite_SP.html</t>
        </is>
      </c>
    </row>
    <row r="854">
      <c r="A854" s="2" t="inlineStr">
        <is>
          <t>2026-07-07</t>
        </is>
      </c>
      <c r="B854" s="2" t="inlineStr">
        <is>
          <t>2026-07-07T22:09:54</t>
        </is>
      </c>
      <c r="C854" s="2" t="inlineStr">
        <is>
          <t>vivo</t>
        </is>
      </c>
      <c r="D854" s="2" t="inlineStr">
        <is>
          <t>lite</t>
        </is>
      </c>
      <c r="E854" s="2" t="inlineStr">
        <is>
          <t>SP</t>
        </is>
      </c>
      <c r="F854" s="2" t="inlineStr">
        <is>
          <t>Easy Lite</t>
        </is>
      </c>
      <c r="G854" s="2" t="inlineStr">
        <is>
          <t>vivo:VIV202600032599-20gb</t>
        </is>
      </c>
      <c r="H854" s="3" t="n">
        <v>35</v>
      </c>
      <c r="I854" s="3" t="inlineStr"/>
      <c r="J854" s="2" t="inlineStr"/>
      <c r="K854" s="2" t="inlineStr"/>
      <c r="L854" s="4" t="n">
        <v>20</v>
      </c>
      <c r="M854" s="2" t="inlineStr">
        <is>
          <t>20 GB de franquia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inlineStr">
        <is>
          <t>2 meses de YouTube sem consumo no plano</t>
        </is>
      </c>
      <c r="U854" s="2" t="inlineStr">
        <is>
          <t>https://vivo.com.br/para-voce/produtos-e-servicos/para-o-celular/easy-lite</t>
        </is>
      </c>
      <c r="V854" s="2" t="inlineStr">
        <is>
          <t>data/raw/vivo_lite_SP.html</t>
        </is>
      </c>
    </row>
    <row r="855">
      <c r="A855" s="5" t="inlineStr">
        <is>
          <t>2026-07-07</t>
        </is>
      </c>
      <c r="B855" s="5" t="inlineStr">
        <is>
          <t>2026-07-07T22:09:54</t>
        </is>
      </c>
      <c r="C855" s="5" t="inlineStr">
        <is>
          <t>vivo</t>
        </is>
      </c>
      <c r="D855" s="5" t="inlineStr">
        <is>
          <t>postpaid</t>
        </is>
      </c>
      <c r="E855" s="5" t="inlineStr">
        <is>
          <t>SP</t>
        </is>
      </c>
      <c r="F855" s="5" t="inlineStr">
        <is>
          <t>Vivo Pós com Amazon</t>
        </is>
      </c>
      <c r="G855" s="5" t="inlineStr">
        <is>
          <t>vivo:VIV202600029255-60gb</t>
        </is>
      </c>
      <c r="H855" s="6" t="n">
        <v>150</v>
      </c>
      <c r="I855" s="6" t="inlineStr"/>
      <c r="J855" s="5" t="inlineStr"/>
      <c r="K855" s="5" t="inlineStr"/>
      <c r="L855" s="7" t="n">
        <v>60</v>
      </c>
      <c r="M855" s="5" t="inlineStr">
        <is>
          <t>50 GB de franquia 10 GB de bônus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>
        <is>
          <t>Assinatura Amazon Prime inclusa</t>
        </is>
      </c>
      <c r="U855" s="5" t="inlineStr">
        <is>
          <t>https://vivo.com.br/para-voce/produtos-e-servicos/para-o-celular/planos-pos-pago</t>
        </is>
      </c>
      <c r="V855" s="5" t="inlineStr">
        <is>
          <t>data/raw/vivo_postpaid_SP.html</t>
        </is>
      </c>
    </row>
    <row r="856">
      <c r="A856" s="2" t="inlineStr">
        <is>
          <t>2026-07-07</t>
        </is>
      </c>
      <c r="B856" s="2" t="inlineStr">
        <is>
          <t>2026-07-07T22:09:54</t>
        </is>
      </c>
      <c r="C856" s="2" t="inlineStr">
        <is>
          <t>vivo</t>
        </is>
      </c>
      <c r="D856" s="2" t="inlineStr">
        <is>
          <t>postpaid</t>
        </is>
      </c>
      <c r="E856" s="2" t="inlineStr">
        <is>
          <t>SP</t>
        </is>
      </c>
      <c r="F856" s="2" t="inlineStr">
        <is>
          <t>Vivo Pós com Disney+</t>
        </is>
      </c>
      <c r="G856" s="2" t="inlineStr">
        <is>
          <t>vivo:VIV202600022115-60gb</t>
        </is>
      </c>
      <c r="H856" s="3" t="n">
        <v>180</v>
      </c>
      <c r="I856" s="3" t="inlineStr"/>
      <c r="J856" s="2" t="inlineStr"/>
      <c r="K856" s="2" t="inlineStr"/>
      <c r="L856" s="4" t="n">
        <v>60</v>
      </c>
      <c r="M856" s="2" t="inlineStr">
        <is>
          <t>50 GB de franquia 10 GB de bônus</t>
        </is>
      </c>
      <c r="N856" s="2" t="inlineStr"/>
      <c r="O856" s="2" t="inlineStr"/>
      <c r="P856" s="2" t="inlineStr"/>
      <c r="Q856" s="2" t="inlineStr"/>
      <c r="R856" s="2" t="inlineStr">
        <is>
          <t>Disney+</t>
        </is>
      </c>
      <c r="S856" s="2" t="inlineStr"/>
      <c r="T856" s="2" t="inlineStr">
        <is>
          <t>Assinatura Disney+ Padrão inclusa</t>
        </is>
      </c>
      <c r="U856" s="2" t="inlineStr">
        <is>
          <t>https://vivo.com.br/para-voce/produtos-e-servicos/para-o-celular/planos-pos-pago</t>
        </is>
      </c>
      <c r="V856" s="2" t="inlineStr">
        <is>
          <t>data/raw/vivo_postpaid_SP.html</t>
        </is>
      </c>
    </row>
    <row r="857">
      <c r="A857" s="5" t="inlineStr">
        <is>
          <t>2026-07-07</t>
        </is>
      </c>
      <c r="B857" s="5" t="inlineStr">
        <is>
          <t>2026-07-07T22:09:54</t>
        </is>
      </c>
      <c r="C857" s="5" t="inlineStr">
        <is>
          <t>vivo</t>
        </is>
      </c>
      <c r="D857" s="5" t="inlineStr">
        <is>
          <t>postpaid</t>
        </is>
      </c>
      <c r="E857" s="5" t="inlineStr">
        <is>
          <t>SP</t>
        </is>
      </c>
      <c r="F857" s="5" t="inlineStr">
        <is>
          <t>Vivo Pós com Globoplay</t>
        </is>
      </c>
      <c r="G857" s="5" t="inlineStr">
        <is>
          <t>vivo:VIV202600029246-60gb</t>
        </is>
      </c>
      <c r="H857" s="6" t="n">
        <v>165</v>
      </c>
      <c r="I857" s="6" t="inlineStr"/>
      <c r="J857" s="5" t="inlineStr"/>
      <c r="K857" s="5" t="inlineStr"/>
      <c r="L857" s="7" t="n">
        <v>60</v>
      </c>
      <c r="M857" s="5" t="inlineStr">
        <is>
          <t>50 GB de franquia 10 GB de bônus</t>
        </is>
      </c>
      <c r="N857" s="5" t="inlineStr"/>
      <c r="O857" s="5" t="inlineStr"/>
      <c r="P857" s="5" t="inlineStr"/>
      <c r="Q857" s="5" t="inlineStr"/>
      <c r="R857" s="5" t="inlineStr">
        <is>
          <t>Globoplay</t>
        </is>
      </c>
      <c r="S857" s="5" t="inlineStr"/>
      <c r="T857" s="5" t="inlineStr">
        <is>
          <t>Assinatura Globoplay inclusa</t>
        </is>
      </c>
      <c r="U857" s="5" t="inlineStr">
        <is>
          <t>https://vivo.com.br/para-voce/produtos-e-servicos/para-o-celular/planos-pos-pago</t>
        </is>
      </c>
      <c r="V857" s="5" t="inlineStr">
        <is>
          <t>data/raw/vivo_postpaid_SP.html</t>
        </is>
      </c>
    </row>
    <row r="858">
      <c r="A858" s="2" t="inlineStr">
        <is>
          <t>2026-07-07</t>
        </is>
      </c>
      <c r="B858" s="2" t="inlineStr">
        <is>
          <t>2026-07-07T22:09:54</t>
        </is>
      </c>
      <c r="C858" s="2" t="inlineStr">
        <is>
          <t>vivo</t>
        </is>
      </c>
      <c r="D858" s="2" t="inlineStr">
        <is>
          <t>postpaid</t>
        </is>
      </c>
      <c r="E858" s="2" t="inlineStr">
        <is>
          <t>SP</t>
        </is>
      </c>
      <c r="F858" s="2" t="inlineStr">
        <is>
          <t>Vivo Pós com Netflix</t>
        </is>
      </c>
      <c r="G858" s="2" t="inlineStr">
        <is>
          <t>vivo:VIV202600029234-60gb</t>
        </is>
      </c>
      <c r="H858" s="3" t="n">
        <v>180</v>
      </c>
      <c r="I858" s="3" t="inlineStr"/>
      <c r="J858" s="2" t="inlineStr"/>
      <c r="K858" s="2" t="inlineStr"/>
      <c r="L858" s="4" t="n">
        <v>60</v>
      </c>
      <c r="M858" s="2" t="inlineStr">
        <is>
          <t>50 GB de franquia 10 GB de bônus</t>
        </is>
      </c>
      <c r="N858" s="2" t="inlineStr"/>
      <c r="O858" s="2" t="inlineStr"/>
      <c r="P858" s="2" t="inlineStr"/>
      <c r="Q858" s="2" t="inlineStr"/>
      <c r="R858" s="2" t="inlineStr">
        <is>
          <t>Netflix</t>
        </is>
      </c>
      <c r="S858" s="2" t="inlineStr"/>
      <c r="T858" s="2" t="inlineStr">
        <is>
          <t>Assinatura Netflix Padrão inclusa</t>
        </is>
      </c>
      <c r="U858" s="2" t="inlineStr">
        <is>
          <t>https://vivo.com.br/para-voce/produtos-e-servicos/para-o-celular/planos-pos-pago</t>
        </is>
      </c>
      <c r="V858" s="2" t="inlineStr">
        <is>
          <t>data/raw/vivo_postpaid_SP.html</t>
        </is>
      </c>
    </row>
    <row r="859">
      <c r="A859" s="5" t="inlineStr">
        <is>
          <t>2026-07-07</t>
        </is>
      </c>
      <c r="B859" s="5" t="inlineStr">
        <is>
          <t>2026-07-07T22:09:54</t>
        </is>
      </c>
      <c r="C859" s="5" t="inlineStr">
        <is>
          <t>vivo</t>
        </is>
      </c>
      <c r="D859" s="5" t="inlineStr">
        <is>
          <t>postpaid</t>
        </is>
      </c>
      <c r="E859" s="5" t="inlineStr">
        <is>
          <t>SP</t>
        </is>
      </c>
      <c r="F859" s="5" t="inlineStr">
        <is>
          <t>Vivo Pós com Premiere</t>
        </is>
      </c>
      <c r="G859" s="5" t="inlineStr">
        <is>
          <t>vivo:VIV202600029249-60gb</t>
        </is>
      </c>
      <c r="H859" s="6" t="n">
        <v>180</v>
      </c>
      <c r="I859" s="6" t="inlineStr"/>
      <c r="J859" s="5" t="inlineStr"/>
      <c r="K859" s="5" t="inlineStr"/>
      <c r="L859" s="7" t="n">
        <v>60</v>
      </c>
      <c r="M859" s="5" t="inlineStr">
        <is>
          <t>50 GB de franquia 10 GB de bônus</t>
        </is>
      </c>
      <c r="N859" s="5" t="inlineStr"/>
      <c r="O859" s="5" t="inlineStr"/>
      <c r="P859" s="5" t="inlineStr"/>
      <c r="Q859" s="5" t="inlineStr"/>
      <c r="R859" s="5" t="inlineStr">
        <is>
          <t>Premiere</t>
        </is>
      </c>
      <c r="S859" s="5" t="inlineStr"/>
      <c r="T859" s="5" t="inlineStr">
        <is>
          <t>Assinatura Premiere inclusa</t>
        </is>
      </c>
      <c r="U859" s="5" t="inlineStr">
        <is>
          <t>https://vivo.com.br/para-voce/produtos-e-servicos/para-o-celular/planos-pos-pago</t>
        </is>
      </c>
      <c r="V859" s="5" t="inlineStr">
        <is>
          <t>data/raw/vivo_postpaid_SP.html</t>
        </is>
      </c>
    </row>
    <row r="860">
      <c r="A860" s="2" t="inlineStr">
        <is>
          <t>2026-07-07</t>
        </is>
      </c>
      <c r="B860" s="2" t="inlineStr">
        <is>
          <t>2026-07-07T22:09:54</t>
        </is>
      </c>
      <c r="C860" s="2" t="inlineStr">
        <is>
          <t>vivo</t>
        </is>
      </c>
      <c r="D860" s="2" t="inlineStr">
        <is>
          <t>postpaid</t>
        </is>
      </c>
      <c r="E860" s="2" t="inlineStr">
        <is>
          <t>SP</t>
        </is>
      </c>
      <c r="F860" s="2" t="inlineStr">
        <is>
          <t>Vivo Pós com Spotify</t>
        </is>
      </c>
      <c r="G860" s="2" t="inlineStr">
        <is>
          <t>vivo:VIV202600029229-60gb</t>
        </is>
      </c>
      <c r="H860" s="3" t="n">
        <v>165</v>
      </c>
      <c r="I860" s="3" t="inlineStr"/>
      <c r="J860" s="2" t="inlineStr"/>
      <c r="K860" s="2" t="inlineStr"/>
      <c r="L860" s="4" t="n">
        <v>60</v>
      </c>
      <c r="M860" s="2" t="inlineStr">
        <is>
          <t>50 GB de franquia 10 GB de bônus</t>
        </is>
      </c>
      <c r="N860" s="2" t="inlineStr"/>
      <c r="O860" s="2" t="inlineStr"/>
      <c r="P860" s="2" t="inlineStr"/>
      <c r="Q860" s="2" t="inlineStr"/>
      <c r="R860" s="2" t="inlineStr">
        <is>
          <t>Spotify</t>
        </is>
      </c>
      <c r="S860" s="2" t="inlineStr"/>
      <c r="T860" s="2" t="inlineStr">
        <is>
          <t>Assinatura Spotify Premium inclusa</t>
        </is>
      </c>
      <c r="U860" s="2" t="inlineStr">
        <is>
          <t>https://vivo.com.br/para-voce/produtos-e-servicos/para-o-celular/planos-pos-pago</t>
        </is>
      </c>
      <c r="V860" s="2" t="inlineStr">
        <is>
          <t>data/raw/vivo_postpaid_SP.html</t>
        </is>
      </c>
    </row>
    <row r="861">
      <c r="A861" s="5" t="inlineStr">
        <is>
          <t>2026-07-07</t>
        </is>
      </c>
      <c r="B861" s="5" t="inlineStr">
        <is>
          <t>2026-07-07T22:09:54</t>
        </is>
      </c>
      <c r="C861" s="5" t="inlineStr">
        <is>
          <t>vivo</t>
        </is>
      </c>
      <c r="D861" s="5" t="inlineStr">
        <is>
          <t>postpaid</t>
        </is>
      </c>
      <c r="E861" s="5" t="inlineStr">
        <is>
          <t>SP</t>
        </is>
      </c>
      <c r="F861" s="5" t="inlineStr">
        <is>
          <t>Vivo Pós com Travel</t>
        </is>
      </c>
      <c r="G861" s="5" t="inlineStr">
        <is>
          <t>vivo:VIV202600029244-70gb</t>
        </is>
      </c>
      <c r="H861" s="6" t="n">
        <v>215</v>
      </c>
      <c r="I861" s="6" t="inlineStr"/>
      <c r="J861" s="5" t="inlineStr"/>
      <c r="K861" s="5" t="inlineStr"/>
      <c r="L861" s="7" t="n">
        <v>70</v>
      </c>
      <c r="M861" s="5" t="inlineStr">
        <is>
          <t>60 GB de franquia 10 GB de bônus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>
        <is>
          <t>2 meses de YouTube sem consumo no plano</t>
        </is>
      </c>
      <c r="U861" s="5" t="inlineStr">
        <is>
          <t>https://vivo.com.br/para-voce/produtos-e-servicos/para-o-celular/planos-pos-pago</t>
        </is>
      </c>
      <c r="V861" s="5" t="inlineStr">
        <is>
          <t>data/raw/vivo_postpaid_SP.html</t>
        </is>
      </c>
    </row>
    <row r="862">
      <c r="A862" s="2" t="inlineStr">
        <is>
          <t>2026-07-07</t>
        </is>
      </c>
      <c r="B862" s="2" t="inlineStr">
        <is>
          <t>2026-07-07T22:09:54</t>
        </is>
      </c>
      <c r="C862" s="2" t="inlineStr">
        <is>
          <t>vivo</t>
        </is>
      </c>
      <c r="D862" s="2" t="inlineStr">
        <is>
          <t>prepaid</t>
        </is>
      </c>
      <c r="E862" s="2" t="inlineStr">
        <is>
          <t>SP</t>
        </is>
      </c>
      <c r="F862" s="2" t="inlineStr">
        <is>
          <t>Vivo Pré</t>
        </is>
      </c>
      <c r="G862" s="2" t="inlineStr">
        <is>
          <t>vivo:VIV202600029370-25gb</t>
        </is>
      </c>
      <c r="H862" s="3" t="n">
        <v>30</v>
      </c>
      <c r="I862" s="3" t="inlineStr"/>
      <c r="J862" s="2" t="inlineStr"/>
      <c r="K862" s="2" t="inlineStr"/>
      <c r="L862" s="4" t="n">
        <v>25</v>
      </c>
      <c r="M862" s="2" t="inlineStr">
        <is>
          <t>15 GB para navegar como quiser 5 GB de bônus 5 GB para navegar no Youtube</t>
        </is>
      </c>
      <c r="N862" s="2" t="n">
        <v>30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>
        <is>
          <t>https://vivo.com.br/para-voce/produtos-e-servicos/para-o-celular/pre-pago/vivo-pre</t>
        </is>
      </c>
      <c r="V862" s="2" t="inlineStr">
        <is>
          <t>data/raw/vivo_prepaid_SP.html</t>
        </is>
      </c>
    </row>
    <row r="863">
      <c r="A863" s="5" t="inlineStr">
        <is>
          <t>2026-07-07</t>
        </is>
      </c>
      <c r="B863" s="5" t="inlineStr">
        <is>
          <t>2026-07-07T22:09:54</t>
        </is>
      </c>
      <c r="C863" s="5" t="inlineStr">
        <is>
          <t>vivo</t>
        </is>
      </c>
      <c r="D863" s="5" t="inlineStr">
        <is>
          <t>prepaid</t>
        </is>
      </c>
      <c r="E863" s="5" t="inlineStr">
        <is>
          <t>SP</t>
        </is>
      </c>
      <c r="F863" s="5" t="inlineStr">
        <is>
          <t>Vivo Pré</t>
        </is>
      </c>
      <c r="G863" s="5" t="inlineStr">
        <is>
          <t>vivo:VIV202600029370-9gb</t>
        </is>
      </c>
      <c r="H863" s="6" t="n">
        <v>25</v>
      </c>
      <c r="I863" s="6" t="inlineStr"/>
      <c r="J863" s="5" t="inlineStr"/>
      <c r="K863" s="5" t="inlineStr"/>
      <c r="L863" s="7" t="n">
        <v>9</v>
      </c>
      <c r="M863" s="5" t="inlineStr">
        <is>
          <t>6 GB para navegar como quiser 3 GB para navegar no YouTube</t>
        </is>
      </c>
      <c r="N863" s="5" t="n">
        <v>22</v>
      </c>
      <c r="O863" s="5" t="inlineStr"/>
      <c r="P863" s="5" t="inlineStr"/>
      <c r="Q863" s="5" t="inlineStr"/>
      <c r="R863" s="5" t="inlineStr"/>
      <c r="S863" s="5" t="inlineStr"/>
      <c r="T863" s="5" t="inlineStr"/>
      <c r="U863" s="5" t="inlineStr">
        <is>
          <t>https://vivo.com.br/para-voce/produtos-e-servicos/para-o-celular/pre-pago/vivo-pre</t>
        </is>
      </c>
      <c r="V863" s="5" t="inlineStr">
        <is>
          <t>data/raw/vivo_prepaid_SP.html</t>
        </is>
      </c>
    </row>
    <row r="864">
      <c r="A864" s="2" t="inlineStr">
        <is>
          <t>2026-07-07</t>
        </is>
      </c>
      <c r="B864" s="2" t="inlineStr">
        <is>
          <t>2026-07-07T22:09:54</t>
        </is>
      </c>
      <c r="C864" s="2" t="inlineStr">
        <is>
          <t>vivo</t>
        </is>
      </c>
      <c r="D864" s="2" t="inlineStr">
        <is>
          <t>prepaid</t>
        </is>
      </c>
      <c r="E864" s="2" t="inlineStr">
        <is>
          <t>SP</t>
        </is>
      </c>
      <c r="F864" s="2" t="inlineStr">
        <is>
          <t>Vivo Pré</t>
        </is>
      </c>
      <c r="G864" s="2" t="inlineStr">
        <is>
          <t>vivo:VIV202600029370-5gb</t>
        </is>
      </c>
      <c r="H864" s="3" t="n">
        <v>20</v>
      </c>
      <c r="I864" s="3" t="inlineStr"/>
      <c r="J864" s="2" t="inlineStr"/>
      <c r="K864" s="2" t="inlineStr"/>
      <c r="L864" s="4" t="n">
        <v>5</v>
      </c>
      <c r="M864" s="2" t="inlineStr">
        <is>
          <t>5 GB para navegar como quiser</t>
        </is>
      </c>
      <c r="N864" s="2" t="n">
        <v>17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>
        <is>
          <t>https://vivo.com.br/para-voce/produtos-e-servicos/para-o-celular/pre-pago/vivo-pre</t>
        </is>
      </c>
      <c r="V864" s="2" t="inlineStr">
        <is>
          <t>data/raw/vivo_prepaid_SP.html</t>
        </is>
      </c>
    </row>
    <row r="865">
      <c r="A865" s="5" t="inlineStr">
        <is>
          <t>2026-07-07</t>
        </is>
      </c>
      <c r="B865" s="5" t="inlineStr">
        <is>
          <t>2026-07-07T22:09:54</t>
        </is>
      </c>
      <c r="C865" s="5" t="inlineStr">
        <is>
          <t>vivo</t>
        </is>
      </c>
      <c r="D865" s="5" t="inlineStr">
        <is>
          <t>prepaid</t>
        </is>
      </c>
      <c r="E865" s="5" t="inlineStr">
        <is>
          <t>SP</t>
        </is>
      </c>
      <c r="F865" s="5" t="inlineStr">
        <is>
          <t>Vivo Pré</t>
        </is>
      </c>
      <c r="G865" s="5" t="inlineStr">
        <is>
          <t>vivo:VIV202600029370-4gb</t>
        </is>
      </c>
      <c r="H865" s="6" t="n">
        <v>17</v>
      </c>
      <c r="I865" s="6" t="inlineStr"/>
      <c r="J865" s="5" t="inlineStr"/>
      <c r="K865" s="5" t="inlineStr"/>
      <c r="L865" s="7" t="n">
        <v>4</v>
      </c>
      <c r="M865" s="5" t="inlineStr">
        <is>
          <t>4 GB para navegar como quiser</t>
        </is>
      </c>
      <c r="N865" s="5" t="n">
        <v>15</v>
      </c>
      <c r="O865" s="5" t="inlineStr"/>
      <c r="P865" s="5" t="inlineStr"/>
      <c r="Q865" s="5" t="inlineStr"/>
      <c r="R865" s="5" t="inlineStr"/>
      <c r="S865" s="5" t="inlineStr"/>
      <c r="T865" s="5" t="inlineStr"/>
      <c r="U865" s="5" t="inlineStr">
        <is>
          <t>https://vivo.com.br/para-voce/produtos-e-servicos/para-o-celular/pre-pago/vivo-pre</t>
        </is>
      </c>
      <c r="V865" s="5" t="inlineStr">
        <is>
          <t>data/raw/vivo_prepaid_SP.html</t>
        </is>
      </c>
    </row>
    <row r="866">
      <c r="A866" s="2" t="inlineStr">
        <is>
          <t>2026-07-08</t>
        </is>
      </c>
      <c r="B866" s="2" t="inlineStr">
        <is>
          <t>2026-07-08T22:03:02</t>
        </is>
      </c>
      <c r="C866" s="2" t="inlineStr">
        <is>
          <t>claro</t>
        </is>
      </c>
      <c r="D866" s="2" t="inlineStr">
        <is>
          <t>control</t>
        </is>
      </c>
      <c r="E866" s="2" t="inlineStr">
        <is>
          <t>SP</t>
        </is>
      </c>
      <c r="F866" s="2" t="inlineStr">
        <is>
          <t>Controle 25GB</t>
        </is>
      </c>
      <c r="G866" s="2" t="inlineStr">
        <is>
          <t>claro:plano-controle-25gb</t>
        </is>
      </c>
      <c r="H866" s="3" t="n">
        <v>59.9</v>
      </c>
      <c r="I866" s="3" t="n">
        <v>54.9</v>
      </c>
      <c r="J866" s="2" t="inlineStr">
        <is>
          <t>De R$ 59,90 Por:</t>
        </is>
      </c>
      <c r="K866" s="2" t="inlineStr"/>
      <c r="L866" s="4" t="n">
        <v>25</v>
      </c>
      <c r="M866" s="2" t="inlineStr"/>
      <c r="N866" s="2" t="inlineStr"/>
      <c r="O866" s="2" t="inlineStr">
        <is>
          <t>WhatsApp</t>
        </is>
      </c>
      <c r="P866" s="2" t="inlineStr"/>
      <c r="Q866" s="2" t="inlineStr"/>
      <c r="R866" s="2" t="inlineStr"/>
      <c r="S866" s="2" t="inlineStr"/>
      <c r="T866" s="2" t="inlineStr">
        <is>
          <t>Para uso livre; Para redes sociais e vídeos; Bônus exclusivo; Aproveite na sua franquia; WhatsApp e ligações ilimitadas</t>
        </is>
      </c>
      <c r="U866" s="2" t="inlineStr">
        <is>
          <t>https://www.claro.com.br/celular/controle</t>
        </is>
      </c>
      <c r="V866" s="2" t="inlineStr">
        <is>
          <t>data/raw/claro_control_SP.json</t>
        </is>
      </c>
    </row>
    <row r="867">
      <c r="A867" s="5" t="inlineStr">
        <is>
          <t>2026-07-08</t>
        </is>
      </c>
      <c r="B867" s="5" t="inlineStr">
        <is>
          <t>2026-07-08T22:03:02</t>
        </is>
      </c>
      <c r="C867" s="5" t="inlineStr">
        <is>
          <t>claro</t>
        </is>
      </c>
      <c r="D867" s="5" t="inlineStr">
        <is>
          <t>control</t>
        </is>
      </c>
      <c r="E867" s="5" t="inlineStr">
        <is>
          <t>SP</t>
        </is>
      </c>
      <c r="F867" s="5" t="inlineStr">
        <is>
          <t>Controle 30GB</t>
        </is>
      </c>
      <c r="G867" s="5" t="inlineStr">
        <is>
          <t>claro:plano-controle-30gb</t>
        </is>
      </c>
      <c r="H867" s="6" t="n">
        <v>69.90000000000001</v>
      </c>
      <c r="I867" s="6" t="inlineStr"/>
      <c r="J867" s="5" t="inlineStr"/>
      <c r="K867" s="5" t="inlineStr"/>
      <c r="L867" s="7" t="n">
        <v>30</v>
      </c>
      <c r="M867" s="5" t="inlineStr"/>
      <c r="N867" s="5" t="inlineStr"/>
      <c r="O867" s="5" t="inlineStr">
        <is>
          <t>WhatsApp</t>
        </is>
      </c>
      <c r="P867" s="5" t="inlineStr"/>
      <c r="Q867" s="5" t="inlineStr"/>
      <c r="R867" s="5" t="inlineStr"/>
      <c r="S867" s="5" t="inlineStr"/>
      <c r="T867" s="5" t="inlineStr">
        <is>
          <t>Para uso livre; Bônus especial para uso livre; Bônus para redes sociais e apps; Redes sociais e apps; WhatsApp ilimitado</t>
        </is>
      </c>
      <c r="U867" s="5" t="inlineStr">
        <is>
          <t>https://www.claro.com.br/celular/controle</t>
        </is>
      </c>
      <c r="V867" s="5" t="inlineStr">
        <is>
          <t>data/raw/claro_control_SP.json</t>
        </is>
      </c>
    </row>
    <row r="868">
      <c r="A868" s="2" t="inlineStr">
        <is>
          <t>2026-07-08</t>
        </is>
      </c>
      <c r="B868" s="2" t="inlineStr">
        <is>
          <t>2026-07-08T22:03:02</t>
        </is>
      </c>
      <c r="C868" s="2" t="inlineStr">
        <is>
          <t>claro</t>
        </is>
      </c>
      <c r="D868" s="2" t="inlineStr">
        <is>
          <t>control</t>
        </is>
      </c>
      <c r="E868" s="2" t="inlineStr">
        <is>
          <t>SP</t>
        </is>
      </c>
      <c r="F868" s="2" t="inlineStr">
        <is>
          <t>Controle 30GB</t>
        </is>
      </c>
      <c r="G868" s="2" t="inlineStr">
        <is>
          <t>claro:plano-controle-30gb-gaming</t>
        </is>
      </c>
      <c r="H868" s="3" t="n">
        <v>99.90000000000001</v>
      </c>
      <c r="I868" s="3" t="inlineStr"/>
      <c r="J868" s="2" t="inlineStr"/>
      <c r="K868" s="2" t="inlineStr"/>
      <c r="L868" s="4" t="n">
        <v>30</v>
      </c>
      <c r="M868" s="2" t="inlineStr"/>
      <c r="N868" s="2" t="inlineStr"/>
      <c r="O868" s="2" t="inlineStr">
        <is>
          <t>WhatsApp</t>
        </is>
      </c>
      <c r="P868" s="2" t="inlineStr"/>
      <c r="Q868" s="2" t="inlineStr"/>
      <c r="R868" s="2" t="inlineStr"/>
      <c r="S868" s="2" t="inlineStr"/>
      <c r="T868" s="2" t="inlineStr">
        <is>
          <t>Para uso livre; Bônus para redes sociais e apps; Bônus uso livre; Redes sociais e apps; WhatsApp ilimitado</t>
        </is>
      </c>
      <c r="U868" s="2" t="inlineStr">
        <is>
          <t>https://www.claro.com.br/celular/controle</t>
        </is>
      </c>
      <c r="V868" s="2" t="inlineStr">
        <is>
          <t>data/raw/claro_control_SP.json</t>
        </is>
      </c>
    </row>
    <row r="869">
      <c r="A869" s="5" t="inlineStr">
        <is>
          <t>2026-07-08</t>
        </is>
      </c>
      <c r="B869" s="5" t="inlineStr">
        <is>
          <t>2026-07-08T22:03:02</t>
        </is>
      </c>
      <c r="C869" s="5" t="inlineStr">
        <is>
          <t>claro</t>
        </is>
      </c>
      <c r="D869" s="5" t="inlineStr">
        <is>
          <t>flex</t>
        </is>
      </c>
      <c r="E869" s="5" t="inlineStr">
        <is>
          <t>SP</t>
        </is>
      </c>
      <c r="F869" s="5" t="inlineStr">
        <is>
          <t>Flex 15GB</t>
        </is>
      </c>
      <c r="G869" s="5" t="inlineStr">
        <is>
          <t>claro:plano-flex-15gb</t>
        </is>
      </c>
      <c r="H869" s="6" t="n">
        <v>44.9</v>
      </c>
      <c r="I869" s="6" t="inlineStr"/>
      <c r="J869" s="5" t="inlineStr"/>
      <c r="K869" s="5" t="inlineStr"/>
      <c r="L869" s="7" t="n">
        <v>15</v>
      </c>
      <c r="M869" s="5" t="inlineStr"/>
      <c r="N869" s="5" t="inlineStr"/>
      <c r="O869" s="5" t="inlineStr">
        <is>
          <t>WhatsApp</t>
        </is>
      </c>
      <c r="P869" s="5" t="inlineStr"/>
      <c r="Q869" s="5" t="inlineStr"/>
      <c r="R869" s="5" t="inlineStr"/>
      <c r="S869" s="5" t="inlineStr"/>
      <c r="T869" s="5" t="inlineStr">
        <is>
          <t>Para uso livre; Bônus especial para uso livre; Para redes sociais e apps; Bônus extra nos apps; WhatsApp ilimitado</t>
        </is>
      </c>
      <c r="U869" s="5" t="inlineStr">
        <is>
          <t>https://www.claro.com.br/celular/flex</t>
        </is>
      </c>
      <c r="V869" s="5" t="inlineStr">
        <is>
          <t>data/raw/claro_flex_SP.json</t>
        </is>
      </c>
    </row>
    <row r="870">
      <c r="A870" s="2" t="inlineStr">
        <is>
          <t>2026-07-08</t>
        </is>
      </c>
      <c r="B870" s="2" t="inlineStr">
        <is>
          <t>2026-07-08T22:03:02</t>
        </is>
      </c>
      <c r="C870" s="2" t="inlineStr">
        <is>
          <t>claro</t>
        </is>
      </c>
      <c r="D870" s="2" t="inlineStr">
        <is>
          <t>flex</t>
        </is>
      </c>
      <c r="E870" s="2" t="inlineStr">
        <is>
          <t>SP</t>
        </is>
      </c>
      <c r="F870" s="2" t="inlineStr">
        <is>
          <t>Flex 20GB</t>
        </is>
      </c>
      <c r="G870" s="2" t="inlineStr">
        <is>
          <t>claro:plano-flex-20gb</t>
        </is>
      </c>
      <c r="H870" s="3" t="n">
        <v>59.9</v>
      </c>
      <c r="I870" s="3" t="inlineStr"/>
      <c r="J870" s="2" t="inlineStr"/>
      <c r="K870" s="2" t="inlineStr"/>
      <c r="L870" s="4" t="n">
        <v>20</v>
      </c>
      <c r="M870" s="2" t="inlineStr"/>
      <c r="N870" s="2" t="inlineStr"/>
      <c r="O870" s="2" t="inlineStr">
        <is>
          <t>WhatsApp</t>
        </is>
      </c>
      <c r="P870" s="2" t="inlineStr"/>
      <c r="Q870" s="2" t="inlineStr"/>
      <c r="R870" s="2" t="inlineStr"/>
      <c r="S870" s="2" t="inlineStr"/>
      <c r="T870" s="2" t="inlineStr">
        <is>
          <t>Para uso livre; Bônus especial para uso livre; Para redes sociais e apps; Bônus extra nos apps; WhatsApp ilimitado</t>
        </is>
      </c>
      <c r="U870" s="2" t="inlineStr">
        <is>
          <t>https://www.claro.com.br/celular/flex</t>
        </is>
      </c>
      <c r="V870" s="2" t="inlineStr">
        <is>
          <t>data/raw/claro_flex_SP.json</t>
        </is>
      </c>
    </row>
    <row r="871">
      <c r="A871" s="5" t="inlineStr">
        <is>
          <t>2026-07-08</t>
        </is>
      </c>
      <c r="B871" s="5" t="inlineStr">
        <is>
          <t>2026-07-08T22:03:02</t>
        </is>
      </c>
      <c r="C871" s="5" t="inlineStr">
        <is>
          <t>claro</t>
        </is>
      </c>
      <c r="D871" s="5" t="inlineStr">
        <is>
          <t>flex</t>
        </is>
      </c>
      <c r="E871" s="5" t="inlineStr">
        <is>
          <t>SP</t>
        </is>
      </c>
      <c r="F871" s="5" t="inlineStr">
        <is>
          <t>Flex 30GB</t>
        </is>
      </c>
      <c r="G871" s="5" t="inlineStr">
        <is>
          <t>claro:plano-flex-30gb</t>
        </is>
      </c>
      <c r="H871" s="6" t="n">
        <v>69.90000000000001</v>
      </c>
      <c r="I871" s="6" t="inlineStr"/>
      <c r="J871" s="5" t="inlineStr"/>
      <c r="K871" s="5" t="inlineStr"/>
      <c r="L871" s="7" t="n">
        <v>30</v>
      </c>
      <c r="M871" s="5" t="inlineStr"/>
      <c r="N871" s="5" t="inlineStr"/>
      <c r="O871" s="5" t="inlineStr">
        <is>
          <t>WhatsApp</t>
        </is>
      </c>
      <c r="P871" s="5" t="inlineStr"/>
      <c r="Q871" s="5" t="inlineStr"/>
      <c r="R871" s="5" t="inlineStr"/>
      <c r="S871" s="5" t="inlineStr"/>
      <c r="T871" s="5" t="inlineStr">
        <is>
          <t>Para uso livre; Bônus especial para uso livre; Para redes sociais e apps; Bônus extra nos apps; WhatsApp ilimitado; Assinatura Claro musica inclusa</t>
        </is>
      </c>
      <c r="U871" s="5" t="inlineStr">
        <is>
          <t>https://www.claro.com.br/celular/flex</t>
        </is>
      </c>
      <c r="V871" s="5" t="inlineStr">
        <is>
          <t>data/raw/claro_flex_SP.json</t>
        </is>
      </c>
    </row>
    <row r="872">
      <c r="A872" s="2" t="inlineStr">
        <is>
          <t>2026-07-08</t>
        </is>
      </c>
      <c r="B872" s="2" t="inlineStr">
        <is>
          <t>2026-07-08T22:03:02</t>
        </is>
      </c>
      <c r="C872" s="2" t="inlineStr">
        <is>
          <t>claro</t>
        </is>
      </c>
      <c r="D872" s="2" t="inlineStr">
        <is>
          <t>flex</t>
        </is>
      </c>
      <c r="E872" s="2" t="inlineStr">
        <is>
          <t>SP</t>
        </is>
      </c>
      <c r="F872" s="2" t="inlineStr">
        <is>
          <t>Flex 40GB</t>
        </is>
      </c>
      <c r="G872" s="2" t="inlineStr">
        <is>
          <t>claro:plano-flex-40gb</t>
        </is>
      </c>
      <c r="H872" s="3" t="n">
        <v>119.9</v>
      </c>
      <c r="I872" s="3" t="inlineStr"/>
      <c r="J872" s="2" t="inlineStr"/>
      <c r="K872" s="2" t="inlineStr"/>
      <c r="L872" s="4" t="n">
        <v>40</v>
      </c>
      <c r="M872" s="2" t="inlineStr"/>
      <c r="N872" s="2" t="inlineStr"/>
      <c r="O872" s="2" t="inlineStr">
        <is>
          <t>WhatsApp</t>
        </is>
      </c>
      <c r="P872" s="2" t="inlineStr"/>
      <c r="Q872" s="2" t="inlineStr"/>
      <c r="R872" s="2" t="inlineStr"/>
      <c r="S872" s="2" t="inlineStr"/>
      <c r="T872" s="2" t="inlineStr">
        <is>
          <t>Para uso livre; Para redes sociais e apps; Bônus uso livre; Bônus extra nos apps; WhatsApp ilimitado; Assinatura Claro musica inclusa</t>
        </is>
      </c>
      <c r="U872" s="2" t="inlineStr">
        <is>
          <t>https://www.claro.com.br/celular/flex</t>
        </is>
      </c>
      <c r="V872" s="2" t="inlineStr">
        <is>
          <t>data/raw/claro_flex_SP.json</t>
        </is>
      </c>
    </row>
    <row r="873">
      <c r="A873" s="5" t="inlineStr">
        <is>
          <t>2026-07-08</t>
        </is>
      </c>
      <c r="B873" s="5" t="inlineStr">
        <is>
          <t>2026-07-08T22:03:02</t>
        </is>
      </c>
      <c r="C873" s="5" t="inlineStr">
        <is>
          <t>claro</t>
        </is>
      </c>
      <c r="D873" s="5" t="inlineStr">
        <is>
          <t>postpaid</t>
        </is>
      </c>
      <c r="E873" s="5" t="inlineStr">
        <is>
          <t>SP</t>
        </is>
      </c>
      <c r="F873" s="5" t="inlineStr">
        <is>
          <t>Pós 100GB</t>
        </is>
      </c>
      <c r="G873" s="5" t="inlineStr">
        <is>
          <t>claro:plano-pos-100gb</t>
        </is>
      </c>
      <c r="H873" s="6" t="n">
        <v>179.9</v>
      </c>
      <c r="I873" s="6" t="inlineStr"/>
      <c r="J873" s="5" t="inlineStr"/>
      <c r="K873" s="5" t="inlineStr"/>
      <c r="L873" s="7" t="n">
        <v>100</v>
      </c>
      <c r="M873" s="5" t="inlineStr"/>
      <c r="N873" s="5" t="inlineStr"/>
      <c r="O873" s="5" t="inlineStr">
        <is>
          <t>WhatsApp</t>
        </is>
      </c>
      <c r="P873" s="5" t="inlineStr"/>
      <c r="Q873" s="5" t="inlineStr"/>
      <c r="R873" s="5" t="inlineStr"/>
      <c r="S873" s="5" t="inlineStr"/>
      <c r="T873" s="5" t="inlineStr">
        <is>
          <t>Armazenamento na nuvem:; Google One ou iCloud+; WhatsApp ilimitado; Roaming: Passaporte Américas; Claro Sync: Smartwatch conectado</t>
        </is>
      </c>
      <c r="U873" s="5" t="inlineStr">
        <is>
          <t>https://www.claro.com.br/celular/pos</t>
        </is>
      </c>
      <c r="V873" s="5" t="inlineStr">
        <is>
          <t>data/raw/claro_postpaid_SP.json</t>
        </is>
      </c>
    </row>
    <row r="874">
      <c r="A874" s="2" t="inlineStr">
        <is>
          <t>2026-07-08</t>
        </is>
      </c>
      <c r="B874" s="2" t="inlineStr">
        <is>
          <t>2026-07-08T22:03:02</t>
        </is>
      </c>
      <c r="C874" s="2" t="inlineStr">
        <is>
          <t>claro</t>
        </is>
      </c>
      <c r="D874" s="2" t="inlineStr">
        <is>
          <t>postpaid</t>
        </is>
      </c>
      <c r="E874" s="2" t="inlineStr">
        <is>
          <t>SP</t>
        </is>
      </c>
      <c r="F874" s="2" t="inlineStr">
        <is>
          <t>Pós 150GB</t>
        </is>
      </c>
      <c r="G874" s="2" t="inlineStr">
        <is>
          <t>claro:plano-pos-150gb</t>
        </is>
      </c>
      <c r="H874" s="3" t="n">
        <v>239.9</v>
      </c>
      <c r="I874" s="3" t="inlineStr"/>
      <c r="J874" s="2" t="inlineStr"/>
      <c r="K874" s="2" t="inlineStr"/>
      <c r="L874" s="4" t="n">
        <v>150</v>
      </c>
      <c r="M874" s="2" t="inlineStr"/>
      <c r="N874" s="2" t="inlineStr"/>
      <c r="O874" s="2" t="inlineStr">
        <is>
          <t>WhatsApp</t>
        </is>
      </c>
      <c r="P874" s="2" t="inlineStr"/>
      <c r="Q874" s="2" t="inlineStr"/>
      <c r="R874" s="2" t="inlineStr"/>
      <c r="S874" s="2" t="inlineStr"/>
      <c r="T874" s="2" t="inlineStr">
        <is>
          <t>Armazenamento na nuvem:; Google One ou iCloud+; WhatsApp ilimitado; Roaming: Passaporte Américas e Europa; Claro Sync: Smartwatch conectado</t>
        </is>
      </c>
      <c r="U874" s="2" t="inlineStr">
        <is>
          <t>https://www.claro.com.br/celular/pos</t>
        </is>
      </c>
      <c r="V874" s="2" t="inlineStr">
        <is>
          <t>data/raw/claro_postpaid_SP.json</t>
        </is>
      </c>
    </row>
    <row r="875">
      <c r="A875" s="5" t="inlineStr">
        <is>
          <t>2026-07-08</t>
        </is>
      </c>
      <c r="B875" s="5" t="inlineStr">
        <is>
          <t>2026-07-08T22:03:02</t>
        </is>
      </c>
      <c r="C875" s="5" t="inlineStr">
        <is>
          <t>claro</t>
        </is>
      </c>
      <c r="D875" s="5" t="inlineStr">
        <is>
          <t>postpaid</t>
        </is>
      </c>
      <c r="E875" s="5" t="inlineStr">
        <is>
          <t>SP</t>
        </is>
      </c>
      <c r="F875" s="5" t="inlineStr">
        <is>
          <t>Pós 200GB</t>
        </is>
      </c>
      <c r="G875" s="5" t="inlineStr">
        <is>
          <t>claro:plano-pos-200gb</t>
        </is>
      </c>
      <c r="H875" s="6" t="n">
        <v>339.9</v>
      </c>
      <c r="I875" s="6" t="inlineStr"/>
      <c r="J875" s="5" t="inlineStr"/>
      <c r="K875" s="5" t="inlineStr"/>
      <c r="L875" s="7" t="n">
        <v>200</v>
      </c>
      <c r="M875" s="5" t="inlineStr"/>
      <c r="N875" s="5" t="inlineStr"/>
      <c r="O875" s="5" t="inlineStr">
        <is>
          <t>WhatsApp</t>
        </is>
      </c>
      <c r="P875" s="5" t="inlineStr"/>
      <c r="Q875" s="5" t="inlineStr"/>
      <c r="R875" s="5" t="inlineStr"/>
      <c r="S875" s="5" t="inlineStr"/>
      <c r="T875" s="5" t="inlineStr">
        <is>
          <t>Armazenamento na nuvem:; Google One ou iCloud+; WhatsApp ilimitado; Roaming: Passaporte Mundo; Claro Sync: Smartwatch conectado</t>
        </is>
      </c>
      <c r="U875" s="5" t="inlineStr">
        <is>
          <t>https://www.claro.com.br/celular/pos</t>
        </is>
      </c>
      <c r="V875" s="5" t="inlineStr">
        <is>
          <t>data/raw/claro_postpaid_SP.json</t>
        </is>
      </c>
    </row>
    <row r="876">
      <c r="A876" s="2" t="inlineStr">
        <is>
          <t>2026-07-08</t>
        </is>
      </c>
      <c r="B876" s="2" t="inlineStr">
        <is>
          <t>2026-07-08T22:03:02</t>
        </is>
      </c>
      <c r="C876" s="2" t="inlineStr">
        <is>
          <t>claro</t>
        </is>
      </c>
      <c r="D876" s="2" t="inlineStr">
        <is>
          <t>postpaid</t>
        </is>
      </c>
      <c r="E876" s="2" t="inlineStr">
        <is>
          <t>SP</t>
        </is>
      </c>
      <c r="F876" s="2" t="inlineStr">
        <is>
          <t>Pós 50GB com GeForce NOW</t>
        </is>
      </c>
      <c r="G876" s="2" t="inlineStr">
        <is>
          <t>claro:plano-pos-60gb-geforce</t>
        </is>
      </c>
      <c r="H876" s="3" t="n">
        <v>164.9</v>
      </c>
      <c r="I876" s="3" t="inlineStr"/>
      <c r="J876" s="2" t="inlineStr"/>
      <c r="K876" s="2" t="inlineStr"/>
      <c r="L876" s="4" t="n">
        <v>50</v>
      </c>
      <c r="M876" s="2" t="inlineStr"/>
      <c r="N876" s="2" t="inlineStr"/>
      <c r="O876" s="2" t="inlineStr">
        <is>
          <t>WhatsApp</t>
        </is>
      </c>
      <c r="P876" s="2" t="inlineStr"/>
      <c r="Q876" s="2" t="inlineStr"/>
      <c r="R876" s="2" t="inlineStr"/>
      <c r="S876" s="2" t="inlineStr"/>
      <c r="T876" s="2" t="inlineStr">
        <is>
          <t>Armazenamento na nuvem:; Google One ou iCloud+; WhatsApp ilimitado; Roaming: Passaporte Américas; Claro Sync: Smartwatch conectado; Inclusa assinatura GeForce NOW</t>
        </is>
      </c>
      <c r="U876" s="2" t="inlineStr">
        <is>
          <t>https://www.claro.com.br/celular/pos</t>
        </is>
      </c>
      <c r="V876" s="2" t="inlineStr">
        <is>
          <t>data/raw/claro_postpaid_SP.json</t>
        </is>
      </c>
    </row>
    <row r="877">
      <c r="A877" s="5" t="inlineStr">
        <is>
          <t>2026-07-08</t>
        </is>
      </c>
      <c r="B877" s="5" t="inlineStr">
        <is>
          <t>2026-07-08T22:03:02</t>
        </is>
      </c>
      <c r="C877" s="5" t="inlineStr">
        <is>
          <t>claro</t>
        </is>
      </c>
      <c r="D877" s="5" t="inlineStr">
        <is>
          <t>postpaid</t>
        </is>
      </c>
      <c r="E877" s="5" t="inlineStr">
        <is>
          <t>SP</t>
        </is>
      </c>
      <c r="F877" s="5" t="inlineStr">
        <is>
          <t>Pós 60GB</t>
        </is>
      </c>
      <c r="G877" s="5" t="inlineStr">
        <is>
          <t>claro:plano-pos-60gb</t>
        </is>
      </c>
      <c r="H877" s="6" t="n">
        <v>124.9</v>
      </c>
      <c r="I877" s="6" t="inlineStr"/>
      <c r="J877" s="5" t="inlineStr"/>
      <c r="K877" s="5" t="inlineStr"/>
      <c r="L877" s="7" t="n">
        <v>60</v>
      </c>
      <c r="M877" s="5" t="inlineStr"/>
      <c r="N877" s="5" t="inlineStr"/>
      <c r="O877" s="5" t="inlineStr">
        <is>
          <t>WhatsApp</t>
        </is>
      </c>
      <c r="P877" s="5" t="inlineStr"/>
      <c r="Q877" s="5" t="inlineStr"/>
      <c r="R877" s="5" t="inlineStr"/>
      <c r="S877" s="5" t="inlineStr"/>
      <c r="T877" s="5" t="inlineStr">
        <is>
          <t>Armazenamento na nuvem:; Google One ou iCloud+; WhatsApp ilimitado; Roaming: Passaporte Américas; Claro Sync: Smartwatch conectado</t>
        </is>
      </c>
      <c r="U877" s="5" t="inlineStr">
        <is>
          <t>https://www.claro.com.br/celular/pos</t>
        </is>
      </c>
      <c r="V877" s="5" t="inlineStr">
        <is>
          <t>data/raw/claro_postpaid_SP.json</t>
        </is>
      </c>
    </row>
    <row r="878">
      <c r="A878" s="2" t="inlineStr">
        <is>
          <t>2026-07-08</t>
        </is>
      </c>
      <c r="B878" s="2" t="inlineStr">
        <is>
          <t>2026-07-08T22:03:02</t>
        </is>
      </c>
      <c r="C878" s="2" t="inlineStr">
        <is>
          <t>claro</t>
        </is>
      </c>
      <c r="D878" s="2" t="inlineStr">
        <is>
          <t>prepaid</t>
        </is>
      </c>
      <c r="E878" s="2" t="inlineStr">
        <is>
          <t>SP</t>
        </is>
      </c>
      <c r="F878" s="2" t="inlineStr">
        <is>
          <t>Prezão 10GB (25 dias)</t>
        </is>
      </c>
      <c r="G878" s="2" t="inlineStr">
        <is>
          <t>claro:prezao-25d-10gb</t>
        </is>
      </c>
      <c r="H878" s="3" t="n">
        <v>25</v>
      </c>
      <c r="I878" s="3" t="inlineStr"/>
      <c r="J878" s="2" t="inlineStr">
        <is>
          <t>recarga Prezão R$25 — validade 25 dias</t>
        </is>
      </c>
      <c r="K878" s="2" t="inlineStr"/>
      <c r="L878" s="4" t="n">
        <v>10</v>
      </c>
      <c r="M878" s="2" t="inlineStr"/>
      <c r="N878" s="2" t="n">
        <v>25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>
        <is>
          <t>https://www.claro.com.br/celular/planos-pre/prezao</t>
        </is>
      </c>
      <c r="V878" s="2" t="inlineStr">
        <is>
          <t>data/raw/claro_prepaid_SP.json</t>
        </is>
      </c>
    </row>
    <row r="879">
      <c r="A879" s="5" t="inlineStr">
        <is>
          <t>2026-07-08</t>
        </is>
      </c>
      <c r="B879" s="5" t="inlineStr">
        <is>
          <t>2026-07-08T22:03:02</t>
        </is>
      </c>
      <c r="C879" s="5" t="inlineStr">
        <is>
          <t>claro</t>
        </is>
      </c>
      <c r="D879" s="5" t="inlineStr">
        <is>
          <t>prepaid</t>
        </is>
      </c>
      <c r="E879" s="5" t="inlineStr">
        <is>
          <t>SP</t>
        </is>
      </c>
      <c r="F879" s="5" t="inlineStr">
        <is>
          <t>Prezão 12GB (30 dias)</t>
        </is>
      </c>
      <c r="G879" s="5" t="inlineStr">
        <is>
          <t>claro:prezao-30d-12gb</t>
        </is>
      </c>
      <c r="H879" s="6" t="n">
        <v>30</v>
      </c>
      <c r="I879" s="6" t="inlineStr"/>
      <c r="J879" s="5" t="inlineStr">
        <is>
          <t>recarga Prezão R$30 — validade 30 dias</t>
        </is>
      </c>
      <c r="K879" s="5" t="inlineStr"/>
      <c r="L879" s="7" t="n">
        <v>12</v>
      </c>
      <c r="M879" s="5" t="inlineStr"/>
      <c r="N879" s="5" t="n">
        <v>30</v>
      </c>
      <c r="O879" s="5" t="inlineStr"/>
      <c r="P879" s="5" t="inlineStr"/>
      <c r="Q879" s="5" t="inlineStr"/>
      <c r="R879" s="5" t="inlineStr"/>
      <c r="S879" s="5" t="inlineStr"/>
      <c r="T879" s="5" t="inlineStr"/>
      <c r="U879" s="5" t="inlineStr">
        <is>
          <t>https://www.claro.com.br/celular/planos-pre/prezao</t>
        </is>
      </c>
      <c r="V879" s="5" t="inlineStr">
        <is>
          <t>data/raw/claro_prepaid_SP.json</t>
        </is>
      </c>
    </row>
    <row r="880">
      <c r="A880" s="2" t="inlineStr">
        <is>
          <t>2026-07-08</t>
        </is>
      </c>
      <c r="B880" s="2" t="inlineStr">
        <is>
          <t>2026-07-08T22:03:02</t>
        </is>
      </c>
      <c r="C880" s="2" t="inlineStr">
        <is>
          <t>claro</t>
        </is>
      </c>
      <c r="D880" s="2" t="inlineStr">
        <is>
          <t>prepaid</t>
        </is>
      </c>
      <c r="E880" s="2" t="inlineStr">
        <is>
          <t>SP</t>
        </is>
      </c>
      <c r="F880" s="2" t="inlineStr">
        <is>
          <t>Prezão 4GB (12 dias)</t>
        </is>
      </c>
      <c r="G880" s="2" t="inlineStr">
        <is>
          <t>claro:prezao-12d-4gb</t>
        </is>
      </c>
      <c r="H880" s="3" t="n">
        <v>15</v>
      </c>
      <c r="I880" s="3" t="inlineStr"/>
      <c r="J880" s="2" t="inlineStr">
        <is>
          <t>recarga Prezão R$15 — validade 12 dias</t>
        </is>
      </c>
      <c r="K880" s="2" t="inlineStr"/>
      <c r="L880" s="4" t="n">
        <v>4</v>
      </c>
      <c r="M880" s="2" t="inlineStr"/>
      <c r="N880" s="2" t="n">
        <v>12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>
        <is>
          <t>https://www.claro.com.br/celular/planos-pre/prezao</t>
        </is>
      </c>
      <c r="V880" s="2" t="inlineStr">
        <is>
          <t>data/raw/claro_prepaid_SP.json</t>
        </is>
      </c>
    </row>
    <row r="881">
      <c r="A881" s="5" t="inlineStr">
        <is>
          <t>2026-07-08</t>
        </is>
      </c>
      <c r="B881" s="5" t="inlineStr">
        <is>
          <t>2026-07-08T22:03:02</t>
        </is>
      </c>
      <c r="C881" s="5" t="inlineStr">
        <is>
          <t>claro</t>
        </is>
      </c>
      <c r="D881" s="5" t="inlineStr">
        <is>
          <t>prepaid</t>
        </is>
      </c>
      <c r="E881" s="5" t="inlineStr">
        <is>
          <t>SP</t>
        </is>
      </c>
      <c r="F881" s="5" t="inlineStr">
        <is>
          <t>Prezão 5GB (15 dias)</t>
        </is>
      </c>
      <c r="G881" s="5" t="inlineStr">
        <is>
          <t>claro:prezao-15d-5gb</t>
        </is>
      </c>
      <c r="H881" s="6" t="n">
        <v>15</v>
      </c>
      <c r="I881" s="6" t="inlineStr"/>
      <c r="J881" s="5" t="inlineStr">
        <is>
          <t>recarga Prezão R$15 — validade 15 dias</t>
        </is>
      </c>
      <c r="K881" s="5" t="inlineStr"/>
      <c r="L881" s="7" t="n">
        <v>5</v>
      </c>
      <c r="M881" s="5" t="inlineStr"/>
      <c r="N881" s="5" t="n">
        <v>15</v>
      </c>
      <c r="O881" s="5" t="inlineStr"/>
      <c r="P881" s="5" t="inlineStr"/>
      <c r="Q881" s="5" t="inlineStr"/>
      <c r="R881" s="5" t="inlineStr"/>
      <c r="S881" s="5" t="inlineStr"/>
      <c r="T881" s="5" t="inlineStr"/>
      <c r="U881" s="5" t="inlineStr">
        <is>
          <t>https://www.claro.com.br/celular/planos-pre/prezao</t>
        </is>
      </c>
      <c r="V881" s="5" t="inlineStr">
        <is>
          <t>data/raw/claro_prepaid_SP.json</t>
        </is>
      </c>
    </row>
    <row r="882">
      <c r="A882" s="2" t="inlineStr">
        <is>
          <t>2026-07-08</t>
        </is>
      </c>
      <c r="B882" s="2" t="inlineStr">
        <is>
          <t>2026-07-08T22:03:02</t>
        </is>
      </c>
      <c r="C882" s="2" t="inlineStr">
        <is>
          <t>claro</t>
        </is>
      </c>
      <c r="D882" s="2" t="inlineStr">
        <is>
          <t>prepaid</t>
        </is>
      </c>
      <c r="E882" s="2" t="inlineStr">
        <is>
          <t>SP</t>
        </is>
      </c>
      <c r="F882" s="2" t="inlineStr">
        <is>
          <t>Prezão 6GB (20 dias)</t>
        </is>
      </c>
      <c r="G882" s="2" t="inlineStr">
        <is>
          <t>claro:prezao-20d-6gb</t>
        </is>
      </c>
      <c r="H882" s="3" t="n">
        <v>20</v>
      </c>
      <c r="I882" s="3" t="inlineStr"/>
      <c r="J882" s="2" t="inlineStr">
        <is>
          <t>recarga Prezão R$20 — validade 20 dias</t>
        </is>
      </c>
      <c r="K882" s="2" t="inlineStr"/>
      <c r="L882" s="4" t="n">
        <v>6</v>
      </c>
      <c r="M882" s="2" t="inlineStr"/>
      <c r="N882" s="2" t="n">
        <v>20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>
        <is>
          <t>https://www.claro.com.br/celular/planos-pre/prezao</t>
        </is>
      </c>
      <c r="V882" s="2" t="inlineStr">
        <is>
          <t>data/raw/claro_prepaid_SP.json</t>
        </is>
      </c>
    </row>
    <row r="883">
      <c r="A883" s="5" t="inlineStr">
        <is>
          <t>2026-07-08</t>
        </is>
      </c>
      <c r="B883" s="5" t="inlineStr">
        <is>
          <t>2026-07-08T22:03:02</t>
        </is>
      </c>
      <c r="C883" s="5" t="inlineStr">
        <is>
          <t>claro</t>
        </is>
      </c>
      <c r="D883" s="5" t="inlineStr">
        <is>
          <t>prepaid</t>
        </is>
      </c>
      <c r="E883" s="5" t="inlineStr">
        <is>
          <t>SP</t>
        </is>
      </c>
      <c r="F883" s="5" t="inlineStr">
        <is>
          <t>Prezão 8GB (20 dias)</t>
        </is>
      </c>
      <c r="G883" s="5" t="inlineStr">
        <is>
          <t>claro:prezao-20d-8gb</t>
        </is>
      </c>
      <c r="H883" s="6" t="n">
        <v>20</v>
      </c>
      <c r="I883" s="6" t="inlineStr"/>
      <c r="J883" s="5" t="inlineStr">
        <is>
          <t>recarga Prezão R$20 — validade 20 dias</t>
        </is>
      </c>
      <c r="K883" s="5" t="inlineStr"/>
      <c r="L883" s="7" t="n">
        <v>8</v>
      </c>
      <c r="M883" s="5" t="inlineStr"/>
      <c r="N883" s="5" t="n">
        <v>20</v>
      </c>
      <c r="O883" s="5" t="inlineStr"/>
      <c r="P883" s="5" t="inlineStr"/>
      <c r="Q883" s="5" t="inlineStr"/>
      <c r="R883" s="5" t="inlineStr"/>
      <c r="S883" s="5" t="inlineStr"/>
      <c r="T883" s="5" t="inlineStr"/>
      <c r="U883" s="5" t="inlineStr">
        <is>
          <t>https://www.claro.com.br/celular/planos-pre/prezao</t>
        </is>
      </c>
      <c r="V883" s="5" t="inlineStr">
        <is>
          <t>data/raw/claro_prepaid_SP.json</t>
        </is>
      </c>
    </row>
    <row r="884">
      <c r="A884" s="2" t="inlineStr">
        <is>
          <t>2026-07-08</t>
        </is>
      </c>
      <c r="B884" s="2" t="inlineStr">
        <is>
          <t>2026-07-08T22:03:02</t>
        </is>
      </c>
      <c r="C884" s="2" t="inlineStr">
        <is>
          <t>claro</t>
        </is>
      </c>
      <c r="D884" s="2" t="inlineStr">
        <is>
          <t>prepaid</t>
        </is>
      </c>
      <c r="E884" s="2" t="inlineStr">
        <is>
          <t>SP</t>
        </is>
      </c>
      <c r="F884" s="2" t="inlineStr">
        <is>
          <t>Prezão 9GB (25 dias)</t>
        </is>
      </c>
      <c r="G884" s="2" t="inlineStr">
        <is>
          <t>claro:prezao-25d-9gb</t>
        </is>
      </c>
      <c r="H884" s="3" t="n">
        <v>25</v>
      </c>
      <c r="I884" s="3" t="inlineStr"/>
      <c r="J884" s="2" t="inlineStr">
        <is>
          <t>recarga Prezão R$25 — validade 25 dias</t>
        </is>
      </c>
      <c r="K884" s="2" t="inlineStr"/>
      <c r="L884" s="4" t="n">
        <v>9</v>
      </c>
      <c r="M884" s="2" t="inlineStr"/>
      <c r="N884" s="2" t="n">
        <v>25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>
        <is>
          <t>https://www.claro.com.br/celular/planos-pre/prezao</t>
        </is>
      </c>
      <c r="V884" s="2" t="inlineStr">
        <is>
          <t>data/raw/claro_prepaid_SP.json</t>
        </is>
      </c>
    </row>
    <row r="885">
      <c r="A885" s="5" t="inlineStr">
        <is>
          <t>2026-07-08</t>
        </is>
      </c>
      <c r="B885" s="5" t="inlineStr">
        <is>
          <t>2026-07-08T22:03:02</t>
        </is>
      </c>
      <c r="C885" s="5" t="inlineStr">
        <is>
          <t>tim</t>
        </is>
      </c>
      <c r="D885" s="5" t="inlineStr">
        <is>
          <t>control</t>
        </is>
      </c>
      <c r="E885" s="5" t="inlineStr">
        <is>
          <t>SP</t>
        </is>
      </c>
      <c r="F885" s="5" t="inlineStr">
        <is>
          <t>TIM Controle 41GB</t>
        </is>
      </c>
      <c r="G885" s="5" t="inlineStr">
        <is>
          <t>tim:167036</t>
        </is>
      </c>
      <c r="H885" s="6" t="n">
        <v>49.99</v>
      </c>
      <c r="I885" s="6" t="inlineStr"/>
      <c r="J885" s="5" t="inlineStr"/>
      <c r="K885" s="5" t="inlineStr"/>
      <c r="L885" s="7" t="n">
        <v>41</v>
      </c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https://www.tim.com.br/sp/para-voce/planos/controle</t>
        </is>
      </c>
      <c r="V885" s="5" t="inlineStr">
        <is>
          <t>data/raw/tim_control_SP.html</t>
        </is>
      </c>
    </row>
    <row r="886">
      <c r="A886" s="2" t="inlineStr">
        <is>
          <t>2026-07-08</t>
        </is>
      </c>
      <c r="B886" s="2" t="inlineStr">
        <is>
          <t>2026-07-08T22:03:02</t>
        </is>
      </c>
      <c r="C886" s="2" t="inlineStr">
        <is>
          <t>tim</t>
        </is>
      </c>
      <c r="D886" s="2" t="inlineStr">
        <is>
          <t>control</t>
        </is>
      </c>
      <c r="E886" s="2" t="inlineStr">
        <is>
          <t>SP</t>
        </is>
      </c>
      <c r="F886" s="2" t="inlineStr">
        <is>
          <t>TIM Controle Light Express 31GB</t>
        </is>
      </c>
      <c r="G886" s="2" t="inlineStr">
        <is>
          <t>tim:167046</t>
        </is>
      </c>
      <c r="H886" s="3" t="n">
        <v>60.99</v>
      </c>
      <c r="I886" s="3" t="inlineStr"/>
      <c r="J886" s="2" t="inlineStr"/>
      <c r="K886" s="2" t="inlineStr"/>
      <c r="L886" s="4" t="n">
        <v>31</v>
      </c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>
        <is>
          <t>https://www.tim.com.br/sp/para-voce/planos/controle</t>
        </is>
      </c>
      <c r="V886" s="2" t="inlineStr">
        <is>
          <t>data/raw/tim_control_SP.html</t>
        </is>
      </c>
    </row>
    <row r="887">
      <c r="A887" s="5" t="inlineStr">
        <is>
          <t>2026-07-08</t>
        </is>
      </c>
      <c r="B887" s="5" t="inlineStr">
        <is>
          <t>2026-07-08T22:03:02</t>
        </is>
      </c>
      <c r="C887" s="5" t="inlineStr">
        <is>
          <t>tim</t>
        </is>
      </c>
      <c r="D887" s="5" t="inlineStr">
        <is>
          <t>control</t>
        </is>
      </c>
      <c r="E887" s="5" t="inlineStr">
        <is>
          <t>SP</t>
        </is>
      </c>
      <c r="F887" s="5" t="inlineStr">
        <is>
          <t>TIM Controle Plus 45GB</t>
        </is>
      </c>
      <c r="G887" s="5" t="inlineStr">
        <is>
          <t>tim:167031</t>
        </is>
      </c>
      <c r="H887" s="6" t="n">
        <v>59.99</v>
      </c>
      <c r="I887" s="6" t="inlineStr"/>
      <c r="J887" s="5" t="inlineStr"/>
      <c r="K887" s="5" t="inlineStr"/>
      <c r="L887" s="7" t="n">
        <v>45</v>
      </c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https://www.tim.com.br/sp/para-voce/planos/controle</t>
        </is>
      </c>
      <c r="V887" s="5" t="inlineStr">
        <is>
          <t>data/raw/tim_control_SP.html</t>
        </is>
      </c>
    </row>
    <row r="888">
      <c r="A888" s="2" t="inlineStr">
        <is>
          <t>2026-07-08</t>
        </is>
      </c>
      <c r="B888" s="2" t="inlineStr">
        <is>
          <t>2026-07-08T22:03:02</t>
        </is>
      </c>
      <c r="C888" s="2" t="inlineStr">
        <is>
          <t>tim</t>
        </is>
      </c>
      <c r="D888" s="2" t="inlineStr">
        <is>
          <t>control</t>
        </is>
      </c>
      <c r="E888" s="2" t="inlineStr">
        <is>
          <t>SP</t>
        </is>
      </c>
      <c r="F888" s="2" t="inlineStr">
        <is>
          <t>TIM Controle Premium 53GB</t>
        </is>
      </c>
      <c r="G888" s="2" t="inlineStr">
        <is>
          <t>tim:167041</t>
        </is>
      </c>
      <c r="H888" s="3" t="n">
        <v>69.98999999999999</v>
      </c>
      <c r="I888" s="3" t="inlineStr"/>
      <c r="J888" s="2" t="inlineStr"/>
      <c r="K888" s="2" t="inlineStr"/>
      <c r="L888" s="4" t="n">
        <v>53</v>
      </c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>
        <is>
          <t>https://www.tim.com.br/sp/para-voce/planos/controle</t>
        </is>
      </c>
      <c r="V888" s="2" t="inlineStr">
        <is>
          <t>data/raw/tim_control_SP.html</t>
        </is>
      </c>
    </row>
    <row r="889">
      <c r="A889" s="5" t="inlineStr">
        <is>
          <t>2026-07-08</t>
        </is>
      </c>
      <c r="B889" s="5" t="inlineStr">
        <is>
          <t>2026-07-08T22:03:02</t>
        </is>
      </c>
      <c r="C889" s="5" t="inlineStr">
        <is>
          <t>tim</t>
        </is>
      </c>
      <c r="D889" s="5" t="inlineStr">
        <is>
          <t>control</t>
        </is>
      </c>
      <c r="E889" s="5" t="inlineStr">
        <is>
          <t>SP</t>
        </is>
      </c>
      <c r="F889" s="5" t="inlineStr">
        <is>
          <t>TIM Controle Pro Express</t>
        </is>
      </c>
      <c r="G889" s="5" t="inlineStr">
        <is>
          <t>tim:167051</t>
        </is>
      </c>
      <c r="H889" s="6" t="n">
        <v>64.98999999999999</v>
      </c>
      <c r="I889" s="6" t="inlineStr"/>
      <c r="J889" s="5" t="inlineStr"/>
      <c r="K889" s="5" t="inlineStr"/>
      <c r="L889" s="7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https://www.tim.com.br/sp/para-voce/planos/controle</t>
        </is>
      </c>
      <c r="V889" s="5" t="inlineStr">
        <is>
          <t>data/raw/tim_control_SP.html</t>
        </is>
      </c>
    </row>
    <row r="890">
      <c r="A890" s="2" t="inlineStr">
        <is>
          <t>2026-07-08</t>
        </is>
      </c>
      <c r="B890" s="2" t="inlineStr">
        <is>
          <t>2026-07-08T22:03:02</t>
        </is>
      </c>
      <c r="C890" s="2" t="inlineStr">
        <is>
          <t>tim</t>
        </is>
      </c>
      <c r="D890" s="2" t="inlineStr">
        <is>
          <t>postpaid</t>
        </is>
      </c>
      <c r="E890" s="2" t="inlineStr">
        <is>
          <t>SP</t>
        </is>
      </c>
      <c r="F890" s="2" t="inlineStr">
        <is>
          <t>TIM Black 70GB</t>
        </is>
      </c>
      <c r="G890" s="2" t="inlineStr">
        <is>
          <t>tim:54206</t>
        </is>
      </c>
      <c r="H890" s="3" t="n">
        <v>129.99</v>
      </c>
      <c r="I890" s="3" t="inlineStr"/>
      <c r="J890" s="2" t="inlineStr"/>
      <c r="K890" s="2" t="inlineStr">
        <is>
          <t>bill</t>
        </is>
      </c>
      <c r="L890" s="4" t="n">
        <v>70</v>
      </c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>
        <is>
          <t>https://www.tim.com.br/sp/para-voce/planos/pos-pago/tim-black</t>
        </is>
      </c>
      <c r="V890" s="2" t="inlineStr">
        <is>
          <t>data/raw/tim_postpaid_SP.html</t>
        </is>
      </c>
    </row>
    <row r="891">
      <c r="A891" s="5" t="inlineStr">
        <is>
          <t>2026-07-08</t>
        </is>
      </c>
      <c r="B891" s="5" t="inlineStr">
        <is>
          <t>2026-07-08T22:03:02</t>
        </is>
      </c>
      <c r="C891" s="5" t="inlineStr">
        <is>
          <t>tim</t>
        </is>
      </c>
      <c r="D891" s="5" t="inlineStr">
        <is>
          <t>postpaid</t>
        </is>
      </c>
      <c r="E891" s="5" t="inlineStr">
        <is>
          <t>SP</t>
        </is>
      </c>
      <c r="F891" s="5" t="inlineStr">
        <is>
          <t>TIM Black A Express 67GB</t>
        </is>
      </c>
      <c r="G891" s="5" t="inlineStr">
        <is>
          <t>tim:55121</t>
        </is>
      </c>
      <c r="H891" s="6" t="n">
        <v>119.99</v>
      </c>
      <c r="I891" s="6" t="inlineStr"/>
      <c r="J891" s="5" t="inlineStr"/>
      <c r="K891" s="5" t="inlineStr">
        <is>
          <t>credit_card</t>
        </is>
      </c>
      <c r="L891" s="7" t="n">
        <v>67</v>
      </c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>
        <is>
          <t>https://www.tim.com.br/sp/para-voce/planos/pos-pago/tim-black</t>
        </is>
      </c>
      <c r="V891" s="5" t="inlineStr">
        <is>
          <t>data/raw/tim_postpaid_SP.html</t>
        </is>
      </c>
    </row>
    <row r="892">
      <c r="A892" s="2" t="inlineStr">
        <is>
          <t>2026-07-08</t>
        </is>
      </c>
      <c r="B892" s="2" t="inlineStr">
        <is>
          <t>2026-07-08T22:03:02</t>
        </is>
      </c>
      <c r="C892" s="2" t="inlineStr">
        <is>
          <t>tim</t>
        </is>
      </c>
      <c r="D892" s="2" t="inlineStr">
        <is>
          <t>postpaid</t>
        </is>
      </c>
      <c r="E892" s="2" t="inlineStr">
        <is>
          <t>SP</t>
        </is>
      </c>
      <c r="F892" s="2" t="inlineStr">
        <is>
          <t>TIM Black B Express 82GB</t>
        </is>
      </c>
      <c r="G892" s="2" t="inlineStr">
        <is>
          <t>tim:52146</t>
        </is>
      </c>
      <c r="H892" s="3" t="n">
        <v>144.99</v>
      </c>
      <c r="I892" s="3" t="inlineStr"/>
      <c r="J892" s="2" t="inlineStr"/>
      <c r="K892" s="2" t="inlineStr">
        <is>
          <t>credit_card</t>
        </is>
      </c>
      <c r="L892" s="4" t="n">
        <v>82</v>
      </c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>
        <is>
          <t>https://www.tim.com.br/sp/para-voce/planos/pos-pago/tim-black</t>
        </is>
      </c>
      <c r="V892" s="2" t="inlineStr">
        <is>
          <t>data/raw/tim_postpaid_SP.html</t>
        </is>
      </c>
    </row>
    <row r="893">
      <c r="A893" s="5" t="inlineStr">
        <is>
          <t>2026-07-08</t>
        </is>
      </c>
      <c r="B893" s="5" t="inlineStr">
        <is>
          <t>2026-07-08T22:03:02</t>
        </is>
      </c>
      <c r="C893" s="5" t="inlineStr">
        <is>
          <t>tim</t>
        </is>
      </c>
      <c r="D893" s="5" t="inlineStr">
        <is>
          <t>postpaid</t>
        </is>
      </c>
      <c r="E893" s="5" t="inlineStr">
        <is>
          <t>SP</t>
        </is>
      </c>
      <c r="F893" s="5" t="inlineStr">
        <is>
          <t>TIM Black C Express 107GB</t>
        </is>
      </c>
      <c r="G893" s="5" t="inlineStr">
        <is>
          <t>tim:52151</t>
        </is>
      </c>
      <c r="H893" s="6" t="n">
        <v>164.99</v>
      </c>
      <c r="I893" s="6" t="inlineStr"/>
      <c r="J893" s="5" t="inlineStr"/>
      <c r="K893" s="5" t="inlineStr">
        <is>
          <t>credit_card</t>
        </is>
      </c>
      <c r="L893" s="7" t="n">
        <v>107</v>
      </c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https://www.tim.com.br/sp/para-voce/planos/pos-pago/tim-black</t>
        </is>
      </c>
      <c r="V893" s="5" t="inlineStr">
        <is>
          <t>data/raw/tim_postpaid_SP.html</t>
        </is>
      </c>
    </row>
    <row r="894">
      <c r="A894" s="2" t="inlineStr">
        <is>
          <t>2026-07-08</t>
        </is>
      </c>
      <c r="B894" s="2" t="inlineStr">
        <is>
          <t>2026-07-08T22:03:02</t>
        </is>
      </c>
      <c r="C894" s="2" t="inlineStr">
        <is>
          <t>tim</t>
        </is>
      </c>
      <c r="D894" s="2" t="inlineStr">
        <is>
          <t>postpaid</t>
        </is>
      </c>
      <c r="E894" s="2" t="inlineStr">
        <is>
          <t>SP</t>
        </is>
      </c>
      <c r="F894" s="2" t="inlineStr">
        <is>
          <t>TIM Black C Ultra 95GB</t>
        </is>
      </c>
      <c r="G894" s="2" t="inlineStr">
        <is>
          <t>tim:100581</t>
        </is>
      </c>
      <c r="H894" s="3" t="n">
        <v>159.99</v>
      </c>
      <c r="I894" s="3" t="inlineStr"/>
      <c r="J894" s="2" t="inlineStr"/>
      <c r="K894" s="2" t="inlineStr">
        <is>
          <t>bill</t>
        </is>
      </c>
      <c r="L894" s="4" t="n">
        <v>95</v>
      </c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>
        <is>
          <t>https://www.tim.com.br/sp/para-voce/planos/pos-pago/tim-black</t>
        </is>
      </c>
      <c r="V894" s="2" t="inlineStr">
        <is>
          <t>data/raw/tim_postpaid_SP.html</t>
        </is>
      </c>
    </row>
    <row r="895">
      <c r="A895" s="5" t="inlineStr">
        <is>
          <t>2026-07-08</t>
        </is>
      </c>
      <c r="B895" s="5" t="inlineStr">
        <is>
          <t>2026-07-08T22:03:02</t>
        </is>
      </c>
      <c r="C895" s="5" t="inlineStr">
        <is>
          <t>tim</t>
        </is>
      </c>
      <c r="D895" s="5" t="inlineStr">
        <is>
          <t>postpaid</t>
        </is>
      </c>
      <c r="E895" s="5" t="inlineStr">
        <is>
          <t>SP</t>
        </is>
      </c>
      <c r="F895" s="5" t="inlineStr">
        <is>
          <t>TIM Black Plus 80GB</t>
        </is>
      </c>
      <c r="G895" s="5" t="inlineStr">
        <is>
          <t>tim:54256</t>
        </is>
      </c>
      <c r="H895" s="6" t="n">
        <v>149.99</v>
      </c>
      <c r="I895" s="6" t="inlineStr"/>
      <c r="J895" s="5" t="inlineStr"/>
      <c r="K895" s="5" t="inlineStr">
        <is>
          <t>bill</t>
        </is>
      </c>
      <c r="L895" s="7" t="n">
        <v>80</v>
      </c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>
        <is>
          <t>https://www.tim.com.br/sp/para-voce/planos/pos-pago/tim-black</t>
        </is>
      </c>
      <c r="V895" s="5" t="inlineStr">
        <is>
          <t>data/raw/tim_postpaid_SP.html</t>
        </is>
      </c>
    </row>
    <row r="896">
      <c r="A896" s="2" t="inlineStr">
        <is>
          <t>2026-07-08</t>
        </is>
      </c>
      <c r="B896" s="2" t="inlineStr">
        <is>
          <t>2026-07-08T22:03:02</t>
        </is>
      </c>
      <c r="C896" s="2" t="inlineStr">
        <is>
          <t>tim</t>
        </is>
      </c>
      <c r="D896" s="2" t="inlineStr">
        <is>
          <t>postpaid</t>
        </is>
      </c>
      <c r="E896" s="2" t="inlineStr">
        <is>
          <t>SP</t>
        </is>
      </c>
      <c r="F896" s="2" t="inlineStr">
        <is>
          <t>TIM Black Premium 110GB</t>
        </is>
      </c>
      <c r="G896" s="2" t="inlineStr">
        <is>
          <t>tim:54261</t>
        </is>
      </c>
      <c r="H896" s="3" t="n">
        <v>159.99</v>
      </c>
      <c r="I896" s="3" t="inlineStr"/>
      <c r="J896" s="2" t="inlineStr"/>
      <c r="K896" s="2" t="inlineStr">
        <is>
          <t>bill</t>
        </is>
      </c>
      <c r="L896" s="4" t="n">
        <v>110</v>
      </c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>
        <is>
          <t>https://www.tim.com.br/sp/para-voce/planos/pos-pago/tim-black</t>
        </is>
      </c>
      <c r="V896" s="2" t="inlineStr">
        <is>
          <t>data/raw/tim_postpaid_SP.html</t>
        </is>
      </c>
    </row>
    <row r="897">
      <c r="A897" s="5" t="inlineStr">
        <is>
          <t>2026-07-08</t>
        </is>
      </c>
      <c r="B897" s="5" t="inlineStr">
        <is>
          <t>2026-07-08T22:03:02</t>
        </is>
      </c>
      <c r="C897" s="5" t="inlineStr">
        <is>
          <t>tim</t>
        </is>
      </c>
      <c r="D897" s="5" t="inlineStr">
        <is>
          <t>prepaid</t>
        </is>
      </c>
      <c r="E897" s="5" t="inlineStr">
        <is>
          <t>SP</t>
        </is>
      </c>
      <c r="F897" s="5" t="inlineStr">
        <is>
          <t>TIM Pré XIP Plus 16GB</t>
        </is>
      </c>
      <c r="G897" s="5" t="inlineStr">
        <is>
          <t>tim:106306</t>
        </is>
      </c>
      <c r="H897" s="6" t="n">
        <v>30</v>
      </c>
      <c r="I897" s="6" t="inlineStr"/>
      <c r="J897" s="5" t="inlineStr"/>
      <c r="K897" s="5" t="inlineStr"/>
      <c r="L897" s="7" t="n">
        <v>16</v>
      </c>
      <c r="M897" s="5" t="inlineStr"/>
      <c r="N897" s="5" t="n">
        <v>30</v>
      </c>
      <c r="O897" s="5" t="inlineStr"/>
      <c r="P897" s="5" t="inlineStr"/>
      <c r="Q897" s="5" t="inlineStr"/>
      <c r="R897" s="5" t="inlineStr"/>
      <c r="S897" s="5" t="inlineStr"/>
      <c r="T897" s="5" t="inlineStr"/>
      <c r="U897" s="5" t="inlineStr">
        <is>
          <t>https://www.tim.com.br/sp/para-voce/planos/pre-pago</t>
        </is>
      </c>
      <c r="V897" s="5" t="inlineStr">
        <is>
          <t>data/raw/tim_prepaid_SP.html</t>
        </is>
      </c>
    </row>
    <row r="898">
      <c r="A898" s="2" t="inlineStr">
        <is>
          <t>2026-07-08</t>
        </is>
      </c>
      <c r="B898" s="2" t="inlineStr">
        <is>
          <t>2026-07-08T22:03:02</t>
        </is>
      </c>
      <c r="C898" s="2" t="inlineStr">
        <is>
          <t>tim</t>
        </is>
      </c>
      <c r="D898" s="2" t="inlineStr">
        <is>
          <t>prepaid</t>
        </is>
      </c>
      <c r="E898" s="2" t="inlineStr">
        <is>
          <t>SP</t>
        </is>
      </c>
      <c r="F898" s="2" t="inlineStr">
        <is>
          <t>TIM Pré XIP Plus 6GB</t>
        </is>
      </c>
      <c r="G898" s="2" t="inlineStr">
        <is>
          <t>tim:59906</t>
        </is>
      </c>
      <c r="H898" s="3" t="n">
        <v>20</v>
      </c>
      <c r="I898" s="3" t="inlineStr"/>
      <c r="J898" s="2" t="inlineStr"/>
      <c r="K898" s="2" t="inlineStr"/>
      <c r="L898" s="4" t="n">
        <v>6</v>
      </c>
      <c r="M898" s="2" t="inlineStr"/>
      <c r="N898" s="2" t="n">
        <v>17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>
        <is>
          <t>https://www.tim.com.br/sp/para-voce/planos/pre-pago</t>
        </is>
      </c>
      <c r="V898" s="2" t="inlineStr">
        <is>
          <t>data/raw/tim_prepaid_SP.html</t>
        </is>
      </c>
    </row>
    <row r="899">
      <c r="A899" s="5" t="inlineStr">
        <is>
          <t>2026-07-08</t>
        </is>
      </c>
      <c r="B899" s="5" t="inlineStr">
        <is>
          <t>2026-07-08T22:03:02</t>
        </is>
      </c>
      <c r="C899" s="5" t="inlineStr">
        <is>
          <t>tim</t>
        </is>
      </c>
      <c r="D899" s="5" t="inlineStr">
        <is>
          <t>prepaid</t>
        </is>
      </c>
      <c r="E899" s="5" t="inlineStr">
        <is>
          <t>SP</t>
        </is>
      </c>
      <c r="F899" s="5" t="inlineStr">
        <is>
          <t>TIM Pré XIP Plus 8GB</t>
        </is>
      </c>
      <c r="G899" s="5" t="inlineStr">
        <is>
          <t>tim:59901</t>
        </is>
      </c>
      <c r="H899" s="6" t="n">
        <v>25</v>
      </c>
      <c r="I899" s="6" t="inlineStr"/>
      <c r="J899" s="5" t="inlineStr"/>
      <c r="K899" s="5" t="inlineStr"/>
      <c r="L899" s="7" t="n">
        <v>8</v>
      </c>
      <c r="M899" s="5" t="inlineStr"/>
      <c r="N899" s="5" t="n">
        <v>22</v>
      </c>
      <c r="O899" s="5" t="inlineStr"/>
      <c r="P899" s="5" t="inlineStr"/>
      <c r="Q899" s="5" t="inlineStr"/>
      <c r="R899" s="5" t="inlineStr"/>
      <c r="S899" s="5" t="inlineStr"/>
      <c r="T899" s="5" t="inlineStr"/>
      <c r="U899" s="5" t="inlineStr">
        <is>
          <t>https://www.tim.com.br/sp/para-voce/planos/pre-pago</t>
        </is>
      </c>
      <c r="V899" s="5" t="inlineStr">
        <is>
          <t>data/raw/tim_prepaid_SP.html</t>
        </is>
      </c>
    </row>
    <row r="900">
      <c r="A900" s="2" t="inlineStr">
        <is>
          <t>2026-07-08</t>
        </is>
      </c>
      <c r="B900" s="2" t="inlineStr">
        <is>
          <t>2026-07-08T22:03:02</t>
        </is>
      </c>
      <c r="C900" s="2" t="inlineStr">
        <is>
          <t>vivo</t>
        </is>
      </c>
      <c r="D900" s="2" t="inlineStr">
        <is>
          <t>control</t>
        </is>
      </c>
      <c r="E900" s="2" t="inlineStr">
        <is>
          <t>SP</t>
        </is>
      </c>
      <c r="F900" s="2" t="inlineStr">
        <is>
          <t>Vivo Controle</t>
        </is>
      </c>
      <c r="G900" s="2" t="inlineStr">
        <is>
          <t>vivo:VIV202600029270-46gb</t>
        </is>
      </c>
      <c r="H900" s="3" t="n">
        <v>59</v>
      </c>
      <c r="I900" s="3" t="inlineStr"/>
      <c r="J900" s="2" t="inlineStr"/>
      <c r="K900" s="2" t="inlineStr"/>
      <c r="L900" s="4" t="n">
        <v>46</v>
      </c>
      <c r="M900" s="2" t="inlineStr">
        <is>
          <t>15 GB de franquia 31 GB de bônus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>
        <is>
          <t>2 meses de YouTube sem consumo no plano</t>
        </is>
      </c>
      <c r="U900" s="2" t="inlineStr">
        <is>
          <t>https://vivo.com.br/para-voce/produtos-e-servicos/para-o-celular/planos-controle</t>
        </is>
      </c>
      <c r="V900" s="2" t="inlineStr">
        <is>
          <t>data/raw/vivo_control_SP.html</t>
        </is>
      </c>
    </row>
    <row r="901">
      <c r="A901" s="5" t="inlineStr">
        <is>
          <t>2026-07-08</t>
        </is>
      </c>
      <c r="B901" s="5" t="inlineStr">
        <is>
          <t>2026-07-08T22:03:02</t>
        </is>
      </c>
      <c r="C901" s="5" t="inlineStr">
        <is>
          <t>vivo</t>
        </is>
      </c>
      <c r="D901" s="5" t="inlineStr">
        <is>
          <t>control</t>
        </is>
      </c>
      <c r="E901" s="5" t="inlineStr">
        <is>
          <t>SP</t>
        </is>
      </c>
      <c r="F901" s="5" t="inlineStr">
        <is>
          <t>Vivo Controle</t>
        </is>
      </c>
      <c r="G901" s="5" t="inlineStr">
        <is>
          <t>vivo:VIV202600029300-61gb</t>
        </is>
      </c>
      <c r="H901" s="6" t="n">
        <v>80</v>
      </c>
      <c r="I901" s="6" t="inlineStr"/>
      <c r="J901" s="5" t="inlineStr"/>
      <c r="K901" s="5" t="inlineStr"/>
      <c r="L901" s="7" t="n">
        <v>61</v>
      </c>
      <c r="M901" s="5" t="inlineStr">
        <is>
          <t>20 GB de franquia 31 GB de bônus</t>
        </is>
      </c>
      <c r="N901" s="5" t="inlineStr"/>
      <c r="O901" s="5" t="inlineStr"/>
      <c r="P901" s="5" t="inlineStr"/>
      <c r="Q901" s="5" t="inlineStr"/>
      <c r="R901" s="5" t="inlineStr"/>
      <c r="S901" s="5" t="inlineStr"/>
      <c r="T901" s="5" t="inlineStr">
        <is>
          <t>2 meses de YouTube sem consumo no plano</t>
        </is>
      </c>
      <c r="U901" s="5" t="inlineStr">
        <is>
          <t>https://vivo.com.br/para-voce/produtos-e-servicos/para-o-celular/planos-controle</t>
        </is>
      </c>
      <c r="V901" s="5" t="inlineStr">
        <is>
          <t>data/raw/vivo_control_SP.html</t>
        </is>
      </c>
    </row>
    <row r="902">
      <c r="A902" s="2" t="inlineStr">
        <is>
          <t>2026-07-08</t>
        </is>
      </c>
      <c r="B902" s="2" t="inlineStr">
        <is>
          <t>2026-07-08T22:03:02</t>
        </is>
      </c>
      <c r="C902" s="2" t="inlineStr">
        <is>
          <t>vivo</t>
        </is>
      </c>
      <c r="D902" s="2" t="inlineStr">
        <is>
          <t>control</t>
        </is>
      </c>
      <c r="E902" s="2" t="inlineStr">
        <is>
          <t>SP</t>
        </is>
      </c>
      <c r="F902" s="2" t="inlineStr">
        <is>
          <t>Vivo Controle Educação</t>
        </is>
      </c>
      <c r="G902" s="2" t="inlineStr">
        <is>
          <t>vivo:VIV202600029273-61gb</t>
        </is>
      </c>
      <c r="H902" s="3" t="n">
        <v>90</v>
      </c>
      <c r="I902" s="3" t="inlineStr"/>
      <c r="J902" s="2" t="inlineStr"/>
      <c r="K902" s="2" t="inlineStr"/>
      <c r="L902" s="4" t="n">
        <v>61</v>
      </c>
      <c r="M902" s="2" t="inlineStr">
        <is>
          <t>20 GB de franquia 31 GB de bônus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>
        <is>
          <t>Assinatura Vivae inclusa</t>
        </is>
      </c>
      <c r="U902" s="2" t="inlineStr">
        <is>
          <t>https://vivo.com.br/para-voce/produtos-e-servicos/para-o-celular/planos-controle</t>
        </is>
      </c>
      <c r="V902" s="2" t="inlineStr">
        <is>
          <t>data/raw/vivo_control_SP.html</t>
        </is>
      </c>
    </row>
    <row r="903">
      <c r="A903" s="5" t="inlineStr">
        <is>
          <t>2026-07-08</t>
        </is>
      </c>
      <c r="B903" s="5" t="inlineStr">
        <is>
          <t>2026-07-08T22:03:02</t>
        </is>
      </c>
      <c r="C903" s="5" t="inlineStr">
        <is>
          <t>vivo</t>
        </is>
      </c>
      <c r="D903" s="5" t="inlineStr">
        <is>
          <t>control</t>
        </is>
      </c>
      <c r="E903" s="5" t="inlineStr">
        <is>
          <t>SP</t>
        </is>
      </c>
      <c r="F903" s="5" t="inlineStr">
        <is>
          <t>Vivo Controle Entretenimento</t>
        </is>
      </c>
      <c r="G903" s="5" t="inlineStr">
        <is>
          <t>vivo:VIV202600029307-61gb</t>
        </is>
      </c>
      <c r="H903" s="6" t="n">
        <v>110</v>
      </c>
      <c r="I903" s="6" t="inlineStr"/>
      <c r="J903" s="5" t="inlineStr"/>
      <c r="K903" s="5" t="inlineStr"/>
      <c r="L903" s="7" t="n">
        <v>61</v>
      </c>
      <c r="M903" s="5" t="inlineStr">
        <is>
          <t>20 GB de franquia 31 GB de bônus</t>
        </is>
      </c>
      <c r="N903" s="5" t="inlineStr"/>
      <c r="O903" s="5" t="inlineStr"/>
      <c r="P903" s="5" t="inlineStr"/>
      <c r="Q903" s="5" t="inlineStr"/>
      <c r="R903" s="5" t="inlineStr"/>
      <c r="S903" s="5" t="inlineStr"/>
      <c r="T903" s="5" t="inlineStr">
        <is>
          <t>Assinatura Vivo TV Inicial inclusa</t>
        </is>
      </c>
      <c r="U903" s="5" t="inlineStr">
        <is>
          <t>https://vivo.com.br/para-voce/produtos-e-servicos/para-o-celular/planos-controle</t>
        </is>
      </c>
      <c r="V903" s="5" t="inlineStr">
        <is>
          <t>data/raw/vivo_control_SP.html</t>
        </is>
      </c>
    </row>
    <row r="904">
      <c r="A904" s="2" t="inlineStr">
        <is>
          <t>2026-07-08</t>
        </is>
      </c>
      <c r="B904" s="2" t="inlineStr">
        <is>
          <t>2026-07-08T22:03:02</t>
        </is>
      </c>
      <c r="C904" s="2" t="inlineStr">
        <is>
          <t>vivo</t>
        </is>
      </c>
      <c r="D904" s="2" t="inlineStr">
        <is>
          <t>control</t>
        </is>
      </c>
      <c r="E904" s="2" t="inlineStr">
        <is>
          <t>SP</t>
        </is>
      </c>
      <c r="F904" s="2" t="inlineStr">
        <is>
          <t>Vivo Controle Música</t>
        </is>
      </c>
      <c r="G904" s="2" t="inlineStr">
        <is>
          <t>vivo:VIV202600029313-61gb</t>
        </is>
      </c>
      <c r="H904" s="3" t="n">
        <v>90</v>
      </c>
      <c r="I904" s="3" t="inlineStr"/>
      <c r="J904" s="2" t="inlineStr"/>
      <c r="K904" s="2" t="inlineStr"/>
      <c r="L904" s="4" t="n">
        <v>61</v>
      </c>
      <c r="M904" s="2" t="inlineStr">
        <is>
          <t>20 GB de franquia 31 GB de bônus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>
        <is>
          <t>Apple Music Individual</t>
        </is>
      </c>
      <c r="U904" s="2" t="inlineStr">
        <is>
          <t>https://vivo.com.br/para-voce/produtos-e-servicos/para-o-celular/planos-controle</t>
        </is>
      </c>
      <c r="V904" s="2" t="inlineStr">
        <is>
          <t>data/raw/vivo_control_SP.html</t>
        </is>
      </c>
    </row>
    <row r="905">
      <c r="A905" s="5" t="inlineStr">
        <is>
          <t>2026-07-08</t>
        </is>
      </c>
      <c r="B905" s="5" t="inlineStr">
        <is>
          <t>2026-07-08T22:03:02</t>
        </is>
      </c>
      <c r="C905" s="5" t="inlineStr">
        <is>
          <t>vivo</t>
        </is>
      </c>
      <c r="D905" s="5" t="inlineStr">
        <is>
          <t>control</t>
        </is>
      </c>
      <c r="E905" s="5" t="inlineStr">
        <is>
          <t>SP</t>
        </is>
      </c>
      <c r="F905" s="5" t="inlineStr">
        <is>
          <t>Vivo Controle Netflix</t>
        </is>
      </c>
      <c r="G905" s="5" t="inlineStr">
        <is>
          <t>vivo:VIV202600029308-61gb</t>
        </is>
      </c>
      <c r="H905" s="6" t="n">
        <v>95</v>
      </c>
      <c r="I905" s="6" t="inlineStr"/>
      <c r="J905" s="5" t="inlineStr"/>
      <c r="K905" s="5" t="inlineStr"/>
      <c r="L905" s="7" t="n">
        <v>61</v>
      </c>
      <c r="M905" s="5" t="inlineStr">
        <is>
          <t>20 GB de franquia 31 GB de bônus</t>
        </is>
      </c>
      <c r="N905" s="5" t="inlineStr"/>
      <c r="O905" s="5" t="inlineStr"/>
      <c r="P905" s="5" t="inlineStr"/>
      <c r="Q905" s="5" t="inlineStr"/>
      <c r="R905" s="5" t="inlineStr"/>
      <c r="S905" s="5" t="inlineStr"/>
      <c r="T905" s="5" t="inlineStr">
        <is>
          <t>Assinatura Netflix Padrão com anúncios</t>
        </is>
      </c>
      <c r="U905" s="5" t="inlineStr">
        <is>
          <t>https://vivo.com.br/para-voce/produtos-e-servicos/para-o-celular/planos-controle</t>
        </is>
      </c>
      <c r="V905" s="5" t="inlineStr">
        <is>
          <t>data/raw/vivo_control_SP.html</t>
        </is>
      </c>
    </row>
    <row r="906">
      <c r="A906" s="2" t="inlineStr">
        <is>
          <t>2026-07-08</t>
        </is>
      </c>
      <c r="B906" s="2" t="inlineStr">
        <is>
          <t>2026-07-08T22:03:02</t>
        </is>
      </c>
      <c r="C906" s="2" t="inlineStr">
        <is>
          <t>vivo</t>
        </is>
      </c>
      <c r="D906" s="2" t="inlineStr">
        <is>
          <t>control</t>
        </is>
      </c>
      <c r="E906" s="2" t="inlineStr">
        <is>
          <t>SP</t>
        </is>
      </c>
      <c r="F906" s="2" t="inlineStr">
        <is>
          <t>Vivo Controle Saúde</t>
        </is>
      </c>
      <c r="G906" s="2" t="inlineStr">
        <is>
          <t>vivo:VIV202600029301-61gb</t>
        </is>
      </c>
      <c r="H906" s="3" t="n">
        <v>90</v>
      </c>
      <c r="I906" s="3" t="inlineStr"/>
      <c r="J906" s="2" t="inlineStr"/>
      <c r="K906" s="2" t="inlineStr"/>
      <c r="L906" s="4" t="n">
        <v>61</v>
      </c>
      <c r="M906" s="2" t="inlineStr">
        <is>
          <t>20 GB de franquia 31 GB de bônus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inlineStr">
        <is>
          <t>Assinatura Vale Saúde Sempre inclusa</t>
        </is>
      </c>
      <c r="U906" s="2" t="inlineStr">
        <is>
          <t>https://vivo.com.br/para-voce/produtos-e-servicos/para-o-celular/planos-controle</t>
        </is>
      </c>
      <c r="V906" s="2" t="inlineStr">
        <is>
          <t>data/raw/vivo_control_SP.html</t>
        </is>
      </c>
    </row>
    <row r="907">
      <c r="A907" s="5" t="inlineStr">
        <is>
          <t>2026-07-08</t>
        </is>
      </c>
      <c r="B907" s="5" t="inlineStr">
        <is>
          <t>2026-07-08T22:03:02</t>
        </is>
      </c>
      <c r="C907" s="5" t="inlineStr">
        <is>
          <t>vivo</t>
        </is>
      </c>
      <c r="D907" s="5" t="inlineStr">
        <is>
          <t>lite</t>
        </is>
      </c>
      <c r="E907" s="5" t="inlineStr">
        <is>
          <t>SP</t>
        </is>
      </c>
      <c r="F907" s="5" t="inlineStr">
        <is>
          <t>Easy Lite</t>
        </is>
      </c>
      <c r="G907" s="5" t="inlineStr">
        <is>
          <t>vivo:VIV202600032594-30gb</t>
        </is>
      </c>
      <c r="H907" s="6" t="n">
        <v>45</v>
      </c>
      <c r="I907" s="6" t="n">
        <v>30</v>
      </c>
      <c r="J907" s="5" t="inlineStr">
        <is>
          <t>preço sem fidelidade; fidelidade 12m no promo</t>
        </is>
      </c>
      <c r="K907" s="5" t="inlineStr"/>
      <c r="L907" s="7" t="n">
        <v>30</v>
      </c>
      <c r="M907" s="5" t="inlineStr">
        <is>
          <t>30 GB de franquia</t>
        </is>
      </c>
      <c r="N907" s="5" t="inlineStr"/>
      <c r="O907" s="5" t="inlineStr"/>
      <c r="P907" s="5" t="inlineStr"/>
      <c r="Q907" s="5" t="inlineStr"/>
      <c r="R907" s="5" t="inlineStr"/>
      <c r="S907" s="5" t="n">
        <v>12</v>
      </c>
      <c r="T907" s="5" t="inlineStr">
        <is>
          <t>2 meses de YouTube sem consumo no plano</t>
        </is>
      </c>
      <c r="U907" s="5" t="inlineStr">
        <is>
          <t>https://vivo.com.br/para-voce/produtos-e-servicos/para-o-celular/easy-lite</t>
        </is>
      </c>
      <c r="V907" s="5" t="inlineStr">
        <is>
          <t>data/raw/vivo_lite_SP.html</t>
        </is>
      </c>
    </row>
    <row r="908">
      <c r="A908" s="2" t="inlineStr">
        <is>
          <t>2026-07-08</t>
        </is>
      </c>
      <c r="B908" s="2" t="inlineStr">
        <is>
          <t>2026-07-08T22:03:02</t>
        </is>
      </c>
      <c r="C908" s="2" t="inlineStr">
        <is>
          <t>vivo</t>
        </is>
      </c>
      <c r="D908" s="2" t="inlineStr">
        <is>
          <t>lite</t>
        </is>
      </c>
      <c r="E908" s="2" t="inlineStr">
        <is>
          <t>SP</t>
        </is>
      </c>
      <c r="F908" s="2" t="inlineStr">
        <is>
          <t>Easy Lite</t>
        </is>
      </c>
      <c r="G908" s="2" t="inlineStr">
        <is>
          <t>vivo:VIV202600032596-40gb</t>
        </is>
      </c>
      <c r="H908" s="3" t="n">
        <v>55</v>
      </c>
      <c r="I908" s="3" t="n">
        <v>40</v>
      </c>
      <c r="J908" s="2" t="inlineStr">
        <is>
          <t>preço sem fidelidade; fidelidade 12m no promo</t>
        </is>
      </c>
      <c r="K908" s="2" t="inlineStr"/>
      <c r="L908" s="4" t="n">
        <v>40</v>
      </c>
      <c r="M908" s="2" t="inlineStr">
        <is>
          <t>40 GB de franquia</t>
        </is>
      </c>
      <c r="N908" s="2" t="inlineStr"/>
      <c r="O908" s="2" t="inlineStr"/>
      <c r="P908" s="2" t="inlineStr"/>
      <c r="Q908" s="2" t="inlineStr"/>
      <c r="R908" s="2" t="inlineStr"/>
      <c r="S908" s="2" t="n">
        <v>12</v>
      </c>
      <c r="T908" s="2" t="inlineStr">
        <is>
          <t>2 meses de YouTube sem consumo no plano</t>
        </is>
      </c>
      <c r="U908" s="2" t="inlineStr">
        <is>
          <t>https://vivo.com.br/para-voce/produtos-e-servicos/para-o-celular/easy-lite</t>
        </is>
      </c>
      <c r="V908" s="2" t="inlineStr">
        <is>
          <t>data/raw/vivo_lite_SP.html</t>
        </is>
      </c>
    </row>
    <row r="909">
      <c r="A909" s="5" t="inlineStr">
        <is>
          <t>2026-07-08</t>
        </is>
      </c>
      <c r="B909" s="5" t="inlineStr">
        <is>
          <t>2026-07-08T22:03:02</t>
        </is>
      </c>
      <c r="C909" s="5" t="inlineStr">
        <is>
          <t>vivo</t>
        </is>
      </c>
      <c r="D909" s="5" t="inlineStr">
        <is>
          <t>lite</t>
        </is>
      </c>
      <c r="E909" s="5" t="inlineStr">
        <is>
          <t>SP</t>
        </is>
      </c>
      <c r="F909" s="5" t="inlineStr">
        <is>
          <t>Easy Lite</t>
        </is>
      </c>
      <c r="G909" s="5" t="inlineStr">
        <is>
          <t>vivo:VIV202600032599-20gb</t>
        </is>
      </c>
      <c r="H909" s="6" t="n">
        <v>35</v>
      </c>
      <c r="I909" s="6" t="inlineStr"/>
      <c r="J909" s="5" t="inlineStr"/>
      <c r="K909" s="5" t="inlineStr"/>
      <c r="L909" s="7" t="n">
        <v>20</v>
      </c>
      <c r="M909" s="5" t="inlineStr">
        <is>
          <t>20 GB de franquia</t>
        </is>
      </c>
      <c r="N909" s="5" t="inlineStr"/>
      <c r="O909" s="5" t="inlineStr"/>
      <c r="P909" s="5" t="inlineStr"/>
      <c r="Q909" s="5" t="inlineStr"/>
      <c r="R909" s="5" t="inlineStr"/>
      <c r="S909" s="5" t="inlineStr"/>
      <c r="T909" s="5" t="inlineStr">
        <is>
          <t>2 meses de YouTube sem consumo no plano</t>
        </is>
      </c>
      <c r="U909" s="5" t="inlineStr">
        <is>
          <t>https://vivo.com.br/para-voce/produtos-e-servicos/para-o-celular/easy-lite</t>
        </is>
      </c>
      <c r="V909" s="5" t="inlineStr">
        <is>
          <t>data/raw/vivo_lite_SP.html</t>
        </is>
      </c>
    </row>
    <row r="910">
      <c r="A910" s="2" t="inlineStr">
        <is>
          <t>2026-07-08</t>
        </is>
      </c>
      <c r="B910" s="2" t="inlineStr">
        <is>
          <t>2026-07-08T22:03:02</t>
        </is>
      </c>
      <c r="C910" s="2" t="inlineStr">
        <is>
          <t>vivo</t>
        </is>
      </c>
      <c r="D910" s="2" t="inlineStr">
        <is>
          <t>postpaid</t>
        </is>
      </c>
      <c r="E910" s="2" t="inlineStr">
        <is>
          <t>SP</t>
        </is>
      </c>
      <c r="F910" s="2" t="inlineStr">
        <is>
          <t>Vivo Pós com Amazon</t>
        </is>
      </c>
      <c r="G910" s="2" t="inlineStr">
        <is>
          <t>vivo:VIV202600029255-60gb</t>
        </is>
      </c>
      <c r="H910" s="3" t="n">
        <v>150</v>
      </c>
      <c r="I910" s="3" t="inlineStr"/>
      <c r="J910" s="2" t="inlineStr"/>
      <c r="K910" s="2" t="inlineStr"/>
      <c r="L910" s="4" t="n">
        <v>60</v>
      </c>
      <c r="M910" s="2" t="inlineStr">
        <is>
          <t>50 GB de franquia 10 GB de bônus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>
        <is>
          <t>Assinatura Amazon Prime inclusa</t>
        </is>
      </c>
      <c r="U910" s="2" t="inlineStr">
        <is>
          <t>https://vivo.com.br/para-voce/produtos-e-servicos/para-o-celular/planos-pos-pago</t>
        </is>
      </c>
      <c r="V910" s="2" t="inlineStr">
        <is>
          <t>data/raw/vivo_postpaid_SP.html</t>
        </is>
      </c>
    </row>
    <row r="911">
      <c r="A911" s="5" t="inlineStr">
        <is>
          <t>2026-07-08</t>
        </is>
      </c>
      <c r="B911" s="5" t="inlineStr">
        <is>
          <t>2026-07-08T22:03:02</t>
        </is>
      </c>
      <c r="C911" s="5" t="inlineStr">
        <is>
          <t>vivo</t>
        </is>
      </c>
      <c r="D911" s="5" t="inlineStr">
        <is>
          <t>postpaid</t>
        </is>
      </c>
      <c r="E911" s="5" t="inlineStr">
        <is>
          <t>SP</t>
        </is>
      </c>
      <c r="F911" s="5" t="inlineStr">
        <is>
          <t>Vivo Pós com Disney+</t>
        </is>
      </c>
      <c r="G911" s="5" t="inlineStr">
        <is>
          <t>vivo:VIV202600022115-60gb</t>
        </is>
      </c>
      <c r="H911" s="6" t="n">
        <v>180</v>
      </c>
      <c r="I911" s="6" t="inlineStr"/>
      <c r="J911" s="5" t="inlineStr"/>
      <c r="K911" s="5" t="inlineStr"/>
      <c r="L911" s="7" t="n">
        <v>60</v>
      </c>
      <c r="M911" s="5" t="inlineStr">
        <is>
          <t>50 GB de franquia 10 GB de bônus</t>
        </is>
      </c>
      <c r="N911" s="5" t="inlineStr"/>
      <c r="O911" s="5" t="inlineStr"/>
      <c r="P911" s="5" t="inlineStr"/>
      <c r="Q911" s="5" t="inlineStr"/>
      <c r="R911" s="5" t="inlineStr">
        <is>
          <t>Disney+</t>
        </is>
      </c>
      <c r="S911" s="5" t="inlineStr"/>
      <c r="T911" s="5" t="inlineStr">
        <is>
          <t>Assinatura Disney+ Padrão inclusa</t>
        </is>
      </c>
      <c r="U911" s="5" t="inlineStr">
        <is>
          <t>https://vivo.com.br/para-voce/produtos-e-servicos/para-o-celular/planos-pos-pago</t>
        </is>
      </c>
      <c r="V911" s="5" t="inlineStr">
        <is>
          <t>data/raw/vivo_postpaid_SP.html</t>
        </is>
      </c>
    </row>
    <row r="912">
      <c r="A912" s="2" t="inlineStr">
        <is>
          <t>2026-07-08</t>
        </is>
      </c>
      <c r="B912" s="2" t="inlineStr">
        <is>
          <t>2026-07-08T22:03:02</t>
        </is>
      </c>
      <c r="C912" s="2" t="inlineStr">
        <is>
          <t>vivo</t>
        </is>
      </c>
      <c r="D912" s="2" t="inlineStr">
        <is>
          <t>postpaid</t>
        </is>
      </c>
      <c r="E912" s="2" t="inlineStr">
        <is>
          <t>SP</t>
        </is>
      </c>
      <c r="F912" s="2" t="inlineStr">
        <is>
          <t>Vivo Pós com Globoplay</t>
        </is>
      </c>
      <c r="G912" s="2" t="inlineStr">
        <is>
          <t>vivo:VIV202600029246-60gb</t>
        </is>
      </c>
      <c r="H912" s="3" t="n">
        <v>165</v>
      </c>
      <c r="I912" s="3" t="inlineStr"/>
      <c r="J912" s="2" t="inlineStr"/>
      <c r="K912" s="2" t="inlineStr"/>
      <c r="L912" s="4" t="n">
        <v>60</v>
      </c>
      <c r="M912" s="2" t="inlineStr">
        <is>
          <t>50 GB de franquia 10 GB de bônus</t>
        </is>
      </c>
      <c r="N912" s="2" t="inlineStr"/>
      <c r="O912" s="2" t="inlineStr"/>
      <c r="P912" s="2" t="inlineStr"/>
      <c r="Q912" s="2" t="inlineStr"/>
      <c r="R912" s="2" t="inlineStr">
        <is>
          <t>Globoplay</t>
        </is>
      </c>
      <c r="S912" s="2" t="inlineStr"/>
      <c r="T912" s="2" t="inlineStr">
        <is>
          <t>Assinatura Globoplay inclusa</t>
        </is>
      </c>
      <c r="U912" s="2" t="inlineStr">
        <is>
          <t>https://vivo.com.br/para-voce/produtos-e-servicos/para-o-celular/planos-pos-pago</t>
        </is>
      </c>
      <c r="V912" s="2" t="inlineStr">
        <is>
          <t>data/raw/vivo_postpaid_SP.html</t>
        </is>
      </c>
    </row>
    <row r="913">
      <c r="A913" s="5" t="inlineStr">
        <is>
          <t>2026-07-08</t>
        </is>
      </c>
      <c r="B913" s="5" t="inlineStr">
        <is>
          <t>2026-07-08T22:03:02</t>
        </is>
      </c>
      <c r="C913" s="5" t="inlineStr">
        <is>
          <t>vivo</t>
        </is>
      </c>
      <c r="D913" s="5" t="inlineStr">
        <is>
          <t>postpaid</t>
        </is>
      </c>
      <c r="E913" s="5" t="inlineStr">
        <is>
          <t>SP</t>
        </is>
      </c>
      <c r="F913" s="5" t="inlineStr">
        <is>
          <t>Vivo Pós com Netflix</t>
        </is>
      </c>
      <c r="G913" s="5" t="inlineStr">
        <is>
          <t>vivo:VIV202600029234-60gb</t>
        </is>
      </c>
      <c r="H913" s="6" t="n">
        <v>180</v>
      </c>
      <c r="I913" s="6" t="inlineStr"/>
      <c r="J913" s="5" t="inlineStr"/>
      <c r="K913" s="5" t="inlineStr"/>
      <c r="L913" s="7" t="n">
        <v>60</v>
      </c>
      <c r="M913" s="5" t="inlineStr">
        <is>
          <t>50 GB de franquia 10 GB de bônus</t>
        </is>
      </c>
      <c r="N913" s="5" t="inlineStr"/>
      <c r="O913" s="5" t="inlineStr"/>
      <c r="P913" s="5" t="inlineStr"/>
      <c r="Q913" s="5" t="inlineStr"/>
      <c r="R913" s="5" t="inlineStr">
        <is>
          <t>Netflix</t>
        </is>
      </c>
      <c r="S913" s="5" t="inlineStr"/>
      <c r="T913" s="5" t="inlineStr">
        <is>
          <t>Assinatura Netflix Padrão inclusa</t>
        </is>
      </c>
      <c r="U913" s="5" t="inlineStr">
        <is>
          <t>https://vivo.com.br/para-voce/produtos-e-servicos/para-o-celular/planos-pos-pago</t>
        </is>
      </c>
      <c r="V913" s="5" t="inlineStr">
        <is>
          <t>data/raw/vivo_postpaid_SP.html</t>
        </is>
      </c>
    </row>
    <row r="914">
      <c r="A914" s="2" t="inlineStr">
        <is>
          <t>2026-07-08</t>
        </is>
      </c>
      <c r="B914" s="2" t="inlineStr">
        <is>
          <t>2026-07-08T22:03:02</t>
        </is>
      </c>
      <c r="C914" s="2" t="inlineStr">
        <is>
          <t>vivo</t>
        </is>
      </c>
      <c r="D914" s="2" t="inlineStr">
        <is>
          <t>postpaid</t>
        </is>
      </c>
      <c r="E914" s="2" t="inlineStr">
        <is>
          <t>SP</t>
        </is>
      </c>
      <c r="F914" s="2" t="inlineStr">
        <is>
          <t>Vivo Pós com Premiere</t>
        </is>
      </c>
      <c r="G914" s="2" t="inlineStr">
        <is>
          <t>vivo:VIV202600029249-60gb</t>
        </is>
      </c>
      <c r="H914" s="3" t="n">
        <v>180</v>
      </c>
      <c r="I914" s="3" t="inlineStr"/>
      <c r="J914" s="2" t="inlineStr"/>
      <c r="K914" s="2" t="inlineStr"/>
      <c r="L914" s="4" t="n">
        <v>60</v>
      </c>
      <c r="M914" s="2" t="inlineStr">
        <is>
          <t>50 GB de franquia 10 GB de bônus</t>
        </is>
      </c>
      <c r="N914" s="2" t="inlineStr"/>
      <c r="O914" s="2" t="inlineStr"/>
      <c r="P914" s="2" t="inlineStr"/>
      <c r="Q914" s="2" t="inlineStr"/>
      <c r="R914" s="2" t="inlineStr">
        <is>
          <t>Premiere</t>
        </is>
      </c>
      <c r="S914" s="2" t="inlineStr"/>
      <c r="T914" s="2" t="inlineStr">
        <is>
          <t>Assinatura Premiere inclusa</t>
        </is>
      </c>
      <c r="U914" s="2" t="inlineStr">
        <is>
          <t>https://vivo.com.br/para-voce/produtos-e-servicos/para-o-celular/planos-pos-pago</t>
        </is>
      </c>
      <c r="V914" s="2" t="inlineStr">
        <is>
          <t>data/raw/vivo_postpaid_SP.html</t>
        </is>
      </c>
    </row>
    <row r="915">
      <c r="A915" s="5" t="inlineStr">
        <is>
          <t>2026-07-08</t>
        </is>
      </c>
      <c r="B915" s="5" t="inlineStr">
        <is>
          <t>2026-07-08T22:03:02</t>
        </is>
      </c>
      <c r="C915" s="5" t="inlineStr">
        <is>
          <t>vivo</t>
        </is>
      </c>
      <c r="D915" s="5" t="inlineStr">
        <is>
          <t>postpaid</t>
        </is>
      </c>
      <c r="E915" s="5" t="inlineStr">
        <is>
          <t>SP</t>
        </is>
      </c>
      <c r="F915" s="5" t="inlineStr">
        <is>
          <t>Vivo Pós com Spotify</t>
        </is>
      </c>
      <c r="G915" s="5" t="inlineStr">
        <is>
          <t>vivo:VIV202600029229-60gb</t>
        </is>
      </c>
      <c r="H915" s="6" t="n">
        <v>165</v>
      </c>
      <c r="I915" s="6" t="inlineStr"/>
      <c r="J915" s="5" t="inlineStr"/>
      <c r="K915" s="5" t="inlineStr"/>
      <c r="L915" s="7" t="n">
        <v>60</v>
      </c>
      <c r="M915" s="5" t="inlineStr">
        <is>
          <t>50 GB de franquia 10 GB de bônus</t>
        </is>
      </c>
      <c r="N915" s="5" t="inlineStr"/>
      <c r="O915" s="5" t="inlineStr"/>
      <c r="P915" s="5" t="inlineStr"/>
      <c r="Q915" s="5" t="inlineStr"/>
      <c r="R915" s="5" t="inlineStr">
        <is>
          <t>Spotify</t>
        </is>
      </c>
      <c r="S915" s="5" t="inlineStr"/>
      <c r="T915" s="5" t="inlineStr">
        <is>
          <t>Assinatura Spotify Premium inclusa</t>
        </is>
      </c>
      <c r="U915" s="5" t="inlineStr">
        <is>
          <t>https://vivo.com.br/para-voce/produtos-e-servicos/para-o-celular/planos-pos-pago</t>
        </is>
      </c>
      <c r="V915" s="5" t="inlineStr">
        <is>
          <t>data/raw/vivo_postpaid_SP.html</t>
        </is>
      </c>
    </row>
    <row r="916">
      <c r="A916" s="2" t="inlineStr">
        <is>
          <t>2026-07-08</t>
        </is>
      </c>
      <c r="B916" s="2" t="inlineStr">
        <is>
          <t>2026-07-08T22:03:02</t>
        </is>
      </c>
      <c r="C916" s="2" t="inlineStr">
        <is>
          <t>vivo</t>
        </is>
      </c>
      <c r="D916" s="2" t="inlineStr">
        <is>
          <t>postpaid</t>
        </is>
      </c>
      <c r="E916" s="2" t="inlineStr">
        <is>
          <t>SP</t>
        </is>
      </c>
      <c r="F916" s="2" t="inlineStr">
        <is>
          <t>Vivo Pós com Travel</t>
        </is>
      </c>
      <c r="G916" s="2" t="inlineStr">
        <is>
          <t>vivo:VIV202600029244-70gb</t>
        </is>
      </c>
      <c r="H916" s="3" t="n">
        <v>215</v>
      </c>
      <c r="I916" s="3" t="inlineStr"/>
      <c r="J916" s="2" t="inlineStr"/>
      <c r="K916" s="2" t="inlineStr"/>
      <c r="L916" s="4" t="n">
        <v>70</v>
      </c>
      <c r="M916" s="2" t="inlineStr">
        <is>
          <t>60 GB de franquia 10 GB de bônus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>
        <is>
          <t>2 meses de YouTube sem consumo no plano</t>
        </is>
      </c>
      <c r="U916" s="2" t="inlineStr">
        <is>
          <t>https://vivo.com.br/para-voce/produtos-e-servicos/para-o-celular/planos-pos-pago</t>
        </is>
      </c>
      <c r="V916" s="2" t="inlineStr">
        <is>
          <t>data/raw/vivo_postpaid_SP.html</t>
        </is>
      </c>
    </row>
    <row r="917">
      <c r="A917" s="5" t="inlineStr">
        <is>
          <t>2026-07-08</t>
        </is>
      </c>
      <c r="B917" s="5" t="inlineStr">
        <is>
          <t>2026-07-08T22:03:02</t>
        </is>
      </c>
      <c r="C917" s="5" t="inlineStr">
        <is>
          <t>vivo</t>
        </is>
      </c>
      <c r="D917" s="5" t="inlineStr">
        <is>
          <t>prepaid</t>
        </is>
      </c>
      <c r="E917" s="5" t="inlineStr">
        <is>
          <t>SP</t>
        </is>
      </c>
      <c r="F917" s="5" t="inlineStr">
        <is>
          <t>Vivo Pré</t>
        </is>
      </c>
      <c r="G917" s="5" t="inlineStr">
        <is>
          <t>vivo:VIV202600029370-25gb</t>
        </is>
      </c>
      <c r="H917" s="6" t="n">
        <v>30</v>
      </c>
      <c r="I917" s="6" t="inlineStr"/>
      <c r="J917" s="5" t="inlineStr"/>
      <c r="K917" s="5" t="inlineStr"/>
      <c r="L917" s="7" t="n">
        <v>25</v>
      </c>
      <c r="M917" s="5" t="inlineStr">
        <is>
          <t>15 GB para navegar como quiser 5 GB de bônus 5 GB para navegar no Youtube</t>
        </is>
      </c>
      <c r="N917" s="5" t="n">
        <v>30</v>
      </c>
      <c r="O917" s="5" t="inlineStr"/>
      <c r="P917" s="5" t="inlineStr"/>
      <c r="Q917" s="5" t="inlineStr"/>
      <c r="R917" s="5" t="inlineStr"/>
      <c r="S917" s="5" t="inlineStr"/>
      <c r="T917" s="5" t="inlineStr"/>
      <c r="U917" s="5" t="inlineStr">
        <is>
          <t>https://vivo.com.br/para-voce/produtos-e-servicos/para-o-celular/pre-pago/vivo-pre</t>
        </is>
      </c>
      <c r="V917" s="5" t="inlineStr">
        <is>
          <t>data/raw/vivo_prepaid_SP.html</t>
        </is>
      </c>
    </row>
    <row r="918">
      <c r="A918" s="2" t="inlineStr">
        <is>
          <t>2026-07-08</t>
        </is>
      </c>
      <c r="B918" s="2" t="inlineStr">
        <is>
          <t>2026-07-08T22:03:02</t>
        </is>
      </c>
      <c r="C918" s="2" t="inlineStr">
        <is>
          <t>vivo</t>
        </is>
      </c>
      <c r="D918" s="2" t="inlineStr">
        <is>
          <t>prepaid</t>
        </is>
      </c>
      <c r="E918" s="2" t="inlineStr">
        <is>
          <t>SP</t>
        </is>
      </c>
      <c r="F918" s="2" t="inlineStr">
        <is>
          <t>Vivo Pré</t>
        </is>
      </c>
      <c r="G918" s="2" t="inlineStr">
        <is>
          <t>vivo:VIV202600029370-9gb</t>
        </is>
      </c>
      <c r="H918" s="3" t="n">
        <v>25</v>
      </c>
      <c r="I918" s="3" t="inlineStr"/>
      <c r="J918" s="2" t="inlineStr"/>
      <c r="K918" s="2" t="inlineStr"/>
      <c r="L918" s="4" t="n">
        <v>9</v>
      </c>
      <c r="M918" s="2" t="inlineStr">
        <is>
          <t>6 GB para navegar como quiser 3 GB para navegar no YouTube</t>
        </is>
      </c>
      <c r="N918" s="2" t="n">
        <v>22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>
        <is>
          <t>https://vivo.com.br/para-voce/produtos-e-servicos/para-o-celular/pre-pago/vivo-pre</t>
        </is>
      </c>
      <c r="V918" s="2" t="inlineStr">
        <is>
          <t>data/raw/vivo_prepaid_SP.html</t>
        </is>
      </c>
    </row>
    <row r="919">
      <c r="A919" s="5" t="inlineStr">
        <is>
          <t>2026-07-08</t>
        </is>
      </c>
      <c r="B919" s="5" t="inlineStr">
        <is>
          <t>2026-07-08T22:03:02</t>
        </is>
      </c>
      <c r="C919" s="5" t="inlineStr">
        <is>
          <t>vivo</t>
        </is>
      </c>
      <c r="D919" s="5" t="inlineStr">
        <is>
          <t>prepaid</t>
        </is>
      </c>
      <c r="E919" s="5" t="inlineStr">
        <is>
          <t>SP</t>
        </is>
      </c>
      <c r="F919" s="5" t="inlineStr">
        <is>
          <t>Vivo Pré</t>
        </is>
      </c>
      <c r="G919" s="5" t="inlineStr">
        <is>
          <t>vivo:VIV202600029370-5gb</t>
        </is>
      </c>
      <c r="H919" s="6" t="n">
        <v>20</v>
      </c>
      <c r="I919" s="6" t="inlineStr"/>
      <c r="J919" s="5" t="inlineStr"/>
      <c r="K919" s="5" t="inlineStr"/>
      <c r="L919" s="7" t="n">
        <v>5</v>
      </c>
      <c r="M919" s="5" t="inlineStr">
        <is>
          <t>5 GB para navegar como quiser</t>
        </is>
      </c>
      <c r="N919" s="5" t="n">
        <v>17</v>
      </c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https://vivo.com.br/para-voce/produtos-e-servicos/para-o-celular/pre-pago/vivo-pre</t>
        </is>
      </c>
      <c r="V919" s="5" t="inlineStr">
        <is>
          <t>data/raw/vivo_prepaid_SP.html</t>
        </is>
      </c>
    </row>
    <row r="920">
      <c r="A920" s="2" t="inlineStr">
        <is>
          <t>2026-07-08</t>
        </is>
      </c>
      <c r="B920" s="2" t="inlineStr">
        <is>
          <t>2026-07-08T22:03:02</t>
        </is>
      </c>
      <c r="C920" s="2" t="inlineStr">
        <is>
          <t>vivo</t>
        </is>
      </c>
      <c r="D920" s="2" t="inlineStr">
        <is>
          <t>prepaid</t>
        </is>
      </c>
      <c r="E920" s="2" t="inlineStr">
        <is>
          <t>SP</t>
        </is>
      </c>
      <c r="F920" s="2" t="inlineStr">
        <is>
          <t>Vivo Pré</t>
        </is>
      </c>
      <c r="G920" s="2" t="inlineStr">
        <is>
          <t>vivo:VIV202600029370-4gb</t>
        </is>
      </c>
      <c r="H920" s="3" t="n">
        <v>17</v>
      </c>
      <c r="I920" s="3" t="inlineStr"/>
      <c r="J920" s="2" t="inlineStr"/>
      <c r="K920" s="2" t="inlineStr"/>
      <c r="L920" s="4" t="n">
        <v>4</v>
      </c>
      <c r="M920" s="2" t="inlineStr">
        <is>
          <t>4 GB para navegar como quiser</t>
        </is>
      </c>
      <c r="N920" s="2" t="n">
        <v>15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>
        <is>
          <t>https://vivo.com.br/para-voce/produtos-e-servicos/para-o-celular/pre-pago/vivo-pre</t>
        </is>
      </c>
      <c r="V920" s="2" t="inlineStr">
        <is>
          <t>data/raw/vivo_prepaid_SP.html</t>
        </is>
      </c>
    </row>
    <row r="921">
      <c r="A921" s="5" t="inlineStr">
        <is>
          <t>2026-07-09</t>
        </is>
      </c>
      <c r="B921" s="5" t="inlineStr">
        <is>
          <t>2026-07-09T22:19:24</t>
        </is>
      </c>
      <c r="C921" s="5" t="inlineStr">
        <is>
          <t>claro</t>
        </is>
      </c>
      <c r="D921" s="5" t="inlineStr">
        <is>
          <t>control</t>
        </is>
      </c>
      <c r="E921" s="5" t="inlineStr">
        <is>
          <t>SP</t>
        </is>
      </c>
      <c r="F921" s="5" t="inlineStr">
        <is>
          <t>Controle 25GB</t>
        </is>
      </c>
      <c r="G921" s="5" t="inlineStr">
        <is>
          <t>claro:plano-controle-25gb</t>
        </is>
      </c>
      <c r="H921" s="6" t="n">
        <v>59.9</v>
      </c>
      <c r="I921" s="6" t="n">
        <v>54.9</v>
      </c>
      <c r="J921" s="5" t="inlineStr">
        <is>
          <t>De R$ 59,90 Por:</t>
        </is>
      </c>
      <c r="K921" s="5" t="inlineStr"/>
      <c r="L921" s="7" t="n">
        <v>25</v>
      </c>
      <c r="M921" s="5" t="inlineStr"/>
      <c r="N921" s="5" t="inlineStr"/>
      <c r="O921" s="5" t="inlineStr">
        <is>
          <t>WhatsApp</t>
        </is>
      </c>
      <c r="P921" s="5" t="inlineStr"/>
      <c r="Q921" s="5" t="inlineStr"/>
      <c r="R921" s="5" t="inlineStr"/>
      <c r="S921" s="5" t="inlineStr"/>
      <c r="T921" s="5" t="inlineStr">
        <is>
          <t>Para uso livre; Para redes sociais e vídeos; Bônus exclusivo; Aproveite na sua franquia; WhatsApp e ligações ilimitadas</t>
        </is>
      </c>
      <c r="U921" s="5" t="inlineStr">
        <is>
          <t>https://www.claro.com.br/celular/controle</t>
        </is>
      </c>
      <c r="V921" s="5" t="inlineStr">
        <is>
          <t>data/raw/claro_control_SP.json</t>
        </is>
      </c>
    </row>
    <row r="922">
      <c r="A922" s="2" t="inlineStr">
        <is>
          <t>2026-07-09</t>
        </is>
      </c>
      <c r="B922" s="2" t="inlineStr">
        <is>
          <t>2026-07-09T22:19:24</t>
        </is>
      </c>
      <c r="C922" s="2" t="inlineStr">
        <is>
          <t>claro</t>
        </is>
      </c>
      <c r="D922" s="2" t="inlineStr">
        <is>
          <t>control</t>
        </is>
      </c>
      <c r="E922" s="2" t="inlineStr">
        <is>
          <t>SP</t>
        </is>
      </c>
      <c r="F922" s="2" t="inlineStr">
        <is>
          <t>Controle 30GB</t>
        </is>
      </c>
      <c r="G922" s="2" t="inlineStr">
        <is>
          <t>claro:plano-controle-30gb</t>
        </is>
      </c>
      <c r="H922" s="3" t="n">
        <v>69.90000000000001</v>
      </c>
      <c r="I922" s="3" t="inlineStr"/>
      <c r="J922" s="2" t="inlineStr"/>
      <c r="K922" s="2" t="inlineStr"/>
      <c r="L922" s="4" t="n">
        <v>30</v>
      </c>
      <c r="M922" s="2" t="inlineStr"/>
      <c r="N922" s="2" t="inlineStr"/>
      <c r="O922" s="2" t="inlineStr">
        <is>
          <t>WhatsApp</t>
        </is>
      </c>
      <c r="P922" s="2" t="inlineStr"/>
      <c r="Q922" s="2" t="inlineStr"/>
      <c r="R922" s="2" t="inlineStr"/>
      <c r="S922" s="2" t="inlineStr"/>
      <c r="T922" s="2" t="inlineStr">
        <is>
          <t>Para uso livre; Bônus especial para uso livre; Bônus para redes sociais e apps; Redes sociais e apps; WhatsApp ilimitado</t>
        </is>
      </c>
      <c r="U922" s="2" t="inlineStr">
        <is>
          <t>https://www.claro.com.br/celular/controle</t>
        </is>
      </c>
      <c r="V922" s="2" t="inlineStr">
        <is>
          <t>data/raw/claro_control_SP.json</t>
        </is>
      </c>
    </row>
    <row r="923">
      <c r="A923" s="5" t="inlineStr">
        <is>
          <t>2026-07-09</t>
        </is>
      </c>
      <c r="B923" s="5" t="inlineStr">
        <is>
          <t>2026-07-09T22:19:24</t>
        </is>
      </c>
      <c r="C923" s="5" t="inlineStr">
        <is>
          <t>claro</t>
        </is>
      </c>
      <c r="D923" s="5" t="inlineStr">
        <is>
          <t>control</t>
        </is>
      </c>
      <c r="E923" s="5" t="inlineStr">
        <is>
          <t>SP</t>
        </is>
      </c>
      <c r="F923" s="5" t="inlineStr">
        <is>
          <t>Controle 30GB</t>
        </is>
      </c>
      <c r="G923" s="5" t="inlineStr">
        <is>
          <t>claro:plano-controle-30gb-gaming</t>
        </is>
      </c>
      <c r="H923" s="6" t="n">
        <v>99.90000000000001</v>
      </c>
      <c r="I923" s="6" t="inlineStr"/>
      <c r="J923" s="5" t="inlineStr"/>
      <c r="K923" s="5" t="inlineStr"/>
      <c r="L923" s="7" t="n">
        <v>30</v>
      </c>
      <c r="M923" s="5" t="inlineStr"/>
      <c r="N923" s="5" t="inlineStr"/>
      <c r="O923" s="5" t="inlineStr">
        <is>
          <t>WhatsApp</t>
        </is>
      </c>
      <c r="P923" s="5" t="inlineStr"/>
      <c r="Q923" s="5" t="inlineStr"/>
      <c r="R923" s="5" t="inlineStr"/>
      <c r="S923" s="5" t="inlineStr"/>
      <c r="T923" s="5" t="inlineStr">
        <is>
          <t>Para uso livre; Bônus para redes sociais e apps; Bônus uso livre; Redes sociais e apps; WhatsApp ilimitado</t>
        </is>
      </c>
      <c r="U923" s="5" t="inlineStr">
        <is>
          <t>https://www.claro.com.br/celular/controle</t>
        </is>
      </c>
      <c r="V923" s="5" t="inlineStr">
        <is>
          <t>data/raw/claro_control_SP.json</t>
        </is>
      </c>
    </row>
    <row r="924">
      <c r="A924" s="2" t="inlineStr">
        <is>
          <t>2026-07-09</t>
        </is>
      </c>
      <c r="B924" s="2" t="inlineStr">
        <is>
          <t>2026-07-09T22:19:24</t>
        </is>
      </c>
      <c r="C924" s="2" t="inlineStr">
        <is>
          <t>claro</t>
        </is>
      </c>
      <c r="D924" s="2" t="inlineStr">
        <is>
          <t>flex</t>
        </is>
      </c>
      <c r="E924" s="2" t="inlineStr">
        <is>
          <t>SP</t>
        </is>
      </c>
      <c r="F924" s="2" t="inlineStr">
        <is>
          <t>Flex 15GB</t>
        </is>
      </c>
      <c r="G924" s="2" t="inlineStr">
        <is>
          <t>claro:plano-flex-15gb</t>
        </is>
      </c>
      <c r="H924" s="3" t="n">
        <v>44.9</v>
      </c>
      <c r="I924" s="3" t="inlineStr"/>
      <c r="J924" s="2" t="inlineStr"/>
      <c r="K924" s="2" t="inlineStr"/>
      <c r="L924" s="4" t="n">
        <v>15</v>
      </c>
      <c r="M924" s="2" t="inlineStr"/>
      <c r="N924" s="2" t="inlineStr"/>
      <c r="O924" s="2" t="inlineStr">
        <is>
          <t>WhatsApp</t>
        </is>
      </c>
      <c r="P924" s="2" t="inlineStr"/>
      <c r="Q924" s="2" t="inlineStr"/>
      <c r="R924" s="2" t="inlineStr"/>
      <c r="S924" s="2" t="inlineStr"/>
      <c r="T924" s="2" t="inlineStr">
        <is>
          <t>Para uso livre; Bônus especial para uso livre; Para redes sociais e apps; Bônus extra nos apps; WhatsApp ilimitado</t>
        </is>
      </c>
      <c r="U924" s="2" t="inlineStr">
        <is>
          <t>https://www.claro.com.br/celular/flex</t>
        </is>
      </c>
      <c r="V924" s="2" t="inlineStr">
        <is>
          <t>data/raw/claro_flex_SP.json</t>
        </is>
      </c>
    </row>
    <row r="925">
      <c r="A925" s="5" t="inlineStr">
        <is>
          <t>2026-07-09</t>
        </is>
      </c>
      <c r="B925" s="5" t="inlineStr">
        <is>
          <t>2026-07-09T22:19:24</t>
        </is>
      </c>
      <c r="C925" s="5" t="inlineStr">
        <is>
          <t>claro</t>
        </is>
      </c>
      <c r="D925" s="5" t="inlineStr">
        <is>
          <t>flex</t>
        </is>
      </c>
      <c r="E925" s="5" t="inlineStr">
        <is>
          <t>SP</t>
        </is>
      </c>
      <c r="F925" s="5" t="inlineStr">
        <is>
          <t>Flex 20GB</t>
        </is>
      </c>
      <c r="G925" s="5" t="inlineStr">
        <is>
          <t>claro:plano-flex-20gb</t>
        </is>
      </c>
      <c r="H925" s="6" t="n">
        <v>59.9</v>
      </c>
      <c r="I925" s="6" t="inlineStr"/>
      <c r="J925" s="5" t="inlineStr"/>
      <c r="K925" s="5" t="inlineStr"/>
      <c r="L925" s="7" t="n">
        <v>20</v>
      </c>
      <c r="M925" s="5" t="inlineStr"/>
      <c r="N925" s="5" t="inlineStr"/>
      <c r="O925" s="5" t="inlineStr">
        <is>
          <t>WhatsApp</t>
        </is>
      </c>
      <c r="P925" s="5" t="inlineStr"/>
      <c r="Q925" s="5" t="inlineStr"/>
      <c r="R925" s="5" t="inlineStr"/>
      <c r="S925" s="5" t="inlineStr"/>
      <c r="T925" s="5" t="inlineStr">
        <is>
          <t>Para uso livre; Bônus especial para uso livre; Para redes sociais e apps; Bônus extra nos apps; WhatsApp ilimitado</t>
        </is>
      </c>
      <c r="U925" s="5" t="inlineStr">
        <is>
          <t>https://www.claro.com.br/celular/flex</t>
        </is>
      </c>
      <c r="V925" s="5" t="inlineStr">
        <is>
          <t>data/raw/claro_flex_SP.json</t>
        </is>
      </c>
    </row>
    <row r="926">
      <c r="A926" s="2" t="inlineStr">
        <is>
          <t>2026-07-09</t>
        </is>
      </c>
      <c r="B926" s="2" t="inlineStr">
        <is>
          <t>2026-07-09T22:19:24</t>
        </is>
      </c>
      <c r="C926" s="2" t="inlineStr">
        <is>
          <t>claro</t>
        </is>
      </c>
      <c r="D926" s="2" t="inlineStr">
        <is>
          <t>flex</t>
        </is>
      </c>
      <c r="E926" s="2" t="inlineStr">
        <is>
          <t>SP</t>
        </is>
      </c>
      <c r="F926" s="2" t="inlineStr">
        <is>
          <t>Flex 30GB</t>
        </is>
      </c>
      <c r="G926" s="2" t="inlineStr">
        <is>
          <t>claro:plano-flex-30gb</t>
        </is>
      </c>
      <c r="H926" s="3" t="n">
        <v>69.90000000000001</v>
      </c>
      <c r="I926" s="3" t="inlineStr"/>
      <c r="J926" s="2" t="inlineStr"/>
      <c r="K926" s="2" t="inlineStr"/>
      <c r="L926" s="4" t="n">
        <v>30</v>
      </c>
      <c r="M926" s="2" t="inlineStr"/>
      <c r="N926" s="2" t="inlineStr"/>
      <c r="O926" s="2" t="inlineStr">
        <is>
          <t>WhatsApp</t>
        </is>
      </c>
      <c r="P926" s="2" t="inlineStr"/>
      <c r="Q926" s="2" t="inlineStr"/>
      <c r="R926" s="2" t="inlineStr"/>
      <c r="S926" s="2" t="inlineStr"/>
      <c r="T926" s="2" t="inlineStr">
        <is>
          <t>Para uso livre; Bônus especial para uso livre; Para redes sociais e apps; Bônus extra nos apps; WhatsApp ilimitado; Assinatura Claro musica inclusa</t>
        </is>
      </c>
      <c r="U926" s="2" t="inlineStr">
        <is>
          <t>https://www.claro.com.br/celular/flex</t>
        </is>
      </c>
      <c r="V926" s="2" t="inlineStr">
        <is>
          <t>data/raw/claro_flex_SP.json</t>
        </is>
      </c>
    </row>
    <row r="927">
      <c r="A927" s="5" t="inlineStr">
        <is>
          <t>2026-07-09</t>
        </is>
      </c>
      <c r="B927" s="5" t="inlineStr">
        <is>
          <t>2026-07-09T22:19:24</t>
        </is>
      </c>
      <c r="C927" s="5" t="inlineStr">
        <is>
          <t>claro</t>
        </is>
      </c>
      <c r="D927" s="5" t="inlineStr">
        <is>
          <t>flex</t>
        </is>
      </c>
      <c r="E927" s="5" t="inlineStr">
        <is>
          <t>SP</t>
        </is>
      </c>
      <c r="F927" s="5" t="inlineStr">
        <is>
          <t>Flex 40GB</t>
        </is>
      </c>
      <c r="G927" s="5" t="inlineStr">
        <is>
          <t>claro:plano-flex-40gb</t>
        </is>
      </c>
      <c r="H927" s="6" t="n">
        <v>119.9</v>
      </c>
      <c r="I927" s="6" t="inlineStr"/>
      <c r="J927" s="5" t="inlineStr"/>
      <c r="K927" s="5" t="inlineStr"/>
      <c r="L927" s="7" t="n">
        <v>40</v>
      </c>
      <c r="M927" s="5" t="inlineStr"/>
      <c r="N927" s="5" t="inlineStr"/>
      <c r="O927" s="5" t="inlineStr">
        <is>
          <t>WhatsApp</t>
        </is>
      </c>
      <c r="P927" s="5" t="inlineStr"/>
      <c r="Q927" s="5" t="inlineStr"/>
      <c r="R927" s="5" t="inlineStr"/>
      <c r="S927" s="5" t="inlineStr"/>
      <c r="T927" s="5" t="inlineStr">
        <is>
          <t>Para uso livre; Para redes sociais e apps; Bônus uso livre; Bônus extra nos apps; WhatsApp ilimitado; Assinatura Claro musica inclusa</t>
        </is>
      </c>
      <c r="U927" s="5" t="inlineStr">
        <is>
          <t>https://www.claro.com.br/celular/flex</t>
        </is>
      </c>
      <c r="V927" s="5" t="inlineStr">
        <is>
          <t>data/raw/claro_flex_SP.json</t>
        </is>
      </c>
    </row>
    <row r="928">
      <c r="A928" s="2" t="inlineStr">
        <is>
          <t>2026-07-09</t>
        </is>
      </c>
      <c r="B928" s="2" t="inlineStr">
        <is>
          <t>2026-07-09T22:19:24</t>
        </is>
      </c>
      <c r="C928" s="2" t="inlineStr">
        <is>
          <t>claro</t>
        </is>
      </c>
      <c r="D928" s="2" t="inlineStr">
        <is>
          <t>postpaid</t>
        </is>
      </c>
      <c r="E928" s="2" t="inlineStr">
        <is>
          <t>SP</t>
        </is>
      </c>
      <c r="F928" s="2" t="inlineStr">
        <is>
          <t>Pós 100GB</t>
        </is>
      </c>
      <c r="G928" s="2" t="inlineStr">
        <is>
          <t>claro:plano-pos-100gb</t>
        </is>
      </c>
      <c r="H928" s="3" t="n">
        <v>179.9</v>
      </c>
      <c r="I928" s="3" t="inlineStr"/>
      <c r="J928" s="2" t="inlineStr"/>
      <c r="K928" s="2" t="inlineStr"/>
      <c r="L928" s="4" t="n">
        <v>100</v>
      </c>
      <c r="M928" s="2" t="inlineStr"/>
      <c r="N928" s="2" t="inlineStr"/>
      <c r="O928" s="2" t="inlineStr">
        <is>
          <t>WhatsApp</t>
        </is>
      </c>
      <c r="P928" s="2" t="inlineStr"/>
      <c r="Q928" s="2" t="inlineStr"/>
      <c r="R928" s="2" t="inlineStr"/>
      <c r="S928" s="2" t="inlineStr"/>
      <c r="T928" s="2" t="inlineStr">
        <is>
          <t>Armazenamento na nuvem:; Google One ou iCloud+; WhatsApp ilimitado; Roaming: Passaporte Américas; Claro Sync: Smartwatch conectado</t>
        </is>
      </c>
      <c r="U928" s="2" t="inlineStr">
        <is>
          <t>https://www.claro.com.br/celular/pos</t>
        </is>
      </c>
      <c r="V928" s="2" t="inlineStr">
        <is>
          <t>data/raw/claro_postpaid_SP.json</t>
        </is>
      </c>
    </row>
    <row r="929">
      <c r="A929" s="5" t="inlineStr">
        <is>
          <t>2026-07-09</t>
        </is>
      </c>
      <c r="B929" s="5" t="inlineStr">
        <is>
          <t>2026-07-09T22:19:24</t>
        </is>
      </c>
      <c r="C929" s="5" t="inlineStr">
        <is>
          <t>claro</t>
        </is>
      </c>
      <c r="D929" s="5" t="inlineStr">
        <is>
          <t>postpaid</t>
        </is>
      </c>
      <c r="E929" s="5" t="inlineStr">
        <is>
          <t>SP</t>
        </is>
      </c>
      <c r="F929" s="5" t="inlineStr">
        <is>
          <t>Pós 150GB</t>
        </is>
      </c>
      <c r="G929" s="5" t="inlineStr">
        <is>
          <t>claro:plano-pos-150gb</t>
        </is>
      </c>
      <c r="H929" s="6" t="n">
        <v>239.9</v>
      </c>
      <c r="I929" s="6" t="inlineStr"/>
      <c r="J929" s="5" t="inlineStr"/>
      <c r="K929" s="5" t="inlineStr"/>
      <c r="L929" s="7" t="n">
        <v>150</v>
      </c>
      <c r="M929" s="5" t="inlineStr"/>
      <c r="N929" s="5" t="inlineStr"/>
      <c r="O929" s="5" t="inlineStr">
        <is>
          <t>WhatsApp</t>
        </is>
      </c>
      <c r="P929" s="5" t="inlineStr"/>
      <c r="Q929" s="5" t="inlineStr"/>
      <c r="R929" s="5" t="inlineStr"/>
      <c r="S929" s="5" t="inlineStr"/>
      <c r="T929" s="5" t="inlineStr">
        <is>
          <t>Armazenamento na nuvem:; Google One ou iCloud+; WhatsApp ilimitado; Roaming: Passaporte Américas e Europa; Claro Sync: Smartwatch conectado</t>
        </is>
      </c>
      <c r="U929" s="5" t="inlineStr">
        <is>
          <t>https://www.claro.com.br/celular/pos</t>
        </is>
      </c>
      <c r="V929" s="5" t="inlineStr">
        <is>
          <t>data/raw/claro_postpaid_SP.json</t>
        </is>
      </c>
    </row>
    <row r="930">
      <c r="A930" s="2" t="inlineStr">
        <is>
          <t>2026-07-09</t>
        </is>
      </c>
      <c r="B930" s="2" t="inlineStr">
        <is>
          <t>2026-07-09T22:19:24</t>
        </is>
      </c>
      <c r="C930" s="2" t="inlineStr">
        <is>
          <t>claro</t>
        </is>
      </c>
      <c r="D930" s="2" t="inlineStr">
        <is>
          <t>postpaid</t>
        </is>
      </c>
      <c r="E930" s="2" t="inlineStr">
        <is>
          <t>SP</t>
        </is>
      </c>
      <c r="F930" s="2" t="inlineStr">
        <is>
          <t>Pós 200GB</t>
        </is>
      </c>
      <c r="G930" s="2" t="inlineStr">
        <is>
          <t>claro:plano-pos-200gb</t>
        </is>
      </c>
      <c r="H930" s="3" t="n">
        <v>339.9</v>
      </c>
      <c r="I930" s="3" t="inlineStr"/>
      <c r="J930" s="2" t="inlineStr"/>
      <c r="K930" s="2" t="inlineStr"/>
      <c r="L930" s="4" t="n">
        <v>200</v>
      </c>
      <c r="M930" s="2" t="inlineStr"/>
      <c r="N930" s="2" t="inlineStr"/>
      <c r="O930" s="2" t="inlineStr">
        <is>
          <t>WhatsApp</t>
        </is>
      </c>
      <c r="P930" s="2" t="inlineStr"/>
      <c r="Q930" s="2" t="inlineStr"/>
      <c r="R930" s="2" t="inlineStr"/>
      <c r="S930" s="2" t="inlineStr"/>
      <c r="T930" s="2" t="inlineStr">
        <is>
          <t>Armazenamento na nuvem:; Google One ou iCloud+; WhatsApp ilimitado; Roaming: Passaporte Mundo; Claro Sync: Smartwatch conectado</t>
        </is>
      </c>
      <c r="U930" s="2" t="inlineStr">
        <is>
          <t>https://www.claro.com.br/celular/pos</t>
        </is>
      </c>
      <c r="V930" s="2" t="inlineStr">
        <is>
          <t>data/raw/claro_postpaid_SP.json</t>
        </is>
      </c>
    </row>
    <row r="931">
      <c r="A931" s="5" t="inlineStr">
        <is>
          <t>2026-07-09</t>
        </is>
      </c>
      <c r="B931" s="5" t="inlineStr">
        <is>
          <t>2026-07-09T22:19:24</t>
        </is>
      </c>
      <c r="C931" s="5" t="inlineStr">
        <is>
          <t>claro</t>
        </is>
      </c>
      <c r="D931" s="5" t="inlineStr">
        <is>
          <t>postpaid</t>
        </is>
      </c>
      <c r="E931" s="5" t="inlineStr">
        <is>
          <t>SP</t>
        </is>
      </c>
      <c r="F931" s="5" t="inlineStr">
        <is>
          <t>Pós 50GB com GeForce NOW</t>
        </is>
      </c>
      <c r="G931" s="5" t="inlineStr">
        <is>
          <t>claro:plano-pos-60gb-geforce</t>
        </is>
      </c>
      <c r="H931" s="6" t="n">
        <v>164.9</v>
      </c>
      <c r="I931" s="6" t="inlineStr"/>
      <c r="J931" s="5" t="inlineStr"/>
      <c r="K931" s="5" t="inlineStr"/>
      <c r="L931" s="7" t="n">
        <v>50</v>
      </c>
      <c r="M931" s="5" t="inlineStr"/>
      <c r="N931" s="5" t="inlineStr"/>
      <c r="O931" s="5" t="inlineStr">
        <is>
          <t>WhatsApp</t>
        </is>
      </c>
      <c r="P931" s="5" t="inlineStr"/>
      <c r="Q931" s="5" t="inlineStr"/>
      <c r="R931" s="5" t="inlineStr"/>
      <c r="S931" s="5" t="inlineStr"/>
      <c r="T931" s="5" t="inlineStr">
        <is>
          <t>Armazenamento na nuvem:; Google One ou iCloud+; WhatsApp ilimitado; Roaming: Passaporte Américas; Claro Sync: Smartwatch conectado; Inclusa assinatura GeForce NOW</t>
        </is>
      </c>
      <c r="U931" s="5" t="inlineStr">
        <is>
          <t>https://www.claro.com.br/celular/pos</t>
        </is>
      </c>
      <c r="V931" s="5" t="inlineStr">
        <is>
          <t>data/raw/claro_postpaid_SP.json</t>
        </is>
      </c>
    </row>
    <row r="932">
      <c r="A932" s="2" t="inlineStr">
        <is>
          <t>2026-07-09</t>
        </is>
      </c>
      <c r="B932" s="2" t="inlineStr">
        <is>
          <t>2026-07-09T22:19:24</t>
        </is>
      </c>
      <c r="C932" s="2" t="inlineStr">
        <is>
          <t>claro</t>
        </is>
      </c>
      <c r="D932" s="2" t="inlineStr">
        <is>
          <t>postpaid</t>
        </is>
      </c>
      <c r="E932" s="2" t="inlineStr">
        <is>
          <t>SP</t>
        </is>
      </c>
      <c r="F932" s="2" t="inlineStr">
        <is>
          <t>Pós 60GB</t>
        </is>
      </c>
      <c r="G932" s="2" t="inlineStr">
        <is>
          <t>claro:plano-pos-60gb</t>
        </is>
      </c>
      <c r="H932" s="3" t="n">
        <v>124.9</v>
      </c>
      <c r="I932" s="3" t="inlineStr"/>
      <c r="J932" s="2" t="inlineStr"/>
      <c r="K932" s="2" t="inlineStr"/>
      <c r="L932" s="4" t="n">
        <v>60</v>
      </c>
      <c r="M932" s="2" t="inlineStr"/>
      <c r="N932" s="2" t="inlineStr"/>
      <c r="O932" s="2" t="inlineStr">
        <is>
          <t>WhatsApp</t>
        </is>
      </c>
      <c r="P932" s="2" t="inlineStr"/>
      <c r="Q932" s="2" t="inlineStr"/>
      <c r="R932" s="2" t="inlineStr"/>
      <c r="S932" s="2" t="inlineStr"/>
      <c r="T932" s="2" t="inlineStr">
        <is>
          <t>Armazenamento na nuvem:; Google One ou iCloud+; WhatsApp ilimitado; Roaming: Passaporte Américas; Claro Sync: Smartwatch conectado</t>
        </is>
      </c>
      <c r="U932" s="2" t="inlineStr">
        <is>
          <t>https://www.claro.com.br/celular/pos</t>
        </is>
      </c>
      <c r="V932" s="2" t="inlineStr">
        <is>
          <t>data/raw/claro_postpaid_SP.json</t>
        </is>
      </c>
    </row>
    <row r="933">
      <c r="A933" s="5" t="inlineStr">
        <is>
          <t>2026-07-09</t>
        </is>
      </c>
      <c r="B933" s="5" t="inlineStr">
        <is>
          <t>2026-07-09T22:19:24</t>
        </is>
      </c>
      <c r="C933" s="5" t="inlineStr">
        <is>
          <t>claro</t>
        </is>
      </c>
      <c r="D933" s="5" t="inlineStr">
        <is>
          <t>prepaid</t>
        </is>
      </c>
      <c r="E933" s="5" t="inlineStr">
        <is>
          <t>SP</t>
        </is>
      </c>
      <c r="F933" s="5" t="inlineStr">
        <is>
          <t>Prezão 10GB (25 dias)</t>
        </is>
      </c>
      <c r="G933" s="5" t="inlineStr">
        <is>
          <t>claro:prezao-25d-10gb</t>
        </is>
      </c>
      <c r="H933" s="6" t="n">
        <v>25</v>
      </c>
      <c r="I933" s="6" t="inlineStr"/>
      <c r="J933" s="5" t="inlineStr">
        <is>
          <t>recarga Prezão R$25 — validade 25 dias</t>
        </is>
      </c>
      <c r="K933" s="5" t="inlineStr"/>
      <c r="L933" s="7" t="n">
        <v>10</v>
      </c>
      <c r="M933" s="5" t="inlineStr"/>
      <c r="N933" s="5" t="n">
        <v>25</v>
      </c>
      <c r="O933" s="5" t="inlineStr"/>
      <c r="P933" s="5" t="inlineStr"/>
      <c r="Q933" s="5" t="inlineStr"/>
      <c r="R933" s="5" t="inlineStr"/>
      <c r="S933" s="5" t="inlineStr"/>
      <c r="T933" s="5" t="inlineStr"/>
      <c r="U933" s="5" t="inlineStr">
        <is>
          <t>https://www.claro.com.br/celular/planos-pre/prezao</t>
        </is>
      </c>
      <c r="V933" s="5" t="inlineStr">
        <is>
          <t>data/raw/claro_prepaid_SP.json</t>
        </is>
      </c>
    </row>
    <row r="934">
      <c r="A934" s="2" t="inlineStr">
        <is>
          <t>2026-07-09</t>
        </is>
      </c>
      <c r="B934" s="2" t="inlineStr">
        <is>
          <t>2026-07-09T22:19:24</t>
        </is>
      </c>
      <c r="C934" s="2" t="inlineStr">
        <is>
          <t>claro</t>
        </is>
      </c>
      <c r="D934" s="2" t="inlineStr">
        <is>
          <t>prepaid</t>
        </is>
      </c>
      <c r="E934" s="2" t="inlineStr">
        <is>
          <t>SP</t>
        </is>
      </c>
      <c r="F934" s="2" t="inlineStr">
        <is>
          <t>Prezão 12GB (30 dias)</t>
        </is>
      </c>
      <c r="G934" s="2" t="inlineStr">
        <is>
          <t>claro:prezao-30d-12gb</t>
        </is>
      </c>
      <c r="H934" s="3" t="n">
        <v>30</v>
      </c>
      <c r="I934" s="3" t="inlineStr"/>
      <c r="J934" s="2" t="inlineStr">
        <is>
          <t>recarga Prezão R$30 — validade 30 dias</t>
        </is>
      </c>
      <c r="K934" s="2" t="inlineStr"/>
      <c r="L934" s="4" t="n">
        <v>12</v>
      </c>
      <c r="M934" s="2" t="inlineStr"/>
      <c r="N934" s="2" t="n">
        <v>30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>
        <is>
          <t>https://www.claro.com.br/celular/planos-pre/prezao</t>
        </is>
      </c>
      <c r="V934" s="2" t="inlineStr">
        <is>
          <t>data/raw/claro_prepaid_SP.json</t>
        </is>
      </c>
    </row>
    <row r="935">
      <c r="A935" s="5" t="inlineStr">
        <is>
          <t>2026-07-09</t>
        </is>
      </c>
      <c r="B935" s="5" t="inlineStr">
        <is>
          <t>2026-07-09T22:19:24</t>
        </is>
      </c>
      <c r="C935" s="5" t="inlineStr">
        <is>
          <t>claro</t>
        </is>
      </c>
      <c r="D935" s="5" t="inlineStr">
        <is>
          <t>prepaid</t>
        </is>
      </c>
      <c r="E935" s="5" t="inlineStr">
        <is>
          <t>SP</t>
        </is>
      </c>
      <c r="F935" s="5" t="inlineStr">
        <is>
          <t>Prezão 4GB (12 dias)</t>
        </is>
      </c>
      <c r="G935" s="5" t="inlineStr">
        <is>
          <t>claro:prezao-12d-4gb</t>
        </is>
      </c>
      <c r="H935" s="6" t="n">
        <v>15</v>
      </c>
      <c r="I935" s="6" t="inlineStr"/>
      <c r="J935" s="5" t="inlineStr">
        <is>
          <t>recarga Prezão R$15 — validade 12 dias</t>
        </is>
      </c>
      <c r="K935" s="5" t="inlineStr"/>
      <c r="L935" s="7" t="n">
        <v>4</v>
      </c>
      <c r="M935" s="5" t="inlineStr"/>
      <c r="N935" s="5" t="n">
        <v>12</v>
      </c>
      <c r="O935" s="5" t="inlineStr"/>
      <c r="P935" s="5" t="inlineStr"/>
      <c r="Q935" s="5" t="inlineStr"/>
      <c r="R935" s="5" t="inlineStr"/>
      <c r="S935" s="5" t="inlineStr"/>
      <c r="T935" s="5" t="inlineStr"/>
      <c r="U935" s="5" t="inlineStr">
        <is>
          <t>https://www.claro.com.br/celular/planos-pre/prezao</t>
        </is>
      </c>
      <c r="V935" s="5" t="inlineStr">
        <is>
          <t>data/raw/claro_prepaid_SP.json</t>
        </is>
      </c>
    </row>
    <row r="936">
      <c r="A936" s="2" t="inlineStr">
        <is>
          <t>2026-07-09</t>
        </is>
      </c>
      <c r="B936" s="2" t="inlineStr">
        <is>
          <t>2026-07-09T22:19:24</t>
        </is>
      </c>
      <c r="C936" s="2" t="inlineStr">
        <is>
          <t>claro</t>
        </is>
      </c>
      <c r="D936" s="2" t="inlineStr">
        <is>
          <t>prepaid</t>
        </is>
      </c>
      <c r="E936" s="2" t="inlineStr">
        <is>
          <t>SP</t>
        </is>
      </c>
      <c r="F936" s="2" t="inlineStr">
        <is>
          <t>Prezão 5GB (15 dias)</t>
        </is>
      </c>
      <c r="G936" s="2" t="inlineStr">
        <is>
          <t>claro:prezao-15d-5gb</t>
        </is>
      </c>
      <c r="H936" s="3" t="n">
        <v>15</v>
      </c>
      <c r="I936" s="3" t="inlineStr"/>
      <c r="J936" s="2" t="inlineStr">
        <is>
          <t>recarga Prezão R$15 — validade 15 dias</t>
        </is>
      </c>
      <c r="K936" s="2" t="inlineStr"/>
      <c r="L936" s="4" t="n">
        <v>5</v>
      </c>
      <c r="M936" s="2" t="inlineStr"/>
      <c r="N936" s="2" t="n">
        <v>15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>
        <is>
          <t>https://www.claro.com.br/celular/planos-pre/prezao</t>
        </is>
      </c>
      <c r="V936" s="2" t="inlineStr">
        <is>
          <t>data/raw/claro_prepaid_SP.json</t>
        </is>
      </c>
    </row>
    <row r="937">
      <c r="A937" s="5" t="inlineStr">
        <is>
          <t>2026-07-09</t>
        </is>
      </c>
      <c r="B937" s="5" t="inlineStr">
        <is>
          <t>2026-07-09T22:19:24</t>
        </is>
      </c>
      <c r="C937" s="5" t="inlineStr">
        <is>
          <t>claro</t>
        </is>
      </c>
      <c r="D937" s="5" t="inlineStr">
        <is>
          <t>prepaid</t>
        </is>
      </c>
      <c r="E937" s="5" t="inlineStr">
        <is>
          <t>SP</t>
        </is>
      </c>
      <c r="F937" s="5" t="inlineStr">
        <is>
          <t>Prezão 6GB (20 dias)</t>
        </is>
      </c>
      <c r="G937" s="5" t="inlineStr">
        <is>
          <t>claro:prezao-20d-6gb</t>
        </is>
      </c>
      <c r="H937" s="6" t="n">
        <v>20</v>
      </c>
      <c r="I937" s="6" t="inlineStr"/>
      <c r="J937" s="5" t="inlineStr">
        <is>
          <t>recarga Prezão R$20 — validade 20 dias</t>
        </is>
      </c>
      <c r="K937" s="5" t="inlineStr"/>
      <c r="L937" s="7" t="n">
        <v>6</v>
      </c>
      <c r="M937" s="5" t="inlineStr"/>
      <c r="N937" s="5" t="n">
        <v>20</v>
      </c>
      <c r="O937" s="5" t="inlineStr"/>
      <c r="P937" s="5" t="inlineStr"/>
      <c r="Q937" s="5" t="inlineStr"/>
      <c r="R937" s="5" t="inlineStr"/>
      <c r="S937" s="5" t="inlineStr"/>
      <c r="T937" s="5" t="inlineStr"/>
      <c r="U937" s="5" t="inlineStr">
        <is>
          <t>https://www.claro.com.br/celular/planos-pre/prezao</t>
        </is>
      </c>
      <c r="V937" s="5" t="inlineStr">
        <is>
          <t>data/raw/claro_prepaid_SP.json</t>
        </is>
      </c>
    </row>
    <row r="938">
      <c r="A938" s="2" t="inlineStr">
        <is>
          <t>2026-07-09</t>
        </is>
      </c>
      <c r="B938" s="2" t="inlineStr">
        <is>
          <t>2026-07-09T22:19:24</t>
        </is>
      </c>
      <c r="C938" s="2" t="inlineStr">
        <is>
          <t>claro</t>
        </is>
      </c>
      <c r="D938" s="2" t="inlineStr">
        <is>
          <t>prepaid</t>
        </is>
      </c>
      <c r="E938" s="2" t="inlineStr">
        <is>
          <t>SP</t>
        </is>
      </c>
      <c r="F938" s="2" t="inlineStr">
        <is>
          <t>Prezão 8GB (20 dias)</t>
        </is>
      </c>
      <c r="G938" s="2" t="inlineStr">
        <is>
          <t>claro:prezao-20d-8gb</t>
        </is>
      </c>
      <c r="H938" s="3" t="n">
        <v>20</v>
      </c>
      <c r="I938" s="3" t="inlineStr"/>
      <c r="J938" s="2" t="inlineStr">
        <is>
          <t>recarga Prezão R$20 — validade 20 dias</t>
        </is>
      </c>
      <c r="K938" s="2" t="inlineStr"/>
      <c r="L938" s="4" t="n">
        <v>8</v>
      </c>
      <c r="M938" s="2" t="inlineStr"/>
      <c r="N938" s="2" t="n">
        <v>20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>
        <is>
          <t>https://www.claro.com.br/celular/planos-pre/prezao</t>
        </is>
      </c>
      <c r="V938" s="2" t="inlineStr">
        <is>
          <t>data/raw/claro_prepaid_SP.json</t>
        </is>
      </c>
    </row>
    <row r="939">
      <c r="A939" s="5" t="inlineStr">
        <is>
          <t>2026-07-09</t>
        </is>
      </c>
      <c r="B939" s="5" t="inlineStr">
        <is>
          <t>2026-07-09T22:19:24</t>
        </is>
      </c>
      <c r="C939" s="5" t="inlineStr">
        <is>
          <t>claro</t>
        </is>
      </c>
      <c r="D939" s="5" t="inlineStr">
        <is>
          <t>prepaid</t>
        </is>
      </c>
      <c r="E939" s="5" t="inlineStr">
        <is>
          <t>SP</t>
        </is>
      </c>
      <c r="F939" s="5" t="inlineStr">
        <is>
          <t>Prezão 9GB (25 dias)</t>
        </is>
      </c>
      <c r="G939" s="5" t="inlineStr">
        <is>
          <t>claro:prezao-25d-9gb</t>
        </is>
      </c>
      <c r="H939" s="6" t="n">
        <v>25</v>
      </c>
      <c r="I939" s="6" t="inlineStr"/>
      <c r="J939" s="5" t="inlineStr">
        <is>
          <t>recarga Prezão R$25 — validade 25 dias</t>
        </is>
      </c>
      <c r="K939" s="5" t="inlineStr"/>
      <c r="L939" s="7" t="n">
        <v>9</v>
      </c>
      <c r="M939" s="5" t="inlineStr"/>
      <c r="N939" s="5" t="n">
        <v>25</v>
      </c>
      <c r="O939" s="5" t="inlineStr"/>
      <c r="P939" s="5" t="inlineStr"/>
      <c r="Q939" s="5" t="inlineStr"/>
      <c r="R939" s="5" t="inlineStr"/>
      <c r="S939" s="5" t="inlineStr"/>
      <c r="T939" s="5" t="inlineStr"/>
      <c r="U939" s="5" t="inlineStr">
        <is>
          <t>https://www.claro.com.br/celular/planos-pre/prezao</t>
        </is>
      </c>
      <c r="V939" s="5" t="inlineStr">
        <is>
          <t>data/raw/claro_prepaid_SP.json</t>
        </is>
      </c>
    </row>
    <row r="940">
      <c r="A940" s="2" t="inlineStr">
        <is>
          <t>2026-07-09</t>
        </is>
      </c>
      <c r="B940" s="2" t="inlineStr">
        <is>
          <t>2026-07-09T22:19:24</t>
        </is>
      </c>
      <c r="C940" s="2" t="inlineStr">
        <is>
          <t>tim</t>
        </is>
      </c>
      <c r="D940" s="2" t="inlineStr">
        <is>
          <t>control</t>
        </is>
      </c>
      <c r="E940" s="2" t="inlineStr">
        <is>
          <t>SP</t>
        </is>
      </c>
      <c r="F940" s="2" t="inlineStr">
        <is>
          <t>TIM Controle 41GB</t>
        </is>
      </c>
      <c r="G940" s="2" t="inlineStr">
        <is>
          <t>tim:167036</t>
        </is>
      </c>
      <c r="H940" s="3" t="n">
        <v>49.99</v>
      </c>
      <c r="I940" s="3" t="inlineStr"/>
      <c r="J940" s="2" t="inlineStr"/>
      <c r="K940" s="2" t="inlineStr"/>
      <c r="L940" s="4" t="n">
        <v>41</v>
      </c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>
        <is>
          <t>https://www.tim.com.br/sp/para-voce/planos/controle</t>
        </is>
      </c>
      <c r="V940" s="2" t="inlineStr">
        <is>
          <t>data/raw/tim_control_SP.html</t>
        </is>
      </c>
    </row>
    <row r="941">
      <c r="A941" s="5" t="inlineStr">
        <is>
          <t>2026-07-09</t>
        </is>
      </c>
      <c r="B941" s="5" t="inlineStr">
        <is>
          <t>2026-07-09T22:19:24</t>
        </is>
      </c>
      <c r="C941" s="5" t="inlineStr">
        <is>
          <t>tim</t>
        </is>
      </c>
      <c r="D941" s="5" t="inlineStr">
        <is>
          <t>control</t>
        </is>
      </c>
      <c r="E941" s="5" t="inlineStr">
        <is>
          <t>SP</t>
        </is>
      </c>
      <c r="F941" s="5" t="inlineStr">
        <is>
          <t>TIM Controle Light Express 31GB</t>
        </is>
      </c>
      <c r="G941" s="5" t="inlineStr">
        <is>
          <t>tim:167046</t>
        </is>
      </c>
      <c r="H941" s="6" t="n">
        <v>60.99</v>
      </c>
      <c r="I941" s="6" t="inlineStr"/>
      <c r="J941" s="5" t="inlineStr"/>
      <c r="K941" s="5" t="inlineStr"/>
      <c r="L941" s="7" t="n">
        <v>31</v>
      </c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>
        <is>
          <t>https://www.tim.com.br/sp/para-voce/planos/controle</t>
        </is>
      </c>
      <c r="V941" s="5" t="inlineStr">
        <is>
          <t>data/raw/tim_control_SP.html</t>
        </is>
      </c>
    </row>
    <row r="942">
      <c r="A942" s="2" t="inlineStr">
        <is>
          <t>2026-07-09</t>
        </is>
      </c>
      <c r="B942" s="2" t="inlineStr">
        <is>
          <t>2026-07-09T22:19:24</t>
        </is>
      </c>
      <c r="C942" s="2" t="inlineStr">
        <is>
          <t>tim</t>
        </is>
      </c>
      <c r="D942" s="2" t="inlineStr">
        <is>
          <t>control</t>
        </is>
      </c>
      <c r="E942" s="2" t="inlineStr">
        <is>
          <t>SP</t>
        </is>
      </c>
      <c r="F942" s="2" t="inlineStr">
        <is>
          <t>TIM Controle Plus 45GB</t>
        </is>
      </c>
      <c r="G942" s="2" t="inlineStr">
        <is>
          <t>tim:167031</t>
        </is>
      </c>
      <c r="H942" s="3" t="n">
        <v>59.99</v>
      </c>
      <c r="I942" s="3" t="inlineStr"/>
      <c r="J942" s="2" t="inlineStr"/>
      <c r="K942" s="2" t="inlineStr"/>
      <c r="L942" s="4" t="n">
        <v>45</v>
      </c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>
        <is>
          <t>https://www.tim.com.br/sp/para-voce/planos/controle</t>
        </is>
      </c>
      <c r="V942" s="2" t="inlineStr">
        <is>
          <t>data/raw/tim_control_SP.html</t>
        </is>
      </c>
    </row>
    <row r="943">
      <c r="A943" s="5" t="inlineStr">
        <is>
          <t>2026-07-09</t>
        </is>
      </c>
      <c r="B943" s="5" t="inlineStr">
        <is>
          <t>2026-07-09T22:19:24</t>
        </is>
      </c>
      <c r="C943" s="5" t="inlineStr">
        <is>
          <t>tim</t>
        </is>
      </c>
      <c r="D943" s="5" t="inlineStr">
        <is>
          <t>control</t>
        </is>
      </c>
      <c r="E943" s="5" t="inlineStr">
        <is>
          <t>SP</t>
        </is>
      </c>
      <c r="F943" s="5" t="inlineStr">
        <is>
          <t>TIM Controle Premium 53GB</t>
        </is>
      </c>
      <c r="G943" s="5" t="inlineStr">
        <is>
          <t>tim:167041</t>
        </is>
      </c>
      <c r="H943" s="6" t="n">
        <v>69.98999999999999</v>
      </c>
      <c r="I943" s="6" t="inlineStr"/>
      <c r="J943" s="5" t="inlineStr"/>
      <c r="K943" s="5" t="inlineStr"/>
      <c r="L943" s="7" t="n">
        <v>53</v>
      </c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>
        <is>
          <t>https://www.tim.com.br/sp/para-voce/planos/controle</t>
        </is>
      </c>
      <c r="V943" s="5" t="inlineStr">
        <is>
          <t>data/raw/tim_control_SP.html</t>
        </is>
      </c>
    </row>
    <row r="944">
      <c r="A944" s="2" t="inlineStr">
        <is>
          <t>2026-07-09</t>
        </is>
      </c>
      <c r="B944" s="2" t="inlineStr">
        <is>
          <t>2026-07-09T22:19:24</t>
        </is>
      </c>
      <c r="C944" s="2" t="inlineStr">
        <is>
          <t>tim</t>
        </is>
      </c>
      <c r="D944" s="2" t="inlineStr">
        <is>
          <t>control</t>
        </is>
      </c>
      <c r="E944" s="2" t="inlineStr">
        <is>
          <t>SP</t>
        </is>
      </c>
      <c r="F944" s="2" t="inlineStr">
        <is>
          <t>TIM Controle Pro Express</t>
        </is>
      </c>
      <c r="G944" s="2" t="inlineStr">
        <is>
          <t>tim:167051</t>
        </is>
      </c>
      <c r="H944" s="3" t="n">
        <v>64.98999999999999</v>
      </c>
      <c r="I944" s="3" t="inlineStr"/>
      <c r="J944" s="2" t="inlineStr"/>
      <c r="K944" s="2" t="inlineStr"/>
      <c r="L944" s="4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>
        <is>
          <t>https://www.tim.com.br/sp/para-voce/planos/controle</t>
        </is>
      </c>
      <c r="V944" s="2" t="inlineStr">
        <is>
          <t>data/raw/tim_control_SP.html</t>
        </is>
      </c>
    </row>
    <row r="945">
      <c r="A945" s="5" t="inlineStr">
        <is>
          <t>2026-07-09</t>
        </is>
      </c>
      <c r="B945" s="5" t="inlineStr">
        <is>
          <t>2026-07-09T22:19:24</t>
        </is>
      </c>
      <c r="C945" s="5" t="inlineStr">
        <is>
          <t>tim</t>
        </is>
      </c>
      <c r="D945" s="5" t="inlineStr">
        <is>
          <t>postpaid</t>
        </is>
      </c>
      <c r="E945" s="5" t="inlineStr">
        <is>
          <t>SP</t>
        </is>
      </c>
      <c r="F945" s="5" t="inlineStr">
        <is>
          <t>TIM Black 70GB</t>
        </is>
      </c>
      <c r="G945" s="5" t="inlineStr">
        <is>
          <t>tim:54206</t>
        </is>
      </c>
      <c r="H945" s="6" t="n">
        <v>129.99</v>
      </c>
      <c r="I945" s="6" t="inlineStr"/>
      <c r="J945" s="5" t="inlineStr"/>
      <c r="K945" s="5" t="inlineStr">
        <is>
          <t>bill</t>
        </is>
      </c>
      <c r="L945" s="7" t="n">
        <v>70</v>
      </c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>
        <is>
          <t>https://www.tim.com.br/sp/para-voce/planos/pos-pago/tim-black</t>
        </is>
      </c>
      <c r="V945" s="5" t="inlineStr">
        <is>
          <t>data/raw/tim_postpaid_SP.html</t>
        </is>
      </c>
    </row>
    <row r="946">
      <c r="A946" s="2" t="inlineStr">
        <is>
          <t>2026-07-09</t>
        </is>
      </c>
      <c r="B946" s="2" t="inlineStr">
        <is>
          <t>2026-07-09T22:19:24</t>
        </is>
      </c>
      <c r="C946" s="2" t="inlineStr">
        <is>
          <t>tim</t>
        </is>
      </c>
      <c r="D946" s="2" t="inlineStr">
        <is>
          <t>postpaid</t>
        </is>
      </c>
      <c r="E946" s="2" t="inlineStr">
        <is>
          <t>SP</t>
        </is>
      </c>
      <c r="F946" s="2" t="inlineStr">
        <is>
          <t>TIM Black A Express 67GB</t>
        </is>
      </c>
      <c r="G946" s="2" t="inlineStr">
        <is>
          <t>tim:55121</t>
        </is>
      </c>
      <c r="H946" s="3" t="n">
        <v>119.99</v>
      </c>
      <c r="I946" s="3" t="inlineStr"/>
      <c r="J946" s="2" t="inlineStr"/>
      <c r="K946" s="2" t="inlineStr">
        <is>
          <t>credit_card</t>
        </is>
      </c>
      <c r="L946" s="4" t="n">
        <v>67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>
        <is>
          <t>https://www.tim.com.br/sp/para-voce/planos/pos-pago/tim-black</t>
        </is>
      </c>
      <c r="V946" s="2" t="inlineStr">
        <is>
          <t>data/raw/tim_postpaid_SP.html</t>
        </is>
      </c>
    </row>
    <row r="947">
      <c r="A947" s="5" t="inlineStr">
        <is>
          <t>2026-07-09</t>
        </is>
      </c>
      <c r="B947" s="5" t="inlineStr">
        <is>
          <t>2026-07-09T22:19:24</t>
        </is>
      </c>
      <c r="C947" s="5" t="inlineStr">
        <is>
          <t>tim</t>
        </is>
      </c>
      <c r="D947" s="5" t="inlineStr">
        <is>
          <t>postpaid</t>
        </is>
      </c>
      <c r="E947" s="5" t="inlineStr">
        <is>
          <t>SP</t>
        </is>
      </c>
      <c r="F947" s="5" t="inlineStr">
        <is>
          <t>TIM Black B Express 82GB</t>
        </is>
      </c>
      <c r="G947" s="5" t="inlineStr">
        <is>
          <t>tim:52146</t>
        </is>
      </c>
      <c r="H947" s="6" t="n">
        <v>144.99</v>
      </c>
      <c r="I947" s="6" t="inlineStr"/>
      <c r="J947" s="5" t="inlineStr"/>
      <c r="K947" s="5" t="inlineStr">
        <is>
          <t>credit_card</t>
        </is>
      </c>
      <c r="L947" s="7" t="n">
        <v>82</v>
      </c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>
        <is>
          <t>https://www.tim.com.br/sp/para-voce/planos/pos-pago/tim-black</t>
        </is>
      </c>
      <c r="V947" s="5" t="inlineStr">
        <is>
          <t>data/raw/tim_postpaid_SP.html</t>
        </is>
      </c>
    </row>
    <row r="948">
      <c r="A948" s="2" t="inlineStr">
        <is>
          <t>2026-07-09</t>
        </is>
      </c>
      <c r="B948" s="2" t="inlineStr">
        <is>
          <t>2026-07-09T22:19:24</t>
        </is>
      </c>
      <c r="C948" s="2" t="inlineStr">
        <is>
          <t>tim</t>
        </is>
      </c>
      <c r="D948" s="2" t="inlineStr">
        <is>
          <t>postpaid</t>
        </is>
      </c>
      <c r="E948" s="2" t="inlineStr">
        <is>
          <t>SP</t>
        </is>
      </c>
      <c r="F948" s="2" t="inlineStr">
        <is>
          <t>TIM Black C Express 107GB</t>
        </is>
      </c>
      <c r="G948" s="2" t="inlineStr">
        <is>
          <t>tim:52151</t>
        </is>
      </c>
      <c r="H948" s="3" t="n">
        <v>164.99</v>
      </c>
      <c r="I948" s="3" t="inlineStr"/>
      <c r="J948" s="2" t="inlineStr"/>
      <c r="K948" s="2" t="inlineStr">
        <is>
          <t>credit_card</t>
        </is>
      </c>
      <c r="L948" s="4" t="n">
        <v>107</v>
      </c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>
        <is>
          <t>https://www.tim.com.br/sp/para-voce/planos/pos-pago/tim-black</t>
        </is>
      </c>
      <c r="V948" s="2" t="inlineStr">
        <is>
          <t>data/raw/tim_postpaid_SP.html</t>
        </is>
      </c>
    </row>
    <row r="949">
      <c r="A949" s="5" t="inlineStr">
        <is>
          <t>2026-07-09</t>
        </is>
      </c>
      <c r="B949" s="5" t="inlineStr">
        <is>
          <t>2026-07-09T22:19:24</t>
        </is>
      </c>
      <c r="C949" s="5" t="inlineStr">
        <is>
          <t>tim</t>
        </is>
      </c>
      <c r="D949" s="5" t="inlineStr">
        <is>
          <t>postpaid</t>
        </is>
      </c>
      <c r="E949" s="5" t="inlineStr">
        <is>
          <t>SP</t>
        </is>
      </c>
      <c r="F949" s="5" t="inlineStr">
        <is>
          <t>TIM Black C Ultra 95GB</t>
        </is>
      </c>
      <c r="G949" s="5" t="inlineStr">
        <is>
          <t>tim:100581</t>
        </is>
      </c>
      <c r="H949" s="6" t="n">
        <v>159.99</v>
      </c>
      <c r="I949" s="6" t="inlineStr"/>
      <c r="J949" s="5" t="inlineStr"/>
      <c r="K949" s="5" t="inlineStr">
        <is>
          <t>bill</t>
        </is>
      </c>
      <c r="L949" s="7" t="n">
        <v>95</v>
      </c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>
        <is>
          <t>https://www.tim.com.br/sp/para-voce/planos/pos-pago/tim-black</t>
        </is>
      </c>
      <c r="V949" s="5" t="inlineStr">
        <is>
          <t>data/raw/tim_postpaid_SP.html</t>
        </is>
      </c>
    </row>
    <row r="950">
      <c r="A950" s="2" t="inlineStr">
        <is>
          <t>2026-07-09</t>
        </is>
      </c>
      <c r="B950" s="2" t="inlineStr">
        <is>
          <t>2026-07-09T22:19:24</t>
        </is>
      </c>
      <c r="C950" s="2" t="inlineStr">
        <is>
          <t>tim</t>
        </is>
      </c>
      <c r="D950" s="2" t="inlineStr">
        <is>
          <t>postpaid</t>
        </is>
      </c>
      <c r="E950" s="2" t="inlineStr">
        <is>
          <t>SP</t>
        </is>
      </c>
      <c r="F950" s="2" t="inlineStr">
        <is>
          <t>TIM Black Plus 80GB</t>
        </is>
      </c>
      <c r="G950" s="2" t="inlineStr">
        <is>
          <t>tim:54256</t>
        </is>
      </c>
      <c r="H950" s="3" t="n">
        <v>149.99</v>
      </c>
      <c r="I950" s="3" t="inlineStr"/>
      <c r="J950" s="2" t="inlineStr"/>
      <c r="K950" s="2" t="inlineStr">
        <is>
          <t>bill</t>
        </is>
      </c>
      <c r="L950" s="4" t="n">
        <v>80</v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>
        <is>
          <t>https://www.tim.com.br/sp/para-voce/planos/pos-pago/tim-black</t>
        </is>
      </c>
      <c r="V950" s="2" t="inlineStr">
        <is>
          <t>data/raw/tim_postpaid_SP.html</t>
        </is>
      </c>
    </row>
    <row r="951">
      <c r="A951" s="5" t="inlineStr">
        <is>
          <t>2026-07-09</t>
        </is>
      </c>
      <c r="B951" s="5" t="inlineStr">
        <is>
          <t>2026-07-09T22:19:24</t>
        </is>
      </c>
      <c r="C951" s="5" t="inlineStr">
        <is>
          <t>tim</t>
        </is>
      </c>
      <c r="D951" s="5" t="inlineStr">
        <is>
          <t>postpaid</t>
        </is>
      </c>
      <c r="E951" s="5" t="inlineStr">
        <is>
          <t>SP</t>
        </is>
      </c>
      <c r="F951" s="5" t="inlineStr">
        <is>
          <t>TIM Black Premium 110GB</t>
        </is>
      </c>
      <c r="G951" s="5" t="inlineStr">
        <is>
          <t>tim:54261</t>
        </is>
      </c>
      <c r="H951" s="6" t="n">
        <v>159.99</v>
      </c>
      <c r="I951" s="6" t="inlineStr"/>
      <c r="J951" s="5" t="inlineStr"/>
      <c r="K951" s="5" t="inlineStr">
        <is>
          <t>bill</t>
        </is>
      </c>
      <c r="L951" s="7" t="n">
        <v>110</v>
      </c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>
        <is>
          <t>https://www.tim.com.br/sp/para-voce/planos/pos-pago/tim-black</t>
        </is>
      </c>
      <c r="V951" s="5" t="inlineStr">
        <is>
          <t>data/raw/tim_postpaid_SP.html</t>
        </is>
      </c>
    </row>
    <row r="952">
      <c r="A952" s="2" t="inlineStr">
        <is>
          <t>2026-07-09</t>
        </is>
      </c>
      <c r="B952" s="2" t="inlineStr">
        <is>
          <t>2026-07-09T22:19:24</t>
        </is>
      </c>
      <c r="C952" s="2" t="inlineStr">
        <is>
          <t>tim</t>
        </is>
      </c>
      <c r="D952" s="2" t="inlineStr">
        <is>
          <t>prepaid</t>
        </is>
      </c>
      <c r="E952" s="2" t="inlineStr">
        <is>
          <t>SP</t>
        </is>
      </c>
      <c r="F952" s="2" t="inlineStr">
        <is>
          <t>TIM Pré XIP Plus 16GB</t>
        </is>
      </c>
      <c r="G952" s="2" t="inlineStr">
        <is>
          <t>tim:106306</t>
        </is>
      </c>
      <c r="H952" s="3" t="n">
        <v>30</v>
      </c>
      <c r="I952" s="3" t="inlineStr"/>
      <c r="J952" s="2" t="inlineStr"/>
      <c r="K952" s="2" t="inlineStr"/>
      <c r="L952" s="4" t="n">
        <v>16</v>
      </c>
      <c r="M952" s="2" t="inlineStr"/>
      <c r="N952" s="2" t="n">
        <v>30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>
        <is>
          <t>https://www.tim.com.br/sp/para-voce/planos/pre-pago</t>
        </is>
      </c>
      <c r="V952" s="2" t="inlineStr">
        <is>
          <t>data/raw/tim_prepaid_SP.html</t>
        </is>
      </c>
    </row>
    <row r="953">
      <c r="A953" s="5" t="inlineStr">
        <is>
          <t>2026-07-09</t>
        </is>
      </c>
      <c r="B953" s="5" t="inlineStr">
        <is>
          <t>2026-07-09T22:19:24</t>
        </is>
      </c>
      <c r="C953" s="5" t="inlineStr">
        <is>
          <t>tim</t>
        </is>
      </c>
      <c r="D953" s="5" t="inlineStr">
        <is>
          <t>prepaid</t>
        </is>
      </c>
      <c r="E953" s="5" t="inlineStr">
        <is>
          <t>SP</t>
        </is>
      </c>
      <c r="F953" s="5" t="inlineStr">
        <is>
          <t>TIM Pré XIP Plus 6GB</t>
        </is>
      </c>
      <c r="G953" s="5" t="inlineStr">
        <is>
          <t>tim:59906</t>
        </is>
      </c>
      <c r="H953" s="6" t="n">
        <v>20</v>
      </c>
      <c r="I953" s="6" t="inlineStr"/>
      <c r="J953" s="5" t="inlineStr"/>
      <c r="K953" s="5" t="inlineStr"/>
      <c r="L953" s="7" t="n">
        <v>6</v>
      </c>
      <c r="M953" s="5" t="inlineStr"/>
      <c r="N953" s="5" t="n">
        <v>17</v>
      </c>
      <c r="O953" s="5" t="inlineStr"/>
      <c r="P953" s="5" t="inlineStr"/>
      <c r="Q953" s="5" t="inlineStr"/>
      <c r="R953" s="5" t="inlineStr"/>
      <c r="S953" s="5" t="inlineStr"/>
      <c r="T953" s="5" t="inlineStr"/>
      <c r="U953" s="5" t="inlineStr">
        <is>
          <t>https://www.tim.com.br/sp/para-voce/planos/pre-pago</t>
        </is>
      </c>
      <c r="V953" s="5" t="inlineStr">
        <is>
          <t>data/raw/tim_prepaid_SP.html</t>
        </is>
      </c>
    </row>
    <row r="954">
      <c r="A954" s="2" t="inlineStr">
        <is>
          <t>2026-07-09</t>
        </is>
      </c>
      <c r="B954" s="2" t="inlineStr">
        <is>
          <t>2026-07-09T22:19:24</t>
        </is>
      </c>
      <c r="C954" s="2" t="inlineStr">
        <is>
          <t>tim</t>
        </is>
      </c>
      <c r="D954" s="2" t="inlineStr">
        <is>
          <t>prepaid</t>
        </is>
      </c>
      <c r="E954" s="2" t="inlineStr">
        <is>
          <t>SP</t>
        </is>
      </c>
      <c r="F954" s="2" t="inlineStr">
        <is>
          <t>TIM Pré XIP Plus 8GB</t>
        </is>
      </c>
      <c r="G954" s="2" t="inlineStr">
        <is>
          <t>tim:59901</t>
        </is>
      </c>
      <c r="H954" s="3" t="n">
        <v>25</v>
      </c>
      <c r="I954" s="3" t="inlineStr"/>
      <c r="J954" s="2" t="inlineStr"/>
      <c r="K954" s="2" t="inlineStr"/>
      <c r="L954" s="4" t="n">
        <v>8</v>
      </c>
      <c r="M954" s="2" t="inlineStr"/>
      <c r="N954" s="2" t="n">
        <v>22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>
        <is>
          <t>https://www.tim.com.br/sp/para-voce/planos/pre-pago</t>
        </is>
      </c>
      <c r="V954" s="2" t="inlineStr">
        <is>
          <t>data/raw/tim_prepaid_SP.html</t>
        </is>
      </c>
    </row>
    <row r="955">
      <c r="A955" s="5" t="inlineStr">
        <is>
          <t>2026-07-09</t>
        </is>
      </c>
      <c r="B955" s="5" t="inlineStr">
        <is>
          <t>2026-07-09T22:19:24</t>
        </is>
      </c>
      <c r="C955" s="5" t="inlineStr">
        <is>
          <t>vivo</t>
        </is>
      </c>
      <c r="D955" s="5" t="inlineStr">
        <is>
          <t>control</t>
        </is>
      </c>
      <c r="E955" s="5" t="inlineStr">
        <is>
          <t>SP</t>
        </is>
      </c>
      <c r="F955" s="5" t="inlineStr">
        <is>
          <t>Vivo Controle</t>
        </is>
      </c>
      <c r="G955" s="5" t="inlineStr">
        <is>
          <t>vivo:VIV202600029270-46gb</t>
        </is>
      </c>
      <c r="H955" s="6" t="n">
        <v>59</v>
      </c>
      <c r="I955" s="6" t="inlineStr"/>
      <c r="J955" s="5" t="inlineStr"/>
      <c r="K955" s="5" t="inlineStr"/>
      <c r="L955" s="7" t="n">
        <v>46</v>
      </c>
      <c r="M955" s="5" t="inlineStr">
        <is>
          <t>15 GB de franquia 31 GB de bônus</t>
        </is>
      </c>
      <c r="N955" s="5" t="inlineStr"/>
      <c r="O955" s="5" t="inlineStr"/>
      <c r="P955" s="5" t="inlineStr"/>
      <c r="Q955" s="5" t="inlineStr"/>
      <c r="R955" s="5" t="inlineStr"/>
      <c r="S955" s="5" t="inlineStr"/>
      <c r="T955" s="5" t="inlineStr">
        <is>
          <t>2 meses de YouTube sem consumo no plano</t>
        </is>
      </c>
      <c r="U955" s="5" t="inlineStr">
        <is>
          <t>https://vivo.com.br/para-voce/produtos-e-servicos/para-o-celular/planos-controle</t>
        </is>
      </c>
      <c r="V955" s="5" t="inlineStr">
        <is>
          <t>data/raw/vivo_control_SP.html</t>
        </is>
      </c>
    </row>
    <row r="956">
      <c r="A956" s="2" t="inlineStr">
        <is>
          <t>2026-07-09</t>
        </is>
      </c>
      <c r="B956" s="2" t="inlineStr">
        <is>
          <t>2026-07-09T22:19:24</t>
        </is>
      </c>
      <c r="C956" s="2" t="inlineStr">
        <is>
          <t>vivo</t>
        </is>
      </c>
      <c r="D956" s="2" t="inlineStr">
        <is>
          <t>control</t>
        </is>
      </c>
      <c r="E956" s="2" t="inlineStr">
        <is>
          <t>SP</t>
        </is>
      </c>
      <c r="F956" s="2" t="inlineStr">
        <is>
          <t>Vivo Controle</t>
        </is>
      </c>
      <c r="G956" s="2" t="inlineStr">
        <is>
          <t>vivo:VIV202600029300-61gb</t>
        </is>
      </c>
      <c r="H956" s="3" t="n">
        <v>80</v>
      </c>
      <c r="I956" s="3" t="inlineStr"/>
      <c r="J956" s="2" t="inlineStr"/>
      <c r="K956" s="2" t="inlineStr"/>
      <c r="L956" s="4" t="n">
        <v>61</v>
      </c>
      <c r="M956" s="2" t="inlineStr">
        <is>
          <t>20 GB de franquia 31 GB de bônus</t>
        </is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>
        <is>
          <t>2 meses de YouTube sem consumo no plano</t>
        </is>
      </c>
      <c r="U956" s="2" t="inlineStr">
        <is>
          <t>https://vivo.com.br/para-voce/produtos-e-servicos/para-o-celular/planos-controle</t>
        </is>
      </c>
      <c r="V956" s="2" t="inlineStr">
        <is>
          <t>data/raw/vivo_control_SP.html</t>
        </is>
      </c>
    </row>
    <row r="957">
      <c r="A957" s="5" t="inlineStr">
        <is>
          <t>2026-07-09</t>
        </is>
      </c>
      <c r="B957" s="5" t="inlineStr">
        <is>
          <t>2026-07-09T22:19:24</t>
        </is>
      </c>
      <c r="C957" s="5" t="inlineStr">
        <is>
          <t>vivo</t>
        </is>
      </c>
      <c r="D957" s="5" t="inlineStr">
        <is>
          <t>control</t>
        </is>
      </c>
      <c r="E957" s="5" t="inlineStr">
        <is>
          <t>SP</t>
        </is>
      </c>
      <c r="F957" s="5" t="inlineStr">
        <is>
          <t>Vivo Controle Educação</t>
        </is>
      </c>
      <c r="G957" s="5" t="inlineStr">
        <is>
          <t>vivo:VIV202600029273-61gb</t>
        </is>
      </c>
      <c r="H957" s="6" t="n">
        <v>90</v>
      </c>
      <c r="I957" s="6" t="inlineStr"/>
      <c r="J957" s="5" t="inlineStr"/>
      <c r="K957" s="5" t="inlineStr"/>
      <c r="L957" s="7" t="n">
        <v>61</v>
      </c>
      <c r="M957" s="5" t="inlineStr">
        <is>
          <t>20 GB de franquia 31 GB de bônus</t>
        </is>
      </c>
      <c r="N957" s="5" t="inlineStr"/>
      <c r="O957" s="5" t="inlineStr"/>
      <c r="P957" s="5" t="inlineStr"/>
      <c r="Q957" s="5" t="inlineStr"/>
      <c r="R957" s="5" t="inlineStr"/>
      <c r="S957" s="5" t="inlineStr"/>
      <c r="T957" s="5" t="inlineStr">
        <is>
          <t>Assinatura Vivae inclusa</t>
        </is>
      </c>
      <c r="U957" s="5" t="inlineStr">
        <is>
          <t>https://vivo.com.br/para-voce/produtos-e-servicos/para-o-celular/planos-controle</t>
        </is>
      </c>
      <c r="V957" s="5" t="inlineStr">
        <is>
          <t>data/raw/vivo_control_SP.html</t>
        </is>
      </c>
    </row>
    <row r="958">
      <c r="A958" s="2" t="inlineStr">
        <is>
          <t>2026-07-09</t>
        </is>
      </c>
      <c r="B958" s="2" t="inlineStr">
        <is>
          <t>2026-07-09T22:19:24</t>
        </is>
      </c>
      <c r="C958" s="2" t="inlineStr">
        <is>
          <t>vivo</t>
        </is>
      </c>
      <c r="D958" s="2" t="inlineStr">
        <is>
          <t>control</t>
        </is>
      </c>
      <c r="E958" s="2" t="inlineStr">
        <is>
          <t>SP</t>
        </is>
      </c>
      <c r="F958" s="2" t="inlineStr">
        <is>
          <t>Vivo Controle Entretenimento</t>
        </is>
      </c>
      <c r="G958" s="2" t="inlineStr">
        <is>
          <t>vivo:VIV202600029307-61gb</t>
        </is>
      </c>
      <c r="H958" s="3" t="n">
        <v>110</v>
      </c>
      <c r="I958" s="3" t="inlineStr"/>
      <c r="J958" s="2" t="inlineStr"/>
      <c r="K958" s="2" t="inlineStr"/>
      <c r="L958" s="4" t="n">
        <v>61</v>
      </c>
      <c r="M958" s="2" t="inlineStr">
        <is>
          <t>20 GB de franquia 31 GB de bônus</t>
        </is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>
        <is>
          <t>Assinatura Vivo TV Inicial inclusa</t>
        </is>
      </c>
      <c r="U958" s="2" t="inlineStr">
        <is>
          <t>https://vivo.com.br/para-voce/produtos-e-servicos/para-o-celular/planos-controle</t>
        </is>
      </c>
      <c r="V958" s="2" t="inlineStr">
        <is>
          <t>data/raw/vivo_control_SP.html</t>
        </is>
      </c>
    </row>
    <row r="959">
      <c r="A959" s="5" t="inlineStr">
        <is>
          <t>2026-07-09</t>
        </is>
      </c>
      <c r="B959" s="5" t="inlineStr">
        <is>
          <t>2026-07-09T22:19:24</t>
        </is>
      </c>
      <c r="C959" s="5" t="inlineStr">
        <is>
          <t>vivo</t>
        </is>
      </c>
      <c r="D959" s="5" t="inlineStr">
        <is>
          <t>control</t>
        </is>
      </c>
      <c r="E959" s="5" t="inlineStr">
        <is>
          <t>SP</t>
        </is>
      </c>
      <c r="F959" s="5" t="inlineStr">
        <is>
          <t>Vivo Controle Música</t>
        </is>
      </c>
      <c r="G959" s="5" t="inlineStr">
        <is>
          <t>vivo:VIV202600029313-61gb</t>
        </is>
      </c>
      <c r="H959" s="6" t="n">
        <v>90</v>
      </c>
      <c r="I959" s="6" t="inlineStr"/>
      <c r="J959" s="5" t="inlineStr"/>
      <c r="K959" s="5" t="inlineStr"/>
      <c r="L959" s="7" t="n">
        <v>61</v>
      </c>
      <c r="M959" s="5" t="inlineStr">
        <is>
          <t>20 GB de franquia 31 GB de bônus</t>
        </is>
      </c>
      <c r="N959" s="5" t="inlineStr"/>
      <c r="O959" s="5" t="inlineStr"/>
      <c r="P959" s="5" t="inlineStr"/>
      <c r="Q959" s="5" t="inlineStr"/>
      <c r="R959" s="5" t="inlineStr"/>
      <c r="S959" s="5" t="inlineStr"/>
      <c r="T959" s="5" t="inlineStr">
        <is>
          <t>Apple Music Individual</t>
        </is>
      </c>
      <c r="U959" s="5" t="inlineStr">
        <is>
          <t>https://vivo.com.br/para-voce/produtos-e-servicos/para-o-celular/planos-controle</t>
        </is>
      </c>
      <c r="V959" s="5" t="inlineStr">
        <is>
          <t>data/raw/vivo_control_SP.html</t>
        </is>
      </c>
    </row>
    <row r="960">
      <c r="A960" s="2" t="inlineStr">
        <is>
          <t>2026-07-09</t>
        </is>
      </c>
      <c r="B960" s="2" t="inlineStr">
        <is>
          <t>2026-07-09T22:19:24</t>
        </is>
      </c>
      <c r="C960" s="2" t="inlineStr">
        <is>
          <t>vivo</t>
        </is>
      </c>
      <c r="D960" s="2" t="inlineStr">
        <is>
          <t>control</t>
        </is>
      </c>
      <c r="E960" s="2" t="inlineStr">
        <is>
          <t>SP</t>
        </is>
      </c>
      <c r="F960" s="2" t="inlineStr">
        <is>
          <t>Vivo Controle Netflix</t>
        </is>
      </c>
      <c r="G960" s="2" t="inlineStr">
        <is>
          <t>vivo:VIV202600029308-61gb</t>
        </is>
      </c>
      <c r="H960" s="3" t="n">
        <v>95</v>
      </c>
      <c r="I960" s="3" t="inlineStr"/>
      <c r="J960" s="2" t="inlineStr"/>
      <c r="K960" s="2" t="inlineStr"/>
      <c r="L960" s="4" t="n">
        <v>61</v>
      </c>
      <c r="M960" s="2" t="inlineStr">
        <is>
          <t>20 GB de franquia 31 GB de bônus</t>
        </is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>
        <is>
          <t>Assinatura Netflix Padrão com anúncios</t>
        </is>
      </c>
      <c r="U960" s="2" t="inlineStr">
        <is>
          <t>https://vivo.com.br/para-voce/produtos-e-servicos/para-o-celular/planos-controle</t>
        </is>
      </c>
      <c r="V960" s="2" t="inlineStr">
        <is>
          <t>data/raw/vivo_control_SP.html</t>
        </is>
      </c>
    </row>
    <row r="961">
      <c r="A961" s="5" t="inlineStr">
        <is>
          <t>2026-07-09</t>
        </is>
      </c>
      <c r="B961" s="5" t="inlineStr">
        <is>
          <t>2026-07-09T22:19:24</t>
        </is>
      </c>
      <c r="C961" s="5" t="inlineStr">
        <is>
          <t>vivo</t>
        </is>
      </c>
      <c r="D961" s="5" t="inlineStr">
        <is>
          <t>control</t>
        </is>
      </c>
      <c r="E961" s="5" t="inlineStr">
        <is>
          <t>SP</t>
        </is>
      </c>
      <c r="F961" s="5" t="inlineStr">
        <is>
          <t>Vivo Controle Saúde</t>
        </is>
      </c>
      <c r="G961" s="5" t="inlineStr">
        <is>
          <t>vivo:VIV202600029301-61gb</t>
        </is>
      </c>
      <c r="H961" s="6" t="n">
        <v>90</v>
      </c>
      <c r="I961" s="6" t="inlineStr"/>
      <c r="J961" s="5" t="inlineStr"/>
      <c r="K961" s="5" t="inlineStr"/>
      <c r="L961" s="7" t="n">
        <v>61</v>
      </c>
      <c r="M961" s="5" t="inlineStr">
        <is>
          <t>20 GB de franquia 31 GB de bônus</t>
        </is>
      </c>
      <c r="N961" s="5" t="inlineStr"/>
      <c r="O961" s="5" t="inlineStr"/>
      <c r="P961" s="5" t="inlineStr"/>
      <c r="Q961" s="5" t="inlineStr"/>
      <c r="R961" s="5" t="inlineStr"/>
      <c r="S961" s="5" t="inlineStr"/>
      <c r="T961" s="5" t="inlineStr">
        <is>
          <t>Assinatura Vale Saúde Sempre inclusa</t>
        </is>
      </c>
      <c r="U961" s="5" t="inlineStr">
        <is>
          <t>https://vivo.com.br/para-voce/produtos-e-servicos/para-o-celular/planos-controle</t>
        </is>
      </c>
      <c r="V961" s="5" t="inlineStr">
        <is>
          <t>data/raw/vivo_control_SP.html</t>
        </is>
      </c>
    </row>
    <row r="962">
      <c r="A962" s="2" t="inlineStr">
        <is>
          <t>2026-07-09</t>
        </is>
      </c>
      <c r="B962" s="2" t="inlineStr">
        <is>
          <t>2026-07-09T22:19:24</t>
        </is>
      </c>
      <c r="C962" s="2" t="inlineStr">
        <is>
          <t>vivo</t>
        </is>
      </c>
      <c r="D962" s="2" t="inlineStr">
        <is>
          <t>lite</t>
        </is>
      </c>
      <c r="E962" s="2" t="inlineStr">
        <is>
          <t>SP</t>
        </is>
      </c>
      <c r="F962" s="2" t="inlineStr">
        <is>
          <t>Easy Lite</t>
        </is>
      </c>
      <c r="G962" s="2" t="inlineStr">
        <is>
          <t>vivo:VIV202600032594-30gb</t>
        </is>
      </c>
      <c r="H962" s="3" t="n">
        <v>45</v>
      </c>
      <c r="I962" s="3" t="n">
        <v>30</v>
      </c>
      <c r="J962" s="2" t="inlineStr">
        <is>
          <t>preço sem fidelidade; fidelidade 12m no promo</t>
        </is>
      </c>
      <c r="K962" s="2" t="inlineStr"/>
      <c r="L962" s="4" t="n">
        <v>30</v>
      </c>
      <c r="M962" s="2" t="inlineStr">
        <is>
          <t>30 GB de franquia</t>
        </is>
      </c>
      <c r="N962" s="2" t="inlineStr"/>
      <c r="O962" s="2" t="inlineStr"/>
      <c r="P962" s="2" t="inlineStr"/>
      <c r="Q962" s="2" t="inlineStr"/>
      <c r="R962" s="2" t="inlineStr"/>
      <c r="S962" s="2" t="n">
        <v>12</v>
      </c>
      <c r="T962" s="2" t="inlineStr">
        <is>
          <t>2 meses de YouTube sem consumo no plano</t>
        </is>
      </c>
      <c r="U962" s="2" t="inlineStr">
        <is>
          <t>https://vivo.com.br/para-voce/produtos-e-servicos/para-o-celular/easy-lite</t>
        </is>
      </c>
      <c r="V962" s="2" t="inlineStr">
        <is>
          <t>data/raw/vivo_lite_SP.html</t>
        </is>
      </c>
    </row>
    <row r="963">
      <c r="A963" s="5" t="inlineStr">
        <is>
          <t>2026-07-09</t>
        </is>
      </c>
      <c r="B963" s="5" t="inlineStr">
        <is>
          <t>2026-07-09T22:19:24</t>
        </is>
      </c>
      <c r="C963" s="5" t="inlineStr">
        <is>
          <t>vivo</t>
        </is>
      </c>
      <c r="D963" s="5" t="inlineStr">
        <is>
          <t>lite</t>
        </is>
      </c>
      <c r="E963" s="5" t="inlineStr">
        <is>
          <t>SP</t>
        </is>
      </c>
      <c r="F963" s="5" t="inlineStr">
        <is>
          <t>Easy Lite</t>
        </is>
      </c>
      <c r="G963" s="5" t="inlineStr">
        <is>
          <t>vivo:VIV202600032596-40gb</t>
        </is>
      </c>
      <c r="H963" s="6" t="n">
        <v>55</v>
      </c>
      <c r="I963" s="6" t="n">
        <v>40</v>
      </c>
      <c r="J963" s="5" t="inlineStr">
        <is>
          <t>preço sem fidelidade; fidelidade 12m no promo</t>
        </is>
      </c>
      <c r="K963" s="5" t="inlineStr"/>
      <c r="L963" s="7" t="n">
        <v>40</v>
      </c>
      <c r="M963" s="5" t="inlineStr">
        <is>
          <t>40 GB de franquia</t>
        </is>
      </c>
      <c r="N963" s="5" t="inlineStr"/>
      <c r="O963" s="5" t="inlineStr"/>
      <c r="P963" s="5" t="inlineStr"/>
      <c r="Q963" s="5" t="inlineStr"/>
      <c r="R963" s="5" t="inlineStr"/>
      <c r="S963" s="5" t="n">
        <v>12</v>
      </c>
      <c r="T963" s="5" t="inlineStr">
        <is>
          <t>2 meses de YouTube sem consumo no plano</t>
        </is>
      </c>
      <c r="U963" s="5" t="inlineStr">
        <is>
          <t>https://vivo.com.br/para-voce/produtos-e-servicos/para-o-celular/easy-lite</t>
        </is>
      </c>
      <c r="V963" s="5" t="inlineStr">
        <is>
          <t>data/raw/vivo_lite_SP.html</t>
        </is>
      </c>
    </row>
    <row r="964">
      <c r="A964" s="2" t="inlineStr">
        <is>
          <t>2026-07-09</t>
        </is>
      </c>
      <c r="B964" s="2" t="inlineStr">
        <is>
          <t>2026-07-09T22:19:24</t>
        </is>
      </c>
      <c r="C964" s="2" t="inlineStr">
        <is>
          <t>vivo</t>
        </is>
      </c>
      <c r="D964" s="2" t="inlineStr">
        <is>
          <t>lite</t>
        </is>
      </c>
      <c r="E964" s="2" t="inlineStr">
        <is>
          <t>SP</t>
        </is>
      </c>
      <c r="F964" s="2" t="inlineStr">
        <is>
          <t>Easy Lite</t>
        </is>
      </c>
      <c r="G964" s="2" t="inlineStr">
        <is>
          <t>vivo:VIV202600032599-20gb</t>
        </is>
      </c>
      <c r="H964" s="3" t="n">
        <v>35</v>
      </c>
      <c r="I964" s="3" t="inlineStr"/>
      <c r="J964" s="2" t="inlineStr"/>
      <c r="K964" s="2" t="inlineStr"/>
      <c r="L964" s="4" t="n">
        <v>20</v>
      </c>
      <c r="M964" s="2" t="inlineStr">
        <is>
          <t>20 GB de franquia</t>
        </is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>
        <is>
          <t>2 meses de YouTube sem consumo no plano</t>
        </is>
      </c>
      <c r="U964" s="2" t="inlineStr">
        <is>
          <t>https://vivo.com.br/para-voce/produtos-e-servicos/para-o-celular/easy-lite</t>
        </is>
      </c>
      <c r="V964" s="2" t="inlineStr">
        <is>
          <t>data/raw/vivo_lite_SP.html</t>
        </is>
      </c>
    </row>
    <row r="965">
      <c r="A965" s="5" t="inlineStr">
        <is>
          <t>2026-07-09</t>
        </is>
      </c>
      <c r="B965" s="5" t="inlineStr">
        <is>
          <t>2026-07-09T22:19:24</t>
        </is>
      </c>
      <c r="C965" s="5" t="inlineStr">
        <is>
          <t>vivo</t>
        </is>
      </c>
      <c r="D965" s="5" t="inlineStr">
        <is>
          <t>postpaid</t>
        </is>
      </c>
      <c r="E965" s="5" t="inlineStr">
        <is>
          <t>SP</t>
        </is>
      </c>
      <c r="F965" s="5" t="inlineStr">
        <is>
          <t>Vivo Pós com Amazon</t>
        </is>
      </c>
      <c r="G965" s="5" t="inlineStr">
        <is>
          <t>vivo:VIV202600029255-60gb</t>
        </is>
      </c>
      <c r="H965" s="6" t="n">
        <v>150</v>
      </c>
      <c r="I965" s="6" t="inlineStr"/>
      <c r="J965" s="5" t="inlineStr"/>
      <c r="K965" s="5" t="inlineStr"/>
      <c r="L965" s="7" t="n">
        <v>60</v>
      </c>
      <c r="M965" s="5" t="inlineStr">
        <is>
          <t>50 GB de franquia 10 GB de bônus</t>
        </is>
      </c>
      <c r="N965" s="5" t="inlineStr"/>
      <c r="O965" s="5" t="inlineStr"/>
      <c r="P965" s="5" t="inlineStr"/>
      <c r="Q965" s="5" t="inlineStr"/>
      <c r="R965" s="5" t="inlineStr"/>
      <c r="S965" s="5" t="inlineStr"/>
      <c r="T965" s="5" t="inlineStr">
        <is>
          <t>Assinatura Amazon Prime inclusa</t>
        </is>
      </c>
      <c r="U965" s="5" t="inlineStr">
        <is>
          <t>https://vivo.com.br/para-voce/produtos-e-servicos/para-o-celular/planos-pos-pago</t>
        </is>
      </c>
      <c r="V965" s="5" t="inlineStr">
        <is>
          <t>data/raw/vivo_postpaid_SP.html</t>
        </is>
      </c>
    </row>
    <row r="966">
      <c r="A966" s="2" t="inlineStr">
        <is>
          <t>2026-07-09</t>
        </is>
      </c>
      <c r="B966" s="2" t="inlineStr">
        <is>
          <t>2026-07-09T22:19:24</t>
        </is>
      </c>
      <c r="C966" s="2" t="inlineStr">
        <is>
          <t>vivo</t>
        </is>
      </c>
      <c r="D966" s="2" t="inlineStr">
        <is>
          <t>postpaid</t>
        </is>
      </c>
      <c r="E966" s="2" t="inlineStr">
        <is>
          <t>SP</t>
        </is>
      </c>
      <c r="F966" s="2" t="inlineStr">
        <is>
          <t>Vivo Pós com Disney+</t>
        </is>
      </c>
      <c r="G966" s="2" t="inlineStr">
        <is>
          <t>vivo:VIV202600022115-60gb</t>
        </is>
      </c>
      <c r="H966" s="3" t="n">
        <v>180</v>
      </c>
      <c r="I966" s="3" t="inlineStr"/>
      <c r="J966" s="2" t="inlineStr"/>
      <c r="K966" s="2" t="inlineStr"/>
      <c r="L966" s="4" t="n">
        <v>60</v>
      </c>
      <c r="M966" s="2" t="inlineStr">
        <is>
          <t>50 GB de franquia 10 GB de bônus</t>
        </is>
      </c>
      <c r="N966" s="2" t="inlineStr"/>
      <c r="O966" s="2" t="inlineStr"/>
      <c r="P966" s="2" t="inlineStr"/>
      <c r="Q966" s="2" t="inlineStr"/>
      <c r="R966" s="2" t="inlineStr">
        <is>
          <t>Disney+</t>
        </is>
      </c>
      <c r="S966" s="2" t="inlineStr"/>
      <c r="T966" s="2" t="inlineStr">
        <is>
          <t>Assinatura Disney+ Padrão inclusa</t>
        </is>
      </c>
      <c r="U966" s="2" t="inlineStr">
        <is>
          <t>https://vivo.com.br/para-voce/produtos-e-servicos/para-o-celular/planos-pos-pago</t>
        </is>
      </c>
      <c r="V966" s="2" t="inlineStr">
        <is>
          <t>data/raw/vivo_postpaid_SP.html</t>
        </is>
      </c>
    </row>
    <row r="967">
      <c r="A967" s="5" t="inlineStr">
        <is>
          <t>2026-07-09</t>
        </is>
      </c>
      <c r="B967" s="5" t="inlineStr">
        <is>
          <t>2026-07-09T22:19:24</t>
        </is>
      </c>
      <c r="C967" s="5" t="inlineStr">
        <is>
          <t>vivo</t>
        </is>
      </c>
      <c r="D967" s="5" t="inlineStr">
        <is>
          <t>postpaid</t>
        </is>
      </c>
      <c r="E967" s="5" t="inlineStr">
        <is>
          <t>SP</t>
        </is>
      </c>
      <c r="F967" s="5" t="inlineStr">
        <is>
          <t>Vivo Pós com Globoplay</t>
        </is>
      </c>
      <c r="G967" s="5" t="inlineStr">
        <is>
          <t>vivo:VIV202600029246-60gb</t>
        </is>
      </c>
      <c r="H967" s="6" t="n">
        <v>165</v>
      </c>
      <c r="I967" s="6" t="inlineStr"/>
      <c r="J967" s="5" t="inlineStr"/>
      <c r="K967" s="5" t="inlineStr"/>
      <c r="L967" s="7" t="n">
        <v>60</v>
      </c>
      <c r="M967" s="5" t="inlineStr">
        <is>
          <t>50 GB de franquia 10 GB de bônus</t>
        </is>
      </c>
      <c r="N967" s="5" t="inlineStr"/>
      <c r="O967" s="5" t="inlineStr"/>
      <c r="P967" s="5" t="inlineStr"/>
      <c r="Q967" s="5" t="inlineStr"/>
      <c r="R967" s="5" t="inlineStr">
        <is>
          <t>Globoplay</t>
        </is>
      </c>
      <c r="S967" s="5" t="inlineStr"/>
      <c r="T967" s="5" t="inlineStr">
        <is>
          <t>Assinatura Globoplay inclusa</t>
        </is>
      </c>
      <c r="U967" s="5" t="inlineStr">
        <is>
          <t>https://vivo.com.br/para-voce/produtos-e-servicos/para-o-celular/planos-pos-pago</t>
        </is>
      </c>
      <c r="V967" s="5" t="inlineStr">
        <is>
          <t>data/raw/vivo_postpaid_SP.html</t>
        </is>
      </c>
    </row>
    <row r="968">
      <c r="A968" s="2" t="inlineStr">
        <is>
          <t>2026-07-09</t>
        </is>
      </c>
      <c r="B968" s="2" t="inlineStr">
        <is>
          <t>2026-07-09T22:19:24</t>
        </is>
      </c>
      <c r="C968" s="2" t="inlineStr">
        <is>
          <t>vivo</t>
        </is>
      </c>
      <c r="D968" s="2" t="inlineStr">
        <is>
          <t>postpaid</t>
        </is>
      </c>
      <c r="E968" s="2" t="inlineStr">
        <is>
          <t>SP</t>
        </is>
      </c>
      <c r="F968" s="2" t="inlineStr">
        <is>
          <t>Vivo Pós com Netflix</t>
        </is>
      </c>
      <c r="G968" s="2" t="inlineStr">
        <is>
          <t>vivo:VIV202600029234-60gb</t>
        </is>
      </c>
      <c r="H968" s="3" t="n">
        <v>180</v>
      </c>
      <c r="I968" s="3" t="inlineStr"/>
      <c r="J968" s="2" t="inlineStr"/>
      <c r="K968" s="2" t="inlineStr"/>
      <c r="L968" s="4" t="n">
        <v>60</v>
      </c>
      <c r="M968" s="2" t="inlineStr">
        <is>
          <t>50 GB de franquia 10 GB de bônus</t>
        </is>
      </c>
      <c r="N968" s="2" t="inlineStr"/>
      <c r="O968" s="2" t="inlineStr"/>
      <c r="P968" s="2" t="inlineStr"/>
      <c r="Q968" s="2" t="inlineStr"/>
      <c r="R968" s="2" t="inlineStr">
        <is>
          <t>Netflix</t>
        </is>
      </c>
      <c r="S968" s="2" t="inlineStr"/>
      <c r="T968" s="2" t="inlineStr">
        <is>
          <t>Assinatura Netflix Padrão inclusa</t>
        </is>
      </c>
      <c r="U968" s="2" t="inlineStr">
        <is>
          <t>https://vivo.com.br/para-voce/produtos-e-servicos/para-o-celular/planos-pos-pago</t>
        </is>
      </c>
      <c r="V968" s="2" t="inlineStr">
        <is>
          <t>data/raw/vivo_postpaid_SP.html</t>
        </is>
      </c>
    </row>
    <row r="969">
      <c r="A969" s="5" t="inlineStr">
        <is>
          <t>2026-07-09</t>
        </is>
      </c>
      <c r="B969" s="5" t="inlineStr">
        <is>
          <t>2026-07-09T22:19:24</t>
        </is>
      </c>
      <c r="C969" s="5" t="inlineStr">
        <is>
          <t>vivo</t>
        </is>
      </c>
      <c r="D969" s="5" t="inlineStr">
        <is>
          <t>postpaid</t>
        </is>
      </c>
      <c r="E969" s="5" t="inlineStr">
        <is>
          <t>SP</t>
        </is>
      </c>
      <c r="F969" s="5" t="inlineStr">
        <is>
          <t>Vivo Pós com Premiere</t>
        </is>
      </c>
      <c r="G969" s="5" t="inlineStr">
        <is>
          <t>vivo:VIV202600029249-60gb</t>
        </is>
      </c>
      <c r="H969" s="6" t="n">
        <v>180</v>
      </c>
      <c r="I969" s="6" t="inlineStr"/>
      <c r="J969" s="5" t="inlineStr"/>
      <c r="K969" s="5" t="inlineStr"/>
      <c r="L969" s="7" t="n">
        <v>60</v>
      </c>
      <c r="M969" s="5" t="inlineStr">
        <is>
          <t>50 GB de franquia 10 GB de bônus</t>
        </is>
      </c>
      <c r="N969" s="5" t="inlineStr"/>
      <c r="O969" s="5" t="inlineStr"/>
      <c r="P969" s="5" t="inlineStr"/>
      <c r="Q969" s="5" t="inlineStr"/>
      <c r="R969" s="5" t="inlineStr">
        <is>
          <t>Premiere</t>
        </is>
      </c>
      <c r="S969" s="5" t="inlineStr"/>
      <c r="T969" s="5" t="inlineStr">
        <is>
          <t>Assinatura Premiere inclusa</t>
        </is>
      </c>
      <c r="U969" s="5" t="inlineStr">
        <is>
          <t>https://vivo.com.br/para-voce/produtos-e-servicos/para-o-celular/planos-pos-pago</t>
        </is>
      </c>
      <c r="V969" s="5" t="inlineStr">
        <is>
          <t>data/raw/vivo_postpaid_SP.html</t>
        </is>
      </c>
    </row>
    <row r="970">
      <c r="A970" s="2" t="inlineStr">
        <is>
          <t>2026-07-09</t>
        </is>
      </c>
      <c r="B970" s="2" t="inlineStr">
        <is>
          <t>2026-07-09T22:19:24</t>
        </is>
      </c>
      <c r="C970" s="2" t="inlineStr">
        <is>
          <t>vivo</t>
        </is>
      </c>
      <c r="D970" s="2" t="inlineStr">
        <is>
          <t>postpaid</t>
        </is>
      </c>
      <c r="E970" s="2" t="inlineStr">
        <is>
          <t>SP</t>
        </is>
      </c>
      <c r="F970" s="2" t="inlineStr">
        <is>
          <t>Vivo Pós com Spotify</t>
        </is>
      </c>
      <c r="G970" s="2" t="inlineStr">
        <is>
          <t>vivo:VIV202600029229-60gb</t>
        </is>
      </c>
      <c r="H970" s="3" t="n">
        <v>165</v>
      </c>
      <c r="I970" s="3" t="inlineStr"/>
      <c r="J970" s="2" t="inlineStr"/>
      <c r="K970" s="2" t="inlineStr"/>
      <c r="L970" s="4" t="n">
        <v>60</v>
      </c>
      <c r="M970" s="2" t="inlineStr">
        <is>
          <t>50 GB de franquia 10 GB de bônus</t>
        </is>
      </c>
      <c r="N970" s="2" t="inlineStr"/>
      <c r="O970" s="2" t="inlineStr"/>
      <c r="P970" s="2" t="inlineStr"/>
      <c r="Q970" s="2" t="inlineStr"/>
      <c r="R970" s="2" t="inlineStr">
        <is>
          <t>Spotify</t>
        </is>
      </c>
      <c r="S970" s="2" t="inlineStr"/>
      <c r="T970" s="2" t="inlineStr">
        <is>
          <t>Assinatura Spotify Premium inclusa</t>
        </is>
      </c>
      <c r="U970" s="2" t="inlineStr">
        <is>
          <t>https://vivo.com.br/para-voce/produtos-e-servicos/para-o-celular/planos-pos-pago</t>
        </is>
      </c>
      <c r="V970" s="2" t="inlineStr">
        <is>
          <t>data/raw/vivo_postpaid_SP.html</t>
        </is>
      </c>
    </row>
    <row r="971">
      <c r="A971" s="5" t="inlineStr">
        <is>
          <t>2026-07-09</t>
        </is>
      </c>
      <c r="B971" s="5" t="inlineStr">
        <is>
          <t>2026-07-09T22:19:24</t>
        </is>
      </c>
      <c r="C971" s="5" t="inlineStr">
        <is>
          <t>vivo</t>
        </is>
      </c>
      <c r="D971" s="5" t="inlineStr">
        <is>
          <t>postpaid</t>
        </is>
      </c>
      <c r="E971" s="5" t="inlineStr">
        <is>
          <t>SP</t>
        </is>
      </c>
      <c r="F971" s="5" t="inlineStr">
        <is>
          <t>Vivo Pós com Travel</t>
        </is>
      </c>
      <c r="G971" s="5" t="inlineStr">
        <is>
          <t>vivo:VIV202600029244-70gb</t>
        </is>
      </c>
      <c r="H971" s="6" t="n">
        <v>215</v>
      </c>
      <c r="I971" s="6" t="inlineStr"/>
      <c r="J971" s="5" t="inlineStr"/>
      <c r="K971" s="5" t="inlineStr"/>
      <c r="L971" s="7" t="n">
        <v>70</v>
      </c>
      <c r="M971" s="5" t="inlineStr">
        <is>
          <t>60 GB de franquia 10 GB de bônus</t>
        </is>
      </c>
      <c r="N971" s="5" t="inlineStr"/>
      <c r="O971" s="5" t="inlineStr"/>
      <c r="P971" s="5" t="inlineStr"/>
      <c r="Q971" s="5" t="inlineStr"/>
      <c r="R971" s="5" t="inlineStr"/>
      <c r="S971" s="5" t="inlineStr"/>
      <c r="T971" s="5" t="inlineStr">
        <is>
          <t>2 meses de YouTube sem consumo no plano</t>
        </is>
      </c>
      <c r="U971" s="5" t="inlineStr">
        <is>
          <t>https://vivo.com.br/para-voce/produtos-e-servicos/para-o-celular/planos-pos-pago</t>
        </is>
      </c>
      <c r="V971" s="5" t="inlineStr">
        <is>
          <t>data/raw/vivo_postpaid_SP.html</t>
        </is>
      </c>
    </row>
    <row r="972">
      <c r="A972" s="2" t="inlineStr">
        <is>
          <t>2026-07-09</t>
        </is>
      </c>
      <c r="B972" s="2" t="inlineStr">
        <is>
          <t>2026-07-09T22:19:24</t>
        </is>
      </c>
      <c r="C972" s="2" t="inlineStr">
        <is>
          <t>vivo</t>
        </is>
      </c>
      <c r="D972" s="2" t="inlineStr">
        <is>
          <t>prepaid</t>
        </is>
      </c>
      <c r="E972" s="2" t="inlineStr">
        <is>
          <t>SP</t>
        </is>
      </c>
      <c r="F972" s="2" t="inlineStr">
        <is>
          <t>Vivo Pré</t>
        </is>
      </c>
      <c r="G972" s="2" t="inlineStr">
        <is>
          <t>vivo:VIV202600029370-25gb</t>
        </is>
      </c>
      <c r="H972" s="3" t="n">
        <v>30</v>
      </c>
      <c r="I972" s="3" t="inlineStr"/>
      <c r="J972" s="2" t="inlineStr"/>
      <c r="K972" s="2" t="inlineStr"/>
      <c r="L972" s="4" t="n">
        <v>25</v>
      </c>
      <c r="M972" s="2" t="inlineStr">
        <is>
          <t>15 GB para navegar como quiser 5 GB de bônus 5 GB para navegar no Youtube</t>
        </is>
      </c>
      <c r="N972" s="2" t="n">
        <v>30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>
        <is>
          <t>https://vivo.com.br/para-voce/produtos-e-servicos/para-o-celular/pre-pago/vivo-pre</t>
        </is>
      </c>
      <c r="V972" s="2" t="inlineStr">
        <is>
          <t>data/raw/vivo_prepaid_SP.html</t>
        </is>
      </c>
    </row>
    <row r="973">
      <c r="A973" s="5" t="inlineStr">
        <is>
          <t>2026-07-09</t>
        </is>
      </c>
      <c r="B973" s="5" t="inlineStr">
        <is>
          <t>2026-07-09T22:19:24</t>
        </is>
      </c>
      <c r="C973" s="5" t="inlineStr">
        <is>
          <t>vivo</t>
        </is>
      </c>
      <c r="D973" s="5" t="inlineStr">
        <is>
          <t>prepaid</t>
        </is>
      </c>
      <c r="E973" s="5" t="inlineStr">
        <is>
          <t>SP</t>
        </is>
      </c>
      <c r="F973" s="5" t="inlineStr">
        <is>
          <t>Vivo Pré</t>
        </is>
      </c>
      <c r="G973" s="5" t="inlineStr">
        <is>
          <t>vivo:VIV202600029370-9gb</t>
        </is>
      </c>
      <c r="H973" s="6" t="n">
        <v>25</v>
      </c>
      <c r="I973" s="6" t="inlineStr"/>
      <c r="J973" s="5" t="inlineStr"/>
      <c r="K973" s="5" t="inlineStr"/>
      <c r="L973" s="7" t="n">
        <v>9</v>
      </c>
      <c r="M973" s="5" t="inlineStr">
        <is>
          <t>6 GB para navegar como quiser 3 GB para navegar no YouTube</t>
        </is>
      </c>
      <c r="N973" s="5" t="n">
        <v>22</v>
      </c>
      <c r="O973" s="5" t="inlineStr"/>
      <c r="P973" s="5" t="inlineStr"/>
      <c r="Q973" s="5" t="inlineStr"/>
      <c r="R973" s="5" t="inlineStr"/>
      <c r="S973" s="5" t="inlineStr"/>
      <c r="T973" s="5" t="inlineStr"/>
      <c r="U973" s="5" t="inlineStr">
        <is>
          <t>https://vivo.com.br/para-voce/produtos-e-servicos/para-o-celular/pre-pago/vivo-pre</t>
        </is>
      </c>
      <c r="V973" s="5" t="inlineStr">
        <is>
          <t>data/raw/vivo_prepaid_SP.html</t>
        </is>
      </c>
    </row>
    <row r="974">
      <c r="A974" s="2" t="inlineStr">
        <is>
          <t>2026-07-09</t>
        </is>
      </c>
      <c r="B974" s="2" t="inlineStr">
        <is>
          <t>2026-07-09T22:19:24</t>
        </is>
      </c>
      <c r="C974" s="2" t="inlineStr">
        <is>
          <t>vivo</t>
        </is>
      </c>
      <c r="D974" s="2" t="inlineStr">
        <is>
          <t>prepaid</t>
        </is>
      </c>
      <c r="E974" s="2" t="inlineStr">
        <is>
          <t>SP</t>
        </is>
      </c>
      <c r="F974" s="2" t="inlineStr">
        <is>
          <t>Vivo Pré</t>
        </is>
      </c>
      <c r="G974" s="2" t="inlineStr">
        <is>
          <t>vivo:VIV202600029370-5gb</t>
        </is>
      </c>
      <c r="H974" s="3" t="n">
        <v>20</v>
      </c>
      <c r="I974" s="3" t="inlineStr"/>
      <c r="J974" s="2" t="inlineStr"/>
      <c r="K974" s="2" t="inlineStr"/>
      <c r="L974" s="4" t="n">
        <v>5</v>
      </c>
      <c r="M974" s="2" t="inlineStr">
        <is>
          <t>5 GB para navegar como quiser</t>
        </is>
      </c>
      <c r="N974" s="2" t="n">
        <v>17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>
        <is>
          <t>https://vivo.com.br/para-voce/produtos-e-servicos/para-o-celular/pre-pago/vivo-pre</t>
        </is>
      </c>
      <c r="V974" s="2" t="inlineStr">
        <is>
          <t>data/raw/vivo_prepaid_SP.html</t>
        </is>
      </c>
    </row>
    <row r="975">
      <c r="A975" s="5" t="inlineStr">
        <is>
          <t>2026-07-09</t>
        </is>
      </c>
      <c r="B975" s="5" t="inlineStr">
        <is>
          <t>2026-07-09T22:19:24</t>
        </is>
      </c>
      <c r="C975" s="5" t="inlineStr">
        <is>
          <t>vivo</t>
        </is>
      </c>
      <c r="D975" s="5" t="inlineStr">
        <is>
          <t>prepaid</t>
        </is>
      </c>
      <c r="E975" s="5" t="inlineStr">
        <is>
          <t>SP</t>
        </is>
      </c>
      <c r="F975" s="5" t="inlineStr">
        <is>
          <t>Vivo Pré</t>
        </is>
      </c>
      <c r="G975" s="5" t="inlineStr">
        <is>
          <t>vivo:VIV202600029370-4gb</t>
        </is>
      </c>
      <c r="H975" s="6" t="n">
        <v>17</v>
      </c>
      <c r="I975" s="6" t="inlineStr"/>
      <c r="J975" s="5" t="inlineStr"/>
      <c r="K975" s="5" t="inlineStr"/>
      <c r="L975" s="7" t="n">
        <v>4</v>
      </c>
      <c r="M975" s="5" t="inlineStr">
        <is>
          <t>4 GB para navegar como quiser</t>
        </is>
      </c>
      <c r="N975" s="5" t="n">
        <v>15</v>
      </c>
      <c r="O975" s="5" t="inlineStr"/>
      <c r="P975" s="5" t="inlineStr"/>
      <c r="Q975" s="5" t="inlineStr"/>
      <c r="R975" s="5" t="inlineStr"/>
      <c r="S975" s="5" t="inlineStr"/>
      <c r="T975" s="5" t="inlineStr"/>
      <c r="U975" s="5" t="inlineStr">
        <is>
          <t>https://vivo.com.br/para-voce/produtos-e-servicos/para-o-celular/pre-pago/vivo-pre</t>
        </is>
      </c>
      <c r="V975" s="5" t="inlineStr">
        <is>
          <t>data/raw/vivo_prepaid_SP.html</t>
        </is>
      </c>
    </row>
    <row r="976">
      <c r="A976" s="2" t="inlineStr">
        <is>
          <t>2026-07-10</t>
        </is>
      </c>
      <c r="B976" s="2" t="inlineStr">
        <is>
          <t>2026-07-10T21:58:49</t>
        </is>
      </c>
      <c r="C976" s="2" t="inlineStr">
        <is>
          <t>claro</t>
        </is>
      </c>
      <c r="D976" s="2" t="inlineStr">
        <is>
          <t>control</t>
        </is>
      </c>
      <c r="E976" s="2" t="inlineStr">
        <is>
          <t>SP</t>
        </is>
      </c>
      <c r="F976" s="2" t="inlineStr">
        <is>
          <t>Controle 25GB</t>
        </is>
      </c>
      <c r="G976" s="2" t="inlineStr">
        <is>
          <t>claro:plano-controle-25gb</t>
        </is>
      </c>
      <c r="H976" s="3" t="n">
        <v>59.9</v>
      </c>
      <c r="I976" s="3" t="n">
        <v>54.9</v>
      </c>
      <c r="J976" s="2" t="inlineStr">
        <is>
          <t>De R$ 59,90 Por:</t>
        </is>
      </c>
      <c r="K976" s="2" t="inlineStr"/>
      <c r="L976" s="4" t="n">
        <v>25</v>
      </c>
      <c r="M976" s="2" t="inlineStr"/>
      <c r="N976" s="2" t="inlineStr"/>
      <c r="O976" s="2" t="inlineStr">
        <is>
          <t>WhatsApp</t>
        </is>
      </c>
      <c r="P976" s="2" t="inlineStr"/>
      <c r="Q976" s="2" t="inlineStr"/>
      <c r="R976" s="2" t="inlineStr"/>
      <c r="S976" s="2" t="inlineStr"/>
      <c r="T976" s="2" t="inlineStr">
        <is>
          <t>Para uso livre; Para redes sociais e vídeos; Bônus exclusivo; Aproveite na sua franquia; WhatsApp e ligações ilimitadas</t>
        </is>
      </c>
      <c r="U976" s="2" t="inlineStr">
        <is>
          <t>https://www.claro.com.br/celular/controle</t>
        </is>
      </c>
      <c r="V976" s="2" t="inlineStr">
        <is>
          <t>data/raw/claro_control_SP.json</t>
        </is>
      </c>
    </row>
    <row r="977">
      <c r="A977" s="5" t="inlineStr">
        <is>
          <t>2026-07-10</t>
        </is>
      </c>
      <c r="B977" s="5" t="inlineStr">
        <is>
          <t>2026-07-10T21:58:49</t>
        </is>
      </c>
      <c r="C977" s="5" t="inlineStr">
        <is>
          <t>claro</t>
        </is>
      </c>
      <c r="D977" s="5" t="inlineStr">
        <is>
          <t>control</t>
        </is>
      </c>
      <c r="E977" s="5" t="inlineStr">
        <is>
          <t>SP</t>
        </is>
      </c>
      <c r="F977" s="5" t="inlineStr">
        <is>
          <t>Controle 30GB</t>
        </is>
      </c>
      <c r="G977" s="5" t="inlineStr">
        <is>
          <t>claro:plano-controle-30gb</t>
        </is>
      </c>
      <c r="H977" s="6" t="n">
        <v>69.90000000000001</v>
      </c>
      <c r="I977" s="6" t="inlineStr"/>
      <c r="J977" s="5" t="inlineStr"/>
      <c r="K977" s="5" t="inlineStr"/>
      <c r="L977" s="7" t="n">
        <v>30</v>
      </c>
      <c r="M977" s="5" t="inlineStr"/>
      <c r="N977" s="5" t="inlineStr"/>
      <c r="O977" s="5" t="inlineStr">
        <is>
          <t>WhatsApp</t>
        </is>
      </c>
      <c r="P977" s="5" t="inlineStr"/>
      <c r="Q977" s="5" t="inlineStr"/>
      <c r="R977" s="5" t="inlineStr"/>
      <c r="S977" s="5" t="inlineStr"/>
      <c r="T977" s="5" t="inlineStr">
        <is>
          <t>Para uso livre; Bônus especial para uso livre; Bônus para redes sociais e apps; Redes sociais e apps; WhatsApp ilimitado</t>
        </is>
      </c>
      <c r="U977" s="5" t="inlineStr">
        <is>
          <t>https://www.claro.com.br/celular/controle</t>
        </is>
      </c>
      <c r="V977" s="5" t="inlineStr">
        <is>
          <t>data/raw/claro_control_SP.json</t>
        </is>
      </c>
    </row>
    <row r="978">
      <c r="A978" s="2" t="inlineStr">
        <is>
          <t>2026-07-10</t>
        </is>
      </c>
      <c r="B978" s="2" t="inlineStr">
        <is>
          <t>2026-07-10T21:58:49</t>
        </is>
      </c>
      <c r="C978" s="2" t="inlineStr">
        <is>
          <t>claro</t>
        </is>
      </c>
      <c r="D978" s="2" t="inlineStr">
        <is>
          <t>control</t>
        </is>
      </c>
      <c r="E978" s="2" t="inlineStr">
        <is>
          <t>SP</t>
        </is>
      </c>
      <c r="F978" s="2" t="inlineStr">
        <is>
          <t>Controle 30GB</t>
        </is>
      </c>
      <c r="G978" s="2" t="inlineStr">
        <is>
          <t>claro:plano-controle-30gb-gaming</t>
        </is>
      </c>
      <c r="H978" s="3" t="n">
        <v>99.90000000000001</v>
      </c>
      <c r="I978" s="3" t="inlineStr"/>
      <c r="J978" s="2" t="inlineStr"/>
      <c r="K978" s="2" t="inlineStr"/>
      <c r="L978" s="4" t="n">
        <v>30</v>
      </c>
      <c r="M978" s="2" t="inlineStr"/>
      <c r="N978" s="2" t="inlineStr"/>
      <c r="O978" s="2" t="inlineStr">
        <is>
          <t>WhatsApp</t>
        </is>
      </c>
      <c r="P978" s="2" t="inlineStr"/>
      <c r="Q978" s="2" t="inlineStr"/>
      <c r="R978" s="2" t="inlineStr"/>
      <c r="S978" s="2" t="inlineStr"/>
      <c r="T978" s="2" t="inlineStr">
        <is>
          <t>Para uso livre; Bônus para redes sociais e apps; Bônus uso livre; Redes sociais e apps; WhatsApp ilimitado</t>
        </is>
      </c>
      <c r="U978" s="2" t="inlineStr">
        <is>
          <t>https://www.claro.com.br/celular/controle</t>
        </is>
      </c>
      <c r="V978" s="2" t="inlineStr">
        <is>
          <t>data/raw/claro_control_SP.json</t>
        </is>
      </c>
    </row>
    <row r="979">
      <c r="A979" s="5" t="inlineStr">
        <is>
          <t>2026-07-10</t>
        </is>
      </c>
      <c r="B979" s="5" t="inlineStr">
        <is>
          <t>2026-07-10T21:58:49</t>
        </is>
      </c>
      <c r="C979" s="5" t="inlineStr">
        <is>
          <t>claro</t>
        </is>
      </c>
      <c r="D979" s="5" t="inlineStr">
        <is>
          <t>flex</t>
        </is>
      </c>
      <c r="E979" s="5" t="inlineStr">
        <is>
          <t>SP</t>
        </is>
      </c>
      <c r="F979" s="5" t="inlineStr">
        <is>
          <t>Flex 15GB</t>
        </is>
      </c>
      <c r="G979" s="5" t="inlineStr">
        <is>
          <t>claro:plano-flex-15gb</t>
        </is>
      </c>
      <c r="H979" s="6" t="n">
        <v>44.9</v>
      </c>
      <c r="I979" s="6" t="inlineStr"/>
      <c r="J979" s="5" t="inlineStr"/>
      <c r="K979" s="5" t="inlineStr"/>
      <c r="L979" s="7" t="n">
        <v>15</v>
      </c>
      <c r="M979" s="5" t="inlineStr"/>
      <c r="N979" s="5" t="inlineStr"/>
      <c r="O979" s="5" t="inlineStr">
        <is>
          <t>WhatsApp</t>
        </is>
      </c>
      <c r="P979" s="5" t="inlineStr"/>
      <c r="Q979" s="5" t="inlineStr"/>
      <c r="R979" s="5" t="inlineStr"/>
      <c r="S979" s="5" t="inlineStr"/>
      <c r="T979" s="5" t="inlineStr">
        <is>
          <t>Para uso livre; Bônus especial para uso livre; Para redes sociais e apps; Bônus extra nos apps; WhatsApp ilimitado</t>
        </is>
      </c>
      <c r="U979" s="5" t="inlineStr">
        <is>
          <t>https://www.claro.com.br/celular/flex</t>
        </is>
      </c>
      <c r="V979" s="5" t="inlineStr">
        <is>
          <t>data/raw/claro_flex_SP.json</t>
        </is>
      </c>
    </row>
    <row r="980">
      <c r="A980" s="2" t="inlineStr">
        <is>
          <t>2026-07-10</t>
        </is>
      </c>
      <c r="B980" s="2" t="inlineStr">
        <is>
          <t>2026-07-10T21:58:49</t>
        </is>
      </c>
      <c r="C980" s="2" t="inlineStr">
        <is>
          <t>claro</t>
        </is>
      </c>
      <c r="D980" s="2" t="inlineStr">
        <is>
          <t>flex</t>
        </is>
      </c>
      <c r="E980" s="2" t="inlineStr">
        <is>
          <t>SP</t>
        </is>
      </c>
      <c r="F980" s="2" t="inlineStr">
        <is>
          <t>Flex 20GB</t>
        </is>
      </c>
      <c r="G980" s="2" t="inlineStr">
        <is>
          <t>claro:plano-flex-20gb</t>
        </is>
      </c>
      <c r="H980" s="3" t="n">
        <v>59.9</v>
      </c>
      <c r="I980" s="3" t="inlineStr"/>
      <c r="J980" s="2" t="inlineStr"/>
      <c r="K980" s="2" t="inlineStr"/>
      <c r="L980" s="4" t="n">
        <v>20</v>
      </c>
      <c r="M980" s="2" t="inlineStr"/>
      <c r="N980" s="2" t="inlineStr"/>
      <c r="O980" s="2" t="inlineStr">
        <is>
          <t>WhatsApp</t>
        </is>
      </c>
      <c r="P980" s="2" t="inlineStr"/>
      <c r="Q980" s="2" t="inlineStr"/>
      <c r="R980" s="2" t="inlineStr"/>
      <c r="S980" s="2" t="inlineStr"/>
      <c r="T980" s="2" t="inlineStr">
        <is>
          <t>Para uso livre; Bônus especial para uso livre; Para redes sociais e apps; Bônus extra nos apps; WhatsApp ilimitado</t>
        </is>
      </c>
      <c r="U980" s="2" t="inlineStr">
        <is>
          <t>https://www.claro.com.br/celular/flex</t>
        </is>
      </c>
      <c r="V980" s="2" t="inlineStr">
        <is>
          <t>data/raw/claro_flex_SP.json</t>
        </is>
      </c>
    </row>
    <row r="981">
      <c r="A981" s="5" t="inlineStr">
        <is>
          <t>2026-07-10</t>
        </is>
      </c>
      <c r="B981" s="5" t="inlineStr">
        <is>
          <t>2026-07-10T21:58:49</t>
        </is>
      </c>
      <c r="C981" s="5" t="inlineStr">
        <is>
          <t>claro</t>
        </is>
      </c>
      <c r="D981" s="5" t="inlineStr">
        <is>
          <t>flex</t>
        </is>
      </c>
      <c r="E981" s="5" t="inlineStr">
        <is>
          <t>SP</t>
        </is>
      </c>
      <c r="F981" s="5" t="inlineStr">
        <is>
          <t>Flex 30GB</t>
        </is>
      </c>
      <c r="G981" s="5" t="inlineStr">
        <is>
          <t>claro:plano-flex-30gb</t>
        </is>
      </c>
      <c r="H981" s="6" t="n">
        <v>69.90000000000001</v>
      </c>
      <c r="I981" s="6" t="inlineStr"/>
      <c r="J981" s="5" t="inlineStr"/>
      <c r="K981" s="5" t="inlineStr"/>
      <c r="L981" s="7" t="n">
        <v>30</v>
      </c>
      <c r="M981" s="5" t="inlineStr"/>
      <c r="N981" s="5" t="inlineStr"/>
      <c r="O981" s="5" t="inlineStr">
        <is>
          <t>WhatsApp</t>
        </is>
      </c>
      <c r="P981" s="5" t="inlineStr"/>
      <c r="Q981" s="5" t="inlineStr"/>
      <c r="R981" s="5" t="inlineStr"/>
      <c r="S981" s="5" t="inlineStr"/>
      <c r="T981" s="5" t="inlineStr">
        <is>
          <t>Para uso livre; Bônus especial para uso livre; Para redes sociais e apps; Bônus extra nos apps; WhatsApp ilimitado; Assinatura Claro musica inclusa</t>
        </is>
      </c>
      <c r="U981" s="5" t="inlineStr">
        <is>
          <t>https://www.claro.com.br/celular/flex</t>
        </is>
      </c>
      <c r="V981" s="5" t="inlineStr">
        <is>
          <t>data/raw/claro_flex_SP.json</t>
        </is>
      </c>
    </row>
    <row r="982">
      <c r="A982" s="2" t="inlineStr">
        <is>
          <t>2026-07-10</t>
        </is>
      </c>
      <c r="B982" s="2" t="inlineStr">
        <is>
          <t>2026-07-10T21:58:49</t>
        </is>
      </c>
      <c r="C982" s="2" t="inlineStr">
        <is>
          <t>claro</t>
        </is>
      </c>
      <c r="D982" s="2" t="inlineStr">
        <is>
          <t>flex</t>
        </is>
      </c>
      <c r="E982" s="2" t="inlineStr">
        <is>
          <t>SP</t>
        </is>
      </c>
      <c r="F982" s="2" t="inlineStr">
        <is>
          <t>Flex 40GB</t>
        </is>
      </c>
      <c r="G982" s="2" t="inlineStr">
        <is>
          <t>claro:plano-flex-40gb</t>
        </is>
      </c>
      <c r="H982" s="3" t="n">
        <v>119.9</v>
      </c>
      <c r="I982" s="3" t="inlineStr"/>
      <c r="J982" s="2" t="inlineStr"/>
      <c r="K982" s="2" t="inlineStr"/>
      <c r="L982" s="4" t="n">
        <v>40</v>
      </c>
      <c r="M982" s="2" t="inlineStr"/>
      <c r="N982" s="2" t="inlineStr"/>
      <c r="O982" s="2" t="inlineStr">
        <is>
          <t>WhatsApp</t>
        </is>
      </c>
      <c r="P982" s="2" t="inlineStr"/>
      <c r="Q982" s="2" t="inlineStr"/>
      <c r="R982" s="2" t="inlineStr"/>
      <c r="S982" s="2" t="inlineStr"/>
      <c r="T982" s="2" t="inlineStr">
        <is>
          <t>Para uso livre; Para redes sociais e apps; Bônus uso livre; Bônus extra nos apps; WhatsApp ilimitado; Assinatura Claro musica inclusa</t>
        </is>
      </c>
      <c r="U982" s="2" t="inlineStr">
        <is>
          <t>https://www.claro.com.br/celular/flex</t>
        </is>
      </c>
      <c r="V982" s="2" t="inlineStr">
        <is>
          <t>data/raw/claro_flex_SP.json</t>
        </is>
      </c>
    </row>
    <row r="983">
      <c r="A983" s="5" t="inlineStr">
        <is>
          <t>2026-07-10</t>
        </is>
      </c>
      <c r="B983" s="5" t="inlineStr">
        <is>
          <t>2026-07-10T21:58:49</t>
        </is>
      </c>
      <c r="C983" s="5" t="inlineStr">
        <is>
          <t>claro</t>
        </is>
      </c>
      <c r="D983" s="5" t="inlineStr">
        <is>
          <t>postpaid</t>
        </is>
      </c>
      <c r="E983" s="5" t="inlineStr">
        <is>
          <t>SP</t>
        </is>
      </c>
      <c r="F983" s="5" t="inlineStr">
        <is>
          <t>Pós 100GB</t>
        </is>
      </c>
      <c r="G983" s="5" t="inlineStr">
        <is>
          <t>claro:plano-pos-100gb</t>
        </is>
      </c>
      <c r="H983" s="6" t="n">
        <v>179.9</v>
      </c>
      <c r="I983" s="6" t="inlineStr"/>
      <c r="J983" s="5" t="inlineStr"/>
      <c r="K983" s="5" t="inlineStr"/>
      <c r="L983" s="7" t="n">
        <v>100</v>
      </c>
      <c r="M983" s="5" t="inlineStr"/>
      <c r="N983" s="5" t="inlineStr"/>
      <c r="O983" s="5" t="inlineStr">
        <is>
          <t>WhatsApp</t>
        </is>
      </c>
      <c r="P983" s="5" t="inlineStr"/>
      <c r="Q983" s="5" t="inlineStr"/>
      <c r="R983" s="5" t="inlineStr"/>
      <c r="S983" s="5" t="inlineStr"/>
      <c r="T983" s="5" t="inlineStr">
        <is>
          <t>Armazenamento na nuvem:; Google One ou iCloud+; WhatsApp ilimitado; Roaming: Passaporte Américas; Claro Sync: Smartwatch conectado</t>
        </is>
      </c>
      <c r="U983" s="5" t="inlineStr">
        <is>
          <t>https://www.claro.com.br/celular/pos</t>
        </is>
      </c>
      <c r="V983" s="5" t="inlineStr">
        <is>
          <t>data/raw/claro_postpaid_SP.json</t>
        </is>
      </c>
    </row>
    <row r="984">
      <c r="A984" s="2" t="inlineStr">
        <is>
          <t>2026-07-10</t>
        </is>
      </c>
      <c r="B984" s="2" t="inlineStr">
        <is>
          <t>2026-07-10T21:58:49</t>
        </is>
      </c>
      <c r="C984" s="2" t="inlineStr">
        <is>
          <t>claro</t>
        </is>
      </c>
      <c r="D984" s="2" t="inlineStr">
        <is>
          <t>postpaid</t>
        </is>
      </c>
      <c r="E984" s="2" t="inlineStr">
        <is>
          <t>SP</t>
        </is>
      </c>
      <c r="F984" s="2" t="inlineStr">
        <is>
          <t>Pós 150GB</t>
        </is>
      </c>
      <c r="G984" s="2" t="inlineStr">
        <is>
          <t>claro:plano-pos-150gb</t>
        </is>
      </c>
      <c r="H984" s="3" t="n">
        <v>239.9</v>
      </c>
      <c r="I984" s="3" t="inlineStr"/>
      <c r="J984" s="2" t="inlineStr"/>
      <c r="K984" s="2" t="inlineStr"/>
      <c r="L984" s="4" t="n">
        <v>150</v>
      </c>
      <c r="M984" s="2" t="inlineStr"/>
      <c r="N984" s="2" t="inlineStr"/>
      <c r="O984" s="2" t="inlineStr">
        <is>
          <t>WhatsApp</t>
        </is>
      </c>
      <c r="P984" s="2" t="inlineStr"/>
      <c r="Q984" s="2" t="inlineStr"/>
      <c r="R984" s="2" t="inlineStr"/>
      <c r="S984" s="2" t="inlineStr"/>
      <c r="T984" s="2" t="inlineStr">
        <is>
          <t>Armazenamento na nuvem:; Google One ou iCloud+; WhatsApp ilimitado; Roaming: Passaporte Américas e Europa; Claro Sync: Smartwatch conectado</t>
        </is>
      </c>
      <c r="U984" s="2" t="inlineStr">
        <is>
          <t>https://www.claro.com.br/celular/pos</t>
        </is>
      </c>
      <c r="V984" s="2" t="inlineStr">
        <is>
          <t>data/raw/claro_postpaid_SP.json</t>
        </is>
      </c>
    </row>
    <row r="985">
      <c r="A985" s="5" t="inlineStr">
        <is>
          <t>2026-07-10</t>
        </is>
      </c>
      <c r="B985" s="5" t="inlineStr">
        <is>
          <t>2026-07-10T21:58:49</t>
        </is>
      </c>
      <c r="C985" s="5" t="inlineStr">
        <is>
          <t>claro</t>
        </is>
      </c>
      <c r="D985" s="5" t="inlineStr">
        <is>
          <t>postpaid</t>
        </is>
      </c>
      <c r="E985" s="5" t="inlineStr">
        <is>
          <t>SP</t>
        </is>
      </c>
      <c r="F985" s="5" t="inlineStr">
        <is>
          <t>Pós 200GB</t>
        </is>
      </c>
      <c r="G985" s="5" t="inlineStr">
        <is>
          <t>claro:plano-pos-200gb</t>
        </is>
      </c>
      <c r="H985" s="6" t="n">
        <v>339.9</v>
      </c>
      <c r="I985" s="6" t="inlineStr"/>
      <c r="J985" s="5" t="inlineStr"/>
      <c r="K985" s="5" t="inlineStr"/>
      <c r="L985" s="7" t="n">
        <v>200</v>
      </c>
      <c r="M985" s="5" t="inlineStr"/>
      <c r="N985" s="5" t="inlineStr"/>
      <c r="O985" s="5" t="inlineStr">
        <is>
          <t>WhatsApp</t>
        </is>
      </c>
      <c r="P985" s="5" t="inlineStr"/>
      <c r="Q985" s="5" t="inlineStr"/>
      <c r="R985" s="5" t="inlineStr"/>
      <c r="S985" s="5" t="inlineStr"/>
      <c r="T985" s="5" t="inlineStr">
        <is>
          <t>Armazenamento na nuvem:; Google One ou iCloud+; WhatsApp ilimitado; Roaming: Passaporte Mundo; Claro Sync: Smartwatch conectado</t>
        </is>
      </c>
      <c r="U985" s="5" t="inlineStr">
        <is>
          <t>https://www.claro.com.br/celular/pos</t>
        </is>
      </c>
      <c r="V985" s="5" t="inlineStr">
        <is>
          <t>data/raw/claro_postpaid_SP.json</t>
        </is>
      </c>
    </row>
    <row r="986">
      <c r="A986" s="2" t="inlineStr">
        <is>
          <t>2026-07-10</t>
        </is>
      </c>
      <c r="B986" s="2" t="inlineStr">
        <is>
          <t>2026-07-10T21:58:49</t>
        </is>
      </c>
      <c r="C986" s="2" t="inlineStr">
        <is>
          <t>claro</t>
        </is>
      </c>
      <c r="D986" s="2" t="inlineStr">
        <is>
          <t>postpaid</t>
        </is>
      </c>
      <c r="E986" s="2" t="inlineStr">
        <is>
          <t>SP</t>
        </is>
      </c>
      <c r="F986" s="2" t="inlineStr">
        <is>
          <t>Pós 50GB com GeForce NOW</t>
        </is>
      </c>
      <c r="G986" s="2" t="inlineStr">
        <is>
          <t>claro:plano-pos-60gb-geforce</t>
        </is>
      </c>
      <c r="H986" s="3" t="n">
        <v>164.9</v>
      </c>
      <c r="I986" s="3" t="inlineStr"/>
      <c r="J986" s="2" t="inlineStr"/>
      <c r="K986" s="2" t="inlineStr"/>
      <c r="L986" s="4" t="n">
        <v>50</v>
      </c>
      <c r="M986" s="2" t="inlineStr"/>
      <c r="N986" s="2" t="inlineStr"/>
      <c r="O986" s="2" t="inlineStr">
        <is>
          <t>WhatsApp</t>
        </is>
      </c>
      <c r="P986" s="2" t="inlineStr"/>
      <c r="Q986" s="2" t="inlineStr"/>
      <c r="R986" s="2" t="inlineStr"/>
      <c r="S986" s="2" t="inlineStr"/>
      <c r="T986" s="2" t="inlineStr">
        <is>
          <t>Armazenamento na nuvem:; Google One ou iCloud+; WhatsApp ilimitado; Roaming: Passaporte Américas; Claro Sync: Smartwatch conectado; Inclusa assinatura GeForce NOW</t>
        </is>
      </c>
      <c r="U986" s="2" t="inlineStr">
        <is>
          <t>https://www.claro.com.br/celular/pos</t>
        </is>
      </c>
      <c r="V986" s="2" t="inlineStr">
        <is>
          <t>data/raw/claro_postpaid_SP.json</t>
        </is>
      </c>
    </row>
    <row r="987">
      <c r="A987" s="5" t="inlineStr">
        <is>
          <t>2026-07-10</t>
        </is>
      </c>
      <c r="B987" s="5" t="inlineStr">
        <is>
          <t>2026-07-10T21:58:49</t>
        </is>
      </c>
      <c r="C987" s="5" t="inlineStr">
        <is>
          <t>claro</t>
        </is>
      </c>
      <c r="D987" s="5" t="inlineStr">
        <is>
          <t>postpaid</t>
        </is>
      </c>
      <c r="E987" s="5" t="inlineStr">
        <is>
          <t>SP</t>
        </is>
      </c>
      <c r="F987" s="5" t="inlineStr">
        <is>
          <t>Pós 60GB</t>
        </is>
      </c>
      <c r="G987" s="5" t="inlineStr">
        <is>
          <t>claro:plano-pos-60gb</t>
        </is>
      </c>
      <c r="H987" s="6" t="n">
        <v>124.9</v>
      </c>
      <c r="I987" s="6" t="inlineStr"/>
      <c r="J987" s="5" t="inlineStr"/>
      <c r="K987" s="5" t="inlineStr"/>
      <c r="L987" s="7" t="n">
        <v>60</v>
      </c>
      <c r="M987" s="5" t="inlineStr"/>
      <c r="N987" s="5" t="inlineStr"/>
      <c r="O987" s="5" t="inlineStr">
        <is>
          <t>WhatsApp</t>
        </is>
      </c>
      <c r="P987" s="5" t="inlineStr"/>
      <c r="Q987" s="5" t="inlineStr"/>
      <c r="R987" s="5" t="inlineStr"/>
      <c r="S987" s="5" t="inlineStr"/>
      <c r="T987" s="5" t="inlineStr">
        <is>
          <t>Armazenamento na nuvem:; Google One ou iCloud+; WhatsApp ilimitado; Roaming: Passaporte Américas; Claro Sync: Smartwatch conectado</t>
        </is>
      </c>
      <c r="U987" s="5" t="inlineStr">
        <is>
          <t>https://www.claro.com.br/celular/pos</t>
        </is>
      </c>
      <c r="V987" s="5" t="inlineStr">
        <is>
          <t>data/raw/claro_postpaid_SP.json</t>
        </is>
      </c>
    </row>
    <row r="988">
      <c r="A988" s="2" t="inlineStr">
        <is>
          <t>2026-07-10</t>
        </is>
      </c>
      <c r="B988" s="2" t="inlineStr">
        <is>
          <t>2026-07-10T21:58:49</t>
        </is>
      </c>
      <c r="C988" s="2" t="inlineStr">
        <is>
          <t>claro</t>
        </is>
      </c>
      <c r="D988" s="2" t="inlineStr">
        <is>
          <t>prepaid</t>
        </is>
      </c>
      <c r="E988" s="2" t="inlineStr">
        <is>
          <t>SP</t>
        </is>
      </c>
      <c r="F988" s="2" t="inlineStr">
        <is>
          <t>Prezão 10GB (25 dias)</t>
        </is>
      </c>
      <c r="G988" s="2" t="inlineStr">
        <is>
          <t>claro:prezao-25d-10gb</t>
        </is>
      </c>
      <c r="H988" s="3" t="n">
        <v>25</v>
      </c>
      <c r="I988" s="3" t="inlineStr"/>
      <c r="J988" s="2" t="inlineStr">
        <is>
          <t>recarga Prezão R$25 — validade 25 dias</t>
        </is>
      </c>
      <c r="K988" s="2" t="inlineStr"/>
      <c r="L988" s="4" t="n">
        <v>10</v>
      </c>
      <c r="M988" s="2" t="inlineStr"/>
      <c r="N988" s="2" t="n">
        <v>25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>
        <is>
          <t>https://www.claro.com.br/celular/planos-pre/prezao</t>
        </is>
      </c>
      <c r="V988" s="2" t="inlineStr">
        <is>
          <t>data/raw/claro_prepaid_SP.json</t>
        </is>
      </c>
    </row>
    <row r="989">
      <c r="A989" s="5" t="inlineStr">
        <is>
          <t>2026-07-10</t>
        </is>
      </c>
      <c r="B989" s="5" t="inlineStr">
        <is>
          <t>2026-07-10T21:58:49</t>
        </is>
      </c>
      <c r="C989" s="5" t="inlineStr">
        <is>
          <t>claro</t>
        </is>
      </c>
      <c r="D989" s="5" t="inlineStr">
        <is>
          <t>prepaid</t>
        </is>
      </c>
      <c r="E989" s="5" t="inlineStr">
        <is>
          <t>SP</t>
        </is>
      </c>
      <c r="F989" s="5" t="inlineStr">
        <is>
          <t>Prezão 12GB (30 dias)</t>
        </is>
      </c>
      <c r="G989" s="5" t="inlineStr">
        <is>
          <t>claro:prezao-30d-12gb</t>
        </is>
      </c>
      <c r="H989" s="6" t="n">
        <v>30</v>
      </c>
      <c r="I989" s="6" t="inlineStr"/>
      <c r="J989" s="5" t="inlineStr">
        <is>
          <t>recarga Prezão R$30 — validade 30 dias</t>
        </is>
      </c>
      <c r="K989" s="5" t="inlineStr"/>
      <c r="L989" s="7" t="n">
        <v>12</v>
      </c>
      <c r="M989" s="5" t="inlineStr"/>
      <c r="N989" s="5" t="n">
        <v>30</v>
      </c>
      <c r="O989" s="5" t="inlineStr"/>
      <c r="P989" s="5" t="inlineStr"/>
      <c r="Q989" s="5" t="inlineStr"/>
      <c r="R989" s="5" t="inlineStr"/>
      <c r="S989" s="5" t="inlineStr"/>
      <c r="T989" s="5" t="inlineStr"/>
      <c r="U989" s="5" t="inlineStr">
        <is>
          <t>https://www.claro.com.br/celular/planos-pre/prezao</t>
        </is>
      </c>
      <c r="V989" s="5" t="inlineStr">
        <is>
          <t>data/raw/claro_prepaid_SP.json</t>
        </is>
      </c>
    </row>
    <row r="990">
      <c r="A990" s="2" t="inlineStr">
        <is>
          <t>2026-07-10</t>
        </is>
      </c>
      <c r="B990" s="2" t="inlineStr">
        <is>
          <t>2026-07-10T21:58:49</t>
        </is>
      </c>
      <c r="C990" s="2" t="inlineStr">
        <is>
          <t>claro</t>
        </is>
      </c>
      <c r="D990" s="2" t="inlineStr">
        <is>
          <t>prepaid</t>
        </is>
      </c>
      <c r="E990" s="2" t="inlineStr">
        <is>
          <t>SP</t>
        </is>
      </c>
      <c r="F990" s="2" t="inlineStr">
        <is>
          <t>Prezão 4GB (12 dias)</t>
        </is>
      </c>
      <c r="G990" s="2" t="inlineStr">
        <is>
          <t>claro:prezao-12d-4gb</t>
        </is>
      </c>
      <c r="H990" s="3" t="n">
        <v>15</v>
      </c>
      <c r="I990" s="3" t="inlineStr"/>
      <c r="J990" s="2" t="inlineStr">
        <is>
          <t>recarga Prezão R$15 — validade 12 dias</t>
        </is>
      </c>
      <c r="K990" s="2" t="inlineStr"/>
      <c r="L990" s="4" t="n">
        <v>4</v>
      </c>
      <c r="M990" s="2" t="inlineStr"/>
      <c r="N990" s="2" t="n">
        <v>12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>
        <is>
          <t>https://www.claro.com.br/celular/planos-pre/prezao</t>
        </is>
      </c>
      <c r="V990" s="2" t="inlineStr">
        <is>
          <t>data/raw/claro_prepaid_SP.json</t>
        </is>
      </c>
    </row>
    <row r="991">
      <c r="A991" s="5" t="inlineStr">
        <is>
          <t>2026-07-10</t>
        </is>
      </c>
      <c r="B991" s="5" t="inlineStr">
        <is>
          <t>2026-07-10T21:58:49</t>
        </is>
      </c>
      <c r="C991" s="5" t="inlineStr">
        <is>
          <t>claro</t>
        </is>
      </c>
      <c r="D991" s="5" t="inlineStr">
        <is>
          <t>prepaid</t>
        </is>
      </c>
      <c r="E991" s="5" t="inlineStr">
        <is>
          <t>SP</t>
        </is>
      </c>
      <c r="F991" s="5" t="inlineStr">
        <is>
          <t>Prezão 5GB (15 dias)</t>
        </is>
      </c>
      <c r="G991" s="5" t="inlineStr">
        <is>
          <t>claro:prezao-15d-5gb</t>
        </is>
      </c>
      <c r="H991" s="6" t="n">
        <v>15</v>
      </c>
      <c r="I991" s="6" t="inlineStr"/>
      <c r="J991" s="5" t="inlineStr">
        <is>
          <t>recarga Prezão R$15 — validade 15 dias</t>
        </is>
      </c>
      <c r="K991" s="5" t="inlineStr"/>
      <c r="L991" s="7" t="n">
        <v>5</v>
      </c>
      <c r="M991" s="5" t="inlineStr"/>
      <c r="N991" s="5" t="n">
        <v>15</v>
      </c>
      <c r="O991" s="5" t="inlineStr"/>
      <c r="P991" s="5" t="inlineStr"/>
      <c r="Q991" s="5" t="inlineStr"/>
      <c r="R991" s="5" t="inlineStr"/>
      <c r="S991" s="5" t="inlineStr"/>
      <c r="T991" s="5" t="inlineStr"/>
      <c r="U991" s="5" t="inlineStr">
        <is>
          <t>https://www.claro.com.br/celular/planos-pre/prezao</t>
        </is>
      </c>
      <c r="V991" s="5" t="inlineStr">
        <is>
          <t>data/raw/claro_prepaid_SP.json</t>
        </is>
      </c>
    </row>
    <row r="992">
      <c r="A992" s="2" t="inlineStr">
        <is>
          <t>2026-07-10</t>
        </is>
      </c>
      <c r="B992" s="2" t="inlineStr">
        <is>
          <t>2026-07-10T21:58:49</t>
        </is>
      </c>
      <c r="C992" s="2" t="inlineStr">
        <is>
          <t>claro</t>
        </is>
      </c>
      <c r="D992" s="2" t="inlineStr">
        <is>
          <t>prepaid</t>
        </is>
      </c>
      <c r="E992" s="2" t="inlineStr">
        <is>
          <t>SP</t>
        </is>
      </c>
      <c r="F992" s="2" t="inlineStr">
        <is>
          <t>Prezão 6GB (20 dias)</t>
        </is>
      </c>
      <c r="G992" s="2" t="inlineStr">
        <is>
          <t>claro:prezao-20d-6gb</t>
        </is>
      </c>
      <c r="H992" s="3" t="n">
        <v>20</v>
      </c>
      <c r="I992" s="3" t="inlineStr"/>
      <c r="J992" s="2" t="inlineStr">
        <is>
          <t>recarga Prezão R$20 — validade 20 dias</t>
        </is>
      </c>
      <c r="K992" s="2" t="inlineStr"/>
      <c r="L992" s="4" t="n">
        <v>6</v>
      </c>
      <c r="M992" s="2" t="inlineStr"/>
      <c r="N992" s="2" t="n">
        <v>20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>
        <is>
          <t>https://www.claro.com.br/celular/planos-pre/prezao</t>
        </is>
      </c>
      <c r="V992" s="2" t="inlineStr">
        <is>
          <t>data/raw/claro_prepaid_SP.json</t>
        </is>
      </c>
    </row>
    <row r="993">
      <c r="A993" s="5" t="inlineStr">
        <is>
          <t>2026-07-10</t>
        </is>
      </c>
      <c r="B993" s="5" t="inlineStr">
        <is>
          <t>2026-07-10T21:58:49</t>
        </is>
      </c>
      <c r="C993" s="5" t="inlineStr">
        <is>
          <t>claro</t>
        </is>
      </c>
      <c r="D993" s="5" t="inlineStr">
        <is>
          <t>prepaid</t>
        </is>
      </c>
      <c r="E993" s="5" t="inlineStr">
        <is>
          <t>SP</t>
        </is>
      </c>
      <c r="F993" s="5" t="inlineStr">
        <is>
          <t>Prezão 8GB (20 dias)</t>
        </is>
      </c>
      <c r="G993" s="5" t="inlineStr">
        <is>
          <t>claro:prezao-20d-8gb</t>
        </is>
      </c>
      <c r="H993" s="6" t="n">
        <v>20</v>
      </c>
      <c r="I993" s="6" t="inlineStr"/>
      <c r="J993" s="5" t="inlineStr">
        <is>
          <t>recarga Prezão R$20 — validade 20 dias</t>
        </is>
      </c>
      <c r="K993" s="5" t="inlineStr"/>
      <c r="L993" s="7" t="n">
        <v>8</v>
      </c>
      <c r="M993" s="5" t="inlineStr"/>
      <c r="N993" s="5" t="n">
        <v>20</v>
      </c>
      <c r="O993" s="5" t="inlineStr"/>
      <c r="P993" s="5" t="inlineStr"/>
      <c r="Q993" s="5" t="inlineStr"/>
      <c r="R993" s="5" t="inlineStr"/>
      <c r="S993" s="5" t="inlineStr"/>
      <c r="T993" s="5" t="inlineStr"/>
      <c r="U993" s="5" t="inlineStr">
        <is>
          <t>https://www.claro.com.br/celular/planos-pre/prezao</t>
        </is>
      </c>
      <c r="V993" s="5" t="inlineStr">
        <is>
          <t>data/raw/claro_prepaid_SP.json</t>
        </is>
      </c>
    </row>
    <row r="994">
      <c r="A994" s="2" t="inlineStr">
        <is>
          <t>2026-07-10</t>
        </is>
      </c>
      <c r="B994" s="2" t="inlineStr">
        <is>
          <t>2026-07-10T21:58:49</t>
        </is>
      </c>
      <c r="C994" s="2" t="inlineStr">
        <is>
          <t>claro</t>
        </is>
      </c>
      <c r="D994" s="2" t="inlineStr">
        <is>
          <t>prepaid</t>
        </is>
      </c>
      <c r="E994" s="2" t="inlineStr">
        <is>
          <t>SP</t>
        </is>
      </c>
      <c r="F994" s="2" t="inlineStr">
        <is>
          <t>Prezão 9GB (25 dias)</t>
        </is>
      </c>
      <c r="G994" s="2" t="inlineStr">
        <is>
          <t>claro:prezao-25d-9gb</t>
        </is>
      </c>
      <c r="H994" s="3" t="n">
        <v>25</v>
      </c>
      <c r="I994" s="3" t="inlineStr"/>
      <c r="J994" s="2" t="inlineStr">
        <is>
          <t>recarga Prezão R$25 — validade 25 dias</t>
        </is>
      </c>
      <c r="K994" s="2" t="inlineStr"/>
      <c r="L994" s="4" t="n">
        <v>9</v>
      </c>
      <c r="M994" s="2" t="inlineStr"/>
      <c r="N994" s="2" t="n">
        <v>25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>
        <is>
          <t>https://www.claro.com.br/celular/planos-pre/prezao</t>
        </is>
      </c>
      <c r="V994" s="2" t="inlineStr">
        <is>
          <t>data/raw/claro_prepaid_SP.json</t>
        </is>
      </c>
    </row>
    <row r="995">
      <c r="A995" s="5" t="inlineStr">
        <is>
          <t>2026-07-10</t>
        </is>
      </c>
      <c r="B995" s="5" t="inlineStr">
        <is>
          <t>2026-07-10T21:58:49</t>
        </is>
      </c>
      <c r="C995" s="5" t="inlineStr">
        <is>
          <t>tim</t>
        </is>
      </c>
      <c r="D995" s="5" t="inlineStr">
        <is>
          <t>control</t>
        </is>
      </c>
      <c r="E995" s="5" t="inlineStr">
        <is>
          <t>SP</t>
        </is>
      </c>
      <c r="F995" s="5" t="inlineStr">
        <is>
          <t>TIM Controle 41GB</t>
        </is>
      </c>
      <c r="G995" s="5" t="inlineStr">
        <is>
          <t>tim:167036</t>
        </is>
      </c>
      <c r="H995" s="6" t="n">
        <v>49.99</v>
      </c>
      <c r="I995" s="6" t="inlineStr"/>
      <c r="J995" s="5" t="inlineStr"/>
      <c r="K995" s="5" t="inlineStr"/>
      <c r="L995" s="7" t="n">
        <v>41</v>
      </c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>
        <is>
          <t>https://www.tim.com.br/sp/para-voce/planos/controle</t>
        </is>
      </c>
      <c r="V995" s="5" t="inlineStr">
        <is>
          <t>data/raw/tim_control_SP.html</t>
        </is>
      </c>
    </row>
    <row r="996">
      <c r="A996" s="2" t="inlineStr">
        <is>
          <t>2026-07-10</t>
        </is>
      </c>
      <c r="B996" s="2" t="inlineStr">
        <is>
          <t>2026-07-10T21:58:49</t>
        </is>
      </c>
      <c r="C996" s="2" t="inlineStr">
        <is>
          <t>tim</t>
        </is>
      </c>
      <c r="D996" s="2" t="inlineStr">
        <is>
          <t>control</t>
        </is>
      </c>
      <c r="E996" s="2" t="inlineStr">
        <is>
          <t>SP</t>
        </is>
      </c>
      <c r="F996" s="2" t="inlineStr">
        <is>
          <t>TIM Controle Light Express 31GB</t>
        </is>
      </c>
      <c r="G996" s="2" t="inlineStr">
        <is>
          <t>tim:167046</t>
        </is>
      </c>
      <c r="H996" s="3" t="n">
        <v>60.99</v>
      </c>
      <c r="I996" s="3" t="inlineStr"/>
      <c r="J996" s="2" t="inlineStr"/>
      <c r="K996" s="2" t="inlineStr"/>
      <c r="L996" s="4" t="n">
        <v>31</v>
      </c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>
        <is>
          <t>https://www.tim.com.br/sp/para-voce/planos/controle</t>
        </is>
      </c>
      <c r="V996" s="2" t="inlineStr">
        <is>
          <t>data/raw/tim_control_SP.html</t>
        </is>
      </c>
    </row>
    <row r="997">
      <c r="A997" s="5" t="inlineStr">
        <is>
          <t>2026-07-10</t>
        </is>
      </c>
      <c r="B997" s="5" t="inlineStr">
        <is>
          <t>2026-07-10T21:58:49</t>
        </is>
      </c>
      <c r="C997" s="5" t="inlineStr">
        <is>
          <t>tim</t>
        </is>
      </c>
      <c r="D997" s="5" t="inlineStr">
        <is>
          <t>control</t>
        </is>
      </c>
      <c r="E997" s="5" t="inlineStr">
        <is>
          <t>SP</t>
        </is>
      </c>
      <c r="F997" s="5" t="inlineStr">
        <is>
          <t>TIM Controle Plus 45GB</t>
        </is>
      </c>
      <c r="G997" s="5" t="inlineStr">
        <is>
          <t>tim:167031</t>
        </is>
      </c>
      <c r="H997" s="6" t="n">
        <v>59.99</v>
      </c>
      <c r="I997" s="6" t="inlineStr"/>
      <c r="J997" s="5" t="inlineStr"/>
      <c r="K997" s="5" t="inlineStr"/>
      <c r="L997" s="7" t="n">
        <v>45</v>
      </c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>
        <is>
          <t>https://www.tim.com.br/sp/para-voce/planos/controle</t>
        </is>
      </c>
      <c r="V997" s="5" t="inlineStr">
        <is>
          <t>data/raw/tim_control_SP.html</t>
        </is>
      </c>
    </row>
    <row r="998">
      <c r="A998" s="2" t="inlineStr">
        <is>
          <t>2026-07-10</t>
        </is>
      </c>
      <c r="B998" s="2" t="inlineStr">
        <is>
          <t>2026-07-10T21:58:49</t>
        </is>
      </c>
      <c r="C998" s="2" t="inlineStr">
        <is>
          <t>tim</t>
        </is>
      </c>
      <c r="D998" s="2" t="inlineStr">
        <is>
          <t>control</t>
        </is>
      </c>
      <c r="E998" s="2" t="inlineStr">
        <is>
          <t>SP</t>
        </is>
      </c>
      <c r="F998" s="2" t="inlineStr">
        <is>
          <t>TIM Controle Premium 53GB</t>
        </is>
      </c>
      <c r="G998" s="2" t="inlineStr">
        <is>
          <t>tim:167041</t>
        </is>
      </c>
      <c r="H998" s="3" t="n">
        <v>69.98999999999999</v>
      </c>
      <c r="I998" s="3" t="inlineStr"/>
      <c r="J998" s="2" t="inlineStr"/>
      <c r="K998" s="2" t="inlineStr"/>
      <c r="L998" s="4" t="n">
        <v>53</v>
      </c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>
        <is>
          <t>https://www.tim.com.br/sp/para-voce/planos/controle</t>
        </is>
      </c>
      <c r="V998" s="2" t="inlineStr">
        <is>
          <t>data/raw/tim_control_SP.html</t>
        </is>
      </c>
    </row>
    <row r="999">
      <c r="A999" s="5" t="inlineStr">
        <is>
          <t>2026-07-10</t>
        </is>
      </c>
      <c r="B999" s="5" t="inlineStr">
        <is>
          <t>2026-07-10T21:58:49</t>
        </is>
      </c>
      <c r="C999" s="5" t="inlineStr">
        <is>
          <t>tim</t>
        </is>
      </c>
      <c r="D999" s="5" t="inlineStr">
        <is>
          <t>control</t>
        </is>
      </c>
      <c r="E999" s="5" t="inlineStr">
        <is>
          <t>SP</t>
        </is>
      </c>
      <c r="F999" s="5" t="inlineStr">
        <is>
          <t>TIM Controle Pro Express</t>
        </is>
      </c>
      <c r="G999" s="5" t="inlineStr">
        <is>
          <t>tim:167051</t>
        </is>
      </c>
      <c r="H999" s="6" t="n">
        <v>64.98999999999999</v>
      </c>
      <c r="I999" s="6" t="inlineStr"/>
      <c r="J999" s="5" t="inlineStr"/>
      <c r="K999" s="5" t="inlineStr"/>
      <c r="L999" s="7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>
        <is>
          <t>https://www.tim.com.br/sp/para-voce/planos/controle</t>
        </is>
      </c>
      <c r="V999" s="5" t="inlineStr">
        <is>
          <t>data/raw/tim_control_SP.html</t>
        </is>
      </c>
    </row>
    <row r="1000">
      <c r="A1000" s="2" t="inlineStr">
        <is>
          <t>2026-07-10</t>
        </is>
      </c>
      <c r="B1000" s="2" t="inlineStr">
        <is>
          <t>2026-07-10T21:58:49</t>
        </is>
      </c>
      <c r="C1000" s="2" t="inlineStr">
        <is>
          <t>tim</t>
        </is>
      </c>
      <c r="D1000" s="2" t="inlineStr">
        <is>
          <t>postpaid</t>
        </is>
      </c>
      <c r="E1000" s="2" t="inlineStr">
        <is>
          <t>SP</t>
        </is>
      </c>
      <c r="F1000" s="2" t="inlineStr">
        <is>
          <t>TIM Black 70GB</t>
        </is>
      </c>
      <c r="G1000" s="2" t="inlineStr">
        <is>
          <t>tim:54206</t>
        </is>
      </c>
      <c r="H1000" s="3" t="n">
        <v>129.99</v>
      </c>
      <c r="I1000" s="3" t="inlineStr"/>
      <c r="J1000" s="2" t="inlineStr"/>
      <c r="K1000" s="2" t="inlineStr">
        <is>
          <t>bill</t>
        </is>
      </c>
      <c r="L1000" s="4" t="n">
        <v>70</v>
      </c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>
        <is>
          <t>https://www.tim.com.br/sp/para-voce/planos/pos-pago/tim-black</t>
        </is>
      </c>
      <c r="V1000" s="2" t="inlineStr">
        <is>
          <t>data/raw/tim_postpaid_SP.html</t>
        </is>
      </c>
    </row>
    <row r="1001">
      <c r="A1001" s="5" t="inlineStr">
        <is>
          <t>2026-07-10</t>
        </is>
      </c>
      <c r="B1001" s="5" t="inlineStr">
        <is>
          <t>2026-07-10T21:58:49</t>
        </is>
      </c>
      <c r="C1001" s="5" t="inlineStr">
        <is>
          <t>tim</t>
        </is>
      </c>
      <c r="D1001" s="5" t="inlineStr">
        <is>
          <t>postpaid</t>
        </is>
      </c>
      <c r="E1001" s="5" t="inlineStr">
        <is>
          <t>SP</t>
        </is>
      </c>
      <c r="F1001" s="5" t="inlineStr">
        <is>
          <t>TIM Black A Express 67GB</t>
        </is>
      </c>
      <c r="G1001" s="5" t="inlineStr">
        <is>
          <t>tim:55121</t>
        </is>
      </c>
      <c r="H1001" s="6" t="n">
        <v>119.99</v>
      </c>
      <c r="I1001" s="6" t="inlineStr"/>
      <c r="J1001" s="5" t="inlineStr"/>
      <c r="K1001" s="5" t="inlineStr">
        <is>
          <t>credit_card</t>
        </is>
      </c>
      <c r="L1001" s="7" t="n">
        <v>67</v>
      </c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>
        <is>
          <t>https://www.tim.com.br/sp/para-voce/planos/pos-pago/tim-black</t>
        </is>
      </c>
      <c r="V1001" s="5" t="inlineStr">
        <is>
          <t>data/raw/tim_postpaid_SP.html</t>
        </is>
      </c>
    </row>
    <row r="1002">
      <c r="A1002" s="2" t="inlineStr">
        <is>
          <t>2026-07-10</t>
        </is>
      </c>
      <c r="B1002" s="2" t="inlineStr">
        <is>
          <t>2026-07-10T21:58:49</t>
        </is>
      </c>
      <c r="C1002" s="2" t="inlineStr">
        <is>
          <t>tim</t>
        </is>
      </c>
      <c r="D1002" s="2" t="inlineStr">
        <is>
          <t>postpaid</t>
        </is>
      </c>
      <c r="E1002" s="2" t="inlineStr">
        <is>
          <t>SP</t>
        </is>
      </c>
      <c r="F1002" s="2" t="inlineStr">
        <is>
          <t>TIM Black B Express 82GB</t>
        </is>
      </c>
      <c r="G1002" s="2" t="inlineStr">
        <is>
          <t>tim:52146</t>
        </is>
      </c>
      <c r="H1002" s="3" t="n">
        <v>144.99</v>
      </c>
      <c r="I1002" s="3" t="inlineStr"/>
      <c r="J1002" s="2" t="inlineStr"/>
      <c r="K1002" s="2" t="inlineStr">
        <is>
          <t>credit_card</t>
        </is>
      </c>
      <c r="L1002" s="4" t="n">
        <v>82</v>
      </c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>
        <is>
          <t>https://www.tim.com.br/sp/para-voce/planos/pos-pago/tim-black</t>
        </is>
      </c>
      <c r="V1002" s="2" t="inlineStr">
        <is>
          <t>data/raw/tim_postpaid_SP.html</t>
        </is>
      </c>
    </row>
    <row r="1003">
      <c r="A1003" s="5" t="inlineStr">
        <is>
          <t>2026-07-10</t>
        </is>
      </c>
      <c r="B1003" s="5" t="inlineStr">
        <is>
          <t>2026-07-10T21:58:49</t>
        </is>
      </c>
      <c r="C1003" s="5" t="inlineStr">
        <is>
          <t>tim</t>
        </is>
      </c>
      <c r="D1003" s="5" t="inlineStr">
        <is>
          <t>postpaid</t>
        </is>
      </c>
      <c r="E1003" s="5" t="inlineStr">
        <is>
          <t>SP</t>
        </is>
      </c>
      <c r="F1003" s="5" t="inlineStr">
        <is>
          <t>TIM Black C Express 107GB</t>
        </is>
      </c>
      <c r="G1003" s="5" t="inlineStr">
        <is>
          <t>tim:52151</t>
        </is>
      </c>
      <c r="H1003" s="6" t="n">
        <v>164.99</v>
      </c>
      <c r="I1003" s="6" t="inlineStr"/>
      <c r="J1003" s="5" t="inlineStr"/>
      <c r="K1003" s="5" t="inlineStr">
        <is>
          <t>credit_card</t>
        </is>
      </c>
      <c r="L1003" s="7" t="n">
        <v>107</v>
      </c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>
        <is>
          <t>https://www.tim.com.br/sp/para-voce/planos/pos-pago/tim-black</t>
        </is>
      </c>
      <c r="V1003" s="5" t="inlineStr">
        <is>
          <t>data/raw/tim_postpaid_SP.html</t>
        </is>
      </c>
    </row>
    <row r="1004">
      <c r="A1004" s="2" t="inlineStr">
        <is>
          <t>2026-07-10</t>
        </is>
      </c>
      <c r="B1004" s="2" t="inlineStr">
        <is>
          <t>2026-07-10T21:58:49</t>
        </is>
      </c>
      <c r="C1004" s="2" t="inlineStr">
        <is>
          <t>tim</t>
        </is>
      </c>
      <c r="D1004" s="2" t="inlineStr">
        <is>
          <t>postpaid</t>
        </is>
      </c>
      <c r="E1004" s="2" t="inlineStr">
        <is>
          <t>SP</t>
        </is>
      </c>
      <c r="F1004" s="2" t="inlineStr">
        <is>
          <t>TIM Black C Ultra 95GB</t>
        </is>
      </c>
      <c r="G1004" s="2" t="inlineStr">
        <is>
          <t>tim:100581</t>
        </is>
      </c>
      <c r="H1004" s="3" t="n">
        <v>159.99</v>
      </c>
      <c r="I1004" s="3" t="inlineStr"/>
      <c r="J1004" s="2" t="inlineStr"/>
      <c r="K1004" s="2" t="inlineStr">
        <is>
          <t>bill</t>
        </is>
      </c>
      <c r="L1004" s="4" t="n">
        <v>95</v>
      </c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>
        <is>
          <t>https://www.tim.com.br/sp/para-voce/planos/pos-pago/tim-black</t>
        </is>
      </c>
      <c r="V1004" s="2" t="inlineStr">
        <is>
          <t>data/raw/tim_postpaid_SP.html</t>
        </is>
      </c>
    </row>
    <row r="1005">
      <c r="A1005" s="5" t="inlineStr">
        <is>
          <t>2026-07-10</t>
        </is>
      </c>
      <c r="B1005" s="5" t="inlineStr">
        <is>
          <t>2026-07-10T21:58:49</t>
        </is>
      </c>
      <c r="C1005" s="5" t="inlineStr">
        <is>
          <t>tim</t>
        </is>
      </c>
      <c r="D1005" s="5" t="inlineStr">
        <is>
          <t>postpaid</t>
        </is>
      </c>
      <c r="E1005" s="5" t="inlineStr">
        <is>
          <t>SP</t>
        </is>
      </c>
      <c r="F1005" s="5" t="inlineStr">
        <is>
          <t>TIM Black Plus 80GB</t>
        </is>
      </c>
      <c r="G1005" s="5" t="inlineStr">
        <is>
          <t>tim:54256</t>
        </is>
      </c>
      <c r="H1005" s="6" t="n">
        <v>149.99</v>
      </c>
      <c r="I1005" s="6" t="inlineStr"/>
      <c r="J1005" s="5" t="inlineStr"/>
      <c r="K1005" s="5" t="inlineStr">
        <is>
          <t>bill</t>
        </is>
      </c>
      <c r="L1005" s="7" t="n">
        <v>80</v>
      </c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>
        <is>
          <t>https://www.tim.com.br/sp/para-voce/planos/pos-pago/tim-black</t>
        </is>
      </c>
      <c r="V1005" s="5" t="inlineStr">
        <is>
          <t>data/raw/tim_postpaid_SP.html</t>
        </is>
      </c>
    </row>
    <row r="1006">
      <c r="A1006" s="2" t="inlineStr">
        <is>
          <t>2026-07-10</t>
        </is>
      </c>
      <c r="B1006" s="2" t="inlineStr">
        <is>
          <t>2026-07-10T21:58:49</t>
        </is>
      </c>
      <c r="C1006" s="2" t="inlineStr">
        <is>
          <t>tim</t>
        </is>
      </c>
      <c r="D1006" s="2" t="inlineStr">
        <is>
          <t>postpaid</t>
        </is>
      </c>
      <c r="E1006" s="2" t="inlineStr">
        <is>
          <t>SP</t>
        </is>
      </c>
      <c r="F1006" s="2" t="inlineStr">
        <is>
          <t>TIM Black Premium 110GB</t>
        </is>
      </c>
      <c r="G1006" s="2" t="inlineStr">
        <is>
          <t>tim:54261</t>
        </is>
      </c>
      <c r="H1006" s="3" t="n">
        <v>159.99</v>
      </c>
      <c r="I1006" s="3" t="inlineStr"/>
      <c r="J1006" s="2" t="inlineStr"/>
      <c r="K1006" s="2" t="inlineStr">
        <is>
          <t>bill</t>
        </is>
      </c>
      <c r="L1006" s="4" t="n">
        <v>110</v>
      </c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>
        <is>
          <t>https://www.tim.com.br/sp/para-voce/planos/pos-pago/tim-black</t>
        </is>
      </c>
      <c r="V1006" s="2" t="inlineStr">
        <is>
          <t>data/raw/tim_postpaid_SP.html</t>
        </is>
      </c>
    </row>
    <row r="1007">
      <c r="A1007" s="5" t="inlineStr">
        <is>
          <t>2026-07-10</t>
        </is>
      </c>
      <c r="B1007" s="5" t="inlineStr">
        <is>
          <t>2026-07-10T21:58:49</t>
        </is>
      </c>
      <c r="C1007" s="5" t="inlineStr">
        <is>
          <t>tim</t>
        </is>
      </c>
      <c r="D1007" s="5" t="inlineStr">
        <is>
          <t>prepaid</t>
        </is>
      </c>
      <c r="E1007" s="5" t="inlineStr">
        <is>
          <t>SP</t>
        </is>
      </c>
      <c r="F1007" s="5" t="inlineStr">
        <is>
          <t>TIM Pré XIP Plus 16GB</t>
        </is>
      </c>
      <c r="G1007" s="5" t="inlineStr">
        <is>
          <t>tim:106306</t>
        </is>
      </c>
      <c r="H1007" s="6" t="n">
        <v>30</v>
      </c>
      <c r="I1007" s="6" t="inlineStr"/>
      <c r="J1007" s="5" t="inlineStr"/>
      <c r="K1007" s="5" t="inlineStr"/>
      <c r="L1007" s="7" t="n">
        <v>16</v>
      </c>
      <c r="M1007" s="5" t="inlineStr"/>
      <c r="N1007" s="5" t="n">
        <v>30</v>
      </c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>
        <is>
          <t>https://www.tim.com.br/sp/para-voce/planos/pre-pago</t>
        </is>
      </c>
      <c r="V1007" s="5" t="inlineStr">
        <is>
          <t>data/raw/tim_prepaid_SP.html</t>
        </is>
      </c>
    </row>
    <row r="1008">
      <c r="A1008" s="2" t="inlineStr">
        <is>
          <t>2026-07-10</t>
        </is>
      </c>
      <c r="B1008" s="2" t="inlineStr">
        <is>
          <t>2026-07-10T21:58:49</t>
        </is>
      </c>
      <c r="C1008" s="2" t="inlineStr">
        <is>
          <t>tim</t>
        </is>
      </c>
      <c r="D1008" s="2" t="inlineStr">
        <is>
          <t>prepaid</t>
        </is>
      </c>
      <c r="E1008" s="2" t="inlineStr">
        <is>
          <t>SP</t>
        </is>
      </c>
      <c r="F1008" s="2" t="inlineStr">
        <is>
          <t>TIM Pré XIP Plus 6GB</t>
        </is>
      </c>
      <c r="G1008" s="2" t="inlineStr">
        <is>
          <t>tim:59906</t>
        </is>
      </c>
      <c r="H1008" s="3" t="n">
        <v>20</v>
      </c>
      <c r="I1008" s="3" t="inlineStr"/>
      <c r="J1008" s="2" t="inlineStr"/>
      <c r="K1008" s="2" t="inlineStr"/>
      <c r="L1008" s="4" t="n">
        <v>6</v>
      </c>
      <c r="M1008" s="2" t="inlineStr"/>
      <c r="N1008" s="2" t="n">
        <v>17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>
        <is>
          <t>https://www.tim.com.br/sp/para-voce/planos/pre-pago</t>
        </is>
      </c>
      <c r="V1008" s="2" t="inlineStr">
        <is>
          <t>data/raw/tim_prepaid_SP.html</t>
        </is>
      </c>
    </row>
    <row r="1009">
      <c r="A1009" s="5" t="inlineStr">
        <is>
          <t>2026-07-10</t>
        </is>
      </c>
      <c r="B1009" s="5" t="inlineStr">
        <is>
          <t>2026-07-10T21:58:49</t>
        </is>
      </c>
      <c r="C1009" s="5" t="inlineStr">
        <is>
          <t>tim</t>
        </is>
      </c>
      <c r="D1009" s="5" t="inlineStr">
        <is>
          <t>prepaid</t>
        </is>
      </c>
      <c r="E1009" s="5" t="inlineStr">
        <is>
          <t>SP</t>
        </is>
      </c>
      <c r="F1009" s="5" t="inlineStr">
        <is>
          <t>TIM Pré XIP Plus 8GB</t>
        </is>
      </c>
      <c r="G1009" s="5" t="inlineStr">
        <is>
          <t>tim:59901</t>
        </is>
      </c>
      <c r="H1009" s="6" t="n">
        <v>25</v>
      </c>
      <c r="I1009" s="6" t="inlineStr"/>
      <c r="J1009" s="5" t="inlineStr"/>
      <c r="K1009" s="5" t="inlineStr"/>
      <c r="L1009" s="7" t="n">
        <v>8</v>
      </c>
      <c r="M1009" s="5" t="inlineStr"/>
      <c r="N1009" s="5" t="n">
        <v>22</v>
      </c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>
        <is>
          <t>https://www.tim.com.br/sp/para-voce/planos/pre-pago</t>
        </is>
      </c>
      <c r="V1009" s="5" t="inlineStr">
        <is>
          <t>data/raw/tim_prepaid_SP.html</t>
        </is>
      </c>
    </row>
    <row r="1010">
      <c r="A1010" s="2" t="inlineStr">
        <is>
          <t>2026-07-10</t>
        </is>
      </c>
      <c r="B1010" s="2" t="inlineStr">
        <is>
          <t>2026-07-10T21:58:49</t>
        </is>
      </c>
      <c r="C1010" s="2" t="inlineStr">
        <is>
          <t>vivo</t>
        </is>
      </c>
      <c r="D1010" s="2" t="inlineStr">
        <is>
          <t>control</t>
        </is>
      </c>
      <c r="E1010" s="2" t="inlineStr">
        <is>
          <t>SP</t>
        </is>
      </c>
      <c r="F1010" s="2" t="inlineStr">
        <is>
          <t>Vivo Controle</t>
        </is>
      </c>
      <c r="G1010" s="2" t="inlineStr">
        <is>
          <t>vivo:VIV202600029270-46gb</t>
        </is>
      </c>
      <c r="H1010" s="3" t="n">
        <v>59</v>
      </c>
      <c r="I1010" s="3" t="inlineStr"/>
      <c r="J1010" s="2" t="inlineStr"/>
      <c r="K1010" s="2" t="inlineStr"/>
      <c r="L1010" s="4" t="n">
        <v>46</v>
      </c>
      <c r="M1010" s="2" t="inlineStr">
        <is>
          <t>15 GB de franquia 31 GB de bônus</t>
        </is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>
        <is>
          <t>2 meses de YouTube sem consumo no plano</t>
        </is>
      </c>
      <c r="U1010" s="2" t="inlineStr">
        <is>
          <t>https://vivo.com.br/para-voce/produtos-e-servicos/para-o-celular/planos-controle</t>
        </is>
      </c>
      <c r="V1010" s="2" t="inlineStr">
        <is>
          <t>data/raw/vivo_control_SP.html</t>
        </is>
      </c>
    </row>
    <row r="1011">
      <c r="A1011" s="5" t="inlineStr">
        <is>
          <t>2026-07-10</t>
        </is>
      </c>
      <c r="B1011" s="5" t="inlineStr">
        <is>
          <t>2026-07-10T21:58:49</t>
        </is>
      </c>
      <c r="C1011" s="5" t="inlineStr">
        <is>
          <t>vivo</t>
        </is>
      </c>
      <c r="D1011" s="5" t="inlineStr">
        <is>
          <t>control</t>
        </is>
      </c>
      <c r="E1011" s="5" t="inlineStr">
        <is>
          <t>SP</t>
        </is>
      </c>
      <c r="F1011" s="5" t="inlineStr">
        <is>
          <t>Vivo Controle</t>
        </is>
      </c>
      <c r="G1011" s="5" t="inlineStr">
        <is>
          <t>vivo:VIV202600029300-61gb</t>
        </is>
      </c>
      <c r="H1011" s="6" t="n">
        <v>80</v>
      </c>
      <c r="I1011" s="6" t="inlineStr"/>
      <c r="J1011" s="5" t="inlineStr"/>
      <c r="K1011" s="5" t="inlineStr"/>
      <c r="L1011" s="7" t="n">
        <v>61</v>
      </c>
      <c r="M1011" s="5" t="inlineStr">
        <is>
          <t>20 GB de franquia 31 GB de bônus</t>
        </is>
      </c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>
        <is>
          <t>2 meses de YouTube sem consumo no plano</t>
        </is>
      </c>
      <c r="U1011" s="5" t="inlineStr">
        <is>
          <t>https://vivo.com.br/para-voce/produtos-e-servicos/para-o-celular/planos-controle</t>
        </is>
      </c>
      <c r="V1011" s="5" t="inlineStr">
        <is>
          <t>data/raw/vivo_control_SP.html</t>
        </is>
      </c>
    </row>
    <row r="1012">
      <c r="A1012" s="2" t="inlineStr">
        <is>
          <t>2026-07-10</t>
        </is>
      </c>
      <c r="B1012" s="2" t="inlineStr">
        <is>
          <t>2026-07-10T21:58:49</t>
        </is>
      </c>
      <c r="C1012" s="2" t="inlineStr">
        <is>
          <t>vivo</t>
        </is>
      </c>
      <c r="D1012" s="2" t="inlineStr">
        <is>
          <t>control</t>
        </is>
      </c>
      <c r="E1012" s="2" t="inlineStr">
        <is>
          <t>SP</t>
        </is>
      </c>
      <c r="F1012" s="2" t="inlineStr">
        <is>
          <t>Vivo Controle Educação</t>
        </is>
      </c>
      <c r="G1012" s="2" t="inlineStr">
        <is>
          <t>vivo:VIV202600029273-61gb</t>
        </is>
      </c>
      <c r="H1012" s="3" t="n">
        <v>90</v>
      </c>
      <c r="I1012" s="3" t="inlineStr"/>
      <c r="J1012" s="2" t="inlineStr"/>
      <c r="K1012" s="2" t="inlineStr"/>
      <c r="L1012" s="4" t="n">
        <v>61</v>
      </c>
      <c r="M1012" s="2" t="inlineStr">
        <is>
          <t>20 GB de franquia 31 GB de bônus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>
        <is>
          <t>Assinatura Vivae inclusa</t>
        </is>
      </c>
      <c r="U1012" s="2" t="inlineStr">
        <is>
          <t>https://vivo.com.br/para-voce/produtos-e-servicos/para-o-celular/planos-controle</t>
        </is>
      </c>
      <c r="V1012" s="2" t="inlineStr">
        <is>
          <t>data/raw/vivo_control_SP.html</t>
        </is>
      </c>
    </row>
    <row r="1013">
      <c r="A1013" s="5" t="inlineStr">
        <is>
          <t>2026-07-10</t>
        </is>
      </c>
      <c r="B1013" s="5" t="inlineStr">
        <is>
          <t>2026-07-10T21:58:49</t>
        </is>
      </c>
      <c r="C1013" s="5" t="inlineStr">
        <is>
          <t>vivo</t>
        </is>
      </c>
      <c r="D1013" s="5" t="inlineStr">
        <is>
          <t>control</t>
        </is>
      </c>
      <c r="E1013" s="5" t="inlineStr">
        <is>
          <t>SP</t>
        </is>
      </c>
      <c r="F1013" s="5" t="inlineStr">
        <is>
          <t>Vivo Controle Entretenimento</t>
        </is>
      </c>
      <c r="G1013" s="5" t="inlineStr">
        <is>
          <t>vivo:VIV202600029307-61gb</t>
        </is>
      </c>
      <c r="H1013" s="6" t="n">
        <v>110</v>
      </c>
      <c r="I1013" s="6" t="inlineStr"/>
      <c r="J1013" s="5" t="inlineStr"/>
      <c r="K1013" s="5" t="inlineStr"/>
      <c r="L1013" s="7" t="n">
        <v>61</v>
      </c>
      <c r="M1013" s="5" t="inlineStr">
        <is>
          <t>20 GB de franquia 31 GB de bônus</t>
        </is>
      </c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>
        <is>
          <t>Assinatura Vivo TV Inicial inclusa</t>
        </is>
      </c>
      <c r="U1013" s="5" t="inlineStr">
        <is>
          <t>https://vivo.com.br/para-voce/produtos-e-servicos/para-o-celular/planos-controle</t>
        </is>
      </c>
      <c r="V1013" s="5" t="inlineStr">
        <is>
          <t>data/raw/vivo_control_SP.html</t>
        </is>
      </c>
    </row>
    <row r="1014">
      <c r="A1014" s="2" t="inlineStr">
        <is>
          <t>2026-07-10</t>
        </is>
      </c>
      <c r="B1014" s="2" t="inlineStr">
        <is>
          <t>2026-07-10T21:58:49</t>
        </is>
      </c>
      <c r="C1014" s="2" t="inlineStr">
        <is>
          <t>vivo</t>
        </is>
      </c>
      <c r="D1014" s="2" t="inlineStr">
        <is>
          <t>control</t>
        </is>
      </c>
      <c r="E1014" s="2" t="inlineStr">
        <is>
          <t>SP</t>
        </is>
      </c>
      <c r="F1014" s="2" t="inlineStr">
        <is>
          <t>Vivo Controle Música</t>
        </is>
      </c>
      <c r="G1014" s="2" t="inlineStr">
        <is>
          <t>vivo:VIV202600029313-61gb</t>
        </is>
      </c>
      <c r="H1014" s="3" t="n">
        <v>90</v>
      </c>
      <c r="I1014" s="3" t="inlineStr"/>
      <c r="J1014" s="2" t="inlineStr"/>
      <c r="K1014" s="2" t="inlineStr"/>
      <c r="L1014" s="4" t="n">
        <v>61</v>
      </c>
      <c r="M1014" s="2" t="inlineStr">
        <is>
          <t>20 GB de franquia 31 GB de bônus</t>
        </is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>
        <is>
          <t>Apple Music Individual</t>
        </is>
      </c>
      <c r="U1014" s="2" t="inlineStr">
        <is>
          <t>https://vivo.com.br/para-voce/produtos-e-servicos/para-o-celular/planos-controle</t>
        </is>
      </c>
      <c r="V1014" s="2" t="inlineStr">
        <is>
          <t>data/raw/vivo_control_SP.html</t>
        </is>
      </c>
    </row>
    <row r="1015">
      <c r="A1015" s="5" t="inlineStr">
        <is>
          <t>2026-07-10</t>
        </is>
      </c>
      <c r="B1015" s="5" t="inlineStr">
        <is>
          <t>2026-07-10T21:58:49</t>
        </is>
      </c>
      <c r="C1015" s="5" t="inlineStr">
        <is>
          <t>vivo</t>
        </is>
      </c>
      <c r="D1015" s="5" t="inlineStr">
        <is>
          <t>control</t>
        </is>
      </c>
      <c r="E1015" s="5" t="inlineStr">
        <is>
          <t>SP</t>
        </is>
      </c>
      <c r="F1015" s="5" t="inlineStr">
        <is>
          <t>Vivo Controle Netflix</t>
        </is>
      </c>
      <c r="G1015" s="5" t="inlineStr">
        <is>
          <t>vivo:VIV202600029308-61gb</t>
        </is>
      </c>
      <c r="H1015" s="6" t="n">
        <v>95</v>
      </c>
      <c r="I1015" s="6" t="inlineStr"/>
      <c r="J1015" s="5" t="inlineStr"/>
      <c r="K1015" s="5" t="inlineStr"/>
      <c r="L1015" s="7" t="n">
        <v>61</v>
      </c>
      <c r="M1015" s="5" t="inlineStr">
        <is>
          <t>20 GB de franquia 31 GB de bônus</t>
        </is>
      </c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>
        <is>
          <t>Assinatura Netflix Padrão com anúncios</t>
        </is>
      </c>
      <c r="U1015" s="5" t="inlineStr">
        <is>
          <t>https://vivo.com.br/para-voce/produtos-e-servicos/para-o-celular/planos-controle</t>
        </is>
      </c>
      <c r="V1015" s="5" t="inlineStr">
        <is>
          <t>data/raw/vivo_control_SP.html</t>
        </is>
      </c>
    </row>
    <row r="1016">
      <c r="A1016" s="2" t="inlineStr">
        <is>
          <t>2026-07-10</t>
        </is>
      </c>
      <c r="B1016" s="2" t="inlineStr">
        <is>
          <t>2026-07-10T21:58:49</t>
        </is>
      </c>
      <c r="C1016" s="2" t="inlineStr">
        <is>
          <t>vivo</t>
        </is>
      </c>
      <c r="D1016" s="2" t="inlineStr">
        <is>
          <t>control</t>
        </is>
      </c>
      <c r="E1016" s="2" t="inlineStr">
        <is>
          <t>SP</t>
        </is>
      </c>
      <c r="F1016" s="2" t="inlineStr">
        <is>
          <t>Vivo Controle Saúde</t>
        </is>
      </c>
      <c r="G1016" s="2" t="inlineStr">
        <is>
          <t>vivo:VIV202600029301-61gb</t>
        </is>
      </c>
      <c r="H1016" s="3" t="n">
        <v>90</v>
      </c>
      <c r="I1016" s="3" t="inlineStr"/>
      <c r="J1016" s="2" t="inlineStr"/>
      <c r="K1016" s="2" t="inlineStr"/>
      <c r="L1016" s="4" t="n">
        <v>61</v>
      </c>
      <c r="M1016" s="2" t="inlineStr">
        <is>
          <t>20 GB de franquia 31 GB de bônus</t>
        </is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>
        <is>
          <t>Assinatura Vale Saúde Sempre inclusa</t>
        </is>
      </c>
      <c r="U1016" s="2" t="inlineStr">
        <is>
          <t>https://vivo.com.br/para-voce/produtos-e-servicos/para-o-celular/planos-controle</t>
        </is>
      </c>
      <c r="V1016" s="2" t="inlineStr">
        <is>
          <t>data/raw/vivo_control_SP.html</t>
        </is>
      </c>
    </row>
    <row r="1017">
      <c r="A1017" s="5" t="inlineStr">
        <is>
          <t>2026-07-10</t>
        </is>
      </c>
      <c r="B1017" s="5" t="inlineStr">
        <is>
          <t>2026-07-10T21:58:49</t>
        </is>
      </c>
      <c r="C1017" s="5" t="inlineStr">
        <is>
          <t>vivo</t>
        </is>
      </c>
      <c r="D1017" s="5" t="inlineStr">
        <is>
          <t>lite</t>
        </is>
      </c>
      <c r="E1017" s="5" t="inlineStr">
        <is>
          <t>SP</t>
        </is>
      </c>
      <c r="F1017" s="5" t="inlineStr">
        <is>
          <t>Easy Lite</t>
        </is>
      </c>
      <c r="G1017" s="5" t="inlineStr">
        <is>
          <t>vivo:VIV202600032594-30gb</t>
        </is>
      </c>
      <c r="H1017" s="6" t="n">
        <v>45</v>
      </c>
      <c r="I1017" s="6" t="n">
        <v>30</v>
      </c>
      <c r="J1017" s="5" t="inlineStr">
        <is>
          <t>preço sem fidelidade; fidelidade 12m no promo</t>
        </is>
      </c>
      <c r="K1017" s="5" t="inlineStr"/>
      <c r="L1017" s="7" t="n">
        <v>30</v>
      </c>
      <c r="M1017" s="5" t="inlineStr">
        <is>
          <t>30 GB de franquia</t>
        </is>
      </c>
      <c r="N1017" s="5" t="inlineStr"/>
      <c r="O1017" s="5" t="inlineStr"/>
      <c r="P1017" s="5" t="inlineStr"/>
      <c r="Q1017" s="5" t="inlineStr"/>
      <c r="R1017" s="5" t="inlineStr"/>
      <c r="S1017" s="5" t="n">
        <v>12</v>
      </c>
      <c r="T1017" s="5" t="inlineStr">
        <is>
          <t>2 meses de YouTube sem consumo no plano</t>
        </is>
      </c>
      <c r="U1017" s="5" t="inlineStr">
        <is>
          <t>https://vivo.com.br/para-voce/produtos-e-servicos/para-o-celular/easy-lite</t>
        </is>
      </c>
      <c r="V1017" s="5" t="inlineStr">
        <is>
          <t>data/raw/vivo_lite_SP.html</t>
        </is>
      </c>
    </row>
    <row r="1018">
      <c r="A1018" s="2" t="inlineStr">
        <is>
          <t>2026-07-10</t>
        </is>
      </c>
      <c r="B1018" s="2" t="inlineStr">
        <is>
          <t>2026-07-10T21:58:49</t>
        </is>
      </c>
      <c r="C1018" s="2" t="inlineStr">
        <is>
          <t>vivo</t>
        </is>
      </c>
      <c r="D1018" s="2" t="inlineStr">
        <is>
          <t>lite</t>
        </is>
      </c>
      <c r="E1018" s="2" t="inlineStr">
        <is>
          <t>SP</t>
        </is>
      </c>
      <c r="F1018" s="2" t="inlineStr">
        <is>
          <t>Easy Lite</t>
        </is>
      </c>
      <c r="G1018" s="2" t="inlineStr">
        <is>
          <t>vivo:VIV202600032596-40gb</t>
        </is>
      </c>
      <c r="H1018" s="3" t="n">
        <v>55</v>
      </c>
      <c r="I1018" s="3" t="n">
        <v>40</v>
      </c>
      <c r="J1018" s="2" t="inlineStr">
        <is>
          <t>preço sem fidelidade; fidelidade 12m no promo</t>
        </is>
      </c>
      <c r="K1018" s="2" t="inlineStr"/>
      <c r="L1018" s="4" t="n">
        <v>40</v>
      </c>
      <c r="M1018" s="2" t="inlineStr">
        <is>
          <t>40 GB de franquia</t>
        </is>
      </c>
      <c r="N1018" s="2" t="inlineStr"/>
      <c r="O1018" s="2" t="inlineStr"/>
      <c r="P1018" s="2" t="inlineStr"/>
      <c r="Q1018" s="2" t="inlineStr"/>
      <c r="R1018" s="2" t="inlineStr"/>
      <c r="S1018" s="2" t="n">
        <v>12</v>
      </c>
      <c r="T1018" s="2" t="inlineStr">
        <is>
          <t>2 meses de YouTube sem consumo no plano</t>
        </is>
      </c>
      <c r="U1018" s="2" t="inlineStr">
        <is>
          <t>https://vivo.com.br/para-voce/produtos-e-servicos/para-o-celular/easy-lite</t>
        </is>
      </c>
      <c r="V1018" s="2" t="inlineStr">
        <is>
          <t>data/raw/vivo_lite_SP.html</t>
        </is>
      </c>
    </row>
    <row r="1019">
      <c r="A1019" s="5" t="inlineStr">
        <is>
          <t>2026-07-10</t>
        </is>
      </c>
      <c r="B1019" s="5" t="inlineStr">
        <is>
          <t>2026-07-10T21:58:49</t>
        </is>
      </c>
      <c r="C1019" s="5" t="inlineStr">
        <is>
          <t>vivo</t>
        </is>
      </c>
      <c r="D1019" s="5" t="inlineStr">
        <is>
          <t>lite</t>
        </is>
      </c>
      <c r="E1019" s="5" t="inlineStr">
        <is>
          <t>SP</t>
        </is>
      </c>
      <c r="F1019" s="5" t="inlineStr">
        <is>
          <t>Easy Lite</t>
        </is>
      </c>
      <c r="G1019" s="5" t="inlineStr">
        <is>
          <t>vivo:VIV202600032599-20gb</t>
        </is>
      </c>
      <c r="H1019" s="6" t="n">
        <v>35</v>
      </c>
      <c r="I1019" s="6" t="inlineStr"/>
      <c r="J1019" s="5" t="inlineStr"/>
      <c r="K1019" s="5" t="inlineStr"/>
      <c r="L1019" s="7" t="n">
        <v>20</v>
      </c>
      <c r="M1019" s="5" t="inlineStr">
        <is>
          <t>20 GB de franquia</t>
        </is>
      </c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>
        <is>
          <t>2 meses de YouTube sem consumo no plano</t>
        </is>
      </c>
      <c r="U1019" s="5" t="inlineStr">
        <is>
          <t>https://vivo.com.br/para-voce/produtos-e-servicos/para-o-celular/easy-lite</t>
        </is>
      </c>
      <c r="V1019" s="5" t="inlineStr">
        <is>
          <t>data/raw/vivo_lite_SP.html</t>
        </is>
      </c>
    </row>
    <row r="1020">
      <c r="A1020" s="2" t="inlineStr">
        <is>
          <t>2026-07-10</t>
        </is>
      </c>
      <c r="B1020" s="2" t="inlineStr">
        <is>
          <t>2026-07-10T21:58:49</t>
        </is>
      </c>
      <c r="C1020" s="2" t="inlineStr">
        <is>
          <t>vivo</t>
        </is>
      </c>
      <c r="D1020" s="2" t="inlineStr">
        <is>
          <t>postpaid</t>
        </is>
      </c>
      <c r="E1020" s="2" t="inlineStr">
        <is>
          <t>SP</t>
        </is>
      </c>
      <c r="F1020" s="2" t="inlineStr">
        <is>
          <t>Vivo Pós com Amazon</t>
        </is>
      </c>
      <c r="G1020" s="2" t="inlineStr">
        <is>
          <t>vivo:VIV202600029255-60gb</t>
        </is>
      </c>
      <c r="H1020" s="3" t="n">
        <v>150</v>
      </c>
      <c r="I1020" s="3" t="inlineStr"/>
      <c r="J1020" s="2" t="inlineStr"/>
      <c r="K1020" s="2" t="inlineStr"/>
      <c r="L1020" s="4" t="n">
        <v>60</v>
      </c>
      <c r="M1020" s="2" t="inlineStr">
        <is>
          <t>50 GB de franquia 10 GB de bônus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>
        <is>
          <t>Assinatura Amazon Prime inclusa</t>
        </is>
      </c>
      <c r="U1020" s="2" t="inlineStr">
        <is>
          <t>https://vivo.com.br/para-voce/produtos-e-servicos/para-o-celular/planos-pos-pago</t>
        </is>
      </c>
      <c r="V1020" s="2" t="inlineStr">
        <is>
          <t>data/raw/vivo_postpaid_SP.html</t>
        </is>
      </c>
    </row>
    <row r="1021">
      <c r="A1021" s="5" t="inlineStr">
        <is>
          <t>2026-07-10</t>
        </is>
      </c>
      <c r="B1021" s="5" t="inlineStr">
        <is>
          <t>2026-07-10T21:58:49</t>
        </is>
      </c>
      <c r="C1021" s="5" t="inlineStr">
        <is>
          <t>vivo</t>
        </is>
      </c>
      <c r="D1021" s="5" t="inlineStr">
        <is>
          <t>postpaid</t>
        </is>
      </c>
      <c r="E1021" s="5" t="inlineStr">
        <is>
          <t>SP</t>
        </is>
      </c>
      <c r="F1021" s="5" t="inlineStr">
        <is>
          <t>Vivo Pós com Disney+</t>
        </is>
      </c>
      <c r="G1021" s="5" t="inlineStr">
        <is>
          <t>vivo:VIV202600022115-60gb</t>
        </is>
      </c>
      <c r="H1021" s="6" t="n">
        <v>180</v>
      </c>
      <c r="I1021" s="6" t="inlineStr"/>
      <c r="J1021" s="5" t="inlineStr"/>
      <c r="K1021" s="5" t="inlineStr"/>
      <c r="L1021" s="7" t="n">
        <v>60</v>
      </c>
      <c r="M1021" s="5" t="inlineStr">
        <is>
          <t>50 GB de franquia 10 GB de bônus</t>
        </is>
      </c>
      <c r="N1021" s="5" t="inlineStr"/>
      <c r="O1021" s="5" t="inlineStr"/>
      <c r="P1021" s="5" t="inlineStr"/>
      <c r="Q1021" s="5" t="inlineStr"/>
      <c r="R1021" s="5" t="inlineStr">
        <is>
          <t>Disney+</t>
        </is>
      </c>
      <c r="S1021" s="5" t="inlineStr"/>
      <c r="T1021" s="5" t="inlineStr">
        <is>
          <t>Assinatura Disney+ Padrão inclusa</t>
        </is>
      </c>
      <c r="U1021" s="5" t="inlineStr">
        <is>
          <t>https://vivo.com.br/para-voce/produtos-e-servicos/para-o-celular/planos-pos-pago</t>
        </is>
      </c>
      <c r="V1021" s="5" t="inlineStr">
        <is>
          <t>data/raw/vivo_postpaid_SP.html</t>
        </is>
      </c>
    </row>
    <row r="1022">
      <c r="A1022" s="2" t="inlineStr">
        <is>
          <t>2026-07-10</t>
        </is>
      </c>
      <c r="B1022" s="2" t="inlineStr">
        <is>
          <t>2026-07-10T21:58:49</t>
        </is>
      </c>
      <c r="C1022" s="2" t="inlineStr">
        <is>
          <t>vivo</t>
        </is>
      </c>
      <c r="D1022" s="2" t="inlineStr">
        <is>
          <t>postpaid</t>
        </is>
      </c>
      <c r="E1022" s="2" t="inlineStr">
        <is>
          <t>SP</t>
        </is>
      </c>
      <c r="F1022" s="2" t="inlineStr">
        <is>
          <t>Vivo Pós com Globoplay</t>
        </is>
      </c>
      <c r="G1022" s="2" t="inlineStr">
        <is>
          <t>vivo:VIV202600029246-60gb</t>
        </is>
      </c>
      <c r="H1022" s="3" t="n">
        <v>165</v>
      </c>
      <c r="I1022" s="3" t="inlineStr"/>
      <c r="J1022" s="2" t="inlineStr"/>
      <c r="K1022" s="2" t="inlineStr"/>
      <c r="L1022" s="4" t="n">
        <v>60</v>
      </c>
      <c r="M1022" s="2" t="inlineStr">
        <is>
          <t>50 GB de franquia 10 GB de bônus</t>
        </is>
      </c>
      <c r="N1022" s="2" t="inlineStr"/>
      <c r="O1022" s="2" t="inlineStr"/>
      <c r="P1022" s="2" t="inlineStr"/>
      <c r="Q1022" s="2" t="inlineStr"/>
      <c r="R1022" s="2" t="inlineStr">
        <is>
          <t>Globoplay</t>
        </is>
      </c>
      <c r="S1022" s="2" t="inlineStr"/>
      <c r="T1022" s="2" t="inlineStr">
        <is>
          <t>Assinatura Globoplay inclusa</t>
        </is>
      </c>
      <c r="U1022" s="2" t="inlineStr">
        <is>
          <t>https://vivo.com.br/para-voce/produtos-e-servicos/para-o-celular/planos-pos-pago</t>
        </is>
      </c>
      <c r="V1022" s="2" t="inlineStr">
        <is>
          <t>data/raw/vivo_postpaid_SP.html</t>
        </is>
      </c>
    </row>
    <row r="1023">
      <c r="A1023" s="5" t="inlineStr">
        <is>
          <t>2026-07-10</t>
        </is>
      </c>
      <c r="B1023" s="5" t="inlineStr">
        <is>
          <t>2026-07-10T21:58:49</t>
        </is>
      </c>
      <c r="C1023" s="5" t="inlineStr">
        <is>
          <t>vivo</t>
        </is>
      </c>
      <c r="D1023" s="5" t="inlineStr">
        <is>
          <t>postpaid</t>
        </is>
      </c>
      <c r="E1023" s="5" t="inlineStr">
        <is>
          <t>SP</t>
        </is>
      </c>
      <c r="F1023" s="5" t="inlineStr">
        <is>
          <t>Vivo Pós com Netflix</t>
        </is>
      </c>
      <c r="G1023" s="5" t="inlineStr">
        <is>
          <t>vivo:VIV202600029234-60gb</t>
        </is>
      </c>
      <c r="H1023" s="6" t="n">
        <v>180</v>
      </c>
      <c r="I1023" s="6" t="inlineStr"/>
      <c r="J1023" s="5" t="inlineStr"/>
      <c r="K1023" s="5" t="inlineStr"/>
      <c r="L1023" s="7" t="n">
        <v>60</v>
      </c>
      <c r="M1023" s="5" t="inlineStr">
        <is>
          <t>50 GB de franquia 10 GB de bônus</t>
        </is>
      </c>
      <c r="N1023" s="5" t="inlineStr"/>
      <c r="O1023" s="5" t="inlineStr"/>
      <c r="P1023" s="5" t="inlineStr"/>
      <c r="Q1023" s="5" t="inlineStr"/>
      <c r="R1023" s="5" t="inlineStr">
        <is>
          <t>Netflix</t>
        </is>
      </c>
      <c r="S1023" s="5" t="inlineStr"/>
      <c r="T1023" s="5" t="inlineStr">
        <is>
          <t>Assinatura Netflix Padrão inclusa</t>
        </is>
      </c>
      <c r="U1023" s="5" t="inlineStr">
        <is>
          <t>https://vivo.com.br/para-voce/produtos-e-servicos/para-o-celular/planos-pos-pago</t>
        </is>
      </c>
      <c r="V1023" s="5" t="inlineStr">
        <is>
          <t>data/raw/vivo_postpaid_SP.html</t>
        </is>
      </c>
    </row>
    <row r="1024">
      <c r="A1024" s="2" t="inlineStr">
        <is>
          <t>2026-07-10</t>
        </is>
      </c>
      <c r="B1024" s="2" t="inlineStr">
        <is>
          <t>2026-07-10T21:58:49</t>
        </is>
      </c>
      <c r="C1024" s="2" t="inlineStr">
        <is>
          <t>vivo</t>
        </is>
      </c>
      <c r="D1024" s="2" t="inlineStr">
        <is>
          <t>postpaid</t>
        </is>
      </c>
      <c r="E1024" s="2" t="inlineStr">
        <is>
          <t>SP</t>
        </is>
      </c>
      <c r="F1024" s="2" t="inlineStr">
        <is>
          <t>Vivo Pós com Premiere</t>
        </is>
      </c>
      <c r="G1024" s="2" t="inlineStr">
        <is>
          <t>vivo:VIV202600029249-60gb</t>
        </is>
      </c>
      <c r="H1024" s="3" t="n">
        <v>180</v>
      </c>
      <c r="I1024" s="3" t="inlineStr"/>
      <c r="J1024" s="2" t="inlineStr"/>
      <c r="K1024" s="2" t="inlineStr"/>
      <c r="L1024" s="4" t="n">
        <v>60</v>
      </c>
      <c r="M1024" s="2" t="inlineStr">
        <is>
          <t>50 GB de franquia 10 GB de bônus</t>
        </is>
      </c>
      <c r="N1024" s="2" t="inlineStr"/>
      <c r="O1024" s="2" t="inlineStr"/>
      <c r="P1024" s="2" t="inlineStr"/>
      <c r="Q1024" s="2" t="inlineStr"/>
      <c r="R1024" s="2" t="inlineStr">
        <is>
          <t>Premiere</t>
        </is>
      </c>
      <c r="S1024" s="2" t="inlineStr"/>
      <c r="T1024" s="2" t="inlineStr">
        <is>
          <t>Assinatura Premiere inclusa</t>
        </is>
      </c>
      <c r="U1024" s="2" t="inlineStr">
        <is>
          <t>https://vivo.com.br/para-voce/produtos-e-servicos/para-o-celular/planos-pos-pago</t>
        </is>
      </c>
      <c r="V1024" s="2" t="inlineStr">
        <is>
          <t>data/raw/vivo_postpaid_SP.html</t>
        </is>
      </c>
    </row>
    <row r="1025">
      <c r="A1025" s="5" t="inlineStr">
        <is>
          <t>2026-07-10</t>
        </is>
      </c>
      <c r="B1025" s="5" t="inlineStr">
        <is>
          <t>2026-07-10T21:58:49</t>
        </is>
      </c>
      <c r="C1025" s="5" t="inlineStr">
        <is>
          <t>vivo</t>
        </is>
      </c>
      <c r="D1025" s="5" t="inlineStr">
        <is>
          <t>postpaid</t>
        </is>
      </c>
      <c r="E1025" s="5" t="inlineStr">
        <is>
          <t>SP</t>
        </is>
      </c>
      <c r="F1025" s="5" t="inlineStr">
        <is>
          <t>Vivo Pós com Spotify</t>
        </is>
      </c>
      <c r="G1025" s="5" t="inlineStr">
        <is>
          <t>vivo:VIV202600029229-60gb</t>
        </is>
      </c>
      <c r="H1025" s="6" t="n">
        <v>165</v>
      </c>
      <c r="I1025" s="6" t="inlineStr"/>
      <c r="J1025" s="5" t="inlineStr"/>
      <c r="K1025" s="5" t="inlineStr"/>
      <c r="L1025" s="7" t="n">
        <v>60</v>
      </c>
      <c r="M1025" s="5" t="inlineStr">
        <is>
          <t>50 GB de franquia 10 GB de bônus</t>
        </is>
      </c>
      <c r="N1025" s="5" t="inlineStr"/>
      <c r="O1025" s="5" t="inlineStr"/>
      <c r="P1025" s="5" t="inlineStr"/>
      <c r="Q1025" s="5" t="inlineStr"/>
      <c r="R1025" s="5" t="inlineStr">
        <is>
          <t>Spotify</t>
        </is>
      </c>
      <c r="S1025" s="5" t="inlineStr"/>
      <c r="T1025" s="5" t="inlineStr">
        <is>
          <t>Assinatura Spotify Premium inclusa</t>
        </is>
      </c>
      <c r="U1025" s="5" t="inlineStr">
        <is>
          <t>https://vivo.com.br/para-voce/produtos-e-servicos/para-o-celular/planos-pos-pago</t>
        </is>
      </c>
      <c r="V1025" s="5" t="inlineStr">
        <is>
          <t>data/raw/vivo_postpaid_SP.html</t>
        </is>
      </c>
    </row>
    <row r="1026">
      <c r="A1026" s="2" t="inlineStr">
        <is>
          <t>2026-07-10</t>
        </is>
      </c>
      <c r="B1026" s="2" t="inlineStr">
        <is>
          <t>2026-07-10T21:58:49</t>
        </is>
      </c>
      <c r="C1026" s="2" t="inlineStr">
        <is>
          <t>vivo</t>
        </is>
      </c>
      <c r="D1026" s="2" t="inlineStr">
        <is>
          <t>postpaid</t>
        </is>
      </c>
      <c r="E1026" s="2" t="inlineStr">
        <is>
          <t>SP</t>
        </is>
      </c>
      <c r="F1026" s="2" t="inlineStr">
        <is>
          <t>Vivo Pós com Travel</t>
        </is>
      </c>
      <c r="G1026" s="2" t="inlineStr">
        <is>
          <t>vivo:VIV202600029244-70gb</t>
        </is>
      </c>
      <c r="H1026" s="3" t="n">
        <v>215</v>
      </c>
      <c r="I1026" s="3" t="inlineStr"/>
      <c r="J1026" s="2" t="inlineStr"/>
      <c r="K1026" s="2" t="inlineStr"/>
      <c r="L1026" s="4" t="n">
        <v>70</v>
      </c>
      <c r="M1026" s="2" t="inlineStr">
        <is>
          <t>60 GB de franquia 10 GB de bônus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2 meses de YouTube sem consumo no plano</t>
        </is>
      </c>
      <c r="U1026" s="2" t="inlineStr">
        <is>
          <t>https://vivo.com.br/para-voce/produtos-e-servicos/para-o-celular/planos-pos-pago</t>
        </is>
      </c>
      <c r="V1026" s="2" t="inlineStr">
        <is>
          <t>data/raw/vivo_postpaid_SP.html</t>
        </is>
      </c>
    </row>
    <row r="1027">
      <c r="A1027" s="5" t="inlineStr">
        <is>
          <t>2026-07-10</t>
        </is>
      </c>
      <c r="B1027" s="5" t="inlineStr">
        <is>
          <t>2026-07-10T21:58:49</t>
        </is>
      </c>
      <c r="C1027" s="5" t="inlineStr">
        <is>
          <t>vivo</t>
        </is>
      </c>
      <c r="D1027" s="5" t="inlineStr">
        <is>
          <t>prepaid</t>
        </is>
      </c>
      <c r="E1027" s="5" t="inlineStr">
        <is>
          <t>SP</t>
        </is>
      </c>
      <c r="F1027" s="5" t="inlineStr">
        <is>
          <t>Vivo Pré</t>
        </is>
      </c>
      <c r="G1027" s="5" t="inlineStr">
        <is>
          <t>vivo:VIV202600029370-25gb</t>
        </is>
      </c>
      <c r="H1027" s="6" t="n">
        <v>30</v>
      </c>
      <c r="I1027" s="6" t="inlineStr"/>
      <c r="J1027" s="5" t="inlineStr"/>
      <c r="K1027" s="5" t="inlineStr"/>
      <c r="L1027" s="7" t="n">
        <v>25</v>
      </c>
      <c r="M1027" s="5" t="inlineStr">
        <is>
          <t>15 GB para navegar como quiser 5 GB de bônus 5 GB para navegar no Youtube</t>
        </is>
      </c>
      <c r="N1027" s="5" t="n">
        <v>30</v>
      </c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>
        <is>
          <t>https://vivo.com.br/para-voce/produtos-e-servicos/para-o-celular/pre-pago/vivo-pre</t>
        </is>
      </c>
      <c r="V1027" s="5" t="inlineStr">
        <is>
          <t>data/raw/vivo_prepaid_SP.html</t>
        </is>
      </c>
    </row>
    <row r="1028">
      <c r="A1028" s="2" t="inlineStr">
        <is>
          <t>2026-07-10</t>
        </is>
      </c>
      <c r="B1028" s="2" t="inlineStr">
        <is>
          <t>2026-07-10T21:58:49</t>
        </is>
      </c>
      <c r="C1028" s="2" t="inlineStr">
        <is>
          <t>vivo</t>
        </is>
      </c>
      <c r="D1028" s="2" t="inlineStr">
        <is>
          <t>prepaid</t>
        </is>
      </c>
      <c r="E1028" s="2" t="inlineStr">
        <is>
          <t>SP</t>
        </is>
      </c>
      <c r="F1028" s="2" t="inlineStr">
        <is>
          <t>Vivo Pré</t>
        </is>
      </c>
      <c r="G1028" s="2" t="inlineStr">
        <is>
          <t>vivo:VIV202600029370-9gb</t>
        </is>
      </c>
      <c r="H1028" s="3" t="n">
        <v>25</v>
      </c>
      <c r="I1028" s="3" t="inlineStr"/>
      <c r="J1028" s="2" t="inlineStr"/>
      <c r="K1028" s="2" t="inlineStr"/>
      <c r="L1028" s="4" t="n">
        <v>9</v>
      </c>
      <c r="M1028" s="2" t="inlineStr">
        <is>
          <t>6 GB para navegar como quiser 3 GB para navegar no YouTube</t>
        </is>
      </c>
      <c r="N1028" s="2" t="n">
        <v>22</v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>
        <is>
          <t>https://vivo.com.br/para-voce/produtos-e-servicos/para-o-celular/pre-pago/vivo-pre</t>
        </is>
      </c>
      <c r="V1028" s="2" t="inlineStr">
        <is>
          <t>data/raw/vivo_prepaid_SP.html</t>
        </is>
      </c>
    </row>
    <row r="1029">
      <c r="A1029" s="5" t="inlineStr">
        <is>
          <t>2026-07-10</t>
        </is>
      </c>
      <c r="B1029" s="5" t="inlineStr">
        <is>
          <t>2026-07-10T21:58:49</t>
        </is>
      </c>
      <c r="C1029" s="5" t="inlineStr">
        <is>
          <t>vivo</t>
        </is>
      </c>
      <c r="D1029" s="5" t="inlineStr">
        <is>
          <t>prepaid</t>
        </is>
      </c>
      <c r="E1029" s="5" t="inlineStr">
        <is>
          <t>SP</t>
        </is>
      </c>
      <c r="F1029" s="5" t="inlineStr">
        <is>
          <t>Vivo Pré</t>
        </is>
      </c>
      <c r="G1029" s="5" t="inlineStr">
        <is>
          <t>vivo:VIV202600029370-5gb</t>
        </is>
      </c>
      <c r="H1029" s="6" t="n">
        <v>20</v>
      </c>
      <c r="I1029" s="6" t="inlineStr"/>
      <c r="J1029" s="5" t="inlineStr"/>
      <c r="K1029" s="5" t="inlineStr"/>
      <c r="L1029" s="7" t="n">
        <v>5</v>
      </c>
      <c r="M1029" s="5" t="inlineStr">
        <is>
          <t>5 GB para navegar como quiser</t>
        </is>
      </c>
      <c r="N1029" s="5" t="n">
        <v>17</v>
      </c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>
        <is>
          <t>https://vivo.com.br/para-voce/produtos-e-servicos/para-o-celular/pre-pago/vivo-pre</t>
        </is>
      </c>
      <c r="V1029" s="5" t="inlineStr">
        <is>
          <t>data/raw/vivo_prepaid_SP.html</t>
        </is>
      </c>
    </row>
    <row r="1030">
      <c r="A1030" s="2" t="inlineStr">
        <is>
          <t>2026-07-10</t>
        </is>
      </c>
      <c r="B1030" s="2" t="inlineStr">
        <is>
          <t>2026-07-10T21:58:49</t>
        </is>
      </c>
      <c r="C1030" s="2" t="inlineStr">
        <is>
          <t>vivo</t>
        </is>
      </c>
      <c r="D1030" s="2" t="inlineStr">
        <is>
          <t>prepaid</t>
        </is>
      </c>
      <c r="E1030" s="2" t="inlineStr">
        <is>
          <t>SP</t>
        </is>
      </c>
      <c r="F1030" s="2" t="inlineStr">
        <is>
          <t>Vivo Pré</t>
        </is>
      </c>
      <c r="G1030" s="2" t="inlineStr">
        <is>
          <t>vivo:VIV202600029370-4gb</t>
        </is>
      </c>
      <c r="H1030" s="3" t="n">
        <v>17</v>
      </c>
      <c r="I1030" s="3" t="inlineStr"/>
      <c r="J1030" s="2" t="inlineStr"/>
      <c r="K1030" s="2" t="inlineStr"/>
      <c r="L1030" s="4" t="n">
        <v>4</v>
      </c>
      <c r="M1030" s="2" t="inlineStr">
        <is>
          <t>4 GB para navegar como quiser</t>
        </is>
      </c>
      <c r="N1030" s="2" t="n">
        <v>15</v>
      </c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>
        <is>
          <t>https://vivo.com.br/para-voce/produtos-e-servicos/para-o-celular/pre-pago/vivo-pre</t>
        </is>
      </c>
      <c r="V1030" s="2" t="inlineStr">
        <is>
          <t>data/raw/vivo_prepaid_SP.html</t>
        </is>
      </c>
    </row>
    <row r="1031">
      <c r="A1031" s="5" t="inlineStr">
        <is>
          <t>2026-07-11</t>
        </is>
      </c>
      <c r="B1031" s="5" t="inlineStr">
        <is>
          <t>2026-07-11T21:44:47</t>
        </is>
      </c>
      <c r="C1031" s="5" t="inlineStr">
        <is>
          <t>claro</t>
        </is>
      </c>
      <c r="D1031" s="5" t="inlineStr">
        <is>
          <t>control</t>
        </is>
      </c>
      <c r="E1031" s="5" t="inlineStr">
        <is>
          <t>SP</t>
        </is>
      </c>
      <c r="F1031" s="5" t="inlineStr">
        <is>
          <t>Controle 25GB</t>
        </is>
      </c>
      <c r="G1031" s="5" t="inlineStr">
        <is>
          <t>claro:plano-controle-25gb</t>
        </is>
      </c>
      <c r="H1031" s="6" t="n">
        <v>59.9</v>
      </c>
      <c r="I1031" s="6" t="n">
        <v>54.9</v>
      </c>
      <c r="J1031" s="5" t="inlineStr">
        <is>
          <t>De R$ 59,90 Por:</t>
        </is>
      </c>
      <c r="K1031" s="5" t="inlineStr"/>
      <c r="L1031" s="7" t="n">
        <v>25</v>
      </c>
      <c r="M1031" s="5" t="inlineStr"/>
      <c r="N1031" s="5" t="inlineStr"/>
      <c r="O1031" s="5" t="inlineStr">
        <is>
          <t>WhatsApp</t>
        </is>
      </c>
      <c r="P1031" s="5" t="inlineStr"/>
      <c r="Q1031" s="5" t="inlineStr"/>
      <c r="R1031" s="5" t="inlineStr"/>
      <c r="S1031" s="5" t="inlineStr"/>
      <c r="T1031" s="5" t="inlineStr">
        <is>
          <t>Para uso livre; Para redes sociais e vídeos; Bônus exclusivo; Aproveite na sua franquia; WhatsApp e ligações ilimitadas</t>
        </is>
      </c>
      <c r="U1031" s="5" t="inlineStr">
        <is>
          <t>https://www.claro.com.br/celular/controle</t>
        </is>
      </c>
      <c r="V1031" s="5" t="inlineStr">
        <is>
          <t>data/raw/claro_control_SP.json</t>
        </is>
      </c>
    </row>
    <row r="1032">
      <c r="A1032" s="2" t="inlineStr">
        <is>
          <t>2026-07-11</t>
        </is>
      </c>
      <c r="B1032" s="2" t="inlineStr">
        <is>
          <t>2026-07-11T21:44:47</t>
        </is>
      </c>
      <c r="C1032" s="2" t="inlineStr">
        <is>
          <t>claro</t>
        </is>
      </c>
      <c r="D1032" s="2" t="inlineStr">
        <is>
          <t>control</t>
        </is>
      </c>
      <c r="E1032" s="2" t="inlineStr">
        <is>
          <t>SP</t>
        </is>
      </c>
      <c r="F1032" s="2" t="inlineStr">
        <is>
          <t>Controle 30GB</t>
        </is>
      </c>
      <c r="G1032" s="2" t="inlineStr">
        <is>
          <t>claro:plano-controle-30gb</t>
        </is>
      </c>
      <c r="H1032" s="3" t="n">
        <v>69.90000000000001</v>
      </c>
      <c r="I1032" s="3" t="inlineStr"/>
      <c r="J1032" s="2" t="inlineStr"/>
      <c r="K1032" s="2" t="inlineStr"/>
      <c r="L1032" s="4" t="n">
        <v>30</v>
      </c>
      <c r="M1032" s="2" t="inlineStr"/>
      <c r="N1032" s="2" t="inlineStr"/>
      <c r="O1032" s="2" t="inlineStr">
        <is>
          <t>WhatsApp</t>
        </is>
      </c>
      <c r="P1032" s="2" t="inlineStr"/>
      <c r="Q1032" s="2" t="inlineStr"/>
      <c r="R1032" s="2" t="inlineStr"/>
      <c r="S1032" s="2" t="inlineStr"/>
      <c r="T1032" s="2" t="inlineStr">
        <is>
          <t>Para uso livre; Bônus especial para uso livre; Bônus para redes sociais e apps; Redes sociais e apps; WhatsApp ilimitado</t>
        </is>
      </c>
      <c r="U1032" s="2" t="inlineStr">
        <is>
          <t>https://www.claro.com.br/celular/controle</t>
        </is>
      </c>
      <c r="V1032" s="2" t="inlineStr">
        <is>
          <t>data/raw/claro_control_SP.json</t>
        </is>
      </c>
    </row>
    <row r="1033">
      <c r="A1033" s="5" t="inlineStr">
        <is>
          <t>2026-07-11</t>
        </is>
      </c>
      <c r="B1033" s="5" t="inlineStr">
        <is>
          <t>2026-07-11T21:44:47</t>
        </is>
      </c>
      <c r="C1033" s="5" t="inlineStr">
        <is>
          <t>claro</t>
        </is>
      </c>
      <c r="D1033" s="5" t="inlineStr">
        <is>
          <t>control</t>
        </is>
      </c>
      <c r="E1033" s="5" t="inlineStr">
        <is>
          <t>SP</t>
        </is>
      </c>
      <c r="F1033" s="5" t="inlineStr">
        <is>
          <t>Controle 30GB</t>
        </is>
      </c>
      <c r="G1033" s="5" t="inlineStr">
        <is>
          <t>claro:plano-controle-30gb-gaming</t>
        </is>
      </c>
      <c r="H1033" s="6" t="n">
        <v>99.90000000000001</v>
      </c>
      <c r="I1033" s="6" t="inlineStr"/>
      <c r="J1033" s="5" t="inlineStr"/>
      <c r="K1033" s="5" t="inlineStr"/>
      <c r="L1033" s="7" t="n">
        <v>30</v>
      </c>
      <c r="M1033" s="5" t="inlineStr"/>
      <c r="N1033" s="5" t="inlineStr"/>
      <c r="O1033" s="5" t="inlineStr">
        <is>
          <t>WhatsApp</t>
        </is>
      </c>
      <c r="P1033" s="5" t="inlineStr"/>
      <c r="Q1033" s="5" t="inlineStr"/>
      <c r="R1033" s="5" t="inlineStr"/>
      <c r="S1033" s="5" t="inlineStr"/>
      <c r="T1033" s="5" t="inlineStr">
        <is>
          <t>Para uso livre; Bônus para redes sociais e apps; Bônus uso livre; Redes sociais e apps; WhatsApp ilimitado</t>
        </is>
      </c>
      <c r="U1033" s="5" t="inlineStr">
        <is>
          <t>https://www.claro.com.br/celular/controle</t>
        </is>
      </c>
      <c r="V1033" s="5" t="inlineStr">
        <is>
          <t>data/raw/claro_control_SP.json</t>
        </is>
      </c>
    </row>
    <row r="1034">
      <c r="A1034" s="2" t="inlineStr">
        <is>
          <t>2026-07-11</t>
        </is>
      </c>
      <c r="B1034" s="2" t="inlineStr">
        <is>
          <t>2026-07-11T21:44:47</t>
        </is>
      </c>
      <c r="C1034" s="2" t="inlineStr">
        <is>
          <t>claro</t>
        </is>
      </c>
      <c r="D1034" s="2" t="inlineStr">
        <is>
          <t>flex</t>
        </is>
      </c>
      <c r="E1034" s="2" t="inlineStr">
        <is>
          <t>SP</t>
        </is>
      </c>
      <c r="F1034" s="2" t="inlineStr">
        <is>
          <t>Flex 15GB</t>
        </is>
      </c>
      <c r="G1034" s="2" t="inlineStr">
        <is>
          <t>claro:plano-flex-15gb</t>
        </is>
      </c>
      <c r="H1034" s="3" t="n">
        <v>44.9</v>
      </c>
      <c r="I1034" s="3" t="inlineStr"/>
      <c r="J1034" s="2" t="inlineStr"/>
      <c r="K1034" s="2" t="inlineStr"/>
      <c r="L1034" s="4" t="n">
        <v>15</v>
      </c>
      <c r="M1034" s="2" t="inlineStr"/>
      <c r="N1034" s="2" t="inlineStr"/>
      <c r="O1034" s="2" t="inlineStr">
        <is>
          <t>WhatsApp</t>
        </is>
      </c>
      <c r="P1034" s="2" t="inlineStr"/>
      <c r="Q1034" s="2" t="inlineStr"/>
      <c r="R1034" s="2" t="inlineStr"/>
      <c r="S1034" s="2" t="inlineStr"/>
      <c r="T1034" s="2" t="inlineStr">
        <is>
          <t>Para uso livre; Bônus especial para uso livre; Para redes sociais e apps; Bônus extra nos apps; WhatsApp ilimitado</t>
        </is>
      </c>
      <c r="U1034" s="2" t="inlineStr">
        <is>
          <t>https://www.claro.com.br/celular/flex</t>
        </is>
      </c>
      <c r="V1034" s="2" t="inlineStr">
        <is>
          <t>data/raw/claro_flex_SP.json</t>
        </is>
      </c>
    </row>
    <row r="1035">
      <c r="A1035" s="5" t="inlineStr">
        <is>
          <t>2026-07-11</t>
        </is>
      </c>
      <c r="B1035" s="5" t="inlineStr">
        <is>
          <t>2026-07-11T21:44:47</t>
        </is>
      </c>
      <c r="C1035" s="5" t="inlineStr">
        <is>
          <t>claro</t>
        </is>
      </c>
      <c r="D1035" s="5" t="inlineStr">
        <is>
          <t>flex</t>
        </is>
      </c>
      <c r="E1035" s="5" t="inlineStr">
        <is>
          <t>SP</t>
        </is>
      </c>
      <c r="F1035" s="5" t="inlineStr">
        <is>
          <t>Flex 20GB</t>
        </is>
      </c>
      <c r="G1035" s="5" t="inlineStr">
        <is>
          <t>claro:plano-flex-20gb</t>
        </is>
      </c>
      <c r="H1035" s="6" t="n">
        <v>59.9</v>
      </c>
      <c r="I1035" s="6" t="inlineStr"/>
      <c r="J1035" s="5" t="inlineStr"/>
      <c r="K1035" s="5" t="inlineStr"/>
      <c r="L1035" s="7" t="n">
        <v>20</v>
      </c>
      <c r="M1035" s="5" t="inlineStr"/>
      <c r="N1035" s="5" t="inlineStr"/>
      <c r="O1035" s="5" t="inlineStr">
        <is>
          <t>WhatsApp</t>
        </is>
      </c>
      <c r="P1035" s="5" t="inlineStr"/>
      <c r="Q1035" s="5" t="inlineStr"/>
      <c r="R1035" s="5" t="inlineStr"/>
      <c r="S1035" s="5" t="inlineStr"/>
      <c r="T1035" s="5" t="inlineStr">
        <is>
          <t>Para uso livre; Bônus especial para uso livre; Para redes sociais e apps; Bônus extra nos apps; WhatsApp ilimitado</t>
        </is>
      </c>
      <c r="U1035" s="5" t="inlineStr">
        <is>
          <t>https://www.claro.com.br/celular/flex</t>
        </is>
      </c>
      <c r="V1035" s="5" t="inlineStr">
        <is>
          <t>data/raw/claro_flex_SP.json</t>
        </is>
      </c>
    </row>
    <row r="1036">
      <c r="A1036" s="2" t="inlineStr">
        <is>
          <t>2026-07-11</t>
        </is>
      </c>
      <c r="B1036" s="2" t="inlineStr">
        <is>
          <t>2026-07-11T21:44:47</t>
        </is>
      </c>
      <c r="C1036" s="2" t="inlineStr">
        <is>
          <t>claro</t>
        </is>
      </c>
      <c r="D1036" s="2" t="inlineStr">
        <is>
          <t>flex</t>
        </is>
      </c>
      <c r="E1036" s="2" t="inlineStr">
        <is>
          <t>SP</t>
        </is>
      </c>
      <c r="F1036" s="2" t="inlineStr">
        <is>
          <t>Flex 30GB</t>
        </is>
      </c>
      <c r="G1036" s="2" t="inlineStr">
        <is>
          <t>claro:plano-flex-30gb</t>
        </is>
      </c>
      <c r="H1036" s="3" t="n">
        <v>69.90000000000001</v>
      </c>
      <c r="I1036" s="3" t="inlineStr"/>
      <c r="J1036" s="2" t="inlineStr"/>
      <c r="K1036" s="2" t="inlineStr"/>
      <c r="L1036" s="4" t="n">
        <v>30</v>
      </c>
      <c r="M1036" s="2" t="inlineStr"/>
      <c r="N1036" s="2" t="inlineStr"/>
      <c r="O1036" s="2" t="inlineStr">
        <is>
          <t>WhatsApp</t>
        </is>
      </c>
      <c r="P1036" s="2" t="inlineStr"/>
      <c r="Q1036" s="2" t="inlineStr"/>
      <c r="R1036" s="2" t="inlineStr"/>
      <c r="S1036" s="2" t="inlineStr"/>
      <c r="T1036" s="2" t="inlineStr">
        <is>
          <t>Para uso livre; Bônus especial para uso livre; Para redes sociais e apps; Bônus extra nos apps; WhatsApp ilimitado; Assinatura Claro musica inclusa</t>
        </is>
      </c>
      <c r="U1036" s="2" t="inlineStr">
        <is>
          <t>https://www.claro.com.br/celular/flex</t>
        </is>
      </c>
      <c r="V1036" s="2" t="inlineStr">
        <is>
          <t>data/raw/claro_flex_SP.json</t>
        </is>
      </c>
    </row>
    <row r="1037">
      <c r="A1037" s="5" t="inlineStr">
        <is>
          <t>2026-07-11</t>
        </is>
      </c>
      <c r="B1037" s="5" t="inlineStr">
        <is>
          <t>2026-07-11T21:44:47</t>
        </is>
      </c>
      <c r="C1037" s="5" t="inlineStr">
        <is>
          <t>claro</t>
        </is>
      </c>
      <c r="D1037" s="5" t="inlineStr">
        <is>
          <t>flex</t>
        </is>
      </c>
      <c r="E1037" s="5" t="inlineStr">
        <is>
          <t>SP</t>
        </is>
      </c>
      <c r="F1037" s="5" t="inlineStr">
        <is>
          <t>Flex 40GB</t>
        </is>
      </c>
      <c r="G1037" s="5" t="inlineStr">
        <is>
          <t>claro:plano-flex-40gb</t>
        </is>
      </c>
      <c r="H1037" s="6" t="n">
        <v>119.9</v>
      </c>
      <c r="I1037" s="6" t="inlineStr"/>
      <c r="J1037" s="5" t="inlineStr"/>
      <c r="K1037" s="5" t="inlineStr"/>
      <c r="L1037" s="7" t="n">
        <v>40</v>
      </c>
      <c r="M1037" s="5" t="inlineStr"/>
      <c r="N1037" s="5" t="inlineStr"/>
      <c r="O1037" s="5" t="inlineStr">
        <is>
          <t>WhatsApp</t>
        </is>
      </c>
      <c r="P1037" s="5" t="inlineStr"/>
      <c r="Q1037" s="5" t="inlineStr"/>
      <c r="R1037" s="5" t="inlineStr"/>
      <c r="S1037" s="5" t="inlineStr"/>
      <c r="T1037" s="5" t="inlineStr">
        <is>
          <t>Para uso livre; Para redes sociais e apps; Bônus uso livre; Bônus extra nos apps; WhatsApp ilimitado; Assinatura Claro musica inclusa</t>
        </is>
      </c>
      <c r="U1037" s="5" t="inlineStr">
        <is>
          <t>https://www.claro.com.br/celular/flex</t>
        </is>
      </c>
      <c r="V1037" s="5" t="inlineStr">
        <is>
          <t>data/raw/claro_flex_SP.json</t>
        </is>
      </c>
    </row>
    <row r="1038">
      <c r="A1038" s="2" t="inlineStr">
        <is>
          <t>2026-07-11</t>
        </is>
      </c>
      <c r="B1038" s="2" t="inlineStr">
        <is>
          <t>2026-07-11T21:44:47</t>
        </is>
      </c>
      <c r="C1038" s="2" t="inlineStr">
        <is>
          <t>claro</t>
        </is>
      </c>
      <c r="D1038" s="2" t="inlineStr">
        <is>
          <t>postpaid</t>
        </is>
      </c>
      <c r="E1038" s="2" t="inlineStr">
        <is>
          <t>SP</t>
        </is>
      </c>
      <c r="F1038" s="2" t="inlineStr">
        <is>
          <t>Pós 100GB</t>
        </is>
      </c>
      <c r="G1038" s="2" t="inlineStr">
        <is>
          <t>claro:plano-pos-100gb</t>
        </is>
      </c>
      <c r="H1038" s="3" t="n">
        <v>179.9</v>
      </c>
      <c r="I1038" s="3" t="inlineStr"/>
      <c r="J1038" s="2" t="inlineStr"/>
      <c r="K1038" s="2" t="inlineStr"/>
      <c r="L1038" s="4" t="n">
        <v>100</v>
      </c>
      <c r="M1038" s="2" t="inlineStr"/>
      <c r="N1038" s="2" t="inlineStr"/>
      <c r="O1038" s="2" t="inlineStr">
        <is>
          <t>WhatsApp</t>
        </is>
      </c>
      <c r="P1038" s="2" t="inlineStr"/>
      <c r="Q1038" s="2" t="inlineStr"/>
      <c r="R1038" s="2" t="inlineStr"/>
      <c r="S1038" s="2" t="inlineStr"/>
      <c r="T1038" s="2" t="inlineStr">
        <is>
          <t>Armazenamento na nuvem:; Google One ou iCloud+; WhatsApp ilimitado; Roaming: Passaporte Américas; Claro Sync: Smartwatch conectado</t>
        </is>
      </c>
      <c r="U1038" s="2" t="inlineStr">
        <is>
          <t>https://www.claro.com.br/celular/pos</t>
        </is>
      </c>
      <c r="V1038" s="2" t="inlineStr">
        <is>
          <t>data/raw/claro_postpaid_SP.json</t>
        </is>
      </c>
    </row>
    <row r="1039">
      <c r="A1039" s="5" t="inlineStr">
        <is>
          <t>2026-07-11</t>
        </is>
      </c>
      <c r="B1039" s="5" t="inlineStr">
        <is>
          <t>2026-07-11T21:44:47</t>
        </is>
      </c>
      <c r="C1039" s="5" t="inlineStr">
        <is>
          <t>claro</t>
        </is>
      </c>
      <c r="D1039" s="5" t="inlineStr">
        <is>
          <t>postpaid</t>
        </is>
      </c>
      <c r="E1039" s="5" t="inlineStr">
        <is>
          <t>SP</t>
        </is>
      </c>
      <c r="F1039" s="5" t="inlineStr">
        <is>
          <t>Pós 150GB</t>
        </is>
      </c>
      <c r="G1039" s="5" t="inlineStr">
        <is>
          <t>claro:plano-pos-150gb</t>
        </is>
      </c>
      <c r="H1039" s="6" t="n">
        <v>239.9</v>
      </c>
      <c r="I1039" s="6" t="inlineStr"/>
      <c r="J1039" s="5" t="inlineStr"/>
      <c r="K1039" s="5" t="inlineStr"/>
      <c r="L1039" s="7" t="n">
        <v>150</v>
      </c>
      <c r="M1039" s="5" t="inlineStr"/>
      <c r="N1039" s="5" t="inlineStr"/>
      <c r="O1039" s="5" t="inlineStr">
        <is>
          <t>WhatsApp</t>
        </is>
      </c>
      <c r="P1039" s="5" t="inlineStr"/>
      <c r="Q1039" s="5" t="inlineStr"/>
      <c r="R1039" s="5" t="inlineStr"/>
      <c r="S1039" s="5" t="inlineStr"/>
      <c r="T1039" s="5" t="inlineStr">
        <is>
          <t>Armazenamento na nuvem:; Google One ou iCloud+; WhatsApp ilimitado; Roaming: Passaporte Américas e Europa; Claro Sync: Smartwatch conectado</t>
        </is>
      </c>
      <c r="U1039" s="5" t="inlineStr">
        <is>
          <t>https://www.claro.com.br/celular/pos</t>
        </is>
      </c>
      <c r="V1039" s="5" t="inlineStr">
        <is>
          <t>data/raw/claro_postpaid_SP.json</t>
        </is>
      </c>
    </row>
    <row r="1040">
      <c r="A1040" s="2" t="inlineStr">
        <is>
          <t>2026-07-11</t>
        </is>
      </c>
      <c r="B1040" s="2" t="inlineStr">
        <is>
          <t>2026-07-11T21:44:47</t>
        </is>
      </c>
      <c r="C1040" s="2" t="inlineStr">
        <is>
          <t>claro</t>
        </is>
      </c>
      <c r="D1040" s="2" t="inlineStr">
        <is>
          <t>postpaid</t>
        </is>
      </c>
      <c r="E1040" s="2" t="inlineStr">
        <is>
          <t>SP</t>
        </is>
      </c>
      <c r="F1040" s="2" t="inlineStr">
        <is>
          <t>Pós 200GB</t>
        </is>
      </c>
      <c r="G1040" s="2" t="inlineStr">
        <is>
          <t>claro:plano-pos-200gb</t>
        </is>
      </c>
      <c r="H1040" s="3" t="n">
        <v>339.9</v>
      </c>
      <c r="I1040" s="3" t="inlineStr"/>
      <c r="J1040" s="2" t="inlineStr"/>
      <c r="K1040" s="2" t="inlineStr"/>
      <c r="L1040" s="4" t="n">
        <v>200</v>
      </c>
      <c r="M1040" s="2" t="inlineStr"/>
      <c r="N1040" s="2" t="inlineStr"/>
      <c r="O1040" s="2" t="inlineStr">
        <is>
          <t>WhatsApp</t>
        </is>
      </c>
      <c r="P1040" s="2" t="inlineStr"/>
      <c r="Q1040" s="2" t="inlineStr"/>
      <c r="R1040" s="2" t="inlineStr"/>
      <c r="S1040" s="2" t="inlineStr"/>
      <c r="T1040" s="2" t="inlineStr">
        <is>
          <t>Armazenamento na nuvem:; Google One ou iCloud+; WhatsApp ilimitado; Roaming: Passaporte Mundo; Claro Sync: Smartwatch conectado</t>
        </is>
      </c>
      <c r="U1040" s="2" t="inlineStr">
        <is>
          <t>https://www.claro.com.br/celular/pos</t>
        </is>
      </c>
      <c r="V1040" s="2" t="inlineStr">
        <is>
          <t>data/raw/claro_postpaid_SP.json</t>
        </is>
      </c>
    </row>
    <row r="1041">
      <c r="A1041" s="5" t="inlineStr">
        <is>
          <t>2026-07-11</t>
        </is>
      </c>
      <c r="B1041" s="5" t="inlineStr">
        <is>
          <t>2026-07-11T21:44:47</t>
        </is>
      </c>
      <c r="C1041" s="5" t="inlineStr">
        <is>
          <t>claro</t>
        </is>
      </c>
      <c r="D1041" s="5" t="inlineStr">
        <is>
          <t>postpaid</t>
        </is>
      </c>
      <c r="E1041" s="5" t="inlineStr">
        <is>
          <t>SP</t>
        </is>
      </c>
      <c r="F1041" s="5" t="inlineStr">
        <is>
          <t>Pós 50GB com GeForce NOW</t>
        </is>
      </c>
      <c r="G1041" s="5" t="inlineStr">
        <is>
          <t>claro:plano-pos-60gb-geforce</t>
        </is>
      </c>
      <c r="H1041" s="6" t="n">
        <v>164.9</v>
      </c>
      <c r="I1041" s="6" t="inlineStr"/>
      <c r="J1041" s="5" t="inlineStr"/>
      <c r="K1041" s="5" t="inlineStr"/>
      <c r="L1041" s="7" t="n">
        <v>50</v>
      </c>
      <c r="M1041" s="5" t="inlineStr"/>
      <c r="N1041" s="5" t="inlineStr"/>
      <c r="O1041" s="5" t="inlineStr">
        <is>
          <t>WhatsApp</t>
        </is>
      </c>
      <c r="P1041" s="5" t="inlineStr"/>
      <c r="Q1041" s="5" t="inlineStr"/>
      <c r="R1041" s="5" t="inlineStr"/>
      <c r="S1041" s="5" t="inlineStr"/>
      <c r="T1041" s="5" t="inlineStr">
        <is>
          <t>Armazenamento na nuvem:; Google One ou iCloud+; WhatsApp ilimitado; Roaming: Passaporte Américas; Claro Sync: Smartwatch conectado; Inclusa assinatura GeForce NOW</t>
        </is>
      </c>
      <c r="U1041" s="5" t="inlineStr">
        <is>
          <t>https://www.claro.com.br/celular/pos</t>
        </is>
      </c>
      <c r="V1041" s="5" t="inlineStr">
        <is>
          <t>data/raw/claro_postpaid_SP.json</t>
        </is>
      </c>
    </row>
    <row r="1042">
      <c r="A1042" s="2" t="inlineStr">
        <is>
          <t>2026-07-11</t>
        </is>
      </c>
      <c r="B1042" s="2" t="inlineStr">
        <is>
          <t>2026-07-11T21:44:47</t>
        </is>
      </c>
      <c r="C1042" s="2" t="inlineStr">
        <is>
          <t>claro</t>
        </is>
      </c>
      <c r="D1042" s="2" t="inlineStr">
        <is>
          <t>postpaid</t>
        </is>
      </c>
      <c r="E1042" s="2" t="inlineStr">
        <is>
          <t>SP</t>
        </is>
      </c>
      <c r="F1042" s="2" t="inlineStr">
        <is>
          <t>Pós 60GB</t>
        </is>
      </c>
      <c r="G1042" s="2" t="inlineStr">
        <is>
          <t>claro:plano-pos-60gb</t>
        </is>
      </c>
      <c r="H1042" s="3" t="n">
        <v>124.9</v>
      </c>
      <c r="I1042" s="3" t="inlineStr"/>
      <c r="J1042" s="2" t="inlineStr"/>
      <c r="K1042" s="2" t="inlineStr"/>
      <c r="L1042" s="4" t="n">
        <v>60</v>
      </c>
      <c r="M1042" s="2" t="inlineStr"/>
      <c r="N1042" s="2" t="inlineStr"/>
      <c r="O1042" s="2" t="inlineStr">
        <is>
          <t>WhatsApp</t>
        </is>
      </c>
      <c r="P1042" s="2" t="inlineStr"/>
      <c r="Q1042" s="2" t="inlineStr"/>
      <c r="R1042" s="2" t="inlineStr"/>
      <c r="S1042" s="2" t="inlineStr"/>
      <c r="T1042" s="2" t="inlineStr">
        <is>
          <t>Armazenamento na nuvem:; Google One ou iCloud+; WhatsApp ilimitado; Roaming: Passaporte Américas; Claro Sync: Smartwatch conectado</t>
        </is>
      </c>
      <c r="U1042" s="2" t="inlineStr">
        <is>
          <t>https://www.claro.com.br/celular/pos</t>
        </is>
      </c>
      <c r="V1042" s="2" t="inlineStr">
        <is>
          <t>data/raw/claro_postpaid_SP.json</t>
        </is>
      </c>
    </row>
    <row r="1043">
      <c r="A1043" s="5" t="inlineStr">
        <is>
          <t>2026-07-11</t>
        </is>
      </c>
      <c r="B1043" s="5" t="inlineStr">
        <is>
          <t>2026-07-11T21:44:47</t>
        </is>
      </c>
      <c r="C1043" s="5" t="inlineStr">
        <is>
          <t>claro</t>
        </is>
      </c>
      <c r="D1043" s="5" t="inlineStr">
        <is>
          <t>prepaid</t>
        </is>
      </c>
      <c r="E1043" s="5" t="inlineStr">
        <is>
          <t>SP</t>
        </is>
      </c>
      <c r="F1043" s="5" t="inlineStr">
        <is>
          <t>Prezão 10GB (25 dias)</t>
        </is>
      </c>
      <c r="G1043" s="5" t="inlineStr">
        <is>
          <t>claro:prezao-25d-10gb</t>
        </is>
      </c>
      <c r="H1043" s="6" t="n">
        <v>25</v>
      </c>
      <c r="I1043" s="6" t="inlineStr"/>
      <c r="J1043" s="5" t="inlineStr">
        <is>
          <t>recarga Prezão R$25 — validade 25 dias</t>
        </is>
      </c>
      <c r="K1043" s="5" t="inlineStr"/>
      <c r="L1043" s="7" t="n">
        <v>10</v>
      </c>
      <c r="M1043" s="5" t="inlineStr"/>
      <c r="N1043" s="5" t="n">
        <v>25</v>
      </c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>
        <is>
          <t>https://www.claro.com.br/celular/planos-pre/prezao</t>
        </is>
      </c>
      <c r="V1043" s="5" t="inlineStr">
        <is>
          <t>data/raw/claro_prepaid_SP.json</t>
        </is>
      </c>
    </row>
    <row r="1044">
      <c r="A1044" s="2" t="inlineStr">
        <is>
          <t>2026-07-11</t>
        </is>
      </c>
      <c r="B1044" s="2" t="inlineStr">
        <is>
          <t>2026-07-11T21:44:47</t>
        </is>
      </c>
      <c r="C1044" s="2" t="inlineStr">
        <is>
          <t>claro</t>
        </is>
      </c>
      <c r="D1044" s="2" t="inlineStr">
        <is>
          <t>prepaid</t>
        </is>
      </c>
      <c r="E1044" s="2" t="inlineStr">
        <is>
          <t>SP</t>
        </is>
      </c>
      <c r="F1044" s="2" t="inlineStr">
        <is>
          <t>Prezão 12GB (30 dias)</t>
        </is>
      </c>
      <c r="G1044" s="2" t="inlineStr">
        <is>
          <t>claro:prezao-30d-12gb</t>
        </is>
      </c>
      <c r="H1044" s="3" t="n">
        <v>30</v>
      </c>
      <c r="I1044" s="3" t="inlineStr"/>
      <c r="J1044" s="2" t="inlineStr">
        <is>
          <t>recarga Prezão R$30 — validade 30 dias</t>
        </is>
      </c>
      <c r="K1044" s="2" t="inlineStr"/>
      <c r="L1044" s="4" t="n">
        <v>12</v>
      </c>
      <c r="M1044" s="2" t="inlineStr"/>
      <c r="N1044" s="2" t="n">
        <v>30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>
        <is>
          <t>https://www.claro.com.br/celular/planos-pre/prezao</t>
        </is>
      </c>
      <c r="V1044" s="2" t="inlineStr">
        <is>
          <t>data/raw/claro_prepaid_SP.json</t>
        </is>
      </c>
    </row>
    <row r="1045">
      <c r="A1045" s="5" t="inlineStr">
        <is>
          <t>2026-07-11</t>
        </is>
      </c>
      <c r="B1045" s="5" t="inlineStr">
        <is>
          <t>2026-07-11T21:44:47</t>
        </is>
      </c>
      <c r="C1045" s="5" t="inlineStr">
        <is>
          <t>claro</t>
        </is>
      </c>
      <c r="D1045" s="5" t="inlineStr">
        <is>
          <t>prepaid</t>
        </is>
      </c>
      <c r="E1045" s="5" t="inlineStr">
        <is>
          <t>SP</t>
        </is>
      </c>
      <c r="F1045" s="5" t="inlineStr">
        <is>
          <t>Prezão 4GB (12 dias)</t>
        </is>
      </c>
      <c r="G1045" s="5" t="inlineStr">
        <is>
          <t>claro:prezao-12d-4gb</t>
        </is>
      </c>
      <c r="H1045" s="6" t="n">
        <v>15</v>
      </c>
      <c r="I1045" s="6" t="inlineStr"/>
      <c r="J1045" s="5" t="inlineStr">
        <is>
          <t>recarga Prezão R$15 — validade 12 dias</t>
        </is>
      </c>
      <c r="K1045" s="5" t="inlineStr"/>
      <c r="L1045" s="7" t="n">
        <v>4</v>
      </c>
      <c r="M1045" s="5" t="inlineStr"/>
      <c r="N1045" s="5" t="n">
        <v>12</v>
      </c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>
        <is>
          <t>https://www.claro.com.br/celular/planos-pre/prezao</t>
        </is>
      </c>
      <c r="V1045" s="5" t="inlineStr">
        <is>
          <t>data/raw/claro_prepaid_SP.json</t>
        </is>
      </c>
    </row>
    <row r="1046">
      <c r="A1046" s="2" t="inlineStr">
        <is>
          <t>2026-07-11</t>
        </is>
      </c>
      <c r="B1046" s="2" t="inlineStr">
        <is>
          <t>2026-07-11T21:44:47</t>
        </is>
      </c>
      <c r="C1046" s="2" t="inlineStr">
        <is>
          <t>claro</t>
        </is>
      </c>
      <c r="D1046" s="2" t="inlineStr">
        <is>
          <t>prepaid</t>
        </is>
      </c>
      <c r="E1046" s="2" t="inlineStr">
        <is>
          <t>SP</t>
        </is>
      </c>
      <c r="F1046" s="2" t="inlineStr">
        <is>
          <t>Prezão 5GB (15 dias)</t>
        </is>
      </c>
      <c r="G1046" s="2" t="inlineStr">
        <is>
          <t>claro:prezao-15d-5gb</t>
        </is>
      </c>
      <c r="H1046" s="3" t="n">
        <v>15</v>
      </c>
      <c r="I1046" s="3" t="inlineStr"/>
      <c r="J1046" s="2" t="inlineStr">
        <is>
          <t>recarga Prezão R$15 — validade 15 dias</t>
        </is>
      </c>
      <c r="K1046" s="2" t="inlineStr"/>
      <c r="L1046" s="4" t="n">
        <v>5</v>
      </c>
      <c r="M1046" s="2" t="inlineStr"/>
      <c r="N1046" s="2" t="n">
        <v>15</v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>
        <is>
          <t>https://www.claro.com.br/celular/planos-pre/prezao</t>
        </is>
      </c>
      <c r="V1046" s="2" t="inlineStr">
        <is>
          <t>data/raw/claro_prepaid_SP.json</t>
        </is>
      </c>
    </row>
    <row r="1047">
      <c r="A1047" s="5" t="inlineStr">
        <is>
          <t>2026-07-11</t>
        </is>
      </c>
      <c r="B1047" s="5" t="inlineStr">
        <is>
          <t>2026-07-11T21:44:47</t>
        </is>
      </c>
      <c r="C1047" s="5" t="inlineStr">
        <is>
          <t>claro</t>
        </is>
      </c>
      <c r="D1047" s="5" t="inlineStr">
        <is>
          <t>prepaid</t>
        </is>
      </c>
      <c r="E1047" s="5" t="inlineStr">
        <is>
          <t>SP</t>
        </is>
      </c>
      <c r="F1047" s="5" t="inlineStr">
        <is>
          <t>Prezão 6GB (20 dias)</t>
        </is>
      </c>
      <c r="G1047" s="5" t="inlineStr">
        <is>
          <t>claro:prezao-20d-6gb</t>
        </is>
      </c>
      <c r="H1047" s="6" t="n">
        <v>20</v>
      </c>
      <c r="I1047" s="6" t="inlineStr"/>
      <c r="J1047" s="5" t="inlineStr">
        <is>
          <t>recarga Prezão R$20 — validade 20 dias</t>
        </is>
      </c>
      <c r="K1047" s="5" t="inlineStr"/>
      <c r="L1047" s="7" t="n">
        <v>6</v>
      </c>
      <c r="M1047" s="5" t="inlineStr"/>
      <c r="N1047" s="5" t="n">
        <v>20</v>
      </c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>
        <is>
          <t>https://www.claro.com.br/celular/planos-pre/prezao</t>
        </is>
      </c>
      <c r="V1047" s="5" t="inlineStr">
        <is>
          <t>data/raw/claro_prepaid_SP.json</t>
        </is>
      </c>
    </row>
    <row r="1048">
      <c r="A1048" s="2" t="inlineStr">
        <is>
          <t>2026-07-11</t>
        </is>
      </c>
      <c r="B1048" s="2" t="inlineStr">
        <is>
          <t>2026-07-11T21:44:47</t>
        </is>
      </c>
      <c r="C1048" s="2" t="inlineStr">
        <is>
          <t>claro</t>
        </is>
      </c>
      <c r="D1048" s="2" t="inlineStr">
        <is>
          <t>prepaid</t>
        </is>
      </c>
      <c r="E1048" s="2" t="inlineStr">
        <is>
          <t>SP</t>
        </is>
      </c>
      <c r="F1048" s="2" t="inlineStr">
        <is>
          <t>Prezão 8GB (20 dias)</t>
        </is>
      </c>
      <c r="G1048" s="2" t="inlineStr">
        <is>
          <t>claro:prezao-20d-8gb</t>
        </is>
      </c>
      <c r="H1048" s="3" t="n">
        <v>20</v>
      </c>
      <c r="I1048" s="3" t="inlineStr"/>
      <c r="J1048" s="2" t="inlineStr">
        <is>
          <t>recarga Prezão R$20 — validade 20 dias</t>
        </is>
      </c>
      <c r="K1048" s="2" t="inlineStr"/>
      <c r="L1048" s="4" t="n">
        <v>8</v>
      </c>
      <c r="M1048" s="2" t="inlineStr"/>
      <c r="N1048" s="2" t="n">
        <v>20</v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>
        <is>
          <t>https://www.claro.com.br/celular/planos-pre/prezao</t>
        </is>
      </c>
      <c r="V1048" s="2" t="inlineStr">
        <is>
          <t>data/raw/claro_prepaid_SP.json</t>
        </is>
      </c>
    </row>
    <row r="1049">
      <c r="A1049" s="5" t="inlineStr">
        <is>
          <t>2026-07-11</t>
        </is>
      </c>
      <c r="B1049" s="5" t="inlineStr">
        <is>
          <t>2026-07-11T21:44:47</t>
        </is>
      </c>
      <c r="C1049" s="5" t="inlineStr">
        <is>
          <t>claro</t>
        </is>
      </c>
      <c r="D1049" s="5" t="inlineStr">
        <is>
          <t>prepaid</t>
        </is>
      </c>
      <c r="E1049" s="5" t="inlineStr">
        <is>
          <t>SP</t>
        </is>
      </c>
      <c r="F1049" s="5" t="inlineStr">
        <is>
          <t>Prezão 9GB (25 dias)</t>
        </is>
      </c>
      <c r="G1049" s="5" t="inlineStr">
        <is>
          <t>claro:prezao-25d-9gb</t>
        </is>
      </c>
      <c r="H1049" s="6" t="n">
        <v>25</v>
      </c>
      <c r="I1049" s="6" t="inlineStr"/>
      <c r="J1049" s="5" t="inlineStr">
        <is>
          <t>recarga Prezão R$25 — validade 25 dias</t>
        </is>
      </c>
      <c r="K1049" s="5" t="inlineStr"/>
      <c r="L1049" s="7" t="n">
        <v>9</v>
      </c>
      <c r="M1049" s="5" t="inlineStr"/>
      <c r="N1049" s="5" t="n">
        <v>25</v>
      </c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>
        <is>
          <t>https://www.claro.com.br/celular/planos-pre/prezao</t>
        </is>
      </c>
      <c r="V1049" s="5" t="inlineStr">
        <is>
          <t>data/raw/claro_prepaid_SP.json</t>
        </is>
      </c>
    </row>
    <row r="1050">
      <c r="A1050" s="2" t="inlineStr">
        <is>
          <t>2026-07-11</t>
        </is>
      </c>
      <c r="B1050" s="2" t="inlineStr">
        <is>
          <t>2026-07-11T21:44:47</t>
        </is>
      </c>
      <c r="C1050" s="2" t="inlineStr">
        <is>
          <t>tim</t>
        </is>
      </c>
      <c r="D1050" s="2" t="inlineStr">
        <is>
          <t>control</t>
        </is>
      </c>
      <c r="E1050" s="2" t="inlineStr">
        <is>
          <t>SP</t>
        </is>
      </c>
      <c r="F1050" s="2" t="inlineStr">
        <is>
          <t>TIM Controle 41GB</t>
        </is>
      </c>
      <c r="G1050" s="2" t="inlineStr">
        <is>
          <t>tim:167036</t>
        </is>
      </c>
      <c r="H1050" s="3" t="n">
        <v>49.99</v>
      </c>
      <c r="I1050" s="3" t="inlineStr"/>
      <c r="J1050" s="2" t="inlineStr"/>
      <c r="K1050" s="2" t="inlineStr"/>
      <c r="L1050" s="4" t="n">
        <v>41</v>
      </c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>
        <is>
          <t>https://www.tim.com.br/sp/para-voce/planos/controle</t>
        </is>
      </c>
      <c r="V1050" s="2" t="inlineStr">
        <is>
          <t>data/raw/tim_control_SP.html</t>
        </is>
      </c>
    </row>
    <row r="1051">
      <c r="A1051" s="5" t="inlineStr">
        <is>
          <t>2026-07-11</t>
        </is>
      </c>
      <c r="B1051" s="5" t="inlineStr">
        <is>
          <t>2026-07-11T21:44:47</t>
        </is>
      </c>
      <c r="C1051" s="5" t="inlineStr">
        <is>
          <t>tim</t>
        </is>
      </c>
      <c r="D1051" s="5" t="inlineStr">
        <is>
          <t>control</t>
        </is>
      </c>
      <c r="E1051" s="5" t="inlineStr">
        <is>
          <t>SP</t>
        </is>
      </c>
      <c r="F1051" s="5" t="inlineStr">
        <is>
          <t>TIM Controle Light Express 31GB</t>
        </is>
      </c>
      <c r="G1051" s="5" t="inlineStr">
        <is>
          <t>tim:167046</t>
        </is>
      </c>
      <c r="H1051" s="6" t="n">
        <v>60.99</v>
      </c>
      <c r="I1051" s="6" t="inlineStr"/>
      <c r="J1051" s="5" t="inlineStr"/>
      <c r="K1051" s="5" t="inlineStr"/>
      <c r="L1051" s="7" t="n">
        <v>31</v>
      </c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>
        <is>
          <t>https://www.tim.com.br/sp/para-voce/planos/controle</t>
        </is>
      </c>
      <c r="V1051" s="5" t="inlineStr">
        <is>
          <t>data/raw/tim_control_SP.html</t>
        </is>
      </c>
    </row>
    <row r="1052">
      <c r="A1052" s="2" t="inlineStr">
        <is>
          <t>2026-07-11</t>
        </is>
      </c>
      <c r="B1052" s="2" t="inlineStr">
        <is>
          <t>2026-07-11T21:44:47</t>
        </is>
      </c>
      <c r="C1052" s="2" t="inlineStr">
        <is>
          <t>tim</t>
        </is>
      </c>
      <c r="D1052" s="2" t="inlineStr">
        <is>
          <t>control</t>
        </is>
      </c>
      <c r="E1052" s="2" t="inlineStr">
        <is>
          <t>SP</t>
        </is>
      </c>
      <c r="F1052" s="2" t="inlineStr">
        <is>
          <t>TIM Controle Plus 45GB</t>
        </is>
      </c>
      <c r="G1052" s="2" t="inlineStr">
        <is>
          <t>tim:167031</t>
        </is>
      </c>
      <c r="H1052" s="3" t="n">
        <v>59.99</v>
      </c>
      <c r="I1052" s="3" t="inlineStr"/>
      <c r="J1052" s="2" t="inlineStr"/>
      <c r="K1052" s="2" t="inlineStr"/>
      <c r="L1052" s="4" t="n">
        <v>45</v>
      </c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>
        <is>
          <t>https://www.tim.com.br/sp/para-voce/planos/controle</t>
        </is>
      </c>
      <c r="V1052" s="2" t="inlineStr">
        <is>
          <t>data/raw/tim_control_SP.html</t>
        </is>
      </c>
    </row>
    <row r="1053">
      <c r="A1053" s="5" t="inlineStr">
        <is>
          <t>2026-07-11</t>
        </is>
      </c>
      <c r="B1053" s="5" t="inlineStr">
        <is>
          <t>2026-07-11T21:44:47</t>
        </is>
      </c>
      <c r="C1053" s="5" t="inlineStr">
        <is>
          <t>tim</t>
        </is>
      </c>
      <c r="D1053" s="5" t="inlineStr">
        <is>
          <t>control</t>
        </is>
      </c>
      <c r="E1053" s="5" t="inlineStr">
        <is>
          <t>SP</t>
        </is>
      </c>
      <c r="F1053" s="5" t="inlineStr">
        <is>
          <t>TIM Controle Premium 53GB</t>
        </is>
      </c>
      <c r="G1053" s="5" t="inlineStr">
        <is>
          <t>tim:167041</t>
        </is>
      </c>
      <c r="H1053" s="6" t="n">
        <v>69.98999999999999</v>
      </c>
      <c r="I1053" s="6" t="inlineStr"/>
      <c r="J1053" s="5" t="inlineStr"/>
      <c r="K1053" s="5" t="inlineStr"/>
      <c r="L1053" s="7" t="n">
        <v>53</v>
      </c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>
        <is>
          <t>https://www.tim.com.br/sp/para-voce/planos/controle</t>
        </is>
      </c>
      <c r="V1053" s="5" t="inlineStr">
        <is>
          <t>data/raw/tim_control_SP.html</t>
        </is>
      </c>
    </row>
    <row r="1054">
      <c r="A1054" s="2" t="inlineStr">
        <is>
          <t>2026-07-11</t>
        </is>
      </c>
      <c r="B1054" s="2" t="inlineStr">
        <is>
          <t>2026-07-11T21:44:47</t>
        </is>
      </c>
      <c r="C1054" s="2" t="inlineStr">
        <is>
          <t>tim</t>
        </is>
      </c>
      <c r="D1054" s="2" t="inlineStr">
        <is>
          <t>control</t>
        </is>
      </c>
      <c r="E1054" s="2" t="inlineStr">
        <is>
          <t>SP</t>
        </is>
      </c>
      <c r="F1054" s="2" t="inlineStr">
        <is>
          <t>TIM Controle Pro Express</t>
        </is>
      </c>
      <c r="G1054" s="2" t="inlineStr">
        <is>
          <t>tim:167051</t>
        </is>
      </c>
      <c r="H1054" s="3" t="n">
        <v>64.98999999999999</v>
      </c>
      <c r="I1054" s="3" t="inlineStr"/>
      <c r="J1054" s="2" t="inlineStr"/>
      <c r="K1054" s="2" t="inlineStr"/>
      <c r="L1054" s="4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>
        <is>
          <t>https://www.tim.com.br/sp/para-voce/planos/controle</t>
        </is>
      </c>
      <c r="V1054" s="2" t="inlineStr">
        <is>
          <t>data/raw/tim_control_SP.html</t>
        </is>
      </c>
    </row>
    <row r="1055">
      <c r="A1055" s="5" t="inlineStr">
        <is>
          <t>2026-07-11</t>
        </is>
      </c>
      <c r="B1055" s="5" t="inlineStr">
        <is>
          <t>2026-07-11T21:44:47</t>
        </is>
      </c>
      <c r="C1055" s="5" t="inlineStr">
        <is>
          <t>tim</t>
        </is>
      </c>
      <c r="D1055" s="5" t="inlineStr">
        <is>
          <t>postpaid</t>
        </is>
      </c>
      <c r="E1055" s="5" t="inlineStr">
        <is>
          <t>SP</t>
        </is>
      </c>
      <c r="F1055" s="5" t="inlineStr">
        <is>
          <t>TIM Black 70GB</t>
        </is>
      </c>
      <c r="G1055" s="5" t="inlineStr">
        <is>
          <t>tim:54206</t>
        </is>
      </c>
      <c r="H1055" s="6" t="n">
        <v>129.99</v>
      </c>
      <c r="I1055" s="6" t="inlineStr"/>
      <c r="J1055" s="5" t="inlineStr"/>
      <c r="K1055" s="5" t="inlineStr">
        <is>
          <t>bill</t>
        </is>
      </c>
      <c r="L1055" s="7" t="n">
        <v>70</v>
      </c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>
        <is>
          <t>https://www.tim.com.br/sp/para-voce/planos/pos-pago/tim-black</t>
        </is>
      </c>
      <c r="V1055" s="5" t="inlineStr">
        <is>
          <t>data/raw/tim_postpaid_SP.html</t>
        </is>
      </c>
    </row>
    <row r="1056">
      <c r="A1056" s="2" t="inlineStr">
        <is>
          <t>2026-07-11</t>
        </is>
      </c>
      <c r="B1056" s="2" t="inlineStr">
        <is>
          <t>2026-07-11T21:44:47</t>
        </is>
      </c>
      <c r="C1056" s="2" t="inlineStr">
        <is>
          <t>tim</t>
        </is>
      </c>
      <c r="D1056" s="2" t="inlineStr">
        <is>
          <t>postpaid</t>
        </is>
      </c>
      <c r="E1056" s="2" t="inlineStr">
        <is>
          <t>SP</t>
        </is>
      </c>
      <c r="F1056" s="2" t="inlineStr">
        <is>
          <t>TIM Black A Express 67GB</t>
        </is>
      </c>
      <c r="G1056" s="2" t="inlineStr">
        <is>
          <t>tim:55121</t>
        </is>
      </c>
      <c r="H1056" s="3" t="n">
        <v>119.99</v>
      </c>
      <c r="I1056" s="3" t="inlineStr"/>
      <c r="J1056" s="2" t="inlineStr"/>
      <c r="K1056" s="2" t="inlineStr">
        <is>
          <t>credit_card</t>
        </is>
      </c>
      <c r="L1056" s="4" t="n">
        <v>67</v>
      </c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>
        <is>
          <t>https://www.tim.com.br/sp/para-voce/planos/pos-pago/tim-black</t>
        </is>
      </c>
      <c r="V1056" s="2" t="inlineStr">
        <is>
          <t>data/raw/tim_postpaid_SP.html</t>
        </is>
      </c>
    </row>
    <row r="1057">
      <c r="A1057" s="5" t="inlineStr">
        <is>
          <t>2026-07-11</t>
        </is>
      </c>
      <c r="B1057" s="5" t="inlineStr">
        <is>
          <t>2026-07-11T21:44:47</t>
        </is>
      </c>
      <c r="C1057" s="5" t="inlineStr">
        <is>
          <t>tim</t>
        </is>
      </c>
      <c r="D1057" s="5" t="inlineStr">
        <is>
          <t>postpaid</t>
        </is>
      </c>
      <c r="E1057" s="5" t="inlineStr">
        <is>
          <t>SP</t>
        </is>
      </c>
      <c r="F1057" s="5" t="inlineStr">
        <is>
          <t>TIM Black B Express 82GB</t>
        </is>
      </c>
      <c r="G1057" s="5" t="inlineStr">
        <is>
          <t>tim:52146</t>
        </is>
      </c>
      <c r="H1057" s="6" t="n">
        <v>144.99</v>
      </c>
      <c r="I1057" s="6" t="inlineStr"/>
      <c r="J1057" s="5" t="inlineStr"/>
      <c r="K1057" s="5" t="inlineStr">
        <is>
          <t>credit_card</t>
        </is>
      </c>
      <c r="L1057" s="7" t="n">
        <v>82</v>
      </c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>
        <is>
          <t>https://www.tim.com.br/sp/para-voce/planos/pos-pago/tim-black</t>
        </is>
      </c>
      <c r="V1057" s="5" t="inlineStr">
        <is>
          <t>data/raw/tim_postpaid_SP.html</t>
        </is>
      </c>
    </row>
    <row r="1058">
      <c r="A1058" s="2" t="inlineStr">
        <is>
          <t>2026-07-11</t>
        </is>
      </c>
      <c r="B1058" s="2" t="inlineStr">
        <is>
          <t>2026-07-11T21:44:47</t>
        </is>
      </c>
      <c r="C1058" s="2" t="inlineStr">
        <is>
          <t>tim</t>
        </is>
      </c>
      <c r="D1058" s="2" t="inlineStr">
        <is>
          <t>postpaid</t>
        </is>
      </c>
      <c r="E1058" s="2" t="inlineStr">
        <is>
          <t>SP</t>
        </is>
      </c>
      <c r="F1058" s="2" t="inlineStr">
        <is>
          <t>TIM Black C Express 107GB</t>
        </is>
      </c>
      <c r="G1058" s="2" t="inlineStr">
        <is>
          <t>tim:52151</t>
        </is>
      </c>
      <c r="H1058" s="3" t="n">
        <v>164.99</v>
      </c>
      <c r="I1058" s="3" t="inlineStr"/>
      <c r="J1058" s="2" t="inlineStr"/>
      <c r="K1058" s="2" t="inlineStr">
        <is>
          <t>credit_card</t>
        </is>
      </c>
      <c r="L1058" s="4" t="n">
        <v>107</v>
      </c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>
        <is>
          <t>https://www.tim.com.br/sp/para-voce/planos/pos-pago/tim-black</t>
        </is>
      </c>
      <c r="V1058" s="2" t="inlineStr">
        <is>
          <t>data/raw/tim_postpaid_SP.html</t>
        </is>
      </c>
    </row>
    <row r="1059">
      <c r="A1059" s="5" t="inlineStr">
        <is>
          <t>2026-07-11</t>
        </is>
      </c>
      <c r="B1059" s="5" t="inlineStr">
        <is>
          <t>2026-07-11T21:44:47</t>
        </is>
      </c>
      <c r="C1059" s="5" t="inlineStr">
        <is>
          <t>tim</t>
        </is>
      </c>
      <c r="D1059" s="5" t="inlineStr">
        <is>
          <t>postpaid</t>
        </is>
      </c>
      <c r="E1059" s="5" t="inlineStr">
        <is>
          <t>SP</t>
        </is>
      </c>
      <c r="F1059" s="5" t="inlineStr">
        <is>
          <t>TIM Black C Ultra 95GB</t>
        </is>
      </c>
      <c r="G1059" s="5" t="inlineStr">
        <is>
          <t>tim:100581</t>
        </is>
      </c>
      <c r="H1059" s="6" t="n">
        <v>159.99</v>
      </c>
      <c r="I1059" s="6" t="inlineStr"/>
      <c r="J1059" s="5" t="inlineStr"/>
      <c r="K1059" s="5" t="inlineStr">
        <is>
          <t>bill</t>
        </is>
      </c>
      <c r="L1059" s="7" t="n">
        <v>95</v>
      </c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>
        <is>
          <t>https://www.tim.com.br/sp/para-voce/planos/pos-pago/tim-black</t>
        </is>
      </c>
      <c r="V1059" s="5" t="inlineStr">
        <is>
          <t>data/raw/tim_postpaid_SP.html</t>
        </is>
      </c>
    </row>
    <row r="1060">
      <c r="A1060" s="2" t="inlineStr">
        <is>
          <t>2026-07-11</t>
        </is>
      </c>
      <c r="B1060" s="2" t="inlineStr">
        <is>
          <t>2026-07-11T21:44:47</t>
        </is>
      </c>
      <c r="C1060" s="2" t="inlineStr">
        <is>
          <t>tim</t>
        </is>
      </c>
      <c r="D1060" s="2" t="inlineStr">
        <is>
          <t>postpaid</t>
        </is>
      </c>
      <c r="E1060" s="2" t="inlineStr">
        <is>
          <t>SP</t>
        </is>
      </c>
      <c r="F1060" s="2" t="inlineStr">
        <is>
          <t>TIM Black Plus 80GB</t>
        </is>
      </c>
      <c r="G1060" s="2" t="inlineStr">
        <is>
          <t>tim:54256</t>
        </is>
      </c>
      <c r="H1060" s="3" t="n">
        <v>149.99</v>
      </c>
      <c r="I1060" s="3" t="inlineStr"/>
      <c r="J1060" s="2" t="inlineStr"/>
      <c r="K1060" s="2" t="inlineStr">
        <is>
          <t>bill</t>
        </is>
      </c>
      <c r="L1060" s="4" t="n">
        <v>80</v>
      </c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>
        <is>
          <t>https://www.tim.com.br/sp/para-voce/planos/pos-pago/tim-black</t>
        </is>
      </c>
      <c r="V1060" s="2" t="inlineStr">
        <is>
          <t>data/raw/tim_postpaid_SP.html</t>
        </is>
      </c>
    </row>
    <row r="1061">
      <c r="A1061" s="5" t="inlineStr">
        <is>
          <t>2026-07-11</t>
        </is>
      </c>
      <c r="B1061" s="5" t="inlineStr">
        <is>
          <t>2026-07-11T21:44:47</t>
        </is>
      </c>
      <c r="C1061" s="5" t="inlineStr">
        <is>
          <t>tim</t>
        </is>
      </c>
      <c r="D1061" s="5" t="inlineStr">
        <is>
          <t>postpaid</t>
        </is>
      </c>
      <c r="E1061" s="5" t="inlineStr">
        <is>
          <t>SP</t>
        </is>
      </c>
      <c r="F1061" s="5" t="inlineStr">
        <is>
          <t>TIM Black Premium 110GB</t>
        </is>
      </c>
      <c r="G1061" s="5" t="inlineStr">
        <is>
          <t>tim:54261</t>
        </is>
      </c>
      <c r="H1061" s="6" t="n">
        <v>159.99</v>
      </c>
      <c r="I1061" s="6" t="inlineStr"/>
      <c r="J1061" s="5" t="inlineStr"/>
      <c r="K1061" s="5" t="inlineStr">
        <is>
          <t>bill</t>
        </is>
      </c>
      <c r="L1061" s="7" t="n">
        <v>110</v>
      </c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>
        <is>
          <t>https://www.tim.com.br/sp/para-voce/planos/pos-pago/tim-black</t>
        </is>
      </c>
      <c r="V1061" s="5" t="inlineStr">
        <is>
          <t>data/raw/tim_postpaid_SP.html</t>
        </is>
      </c>
    </row>
    <row r="1062">
      <c r="A1062" s="2" t="inlineStr">
        <is>
          <t>2026-07-11</t>
        </is>
      </c>
      <c r="B1062" s="2" t="inlineStr">
        <is>
          <t>2026-07-11T21:44:47</t>
        </is>
      </c>
      <c r="C1062" s="2" t="inlineStr">
        <is>
          <t>tim</t>
        </is>
      </c>
      <c r="D1062" s="2" t="inlineStr">
        <is>
          <t>prepaid</t>
        </is>
      </c>
      <c r="E1062" s="2" t="inlineStr">
        <is>
          <t>SP</t>
        </is>
      </c>
      <c r="F1062" s="2" t="inlineStr">
        <is>
          <t>TIM Pré XIP Plus 16GB</t>
        </is>
      </c>
      <c r="G1062" s="2" t="inlineStr">
        <is>
          <t>tim:106306</t>
        </is>
      </c>
      <c r="H1062" s="3" t="n">
        <v>30</v>
      </c>
      <c r="I1062" s="3" t="inlineStr"/>
      <c r="J1062" s="2" t="inlineStr"/>
      <c r="K1062" s="2" t="inlineStr"/>
      <c r="L1062" s="4" t="n">
        <v>16</v>
      </c>
      <c r="M1062" s="2" t="inlineStr"/>
      <c r="N1062" s="2" t="n">
        <v>30</v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>
        <is>
          <t>https://www.tim.com.br/sp/para-voce/planos/pre-pago</t>
        </is>
      </c>
      <c r="V1062" s="2" t="inlineStr">
        <is>
          <t>data/raw/tim_prepaid_SP.html</t>
        </is>
      </c>
    </row>
    <row r="1063">
      <c r="A1063" s="5" t="inlineStr">
        <is>
          <t>2026-07-11</t>
        </is>
      </c>
      <c r="B1063" s="5" t="inlineStr">
        <is>
          <t>2026-07-11T21:44:47</t>
        </is>
      </c>
      <c r="C1063" s="5" t="inlineStr">
        <is>
          <t>tim</t>
        </is>
      </c>
      <c r="D1063" s="5" t="inlineStr">
        <is>
          <t>prepaid</t>
        </is>
      </c>
      <c r="E1063" s="5" t="inlineStr">
        <is>
          <t>SP</t>
        </is>
      </c>
      <c r="F1063" s="5" t="inlineStr">
        <is>
          <t>TIM Pré XIP Plus 6GB</t>
        </is>
      </c>
      <c r="G1063" s="5" t="inlineStr">
        <is>
          <t>tim:59906</t>
        </is>
      </c>
      <c r="H1063" s="6" t="n">
        <v>20</v>
      </c>
      <c r="I1063" s="6" t="inlineStr"/>
      <c r="J1063" s="5" t="inlineStr"/>
      <c r="K1063" s="5" t="inlineStr"/>
      <c r="L1063" s="7" t="n">
        <v>6</v>
      </c>
      <c r="M1063" s="5" t="inlineStr"/>
      <c r="N1063" s="5" t="n">
        <v>17</v>
      </c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>
        <is>
          <t>https://www.tim.com.br/sp/para-voce/planos/pre-pago</t>
        </is>
      </c>
      <c r="V1063" s="5" t="inlineStr">
        <is>
          <t>data/raw/tim_prepaid_SP.html</t>
        </is>
      </c>
    </row>
    <row r="1064">
      <c r="A1064" s="2" t="inlineStr">
        <is>
          <t>2026-07-11</t>
        </is>
      </c>
      <c r="B1064" s="2" t="inlineStr">
        <is>
          <t>2026-07-11T21:44:47</t>
        </is>
      </c>
      <c r="C1064" s="2" t="inlineStr">
        <is>
          <t>tim</t>
        </is>
      </c>
      <c r="D1064" s="2" t="inlineStr">
        <is>
          <t>prepaid</t>
        </is>
      </c>
      <c r="E1064" s="2" t="inlineStr">
        <is>
          <t>SP</t>
        </is>
      </c>
      <c r="F1064" s="2" t="inlineStr">
        <is>
          <t>TIM Pré XIP Plus 8GB</t>
        </is>
      </c>
      <c r="G1064" s="2" t="inlineStr">
        <is>
          <t>tim:59901</t>
        </is>
      </c>
      <c r="H1064" s="3" t="n">
        <v>25</v>
      </c>
      <c r="I1064" s="3" t="inlineStr"/>
      <c r="J1064" s="2" t="inlineStr"/>
      <c r="K1064" s="2" t="inlineStr"/>
      <c r="L1064" s="4" t="n">
        <v>8</v>
      </c>
      <c r="M1064" s="2" t="inlineStr"/>
      <c r="N1064" s="2" t="n">
        <v>22</v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>
        <is>
          <t>https://www.tim.com.br/sp/para-voce/planos/pre-pago</t>
        </is>
      </c>
      <c r="V1064" s="2" t="inlineStr">
        <is>
          <t>data/raw/tim_prepaid_SP.html</t>
        </is>
      </c>
    </row>
    <row r="1065">
      <c r="A1065" s="5" t="inlineStr">
        <is>
          <t>2026-07-11</t>
        </is>
      </c>
      <c r="B1065" s="5" t="inlineStr">
        <is>
          <t>2026-07-11T21:44:47</t>
        </is>
      </c>
      <c r="C1065" s="5" t="inlineStr">
        <is>
          <t>vivo</t>
        </is>
      </c>
      <c r="D1065" s="5" t="inlineStr">
        <is>
          <t>control</t>
        </is>
      </c>
      <c r="E1065" s="5" t="inlineStr">
        <is>
          <t>SP</t>
        </is>
      </c>
      <c r="F1065" s="5" t="inlineStr">
        <is>
          <t>Vivo Controle</t>
        </is>
      </c>
      <c r="G1065" s="5" t="inlineStr">
        <is>
          <t>vivo:VIV202600029270-46gb</t>
        </is>
      </c>
      <c r="H1065" s="6" t="n">
        <v>59</v>
      </c>
      <c r="I1065" s="6" t="inlineStr"/>
      <c r="J1065" s="5" t="inlineStr"/>
      <c r="K1065" s="5" t="inlineStr"/>
      <c r="L1065" s="7" t="n">
        <v>46</v>
      </c>
      <c r="M1065" s="5" t="inlineStr">
        <is>
          <t>15 GB de franquia 31 GB de bônus</t>
        </is>
      </c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>
        <is>
          <t>2 meses de YouTube sem consumo no plano</t>
        </is>
      </c>
      <c r="U1065" s="5" t="inlineStr">
        <is>
          <t>https://vivo.com.br/para-voce/produtos-e-servicos/para-o-celular/planos-controle</t>
        </is>
      </c>
      <c r="V1065" s="5" t="inlineStr">
        <is>
          <t>data/raw/vivo_control_SP.html</t>
        </is>
      </c>
    </row>
    <row r="1066">
      <c r="A1066" s="2" t="inlineStr">
        <is>
          <t>2026-07-11</t>
        </is>
      </c>
      <c r="B1066" s="2" t="inlineStr">
        <is>
          <t>2026-07-11T21:44:47</t>
        </is>
      </c>
      <c r="C1066" s="2" t="inlineStr">
        <is>
          <t>vivo</t>
        </is>
      </c>
      <c r="D1066" s="2" t="inlineStr">
        <is>
          <t>control</t>
        </is>
      </c>
      <c r="E1066" s="2" t="inlineStr">
        <is>
          <t>SP</t>
        </is>
      </c>
      <c r="F1066" s="2" t="inlineStr">
        <is>
          <t>Vivo Controle</t>
        </is>
      </c>
      <c r="G1066" s="2" t="inlineStr">
        <is>
          <t>vivo:VIV202600029300-51gb</t>
        </is>
      </c>
      <c r="H1066" s="3" t="n">
        <v>75</v>
      </c>
      <c r="I1066" s="3" t="inlineStr"/>
      <c r="J1066" s="2" t="inlineStr"/>
      <c r="K1066" s="2" t="inlineStr"/>
      <c r="L1066" s="4" t="n">
        <v>51</v>
      </c>
      <c r="M1066" s="2" t="inlineStr">
        <is>
          <t>20 GB de franquia 31 GB de bônus</t>
        </is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>
        <is>
          <t>2 meses de YouTube sem consumo no plano</t>
        </is>
      </c>
      <c r="U1066" s="2" t="inlineStr">
        <is>
          <t>https://vivo.com.br/para-voce/produtos-e-servicos/para-o-celular/planos-controle</t>
        </is>
      </c>
      <c r="V1066" s="2" t="inlineStr">
        <is>
          <t>data/raw/vivo_control_SP.html</t>
        </is>
      </c>
    </row>
    <row r="1067">
      <c r="A1067" s="5" t="inlineStr">
        <is>
          <t>2026-07-11</t>
        </is>
      </c>
      <c r="B1067" s="5" t="inlineStr">
        <is>
          <t>2026-07-11T21:44:47</t>
        </is>
      </c>
      <c r="C1067" s="5" t="inlineStr">
        <is>
          <t>vivo</t>
        </is>
      </c>
      <c r="D1067" s="5" t="inlineStr">
        <is>
          <t>control</t>
        </is>
      </c>
      <c r="E1067" s="5" t="inlineStr">
        <is>
          <t>SP</t>
        </is>
      </c>
      <c r="F1067" s="5" t="inlineStr">
        <is>
          <t>Vivo Controle Educação</t>
        </is>
      </c>
      <c r="G1067" s="5" t="inlineStr">
        <is>
          <t>vivo:VIV202600029273-51gb</t>
        </is>
      </c>
      <c r="H1067" s="6" t="n">
        <v>85</v>
      </c>
      <c r="I1067" s="6" t="inlineStr"/>
      <c r="J1067" s="5" t="inlineStr"/>
      <c r="K1067" s="5" t="inlineStr"/>
      <c r="L1067" s="7" t="n">
        <v>51</v>
      </c>
      <c r="M1067" s="5" t="inlineStr">
        <is>
          <t>20 GB de franquia 31 GB de bônus</t>
        </is>
      </c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>
        <is>
          <t>Assinatura Vivae inclusa</t>
        </is>
      </c>
      <c r="U1067" s="5" t="inlineStr">
        <is>
          <t>https://vivo.com.br/para-voce/produtos-e-servicos/para-o-celular/planos-controle</t>
        </is>
      </c>
      <c r="V1067" s="5" t="inlineStr">
        <is>
          <t>data/raw/vivo_control_SP.html</t>
        </is>
      </c>
    </row>
    <row r="1068">
      <c r="A1068" s="2" t="inlineStr">
        <is>
          <t>2026-07-11</t>
        </is>
      </c>
      <c r="B1068" s="2" t="inlineStr">
        <is>
          <t>2026-07-11T21:44:47</t>
        </is>
      </c>
      <c r="C1068" s="2" t="inlineStr">
        <is>
          <t>vivo</t>
        </is>
      </c>
      <c r="D1068" s="2" t="inlineStr">
        <is>
          <t>control</t>
        </is>
      </c>
      <c r="E1068" s="2" t="inlineStr">
        <is>
          <t>SP</t>
        </is>
      </c>
      <c r="F1068" s="2" t="inlineStr">
        <is>
          <t>Vivo Controle Entretenimento</t>
        </is>
      </c>
      <c r="G1068" s="2" t="inlineStr">
        <is>
          <t>vivo:VIV202600029307-51gb</t>
        </is>
      </c>
      <c r="H1068" s="3" t="n">
        <v>105</v>
      </c>
      <c r="I1068" s="3" t="inlineStr"/>
      <c r="J1068" s="2" t="inlineStr"/>
      <c r="K1068" s="2" t="inlineStr"/>
      <c r="L1068" s="4" t="n">
        <v>51</v>
      </c>
      <c r="M1068" s="2" t="inlineStr">
        <is>
          <t>20 GB de franquia 31 GB de bônus</t>
        </is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>
        <is>
          <t>Assinatura Vivo TV Inicial inclusa</t>
        </is>
      </c>
      <c r="U1068" s="2" t="inlineStr">
        <is>
          <t>https://vivo.com.br/para-voce/produtos-e-servicos/para-o-celular/planos-controle</t>
        </is>
      </c>
      <c r="V1068" s="2" t="inlineStr">
        <is>
          <t>data/raw/vivo_control_SP.html</t>
        </is>
      </c>
    </row>
    <row r="1069">
      <c r="A1069" s="5" t="inlineStr">
        <is>
          <t>2026-07-11</t>
        </is>
      </c>
      <c r="B1069" s="5" t="inlineStr">
        <is>
          <t>2026-07-11T21:44:47</t>
        </is>
      </c>
      <c r="C1069" s="5" t="inlineStr">
        <is>
          <t>vivo</t>
        </is>
      </c>
      <c r="D1069" s="5" t="inlineStr">
        <is>
          <t>control</t>
        </is>
      </c>
      <c r="E1069" s="5" t="inlineStr">
        <is>
          <t>SP</t>
        </is>
      </c>
      <c r="F1069" s="5" t="inlineStr">
        <is>
          <t>Vivo Controle Música</t>
        </is>
      </c>
      <c r="G1069" s="5" t="inlineStr">
        <is>
          <t>vivo:VIV202600029313-51gb</t>
        </is>
      </c>
      <c r="H1069" s="6" t="n">
        <v>85</v>
      </c>
      <c r="I1069" s="6" t="inlineStr"/>
      <c r="J1069" s="5" t="inlineStr"/>
      <c r="K1069" s="5" t="inlineStr"/>
      <c r="L1069" s="7" t="n">
        <v>51</v>
      </c>
      <c r="M1069" s="5" t="inlineStr">
        <is>
          <t>20 GB de franquia 31 GB de bônus</t>
        </is>
      </c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>
        <is>
          <t>Apple Music Individual</t>
        </is>
      </c>
      <c r="U1069" s="5" t="inlineStr">
        <is>
          <t>https://vivo.com.br/para-voce/produtos-e-servicos/para-o-celular/planos-controle</t>
        </is>
      </c>
      <c r="V1069" s="5" t="inlineStr">
        <is>
          <t>data/raw/vivo_control_SP.html</t>
        </is>
      </c>
    </row>
    <row r="1070">
      <c r="A1070" s="2" t="inlineStr">
        <is>
          <t>2026-07-11</t>
        </is>
      </c>
      <c r="B1070" s="2" t="inlineStr">
        <is>
          <t>2026-07-11T21:44:47</t>
        </is>
      </c>
      <c r="C1070" s="2" t="inlineStr">
        <is>
          <t>vivo</t>
        </is>
      </c>
      <c r="D1070" s="2" t="inlineStr">
        <is>
          <t>control</t>
        </is>
      </c>
      <c r="E1070" s="2" t="inlineStr">
        <is>
          <t>SP</t>
        </is>
      </c>
      <c r="F1070" s="2" t="inlineStr">
        <is>
          <t>Vivo Controle Netflix</t>
        </is>
      </c>
      <c r="G1070" s="2" t="inlineStr">
        <is>
          <t>vivo:VIV202600029308-51gb</t>
        </is>
      </c>
      <c r="H1070" s="3" t="n">
        <v>90</v>
      </c>
      <c r="I1070" s="3" t="inlineStr"/>
      <c r="J1070" s="2" t="inlineStr"/>
      <c r="K1070" s="2" t="inlineStr"/>
      <c r="L1070" s="4" t="n">
        <v>51</v>
      </c>
      <c r="M1070" s="2" t="inlineStr">
        <is>
          <t>20 GB de franquia 31 GB de bônus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>
        <is>
          <t>Assinatura Netflix Padrão com anúncios</t>
        </is>
      </c>
      <c r="U1070" s="2" t="inlineStr">
        <is>
          <t>https://vivo.com.br/para-voce/produtos-e-servicos/para-o-celular/planos-controle</t>
        </is>
      </c>
      <c r="V1070" s="2" t="inlineStr">
        <is>
          <t>data/raw/vivo_control_SP.html</t>
        </is>
      </c>
    </row>
    <row r="1071">
      <c r="A1071" s="5" t="inlineStr">
        <is>
          <t>2026-07-11</t>
        </is>
      </c>
      <c r="B1071" s="5" t="inlineStr">
        <is>
          <t>2026-07-11T21:44:47</t>
        </is>
      </c>
      <c r="C1071" s="5" t="inlineStr">
        <is>
          <t>vivo</t>
        </is>
      </c>
      <c r="D1071" s="5" t="inlineStr">
        <is>
          <t>control</t>
        </is>
      </c>
      <c r="E1071" s="5" t="inlineStr">
        <is>
          <t>SP</t>
        </is>
      </c>
      <c r="F1071" s="5" t="inlineStr">
        <is>
          <t>Vivo Controle Saúde</t>
        </is>
      </c>
      <c r="G1071" s="5" t="inlineStr">
        <is>
          <t>vivo:VIV202600029301-51gb</t>
        </is>
      </c>
      <c r="H1071" s="6" t="n">
        <v>85</v>
      </c>
      <c r="I1071" s="6" t="inlineStr"/>
      <c r="J1071" s="5" t="inlineStr"/>
      <c r="K1071" s="5" t="inlineStr"/>
      <c r="L1071" s="7" t="n">
        <v>51</v>
      </c>
      <c r="M1071" s="5" t="inlineStr">
        <is>
          <t>20 GB de franquia 31 GB de bônus</t>
        </is>
      </c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>
        <is>
          <t>Assinatura Vale Saúde Sempre inclusa</t>
        </is>
      </c>
      <c r="U1071" s="5" t="inlineStr">
        <is>
          <t>https://vivo.com.br/para-voce/produtos-e-servicos/para-o-celular/planos-controle</t>
        </is>
      </c>
      <c r="V1071" s="5" t="inlineStr">
        <is>
          <t>data/raw/vivo_control_SP.html</t>
        </is>
      </c>
    </row>
    <row r="1072">
      <c r="A1072" s="2" t="inlineStr">
        <is>
          <t>2026-07-11</t>
        </is>
      </c>
      <c r="B1072" s="2" t="inlineStr">
        <is>
          <t>2026-07-11T21:44:47</t>
        </is>
      </c>
      <c r="C1072" s="2" t="inlineStr">
        <is>
          <t>vivo</t>
        </is>
      </c>
      <c r="D1072" s="2" t="inlineStr">
        <is>
          <t>lite</t>
        </is>
      </c>
      <c r="E1072" s="2" t="inlineStr">
        <is>
          <t>SP</t>
        </is>
      </c>
      <c r="F1072" s="2" t="inlineStr">
        <is>
          <t>Easy Lite</t>
        </is>
      </c>
      <c r="G1072" s="2" t="inlineStr">
        <is>
          <t>vivo:VIV202600032594-30gb</t>
        </is>
      </c>
      <c r="H1072" s="3" t="n">
        <v>30</v>
      </c>
      <c r="I1072" s="3" t="inlineStr"/>
      <c r="J1072" s="2" t="inlineStr"/>
      <c r="K1072" s="2" t="inlineStr"/>
      <c r="L1072" s="4" t="n">
        <v>30</v>
      </c>
      <c r="M1072" s="2" t="inlineStr">
        <is>
          <t>30 GB de franquia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2 meses de YouTube sem consumo no plano</t>
        </is>
      </c>
      <c r="U1072" s="2" t="inlineStr">
        <is>
          <t>https://vivo.com.br/para-voce/produtos-e-servicos/para-o-celular/easy-lite</t>
        </is>
      </c>
      <c r="V1072" s="2" t="inlineStr">
        <is>
          <t>data/raw/vivo_lite_SP.html</t>
        </is>
      </c>
    </row>
    <row r="1073">
      <c r="A1073" s="5" t="inlineStr">
        <is>
          <t>2026-07-11</t>
        </is>
      </c>
      <c r="B1073" s="5" t="inlineStr">
        <is>
          <t>2026-07-11T21:44:47</t>
        </is>
      </c>
      <c r="C1073" s="5" t="inlineStr">
        <is>
          <t>vivo</t>
        </is>
      </c>
      <c r="D1073" s="5" t="inlineStr">
        <is>
          <t>lite</t>
        </is>
      </c>
      <c r="E1073" s="5" t="inlineStr">
        <is>
          <t>SP</t>
        </is>
      </c>
      <c r="F1073" s="5" t="inlineStr">
        <is>
          <t>Easy Lite</t>
        </is>
      </c>
      <c r="G1073" s="5" t="inlineStr">
        <is>
          <t>vivo:VIV202600032596-40gb</t>
        </is>
      </c>
      <c r="H1073" s="6" t="n">
        <v>40</v>
      </c>
      <c r="I1073" s="6" t="inlineStr"/>
      <c r="J1073" s="5" t="inlineStr"/>
      <c r="K1073" s="5" t="inlineStr"/>
      <c r="L1073" s="7" t="n">
        <v>40</v>
      </c>
      <c r="M1073" s="5" t="inlineStr">
        <is>
          <t>40 GB de franquia</t>
        </is>
      </c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>
        <is>
          <t>2 meses de YouTube sem consumo no plano</t>
        </is>
      </c>
      <c r="U1073" s="5" t="inlineStr">
        <is>
          <t>https://vivo.com.br/para-voce/produtos-e-servicos/para-o-celular/easy-lite</t>
        </is>
      </c>
      <c r="V1073" s="5" t="inlineStr">
        <is>
          <t>data/raw/vivo_lite_SP.html</t>
        </is>
      </c>
    </row>
    <row r="1074">
      <c r="A1074" s="2" t="inlineStr">
        <is>
          <t>2026-07-11</t>
        </is>
      </c>
      <c r="B1074" s="2" t="inlineStr">
        <is>
          <t>2026-07-11T21:44:47</t>
        </is>
      </c>
      <c r="C1074" s="2" t="inlineStr">
        <is>
          <t>vivo</t>
        </is>
      </c>
      <c r="D1074" s="2" t="inlineStr">
        <is>
          <t>lite</t>
        </is>
      </c>
      <c r="E1074" s="2" t="inlineStr">
        <is>
          <t>SP</t>
        </is>
      </c>
      <c r="F1074" s="2" t="inlineStr">
        <is>
          <t>Easy Lite</t>
        </is>
      </c>
      <c r="G1074" s="2" t="inlineStr">
        <is>
          <t>vivo:VIV202600032599-20gb</t>
        </is>
      </c>
      <c r="H1074" s="3" t="n">
        <v>35</v>
      </c>
      <c r="I1074" s="3" t="inlineStr"/>
      <c r="J1074" s="2" t="inlineStr"/>
      <c r="K1074" s="2" t="inlineStr"/>
      <c r="L1074" s="4" t="n">
        <v>20</v>
      </c>
      <c r="M1074" s="2" t="inlineStr">
        <is>
          <t>20 GB de franquia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>
        <is>
          <t>2 meses de YouTube sem consumo no plano</t>
        </is>
      </c>
      <c r="U1074" s="2" t="inlineStr">
        <is>
          <t>https://vivo.com.br/para-voce/produtos-e-servicos/para-o-celular/easy-lite</t>
        </is>
      </c>
      <c r="V1074" s="2" t="inlineStr">
        <is>
          <t>data/raw/vivo_lite_SP.html</t>
        </is>
      </c>
    </row>
    <row r="1075">
      <c r="A1075" s="5" t="inlineStr">
        <is>
          <t>2026-07-11</t>
        </is>
      </c>
      <c r="B1075" s="5" t="inlineStr">
        <is>
          <t>2026-07-11T21:44:47</t>
        </is>
      </c>
      <c r="C1075" s="5" t="inlineStr">
        <is>
          <t>vivo</t>
        </is>
      </c>
      <c r="D1075" s="5" t="inlineStr">
        <is>
          <t>postpaid</t>
        </is>
      </c>
      <c r="E1075" s="5" t="inlineStr">
        <is>
          <t>SP</t>
        </is>
      </c>
      <c r="F1075" s="5" t="inlineStr">
        <is>
          <t>Vivo Pós com Amazon</t>
        </is>
      </c>
      <c r="G1075" s="5" t="inlineStr">
        <is>
          <t>vivo:VIV202600029255-60gb</t>
        </is>
      </c>
      <c r="H1075" s="6" t="n">
        <v>150</v>
      </c>
      <c r="I1075" s="6" t="inlineStr"/>
      <c r="J1075" s="5" t="inlineStr"/>
      <c r="K1075" s="5" t="inlineStr"/>
      <c r="L1075" s="7" t="n">
        <v>60</v>
      </c>
      <c r="M1075" s="5" t="inlineStr">
        <is>
          <t>50 GB de franquia 10 GB de bônus</t>
        </is>
      </c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>
        <is>
          <t>Assinatura Amazon Prime inclusa</t>
        </is>
      </c>
      <c r="U1075" s="5" t="inlineStr">
        <is>
          <t>https://vivo.com.br/para-voce/produtos-e-servicos/para-o-celular/planos-pos-pago</t>
        </is>
      </c>
      <c r="V1075" s="5" t="inlineStr">
        <is>
          <t>data/raw/vivo_postpaid_SP.html</t>
        </is>
      </c>
    </row>
    <row r="1076">
      <c r="A1076" s="2" t="inlineStr">
        <is>
          <t>2026-07-11</t>
        </is>
      </c>
      <c r="B1076" s="2" t="inlineStr">
        <is>
          <t>2026-07-11T21:44:47</t>
        </is>
      </c>
      <c r="C1076" s="2" t="inlineStr">
        <is>
          <t>vivo</t>
        </is>
      </c>
      <c r="D1076" s="2" t="inlineStr">
        <is>
          <t>postpaid</t>
        </is>
      </c>
      <c r="E1076" s="2" t="inlineStr">
        <is>
          <t>SP</t>
        </is>
      </c>
      <c r="F1076" s="2" t="inlineStr">
        <is>
          <t>Vivo Pós com Disney+</t>
        </is>
      </c>
      <c r="G1076" s="2" t="inlineStr">
        <is>
          <t>vivo:VIV202600022115-60gb</t>
        </is>
      </c>
      <c r="H1076" s="3" t="n">
        <v>180</v>
      </c>
      <c r="I1076" s="3" t="inlineStr"/>
      <c r="J1076" s="2" t="inlineStr"/>
      <c r="K1076" s="2" t="inlineStr"/>
      <c r="L1076" s="4" t="n">
        <v>60</v>
      </c>
      <c r="M1076" s="2" t="inlineStr">
        <is>
          <t>50 GB de franquia 10 GB de bônus</t>
        </is>
      </c>
      <c r="N1076" s="2" t="inlineStr"/>
      <c r="O1076" s="2" t="inlineStr"/>
      <c r="P1076" s="2" t="inlineStr"/>
      <c r="Q1076" s="2" t="inlineStr"/>
      <c r="R1076" s="2" t="inlineStr">
        <is>
          <t>Disney+</t>
        </is>
      </c>
      <c r="S1076" s="2" t="inlineStr"/>
      <c r="T1076" s="2" t="inlineStr">
        <is>
          <t>Assinatura Disney+ Padrão inclusa</t>
        </is>
      </c>
      <c r="U1076" s="2" t="inlineStr">
        <is>
          <t>https://vivo.com.br/para-voce/produtos-e-servicos/para-o-celular/planos-pos-pago</t>
        </is>
      </c>
      <c r="V1076" s="2" t="inlineStr">
        <is>
          <t>data/raw/vivo_postpaid_SP.html</t>
        </is>
      </c>
    </row>
    <row r="1077">
      <c r="A1077" s="5" t="inlineStr">
        <is>
          <t>2026-07-11</t>
        </is>
      </c>
      <c r="B1077" s="5" t="inlineStr">
        <is>
          <t>2026-07-11T21:44:47</t>
        </is>
      </c>
      <c r="C1077" s="5" t="inlineStr">
        <is>
          <t>vivo</t>
        </is>
      </c>
      <c r="D1077" s="5" t="inlineStr">
        <is>
          <t>postpaid</t>
        </is>
      </c>
      <c r="E1077" s="5" t="inlineStr">
        <is>
          <t>SP</t>
        </is>
      </c>
      <c r="F1077" s="5" t="inlineStr">
        <is>
          <t>Vivo Pós com Globoplay</t>
        </is>
      </c>
      <c r="G1077" s="5" t="inlineStr">
        <is>
          <t>vivo:VIV202600029246-60gb</t>
        </is>
      </c>
      <c r="H1077" s="6" t="n">
        <v>165</v>
      </c>
      <c r="I1077" s="6" t="inlineStr"/>
      <c r="J1077" s="5" t="inlineStr"/>
      <c r="K1077" s="5" t="inlineStr"/>
      <c r="L1077" s="7" t="n">
        <v>60</v>
      </c>
      <c r="M1077" s="5" t="inlineStr">
        <is>
          <t>50 GB de franquia 10 GB de bônus</t>
        </is>
      </c>
      <c r="N1077" s="5" t="inlineStr"/>
      <c r="O1077" s="5" t="inlineStr"/>
      <c r="P1077" s="5" t="inlineStr"/>
      <c r="Q1077" s="5" t="inlineStr"/>
      <c r="R1077" s="5" t="inlineStr">
        <is>
          <t>Globoplay</t>
        </is>
      </c>
      <c r="S1077" s="5" t="inlineStr"/>
      <c r="T1077" s="5" t="inlineStr">
        <is>
          <t>Assinatura Globoplay inclusa</t>
        </is>
      </c>
      <c r="U1077" s="5" t="inlineStr">
        <is>
          <t>https://vivo.com.br/para-voce/produtos-e-servicos/para-o-celular/planos-pos-pago</t>
        </is>
      </c>
      <c r="V1077" s="5" t="inlineStr">
        <is>
          <t>data/raw/vivo_postpaid_SP.html</t>
        </is>
      </c>
    </row>
    <row r="1078">
      <c r="A1078" s="2" t="inlineStr">
        <is>
          <t>2026-07-11</t>
        </is>
      </c>
      <c r="B1078" s="2" t="inlineStr">
        <is>
          <t>2026-07-11T21:44:47</t>
        </is>
      </c>
      <c r="C1078" s="2" t="inlineStr">
        <is>
          <t>vivo</t>
        </is>
      </c>
      <c r="D1078" s="2" t="inlineStr">
        <is>
          <t>postpaid</t>
        </is>
      </c>
      <c r="E1078" s="2" t="inlineStr">
        <is>
          <t>SP</t>
        </is>
      </c>
      <c r="F1078" s="2" t="inlineStr">
        <is>
          <t>Vivo Pós com Netflix</t>
        </is>
      </c>
      <c r="G1078" s="2" t="inlineStr">
        <is>
          <t>vivo:VIV202600029234-60gb</t>
        </is>
      </c>
      <c r="H1078" s="3" t="n">
        <v>180</v>
      </c>
      <c r="I1078" s="3" t="inlineStr"/>
      <c r="J1078" s="2" t="inlineStr"/>
      <c r="K1078" s="2" t="inlineStr"/>
      <c r="L1078" s="4" t="n">
        <v>60</v>
      </c>
      <c r="M1078" s="2" t="inlineStr">
        <is>
          <t>50 GB de franquia 10 GB de bônus</t>
        </is>
      </c>
      <c r="N1078" s="2" t="inlineStr"/>
      <c r="O1078" s="2" t="inlineStr"/>
      <c r="P1078" s="2" t="inlineStr"/>
      <c r="Q1078" s="2" t="inlineStr"/>
      <c r="R1078" s="2" t="inlineStr">
        <is>
          <t>Netflix</t>
        </is>
      </c>
      <c r="S1078" s="2" t="inlineStr"/>
      <c r="T1078" s="2" t="inlineStr">
        <is>
          <t>Assinatura Netflix Padrão inclusa</t>
        </is>
      </c>
      <c r="U1078" s="2" t="inlineStr">
        <is>
          <t>https://vivo.com.br/para-voce/produtos-e-servicos/para-o-celular/planos-pos-pago</t>
        </is>
      </c>
      <c r="V1078" s="2" t="inlineStr">
        <is>
          <t>data/raw/vivo_postpaid_SP.html</t>
        </is>
      </c>
    </row>
    <row r="1079">
      <c r="A1079" s="5" t="inlineStr">
        <is>
          <t>2026-07-11</t>
        </is>
      </c>
      <c r="B1079" s="5" t="inlineStr">
        <is>
          <t>2026-07-11T21:44:47</t>
        </is>
      </c>
      <c r="C1079" s="5" t="inlineStr">
        <is>
          <t>vivo</t>
        </is>
      </c>
      <c r="D1079" s="5" t="inlineStr">
        <is>
          <t>postpaid</t>
        </is>
      </c>
      <c r="E1079" s="5" t="inlineStr">
        <is>
          <t>SP</t>
        </is>
      </c>
      <c r="F1079" s="5" t="inlineStr">
        <is>
          <t>Vivo Pós com Premiere</t>
        </is>
      </c>
      <c r="G1079" s="5" t="inlineStr">
        <is>
          <t>vivo:VIV202600029249-60gb</t>
        </is>
      </c>
      <c r="H1079" s="6" t="n">
        <v>180</v>
      </c>
      <c r="I1079" s="6" t="inlineStr"/>
      <c r="J1079" s="5" t="inlineStr"/>
      <c r="K1079" s="5" t="inlineStr"/>
      <c r="L1079" s="7" t="n">
        <v>60</v>
      </c>
      <c r="M1079" s="5" t="inlineStr">
        <is>
          <t>50 GB de franquia 10 GB de bônus</t>
        </is>
      </c>
      <c r="N1079" s="5" t="inlineStr"/>
      <c r="O1079" s="5" t="inlineStr"/>
      <c r="P1079" s="5" t="inlineStr"/>
      <c r="Q1079" s="5" t="inlineStr"/>
      <c r="R1079" s="5" t="inlineStr">
        <is>
          <t>Premiere</t>
        </is>
      </c>
      <c r="S1079" s="5" t="inlineStr"/>
      <c r="T1079" s="5" t="inlineStr">
        <is>
          <t>Assinatura Premiere inclusa</t>
        </is>
      </c>
      <c r="U1079" s="5" t="inlineStr">
        <is>
          <t>https://vivo.com.br/para-voce/produtos-e-servicos/para-o-celular/planos-pos-pago</t>
        </is>
      </c>
      <c r="V1079" s="5" t="inlineStr">
        <is>
          <t>data/raw/vivo_postpaid_SP.html</t>
        </is>
      </c>
    </row>
    <row r="1080">
      <c r="A1080" s="2" t="inlineStr">
        <is>
          <t>2026-07-11</t>
        </is>
      </c>
      <c r="B1080" s="2" t="inlineStr">
        <is>
          <t>2026-07-11T21:44:47</t>
        </is>
      </c>
      <c r="C1080" s="2" t="inlineStr">
        <is>
          <t>vivo</t>
        </is>
      </c>
      <c r="D1080" s="2" t="inlineStr">
        <is>
          <t>postpaid</t>
        </is>
      </c>
      <c r="E1080" s="2" t="inlineStr">
        <is>
          <t>SP</t>
        </is>
      </c>
      <c r="F1080" s="2" t="inlineStr">
        <is>
          <t>Vivo Pós com Spotify</t>
        </is>
      </c>
      <c r="G1080" s="2" t="inlineStr">
        <is>
          <t>vivo:VIV202600029229-60gb</t>
        </is>
      </c>
      <c r="H1080" s="3" t="n">
        <v>165</v>
      </c>
      <c r="I1080" s="3" t="inlineStr"/>
      <c r="J1080" s="2" t="inlineStr"/>
      <c r="K1080" s="2" t="inlineStr"/>
      <c r="L1080" s="4" t="n">
        <v>60</v>
      </c>
      <c r="M1080" s="2" t="inlineStr">
        <is>
          <t>50 GB de franquia 10 GB de bônus</t>
        </is>
      </c>
      <c r="N1080" s="2" t="inlineStr"/>
      <c r="O1080" s="2" t="inlineStr"/>
      <c r="P1080" s="2" t="inlineStr"/>
      <c r="Q1080" s="2" t="inlineStr"/>
      <c r="R1080" s="2" t="inlineStr">
        <is>
          <t>Spotify</t>
        </is>
      </c>
      <c r="S1080" s="2" t="inlineStr"/>
      <c r="T1080" s="2" t="inlineStr">
        <is>
          <t>Assinatura Spotify Premium inclusa</t>
        </is>
      </c>
      <c r="U1080" s="2" t="inlineStr">
        <is>
          <t>https://vivo.com.br/para-voce/produtos-e-servicos/para-o-celular/planos-pos-pago</t>
        </is>
      </c>
      <c r="V1080" s="2" t="inlineStr">
        <is>
          <t>data/raw/vivo_postpaid_SP.html</t>
        </is>
      </c>
    </row>
    <row r="1081">
      <c r="A1081" s="5" t="inlineStr">
        <is>
          <t>2026-07-11</t>
        </is>
      </c>
      <c r="B1081" s="5" t="inlineStr">
        <is>
          <t>2026-07-11T21:44:47</t>
        </is>
      </c>
      <c r="C1081" s="5" t="inlineStr">
        <is>
          <t>vivo</t>
        </is>
      </c>
      <c r="D1081" s="5" t="inlineStr">
        <is>
          <t>postpaid</t>
        </is>
      </c>
      <c r="E1081" s="5" t="inlineStr">
        <is>
          <t>SP</t>
        </is>
      </c>
      <c r="F1081" s="5" t="inlineStr">
        <is>
          <t>Vivo Pós com Travel</t>
        </is>
      </c>
      <c r="G1081" s="5" t="inlineStr">
        <is>
          <t>vivo:VIV202600029244-70gb</t>
        </is>
      </c>
      <c r="H1081" s="6" t="n">
        <v>215</v>
      </c>
      <c r="I1081" s="6" t="inlineStr"/>
      <c r="J1081" s="5" t="inlineStr"/>
      <c r="K1081" s="5" t="inlineStr"/>
      <c r="L1081" s="7" t="n">
        <v>70</v>
      </c>
      <c r="M1081" s="5" t="inlineStr">
        <is>
          <t>60 GB de franquia 10 GB de bônus</t>
        </is>
      </c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>
        <is>
          <t>2 meses de YouTube sem consumo no plano</t>
        </is>
      </c>
      <c r="U1081" s="5" t="inlineStr">
        <is>
          <t>https://vivo.com.br/para-voce/produtos-e-servicos/para-o-celular/planos-pos-pago</t>
        </is>
      </c>
      <c r="V1081" s="5" t="inlineStr">
        <is>
          <t>data/raw/vivo_postpaid_SP.html</t>
        </is>
      </c>
    </row>
    <row r="1082">
      <c r="A1082" s="2" t="inlineStr">
        <is>
          <t>2026-07-11</t>
        </is>
      </c>
      <c r="B1082" s="2" t="inlineStr">
        <is>
          <t>2026-07-11T21:44:47</t>
        </is>
      </c>
      <c r="C1082" s="2" t="inlineStr">
        <is>
          <t>vivo</t>
        </is>
      </c>
      <c r="D1082" s="2" t="inlineStr">
        <is>
          <t>prepaid</t>
        </is>
      </c>
      <c r="E1082" s="2" t="inlineStr">
        <is>
          <t>SP</t>
        </is>
      </c>
      <c r="F1082" s="2" t="inlineStr">
        <is>
          <t>Vivo Pré</t>
        </is>
      </c>
      <c r="G1082" s="2" t="inlineStr">
        <is>
          <t>vivo:VIV202600029370-25gb</t>
        </is>
      </c>
      <c r="H1082" s="3" t="n">
        <v>30</v>
      </c>
      <c r="I1082" s="3" t="inlineStr"/>
      <c r="J1082" s="2" t="inlineStr"/>
      <c r="K1082" s="2" t="inlineStr"/>
      <c r="L1082" s="4" t="n">
        <v>25</v>
      </c>
      <c r="M1082" s="2" t="inlineStr">
        <is>
          <t>15 GB para navegar como quiser 5 GB de bônus 5 GB para navegar no Youtube</t>
        </is>
      </c>
      <c r="N1082" s="2" t="n">
        <v>30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>
        <is>
          <t>https://vivo.com.br/para-voce/produtos-e-servicos/para-o-celular/pre-pago/vivo-pre</t>
        </is>
      </c>
      <c r="V1082" s="2" t="inlineStr">
        <is>
          <t>data/raw/vivo_prepaid_SP.html</t>
        </is>
      </c>
    </row>
    <row r="1083">
      <c r="A1083" s="5" t="inlineStr">
        <is>
          <t>2026-07-11</t>
        </is>
      </c>
      <c r="B1083" s="5" t="inlineStr">
        <is>
          <t>2026-07-11T21:44:47</t>
        </is>
      </c>
      <c r="C1083" s="5" t="inlineStr">
        <is>
          <t>vivo</t>
        </is>
      </c>
      <c r="D1083" s="5" t="inlineStr">
        <is>
          <t>prepaid</t>
        </is>
      </c>
      <c r="E1083" s="5" t="inlineStr">
        <is>
          <t>SP</t>
        </is>
      </c>
      <c r="F1083" s="5" t="inlineStr">
        <is>
          <t>Vivo Pré</t>
        </is>
      </c>
      <c r="G1083" s="5" t="inlineStr">
        <is>
          <t>vivo:VIV202600029370-9gb</t>
        </is>
      </c>
      <c r="H1083" s="6" t="n">
        <v>25</v>
      </c>
      <c r="I1083" s="6" t="inlineStr"/>
      <c r="J1083" s="5" t="inlineStr"/>
      <c r="K1083" s="5" t="inlineStr"/>
      <c r="L1083" s="7" t="n">
        <v>9</v>
      </c>
      <c r="M1083" s="5" t="inlineStr">
        <is>
          <t>6 GB para navegar como quiser 3 GB para navegar no YouTube</t>
        </is>
      </c>
      <c r="N1083" s="5" t="n">
        <v>22</v>
      </c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>
        <is>
          <t>https://vivo.com.br/para-voce/produtos-e-servicos/para-o-celular/pre-pago/vivo-pre</t>
        </is>
      </c>
      <c r="V1083" s="5" t="inlineStr">
        <is>
          <t>data/raw/vivo_prepaid_SP.html</t>
        </is>
      </c>
    </row>
    <row r="1084">
      <c r="A1084" s="2" t="inlineStr">
        <is>
          <t>2026-07-11</t>
        </is>
      </c>
      <c r="B1084" s="2" t="inlineStr">
        <is>
          <t>2026-07-11T21:44:47</t>
        </is>
      </c>
      <c r="C1084" s="2" t="inlineStr">
        <is>
          <t>vivo</t>
        </is>
      </c>
      <c r="D1084" s="2" t="inlineStr">
        <is>
          <t>prepaid</t>
        </is>
      </c>
      <c r="E1084" s="2" t="inlineStr">
        <is>
          <t>SP</t>
        </is>
      </c>
      <c r="F1084" s="2" t="inlineStr">
        <is>
          <t>Vivo Pré</t>
        </is>
      </c>
      <c r="G1084" s="2" t="inlineStr">
        <is>
          <t>vivo:VIV202600029370-5gb</t>
        </is>
      </c>
      <c r="H1084" s="3" t="n">
        <v>20</v>
      </c>
      <c r="I1084" s="3" t="inlineStr"/>
      <c r="J1084" s="2" t="inlineStr"/>
      <c r="K1084" s="2" t="inlineStr"/>
      <c r="L1084" s="4" t="n">
        <v>5</v>
      </c>
      <c r="M1084" s="2" t="inlineStr">
        <is>
          <t>5 GB para navegar como quiser</t>
        </is>
      </c>
      <c r="N1084" s="2" t="n">
        <v>17</v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>
        <is>
          <t>https://vivo.com.br/para-voce/produtos-e-servicos/para-o-celular/pre-pago/vivo-pre</t>
        </is>
      </c>
      <c r="V1084" s="2" t="inlineStr">
        <is>
          <t>data/raw/vivo_prepaid_SP.html</t>
        </is>
      </c>
    </row>
    <row r="1085">
      <c r="A1085" s="5" t="inlineStr">
        <is>
          <t>2026-07-11</t>
        </is>
      </c>
      <c r="B1085" s="5" t="inlineStr">
        <is>
          <t>2026-07-11T21:44:47</t>
        </is>
      </c>
      <c r="C1085" s="5" t="inlineStr">
        <is>
          <t>vivo</t>
        </is>
      </c>
      <c r="D1085" s="5" t="inlineStr">
        <is>
          <t>prepaid</t>
        </is>
      </c>
      <c r="E1085" s="5" t="inlineStr">
        <is>
          <t>SP</t>
        </is>
      </c>
      <c r="F1085" s="5" t="inlineStr">
        <is>
          <t>Vivo Pré</t>
        </is>
      </c>
      <c r="G1085" s="5" t="inlineStr">
        <is>
          <t>vivo:VIV202600029370-4gb</t>
        </is>
      </c>
      <c r="H1085" s="6" t="n">
        <v>17</v>
      </c>
      <c r="I1085" s="6" t="inlineStr"/>
      <c r="J1085" s="5" t="inlineStr"/>
      <c r="K1085" s="5" t="inlineStr"/>
      <c r="L1085" s="7" t="n">
        <v>4</v>
      </c>
      <c r="M1085" s="5" t="inlineStr">
        <is>
          <t>4 GB para navegar como quiser</t>
        </is>
      </c>
      <c r="N1085" s="5" t="n">
        <v>15</v>
      </c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>
        <is>
          <t>https://vivo.com.br/para-voce/produtos-e-servicos/para-o-celular/pre-pago/vivo-pre</t>
        </is>
      </c>
      <c r="V1085" s="5" t="inlineStr">
        <is>
          <t>data/raw/vivo_prepaid_SP.html</t>
        </is>
      </c>
    </row>
    <row r="1086">
      <c r="A1086" s="2" t="inlineStr">
        <is>
          <t>2026-07-12</t>
        </is>
      </c>
      <c r="B1086" s="2" t="inlineStr">
        <is>
          <t>2026-07-12T21:45:19</t>
        </is>
      </c>
      <c r="C1086" s="2" t="inlineStr">
        <is>
          <t>claro</t>
        </is>
      </c>
      <c r="D1086" s="2" t="inlineStr">
        <is>
          <t>control</t>
        </is>
      </c>
      <c r="E1086" s="2" t="inlineStr">
        <is>
          <t>SP</t>
        </is>
      </c>
      <c r="F1086" s="2" t="inlineStr">
        <is>
          <t>Controle 25GB</t>
        </is>
      </c>
      <c r="G1086" s="2" t="inlineStr">
        <is>
          <t>claro:plano-controle-25gb</t>
        </is>
      </c>
      <c r="H1086" s="3" t="n">
        <v>59.9</v>
      </c>
      <c r="I1086" s="3" t="n">
        <v>54.9</v>
      </c>
      <c r="J1086" s="2" t="inlineStr">
        <is>
          <t>De R$ 59,90 Por:</t>
        </is>
      </c>
      <c r="K1086" s="2" t="inlineStr"/>
      <c r="L1086" s="4" t="n">
        <v>25</v>
      </c>
      <c r="M1086" s="2" t="inlineStr"/>
      <c r="N1086" s="2" t="inlineStr"/>
      <c r="O1086" s="2" t="inlineStr">
        <is>
          <t>WhatsApp</t>
        </is>
      </c>
      <c r="P1086" s="2" t="inlineStr"/>
      <c r="Q1086" s="2" t="inlineStr"/>
      <c r="R1086" s="2" t="inlineStr"/>
      <c r="S1086" s="2" t="inlineStr"/>
      <c r="T1086" s="2" t="inlineStr">
        <is>
          <t>Para uso livre; Para redes sociais e vídeos; Bônus exclusivo; Aproveite na sua franquia; WhatsApp e ligações ilimitadas</t>
        </is>
      </c>
      <c r="U1086" s="2" t="inlineStr">
        <is>
          <t>https://www.claro.com.br/celular/controle</t>
        </is>
      </c>
      <c r="V1086" s="2" t="inlineStr">
        <is>
          <t>data/raw/claro_control_SP.json</t>
        </is>
      </c>
    </row>
    <row r="1087">
      <c r="A1087" s="5" t="inlineStr">
        <is>
          <t>2026-07-12</t>
        </is>
      </c>
      <c r="B1087" s="5" t="inlineStr">
        <is>
          <t>2026-07-12T21:45:19</t>
        </is>
      </c>
      <c r="C1087" s="5" t="inlineStr">
        <is>
          <t>claro</t>
        </is>
      </c>
      <c r="D1087" s="5" t="inlineStr">
        <is>
          <t>control</t>
        </is>
      </c>
      <c r="E1087" s="5" t="inlineStr">
        <is>
          <t>SP</t>
        </is>
      </c>
      <c r="F1087" s="5" t="inlineStr">
        <is>
          <t>Controle 30GB</t>
        </is>
      </c>
      <c r="G1087" s="5" t="inlineStr">
        <is>
          <t>claro:plano-controle-30gb</t>
        </is>
      </c>
      <c r="H1087" s="6" t="n">
        <v>69.90000000000001</v>
      </c>
      <c r="I1087" s="6" t="inlineStr"/>
      <c r="J1087" s="5" t="inlineStr"/>
      <c r="K1087" s="5" t="inlineStr"/>
      <c r="L1087" s="7" t="n">
        <v>30</v>
      </c>
      <c r="M1087" s="5" t="inlineStr"/>
      <c r="N1087" s="5" t="inlineStr"/>
      <c r="O1087" s="5" t="inlineStr">
        <is>
          <t>WhatsApp</t>
        </is>
      </c>
      <c r="P1087" s="5" t="inlineStr"/>
      <c r="Q1087" s="5" t="inlineStr"/>
      <c r="R1087" s="5" t="inlineStr"/>
      <c r="S1087" s="5" t="inlineStr"/>
      <c r="T1087" s="5" t="inlineStr">
        <is>
          <t>Para uso livre; Bônus especial para uso livre; Bônus para redes sociais e apps; Redes sociais e apps; WhatsApp ilimitado</t>
        </is>
      </c>
      <c r="U1087" s="5" t="inlineStr">
        <is>
          <t>https://www.claro.com.br/celular/controle</t>
        </is>
      </c>
      <c r="V1087" s="5" t="inlineStr">
        <is>
          <t>data/raw/claro_control_SP.json</t>
        </is>
      </c>
    </row>
    <row r="1088">
      <c r="A1088" s="2" t="inlineStr">
        <is>
          <t>2026-07-12</t>
        </is>
      </c>
      <c r="B1088" s="2" t="inlineStr">
        <is>
          <t>2026-07-12T21:45:19</t>
        </is>
      </c>
      <c r="C1088" s="2" t="inlineStr">
        <is>
          <t>claro</t>
        </is>
      </c>
      <c r="D1088" s="2" t="inlineStr">
        <is>
          <t>control</t>
        </is>
      </c>
      <c r="E1088" s="2" t="inlineStr">
        <is>
          <t>SP</t>
        </is>
      </c>
      <c r="F1088" s="2" t="inlineStr">
        <is>
          <t>Controle 30GB</t>
        </is>
      </c>
      <c r="G1088" s="2" t="inlineStr">
        <is>
          <t>claro:plano-controle-30gb-gaming</t>
        </is>
      </c>
      <c r="H1088" s="3" t="n">
        <v>99.90000000000001</v>
      </c>
      <c r="I1088" s="3" t="inlineStr"/>
      <c r="J1088" s="2" t="inlineStr"/>
      <c r="K1088" s="2" t="inlineStr"/>
      <c r="L1088" s="4" t="n">
        <v>30</v>
      </c>
      <c r="M1088" s="2" t="inlineStr"/>
      <c r="N1088" s="2" t="inlineStr"/>
      <c r="O1088" s="2" t="inlineStr">
        <is>
          <t>WhatsApp</t>
        </is>
      </c>
      <c r="P1088" s="2" t="inlineStr"/>
      <c r="Q1088" s="2" t="inlineStr"/>
      <c r="R1088" s="2" t="inlineStr"/>
      <c r="S1088" s="2" t="inlineStr"/>
      <c r="T1088" s="2" t="inlineStr">
        <is>
          <t>Para uso livre; Bônus para redes sociais e apps; Bônus uso livre; Redes sociais e apps; WhatsApp ilimitado</t>
        </is>
      </c>
      <c r="U1088" s="2" t="inlineStr">
        <is>
          <t>https://www.claro.com.br/celular/controle</t>
        </is>
      </c>
      <c r="V1088" s="2" t="inlineStr">
        <is>
          <t>data/raw/claro_control_SP.json</t>
        </is>
      </c>
    </row>
    <row r="1089">
      <c r="A1089" s="5" t="inlineStr">
        <is>
          <t>2026-07-12</t>
        </is>
      </c>
      <c r="B1089" s="5" t="inlineStr">
        <is>
          <t>2026-07-12T21:45:19</t>
        </is>
      </c>
      <c r="C1089" s="5" t="inlineStr">
        <is>
          <t>claro</t>
        </is>
      </c>
      <c r="D1089" s="5" t="inlineStr">
        <is>
          <t>flex</t>
        </is>
      </c>
      <c r="E1089" s="5" t="inlineStr">
        <is>
          <t>SP</t>
        </is>
      </c>
      <c r="F1089" s="5" t="inlineStr">
        <is>
          <t>Flex 15GB</t>
        </is>
      </c>
      <c r="G1089" s="5" t="inlineStr">
        <is>
          <t>claro:plano-flex-15gb</t>
        </is>
      </c>
      <c r="H1089" s="6" t="n">
        <v>44.9</v>
      </c>
      <c r="I1089" s="6" t="inlineStr"/>
      <c r="J1089" s="5" t="inlineStr"/>
      <c r="K1089" s="5" t="inlineStr"/>
      <c r="L1089" s="7" t="n">
        <v>15</v>
      </c>
      <c r="M1089" s="5" t="inlineStr"/>
      <c r="N1089" s="5" t="inlineStr"/>
      <c r="O1089" s="5" t="inlineStr">
        <is>
          <t>WhatsApp</t>
        </is>
      </c>
      <c r="P1089" s="5" t="inlineStr"/>
      <c r="Q1089" s="5" t="inlineStr"/>
      <c r="R1089" s="5" t="inlineStr"/>
      <c r="S1089" s="5" t="inlineStr"/>
      <c r="T1089" s="5" t="inlineStr">
        <is>
          <t>Para uso livre; Bônus especial para uso livre; Para redes sociais e apps; Bônus extra nos apps; WhatsApp ilimitado</t>
        </is>
      </c>
      <c r="U1089" s="5" t="inlineStr">
        <is>
          <t>https://www.claro.com.br/celular/flex</t>
        </is>
      </c>
      <c r="V1089" s="5" t="inlineStr">
        <is>
          <t>data/raw/claro_flex_SP.json</t>
        </is>
      </c>
    </row>
    <row r="1090">
      <c r="A1090" s="2" t="inlineStr">
        <is>
          <t>2026-07-12</t>
        </is>
      </c>
      <c r="B1090" s="2" t="inlineStr">
        <is>
          <t>2026-07-12T21:45:19</t>
        </is>
      </c>
      <c r="C1090" s="2" t="inlineStr">
        <is>
          <t>claro</t>
        </is>
      </c>
      <c r="D1090" s="2" t="inlineStr">
        <is>
          <t>flex</t>
        </is>
      </c>
      <c r="E1090" s="2" t="inlineStr">
        <is>
          <t>SP</t>
        </is>
      </c>
      <c r="F1090" s="2" t="inlineStr">
        <is>
          <t>Flex 20GB</t>
        </is>
      </c>
      <c r="G1090" s="2" t="inlineStr">
        <is>
          <t>claro:plano-flex-20gb</t>
        </is>
      </c>
      <c r="H1090" s="3" t="n">
        <v>59.9</v>
      </c>
      <c r="I1090" s="3" t="inlineStr"/>
      <c r="J1090" s="2" t="inlineStr"/>
      <c r="K1090" s="2" t="inlineStr"/>
      <c r="L1090" s="4" t="n">
        <v>20</v>
      </c>
      <c r="M1090" s="2" t="inlineStr"/>
      <c r="N1090" s="2" t="inlineStr"/>
      <c r="O1090" s="2" t="inlineStr">
        <is>
          <t>WhatsApp</t>
        </is>
      </c>
      <c r="P1090" s="2" t="inlineStr"/>
      <c r="Q1090" s="2" t="inlineStr"/>
      <c r="R1090" s="2" t="inlineStr"/>
      <c r="S1090" s="2" t="inlineStr"/>
      <c r="T1090" s="2" t="inlineStr">
        <is>
          <t>Para uso livre; Bônus especial para uso livre; Para redes sociais e apps; Bônus extra nos apps; WhatsApp ilimitado</t>
        </is>
      </c>
      <c r="U1090" s="2" t="inlineStr">
        <is>
          <t>https://www.claro.com.br/celular/flex</t>
        </is>
      </c>
      <c r="V1090" s="2" t="inlineStr">
        <is>
          <t>data/raw/claro_flex_SP.json</t>
        </is>
      </c>
    </row>
    <row r="1091">
      <c r="A1091" s="5" t="inlineStr">
        <is>
          <t>2026-07-12</t>
        </is>
      </c>
      <c r="B1091" s="5" t="inlineStr">
        <is>
          <t>2026-07-12T21:45:19</t>
        </is>
      </c>
      <c r="C1091" s="5" t="inlineStr">
        <is>
          <t>claro</t>
        </is>
      </c>
      <c r="D1091" s="5" t="inlineStr">
        <is>
          <t>flex</t>
        </is>
      </c>
      <c r="E1091" s="5" t="inlineStr">
        <is>
          <t>SP</t>
        </is>
      </c>
      <c r="F1091" s="5" t="inlineStr">
        <is>
          <t>Flex 30GB</t>
        </is>
      </c>
      <c r="G1091" s="5" t="inlineStr">
        <is>
          <t>claro:plano-flex-30gb</t>
        </is>
      </c>
      <c r="H1091" s="6" t="n">
        <v>69.90000000000001</v>
      </c>
      <c r="I1091" s="6" t="inlineStr"/>
      <c r="J1091" s="5" t="inlineStr"/>
      <c r="K1091" s="5" t="inlineStr"/>
      <c r="L1091" s="7" t="n">
        <v>30</v>
      </c>
      <c r="M1091" s="5" t="inlineStr"/>
      <c r="N1091" s="5" t="inlineStr"/>
      <c r="O1091" s="5" t="inlineStr">
        <is>
          <t>WhatsApp</t>
        </is>
      </c>
      <c r="P1091" s="5" t="inlineStr"/>
      <c r="Q1091" s="5" t="inlineStr"/>
      <c r="R1091" s="5" t="inlineStr"/>
      <c r="S1091" s="5" t="inlineStr"/>
      <c r="T1091" s="5" t="inlineStr">
        <is>
          <t>Para uso livre; Bônus especial para uso livre; Para redes sociais e apps; Bônus extra nos apps; WhatsApp ilimitado; Assinatura Claro musica inclusa</t>
        </is>
      </c>
      <c r="U1091" s="5" t="inlineStr">
        <is>
          <t>https://www.claro.com.br/celular/flex</t>
        </is>
      </c>
      <c r="V1091" s="5" t="inlineStr">
        <is>
          <t>data/raw/claro_flex_SP.json</t>
        </is>
      </c>
    </row>
    <row r="1092">
      <c r="A1092" s="2" t="inlineStr">
        <is>
          <t>2026-07-12</t>
        </is>
      </c>
      <c r="B1092" s="2" t="inlineStr">
        <is>
          <t>2026-07-12T21:45:19</t>
        </is>
      </c>
      <c r="C1092" s="2" t="inlineStr">
        <is>
          <t>claro</t>
        </is>
      </c>
      <c r="D1092" s="2" t="inlineStr">
        <is>
          <t>flex</t>
        </is>
      </c>
      <c r="E1092" s="2" t="inlineStr">
        <is>
          <t>SP</t>
        </is>
      </c>
      <c r="F1092" s="2" t="inlineStr">
        <is>
          <t>Flex 40GB</t>
        </is>
      </c>
      <c r="G1092" s="2" t="inlineStr">
        <is>
          <t>claro:plano-flex-40gb</t>
        </is>
      </c>
      <c r="H1092" s="3" t="n">
        <v>119.9</v>
      </c>
      <c r="I1092" s="3" t="inlineStr"/>
      <c r="J1092" s="2" t="inlineStr"/>
      <c r="K1092" s="2" t="inlineStr"/>
      <c r="L1092" s="4" t="n">
        <v>40</v>
      </c>
      <c r="M1092" s="2" t="inlineStr"/>
      <c r="N1092" s="2" t="inlineStr"/>
      <c r="O1092" s="2" t="inlineStr">
        <is>
          <t>WhatsApp</t>
        </is>
      </c>
      <c r="P1092" s="2" t="inlineStr"/>
      <c r="Q1092" s="2" t="inlineStr"/>
      <c r="R1092" s="2" t="inlineStr"/>
      <c r="S1092" s="2" t="inlineStr"/>
      <c r="T1092" s="2" t="inlineStr">
        <is>
          <t>Para uso livre; Para redes sociais e apps; Bônus uso livre; Bônus extra nos apps; WhatsApp ilimitado; Assinatura Claro musica inclusa</t>
        </is>
      </c>
      <c r="U1092" s="2" t="inlineStr">
        <is>
          <t>https://www.claro.com.br/celular/flex</t>
        </is>
      </c>
      <c r="V1092" s="2" t="inlineStr">
        <is>
          <t>data/raw/claro_flex_SP.json</t>
        </is>
      </c>
    </row>
    <row r="1093">
      <c r="A1093" s="5" t="inlineStr">
        <is>
          <t>2026-07-12</t>
        </is>
      </c>
      <c r="B1093" s="5" t="inlineStr">
        <is>
          <t>2026-07-12T21:45:19</t>
        </is>
      </c>
      <c r="C1093" s="5" t="inlineStr">
        <is>
          <t>claro</t>
        </is>
      </c>
      <c r="D1093" s="5" t="inlineStr">
        <is>
          <t>postpaid</t>
        </is>
      </c>
      <c r="E1093" s="5" t="inlineStr">
        <is>
          <t>SP</t>
        </is>
      </c>
      <c r="F1093" s="5" t="inlineStr">
        <is>
          <t>Pós 100GB</t>
        </is>
      </c>
      <c r="G1093" s="5" t="inlineStr">
        <is>
          <t>claro:plano-pos-100gb</t>
        </is>
      </c>
      <c r="H1093" s="6" t="n">
        <v>179.9</v>
      </c>
      <c r="I1093" s="6" t="inlineStr"/>
      <c r="J1093" s="5" t="inlineStr"/>
      <c r="K1093" s="5" t="inlineStr"/>
      <c r="L1093" s="7" t="n">
        <v>100</v>
      </c>
      <c r="M1093" s="5" t="inlineStr"/>
      <c r="N1093" s="5" t="inlineStr"/>
      <c r="O1093" s="5" t="inlineStr">
        <is>
          <t>WhatsApp</t>
        </is>
      </c>
      <c r="P1093" s="5" t="inlineStr"/>
      <c r="Q1093" s="5" t="inlineStr"/>
      <c r="R1093" s="5" t="inlineStr"/>
      <c r="S1093" s="5" t="inlineStr"/>
      <c r="T1093" s="5" t="inlineStr">
        <is>
          <t>Armazenamento na nuvem:; Google One ou iCloud+; WhatsApp ilimitado; Roaming: Passaporte Américas; Claro Sync: Smartwatch conectado</t>
        </is>
      </c>
      <c r="U1093" s="5" t="inlineStr">
        <is>
          <t>https://www.claro.com.br/celular/pos</t>
        </is>
      </c>
      <c r="V1093" s="5" t="inlineStr">
        <is>
          <t>data/raw/claro_postpaid_SP.json</t>
        </is>
      </c>
    </row>
    <row r="1094">
      <c r="A1094" s="2" t="inlineStr">
        <is>
          <t>2026-07-12</t>
        </is>
      </c>
      <c r="B1094" s="2" t="inlineStr">
        <is>
          <t>2026-07-12T21:45:19</t>
        </is>
      </c>
      <c r="C1094" s="2" t="inlineStr">
        <is>
          <t>claro</t>
        </is>
      </c>
      <c r="D1094" s="2" t="inlineStr">
        <is>
          <t>postpaid</t>
        </is>
      </c>
      <c r="E1094" s="2" t="inlineStr">
        <is>
          <t>SP</t>
        </is>
      </c>
      <c r="F1094" s="2" t="inlineStr">
        <is>
          <t>Pós 150GB</t>
        </is>
      </c>
      <c r="G1094" s="2" t="inlineStr">
        <is>
          <t>claro:plano-pos-150gb</t>
        </is>
      </c>
      <c r="H1094" s="3" t="n">
        <v>239.9</v>
      </c>
      <c r="I1094" s="3" t="inlineStr"/>
      <c r="J1094" s="2" t="inlineStr"/>
      <c r="K1094" s="2" t="inlineStr"/>
      <c r="L1094" s="4" t="n">
        <v>150</v>
      </c>
      <c r="M1094" s="2" t="inlineStr"/>
      <c r="N1094" s="2" t="inlineStr"/>
      <c r="O1094" s="2" t="inlineStr">
        <is>
          <t>WhatsApp</t>
        </is>
      </c>
      <c r="P1094" s="2" t="inlineStr"/>
      <c r="Q1094" s="2" t="inlineStr"/>
      <c r="R1094" s="2" t="inlineStr"/>
      <c r="S1094" s="2" t="inlineStr"/>
      <c r="T1094" s="2" t="inlineStr">
        <is>
          <t>Armazenamento na nuvem:; Google One ou iCloud+; WhatsApp ilimitado; Roaming: Passaporte Américas e Europa; Claro Sync: Smartwatch conectado</t>
        </is>
      </c>
      <c r="U1094" s="2" t="inlineStr">
        <is>
          <t>https://www.claro.com.br/celular/pos</t>
        </is>
      </c>
      <c r="V1094" s="2" t="inlineStr">
        <is>
          <t>data/raw/claro_postpaid_SP.json</t>
        </is>
      </c>
    </row>
    <row r="1095">
      <c r="A1095" s="5" t="inlineStr">
        <is>
          <t>2026-07-12</t>
        </is>
      </c>
      <c r="B1095" s="5" t="inlineStr">
        <is>
          <t>2026-07-12T21:45:19</t>
        </is>
      </c>
      <c r="C1095" s="5" t="inlineStr">
        <is>
          <t>claro</t>
        </is>
      </c>
      <c r="D1095" s="5" t="inlineStr">
        <is>
          <t>postpaid</t>
        </is>
      </c>
      <c r="E1095" s="5" t="inlineStr">
        <is>
          <t>SP</t>
        </is>
      </c>
      <c r="F1095" s="5" t="inlineStr">
        <is>
          <t>Pós 200GB</t>
        </is>
      </c>
      <c r="G1095" s="5" t="inlineStr">
        <is>
          <t>claro:plano-pos-200gb</t>
        </is>
      </c>
      <c r="H1095" s="6" t="n">
        <v>339.9</v>
      </c>
      <c r="I1095" s="6" t="inlineStr"/>
      <c r="J1095" s="5" t="inlineStr"/>
      <c r="K1095" s="5" t="inlineStr"/>
      <c r="L1095" s="7" t="n">
        <v>200</v>
      </c>
      <c r="M1095" s="5" t="inlineStr"/>
      <c r="N1095" s="5" t="inlineStr"/>
      <c r="O1095" s="5" t="inlineStr">
        <is>
          <t>WhatsApp</t>
        </is>
      </c>
      <c r="P1095" s="5" t="inlineStr"/>
      <c r="Q1095" s="5" t="inlineStr"/>
      <c r="R1095" s="5" t="inlineStr"/>
      <c r="S1095" s="5" t="inlineStr"/>
      <c r="T1095" s="5" t="inlineStr">
        <is>
          <t>Armazenamento na nuvem:; Google One ou iCloud+; WhatsApp ilimitado; Roaming: Passaporte Mundo; Claro Sync: Smartwatch conectado</t>
        </is>
      </c>
      <c r="U1095" s="5" t="inlineStr">
        <is>
          <t>https://www.claro.com.br/celular/pos</t>
        </is>
      </c>
      <c r="V1095" s="5" t="inlineStr">
        <is>
          <t>data/raw/claro_postpaid_SP.json</t>
        </is>
      </c>
    </row>
    <row r="1096">
      <c r="A1096" s="2" t="inlineStr">
        <is>
          <t>2026-07-12</t>
        </is>
      </c>
      <c r="B1096" s="2" t="inlineStr">
        <is>
          <t>2026-07-12T21:45:19</t>
        </is>
      </c>
      <c r="C1096" s="2" t="inlineStr">
        <is>
          <t>claro</t>
        </is>
      </c>
      <c r="D1096" s="2" t="inlineStr">
        <is>
          <t>postpaid</t>
        </is>
      </c>
      <c r="E1096" s="2" t="inlineStr">
        <is>
          <t>SP</t>
        </is>
      </c>
      <c r="F1096" s="2" t="inlineStr">
        <is>
          <t>Pós 50GB com GeForce NOW</t>
        </is>
      </c>
      <c r="G1096" s="2" t="inlineStr">
        <is>
          <t>claro:plano-pos-60gb-geforce</t>
        </is>
      </c>
      <c r="H1096" s="3" t="n">
        <v>164.9</v>
      </c>
      <c r="I1096" s="3" t="inlineStr"/>
      <c r="J1096" s="2" t="inlineStr"/>
      <c r="K1096" s="2" t="inlineStr"/>
      <c r="L1096" s="4" t="n">
        <v>50</v>
      </c>
      <c r="M1096" s="2" t="inlineStr"/>
      <c r="N1096" s="2" t="inlineStr"/>
      <c r="O1096" s="2" t="inlineStr">
        <is>
          <t>WhatsApp</t>
        </is>
      </c>
      <c r="P1096" s="2" t="inlineStr"/>
      <c r="Q1096" s="2" t="inlineStr"/>
      <c r="R1096" s="2" t="inlineStr"/>
      <c r="S1096" s="2" t="inlineStr"/>
      <c r="T1096" s="2" t="inlineStr">
        <is>
          <t>Armazenamento na nuvem:; Google One ou iCloud+; WhatsApp ilimitado; Roaming: Passaporte Américas; Claro Sync: Smartwatch conectado; Inclusa assinatura GeForce NOW</t>
        </is>
      </c>
      <c r="U1096" s="2" t="inlineStr">
        <is>
          <t>https://www.claro.com.br/celular/pos</t>
        </is>
      </c>
      <c r="V1096" s="2" t="inlineStr">
        <is>
          <t>data/raw/claro_postpaid_SP.json</t>
        </is>
      </c>
    </row>
    <row r="1097">
      <c r="A1097" s="5" t="inlineStr">
        <is>
          <t>2026-07-12</t>
        </is>
      </c>
      <c r="B1097" s="5" t="inlineStr">
        <is>
          <t>2026-07-12T21:45:19</t>
        </is>
      </c>
      <c r="C1097" s="5" t="inlineStr">
        <is>
          <t>claro</t>
        </is>
      </c>
      <c r="D1097" s="5" t="inlineStr">
        <is>
          <t>postpaid</t>
        </is>
      </c>
      <c r="E1097" s="5" t="inlineStr">
        <is>
          <t>SP</t>
        </is>
      </c>
      <c r="F1097" s="5" t="inlineStr">
        <is>
          <t>Pós 60GB</t>
        </is>
      </c>
      <c r="G1097" s="5" t="inlineStr">
        <is>
          <t>claro:plano-pos-60gb</t>
        </is>
      </c>
      <c r="H1097" s="6" t="n">
        <v>124.9</v>
      </c>
      <c r="I1097" s="6" t="inlineStr"/>
      <c r="J1097" s="5" t="inlineStr"/>
      <c r="K1097" s="5" t="inlineStr"/>
      <c r="L1097" s="7" t="n">
        <v>60</v>
      </c>
      <c r="M1097" s="5" t="inlineStr"/>
      <c r="N1097" s="5" t="inlineStr"/>
      <c r="O1097" s="5" t="inlineStr">
        <is>
          <t>WhatsApp</t>
        </is>
      </c>
      <c r="P1097" s="5" t="inlineStr"/>
      <c r="Q1097" s="5" t="inlineStr"/>
      <c r="R1097" s="5" t="inlineStr"/>
      <c r="S1097" s="5" t="inlineStr"/>
      <c r="T1097" s="5" t="inlineStr">
        <is>
          <t>Armazenamento na nuvem:; Google One ou iCloud+; WhatsApp ilimitado; Roaming: Passaporte Américas; Claro Sync: Smartwatch conectado</t>
        </is>
      </c>
      <c r="U1097" s="5" t="inlineStr">
        <is>
          <t>https://www.claro.com.br/celular/pos</t>
        </is>
      </c>
      <c r="V1097" s="5" t="inlineStr">
        <is>
          <t>data/raw/claro_postpaid_SP.json</t>
        </is>
      </c>
    </row>
    <row r="1098">
      <c r="A1098" s="2" t="inlineStr">
        <is>
          <t>2026-07-12</t>
        </is>
      </c>
      <c r="B1098" s="2" t="inlineStr">
        <is>
          <t>2026-07-12T21:45:19</t>
        </is>
      </c>
      <c r="C1098" s="2" t="inlineStr">
        <is>
          <t>claro</t>
        </is>
      </c>
      <c r="D1098" s="2" t="inlineStr">
        <is>
          <t>prepaid</t>
        </is>
      </c>
      <c r="E1098" s="2" t="inlineStr">
        <is>
          <t>SP</t>
        </is>
      </c>
      <c r="F1098" s="2" t="inlineStr">
        <is>
          <t>Prezão 10GB (25 dias)</t>
        </is>
      </c>
      <c r="G1098" s="2" t="inlineStr">
        <is>
          <t>claro:prezao-25d-10gb</t>
        </is>
      </c>
      <c r="H1098" s="3" t="n">
        <v>25</v>
      </c>
      <c r="I1098" s="3" t="inlineStr"/>
      <c r="J1098" s="2" t="inlineStr">
        <is>
          <t>recarga Prezão R$25 — validade 25 dias</t>
        </is>
      </c>
      <c r="K1098" s="2" t="inlineStr"/>
      <c r="L1098" s="4" t="n">
        <v>10</v>
      </c>
      <c r="M1098" s="2" t="inlineStr"/>
      <c r="N1098" s="2" t="n">
        <v>25</v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>
        <is>
          <t>https://www.claro.com.br/celular/planos-pre/prezao</t>
        </is>
      </c>
      <c r="V1098" s="2" t="inlineStr">
        <is>
          <t>data/raw/claro_prepaid_SP.json</t>
        </is>
      </c>
    </row>
    <row r="1099">
      <c r="A1099" s="5" t="inlineStr">
        <is>
          <t>2026-07-12</t>
        </is>
      </c>
      <c r="B1099" s="5" t="inlineStr">
        <is>
          <t>2026-07-12T21:45:19</t>
        </is>
      </c>
      <c r="C1099" s="5" t="inlineStr">
        <is>
          <t>claro</t>
        </is>
      </c>
      <c r="D1099" s="5" t="inlineStr">
        <is>
          <t>prepaid</t>
        </is>
      </c>
      <c r="E1099" s="5" t="inlineStr">
        <is>
          <t>SP</t>
        </is>
      </c>
      <c r="F1099" s="5" t="inlineStr">
        <is>
          <t>Prezão 12GB (30 dias)</t>
        </is>
      </c>
      <c r="G1099" s="5" t="inlineStr">
        <is>
          <t>claro:prezao-30d-12gb</t>
        </is>
      </c>
      <c r="H1099" s="6" t="n">
        <v>30</v>
      </c>
      <c r="I1099" s="6" t="inlineStr"/>
      <c r="J1099" s="5" t="inlineStr">
        <is>
          <t>recarga Prezão R$30 — validade 30 dias</t>
        </is>
      </c>
      <c r="K1099" s="5" t="inlineStr"/>
      <c r="L1099" s="7" t="n">
        <v>12</v>
      </c>
      <c r="M1099" s="5" t="inlineStr"/>
      <c r="N1099" s="5" t="n">
        <v>30</v>
      </c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>
        <is>
          <t>https://www.claro.com.br/celular/planos-pre/prezao</t>
        </is>
      </c>
      <c r="V1099" s="5" t="inlineStr">
        <is>
          <t>data/raw/claro_prepaid_SP.json</t>
        </is>
      </c>
    </row>
    <row r="1100">
      <c r="A1100" s="2" t="inlineStr">
        <is>
          <t>2026-07-12</t>
        </is>
      </c>
      <c r="B1100" s="2" t="inlineStr">
        <is>
          <t>2026-07-12T21:45:19</t>
        </is>
      </c>
      <c r="C1100" s="2" t="inlineStr">
        <is>
          <t>claro</t>
        </is>
      </c>
      <c r="D1100" s="2" t="inlineStr">
        <is>
          <t>prepaid</t>
        </is>
      </c>
      <c r="E1100" s="2" t="inlineStr">
        <is>
          <t>SP</t>
        </is>
      </c>
      <c r="F1100" s="2" t="inlineStr">
        <is>
          <t>Prezão 4GB (12 dias)</t>
        </is>
      </c>
      <c r="G1100" s="2" t="inlineStr">
        <is>
          <t>claro:prezao-12d-4gb</t>
        </is>
      </c>
      <c r="H1100" s="3" t="n">
        <v>15</v>
      </c>
      <c r="I1100" s="3" t="inlineStr"/>
      <c r="J1100" s="2" t="inlineStr">
        <is>
          <t>recarga Prezão R$15 — validade 12 dias</t>
        </is>
      </c>
      <c r="K1100" s="2" t="inlineStr"/>
      <c r="L1100" s="4" t="n">
        <v>4</v>
      </c>
      <c r="M1100" s="2" t="inlineStr"/>
      <c r="N1100" s="2" t="n">
        <v>12</v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>
        <is>
          <t>https://www.claro.com.br/celular/planos-pre/prezao</t>
        </is>
      </c>
      <c r="V1100" s="2" t="inlineStr">
        <is>
          <t>data/raw/claro_prepaid_SP.json</t>
        </is>
      </c>
    </row>
    <row r="1101">
      <c r="A1101" s="5" t="inlineStr">
        <is>
          <t>2026-07-12</t>
        </is>
      </c>
      <c r="B1101" s="5" t="inlineStr">
        <is>
          <t>2026-07-12T21:45:19</t>
        </is>
      </c>
      <c r="C1101" s="5" t="inlineStr">
        <is>
          <t>claro</t>
        </is>
      </c>
      <c r="D1101" s="5" t="inlineStr">
        <is>
          <t>prepaid</t>
        </is>
      </c>
      <c r="E1101" s="5" t="inlineStr">
        <is>
          <t>SP</t>
        </is>
      </c>
      <c r="F1101" s="5" t="inlineStr">
        <is>
          <t>Prezão 5GB (15 dias)</t>
        </is>
      </c>
      <c r="G1101" s="5" t="inlineStr">
        <is>
          <t>claro:prezao-15d-5gb</t>
        </is>
      </c>
      <c r="H1101" s="6" t="n">
        <v>15</v>
      </c>
      <c r="I1101" s="6" t="inlineStr"/>
      <c r="J1101" s="5" t="inlineStr">
        <is>
          <t>recarga Prezão R$15 — validade 15 dias</t>
        </is>
      </c>
      <c r="K1101" s="5" t="inlineStr"/>
      <c r="L1101" s="7" t="n">
        <v>5</v>
      </c>
      <c r="M1101" s="5" t="inlineStr"/>
      <c r="N1101" s="5" t="n">
        <v>15</v>
      </c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>
        <is>
          <t>https://www.claro.com.br/celular/planos-pre/prezao</t>
        </is>
      </c>
      <c r="V1101" s="5" t="inlineStr">
        <is>
          <t>data/raw/claro_prepaid_SP.json</t>
        </is>
      </c>
    </row>
    <row r="1102">
      <c r="A1102" s="2" t="inlineStr">
        <is>
          <t>2026-07-12</t>
        </is>
      </c>
      <c r="B1102" s="2" t="inlineStr">
        <is>
          <t>2026-07-12T21:45:19</t>
        </is>
      </c>
      <c r="C1102" s="2" t="inlineStr">
        <is>
          <t>claro</t>
        </is>
      </c>
      <c r="D1102" s="2" t="inlineStr">
        <is>
          <t>prepaid</t>
        </is>
      </c>
      <c r="E1102" s="2" t="inlineStr">
        <is>
          <t>SP</t>
        </is>
      </c>
      <c r="F1102" s="2" t="inlineStr">
        <is>
          <t>Prezão 6GB (20 dias)</t>
        </is>
      </c>
      <c r="G1102" s="2" t="inlineStr">
        <is>
          <t>claro:prezao-20d-6gb</t>
        </is>
      </c>
      <c r="H1102" s="3" t="n">
        <v>20</v>
      </c>
      <c r="I1102" s="3" t="inlineStr"/>
      <c r="J1102" s="2" t="inlineStr">
        <is>
          <t>recarga Prezão R$20 — validade 20 dias</t>
        </is>
      </c>
      <c r="K1102" s="2" t="inlineStr"/>
      <c r="L1102" s="4" t="n">
        <v>6</v>
      </c>
      <c r="M1102" s="2" t="inlineStr"/>
      <c r="N1102" s="2" t="n">
        <v>20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>
        <is>
          <t>https://www.claro.com.br/celular/planos-pre/prezao</t>
        </is>
      </c>
      <c r="V1102" s="2" t="inlineStr">
        <is>
          <t>data/raw/claro_prepaid_SP.json</t>
        </is>
      </c>
    </row>
    <row r="1103">
      <c r="A1103" s="5" t="inlineStr">
        <is>
          <t>2026-07-12</t>
        </is>
      </c>
      <c r="B1103" s="5" t="inlineStr">
        <is>
          <t>2026-07-12T21:45:19</t>
        </is>
      </c>
      <c r="C1103" s="5" t="inlineStr">
        <is>
          <t>claro</t>
        </is>
      </c>
      <c r="D1103" s="5" t="inlineStr">
        <is>
          <t>prepaid</t>
        </is>
      </c>
      <c r="E1103" s="5" t="inlineStr">
        <is>
          <t>SP</t>
        </is>
      </c>
      <c r="F1103" s="5" t="inlineStr">
        <is>
          <t>Prezão 8GB (20 dias)</t>
        </is>
      </c>
      <c r="G1103" s="5" t="inlineStr">
        <is>
          <t>claro:prezao-20d-8gb</t>
        </is>
      </c>
      <c r="H1103" s="6" t="n">
        <v>20</v>
      </c>
      <c r="I1103" s="6" t="inlineStr"/>
      <c r="J1103" s="5" t="inlineStr">
        <is>
          <t>recarga Prezão R$20 — validade 20 dias</t>
        </is>
      </c>
      <c r="K1103" s="5" t="inlineStr"/>
      <c r="L1103" s="7" t="n">
        <v>8</v>
      </c>
      <c r="M1103" s="5" t="inlineStr"/>
      <c r="N1103" s="5" t="n">
        <v>20</v>
      </c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>
        <is>
          <t>https://www.claro.com.br/celular/planos-pre/prezao</t>
        </is>
      </c>
      <c r="V1103" s="5" t="inlineStr">
        <is>
          <t>data/raw/claro_prepaid_SP.json</t>
        </is>
      </c>
    </row>
    <row r="1104">
      <c r="A1104" s="2" t="inlineStr">
        <is>
          <t>2026-07-12</t>
        </is>
      </c>
      <c r="B1104" s="2" t="inlineStr">
        <is>
          <t>2026-07-12T21:45:19</t>
        </is>
      </c>
      <c r="C1104" s="2" t="inlineStr">
        <is>
          <t>claro</t>
        </is>
      </c>
      <c r="D1104" s="2" t="inlineStr">
        <is>
          <t>prepaid</t>
        </is>
      </c>
      <c r="E1104" s="2" t="inlineStr">
        <is>
          <t>SP</t>
        </is>
      </c>
      <c r="F1104" s="2" t="inlineStr">
        <is>
          <t>Prezão 9GB (25 dias)</t>
        </is>
      </c>
      <c r="G1104" s="2" t="inlineStr">
        <is>
          <t>claro:prezao-25d-9gb</t>
        </is>
      </c>
      <c r="H1104" s="3" t="n">
        <v>25</v>
      </c>
      <c r="I1104" s="3" t="inlineStr"/>
      <c r="J1104" s="2" t="inlineStr">
        <is>
          <t>recarga Prezão R$25 — validade 25 dias</t>
        </is>
      </c>
      <c r="K1104" s="2" t="inlineStr"/>
      <c r="L1104" s="4" t="n">
        <v>9</v>
      </c>
      <c r="M1104" s="2" t="inlineStr"/>
      <c r="N1104" s="2" t="n">
        <v>25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>
        <is>
          <t>https://www.claro.com.br/celular/planos-pre/prezao</t>
        </is>
      </c>
      <c r="V1104" s="2" t="inlineStr">
        <is>
          <t>data/raw/claro_prepaid_SP.json</t>
        </is>
      </c>
    </row>
    <row r="1105">
      <c r="A1105" s="5" t="inlineStr">
        <is>
          <t>2026-07-12</t>
        </is>
      </c>
      <c r="B1105" s="5" t="inlineStr">
        <is>
          <t>2026-07-12T21:45:19</t>
        </is>
      </c>
      <c r="C1105" s="5" t="inlineStr">
        <is>
          <t>tim</t>
        </is>
      </c>
      <c r="D1105" s="5" t="inlineStr">
        <is>
          <t>control</t>
        </is>
      </c>
      <c r="E1105" s="5" t="inlineStr">
        <is>
          <t>SP</t>
        </is>
      </c>
      <c r="F1105" s="5" t="inlineStr">
        <is>
          <t>TIM Controle 41GB</t>
        </is>
      </c>
      <c r="G1105" s="5" t="inlineStr">
        <is>
          <t>tim:167036</t>
        </is>
      </c>
      <c r="H1105" s="6" t="n">
        <v>49.99</v>
      </c>
      <c r="I1105" s="6" t="inlineStr"/>
      <c r="J1105" s="5" t="inlineStr"/>
      <c r="K1105" s="5" t="inlineStr"/>
      <c r="L1105" s="7" t="n">
        <v>41</v>
      </c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>
        <is>
          <t>https://www.tim.com.br/sp/para-voce/planos/controle</t>
        </is>
      </c>
      <c r="V1105" s="5" t="inlineStr">
        <is>
          <t>data/raw/tim_control_SP.html</t>
        </is>
      </c>
    </row>
    <row r="1106">
      <c r="A1106" s="2" t="inlineStr">
        <is>
          <t>2026-07-12</t>
        </is>
      </c>
      <c r="B1106" s="2" t="inlineStr">
        <is>
          <t>2026-07-12T21:45:19</t>
        </is>
      </c>
      <c r="C1106" s="2" t="inlineStr">
        <is>
          <t>tim</t>
        </is>
      </c>
      <c r="D1106" s="2" t="inlineStr">
        <is>
          <t>control</t>
        </is>
      </c>
      <c r="E1106" s="2" t="inlineStr">
        <is>
          <t>SP</t>
        </is>
      </c>
      <c r="F1106" s="2" t="inlineStr">
        <is>
          <t>TIM Controle Light Express 31GB</t>
        </is>
      </c>
      <c r="G1106" s="2" t="inlineStr">
        <is>
          <t>tim:167046</t>
        </is>
      </c>
      <c r="H1106" s="3" t="n">
        <v>60.99</v>
      </c>
      <c r="I1106" s="3" t="inlineStr"/>
      <c r="J1106" s="2" t="inlineStr"/>
      <c r="K1106" s="2" t="inlineStr"/>
      <c r="L1106" s="4" t="n">
        <v>31</v>
      </c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>
        <is>
          <t>https://www.tim.com.br/sp/para-voce/planos/controle</t>
        </is>
      </c>
      <c r="V1106" s="2" t="inlineStr">
        <is>
          <t>data/raw/tim_control_SP.html</t>
        </is>
      </c>
    </row>
    <row r="1107">
      <c r="A1107" s="5" t="inlineStr">
        <is>
          <t>2026-07-12</t>
        </is>
      </c>
      <c r="B1107" s="5" t="inlineStr">
        <is>
          <t>2026-07-12T21:45:19</t>
        </is>
      </c>
      <c r="C1107" s="5" t="inlineStr">
        <is>
          <t>tim</t>
        </is>
      </c>
      <c r="D1107" s="5" t="inlineStr">
        <is>
          <t>control</t>
        </is>
      </c>
      <c r="E1107" s="5" t="inlineStr">
        <is>
          <t>SP</t>
        </is>
      </c>
      <c r="F1107" s="5" t="inlineStr">
        <is>
          <t>TIM Controle Plus 45GB</t>
        </is>
      </c>
      <c r="G1107" s="5" t="inlineStr">
        <is>
          <t>tim:167031</t>
        </is>
      </c>
      <c r="H1107" s="6" t="n">
        <v>59.99</v>
      </c>
      <c r="I1107" s="6" t="inlineStr"/>
      <c r="J1107" s="5" t="inlineStr"/>
      <c r="K1107" s="5" t="inlineStr"/>
      <c r="L1107" s="7" t="n">
        <v>45</v>
      </c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>
        <is>
          <t>https://www.tim.com.br/sp/para-voce/planos/controle</t>
        </is>
      </c>
      <c r="V1107" s="5" t="inlineStr">
        <is>
          <t>data/raw/tim_control_SP.html</t>
        </is>
      </c>
    </row>
    <row r="1108">
      <c r="A1108" s="2" t="inlineStr">
        <is>
          <t>2026-07-12</t>
        </is>
      </c>
      <c r="B1108" s="2" t="inlineStr">
        <is>
          <t>2026-07-12T21:45:19</t>
        </is>
      </c>
      <c r="C1108" s="2" t="inlineStr">
        <is>
          <t>tim</t>
        </is>
      </c>
      <c r="D1108" s="2" t="inlineStr">
        <is>
          <t>control</t>
        </is>
      </c>
      <c r="E1108" s="2" t="inlineStr">
        <is>
          <t>SP</t>
        </is>
      </c>
      <c r="F1108" s="2" t="inlineStr">
        <is>
          <t>TIM Controle Premium 53GB</t>
        </is>
      </c>
      <c r="G1108" s="2" t="inlineStr">
        <is>
          <t>tim:167041</t>
        </is>
      </c>
      <c r="H1108" s="3" t="n">
        <v>69.98999999999999</v>
      </c>
      <c r="I1108" s="3" t="inlineStr"/>
      <c r="J1108" s="2" t="inlineStr"/>
      <c r="K1108" s="2" t="inlineStr"/>
      <c r="L1108" s="4" t="n">
        <v>53</v>
      </c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>
        <is>
          <t>https://www.tim.com.br/sp/para-voce/planos/controle</t>
        </is>
      </c>
      <c r="V1108" s="2" t="inlineStr">
        <is>
          <t>data/raw/tim_control_SP.html</t>
        </is>
      </c>
    </row>
    <row r="1109">
      <c r="A1109" s="5" t="inlineStr">
        <is>
          <t>2026-07-12</t>
        </is>
      </c>
      <c r="B1109" s="5" t="inlineStr">
        <is>
          <t>2026-07-12T21:45:19</t>
        </is>
      </c>
      <c r="C1109" s="5" t="inlineStr">
        <is>
          <t>tim</t>
        </is>
      </c>
      <c r="D1109" s="5" t="inlineStr">
        <is>
          <t>control</t>
        </is>
      </c>
      <c r="E1109" s="5" t="inlineStr">
        <is>
          <t>SP</t>
        </is>
      </c>
      <c r="F1109" s="5" t="inlineStr">
        <is>
          <t>TIM Controle Pro Express</t>
        </is>
      </c>
      <c r="G1109" s="5" t="inlineStr">
        <is>
          <t>tim:167051</t>
        </is>
      </c>
      <c r="H1109" s="6" t="n">
        <v>64.98999999999999</v>
      </c>
      <c r="I1109" s="6" t="inlineStr"/>
      <c r="J1109" s="5" t="inlineStr"/>
      <c r="K1109" s="5" t="inlineStr"/>
      <c r="L1109" s="7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>
        <is>
          <t>https://www.tim.com.br/sp/para-voce/planos/controle</t>
        </is>
      </c>
      <c r="V1109" s="5" t="inlineStr">
        <is>
          <t>data/raw/tim_control_SP.html</t>
        </is>
      </c>
    </row>
    <row r="1110">
      <c r="A1110" s="2" t="inlineStr">
        <is>
          <t>2026-07-12</t>
        </is>
      </c>
      <c r="B1110" s="2" t="inlineStr">
        <is>
          <t>2026-07-12T21:45:19</t>
        </is>
      </c>
      <c r="C1110" s="2" t="inlineStr">
        <is>
          <t>tim</t>
        </is>
      </c>
      <c r="D1110" s="2" t="inlineStr">
        <is>
          <t>postpaid</t>
        </is>
      </c>
      <c r="E1110" s="2" t="inlineStr">
        <is>
          <t>SP</t>
        </is>
      </c>
      <c r="F1110" s="2" t="inlineStr">
        <is>
          <t>TIM Black 70GB</t>
        </is>
      </c>
      <c r="G1110" s="2" t="inlineStr">
        <is>
          <t>tim:54206</t>
        </is>
      </c>
      <c r="H1110" s="3" t="n">
        <v>129.99</v>
      </c>
      <c r="I1110" s="3" t="inlineStr"/>
      <c r="J1110" s="2" t="inlineStr"/>
      <c r="K1110" s="2" t="inlineStr">
        <is>
          <t>bill</t>
        </is>
      </c>
      <c r="L1110" s="4" t="n">
        <v>70</v>
      </c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>
        <is>
          <t>https://www.tim.com.br/sp/para-voce/planos/pos-pago/tim-black</t>
        </is>
      </c>
      <c r="V1110" s="2" t="inlineStr">
        <is>
          <t>data/raw/tim_postpaid_SP.html</t>
        </is>
      </c>
    </row>
    <row r="1111">
      <c r="A1111" s="5" t="inlineStr">
        <is>
          <t>2026-07-12</t>
        </is>
      </c>
      <c r="B1111" s="5" t="inlineStr">
        <is>
          <t>2026-07-12T21:45:19</t>
        </is>
      </c>
      <c r="C1111" s="5" t="inlineStr">
        <is>
          <t>tim</t>
        </is>
      </c>
      <c r="D1111" s="5" t="inlineStr">
        <is>
          <t>postpaid</t>
        </is>
      </c>
      <c r="E1111" s="5" t="inlineStr">
        <is>
          <t>SP</t>
        </is>
      </c>
      <c r="F1111" s="5" t="inlineStr">
        <is>
          <t>TIM Black A Express 67GB</t>
        </is>
      </c>
      <c r="G1111" s="5" t="inlineStr">
        <is>
          <t>tim:55121</t>
        </is>
      </c>
      <c r="H1111" s="6" t="n">
        <v>119.99</v>
      </c>
      <c r="I1111" s="6" t="inlineStr"/>
      <c r="J1111" s="5" t="inlineStr"/>
      <c r="K1111" s="5" t="inlineStr">
        <is>
          <t>credit_card</t>
        </is>
      </c>
      <c r="L1111" s="7" t="n">
        <v>67</v>
      </c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>
        <is>
          <t>https://www.tim.com.br/sp/para-voce/planos/pos-pago/tim-black</t>
        </is>
      </c>
      <c r="V1111" s="5" t="inlineStr">
        <is>
          <t>data/raw/tim_postpaid_SP.html</t>
        </is>
      </c>
    </row>
    <row r="1112">
      <c r="A1112" s="2" t="inlineStr">
        <is>
          <t>2026-07-12</t>
        </is>
      </c>
      <c r="B1112" s="2" t="inlineStr">
        <is>
          <t>2026-07-12T21:45:19</t>
        </is>
      </c>
      <c r="C1112" s="2" t="inlineStr">
        <is>
          <t>tim</t>
        </is>
      </c>
      <c r="D1112" s="2" t="inlineStr">
        <is>
          <t>postpaid</t>
        </is>
      </c>
      <c r="E1112" s="2" t="inlineStr">
        <is>
          <t>SP</t>
        </is>
      </c>
      <c r="F1112" s="2" t="inlineStr">
        <is>
          <t>TIM Black B Express 82GB</t>
        </is>
      </c>
      <c r="G1112" s="2" t="inlineStr">
        <is>
          <t>tim:52146</t>
        </is>
      </c>
      <c r="H1112" s="3" t="n">
        <v>144.99</v>
      </c>
      <c r="I1112" s="3" t="inlineStr"/>
      <c r="J1112" s="2" t="inlineStr"/>
      <c r="K1112" s="2" t="inlineStr">
        <is>
          <t>credit_card</t>
        </is>
      </c>
      <c r="L1112" s="4" t="n">
        <v>82</v>
      </c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>
        <is>
          <t>https://www.tim.com.br/sp/para-voce/planos/pos-pago/tim-black</t>
        </is>
      </c>
      <c r="V1112" s="2" t="inlineStr">
        <is>
          <t>data/raw/tim_postpaid_SP.html</t>
        </is>
      </c>
    </row>
    <row r="1113">
      <c r="A1113" s="5" t="inlineStr">
        <is>
          <t>2026-07-12</t>
        </is>
      </c>
      <c r="B1113" s="5" t="inlineStr">
        <is>
          <t>2026-07-12T21:45:19</t>
        </is>
      </c>
      <c r="C1113" s="5" t="inlineStr">
        <is>
          <t>tim</t>
        </is>
      </c>
      <c r="D1113" s="5" t="inlineStr">
        <is>
          <t>postpaid</t>
        </is>
      </c>
      <c r="E1113" s="5" t="inlineStr">
        <is>
          <t>SP</t>
        </is>
      </c>
      <c r="F1113" s="5" t="inlineStr">
        <is>
          <t>TIM Black C Express 107GB</t>
        </is>
      </c>
      <c r="G1113" s="5" t="inlineStr">
        <is>
          <t>tim:52151</t>
        </is>
      </c>
      <c r="H1113" s="6" t="n">
        <v>164.99</v>
      </c>
      <c r="I1113" s="6" t="inlineStr"/>
      <c r="J1113" s="5" t="inlineStr"/>
      <c r="K1113" s="5" t="inlineStr">
        <is>
          <t>credit_card</t>
        </is>
      </c>
      <c r="L1113" s="7" t="n">
        <v>107</v>
      </c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>
        <is>
          <t>https://www.tim.com.br/sp/para-voce/planos/pos-pago/tim-black</t>
        </is>
      </c>
      <c r="V1113" s="5" t="inlineStr">
        <is>
          <t>data/raw/tim_postpaid_SP.html</t>
        </is>
      </c>
    </row>
    <row r="1114">
      <c r="A1114" s="2" t="inlineStr">
        <is>
          <t>2026-07-12</t>
        </is>
      </c>
      <c r="B1114" s="2" t="inlineStr">
        <is>
          <t>2026-07-12T21:45:19</t>
        </is>
      </c>
      <c r="C1114" s="2" t="inlineStr">
        <is>
          <t>tim</t>
        </is>
      </c>
      <c r="D1114" s="2" t="inlineStr">
        <is>
          <t>postpaid</t>
        </is>
      </c>
      <c r="E1114" s="2" t="inlineStr">
        <is>
          <t>SP</t>
        </is>
      </c>
      <c r="F1114" s="2" t="inlineStr">
        <is>
          <t>TIM Black C Ultra 95GB</t>
        </is>
      </c>
      <c r="G1114" s="2" t="inlineStr">
        <is>
          <t>tim:100581</t>
        </is>
      </c>
      <c r="H1114" s="3" t="n">
        <v>159.99</v>
      </c>
      <c r="I1114" s="3" t="inlineStr"/>
      <c r="J1114" s="2" t="inlineStr"/>
      <c r="K1114" s="2" t="inlineStr">
        <is>
          <t>bill</t>
        </is>
      </c>
      <c r="L1114" s="4" t="n">
        <v>95</v>
      </c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>
        <is>
          <t>https://www.tim.com.br/sp/para-voce/planos/pos-pago/tim-black</t>
        </is>
      </c>
      <c r="V1114" s="2" t="inlineStr">
        <is>
          <t>data/raw/tim_postpaid_SP.html</t>
        </is>
      </c>
    </row>
    <row r="1115">
      <c r="A1115" s="5" t="inlineStr">
        <is>
          <t>2026-07-12</t>
        </is>
      </c>
      <c r="B1115" s="5" t="inlineStr">
        <is>
          <t>2026-07-12T21:45:19</t>
        </is>
      </c>
      <c r="C1115" s="5" t="inlineStr">
        <is>
          <t>tim</t>
        </is>
      </c>
      <c r="D1115" s="5" t="inlineStr">
        <is>
          <t>postpaid</t>
        </is>
      </c>
      <c r="E1115" s="5" t="inlineStr">
        <is>
          <t>SP</t>
        </is>
      </c>
      <c r="F1115" s="5" t="inlineStr">
        <is>
          <t>TIM Black Plus 80GB</t>
        </is>
      </c>
      <c r="G1115" s="5" t="inlineStr">
        <is>
          <t>tim:54256</t>
        </is>
      </c>
      <c r="H1115" s="6" t="n">
        <v>149.99</v>
      </c>
      <c r="I1115" s="6" t="inlineStr"/>
      <c r="J1115" s="5" t="inlineStr"/>
      <c r="K1115" s="5" t="inlineStr">
        <is>
          <t>bill</t>
        </is>
      </c>
      <c r="L1115" s="7" t="n">
        <v>80</v>
      </c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>
        <is>
          <t>https://www.tim.com.br/sp/para-voce/planos/pos-pago/tim-black</t>
        </is>
      </c>
      <c r="V1115" s="5" t="inlineStr">
        <is>
          <t>data/raw/tim_postpaid_SP.html</t>
        </is>
      </c>
    </row>
    <row r="1116">
      <c r="A1116" s="2" t="inlineStr">
        <is>
          <t>2026-07-12</t>
        </is>
      </c>
      <c r="B1116" s="2" t="inlineStr">
        <is>
          <t>2026-07-12T21:45:19</t>
        </is>
      </c>
      <c r="C1116" s="2" t="inlineStr">
        <is>
          <t>tim</t>
        </is>
      </c>
      <c r="D1116" s="2" t="inlineStr">
        <is>
          <t>postpaid</t>
        </is>
      </c>
      <c r="E1116" s="2" t="inlineStr">
        <is>
          <t>SP</t>
        </is>
      </c>
      <c r="F1116" s="2" t="inlineStr">
        <is>
          <t>TIM Black Premium 110GB</t>
        </is>
      </c>
      <c r="G1116" s="2" t="inlineStr">
        <is>
          <t>tim:54261</t>
        </is>
      </c>
      <c r="H1116" s="3" t="n">
        <v>159.99</v>
      </c>
      <c r="I1116" s="3" t="inlineStr"/>
      <c r="J1116" s="2" t="inlineStr"/>
      <c r="K1116" s="2" t="inlineStr">
        <is>
          <t>bill</t>
        </is>
      </c>
      <c r="L1116" s="4" t="n">
        <v>110</v>
      </c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>
        <is>
          <t>https://www.tim.com.br/sp/para-voce/planos/pos-pago/tim-black</t>
        </is>
      </c>
      <c r="V1116" s="2" t="inlineStr">
        <is>
          <t>data/raw/tim_postpaid_SP.html</t>
        </is>
      </c>
    </row>
    <row r="1117">
      <c r="A1117" s="5" t="inlineStr">
        <is>
          <t>2026-07-12</t>
        </is>
      </c>
      <c r="B1117" s="5" t="inlineStr">
        <is>
          <t>2026-07-12T21:45:19</t>
        </is>
      </c>
      <c r="C1117" s="5" t="inlineStr">
        <is>
          <t>tim</t>
        </is>
      </c>
      <c r="D1117" s="5" t="inlineStr">
        <is>
          <t>prepaid</t>
        </is>
      </c>
      <c r="E1117" s="5" t="inlineStr">
        <is>
          <t>SP</t>
        </is>
      </c>
      <c r="F1117" s="5" t="inlineStr">
        <is>
          <t>TIM Pré XIP Plus 16GB</t>
        </is>
      </c>
      <c r="G1117" s="5" t="inlineStr">
        <is>
          <t>tim:106306</t>
        </is>
      </c>
      <c r="H1117" s="6" t="n">
        <v>30</v>
      </c>
      <c r="I1117" s="6" t="inlineStr"/>
      <c r="J1117" s="5" t="inlineStr"/>
      <c r="K1117" s="5" t="inlineStr"/>
      <c r="L1117" s="7" t="n">
        <v>16</v>
      </c>
      <c r="M1117" s="5" t="inlineStr"/>
      <c r="N1117" s="5" t="n">
        <v>30</v>
      </c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>
        <is>
          <t>https://www.tim.com.br/sp/para-voce/planos/pre-pago</t>
        </is>
      </c>
      <c r="V1117" s="5" t="inlineStr">
        <is>
          <t>data/raw/tim_prepaid_SP.html</t>
        </is>
      </c>
    </row>
    <row r="1118">
      <c r="A1118" s="2" t="inlineStr">
        <is>
          <t>2026-07-12</t>
        </is>
      </c>
      <c r="B1118" s="2" t="inlineStr">
        <is>
          <t>2026-07-12T21:45:19</t>
        </is>
      </c>
      <c r="C1118" s="2" t="inlineStr">
        <is>
          <t>tim</t>
        </is>
      </c>
      <c r="D1118" s="2" t="inlineStr">
        <is>
          <t>prepaid</t>
        </is>
      </c>
      <c r="E1118" s="2" t="inlineStr">
        <is>
          <t>SP</t>
        </is>
      </c>
      <c r="F1118" s="2" t="inlineStr">
        <is>
          <t>TIM Pré XIP Plus 6GB</t>
        </is>
      </c>
      <c r="G1118" s="2" t="inlineStr">
        <is>
          <t>tim:59906</t>
        </is>
      </c>
      <c r="H1118" s="3" t="n">
        <v>20</v>
      </c>
      <c r="I1118" s="3" t="inlineStr"/>
      <c r="J1118" s="2" t="inlineStr"/>
      <c r="K1118" s="2" t="inlineStr"/>
      <c r="L1118" s="4" t="n">
        <v>6</v>
      </c>
      <c r="M1118" s="2" t="inlineStr"/>
      <c r="N1118" s="2" t="n">
        <v>17</v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>
        <is>
          <t>https://www.tim.com.br/sp/para-voce/planos/pre-pago</t>
        </is>
      </c>
      <c r="V1118" s="2" t="inlineStr">
        <is>
          <t>data/raw/tim_prepaid_SP.html</t>
        </is>
      </c>
    </row>
    <row r="1119">
      <c r="A1119" s="5" t="inlineStr">
        <is>
          <t>2026-07-12</t>
        </is>
      </c>
      <c r="B1119" s="5" t="inlineStr">
        <is>
          <t>2026-07-12T21:45:19</t>
        </is>
      </c>
      <c r="C1119" s="5" t="inlineStr">
        <is>
          <t>tim</t>
        </is>
      </c>
      <c r="D1119" s="5" t="inlineStr">
        <is>
          <t>prepaid</t>
        </is>
      </c>
      <c r="E1119" s="5" t="inlineStr">
        <is>
          <t>SP</t>
        </is>
      </c>
      <c r="F1119" s="5" t="inlineStr">
        <is>
          <t>TIM Pré XIP Plus 8GB</t>
        </is>
      </c>
      <c r="G1119" s="5" t="inlineStr">
        <is>
          <t>tim:59901</t>
        </is>
      </c>
      <c r="H1119" s="6" t="n">
        <v>25</v>
      </c>
      <c r="I1119" s="6" t="inlineStr"/>
      <c r="J1119" s="5" t="inlineStr"/>
      <c r="K1119" s="5" t="inlineStr"/>
      <c r="L1119" s="7" t="n">
        <v>8</v>
      </c>
      <c r="M1119" s="5" t="inlineStr"/>
      <c r="N1119" s="5" t="n">
        <v>22</v>
      </c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>
        <is>
          <t>https://www.tim.com.br/sp/para-voce/planos/pre-pago</t>
        </is>
      </c>
      <c r="V1119" s="5" t="inlineStr">
        <is>
          <t>data/raw/tim_prepaid_SP.html</t>
        </is>
      </c>
    </row>
    <row r="1120">
      <c r="A1120" s="2" t="inlineStr">
        <is>
          <t>2026-07-12</t>
        </is>
      </c>
      <c r="B1120" s="2" t="inlineStr">
        <is>
          <t>2026-07-12T21:45:19</t>
        </is>
      </c>
      <c r="C1120" s="2" t="inlineStr">
        <is>
          <t>vivo</t>
        </is>
      </c>
      <c r="D1120" s="2" t="inlineStr">
        <is>
          <t>control</t>
        </is>
      </c>
      <c r="E1120" s="2" t="inlineStr">
        <is>
          <t>SP</t>
        </is>
      </c>
      <c r="F1120" s="2" t="inlineStr">
        <is>
          <t>Vivo Controle</t>
        </is>
      </c>
      <c r="G1120" s="2" t="inlineStr">
        <is>
          <t>vivo:VIV202600029270-46gb</t>
        </is>
      </c>
      <c r="H1120" s="3" t="n">
        <v>59</v>
      </c>
      <c r="I1120" s="3" t="inlineStr"/>
      <c r="J1120" s="2" t="inlineStr"/>
      <c r="K1120" s="2" t="inlineStr"/>
      <c r="L1120" s="4" t="n">
        <v>46</v>
      </c>
      <c r="M1120" s="2" t="inlineStr">
        <is>
          <t>15 GB de franquia 31 GB de bônus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2 meses de YouTube sem consumo no plano</t>
        </is>
      </c>
      <c r="U1120" s="2" t="inlineStr">
        <is>
          <t>https://vivo.com.br/para-voce/produtos-e-servicos/para-o-celular/planos-controle</t>
        </is>
      </c>
      <c r="V1120" s="2" t="inlineStr">
        <is>
          <t>data/raw/vivo_control_SP.html</t>
        </is>
      </c>
    </row>
    <row r="1121">
      <c r="A1121" s="5" t="inlineStr">
        <is>
          <t>2026-07-12</t>
        </is>
      </c>
      <c r="B1121" s="5" t="inlineStr">
        <is>
          <t>2026-07-12T21:45:19</t>
        </is>
      </c>
      <c r="C1121" s="5" t="inlineStr">
        <is>
          <t>vivo</t>
        </is>
      </c>
      <c r="D1121" s="5" t="inlineStr">
        <is>
          <t>control</t>
        </is>
      </c>
      <c r="E1121" s="5" t="inlineStr">
        <is>
          <t>SP</t>
        </is>
      </c>
      <c r="F1121" s="5" t="inlineStr">
        <is>
          <t>Vivo Controle</t>
        </is>
      </c>
      <c r="G1121" s="5" t="inlineStr">
        <is>
          <t>vivo:VIV202600029300-51gb</t>
        </is>
      </c>
      <c r="H1121" s="6" t="n">
        <v>75</v>
      </c>
      <c r="I1121" s="6" t="inlineStr"/>
      <c r="J1121" s="5" t="inlineStr"/>
      <c r="K1121" s="5" t="inlineStr"/>
      <c r="L1121" s="7" t="n">
        <v>51</v>
      </c>
      <c r="M1121" s="5" t="inlineStr">
        <is>
          <t>20 GB de franquia 31 GB de bônus</t>
        </is>
      </c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>
        <is>
          <t>2 meses de YouTube sem consumo no plano</t>
        </is>
      </c>
      <c r="U1121" s="5" t="inlineStr">
        <is>
          <t>https://vivo.com.br/para-voce/produtos-e-servicos/para-o-celular/planos-controle</t>
        </is>
      </c>
      <c r="V1121" s="5" t="inlineStr">
        <is>
          <t>data/raw/vivo_control_SP.html</t>
        </is>
      </c>
    </row>
    <row r="1122">
      <c r="A1122" s="2" t="inlineStr">
        <is>
          <t>2026-07-12</t>
        </is>
      </c>
      <c r="B1122" s="2" t="inlineStr">
        <is>
          <t>2026-07-12T21:45:19</t>
        </is>
      </c>
      <c r="C1122" s="2" t="inlineStr">
        <is>
          <t>vivo</t>
        </is>
      </c>
      <c r="D1122" s="2" t="inlineStr">
        <is>
          <t>control</t>
        </is>
      </c>
      <c r="E1122" s="2" t="inlineStr">
        <is>
          <t>SP</t>
        </is>
      </c>
      <c r="F1122" s="2" t="inlineStr">
        <is>
          <t>Vivo Controle Educação</t>
        </is>
      </c>
      <c r="G1122" s="2" t="inlineStr">
        <is>
          <t>vivo:VIV202600029273-51gb</t>
        </is>
      </c>
      <c r="H1122" s="3" t="n">
        <v>85</v>
      </c>
      <c r="I1122" s="3" t="inlineStr"/>
      <c r="J1122" s="2" t="inlineStr"/>
      <c r="K1122" s="2" t="inlineStr"/>
      <c r="L1122" s="4" t="n">
        <v>51</v>
      </c>
      <c r="M1122" s="2" t="inlineStr">
        <is>
          <t>20 GB de franquia 31 GB de bônus</t>
        </is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>
        <is>
          <t>Assinatura Vivae inclusa</t>
        </is>
      </c>
      <c r="U1122" s="2" t="inlineStr">
        <is>
          <t>https://vivo.com.br/para-voce/produtos-e-servicos/para-o-celular/planos-controle</t>
        </is>
      </c>
      <c r="V1122" s="2" t="inlineStr">
        <is>
          <t>data/raw/vivo_control_SP.html</t>
        </is>
      </c>
    </row>
    <row r="1123">
      <c r="A1123" s="5" t="inlineStr">
        <is>
          <t>2026-07-12</t>
        </is>
      </c>
      <c r="B1123" s="5" t="inlineStr">
        <is>
          <t>2026-07-12T21:45:19</t>
        </is>
      </c>
      <c r="C1123" s="5" t="inlineStr">
        <is>
          <t>vivo</t>
        </is>
      </c>
      <c r="D1123" s="5" t="inlineStr">
        <is>
          <t>control</t>
        </is>
      </c>
      <c r="E1123" s="5" t="inlineStr">
        <is>
          <t>SP</t>
        </is>
      </c>
      <c r="F1123" s="5" t="inlineStr">
        <is>
          <t>Vivo Controle Entretenimento</t>
        </is>
      </c>
      <c r="G1123" s="5" t="inlineStr">
        <is>
          <t>vivo:VIV202600029307-51gb</t>
        </is>
      </c>
      <c r="H1123" s="6" t="n">
        <v>105</v>
      </c>
      <c r="I1123" s="6" t="inlineStr"/>
      <c r="J1123" s="5" t="inlineStr"/>
      <c r="K1123" s="5" t="inlineStr"/>
      <c r="L1123" s="7" t="n">
        <v>51</v>
      </c>
      <c r="M1123" s="5" t="inlineStr">
        <is>
          <t>20 GB de franquia 31 GB de bônus</t>
        </is>
      </c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>
        <is>
          <t>Assinatura Vivo TV Inicial inclusa</t>
        </is>
      </c>
      <c r="U1123" s="5" t="inlineStr">
        <is>
          <t>https://vivo.com.br/para-voce/produtos-e-servicos/para-o-celular/planos-controle</t>
        </is>
      </c>
      <c r="V1123" s="5" t="inlineStr">
        <is>
          <t>data/raw/vivo_control_SP.html</t>
        </is>
      </c>
    </row>
    <row r="1124">
      <c r="A1124" s="2" t="inlineStr">
        <is>
          <t>2026-07-12</t>
        </is>
      </c>
      <c r="B1124" s="2" t="inlineStr">
        <is>
          <t>2026-07-12T21:45:19</t>
        </is>
      </c>
      <c r="C1124" s="2" t="inlineStr">
        <is>
          <t>vivo</t>
        </is>
      </c>
      <c r="D1124" s="2" t="inlineStr">
        <is>
          <t>control</t>
        </is>
      </c>
      <c r="E1124" s="2" t="inlineStr">
        <is>
          <t>SP</t>
        </is>
      </c>
      <c r="F1124" s="2" t="inlineStr">
        <is>
          <t>Vivo Controle Música</t>
        </is>
      </c>
      <c r="G1124" s="2" t="inlineStr">
        <is>
          <t>vivo:VIV202600029313-51gb</t>
        </is>
      </c>
      <c r="H1124" s="3" t="n">
        <v>85</v>
      </c>
      <c r="I1124" s="3" t="inlineStr"/>
      <c r="J1124" s="2" t="inlineStr"/>
      <c r="K1124" s="2" t="inlineStr"/>
      <c r="L1124" s="4" t="n">
        <v>51</v>
      </c>
      <c r="M1124" s="2" t="inlineStr">
        <is>
          <t>20 GB de franquia 31 GB de bônus</t>
        </is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>
        <is>
          <t>Apple Music Individual</t>
        </is>
      </c>
      <c r="U1124" s="2" t="inlineStr">
        <is>
          <t>https://vivo.com.br/para-voce/produtos-e-servicos/para-o-celular/planos-controle</t>
        </is>
      </c>
      <c r="V1124" s="2" t="inlineStr">
        <is>
          <t>data/raw/vivo_control_SP.html</t>
        </is>
      </c>
    </row>
    <row r="1125">
      <c r="A1125" s="5" t="inlineStr">
        <is>
          <t>2026-07-12</t>
        </is>
      </c>
      <c r="B1125" s="5" t="inlineStr">
        <is>
          <t>2026-07-12T21:45:19</t>
        </is>
      </c>
      <c r="C1125" s="5" t="inlineStr">
        <is>
          <t>vivo</t>
        </is>
      </c>
      <c r="D1125" s="5" t="inlineStr">
        <is>
          <t>control</t>
        </is>
      </c>
      <c r="E1125" s="5" t="inlineStr">
        <is>
          <t>SP</t>
        </is>
      </c>
      <c r="F1125" s="5" t="inlineStr">
        <is>
          <t>Vivo Controle Netflix</t>
        </is>
      </c>
      <c r="G1125" s="5" t="inlineStr">
        <is>
          <t>vivo:VIV202600029308-51gb</t>
        </is>
      </c>
      <c r="H1125" s="6" t="n">
        <v>90</v>
      </c>
      <c r="I1125" s="6" t="inlineStr"/>
      <c r="J1125" s="5" t="inlineStr"/>
      <c r="K1125" s="5" t="inlineStr"/>
      <c r="L1125" s="7" t="n">
        <v>51</v>
      </c>
      <c r="M1125" s="5" t="inlineStr">
        <is>
          <t>20 GB de franquia 31 GB de bônus</t>
        </is>
      </c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>
        <is>
          <t>Assinatura Netflix Padrão com anúncios</t>
        </is>
      </c>
      <c r="U1125" s="5" t="inlineStr">
        <is>
          <t>https://vivo.com.br/para-voce/produtos-e-servicos/para-o-celular/planos-controle</t>
        </is>
      </c>
      <c r="V1125" s="5" t="inlineStr">
        <is>
          <t>data/raw/vivo_control_SP.html</t>
        </is>
      </c>
    </row>
    <row r="1126">
      <c r="A1126" s="2" t="inlineStr">
        <is>
          <t>2026-07-12</t>
        </is>
      </c>
      <c r="B1126" s="2" t="inlineStr">
        <is>
          <t>2026-07-12T21:45:19</t>
        </is>
      </c>
      <c r="C1126" s="2" t="inlineStr">
        <is>
          <t>vivo</t>
        </is>
      </c>
      <c r="D1126" s="2" t="inlineStr">
        <is>
          <t>control</t>
        </is>
      </c>
      <c r="E1126" s="2" t="inlineStr">
        <is>
          <t>SP</t>
        </is>
      </c>
      <c r="F1126" s="2" t="inlineStr">
        <is>
          <t>Vivo Controle Saúde</t>
        </is>
      </c>
      <c r="G1126" s="2" t="inlineStr">
        <is>
          <t>vivo:VIV202600029301-51gb</t>
        </is>
      </c>
      <c r="H1126" s="3" t="n">
        <v>85</v>
      </c>
      <c r="I1126" s="3" t="inlineStr"/>
      <c r="J1126" s="2" t="inlineStr"/>
      <c r="K1126" s="2" t="inlineStr"/>
      <c r="L1126" s="4" t="n">
        <v>51</v>
      </c>
      <c r="M1126" s="2" t="inlineStr">
        <is>
          <t>20 GB de franquia 31 GB de bônus</t>
        </is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>
        <is>
          <t>Assinatura Vale Saúde Sempre inclusa</t>
        </is>
      </c>
      <c r="U1126" s="2" t="inlineStr">
        <is>
          <t>https://vivo.com.br/para-voce/produtos-e-servicos/para-o-celular/planos-controle</t>
        </is>
      </c>
      <c r="V1126" s="2" t="inlineStr">
        <is>
          <t>data/raw/vivo_control_SP.html</t>
        </is>
      </c>
    </row>
    <row r="1127">
      <c r="A1127" s="5" t="inlineStr">
        <is>
          <t>2026-07-12</t>
        </is>
      </c>
      <c r="B1127" s="5" t="inlineStr">
        <is>
          <t>2026-07-12T21:45:19</t>
        </is>
      </c>
      <c r="C1127" s="5" t="inlineStr">
        <is>
          <t>vivo</t>
        </is>
      </c>
      <c r="D1127" s="5" t="inlineStr">
        <is>
          <t>lite</t>
        </is>
      </c>
      <c r="E1127" s="5" t="inlineStr">
        <is>
          <t>SP</t>
        </is>
      </c>
      <c r="F1127" s="5" t="inlineStr">
        <is>
          <t>Easy Lite</t>
        </is>
      </c>
      <c r="G1127" s="5" t="inlineStr">
        <is>
          <t>vivo:VIV202600032594-30gb</t>
        </is>
      </c>
      <c r="H1127" s="6" t="n">
        <v>30</v>
      </c>
      <c r="I1127" s="6" t="inlineStr"/>
      <c r="J1127" s="5" t="inlineStr"/>
      <c r="K1127" s="5" t="inlineStr"/>
      <c r="L1127" s="7" t="n">
        <v>30</v>
      </c>
      <c r="M1127" s="5" t="inlineStr">
        <is>
          <t>30 GB de franquia</t>
        </is>
      </c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>
        <is>
          <t>2 meses de YouTube sem consumo no plano</t>
        </is>
      </c>
      <c r="U1127" s="5" t="inlineStr">
        <is>
          <t>https://vivo.com.br/para-voce/produtos-e-servicos/para-o-celular/easy-lite</t>
        </is>
      </c>
      <c r="V1127" s="5" t="inlineStr">
        <is>
          <t>data/raw/vivo_lite_SP.html</t>
        </is>
      </c>
    </row>
    <row r="1128">
      <c r="A1128" s="2" t="inlineStr">
        <is>
          <t>2026-07-12</t>
        </is>
      </c>
      <c r="B1128" s="2" t="inlineStr">
        <is>
          <t>2026-07-12T21:45:19</t>
        </is>
      </c>
      <c r="C1128" s="2" t="inlineStr">
        <is>
          <t>vivo</t>
        </is>
      </c>
      <c r="D1128" s="2" t="inlineStr">
        <is>
          <t>lite</t>
        </is>
      </c>
      <c r="E1128" s="2" t="inlineStr">
        <is>
          <t>SP</t>
        </is>
      </c>
      <c r="F1128" s="2" t="inlineStr">
        <is>
          <t>Easy Lite</t>
        </is>
      </c>
      <c r="G1128" s="2" t="inlineStr">
        <is>
          <t>vivo:VIV202600032596-40gb</t>
        </is>
      </c>
      <c r="H1128" s="3" t="n">
        <v>40</v>
      </c>
      <c r="I1128" s="3" t="inlineStr"/>
      <c r="J1128" s="2" t="inlineStr"/>
      <c r="K1128" s="2" t="inlineStr"/>
      <c r="L1128" s="4" t="n">
        <v>40</v>
      </c>
      <c r="M1128" s="2" t="inlineStr">
        <is>
          <t>40 GB de franquia</t>
        </is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>
        <is>
          <t>2 meses de YouTube sem consumo no plano</t>
        </is>
      </c>
      <c r="U1128" s="2" t="inlineStr">
        <is>
          <t>https://vivo.com.br/para-voce/produtos-e-servicos/para-o-celular/easy-lite</t>
        </is>
      </c>
      <c r="V1128" s="2" t="inlineStr">
        <is>
          <t>data/raw/vivo_lite_SP.html</t>
        </is>
      </c>
    </row>
    <row r="1129">
      <c r="A1129" s="5" t="inlineStr">
        <is>
          <t>2026-07-12</t>
        </is>
      </c>
      <c r="B1129" s="5" t="inlineStr">
        <is>
          <t>2026-07-12T21:45:19</t>
        </is>
      </c>
      <c r="C1129" s="5" t="inlineStr">
        <is>
          <t>vivo</t>
        </is>
      </c>
      <c r="D1129" s="5" t="inlineStr">
        <is>
          <t>lite</t>
        </is>
      </c>
      <c r="E1129" s="5" t="inlineStr">
        <is>
          <t>SP</t>
        </is>
      </c>
      <c r="F1129" s="5" t="inlineStr">
        <is>
          <t>Easy Lite</t>
        </is>
      </c>
      <c r="G1129" s="5" t="inlineStr">
        <is>
          <t>vivo:VIV202600032599-20gb</t>
        </is>
      </c>
      <c r="H1129" s="6" t="n">
        <v>35</v>
      </c>
      <c r="I1129" s="6" t="inlineStr"/>
      <c r="J1129" s="5" t="inlineStr"/>
      <c r="K1129" s="5" t="inlineStr"/>
      <c r="L1129" s="7" t="n">
        <v>20</v>
      </c>
      <c r="M1129" s="5" t="inlineStr">
        <is>
          <t>20 GB de franquia</t>
        </is>
      </c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>
        <is>
          <t>2 meses de YouTube sem consumo no plano</t>
        </is>
      </c>
      <c r="U1129" s="5" t="inlineStr">
        <is>
          <t>https://vivo.com.br/para-voce/produtos-e-servicos/para-o-celular/easy-lite</t>
        </is>
      </c>
      <c r="V1129" s="5" t="inlineStr">
        <is>
          <t>data/raw/vivo_lite_SP.html</t>
        </is>
      </c>
    </row>
    <row r="1130">
      <c r="A1130" s="2" t="inlineStr">
        <is>
          <t>2026-07-12</t>
        </is>
      </c>
      <c r="B1130" s="2" t="inlineStr">
        <is>
          <t>2026-07-12T21:45:19</t>
        </is>
      </c>
      <c r="C1130" s="2" t="inlineStr">
        <is>
          <t>vivo</t>
        </is>
      </c>
      <c r="D1130" s="2" t="inlineStr">
        <is>
          <t>postpaid</t>
        </is>
      </c>
      <c r="E1130" s="2" t="inlineStr">
        <is>
          <t>SP</t>
        </is>
      </c>
      <c r="F1130" s="2" t="inlineStr">
        <is>
          <t>Vivo Pós com Amazon</t>
        </is>
      </c>
      <c r="G1130" s="2" t="inlineStr">
        <is>
          <t>vivo:VIV202600029255-60gb</t>
        </is>
      </c>
      <c r="H1130" s="3" t="n">
        <v>150</v>
      </c>
      <c r="I1130" s="3" t="inlineStr"/>
      <c r="J1130" s="2" t="inlineStr"/>
      <c r="K1130" s="2" t="inlineStr"/>
      <c r="L1130" s="4" t="n">
        <v>60</v>
      </c>
      <c r="M1130" s="2" t="inlineStr">
        <is>
          <t>50 GB de franquia 10 GB de bônus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>
        <is>
          <t>Assinatura Amazon Prime inclusa</t>
        </is>
      </c>
      <c r="U1130" s="2" t="inlineStr">
        <is>
          <t>https://vivo.com.br/para-voce/produtos-e-servicos/para-o-celular/planos-pos-pago</t>
        </is>
      </c>
      <c r="V1130" s="2" t="inlineStr">
        <is>
          <t>data/raw/vivo_postpaid_SP.html</t>
        </is>
      </c>
    </row>
    <row r="1131">
      <c r="A1131" s="5" t="inlineStr">
        <is>
          <t>2026-07-12</t>
        </is>
      </c>
      <c r="B1131" s="5" t="inlineStr">
        <is>
          <t>2026-07-12T21:45:19</t>
        </is>
      </c>
      <c r="C1131" s="5" t="inlineStr">
        <is>
          <t>vivo</t>
        </is>
      </c>
      <c r="D1131" s="5" t="inlineStr">
        <is>
          <t>postpaid</t>
        </is>
      </c>
      <c r="E1131" s="5" t="inlineStr">
        <is>
          <t>SP</t>
        </is>
      </c>
      <c r="F1131" s="5" t="inlineStr">
        <is>
          <t>Vivo Pós com Disney+</t>
        </is>
      </c>
      <c r="G1131" s="5" t="inlineStr">
        <is>
          <t>vivo:VIV202600022115-60gb</t>
        </is>
      </c>
      <c r="H1131" s="6" t="n">
        <v>180</v>
      </c>
      <c r="I1131" s="6" t="inlineStr"/>
      <c r="J1131" s="5" t="inlineStr"/>
      <c r="K1131" s="5" t="inlineStr"/>
      <c r="L1131" s="7" t="n">
        <v>60</v>
      </c>
      <c r="M1131" s="5" t="inlineStr">
        <is>
          <t>50 GB de franquia 10 GB de bônus</t>
        </is>
      </c>
      <c r="N1131" s="5" t="inlineStr"/>
      <c r="O1131" s="5" t="inlineStr"/>
      <c r="P1131" s="5" t="inlineStr"/>
      <c r="Q1131" s="5" t="inlineStr"/>
      <c r="R1131" s="5" t="inlineStr">
        <is>
          <t>Disney+</t>
        </is>
      </c>
      <c r="S1131" s="5" t="inlineStr"/>
      <c r="T1131" s="5" t="inlineStr">
        <is>
          <t>Assinatura Disney+ Padrão inclusa</t>
        </is>
      </c>
      <c r="U1131" s="5" t="inlineStr">
        <is>
          <t>https://vivo.com.br/para-voce/produtos-e-servicos/para-o-celular/planos-pos-pago</t>
        </is>
      </c>
      <c r="V1131" s="5" t="inlineStr">
        <is>
          <t>data/raw/vivo_postpaid_SP.html</t>
        </is>
      </c>
    </row>
    <row r="1132">
      <c r="A1132" s="2" t="inlineStr">
        <is>
          <t>2026-07-12</t>
        </is>
      </c>
      <c r="B1132" s="2" t="inlineStr">
        <is>
          <t>2026-07-12T21:45:19</t>
        </is>
      </c>
      <c r="C1132" s="2" t="inlineStr">
        <is>
          <t>vivo</t>
        </is>
      </c>
      <c r="D1132" s="2" t="inlineStr">
        <is>
          <t>postpaid</t>
        </is>
      </c>
      <c r="E1132" s="2" t="inlineStr">
        <is>
          <t>SP</t>
        </is>
      </c>
      <c r="F1132" s="2" t="inlineStr">
        <is>
          <t>Vivo Pós com Globoplay</t>
        </is>
      </c>
      <c r="G1132" s="2" t="inlineStr">
        <is>
          <t>vivo:VIV202600029246-60gb</t>
        </is>
      </c>
      <c r="H1132" s="3" t="n">
        <v>165</v>
      </c>
      <c r="I1132" s="3" t="inlineStr"/>
      <c r="J1132" s="2" t="inlineStr"/>
      <c r="K1132" s="2" t="inlineStr"/>
      <c r="L1132" s="4" t="n">
        <v>60</v>
      </c>
      <c r="M1132" s="2" t="inlineStr">
        <is>
          <t>50 GB de franquia 10 GB de bônus</t>
        </is>
      </c>
      <c r="N1132" s="2" t="inlineStr"/>
      <c r="O1132" s="2" t="inlineStr"/>
      <c r="P1132" s="2" t="inlineStr"/>
      <c r="Q1132" s="2" t="inlineStr"/>
      <c r="R1132" s="2" t="inlineStr">
        <is>
          <t>Globoplay</t>
        </is>
      </c>
      <c r="S1132" s="2" t="inlineStr"/>
      <c r="T1132" s="2" t="inlineStr">
        <is>
          <t>Assinatura Globoplay inclusa</t>
        </is>
      </c>
      <c r="U1132" s="2" t="inlineStr">
        <is>
          <t>https://vivo.com.br/para-voce/produtos-e-servicos/para-o-celular/planos-pos-pago</t>
        </is>
      </c>
      <c r="V1132" s="2" t="inlineStr">
        <is>
          <t>data/raw/vivo_postpaid_SP.html</t>
        </is>
      </c>
    </row>
    <row r="1133">
      <c r="A1133" s="5" t="inlineStr">
        <is>
          <t>2026-07-12</t>
        </is>
      </c>
      <c r="B1133" s="5" t="inlineStr">
        <is>
          <t>2026-07-12T21:45:19</t>
        </is>
      </c>
      <c r="C1133" s="5" t="inlineStr">
        <is>
          <t>vivo</t>
        </is>
      </c>
      <c r="D1133" s="5" t="inlineStr">
        <is>
          <t>postpaid</t>
        </is>
      </c>
      <c r="E1133" s="5" t="inlineStr">
        <is>
          <t>SP</t>
        </is>
      </c>
      <c r="F1133" s="5" t="inlineStr">
        <is>
          <t>Vivo Pós com Netflix</t>
        </is>
      </c>
      <c r="G1133" s="5" t="inlineStr">
        <is>
          <t>vivo:VIV202600029234-60gb</t>
        </is>
      </c>
      <c r="H1133" s="6" t="n">
        <v>180</v>
      </c>
      <c r="I1133" s="6" t="inlineStr"/>
      <c r="J1133" s="5" t="inlineStr"/>
      <c r="K1133" s="5" t="inlineStr"/>
      <c r="L1133" s="7" t="n">
        <v>60</v>
      </c>
      <c r="M1133" s="5" t="inlineStr">
        <is>
          <t>50 GB de franquia 10 GB de bônus</t>
        </is>
      </c>
      <c r="N1133" s="5" t="inlineStr"/>
      <c r="O1133" s="5" t="inlineStr"/>
      <c r="P1133" s="5" t="inlineStr"/>
      <c r="Q1133" s="5" t="inlineStr"/>
      <c r="R1133" s="5" t="inlineStr">
        <is>
          <t>Netflix</t>
        </is>
      </c>
      <c r="S1133" s="5" t="inlineStr"/>
      <c r="T1133" s="5" t="inlineStr">
        <is>
          <t>Assinatura Netflix Padrão inclusa</t>
        </is>
      </c>
      <c r="U1133" s="5" t="inlineStr">
        <is>
          <t>https://vivo.com.br/para-voce/produtos-e-servicos/para-o-celular/planos-pos-pago</t>
        </is>
      </c>
      <c r="V1133" s="5" t="inlineStr">
        <is>
          <t>data/raw/vivo_postpaid_SP.html</t>
        </is>
      </c>
    </row>
    <row r="1134">
      <c r="A1134" s="2" t="inlineStr">
        <is>
          <t>2026-07-12</t>
        </is>
      </c>
      <c r="B1134" s="2" t="inlineStr">
        <is>
          <t>2026-07-12T21:45:19</t>
        </is>
      </c>
      <c r="C1134" s="2" t="inlineStr">
        <is>
          <t>vivo</t>
        </is>
      </c>
      <c r="D1134" s="2" t="inlineStr">
        <is>
          <t>postpaid</t>
        </is>
      </c>
      <c r="E1134" s="2" t="inlineStr">
        <is>
          <t>SP</t>
        </is>
      </c>
      <c r="F1134" s="2" t="inlineStr">
        <is>
          <t>Vivo Pós com Premiere</t>
        </is>
      </c>
      <c r="G1134" s="2" t="inlineStr">
        <is>
          <t>vivo:VIV202600029249-60gb</t>
        </is>
      </c>
      <c r="H1134" s="3" t="n">
        <v>180</v>
      </c>
      <c r="I1134" s="3" t="inlineStr"/>
      <c r="J1134" s="2" t="inlineStr"/>
      <c r="K1134" s="2" t="inlineStr"/>
      <c r="L1134" s="4" t="n">
        <v>60</v>
      </c>
      <c r="M1134" s="2" t="inlineStr">
        <is>
          <t>50 GB de franquia 10 GB de bônus</t>
        </is>
      </c>
      <c r="N1134" s="2" t="inlineStr"/>
      <c r="O1134" s="2" t="inlineStr"/>
      <c r="P1134" s="2" t="inlineStr"/>
      <c r="Q1134" s="2" t="inlineStr"/>
      <c r="R1134" s="2" t="inlineStr">
        <is>
          <t>Premiere</t>
        </is>
      </c>
      <c r="S1134" s="2" t="inlineStr"/>
      <c r="T1134" s="2" t="inlineStr">
        <is>
          <t>Assinatura Premiere inclusa</t>
        </is>
      </c>
      <c r="U1134" s="2" t="inlineStr">
        <is>
          <t>https://vivo.com.br/para-voce/produtos-e-servicos/para-o-celular/planos-pos-pago</t>
        </is>
      </c>
      <c r="V1134" s="2" t="inlineStr">
        <is>
          <t>data/raw/vivo_postpaid_SP.html</t>
        </is>
      </c>
    </row>
    <row r="1135">
      <c r="A1135" s="5" t="inlineStr">
        <is>
          <t>2026-07-12</t>
        </is>
      </c>
      <c r="B1135" s="5" t="inlineStr">
        <is>
          <t>2026-07-12T21:45:19</t>
        </is>
      </c>
      <c r="C1135" s="5" t="inlineStr">
        <is>
          <t>vivo</t>
        </is>
      </c>
      <c r="D1135" s="5" t="inlineStr">
        <is>
          <t>postpaid</t>
        </is>
      </c>
      <c r="E1135" s="5" t="inlineStr">
        <is>
          <t>SP</t>
        </is>
      </c>
      <c r="F1135" s="5" t="inlineStr">
        <is>
          <t>Vivo Pós com Spotify</t>
        </is>
      </c>
      <c r="G1135" s="5" t="inlineStr">
        <is>
          <t>vivo:VIV202600029229-60gb</t>
        </is>
      </c>
      <c r="H1135" s="6" t="n">
        <v>165</v>
      </c>
      <c r="I1135" s="6" t="inlineStr"/>
      <c r="J1135" s="5" t="inlineStr"/>
      <c r="K1135" s="5" t="inlineStr"/>
      <c r="L1135" s="7" t="n">
        <v>60</v>
      </c>
      <c r="M1135" s="5" t="inlineStr">
        <is>
          <t>50 GB de franquia 10 GB de bônus</t>
        </is>
      </c>
      <c r="N1135" s="5" t="inlineStr"/>
      <c r="O1135" s="5" t="inlineStr"/>
      <c r="P1135" s="5" t="inlineStr"/>
      <c r="Q1135" s="5" t="inlineStr"/>
      <c r="R1135" s="5" t="inlineStr">
        <is>
          <t>Spotify</t>
        </is>
      </c>
      <c r="S1135" s="5" t="inlineStr"/>
      <c r="T1135" s="5" t="inlineStr">
        <is>
          <t>Assinatura Spotify Premium inclusa</t>
        </is>
      </c>
      <c r="U1135" s="5" t="inlineStr">
        <is>
          <t>https://vivo.com.br/para-voce/produtos-e-servicos/para-o-celular/planos-pos-pago</t>
        </is>
      </c>
      <c r="V1135" s="5" t="inlineStr">
        <is>
          <t>data/raw/vivo_postpaid_SP.html</t>
        </is>
      </c>
    </row>
    <row r="1136">
      <c r="A1136" s="2" t="inlineStr">
        <is>
          <t>2026-07-12</t>
        </is>
      </c>
      <c r="B1136" s="2" t="inlineStr">
        <is>
          <t>2026-07-12T21:45:19</t>
        </is>
      </c>
      <c r="C1136" s="2" t="inlineStr">
        <is>
          <t>vivo</t>
        </is>
      </c>
      <c r="D1136" s="2" t="inlineStr">
        <is>
          <t>postpaid</t>
        </is>
      </c>
      <c r="E1136" s="2" t="inlineStr">
        <is>
          <t>SP</t>
        </is>
      </c>
      <c r="F1136" s="2" t="inlineStr">
        <is>
          <t>Vivo Pós com Travel</t>
        </is>
      </c>
      <c r="G1136" s="2" t="inlineStr">
        <is>
          <t>vivo:VIV202600029244-70gb</t>
        </is>
      </c>
      <c r="H1136" s="3" t="n">
        <v>215</v>
      </c>
      <c r="I1136" s="3" t="inlineStr"/>
      <c r="J1136" s="2" t="inlineStr"/>
      <c r="K1136" s="2" t="inlineStr"/>
      <c r="L1136" s="4" t="n">
        <v>70</v>
      </c>
      <c r="M1136" s="2" t="inlineStr">
        <is>
          <t>60 GB de franquia 10 GB de bônus</t>
        </is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>
        <is>
          <t>2 meses de YouTube sem consumo no plano</t>
        </is>
      </c>
      <c r="U1136" s="2" t="inlineStr">
        <is>
          <t>https://vivo.com.br/para-voce/produtos-e-servicos/para-o-celular/planos-pos-pago</t>
        </is>
      </c>
      <c r="V1136" s="2" t="inlineStr">
        <is>
          <t>data/raw/vivo_postpaid_SP.html</t>
        </is>
      </c>
    </row>
    <row r="1137">
      <c r="A1137" s="5" t="inlineStr">
        <is>
          <t>2026-07-12</t>
        </is>
      </c>
      <c r="B1137" s="5" t="inlineStr">
        <is>
          <t>2026-07-12T21:45:19</t>
        </is>
      </c>
      <c r="C1137" s="5" t="inlineStr">
        <is>
          <t>vivo</t>
        </is>
      </c>
      <c r="D1137" s="5" t="inlineStr">
        <is>
          <t>prepaid</t>
        </is>
      </c>
      <c r="E1137" s="5" t="inlineStr">
        <is>
          <t>SP</t>
        </is>
      </c>
      <c r="F1137" s="5" t="inlineStr">
        <is>
          <t>Vivo Pré</t>
        </is>
      </c>
      <c r="G1137" s="5" t="inlineStr">
        <is>
          <t>vivo:VIV202600029370-25gb</t>
        </is>
      </c>
      <c r="H1137" s="6" t="n">
        <v>30</v>
      </c>
      <c r="I1137" s="6" t="inlineStr"/>
      <c r="J1137" s="5" t="inlineStr"/>
      <c r="K1137" s="5" t="inlineStr"/>
      <c r="L1137" s="7" t="n">
        <v>25</v>
      </c>
      <c r="M1137" s="5" t="inlineStr">
        <is>
          <t>15 GB para navegar como quiser 5 GB de bônus 5 GB para navegar no Youtube</t>
        </is>
      </c>
      <c r="N1137" s="5" t="n">
        <v>30</v>
      </c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>
        <is>
          <t>https://vivo.com.br/para-voce/produtos-e-servicos/para-o-celular/pre-pago/vivo-pre</t>
        </is>
      </c>
      <c r="V1137" s="5" t="inlineStr">
        <is>
          <t>data/raw/vivo_prepaid_SP.html</t>
        </is>
      </c>
    </row>
    <row r="1138">
      <c r="A1138" s="2" t="inlineStr">
        <is>
          <t>2026-07-12</t>
        </is>
      </c>
      <c r="B1138" s="2" t="inlineStr">
        <is>
          <t>2026-07-12T21:45:19</t>
        </is>
      </c>
      <c r="C1138" s="2" t="inlineStr">
        <is>
          <t>vivo</t>
        </is>
      </c>
      <c r="D1138" s="2" t="inlineStr">
        <is>
          <t>prepaid</t>
        </is>
      </c>
      <c r="E1138" s="2" t="inlineStr">
        <is>
          <t>SP</t>
        </is>
      </c>
      <c r="F1138" s="2" t="inlineStr">
        <is>
          <t>Vivo Pré</t>
        </is>
      </c>
      <c r="G1138" s="2" t="inlineStr">
        <is>
          <t>vivo:VIV202600029370-9gb</t>
        </is>
      </c>
      <c r="H1138" s="3" t="n">
        <v>25</v>
      </c>
      <c r="I1138" s="3" t="inlineStr"/>
      <c r="J1138" s="2" t="inlineStr"/>
      <c r="K1138" s="2" t="inlineStr"/>
      <c r="L1138" s="4" t="n">
        <v>9</v>
      </c>
      <c r="M1138" s="2" t="inlineStr">
        <is>
          <t>6 GB para navegar como quiser 3 GB para navegar no YouTube</t>
        </is>
      </c>
      <c r="N1138" s="2" t="n">
        <v>22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>
        <is>
          <t>https://vivo.com.br/para-voce/produtos-e-servicos/para-o-celular/pre-pago/vivo-pre</t>
        </is>
      </c>
      <c r="V1138" s="2" t="inlineStr">
        <is>
          <t>data/raw/vivo_prepaid_SP.html</t>
        </is>
      </c>
    </row>
    <row r="1139">
      <c r="A1139" s="5" t="inlineStr">
        <is>
          <t>2026-07-12</t>
        </is>
      </c>
      <c r="B1139" s="5" t="inlineStr">
        <is>
          <t>2026-07-12T21:45:19</t>
        </is>
      </c>
      <c r="C1139" s="5" t="inlineStr">
        <is>
          <t>vivo</t>
        </is>
      </c>
      <c r="D1139" s="5" t="inlineStr">
        <is>
          <t>prepaid</t>
        </is>
      </c>
      <c r="E1139" s="5" t="inlineStr">
        <is>
          <t>SP</t>
        </is>
      </c>
      <c r="F1139" s="5" t="inlineStr">
        <is>
          <t>Vivo Pré</t>
        </is>
      </c>
      <c r="G1139" s="5" t="inlineStr">
        <is>
          <t>vivo:VIV202600029370-5gb</t>
        </is>
      </c>
      <c r="H1139" s="6" t="n">
        <v>20</v>
      </c>
      <c r="I1139" s="6" t="inlineStr"/>
      <c r="J1139" s="5" t="inlineStr"/>
      <c r="K1139" s="5" t="inlineStr"/>
      <c r="L1139" s="7" t="n">
        <v>5</v>
      </c>
      <c r="M1139" s="5" t="inlineStr">
        <is>
          <t>5 GB para navegar como quiser</t>
        </is>
      </c>
      <c r="N1139" s="5" t="n">
        <v>17</v>
      </c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>
        <is>
          <t>https://vivo.com.br/para-voce/produtos-e-servicos/para-o-celular/pre-pago/vivo-pre</t>
        </is>
      </c>
      <c r="V1139" s="5" t="inlineStr">
        <is>
          <t>data/raw/vivo_prepaid_SP.html</t>
        </is>
      </c>
    </row>
    <row r="1140">
      <c r="A1140" s="2" t="inlineStr">
        <is>
          <t>2026-07-12</t>
        </is>
      </c>
      <c r="B1140" s="2" t="inlineStr">
        <is>
          <t>2026-07-12T21:45:19</t>
        </is>
      </c>
      <c r="C1140" s="2" t="inlineStr">
        <is>
          <t>vivo</t>
        </is>
      </c>
      <c r="D1140" s="2" t="inlineStr">
        <is>
          <t>prepaid</t>
        </is>
      </c>
      <c r="E1140" s="2" t="inlineStr">
        <is>
          <t>SP</t>
        </is>
      </c>
      <c r="F1140" s="2" t="inlineStr">
        <is>
          <t>Vivo Pré</t>
        </is>
      </c>
      <c r="G1140" s="2" t="inlineStr">
        <is>
          <t>vivo:VIV202600029370-4gb</t>
        </is>
      </c>
      <c r="H1140" s="3" t="n">
        <v>17</v>
      </c>
      <c r="I1140" s="3" t="inlineStr"/>
      <c r="J1140" s="2" t="inlineStr"/>
      <c r="K1140" s="2" t="inlineStr"/>
      <c r="L1140" s="4" t="n">
        <v>4</v>
      </c>
      <c r="M1140" s="2" t="inlineStr">
        <is>
          <t>4 GB para navegar como quiser</t>
        </is>
      </c>
      <c r="N1140" s="2" t="n">
        <v>15</v>
      </c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>
        <is>
          <t>https://vivo.com.br/para-voce/produtos-e-servicos/para-o-celular/pre-pago/vivo-pre</t>
        </is>
      </c>
      <c r="V1140" s="2" t="inlineStr">
        <is>
          <t>data/raw/vivo_prepaid_SP.html</t>
        </is>
      </c>
    </row>
    <row r="1141">
      <c r="A1141" s="5" t="inlineStr">
        <is>
          <t>2026-07-13</t>
        </is>
      </c>
      <c r="B1141" s="5" t="inlineStr">
        <is>
          <t>2026-07-13T14:56:28</t>
        </is>
      </c>
      <c r="C1141" s="5" t="inlineStr">
        <is>
          <t>claro</t>
        </is>
      </c>
      <c r="D1141" s="5" t="inlineStr">
        <is>
          <t>control</t>
        </is>
      </c>
      <c r="E1141" s="5" t="inlineStr">
        <is>
          <t>SP</t>
        </is>
      </c>
      <c r="F1141" s="5" t="inlineStr">
        <is>
          <t>Controle 25GB</t>
        </is>
      </c>
      <c r="G1141" s="5" t="inlineStr">
        <is>
          <t>claro:plano-controle-25gb</t>
        </is>
      </c>
      <c r="H1141" s="6" t="n">
        <v>59.9</v>
      </c>
      <c r="I1141" s="6" t="n">
        <v>54.9</v>
      </c>
      <c r="J1141" s="5" t="inlineStr">
        <is>
          <t>De R$ 59,90 Por:</t>
        </is>
      </c>
      <c r="K1141" s="5" t="inlineStr"/>
      <c r="L1141" s="7" t="n">
        <v>25</v>
      </c>
      <c r="M1141" s="5" t="inlineStr"/>
      <c r="N1141" s="5" t="inlineStr"/>
      <c r="O1141" s="5" t="inlineStr">
        <is>
          <t>WhatsApp</t>
        </is>
      </c>
      <c r="P1141" s="5" t="inlineStr"/>
      <c r="Q1141" s="5" t="inlineStr"/>
      <c r="R1141" s="5" t="inlineStr"/>
      <c r="S1141" s="5" t="inlineStr"/>
      <c r="T1141" s="5" t="inlineStr">
        <is>
          <t>Para uso livre; Para redes sociais e vídeos; Bônus exclusivo; Aproveite na sua franquia; WhatsApp e ligações ilimitadas</t>
        </is>
      </c>
      <c r="U1141" s="5" t="inlineStr">
        <is>
          <t>https://www.claro.com.br/celular/controle</t>
        </is>
      </c>
      <c r="V1141" s="5" t="inlineStr">
        <is>
          <t>data/raw/claro_control_SP.json</t>
        </is>
      </c>
    </row>
    <row r="1142">
      <c r="A1142" s="2" t="inlineStr">
        <is>
          <t>2026-07-13</t>
        </is>
      </c>
      <c r="B1142" s="2" t="inlineStr">
        <is>
          <t>2026-07-13T14:56:28</t>
        </is>
      </c>
      <c r="C1142" s="2" t="inlineStr">
        <is>
          <t>claro</t>
        </is>
      </c>
      <c r="D1142" s="2" t="inlineStr">
        <is>
          <t>control</t>
        </is>
      </c>
      <c r="E1142" s="2" t="inlineStr">
        <is>
          <t>SP</t>
        </is>
      </c>
      <c r="F1142" s="2" t="inlineStr">
        <is>
          <t>Controle 30GB</t>
        </is>
      </c>
      <c r="G1142" s="2" t="inlineStr">
        <is>
          <t>claro:plano-controle-30gb</t>
        </is>
      </c>
      <c r="H1142" s="3" t="n">
        <v>69.90000000000001</v>
      </c>
      <c r="I1142" s="3" t="inlineStr"/>
      <c r="J1142" s="2" t="inlineStr"/>
      <c r="K1142" s="2" t="inlineStr"/>
      <c r="L1142" s="4" t="n">
        <v>30</v>
      </c>
      <c r="M1142" s="2" t="inlineStr"/>
      <c r="N1142" s="2" t="inlineStr"/>
      <c r="O1142" s="2" t="inlineStr">
        <is>
          <t>WhatsApp</t>
        </is>
      </c>
      <c r="P1142" s="2" t="inlineStr"/>
      <c r="Q1142" s="2" t="inlineStr"/>
      <c r="R1142" s="2" t="inlineStr"/>
      <c r="S1142" s="2" t="inlineStr"/>
      <c r="T1142" s="2" t="inlineStr">
        <is>
          <t>Para uso livre; Bônus especial para uso livre; Bônus para redes sociais e apps; Redes sociais e apps; WhatsApp ilimitado</t>
        </is>
      </c>
      <c r="U1142" s="2" t="inlineStr">
        <is>
          <t>https://www.claro.com.br/celular/controle</t>
        </is>
      </c>
      <c r="V1142" s="2" t="inlineStr">
        <is>
          <t>data/raw/claro_control_SP.json</t>
        </is>
      </c>
    </row>
    <row r="1143">
      <c r="A1143" s="5" t="inlineStr">
        <is>
          <t>2026-07-13</t>
        </is>
      </c>
      <c r="B1143" s="5" t="inlineStr">
        <is>
          <t>2026-07-13T14:56:28</t>
        </is>
      </c>
      <c r="C1143" s="5" t="inlineStr">
        <is>
          <t>claro</t>
        </is>
      </c>
      <c r="D1143" s="5" t="inlineStr">
        <is>
          <t>control</t>
        </is>
      </c>
      <c r="E1143" s="5" t="inlineStr">
        <is>
          <t>SP</t>
        </is>
      </c>
      <c r="F1143" s="5" t="inlineStr">
        <is>
          <t>Controle 30GB</t>
        </is>
      </c>
      <c r="G1143" s="5" t="inlineStr">
        <is>
          <t>claro:plano-controle-30gb-gaming</t>
        </is>
      </c>
      <c r="H1143" s="6" t="n">
        <v>99.90000000000001</v>
      </c>
      <c r="I1143" s="6" t="inlineStr"/>
      <c r="J1143" s="5" t="inlineStr"/>
      <c r="K1143" s="5" t="inlineStr"/>
      <c r="L1143" s="7" t="n">
        <v>30</v>
      </c>
      <c r="M1143" s="5" t="inlineStr"/>
      <c r="N1143" s="5" t="inlineStr"/>
      <c r="O1143" s="5" t="inlineStr">
        <is>
          <t>WhatsApp</t>
        </is>
      </c>
      <c r="P1143" s="5" t="inlineStr"/>
      <c r="Q1143" s="5" t="inlineStr"/>
      <c r="R1143" s="5" t="inlineStr"/>
      <c r="S1143" s="5" t="inlineStr"/>
      <c r="T1143" s="5" t="inlineStr">
        <is>
          <t>Para uso livre; Bônus para redes sociais e apps; Bônus uso livre; Redes sociais e apps; WhatsApp ilimitado</t>
        </is>
      </c>
      <c r="U1143" s="5" t="inlineStr">
        <is>
          <t>https://www.claro.com.br/celular/controle</t>
        </is>
      </c>
      <c r="V1143" s="5" t="inlineStr">
        <is>
          <t>data/raw/claro_control_SP.json</t>
        </is>
      </c>
    </row>
    <row r="1144">
      <c r="A1144" s="2" t="inlineStr">
        <is>
          <t>2026-07-13</t>
        </is>
      </c>
      <c r="B1144" s="2" t="inlineStr">
        <is>
          <t>2026-07-13T14:56:28</t>
        </is>
      </c>
      <c r="C1144" s="2" t="inlineStr">
        <is>
          <t>claro</t>
        </is>
      </c>
      <c r="D1144" s="2" t="inlineStr">
        <is>
          <t>flex</t>
        </is>
      </c>
      <c r="E1144" s="2" t="inlineStr">
        <is>
          <t>SP</t>
        </is>
      </c>
      <c r="F1144" s="2" t="inlineStr">
        <is>
          <t>Flex 15GB</t>
        </is>
      </c>
      <c r="G1144" s="2" t="inlineStr">
        <is>
          <t>claro:plano-flex-15gb</t>
        </is>
      </c>
      <c r="H1144" s="3" t="n">
        <v>44.9</v>
      </c>
      <c r="I1144" s="3" t="inlineStr"/>
      <c r="J1144" s="2" t="inlineStr"/>
      <c r="K1144" s="2" t="inlineStr"/>
      <c r="L1144" s="4" t="n">
        <v>15</v>
      </c>
      <c r="M1144" s="2" t="inlineStr"/>
      <c r="N1144" s="2" t="inlineStr"/>
      <c r="O1144" s="2" t="inlineStr">
        <is>
          <t>WhatsApp</t>
        </is>
      </c>
      <c r="P1144" s="2" t="inlineStr"/>
      <c r="Q1144" s="2" t="inlineStr"/>
      <c r="R1144" s="2" t="inlineStr"/>
      <c r="S1144" s="2" t="inlineStr"/>
      <c r="T1144" s="2" t="inlineStr">
        <is>
          <t>Para uso livre; Bônus especial para uso livre; Para redes sociais e apps; Bônus extra nos apps; WhatsApp ilimitado</t>
        </is>
      </c>
      <c r="U1144" s="2" t="inlineStr">
        <is>
          <t>https://www.claro.com.br/celular/flex</t>
        </is>
      </c>
      <c r="V1144" s="2" t="inlineStr">
        <is>
          <t>data/raw/claro_flex_SP.json</t>
        </is>
      </c>
    </row>
    <row r="1145">
      <c r="A1145" s="5" t="inlineStr">
        <is>
          <t>2026-07-13</t>
        </is>
      </c>
      <c r="B1145" s="5" t="inlineStr">
        <is>
          <t>2026-07-13T14:56:28</t>
        </is>
      </c>
      <c r="C1145" s="5" t="inlineStr">
        <is>
          <t>claro</t>
        </is>
      </c>
      <c r="D1145" s="5" t="inlineStr">
        <is>
          <t>flex</t>
        </is>
      </c>
      <c r="E1145" s="5" t="inlineStr">
        <is>
          <t>SP</t>
        </is>
      </c>
      <c r="F1145" s="5" t="inlineStr">
        <is>
          <t>Flex 20GB</t>
        </is>
      </c>
      <c r="G1145" s="5" t="inlineStr">
        <is>
          <t>claro:plano-flex-20gb</t>
        </is>
      </c>
      <c r="H1145" s="6" t="n">
        <v>59.9</v>
      </c>
      <c r="I1145" s="6" t="inlineStr"/>
      <c r="J1145" s="5" t="inlineStr"/>
      <c r="K1145" s="5" t="inlineStr"/>
      <c r="L1145" s="7" t="n">
        <v>20</v>
      </c>
      <c r="M1145" s="5" t="inlineStr"/>
      <c r="N1145" s="5" t="inlineStr"/>
      <c r="O1145" s="5" t="inlineStr">
        <is>
          <t>WhatsApp</t>
        </is>
      </c>
      <c r="P1145" s="5" t="inlineStr"/>
      <c r="Q1145" s="5" t="inlineStr"/>
      <c r="R1145" s="5" t="inlineStr"/>
      <c r="S1145" s="5" t="inlineStr"/>
      <c r="T1145" s="5" t="inlineStr">
        <is>
          <t>Para uso livre; Bônus especial para uso livre; Para redes sociais e apps; Bônus extra nos apps; WhatsApp ilimitado</t>
        </is>
      </c>
      <c r="U1145" s="5" t="inlineStr">
        <is>
          <t>https://www.claro.com.br/celular/flex</t>
        </is>
      </c>
      <c r="V1145" s="5" t="inlineStr">
        <is>
          <t>data/raw/claro_flex_SP.json</t>
        </is>
      </c>
    </row>
    <row r="1146">
      <c r="A1146" s="2" t="inlineStr">
        <is>
          <t>2026-07-13</t>
        </is>
      </c>
      <c r="B1146" s="2" t="inlineStr">
        <is>
          <t>2026-07-13T14:56:28</t>
        </is>
      </c>
      <c r="C1146" s="2" t="inlineStr">
        <is>
          <t>claro</t>
        </is>
      </c>
      <c r="D1146" s="2" t="inlineStr">
        <is>
          <t>flex</t>
        </is>
      </c>
      <c r="E1146" s="2" t="inlineStr">
        <is>
          <t>SP</t>
        </is>
      </c>
      <c r="F1146" s="2" t="inlineStr">
        <is>
          <t>Flex 30GB</t>
        </is>
      </c>
      <c r="G1146" s="2" t="inlineStr">
        <is>
          <t>claro:plano-flex-30gb</t>
        </is>
      </c>
      <c r="H1146" s="3" t="n">
        <v>69.90000000000001</v>
      </c>
      <c r="I1146" s="3" t="inlineStr"/>
      <c r="J1146" s="2" t="inlineStr"/>
      <c r="K1146" s="2" t="inlineStr"/>
      <c r="L1146" s="4" t="n">
        <v>30</v>
      </c>
      <c r="M1146" s="2" t="inlineStr"/>
      <c r="N1146" s="2" t="inlineStr"/>
      <c r="O1146" s="2" t="inlineStr">
        <is>
          <t>WhatsApp</t>
        </is>
      </c>
      <c r="P1146" s="2" t="inlineStr"/>
      <c r="Q1146" s="2" t="inlineStr"/>
      <c r="R1146" s="2" t="inlineStr"/>
      <c r="S1146" s="2" t="inlineStr"/>
      <c r="T1146" s="2" t="inlineStr">
        <is>
          <t>Para uso livre; Bônus especial para uso livre; Para redes sociais e apps; Bônus extra nos apps; WhatsApp ilimitado; Assinatura Claro musica inclusa</t>
        </is>
      </c>
      <c r="U1146" s="2" t="inlineStr">
        <is>
          <t>https://www.claro.com.br/celular/flex</t>
        </is>
      </c>
      <c r="V1146" s="2" t="inlineStr">
        <is>
          <t>data/raw/claro_flex_SP.json</t>
        </is>
      </c>
    </row>
    <row r="1147">
      <c r="A1147" s="5" t="inlineStr">
        <is>
          <t>2026-07-13</t>
        </is>
      </c>
      <c r="B1147" s="5" t="inlineStr">
        <is>
          <t>2026-07-13T14:56:28</t>
        </is>
      </c>
      <c r="C1147" s="5" t="inlineStr">
        <is>
          <t>claro</t>
        </is>
      </c>
      <c r="D1147" s="5" t="inlineStr">
        <is>
          <t>flex</t>
        </is>
      </c>
      <c r="E1147" s="5" t="inlineStr">
        <is>
          <t>SP</t>
        </is>
      </c>
      <c r="F1147" s="5" t="inlineStr">
        <is>
          <t>Flex 40GB</t>
        </is>
      </c>
      <c r="G1147" s="5" t="inlineStr">
        <is>
          <t>claro:plano-flex-40gb</t>
        </is>
      </c>
      <c r="H1147" s="6" t="n">
        <v>119.9</v>
      </c>
      <c r="I1147" s="6" t="inlineStr"/>
      <c r="J1147" s="5" t="inlineStr"/>
      <c r="K1147" s="5" t="inlineStr"/>
      <c r="L1147" s="7" t="n">
        <v>40</v>
      </c>
      <c r="M1147" s="5" t="inlineStr"/>
      <c r="N1147" s="5" t="inlineStr"/>
      <c r="O1147" s="5" t="inlineStr">
        <is>
          <t>WhatsApp</t>
        </is>
      </c>
      <c r="P1147" s="5" t="inlineStr"/>
      <c r="Q1147" s="5" t="inlineStr"/>
      <c r="R1147" s="5" t="inlineStr"/>
      <c r="S1147" s="5" t="inlineStr"/>
      <c r="T1147" s="5" t="inlineStr">
        <is>
          <t>Para uso livre; Para redes sociais e apps; Bônus uso livre; Bônus extra nos apps; WhatsApp ilimitado; Assinatura Claro musica inclusa</t>
        </is>
      </c>
      <c r="U1147" s="5" t="inlineStr">
        <is>
          <t>https://www.claro.com.br/celular/flex</t>
        </is>
      </c>
      <c r="V1147" s="5" t="inlineStr">
        <is>
          <t>data/raw/claro_flex_SP.json</t>
        </is>
      </c>
    </row>
    <row r="1148">
      <c r="A1148" s="2" t="inlineStr">
        <is>
          <t>2026-07-13</t>
        </is>
      </c>
      <c r="B1148" s="2" t="inlineStr">
        <is>
          <t>2026-07-13T14:56:28</t>
        </is>
      </c>
      <c r="C1148" s="2" t="inlineStr">
        <is>
          <t>claro</t>
        </is>
      </c>
      <c r="D1148" s="2" t="inlineStr">
        <is>
          <t>postpaid</t>
        </is>
      </c>
      <c r="E1148" s="2" t="inlineStr">
        <is>
          <t>SP</t>
        </is>
      </c>
      <c r="F1148" s="2" t="inlineStr">
        <is>
          <t>Pós 100GB</t>
        </is>
      </c>
      <c r="G1148" s="2" t="inlineStr">
        <is>
          <t>claro:plano-pos-100gb</t>
        </is>
      </c>
      <c r="H1148" s="3" t="n">
        <v>179.9</v>
      </c>
      <c r="I1148" s="3" t="inlineStr"/>
      <c r="J1148" s="2" t="inlineStr"/>
      <c r="K1148" s="2" t="inlineStr"/>
      <c r="L1148" s="4" t="n">
        <v>100</v>
      </c>
      <c r="M1148" s="2" t="inlineStr"/>
      <c r="N1148" s="2" t="inlineStr"/>
      <c r="O1148" s="2" t="inlineStr">
        <is>
          <t>WhatsApp</t>
        </is>
      </c>
      <c r="P1148" s="2" t="inlineStr"/>
      <c r="Q1148" s="2" t="inlineStr"/>
      <c r="R1148" s="2" t="inlineStr"/>
      <c r="S1148" s="2" t="inlineStr"/>
      <c r="T1148" s="2" t="inlineStr">
        <is>
          <t>Armazenamento na nuvem:; Google One ou iCloud+; WhatsApp ilimitado; Roaming: Passaporte Américas; Claro Sync: Smartwatch conectado</t>
        </is>
      </c>
      <c r="U1148" s="2" t="inlineStr">
        <is>
          <t>https://www.claro.com.br/celular/pos</t>
        </is>
      </c>
      <c r="V1148" s="2" t="inlineStr">
        <is>
          <t>data/raw/claro_postpaid_SP.json</t>
        </is>
      </c>
    </row>
    <row r="1149">
      <c r="A1149" s="5" t="inlineStr">
        <is>
          <t>2026-07-13</t>
        </is>
      </c>
      <c r="B1149" s="5" t="inlineStr">
        <is>
          <t>2026-07-13T14:56:28</t>
        </is>
      </c>
      <c r="C1149" s="5" t="inlineStr">
        <is>
          <t>claro</t>
        </is>
      </c>
      <c r="D1149" s="5" t="inlineStr">
        <is>
          <t>postpaid</t>
        </is>
      </c>
      <c r="E1149" s="5" t="inlineStr">
        <is>
          <t>SP</t>
        </is>
      </c>
      <c r="F1149" s="5" t="inlineStr">
        <is>
          <t>Pós 150GB</t>
        </is>
      </c>
      <c r="G1149" s="5" t="inlineStr">
        <is>
          <t>claro:plano-pos-150gb</t>
        </is>
      </c>
      <c r="H1149" s="6" t="n">
        <v>239.9</v>
      </c>
      <c r="I1149" s="6" t="inlineStr"/>
      <c r="J1149" s="5" t="inlineStr"/>
      <c r="K1149" s="5" t="inlineStr"/>
      <c r="L1149" s="7" t="n">
        <v>150</v>
      </c>
      <c r="M1149" s="5" t="inlineStr"/>
      <c r="N1149" s="5" t="inlineStr"/>
      <c r="O1149" s="5" t="inlineStr">
        <is>
          <t>WhatsApp</t>
        </is>
      </c>
      <c r="P1149" s="5" t="inlineStr"/>
      <c r="Q1149" s="5" t="inlineStr"/>
      <c r="R1149" s="5" t="inlineStr"/>
      <c r="S1149" s="5" t="inlineStr"/>
      <c r="T1149" s="5" t="inlineStr">
        <is>
          <t>Armazenamento na nuvem:; Google One ou iCloud+; WhatsApp ilimitado; Roaming: Passaporte Américas e Europa; Claro Sync: Smartwatch conectado</t>
        </is>
      </c>
      <c r="U1149" s="5" t="inlineStr">
        <is>
          <t>https://www.claro.com.br/celular/pos</t>
        </is>
      </c>
      <c r="V1149" s="5" t="inlineStr">
        <is>
          <t>data/raw/claro_postpaid_SP.json</t>
        </is>
      </c>
    </row>
    <row r="1150">
      <c r="A1150" s="2" t="inlineStr">
        <is>
          <t>2026-07-13</t>
        </is>
      </c>
      <c r="B1150" s="2" t="inlineStr">
        <is>
          <t>2026-07-13T14:56:28</t>
        </is>
      </c>
      <c r="C1150" s="2" t="inlineStr">
        <is>
          <t>claro</t>
        </is>
      </c>
      <c r="D1150" s="2" t="inlineStr">
        <is>
          <t>postpaid</t>
        </is>
      </c>
      <c r="E1150" s="2" t="inlineStr">
        <is>
          <t>SP</t>
        </is>
      </c>
      <c r="F1150" s="2" t="inlineStr">
        <is>
          <t>Pós 200GB</t>
        </is>
      </c>
      <c r="G1150" s="2" t="inlineStr">
        <is>
          <t>claro:plano-pos-200gb</t>
        </is>
      </c>
      <c r="H1150" s="3" t="n">
        <v>339.9</v>
      </c>
      <c r="I1150" s="3" t="inlineStr"/>
      <c r="J1150" s="2" t="inlineStr"/>
      <c r="K1150" s="2" t="inlineStr"/>
      <c r="L1150" s="4" t="n">
        <v>200</v>
      </c>
      <c r="M1150" s="2" t="inlineStr"/>
      <c r="N1150" s="2" t="inlineStr"/>
      <c r="O1150" s="2" t="inlineStr">
        <is>
          <t>WhatsApp</t>
        </is>
      </c>
      <c r="P1150" s="2" t="inlineStr"/>
      <c r="Q1150" s="2" t="inlineStr"/>
      <c r="R1150" s="2" t="inlineStr"/>
      <c r="S1150" s="2" t="inlineStr"/>
      <c r="T1150" s="2" t="inlineStr">
        <is>
          <t>Armazenamento na nuvem:; Google One ou iCloud+; WhatsApp ilimitado; Roaming: Passaporte Mundo; Claro Sync: Smartwatch conectado</t>
        </is>
      </c>
      <c r="U1150" s="2" t="inlineStr">
        <is>
          <t>https://www.claro.com.br/celular/pos</t>
        </is>
      </c>
      <c r="V1150" s="2" t="inlineStr">
        <is>
          <t>data/raw/claro_postpaid_SP.json</t>
        </is>
      </c>
    </row>
    <row r="1151">
      <c r="A1151" s="5" t="inlineStr">
        <is>
          <t>2026-07-13</t>
        </is>
      </c>
      <c r="B1151" s="5" t="inlineStr">
        <is>
          <t>2026-07-13T14:56:28</t>
        </is>
      </c>
      <c r="C1151" s="5" t="inlineStr">
        <is>
          <t>claro</t>
        </is>
      </c>
      <c r="D1151" s="5" t="inlineStr">
        <is>
          <t>postpaid</t>
        </is>
      </c>
      <c r="E1151" s="5" t="inlineStr">
        <is>
          <t>SP</t>
        </is>
      </c>
      <c r="F1151" s="5" t="inlineStr">
        <is>
          <t>Pós 50GB com GeForce NOW</t>
        </is>
      </c>
      <c r="G1151" s="5" t="inlineStr">
        <is>
          <t>claro:plano-pos-60gb-geforce</t>
        </is>
      </c>
      <c r="H1151" s="6" t="n">
        <v>164.9</v>
      </c>
      <c r="I1151" s="6" t="inlineStr"/>
      <c r="J1151" s="5" t="inlineStr"/>
      <c r="K1151" s="5" t="inlineStr"/>
      <c r="L1151" s="7" t="n">
        <v>50</v>
      </c>
      <c r="M1151" s="5" t="inlineStr"/>
      <c r="N1151" s="5" t="inlineStr"/>
      <c r="O1151" s="5" t="inlineStr">
        <is>
          <t>WhatsApp</t>
        </is>
      </c>
      <c r="P1151" s="5" t="inlineStr"/>
      <c r="Q1151" s="5" t="inlineStr"/>
      <c r="R1151" s="5" t="inlineStr"/>
      <c r="S1151" s="5" t="inlineStr"/>
      <c r="T1151" s="5" t="inlineStr">
        <is>
          <t>Armazenamento na nuvem:; Google One ou iCloud+; WhatsApp ilimitado; Roaming: Passaporte Américas; Claro Sync: Smartwatch conectado; Inclusa assinatura GeForce NOW</t>
        </is>
      </c>
      <c r="U1151" s="5" t="inlineStr">
        <is>
          <t>https://www.claro.com.br/celular/pos</t>
        </is>
      </c>
      <c r="V1151" s="5" t="inlineStr">
        <is>
          <t>data/raw/claro_postpaid_SP.json</t>
        </is>
      </c>
    </row>
    <row r="1152">
      <c r="A1152" s="2" t="inlineStr">
        <is>
          <t>2026-07-13</t>
        </is>
      </c>
      <c r="B1152" s="2" t="inlineStr">
        <is>
          <t>2026-07-13T14:56:28</t>
        </is>
      </c>
      <c r="C1152" s="2" t="inlineStr">
        <is>
          <t>claro</t>
        </is>
      </c>
      <c r="D1152" s="2" t="inlineStr">
        <is>
          <t>postpaid</t>
        </is>
      </c>
      <c r="E1152" s="2" t="inlineStr">
        <is>
          <t>SP</t>
        </is>
      </c>
      <c r="F1152" s="2" t="inlineStr">
        <is>
          <t>Pós 60GB</t>
        </is>
      </c>
      <c r="G1152" s="2" t="inlineStr">
        <is>
          <t>claro:plano-pos-60gb</t>
        </is>
      </c>
      <c r="H1152" s="3" t="n">
        <v>124.9</v>
      </c>
      <c r="I1152" s="3" t="inlineStr"/>
      <c r="J1152" s="2" t="inlineStr"/>
      <c r="K1152" s="2" t="inlineStr"/>
      <c r="L1152" s="4" t="n">
        <v>60</v>
      </c>
      <c r="M1152" s="2" t="inlineStr"/>
      <c r="N1152" s="2" t="inlineStr"/>
      <c r="O1152" s="2" t="inlineStr">
        <is>
          <t>WhatsApp</t>
        </is>
      </c>
      <c r="P1152" s="2" t="inlineStr"/>
      <c r="Q1152" s="2" t="inlineStr"/>
      <c r="R1152" s="2" t="inlineStr"/>
      <c r="S1152" s="2" t="inlineStr"/>
      <c r="T1152" s="2" t="inlineStr">
        <is>
          <t>Armazenamento na nuvem:; Google One ou iCloud+; WhatsApp ilimitado; Roaming: Passaporte Américas; Claro Sync: Smartwatch conectado</t>
        </is>
      </c>
      <c r="U1152" s="2" t="inlineStr">
        <is>
          <t>https://www.claro.com.br/celular/pos</t>
        </is>
      </c>
      <c r="V1152" s="2" t="inlineStr">
        <is>
          <t>data/raw/claro_postpaid_SP.json</t>
        </is>
      </c>
    </row>
    <row r="1153">
      <c r="A1153" s="5" t="inlineStr">
        <is>
          <t>2026-07-13</t>
        </is>
      </c>
      <c r="B1153" s="5" t="inlineStr">
        <is>
          <t>2026-07-13T14:56:28</t>
        </is>
      </c>
      <c r="C1153" s="5" t="inlineStr">
        <is>
          <t>claro</t>
        </is>
      </c>
      <c r="D1153" s="5" t="inlineStr">
        <is>
          <t>prepaid</t>
        </is>
      </c>
      <c r="E1153" s="5" t="inlineStr">
        <is>
          <t>SP</t>
        </is>
      </c>
      <c r="F1153" s="5" t="inlineStr">
        <is>
          <t>Prezão 10GB (25 dias)</t>
        </is>
      </c>
      <c r="G1153" s="5" t="inlineStr">
        <is>
          <t>claro:prezao-25d-10gb</t>
        </is>
      </c>
      <c r="H1153" s="6" t="n">
        <v>25</v>
      </c>
      <c r="I1153" s="6" t="inlineStr"/>
      <c r="J1153" s="5" t="inlineStr">
        <is>
          <t>recarga Prezão R$25 — validade 25 dias</t>
        </is>
      </c>
      <c r="K1153" s="5" t="inlineStr"/>
      <c r="L1153" s="7" t="n">
        <v>10</v>
      </c>
      <c r="M1153" s="5" t="inlineStr"/>
      <c r="N1153" s="5" t="n">
        <v>25</v>
      </c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>
        <is>
          <t>https://www.claro.com.br/celular/planos-pre/prezao</t>
        </is>
      </c>
      <c r="V1153" s="5" t="inlineStr">
        <is>
          <t>data/raw/claro_prepaid_SP.json</t>
        </is>
      </c>
    </row>
    <row r="1154">
      <c r="A1154" s="2" t="inlineStr">
        <is>
          <t>2026-07-13</t>
        </is>
      </c>
      <c r="B1154" s="2" t="inlineStr">
        <is>
          <t>2026-07-13T14:56:28</t>
        </is>
      </c>
      <c r="C1154" s="2" t="inlineStr">
        <is>
          <t>claro</t>
        </is>
      </c>
      <c r="D1154" s="2" t="inlineStr">
        <is>
          <t>prepaid</t>
        </is>
      </c>
      <c r="E1154" s="2" t="inlineStr">
        <is>
          <t>SP</t>
        </is>
      </c>
      <c r="F1154" s="2" t="inlineStr">
        <is>
          <t>Prezão 12GB (30 dias)</t>
        </is>
      </c>
      <c r="G1154" s="2" t="inlineStr">
        <is>
          <t>claro:prezao-30d-12gb</t>
        </is>
      </c>
      <c r="H1154" s="3" t="n">
        <v>30</v>
      </c>
      <c r="I1154" s="3" t="inlineStr"/>
      <c r="J1154" s="2" t="inlineStr">
        <is>
          <t>recarga Prezão R$30 — validade 30 dias</t>
        </is>
      </c>
      <c r="K1154" s="2" t="inlineStr"/>
      <c r="L1154" s="4" t="n">
        <v>12</v>
      </c>
      <c r="M1154" s="2" t="inlineStr"/>
      <c r="N1154" s="2" t="n">
        <v>30</v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>
        <is>
          <t>https://www.claro.com.br/celular/planos-pre/prezao</t>
        </is>
      </c>
      <c r="V1154" s="2" t="inlineStr">
        <is>
          <t>data/raw/claro_prepaid_SP.json</t>
        </is>
      </c>
    </row>
    <row r="1155">
      <c r="A1155" s="5" t="inlineStr">
        <is>
          <t>2026-07-13</t>
        </is>
      </c>
      <c r="B1155" s="5" t="inlineStr">
        <is>
          <t>2026-07-13T14:56:28</t>
        </is>
      </c>
      <c r="C1155" s="5" t="inlineStr">
        <is>
          <t>claro</t>
        </is>
      </c>
      <c r="D1155" s="5" t="inlineStr">
        <is>
          <t>prepaid</t>
        </is>
      </c>
      <c r="E1155" s="5" t="inlineStr">
        <is>
          <t>SP</t>
        </is>
      </c>
      <c r="F1155" s="5" t="inlineStr">
        <is>
          <t>Prezão 4GB (12 dias)</t>
        </is>
      </c>
      <c r="G1155" s="5" t="inlineStr">
        <is>
          <t>claro:prezao-12d-4gb</t>
        </is>
      </c>
      <c r="H1155" s="6" t="n">
        <v>15</v>
      </c>
      <c r="I1155" s="6" t="inlineStr"/>
      <c r="J1155" s="5" t="inlineStr">
        <is>
          <t>recarga Prezão R$15 — validade 12 dias</t>
        </is>
      </c>
      <c r="K1155" s="5" t="inlineStr"/>
      <c r="L1155" s="7" t="n">
        <v>4</v>
      </c>
      <c r="M1155" s="5" t="inlineStr"/>
      <c r="N1155" s="5" t="n">
        <v>12</v>
      </c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>
        <is>
          <t>https://www.claro.com.br/celular/planos-pre/prezao</t>
        </is>
      </c>
      <c r="V1155" s="5" t="inlineStr">
        <is>
          <t>data/raw/claro_prepaid_SP.json</t>
        </is>
      </c>
    </row>
    <row r="1156">
      <c r="A1156" s="2" t="inlineStr">
        <is>
          <t>2026-07-13</t>
        </is>
      </c>
      <c r="B1156" s="2" t="inlineStr">
        <is>
          <t>2026-07-13T14:56:28</t>
        </is>
      </c>
      <c r="C1156" s="2" t="inlineStr">
        <is>
          <t>claro</t>
        </is>
      </c>
      <c r="D1156" s="2" t="inlineStr">
        <is>
          <t>prepaid</t>
        </is>
      </c>
      <c r="E1156" s="2" t="inlineStr">
        <is>
          <t>SP</t>
        </is>
      </c>
      <c r="F1156" s="2" t="inlineStr">
        <is>
          <t>Prezão 5GB (15 dias)</t>
        </is>
      </c>
      <c r="G1156" s="2" t="inlineStr">
        <is>
          <t>claro:prezao-15d-5gb</t>
        </is>
      </c>
      <c r="H1156" s="3" t="n">
        <v>15</v>
      </c>
      <c r="I1156" s="3" t="inlineStr"/>
      <c r="J1156" s="2" t="inlineStr">
        <is>
          <t>recarga Prezão R$15 — validade 15 dias</t>
        </is>
      </c>
      <c r="K1156" s="2" t="inlineStr"/>
      <c r="L1156" s="4" t="n">
        <v>5</v>
      </c>
      <c r="M1156" s="2" t="inlineStr"/>
      <c r="N1156" s="2" t="n">
        <v>15</v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>
        <is>
          <t>https://www.claro.com.br/celular/planos-pre/prezao</t>
        </is>
      </c>
      <c r="V1156" s="2" t="inlineStr">
        <is>
          <t>data/raw/claro_prepaid_SP.json</t>
        </is>
      </c>
    </row>
    <row r="1157">
      <c r="A1157" s="5" t="inlineStr">
        <is>
          <t>2026-07-13</t>
        </is>
      </c>
      <c r="B1157" s="5" t="inlineStr">
        <is>
          <t>2026-07-13T14:56:28</t>
        </is>
      </c>
      <c r="C1157" s="5" t="inlineStr">
        <is>
          <t>claro</t>
        </is>
      </c>
      <c r="D1157" s="5" t="inlineStr">
        <is>
          <t>prepaid</t>
        </is>
      </c>
      <c r="E1157" s="5" t="inlineStr">
        <is>
          <t>SP</t>
        </is>
      </c>
      <c r="F1157" s="5" t="inlineStr">
        <is>
          <t>Prezão 6GB (20 dias)</t>
        </is>
      </c>
      <c r="G1157" s="5" t="inlineStr">
        <is>
          <t>claro:prezao-20d-6gb</t>
        </is>
      </c>
      <c r="H1157" s="6" t="n">
        <v>20</v>
      </c>
      <c r="I1157" s="6" t="inlineStr"/>
      <c r="J1157" s="5" t="inlineStr">
        <is>
          <t>recarga Prezão R$20 — validade 20 dias</t>
        </is>
      </c>
      <c r="K1157" s="5" t="inlineStr"/>
      <c r="L1157" s="7" t="n">
        <v>6</v>
      </c>
      <c r="M1157" s="5" t="inlineStr"/>
      <c r="N1157" s="5" t="n">
        <v>20</v>
      </c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>
        <is>
          <t>https://www.claro.com.br/celular/planos-pre/prezao</t>
        </is>
      </c>
      <c r="V1157" s="5" t="inlineStr">
        <is>
          <t>data/raw/claro_prepaid_SP.json</t>
        </is>
      </c>
    </row>
    <row r="1158">
      <c r="A1158" s="2" t="inlineStr">
        <is>
          <t>2026-07-13</t>
        </is>
      </c>
      <c r="B1158" s="2" t="inlineStr">
        <is>
          <t>2026-07-13T14:56:28</t>
        </is>
      </c>
      <c r="C1158" s="2" t="inlineStr">
        <is>
          <t>claro</t>
        </is>
      </c>
      <c r="D1158" s="2" t="inlineStr">
        <is>
          <t>prepaid</t>
        </is>
      </c>
      <c r="E1158" s="2" t="inlineStr">
        <is>
          <t>SP</t>
        </is>
      </c>
      <c r="F1158" s="2" t="inlineStr">
        <is>
          <t>Prezão 8GB (20 dias)</t>
        </is>
      </c>
      <c r="G1158" s="2" t="inlineStr">
        <is>
          <t>claro:prezao-20d-8gb</t>
        </is>
      </c>
      <c r="H1158" s="3" t="n">
        <v>20</v>
      </c>
      <c r="I1158" s="3" t="inlineStr"/>
      <c r="J1158" s="2" t="inlineStr">
        <is>
          <t>recarga Prezão R$20 — validade 20 dias</t>
        </is>
      </c>
      <c r="K1158" s="2" t="inlineStr"/>
      <c r="L1158" s="4" t="n">
        <v>8</v>
      </c>
      <c r="M1158" s="2" t="inlineStr"/>
      <c r="N1158" s="2" t="n">
        <v>20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>
        <is>
          <t>https://www.claro.com.br/celular/planos-pre/prezao</t>
        </is>
      </c>
      <c r="V1158" s="2" t="inlineStr">
        <is>
          <t>data/raw/claro_prepaid_SP.json</t>
        </is>
      </c>
    </row>
    <row r="1159">
      <c r="A1159" s="5" t="inlineStr">
        <is>
          <t>2026-07-13</t>
        </is>
      </c>
      <c r="B1159" s="5" t="inlineStr">
        <is>
          <t>2026-07-13T14:56:28</t>
        </is>
      </c>
      <c r="C1159" s="5" t="inlineStr">
        <is>
          <t>claro</t>
        </is>
      </c>
      <c r="D1159" s="5" t="inlineStr">
        <is>
          <t>prepaid</t>
        </is>
      </c>
      <c r="E1159" s="5" t="inlineStr">
        <is>
          <t>SP</t>
        </is>
      </c>
      <c r="F1159" s="5" t="inlineStr">
        <is>
          <t>Prezão 9GB (25 dias)</t>
        </is>
      </c>
      <c r="G1159" s="5" t="inlineStr">
        <is>
          <t>claro:prezao-25d-9gb</t>
        </is>
      </c>
      <c r="H1159" s="6" t="n">
        <v>25</v>
      </c>
      <c r="I1159" s="6" t="inlineStr"/>
      <c r="J1159" s="5" t="inlineStr">
        <is>
          <t>recarga Prezão R$25 — validade 25 dias</t>
        </is>
      </c>
      <c r="K1159" s="5" t="inlineStr"/>
      <c r="L1159" s="7" t="n">
        <v>9</v>
      </c>
      <c r="M1159" s="5" t="inlineStr"/>
      <c r="N1159" s="5" t="n">
        <v>25</v>
      </c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>
        <is>
          <t>https://www.claro.com.br/celular/planos-pre/prezao</t>
        </is>
      </c>
      <c r="V1159" s="5" t="inlineStr">
        <is>
          <t>data/raw/claro_prepaid_SP.json</t>
        </is>
      </c>
    </row>
    <row r="1160">
      <c r="A1160" s="2" t="inlineStr">
        <is>
          <t>2026-07-13</t>
        </is>
      </c>
      <c r="B1160" s="2" t="inlineStr">
        <is>
          <t>2026-07-13T14:56:28</t>
        </is>
      </c>
      <c r="C1160" s="2" t="inlineStr">
        <is>
          <t>tim</t>
        </is>
      </c>
      <c r="D1160" s="2" t="inlineStr">
        <is>
          <t>control</t>
        </is>
      </c>
      <c r="E1160" s="2" t="inlineStr">
        <is>
          <t>SP</t>
        </is>
      </c>
      <c r="F1160" s="2" t="inlineStr">
        <is>
          <t>TIM Controle 41GB</t>
        </is>
      </c>
      <c r="G1160" s="2" t="inlineStr">
        <is>
          <t>tim:167036</t>
        </is>
      </c>
      <c r="H1160" s="3" t="n">
        <v>49.99</v>
      </c>
      <c r="I1160" s="3" t="inlineStr"/>
      <c r="J1160" s="2" t="inlineStr"/>
      <c r="K1160" s="2" t="inlineStr"/>
      <c r="L1160" s="4" t="n">
        <v>41</v>
      </c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>
        <is>
          <t>https://www.tim.com.br/sp/para-voce/planos/controle</t>
        </is>
      </c>
      <c r="V1160" s="2" t="inlineStr">
        <is>
          <t>data/raw/tim_control_SP.html</t>
        </is>
      </c>
    </row>
    <row r="1161">
      <c r="A1161" s="5" t="inlineStr">
        <is>
          <t>2026-07-13</t>
        </is>
      </c>
      <c r="B1161" s="5" t="inlineStr">
        <is>
          <t>2026-07-13T14:56:28</t>
        </is>
      </c>
      <c r="C1161" s="5" t="inlineStr">
        <is>
          <t>tim</t>
        </is>
      </c>
      <c r="D1161" s="5" t="inlineStr">
        <is>
          <t>control</t>
        </is>
      </c>
      <c r="E1161" s="5" t="inlineStr">
        <is>
          <t>SP</t>
        </is>
      </c>
      <c r="F1161" s="5" t="inlineStr">
        <is>
          <t>TIM Controle Light Express 31GB</t>
        </is>
      </c>
      <c r="G1161" s="5" t="inlineStr">
        <is>
          <t>tim:167046</t>
        </is>
      </c>
      <c r="H1161" s="6" t="n">
        <v>60.99</v>
      </c>
      <c r="I1161" s="6" t="inlineStr"/>
      <c r="J1161" s="5" t="inlineStr"/>
      <c r="K1161" s="5" t="inlineStr"/>
      <c r="L1161" s="7" t="n">
        <v>31</v>
      </c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>
        <is>
          <t>https://www.tim.com.br/sp/para-voce/planos/controle</t>
        </is>
      </c>
      <c r="V1161" s="5" t="inlineStr">
        <is>
          <t>data/raw/tim_control_SP.html</t>
        </is>
      </c>
    </row>
    <row r="1162">
      <c r="A1162" s="2" t="inlineStr">
        <is>
          <t>2026-07-13</t>
        </is>
      </c>
      <c r="B1162" s="2" t="inlineStr">
        <is>
          <t>2026-07-13T14:56:28</t>
        </is>
      </c>
      <c r="C1162" s="2" t="inlineStr">
        <is>
          <t>tim</t>
        </is>
      </c>
      <c r="D1162" s="2" t="inlineStr">
        <is>
          <t>control</t>
        </is>
      </c>
      <c r="E1162" s="2" t="inlineStr">
        <is>
          <t>SP</t>
        </is>
      </c>
      <c r="F1162" s="2" t="inlineStr">
        <is>
          <t>TIM Controle Plus 45GB</t>
        </is>
      </c>
      <c r="G1162" s="2" t="inlineStr">
        <is>
          <t>tim:167031</t>
        </is>
      </c>
      <c r="H1162" s="3" t="n">
        <v>59.99</v>
      </c>
      <c r="I1162" s="3" t="inlineStr"/>
      <c r="J1162" s="2" t="inlineStr"/>
      <c r="K1162" s="2" t="inlineStr"/>
      <c r="L1162" s="4" t="n">
        <v>45</v>
      </c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>
        <is>
          <t>https://www.tim.com.br/sp/para-voce/planos/controle</t>
        </is>
      </c>
      <c r="V1162" s="2" t="inlineStr">
        <is>
          <t>data/raw/tim_control_SP.html</t>
        </is>
      </c>
    </row>
    <row r="1163">
      <c r="A1163" s="5" t="inlineStr">
        <is>
          <t>2026-07-13</t>
        </is>
      </c>
      <c r="B1163" s="5" t="inlineStr">
        <is>
          <t>2026-07-13T14:56:28</t>
        </is>
      </c>
      <c r="C1163" s="5" t="inlineStr">
        <is>
          <t>tim</t>
        </is>
      </c>
      <c r="D1163" s="5" t="inlineStr">
        <is>
          <t>control</t>
        </is>
      </c>
      <c r="E1163" s="5" t="inlineStr">
        <is>
          <t>SP</t>
        </is>
      </c>
      <c r="F1163" s="5" t="inlineStr">
        <is>
          <t>TIM Controle Premium 53GB</t>
        </is>
      </c>
      <c r="G1163" s="5" t="inlineStr">
        <is>
          <t>tim:167041</t>
        </is>
      </c>
      <c r="H1163" s="6" t="n">
        <v>69.98999999999999</v>
      </c>
      <c r="I1163" s="6" t="inlineStr"/>
      <c r="J1163" s="5" t="inlineStr"/>
      <c r="K1163" s="5" t="inlineStr"/>
      <c r="L1163" s="7" t="n">
        <v>53</v>
      </c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>
        <is>
          <t>https://www.tim.com.br/sp/para-voce/planos/controle</t>
        </is>
      </c>
      <c r="V1163" s="5" t="inlineStr">
        <is>
          <t>data/raw/tim_control_SP.html</t>
        </is>
      </c>
    </row>
    <row r="1164">
      <c r="A1164" s="2" t="inlineStr">
        <is>
          <t>2026-07-13</t>
        </is>
      </c>
      <c r="B1164" s="2" t="inlineStr">
        <is>
          <t>2026-07-13T14:56:28</t>
        </is>
      </c>
      <c r="C1164" s="2" t="inlineStr">
        <is>
          <t>tim</t>
        </is>
      </c>
      <c r="D1164" s="2" t="inlineStr">
        <is>
          <t>control</t>
        </is>
      </c>
      <c r="E1164" s="2" t="inlineStr">
        <is>
          <t>SP</t>
        </is>
      </c>
      <c r="F1164" s="2" t="inlineStr">
        <is>
          <t>TIM Controle Pro Express</t>
        </is>
      </c>
      <c r="G1164" s="2" t="inlineStr">
        <is>
          <t>tim:167051</t>
        </is>
      </c>
      <c r="H1164" s="3" t="n">
        <v>64.98999999999999</v>
      </c>
      <c r="I1164" s="3" t="inlineStr"/>
      <c r="J1164" s="2" t="inlineStr"/>
      <c r="K1164" s="2" t="inlineStr"/>
      <c r="L1164" s="4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>
        <is>
          <t>https://www.tim.com.br/sp/para-voce/planos/controle</t>
        </is>
      </c>
      <c r="V1164" s="2" t="inlineStr">
        <is>
          <t>data/raw/tim_control_SP.html</t>
        </is>
      </c>
    </row>
    <row r="1165">
      <c r="A1165" s="5" t="inlineStr">
        <is>
          <t>2026-07-13</t>
        </is>
      </c>
      <c r="B1165" s="5" t="inlineStr">
        <is>
          <t>2026-07-13T14:56:28</t>
        </is>
      </c>
      <c r="C1165" s="5" t="inlineStr">
        <is>
          <t>tim</t>
        </is>
      </c>
      <c r="D1165" s="5" t="inlineStr">
        <is>
          <t>fit</t>
        </is>
      </c>
      <c r="E1165" s="5" t="inlineStr">
        <is>
          <t>SP</t>
        </is>
      </c>
      <c r="F1165" s="5" t="inlineStr">
        <is>
          <t>TIM Controle Fit Anual</t>
        </is>
      </c>
      <c r="G1165" s="5" t="inlineStr">
        <is>
          <t>tim:TIM202600000271</t>
        </is>
      </c>
      <c r="H1165" s="6" t="n">
        <v>30</v>
      </c>
      <c r="I1165" s="6" t="inlineStr"/>
      <c r="J1165" s="5" t="inlineStr">
        <is>
          <t>plano anual 12x no cartão de crédito; prazo de permanência 12m</t>
        </is>
      </c>
      <c r="K1165" s="5" t="inlineStr">
        <is>
          <t>credit_card</t>
        </is>
      </c>
      <c r="L1165" s="7" t="n">
        <v>30</v>
      </c>
      <c r="M1165" s="5" t="inlineStr"/>
      <c r="N1165" s="5" t="inlineStr"/>
      <c r="O1165" s="5" t="inlineStr"/>
      <c r="P1165" s="5" t="inlineStr"/>
      <c r="Q1165" s="5" t="inlineStr"/>
      <c r="R1165" s="5" t="inlineStr"/>
      <c r="S1165" s="5" t="n">
        <v>12</v>
      </c>
      <c r="T1165" s="5" t="inlineStr"/>
      <c r="U1165" s="5" t="inlineStr">
        <is>
          <t>https://www.tim.com.br/sp/para-voce/planos/controle</t>
        </is>
      </c>
      <c r="V1165" s="5" t="inlineStr">
        <is>
          <t>data/raw/tim_fit_SP.html</t>
        </is>
      </c>
    </row>
    <row r="1166">
      <c r="A1166" s="2" t="inlineStr">
        <is>
          <t>2026-07-13</t>
        </is>
      </c>
      <c r="B1166" s="2" t="inlineStr">
        <is>
          <t>2026-07-13T14:56:28</t>
        </is>
      </c>
      <c r="C1166" s="2" t="inlineStr">
        <is>
          <t>tim</t>
        </is>
      </c>
      <c r="D1166" s="2" t="inlineStr">
        <is>
          <t>fit</t>
        </is>
      </c>
      <c r="E1166" s="2" t="inlineStr">
        <is>
          <t>SP</t>
        </is>
      </c>
      <c r="F1166" s="2" t="inlineStr">
        <is>
          <t>TIM Controle Fit Mensal</t>
        </is>
      </c>
      <c r="G1166" s="2" t="inlineStr">
        <is>
          <t>tim:TIM202600000270</t>
        </is>
      </c>
      <c r="H1166" s="3" t="n">
        <v>35</v>
      </c>
      <c r="I1166" s="3" t="inlineStr"/>
      <c r="J1166" s="2" t="inlineStr">
        <is>
          <t>plano mensal, sem prazo de permanência</t>
        </is>
      </c>
      <c r="K1166" s="2" t="inlineStr"/>
      <c r="L1166" s="4" t="n">
        <v>20</v>
      </c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>
        <is>
          <t>https://www.tim.com.br/sp/para-voce/planos/controle</t>
        </is>
      </c>
      <c r="V1166" s="2" t="inlineStr">
        <is>
          <t>data/raw/tim_fit_SP.html</t>
        </is>
      </c>
    </row>
    <row r="1167">
      <c r="A1167" s="5" t="inlineStr">
        <is>
          <t>2026-07-13</t>
        </is>
      </c>
      <c r="B1167" s="5" t="inlineStr">
        <is>
          <t>2026-07-13T14:56:28</t>
        </is>
      </c>
      <c r="C1167" s="5" t="inlineStr">
        <is>
          <t>tim</t>
        </is>
      </c>
      <c r="D1167" s="5" t="inlineStr">
        <is>
          <t>postpaid</t>
        </is>
      </c>
      <c r="E1167" s="5" t="inlineStr">
        <is>
          <t>SP</t>
        </is>
      </c>
      <c r="F1167" s="5" t="inlineStr">
        <is>
          <t>TIM Black 70GB</t>
        </is>
      </c>
      <c r="G1167" s="5" t="inlineStr">
        <is>
          <t>tim:54206</t>
        </is>
      </c>
      <c r="H1167" s="6" t="n">
        <v>129.99</v>
      </c>
      <c r="I1167" s="6" t="inlineStr"/>
      <c r="J1167" s="5" t="inlineStr"/>
      <c r="K1167" s="5" t="inlineStr">
        <is>
          <t>bill</t>
        </is>
      </c>
      <c r="L1167" s="7" t="n">
        <v>70</v>
      </c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>
        <is>
          <t>https://www.tim.com.br/sp/para-voce/planos/pos-pago/tim-black</t>
        </is>
      </c>
      <c r="V1167" s="5" t="inlineStr">
        <is>
          <t>data/raw/tim_postpaid_SP.html</t>
        </is>
      </c>
    </row>
    <row r="1168">
      <c r="A1168" s="2" t="inlineStr">
        <is>
          <t>2026-07-13</t>
        </is>
      </c>
      <c r="B1168" s="2" t="inlineStr">
        <is>
          <t>2026-07-13T14:56:28</t>
        </is>
      </c>
      <c r="C1168" s="2" t="inlineStr">
        <is>
          <t>tim</t>
        </is>
      </c>
      <c r="D1168" s="2" t="inlineStr">
        <is>
          <t>postpaid</t>
        </is>
      </c>
      <c r="E1168" s="2" t="inlineStr">
        <is>
          <t>SP</t>
        </is>
      </c>
      <c r="F1168" s="2" t="inlineStr">
        <is>
          <t>TIM Black A Express 67GB</t>
        </is>
      </c>
      <c r="G1168" s="2" t="inlineStr">
        <is>
          <t>tim:55121</t>
        </is>
      </c>
      <c r="H1168" s="3" t="n">
        <v>119.99</v>
      </c>
      <c r="I1168" s="3" t="inlineStr"/>
      <c r="J1168" s="2" t="inlineStr"/>
      <c r="K1168" s="2" t="inlineStr">
        <is>
          <t>credit_card</t>
        </is>
      </c>
      <c r="L1168" s="4" t="n">
        <v>67</v>
      </c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>
        <is>
          <t>https://www.tim.com.br/sp/para-voce/planos/pos-pago/tim-black</t>
        </is>
      </c>
      <c r="V1168" s="2" t="inlineStr">
        <is>
          <t>data/raw/tim_postpaid_SP.html</t>
        </is>
      </c>
    </row>
    <row r="1169">
      <c r="A1169" s="5" t="inlineStr">
        <is>
          <t>2026-07-13</t>
        </is>
      </c>
      <c r="B1169" s="5" t="inlineStr">
        <is>
          <t>2026-07-13T14:56:28</t>
        </is>
      </c>
      <c r="C1169" s="5" t="inlineStr">
        <is>
          <t>tim</t>
        </is>
      </c>
      <c r="D1169" s="5" t="inlineStr">
        <is>
          <t>postpaid</t>
        </is>
      </c>
      <c r="E1169" s="5" t="inlineStr">
        <is>
          <t>SP</t>
        </is>
      </c>
      <c r="F1169" s="5" t="inlineStr">
        <is>
          <t>TIM Black B Express 82GB</t>
        </is>
      </c>
      <c r="G1169" s="5" t="inlineStr">
        <is>
          <t>tim:52146</t>
        </is>
      </c>
      <c r="H1169" s="6" t="n">
        <v>144.99</v>
      </c>
      <c r="I1169" s="6" t="inlineStr"/>
      <c r="J1169" s="5" t="inlineStr"/>
      <c r="K1169" s="5" t="inlineStr">
        <is>
          <t>credit_card</t>
        </is>
      </c>
      <c r="L1169" s="7" t="n">
        <v>82</v>
      </c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>
        <is>
          <t>https://www.tim.com.br/sp/para-voce/planos/pos-pago/tim-black</t>
        </is>
      </c>
      <c r="V1169" s="5" t="inlineStr">
        <is>
          <t>data/raw/tim_postpaid_SP.html</t>
        </is>
      </c>
    </row>
    <row r="1170">
      <c r="A1170" s="2" t="inlineStr">
        <is>
          <t>2026-07-13</t>
        </is>
      </c>
      <c r="B1170" s="2" t="inlineStr">
        <is>
          <t>2026-07-13T14:56:28</t>
        </is>
      </c>
      <c r="C1170" s="2" t="inlineStr">
        <is>
          <t>tim</t>
        </is>
      </c>
      <c r="D1170" s="2" t="inlineStr">
        <is>
          <t>postpaid</t>
        </is>
      </c>
      <c r="E1170" s="2" t="inlineStr">
        <is>
          <t>SP</t>
        </is>
      </c>
      <c r="F1170" s="2" t="inlineStr">
        <is>
          <t>TIM Black C Express 107GB</t>
        </is>
      </c>
      <c r="G1170" s="2" t="inlineStr">
        <is>
          <t>tim:52151</t>
        </is>
      </c>
      <c r="H1170" s="3" t="n">
        <v>164.99</v>
      </c>
      <c r="I1170" s="3" t="inlineStr"/>
      <c r="J1170" s="2" t="inlineStr"/>
      <c r="K1170" s="2" t="inlineStr">
        <is>
          <t>credit_card</t>
        </is>
      </c>
      <c r="L1170" s="4" t="n">
        <v>107</v>
      </c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>
        <is>
          <t>https://www.tim.com.br/sp/para-voce/planos/pos-pago/tim-black</t>
        </is>
      </c>
      <c r="V1170" s="2" t="inlineStr">
        <is>
          <t>data/raw/tim_postpaid_SP.html</t>
        </is>
      </c>
    </row>
    <row r="1171">
      <c r="A1171" s="5" t="inlineStr">
        <is>
          <t>2026-07-13</t>
        </is>
      </c>
      <c r="B1171" s="5" t="inlineStr">
        <is>
          <t>2026-07-13T14:56:28</t>
        </is>
      </c>
      <c r="C1171" s="5" t="inlineStr">
        <is>
          <t>tim</t>
        </is>
      </c>
      <c r="D1171" s="5" t="inlineStr">
        <is>
          <t>postpaid</t>
        </is>
      </c>
      <c r="E1171" s="5" t="inlineStr">
        <is>
          <t>SP</t>
        </is>
      </c>
      <c r="F1171" s="5" t="inlineStr">
        <is>
          <t>TIM Black C Ultra 95GB</t>
        </is>
      </c>
      <c r="G1171" s="5" t="inlineStr">
        <is>
          <t>tim:100581</t>
        </is>
      </c>
      <c r="H1171" s="6" t="n">
        <v>159.99</v>
      </c>
      <c r="I1171" s="6" t="inlineStr"/>
      <c r="J1171" s="5" t="inlineStr"/>
      <c r="K1171" s="5" t="inlineStr">
        <is>
          <t>bill</t>
        </is>
      </c>
      <c r="L1171" s="7" t="n">
        <v>95</v>
      </c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>
        <is>
          <t>https://www.tim.com.br/sp/para-voce/planos/pos-pago/tim-black</t>
        </is>
      </c>
      <c r="V1171" s="5" t="inlineStr">
        <is>
          <t>data/raw/tim_postpaid_SP.html</t>
        </is>
      </c>
    </row>
    <row r="1172">
      <c r="A1172" s="2" t="inlineStr">
        <is>
          <t>2026-07-13</t>
        </is>
      </c>
      <c r="B1172" s="2" t="inlineStr">
        <is>
          <t>2026-07-13T14:56:28</t>
        </is>
      </c>
      <c r="C1172" s="2" t="inlineStr">
        <is>
          <t>tim</t>
        </is>
      </c>
      <c r="D1172" s="2" t="inlineStr">
        <is>
          <t>postpaid</t>
        </is>
      </c>
      <c r="E1172" s="2" t="inlineStr">
        <is>
          <t>SP</t>
        </is>
      </c>
      <c r="F1172" s="2" t="inlineStr">
        <is>
          <t>TIM Black Plus 80GB</t>
        </is>
      </c>
      <c r="G1172" s="2" t="inlineStr">
        <is>
          <t>tim:54256</t>
        </is>
      </c>
      <c r="H1172" s="3" t="n">
        <v>149.99</v>
      </c>
      <c r="I1172" s="3" t="inlineStr"/>
      <c r="J1172" s="2" t="inlineStr"/>
      <c r="K1172" s="2" t="inlineStr">
        <is>
          <t>bill</t>
        </is>
      </c>
      <c r="L1172" s="4" t="n">
        <v>80</v>
      </c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>
        <is>
          <t>https://www.tim.com.br/sp/para-voce/planos/pos-pago/tim-black</t>
        </is>
      </c>
      <c r="V1172" s="2" t="inlineStr">
        <is>
          <t>data/raw/tim_postpaid_SP.html</t>
        </is>
      </c>
    </row>
    <row r="1173">
      <c r="A1173" s="5" t="inlineStr">
        <is>
          <t>2026-07-13</t>
        </is>
      </c>
      <c r="B1173" s="5" t="inlineStr">
        <is>
          <t>2026-07-13T14:56:28</t>
        </is>
      </c>
      <c r="C1173" s="5" t="inlineStr">
        <is>
          <t>tim</t>
        </is>
      </c>
      <c r="D1173" s="5" t="inlineStr">
        <is>
          <t>postpaid</t>
        </is>
      </c>
      <c r="E1173" s="5" t="inlineStr">
        <is>
          <t>SP</t>
        </is>
      </c>
      <c r="F1173" s="5" t="inlineStr">
        <is>
          <t>TIM Black Premium 110GB</t>
        </is>
      </c>
      <c r="G1173" s="5" t="inlineStr">
        <is>
          <t>tim:54261</t>
        </is>
      </c>
      <c r="H1173" s="6" t="n">
        <v>159.99</v>
      </c>
      <c r="I1173" s="6" t="inlineStr"/>
      <c r="J1173" s="5" t="inlineStr"/>
      <c r="K1173" s="5" t="inlineStr">
        <is>
          <t>bill</t>
        </is>
      </c>
      <c r="L1173" s="7" t="n">
        <v>110</v>
      </c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>
        <is>
          <t>https://www.tim.com.br/sp/para-voce/planos/pos-pago/tim-black</t>
        </is>
      </c>
      <c r="V1173" s="5" t="inlineStr">
        <is>
          <t>data/raw/tim_postpaid_SP.html</t>
        </is>
      </c>
    </row>
    <row r="1174">
      <c r="A1174" s="2" t="inlineStr">
        <is>
          <t>2026-07-13</t>
        </is>
      </c>
      <c r="B1174" s="2" t="inlineStr">
        <is>
          <t>2026-07-13T14:56:28</t>
        </is>
      </c>
      <c r="C1174" s="2" t="inlineStr">
        <is>
          <t>tim</t>
        </is>
      </c>
      <c r="D1174" s="2" t="inlineStr">
        <is>
          <t>prepaid</t>
        </is>
      </c>
      <c r="E1174" s="2" t="inlineStr">
        <is>
          <t>SP</t>
        </is>
      </c>
      <c r="F1174" s="2" t="inlineStr">
        <is>
          <t>TIM Pré XIP Plus 16GB</t>
        </is>
      </c>
      <c r="G1174" s="2" t="inlineStr">
        <is>
          <t>tim:106306</t>
        </is>
      </c>
      <c r="H1174" s="3" t="n">
        <v>30</v>
      </c>
      <c r="I1174" s="3" t="inlineStr"/>
      <c r="J1174" s="2" t="inlineStr"/>
      <c r="K1174" s="2" t="inlineStr"/>
      <c r="L1174" s="4" t="n">
        <v>16</v>
      </c>
      <c r="M1174" s="2" t="inlineStr"/>
      <c r="N1174" s="2" t="n">
        <v>30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>
        <is>
          <t>https://www.tim.com.br/sp/para-voce/planos/pre-pago</t>
        </is>
      </c>
      <c r="V1174" s="2" t="inlineStr">
        <is>
          <t>data/raw/tim_prepaid_SP.html</t>
        </is>
      </c>
    </row>
    <row r="1175">
      <c r="A1175" s="5" t="inlineStr">
        <is>
          <t>2026-07-13</t>
        </is>
      </c>
      <c r="B1175" s="5" t="inlineStr">
        <is>
          <t>2026-07-13T14:56:28</t>
        </is>
      </c>
      <c r="C1175" s="5" t="inlineStr">
        <is>
          <t>tim</t>
        </is>
      </c>
      <c r="D1175" s="5" t="inlineStr">
        <is>
          <t>prepaid</t>
        </is>
      </c>
      <c r="E1175" s="5" t="inlineStr">
        <is>
          <t>SP</t>
        </is>
      </c>
      <c r="F1175" s="5" t="inlineStr">
        <is>
          <t>TIM Pré XIP Plus 6GB</t>
        </is>
      </c>
      <c r="G1175" s="5" t="inlineStr">
        <is>
          <t>tim:59906</t>
        </is>
      </c>
      <c r="H1175" s="6" t="n">
        <v>20</v>
      </c>
      <c r="I1175" s="6" t="inlineStr"/>
      <c r="J1175" s="5" t="inlineStr"/>
      <c r="K1175" s="5" t="inlineStr"/>
      <c r="L1175" s="7" t="n">
        <v>6</v>
      </c>
      <c r="M1175" s="5" t="inlineStr"/>
      <c r="N1175" s="5" t="n">
        <v>17</v>
      </c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>
        <is>
          <t>https://www.tim.com.br/sp/para-voce/planos/pre-pago</t>
        </is>
      </c>
      <c r="V1175" s="5" t="inlineStr">
        <is>
          <t>data/raw/tim_prepaid_SP.html</t>
        </is>
      </c>
    </row>
    <row r="1176">
      <c r="A1176" s="2" t="inlineStr">
        <is>
          <t>2026-07-13</t>
        </is>
      </c>
      <c r="B1176" s="2" t="inlineStr">
        <is>
          <t>2026-07-13T14:56:28</t>
        </is>
      </c>
      <c r="C1176" s="2" t="inlineStr">
        <is>
          <t>tim</t>
        </is>
      </c>
      <c r="D1176" s="2" t="inlineStr">
        <is>
          <t>prepaid</t>
        </is>
      </c>
      <c r="E1176" s="2" t="inlineStr">
        <is>
          <t>SP</t>
        </is>
      </c>
      <c r="F1176" s="2" t="inlineStr">
        <is>
          <t>TIM Pré XIP Plus 8GB</t>
        </is>
      </c>
      <c r="G1176" s="2" t="inlineStr">
        <is>
          <t>tim:59901</t>
        </is>
      </c>
      <c r="H1176" s="3" t="n">
        <v>25</v>
      </c>
      <c r="I1176" s="3" t="inlineStr"/>
      <c r="J1176" s="2" t="inlineStr"/>
      <c r="K1176" s="2" t="inlineStr"/>
      <c r="L1176" s="4" t="n">
        <v>8</v>
      </c>
      <c r="M1176" s="2" t="inlineStr"/>
      <c r="N1176" s="2" t="n">
        <v>22</v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>
        <is>
          <t>https://www.tim.com.br/sp/para-voce/planos/pre-pago</t>
        </is>
      </c>
      <c r="V1176" s="2" t="inlineStr">
        <is>
          <t>data/raw/tim_prepaid_SP.html</t>
        </is>
      </c>
    </row>
    <row r="1177">
      <c r="A1177" s="5" t="inlineStr">
        <is>
          <t>2026-07-13</t>
        </is>
      </c>
      <c r="B1177" s="5" t="inlineStr">
        <is>
          <t>2026-07-13T14:56:28</t>
        </is>
      </c>
      <c r="C1177" s="5" t="inlineStr">
        <is>
          <t>vivo</t>
        </is>
      </c>
      <c r="D1177" s="5" t="inlineStr">
        <is>
          <t>control</t>
        </is>
      </c>
      <c r="E1177" s="5" t="inlineStr">
        <is>
          <t>SP</t>
        </is>
      </c>
      <c r="F1177" s="5" t="inlineStr">
        <is>
          <t>Vivo Controle</t>
        </is>
      </c>
      <c r="G1177" s="5" t="inlineStr">
        <is>
          <t>vivo:VIV202600029270-46gb</t>
        </is>
      </c>
      <c r="H1177" s="6" t="n">
        <v>59</v>
      </c>
      <c r="I1177" s="6" t="inlineStr"/>
      <c r="J1177" s="5" t="inlineStr"/>
      <c r="K1177" s="5" t="inlineStr"/>
      <c r="L1177" s="7" t="n">
        <v>46</v>
      </c>
      <c r="M1177" s="5" t="inlineStr">
        <is>
          <t>15 GB de franquia 31 GB de bônus</t>
        </is>
      </c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>
        <is>
          <t>2 meses de YouTube sem consumo no plano</t>
        </is>
      </c>
      <c r="U1177" s="5" t="inlineStr">
        <is>
          <t>https://vivo.com.br/para-voce/produtos-e-servicos/para-o-celular/planos-controle</t>
        </is>
      </c>
      <c r="V1177" s="5" t="inlineStr">
        <is>
          <t>data/raw/vivo_control_SP.html</t>
        </is>
      </c>
    </row>
    <row r="1178">
      <c r="A1178" s="2" t="inlineStr">
        <is>
          <t>2026-07-13</t>
        </is>
      </c>
      <c r="B1178" s="2" t="inlineStr">
        <is>
          <t>2026-07-13T14:56:28</t>
        </is>
      </c>
      <c r="C1178" s="2" t="inlineStr">
        <is>
          <t>vivo</t>
        </is>
      </c>
      <c r="D1178" s="2" t="inlineStr">
        <is>
          <t>control</t>
        </is>
      </c>
      <c r="E1178" s="2" t="inlineStr">
        <is>
          <t>SP</t>
        </is>
      </c>
      <c r="F1178" s="2" t="inlineStr">
        <is>
          <t>Vivo Controle</t>
        </is>
      </c>
      <c r="G1178" s="2" t="inlineStr">
        <is>
          <t>vivo:VIV202600029300-61gb</t>
        </is>
      </c>
      <c r="H1178" s="3" t="n">
        <v>80</v>
      </c>
      <c r="I1178" s="3" t="inlineStr"/>
      <c r="J1178" s="2" t="inlineStr"/>
      <c r="K1178" s="2" t="inlineStr"/>
      <c r="L1178" s="4" t="n">
        <v>61</v>
      </c>
      <c r="M1178" s="2" t="inlineStr">
        <is>
          <t>20 GB de franquia 31 GB de bônus</t>
        </is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>
        <is>
          <t>2 meses de YouTube sem consumo no plano</t>
        </is>
      </c>
      <c r="U1178" s="2" t="inlineStr">
        <is>
          <t>https://vivo.com.br/para-voce/produtos-e-servicos/para-o-celular/planos-controle</t>
        </is>
      </c>
      <c r="V1178" s="2" t="inlineStr">
        <is>
          <t>data/raw/vivo_control_SP.html</t>
        </is>
      </c>
    </row>
    <row r="1179">
      <c r="A1179" s="5" t="inlineStr">
        <is>
          <t>2026-07-13</t>
        </is>
      </c>
      <c r="B1179" s="5" t="inlineStr">
        <is>
          <t>2026-07-13T14:56:28</t>
        </is>
      </c>
      <c r="C1179" s="5" t="inlineStr">
        <is>
          <t>vivo</t>
        </is>
      </c>
      <c r="D1179" s="5" t="inlineStr">
        <is>
          <t>control</t>
        </is>
      </c>
      <c r="E1179" s="5" t="inlineStr">
        <is>
          <t>SP</t>
        </is>
      </c>
      <c r="F1179" s="5" t="inlineStr">
        <is>
          <t>Vivo Controle Educação</t>
        </is>
      </c>
      <c r="G1179" s="5" t="inlineStr">
        <is>
          <t>vivo:VIV202600029273-61gb</t>
        </is>
      </c>
      <c r="H1179" s="6" t="n">
        <v>90</v>
      </c>
      <c r="I1179" s="6" t="inlineStr"/>
      <c r="J1179" s="5" t="inlineStr"/>
      <c r="K1179" s="5" t="inlineStr"/>
      <c r="L1179" s="7" t="n">
        <v>61</v>
      </c>
      <c r="M1179" s="5" t="inlineStr">
        <is>
          <t>20 GB de franquia 31 GB de bônus</t>
        </is>
      </c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>
        <is>
          <t>Assinatura Vivae inclusa</t>
        </is>
      </c>
      <c r="U1179" s="5" t="inlineStr">
        <is>
          <t>https://vivo.com.br/para-voce/produtos-e-servicos/para-o-celular/planos-controle</t>
        </is>
      </c>
      <c r="V1179" s="5" t="inlineStr">
        <is>
          <t>data/raw/vivo_control_SP.html</t>
        </is>
      </c>
    </row>
    <row r="1180">
      <c r="A1180" s="2" t="inlineStr">
        <is>
          <t>2026-07-13</t>
        </is>
      </c>
      <c r="B1180" s="2" t="inlineStr">
        <is>
          <t>2026-07-13T14:56:28</t>
        </is>
      </c>
      <c r="C1180" s="2" t="inlineStr">
        <is>
          <t>vivo</t>
        </is>
      </c>
      <c r="D1180" s="2" t="inlineStr">
        <is>
          <t>control</t>
        </is>
      </c>
      <c r="E1180" s="2" t="inlineStr">
        <is>
          <t>SP</t>
        </is>
      </c>
      <c r="F1180" s="2" t="inlineStr">
        <is>
          <t>Vivo Controle Entretenimento</t>
        </is>
      </c>
      <c r="G1180" s="2" t="inlineStr">
        <is>
          <t>vivo:VIV202600029307-61gb</t>
        </is>
      </c>
      <c r="H1180" s="3" t="n">
        <v>110</v>
      </c>
      <c r="I1180" s="3" t="inlineStr"/>
      <c r="J1180" s="2" t="inlineStr"/>
      <c r="K1180" s="2" t="inlineStr"/>
      <c r="L1180" s="4" t="n">
        <v>61</v>
      </c>
      <c r="M1180" s="2" t="inlineStr">
        <is>
          <t>20 GB de franquia 31 GB de bônus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Assinatura Vivo TV Inicial inclusa</t>
        </is>
      </c>
      <c r="U1180" s="2" t="inlineStr">
        <is>
          <t>https://vivo.com.br/para-voce/produtos-e-servicos/para-o-celular/planos-controle</t>
        </is>
      </c>
      <c r="V1180" s="2" t="inlineStr">
        <is>
          <t>data/raw/vivo_control_SP.html</t>
        </is>
      </c>
    </row>
    <row r="1181">
      <c r="A1181" s="5" t="inlineStr">
        <is>
          <t>2026-07-13</t>
        </is>
      </c>
      <c r="B1181" s="5" t="inlineStr">
        <is>
          <t>2026-07-13T14:56:28</t>
        </is>
      </c>
      <c r="C1181" s="5" t="inlineStr">
        <is>
          <t>vivo</t>
        </is>
      </c>
      <c r="D1181" s="5" t="inlineStr">
        <is>
          <t>control</t>
        </is>
      </c>
      <c r="E1181" s="5" t="inlineStr">
        <is>
          <t>SP</t>
        </is>
      </c>
      <c r="F1181" s="5" t="inlineStr">
        <is>
          <t>Vivo Controle Música</t>
        </is>
      </c>
      <c r="G1181" s="5" t="inlineStr">
        <is>
          <t>vivo:VIV202600029313-61gb</t>
        </is>
      </c>
      <c r="H1181" s="6" t="n">
        <v>90</v>
      </c>
      <c r="I1181" s="6" t="inlineStr"/>
      <c r="J1181" s="5" t="inlineStr"/>
      <c r="K1181" s="5" t="inlineStr"/>
      <c r="L1181" s="7" t="n">
        <v>61</v>
      </c>
      <c r="M1181" s="5" t="inlineStr">
        <is>
          <t>20 GB de franquia 31 GB de bônus</t>
        </is>
      </c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>
        <is>
          <t>Apple Music Individual</t>
        </is>
      </c>
      <c r="U1181" s="5" t="inlineStr">
        <is>
          <t>https://vivo.com.br/para-voce/produtos-e-servicos/para-o-celular/planos-controle</t>
        </is>
      </c>
      <c r="V1181" s="5" t="inlineStr">
        <is>
          <t>data/raw/vivo_control_SP.html</t>
        </is>
      </c>
    </row>
    <row r="1182">
      <c r="A1182" s="2" t="inlineStr">
        <is>
          <t>2026-07-13</t>
        </is>
      </c>
      <c r="B1182" s="2" t="inlineStr">
        <is>
          <t>2026-07-13T14:56:28</t>
        </is>
      </c>
      <c r="C1182" s="2" t="inlineStr">
        <is>
          <t>vivo</t>
        </is>
      </c>
      <c r="D1182" s="2" t="inlineStr">
        <is>
          <t>control</t>
        </is>
      </c>
      <c r="E1182" s="2" t="inlineStr">
        <is>
          <t>SP</t>
        </is>
      </c>
      <c r="F1182" s="2" t="inlineStr">
        <is>
          <t>Vivo Controle Netflix</t>
        </is>
      </c>
      <c r="G1182" s="2" t="inlineStr">
        <is>
          <t>vivo:VIV202600029308-61gb</t>
        </is>
      </c>
      <c r="H1182" s="3" t="n">
        <v>95</v>
      </c>
      <c r="I1182" s="3" t="inlineStr"/>
      <c r="J1182" s="2" t="inlineStr"/>
      <c r="K1182" s="2" t="inlineStr"/>
      <c r="L1182" s="4" t="n">
        <v>61</v>
      </c>
      <c r="M1182" s="2" t="inlineStr">
        <is>
          <t>20 GB de franquia 31 GB de bônus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Assinatura Netflix Padrão com anúncios</t>
        </is>
      </c>
      <c r="U1182" s="2" t="inlineStr">
        <is>
          <t>https://vivo.com.br/para-voce/produtos-e-servicos/para-o-celular/planos-controle</t>
        </is>
      </c>
      <c r="V1182" s="2" t="inlineStr">
        <is>
          <t>data/raw/vivo_control_SP.html</t>
        </is>
      </c>
    </row>
    <row r="1183">
      <c r="A1183" s="5" t="inlineStr">
        <is>
          <t>2026-07-13</t>
        </is>
      </c>
      <c r="B1183" s="5" t="inlineStr">
        <is>
          <t>2026-07-13T14:56:28</t>
        </is>
      </c>
      <c r="C1183" s="5" t="inlineStr">
        <is>
          <t>vivo</t>
        </is>
      </c>
      <c r="D1183" s="5" t="inlineStr">
        <is>
          <t>control</t>
        </is>
      </c>
      <c r="E1183" s="5" t="inlineStr">
        <is>
          <t>SP</t>
        </is>
      </c>
      <c r="F1183" s="5" t="inlineStr">
        <is>
          <t>Vivo Controle Saúde</t>
        </is>
      </c>
      <c r="G1183" s="5" t="inlineStr">
        <is>
          <t>vivo:VIV202600029301-61gb</t>
        </is>
      </c>
      <c r="H1183" s="6" t="n">
        <v>90</v>
      </c>
      <c r="I1183" s="6" t="inlineStr"/>
      <c r="J1183" s="5" t="inlineStr"/>
      <c r="K1183" s="5" t="inlineStr"/>
      <c r="L1183" s="7" t="n">
        <v>61</v>
      </c>
      <c r="M1183" s="5" t="inlineStr">
        <is>
          <t>20 GB de franquia 31 GB de bônus</t>
        </is>
      </c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>
        <is>
          <t>Assinatura Vale Saúde Sempre inclusa</t>
        </is>
      </c>
      <c r="U1183" s="5" t="inlineStr">
        <is>
          <t>https://vivo.com.br/para-voce/produtos-e-servicos/para-o-celular/planos-controle</t>
        </is>
      </c>
      <c r="V1183" s="5" t="inlineStr">
        <is>
          <t>data/raw/vivo_control_SP.html</t>
        </is>
      </c>
    </row>
    <row r="1184">
      <c r="A1184" s="2" t="inlineStr">
        <is>
          <t>2026-07-13</t>
        </is>
      </c>
      <c r="B1184" s="2" t="inlineStr">
        <is>
          <t>2026-07-13T14:56:28</t>
        </is>
      </c>
      <c r="C1184" s="2" t="inlineStr">
        <is>
          <t>vivo</t>
        </is>
      </c>
      <c r="D1184" s="2" t="inlineStr">
        <is>
          <t>lite</t>
        </is>
      </c>
      <c r="E1184" s="2" t="inlineStr">
        <is>
          <t>SP</t>
        </is>
      </c>
      <c r="F1184" s="2" t="inlineStr">
        <is>
          <t>Easy Lite</t>
        </is>
      </c>
      <c r="G1184" s="2" t="inlineStr">
        <is>
          <t>vivo:VIV202600032594-30gb</t>
        </is>
      </c>
      <c r="H1184" s="3" t="n">
        <v>45</v>
      </c>
      <c r="I1184" s="3" t="n">
        <v>30</v>
      </c>
      <c r="J1184" s="2" t="inlineStr">
        <is>
          <t>preço sem fidelidade; fidelidade 12m no promo</t>
        </is>
      </c>
      <c r="K1184" s="2" t="inlineStr"/>
      <c r="L1184" s="4" t="n">
        <v>30</v>
      </c>
      <c r="M1184" s="2" t="inlineStr">
        <is>
          <t>30 GB de franquia</t>
        </is>
      </c>
      <c r="N1184" s="2" t="inlineStr"/>
      <c r="O1184" s="2" t="inlineStr"/>
      <c r="P1184" s="2" t="inlineStr"/>
      <c r="Q1184" s="2" t="inlineStr"/>
      <c r="R1184" s="2" t="inlineStr"/>
      <c r="S1184" s="2" t="n">
        <v>12</v>
      </c>
      <c r="T1184" s="2" t="inlineStr">
        <is>
          <t>2 meses de YouTube sem consumo no plano</t>
        </is>
      </c>
      <c r="U1184" s="2" t="inlineStr">
        <is>
          <t>https://vivo.com.br/para-voce/produtos-e-servicos/para-o-celular/easy-lite</t>
        </is>
      </c>
      <c r="V1184" s="2" t="inlineStr">
        <is>
          <t>data/raw/vivo_lite_SP.html</t>
        </is>
      </c>
    </row>
    <row r="1185">
      <c r="A1185" s="5" t="inlineStr">
        <is>
          <t>2026-07-13</t>
        </is>
      </c>
      <c r="B1185" s="5" t="inlineStr">
        <is>
          <t>2026-07-13T14:56:28</t>
        </is>
      </c>
      <c r="C1185" s="5" t="inlineStr">
        <is>
          <t>vivo</t>
        </is>
      </c>
      <c r="D1185" s="5" t="inlineStr">
        <is>
          <t>lite</t>
        </is>
      </c>
      <c r="E1185" s="5" t="inlineStr">
        <is>
          <t>SP</t>
        </is>
      </c>
      <c r="F1185" s="5" t="inlineStr">
        <is>
          <t>Easy Lite</t>
        </is>
      </c>
      <c r="G1185" s="5" t="inlineStr">
        <is>
          <t>vivo:VIV202600032596-40gb</t>
        </is>
      </c>
      <c r="H1185" s="6" t="n">
        <v>55</v>
      </c>
      <c r="I1185" s="6" t="n">
        <v>40</v>
      </c>
      <c r="J1185" s="5" t="inlineStr">
        <is>
          <t>preço sem fidelidade; fidelidade 12m no promo</t>
        </is>
      </c>
      <c r="K1185" s="5" t="inlineStr"/>
      <c r="L1185" s="7" t="n">
        <v>40</v>
      </c>
      <c r="M1185" s="5" t="inlineStr">
        <is>
          <t>40 GB de franquia</t>
        </is>
      </c>
      <c r="N1185" s="5" t="inlineStr"/>
      <c r="O1185" s="5" t="inlineStr"/>
      <c r="P1185" s="5" t="inlineStr"/>
      <c r="Q1185" s="5" t="inlineStr"/>
      <c r="R1185" s="5" t="inlineStr"/>
      <c r="S1185" s="5" t="n">
        <v>12</v>
      </c>
      <c r="T1185" s="5" t="inlineStr">
        <is>
          <t>2 meses de YouTube sem consumo no plano</t>
        </is>
      </c>
      <c r="U1185" s="5" t="inlineStr">
        <is>
          <t>https://vivo.com.br/para-voce/produtos-e-servicos/para-o-celular/easy-lite</t>
        </is>
      </c>
      <c r="V1185" s="5" t="inlineStr">
        <is>
          <t>data/raw/vivo_lite_SP.html</t>
        </is>
      </c>
    </row>
    <row r="1186">
      <c r="A1186" s="2" t="inlineStr">
        <is>
          <t>2026-07-13</t>
        </is>
      </c>
      <c r="B1186" s="2" t="inlineStr">
        <is>
          <t>2026-07-13T14:56:28</t>
        </is>
      </c>
      <c r="C1186" s="2" t="inlineStr">
        <is>
          <t>vivo</t>
        </is>
      </c>
      <c r="D1186" s="2" t="inlineStr">
        <is>
          <t>lite</t>
        </is>
      </c>
      <c r="E1186" s="2" t="inlineStr">
        <is>
          <t>SP</t>
        </is>
      </c>
      <c r="F1186" s="2" t="inlineStr">
        <is>
          <t>Easy Lite</t>
        </is>
      </c>
      <c r="G1186" s="2" t="inlineStr">
        <is>
          <t>vivo:VIV202600032599-20gb</t>
        </is>
      </c>
      <c r="H1186" s="3" t="n">
        <v>35</v>
      </c>
      <c r="I1186" s="3" t="inlineStr"/>
      <c r="J1186" s="2" t="inlineStr"/>
      <c r="K1186" s="2" t="inlineStr"/>
      <c r="L1186" s="4" t="n">
        <v>20</v>
      </c>
      <c r="M1186" s="2" t="inlineStr">
        <is>
          <t>20 GB de franquia</t>
        </is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>
        <is>
          <t>2 meses de YouTube sem consumo no plano</t>
        </is>
      </c>
      <c r="U1186" s="2" t="inlineStr">
        <is>
          <t>https://vivo.com.br/para-voce/produtos-e-servicos/para-o-celular/easy-lite</t>
        </is>
      </c>
      <c r="V1186" s="2" t="inlineStr">
        <is>
          <t>data/raw/vivo_lite_SP.html</t>
        </is>
      </c>
    </row>
    <row r="1187">
      <c r="A1187" s="5" t="inlineStr">
        <is>
          <t>2026-07-13</t>
        </is>
      </c>
      <c r="B1187" s="5" t="inlineStr">
        <is>
          <t>2026-07-13T14:56:28</t>
        </is>
      </c>
      <c r="C1187" s="5" t="inlineStr">
        <is>
          <t>vivo</t>
        </is>
      </c>
      <c r="D1187" s="5" t="inlineStr">
        <is>
          <t>postpaid</t>
        </is>
      </c>
      <c r="E1187" s="5" t="inlineStr">
        <is>
          <t>SP</t>
        </is>
      </c>
      <c r="F1187" s="5" t="inlineStr">
        <is>
          <t>Vivo Pós com Amazon</t>
        </is>
      </c>
      <c r="G1187" s="5" t="inlineStr">
        <is>
          <t>vivo:VIV202600029255-60gb</t>
        </is>
      </c>
      <c r="H1187" s="6" t="n">
        <v>150</v>
      </c>
      <c r="I1187" s="6" t="inlineStr"/>
      <c r="J1187" s="5" t="inlineStr"/>
      <c r="K1187" s="5" t="inlineStr"/>
      <c r="L1187" s="7" t="n">
        <v>60</v>
      </c>
      <c r="M1187" s="5" t="inlineStr">
        <is>
          <t>50 GB de franquia 10 GB de bônus</t>
        </is>
      </c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>
        <is>
          <t>Assinatura Amazon Prime inclusa</t>
        </is>
      </c>
      <c r="U1187" s="5" t="inlineStr">
        <is>
          <t>https://vivo.com.br/para-voce/produtos-e-servicos/para-o-celular/planos-pos-pago</t>
        </is>
      </c>
      <c r="V1187" s="5" t="inlineStr">
        <is>
          <t>data/raw/vivo_postpaid_SP.html</t>
        </is>
      </c>
    </row>
    <row r="1188">
      <c r="A1188" s="2" t="inlineStr">
        <is>
          <t>2026-07-13</t>
        </is>
      </c>
      <c r="B1188" s="2" t="inlineStr">
        <is>
          <t>2026-07-13T14:56:28</t>
        </is>
      </c>
      <c r="C1188" s="2" t="inlineStr">
        <is>
          <t>vivo</t>
        </is>
      </c>
      <c r="D1188" s="2" t="inlineStr">
        <is>
          <t>postpaid</t>
        </is>
      </c>
      <c r="E1188" s="2" t="inlineStr">
        <is>
          <t>SP</t>
        </is>
      </c>
      <c r="F1188" s="2" t="inlineStr">
        <is>
          <t>Vivo Pós com Disney+</t>
        </is>
      </c>
      <c r="G1188" s="2" t="inlineStr">
        <is>
          <t>vivo:VIV202600022115-60gb</t>
        </is>
      </c>
      <c r="H1188" s="3" t="n">
        <v>180</v>
      </c>
      <c r="I1188" s="3" t="inlineStr"/>
      <c r="J1188" s="2" t="inlineStr"/>
      <c r="K1188" s="2" t="inlineStr"/>
      <c r="L1188" s="4" t="n">
        <v>60</v>
      </c>
      <c r="M1188" s="2" t="inlineStr">
        <is>
          <t>50 GB de franquia 10 GB de bônus</t>
        </is>
      </c>
      <c r="N1188" s="2" t="inlineStr"/>
      <c r="O1188" s="2" t="inlineStr"/>
      <c r="P1188" s="2" t="inlineStr"/>
      <c r="Q1188" s="2" t="inlineStr"/>
      <c r="R1188" s="2" t="inlineStr">
        <is>
          <t>Disney+</t>
        </is>
      </c>
      <c r="S1188" s="2" t="inlineStr"/>
      <c r="T1188" s="2" t="inlineStr">
        <is>
          <t>Assinatura Disney+ Padrão inclusa</t>
        </is>
      </c>
      <c r="U1188" s="2" t="inlineStr">
        <is>
          <t>https://vivo.com.br/para-voce/produtos-e-servicos/para-o-celular/planos-pos-pago</t>
        </is>
      </c>
      <c r="V1188" s="2" t="inlineStr">
        <is>
          <t>data/raw/vivo_postpaid_SP.html</t>
        </is>
      </c>
    </row>
    <row r="1189">
      <c r="A1189" s="5" t="inlineStr">
        <is>
          <t>2026-07-13</t>
        </is>
      </c>
      <c r="B1189" s="5" t="inlineStr">
        <is>
          <t>2026-07-13T14:56:28</t>
        </is>
      </c>
      <c r="C1189" s="5" t="inlineStr">
        <is>
          <t>vivo</t>
        </is>
      </c>
      <c r="D1189" s="5" t="inlineStr">
        <is>
          <t>postpaid</t>
        </is>
      </c>
      <c r="E1189" s="5" t="inlineStr">
        <is>
          <t>SP</t>
        </is>
      </c>
      <c r="F1189" s="5" t="inlineStr">
        <is>
          <t>Vivo Pós com Globoplay</t>
        </is>
      </c>
      <c r="G1189" s="5" t="inlineStr">
        <is>
          <t>vivo:VIV202600029246-60gb</t>
        </is>
      </c>
      <c r="H1189" s="6" t="n">
        <v>165</v>
      </c>
      <c r="I1189" s="6" t="inlineStr"/>
      <c r="J1189" s="5" t="inlineStr"/>
      <c r="K1189" s="5" t="inlineStr"/>
      <c r="L1189" s="7" t="n">
        <v>60</v>
      </c>
      <c r="M1189" s="5" t="inlineStr">
        <is>
          <t>50 GB de franquia 10 GB de bônus</t>
        </is>
      </c>
      <c r="N1189" s="5" t="inlineStr"/>
      <c r="O1189" s="5" t="inlineStr"/>
      <c r="P1189" s="5" t="inlineStr"/>
      <c r="Q1189" s="5" t="inlineStr"/>
      <c r="R1189" s="5" t="inlineStr">
        <is>
          <t>Globoplay</t>
        </is>
      </c>
      <c r="S1189" s="5" t="inlineStr"/>
      <c r="T1189" s="5" t="inlineStr">
        <is>
          <t>Assinatura Globoplay inclusa</t>
        </is>
      </c>
      <c r="U1189" s="5" t="inlineStr">
        <is>
          <t>https://vivo.com.br/para-voce/produtos-e-servicos/para-o-celular/planos-pos-pago</t>
        </is>
      </c>
      <c r="V1189" s="5" t="inlineStr">
        <is>
          <t>data/raw/vivo_postpaid_SP.html</t>
        </is>
      </c>
    </row>
    <row r="1190">
      <c r="A1190" s="2" t="inlineStr">
        <is>
          <t>2026-07-13</t>
        </is>
      </c>
      <c r="B1190" s="2" t="inlineStr">
        <is>
          <t>2026-07-13T14:56:28</t>
        </is>
      </c>
      <c r="C1190" s="2" t="inlineStr">
        <is>
          <t>vivo</t>
        </is>
      </c>
      <c r="D1190" s="2" t="inlineStr">
        <is>
          <t>postpaid</t>
        </is>
      </c>
      <c r="E1190" s="2" t="inlineStr">
        <is>
          <t>SP</t>
        </is>
      </c>
      <c r="F1190" s="2" t="inlineStr">
        <is>
          <t>Vivo Pós com Netflix</t>
        </is>
      </c>
      <c r="G1190" s="2" t="inlineStr">
        <is>
          <t>vivo:VIV202600029234-60gb</t>
        </is>
      </c>
      <c r="H1190" s="3" t="n">
        <v>180</v>
      </c>
      <c r="I1190" s="3" t="inlineStr"/>
      <c r="J1190" s="2" t="inlineStr"/>
      <c r="K1190" s="2" t="inlineStr"/>
      <c r="L1190" s="4" t="n">
        <v>60</v>
      </c>
      <c r="M1190" s="2" t="inlineStr">
        <is>
          <t>50 GB de franquia 10 GB de bônus</t>
        </is>
      </c>
      <c r="N1190" s="2" t="inlineStr"/>
      <c r="O1190" s="2" t="inlineStr"/>
      <c r="P1190" s="2" t="inlineStr"/>
      <c r="Q1190" s="2" t="inlineStr"/>
      <c r="R1190" s="2" t="inlineStr">
        <is>
          <t>Netflix</t>
        </is>
      </c>
      <c r="S1190" s="2" t="inlineStr"/>
      <c r="T1190" s="2" t="inlineStr">
        <is>
          <t>Assinatura Netflix Padrão inclusa</t>
        </is>
      </c>
      <c r="U1190" s="2" t="inlineStr">
        <is>
          <t>https://vivo.com.br/para-voce/produtos-e-servicos/para-o-celular/planos-pos-pago</t>
        </is>
      </c>
      <c r="V1190" s="2" t="inlineStr">
        <is>
          <t>data/raw/vivo_postpaid_SP.html</t>
        </is>
      </c>
    </row>
    <row r="1191">
      <c r="A1191" s="5" t="inlineStr">
        <is>
          <t>2026-07-13</t>
        </is>
      </c>
      <c r="B1191" s="5" t="inlineStr">
        <is>
          <t>2026-07-13T14:56:28</t>
        </is>
      </c>
      <c r="C1191" s="5" t="inlineStr">
        <is>
          <t>vivo</t>
        </is>
      </c>
      <c r="D1191" s="5" t="inlineStr">
        <is>
          <t>postpaid</t>
        </is>
      </c>
      <c r="E1191" s="5" t="inlineStr">
        <is>
          <t>SP</t>
        </is>
      </c>
      <c r="F1191" s="5" t="inlineStr">
        <is>
          <t>Vivo Pós com Premiere</t>
        </is>
      </c>
      <c r="G1191" s="5" t="inlineStr">
        <is>
          <t>vivo:VIV202600029249-60gb</t>
        </is>
      </c>
      <c r="H1191" s="6" t="n">
        <v>180</v>
      </c>
      <c r="I1191" s="6" t="inlineStr"/>
      <c r="J1191" s="5" t="inlineStr"/>
      <c r="K1191" s="5" t="inlineStr"/>
      <c r="L1191" s="7" t="n">
        <v>60</v>
      </c>
      <c r="M1191" s="5" t="inlineStr">
        <is>
          <t>50 GB de franquia 10 GB de bônus</t>
        </is>
      </c>
      <c r="N1191" s="5" t="inlineStr"/>
      <c r="O1191" s="5" t="inlineStr"/>
      <c r="P1191" s="5" t="inlineStr"/>
      <c r="Q1191" s="5" t="inlineStr"/>
      <c r="R1191" s="5" t="inlineStr">
        <is>
          <t>Premiere</t>
        </is>
      </c>
      <c r="S1191" s="5" t="inlineStr"/>
      <c r="T1191" s="5" t="inlineStr">
        <is>
          <t>Assinatura Premiere inclusa</t>
        </is>
      </c>
      <c r="U1191" s="5" t="inlineStr">
        <is>
          <t>https://vivo.com.br/para-voce/produtos-e-servicos/para-o-celular/planos-pos-pago</t>
        </is>
      </c>
      <c r="V1191" s="5" t="inlineStr">
        <is>
          <t>data/raw/vivo_postpaid_SP.html</t>
        </is>
      </c>
    </row>
    <row r="1192">
      <c r="A1192" s="2" t="inlineStr">
        <is>
          <t>2026-07-13</t>
        </is>
      </c>
      <c r="B1192" s="2" t="inlineStr">
        <is>
          <t>2026-07-13T14:56:28</t>
        </is>
      </c>
      <c r="C1192" s="2" t="inlineStr">
        <is>
          <t>vivo</t>
        </is>
      </c>
      <c r="D1192" s="2" t="inlineStr">
        <is>
          <t>postpaid</t>
        </is>
      </c>
      <c r="E1192" s="2" t="inlineStr">
        <is>
          <t>SP</t>
        </is>
      </c>
      <c r="F1192" s="2" t="inlineStr">
        <is>
          <t>Vivo Pós com Spotify</t>
        </is>
      </c>
      <c r="G1192" s="2" t="inlineStr">
        <is>
          <t>vivo:VIV202600029229-60gb</t>
        </is>
      </c>
      <c r="H1192" s="3" t="n">
        <v>165</v>
      </c>
      <c r="I1192" s="3" t="inlineStr"/>
      <c r="J1192" s="2" t="inlineStr"/>
      <c r="K1192" s="2" t="inlineStr"/>
      <c r="L1192" s="4" t="n">
        <v>60</v>
      </c>
      <c r="M1192" s="2" t="inlineStr">
        <is>
          <t>50 GB de franquia 10 GB de bônus</t>
        </is>
      </c>
      <c r="N1192" s="2" t="inlineStr"/>
      <c r="O1192" s="2" t="inlineStr"/>
      <c r="P1192" s="2" t="inlineStr"/>
      <c r="Q1192" s="2" t="inlineStr"/>
      <c r="R1192" s="2" t="inlineStr">
        <is>
          <t>Spotify</t>
        </is>
      </c>
      <c r="S1192" s="2" t="inlineStr"/>
      <c r="T1192" s="2" t="inlineStr">
        <is>
          <t>Assinatura Spotify Premium inclusa</t>
        </is>
      </c>
      <c r="U1192" s="2" t="inlineStr">
        <is>
          <t>https://vivo.com.br/para-voce/produtos-e-servicos/para-o-celular/planos-pos-pago</t>
        </is>
      </c>
      <c r="V1192" s="2" t="inlineStr">
        <is>
          <t>data/raw/vivo_postpaid_SP.html</t>
        </is>
      </c>
    </row>
    <row r="1193">
      <c r="A1193" s="5" t="inlineStr">
        <is>
          <t>2026-07-13</t>
        </is>
      </c>
      <c r="B1193" s="5" t="inlineStr">
        <is>
          <t>2026-07-13T14:56:28</t>
        </is>
      </c>
      <c r="C1193" s="5" t="inlineStr">
        <is>
          <t>vivo</t>
        </is>
      </c>
      <c r="D1193" s="5" t="inlineStr">
        <is>
          <t>postpaid</t>
        </is>
      </c>
      <c r="E1193" s="5" t="inlineStr">
        <is>
          <t>SP</t>
        </is>
      </c>
      <c r="F1193" s="5" t="inlineStr">
        <is>
          <t>Vivo Pós com Travel</t>
        </is>
      </c>
      <c r="G1193" s="5" t="inlineStr">
        <is>
          <t>vivo:VIV202600029244-70gb</t>
        </is>
      </c>
      <c r="H1193" s="6" t="n">
        <v>215</v>
      </c>
      <c r="I1193" s="6" t="inlineStr"/>
      <c r="J1193" s="5" t="inlineStr"/>
      <c r="K1193" s="5" t="inlineStr"/>
      <c r="L1193" s="7" t="n">
        <v>70</v>
      </c>
      <c r="M1193" s="5" t="inlineStr">
        <is>
          <t>60 GB de franquia 10 GB de bônus</t>
        </is>
      </c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>
        <is>
          <t>2 meses de YouTube sem consumo no plano</t>
        </is>
      </c>
      <c r="U1193" s="5" t="inlineStr">
        <is>
          <t>https://vivo.com.br/para-voce/produtos-e-servicos/para-o-celular/planos-pos-pago</t>
        </is>
      </c>
      <c r="V1193" s="5" t="inlineStr">
        <is>
          <t>data/raw/vivo_postpaid_SP.html</t>
        </is>
      </c>
    </row>
    <row r="1194">
      <c r="A1194" s="2" t="inlineStr">
        <is>
          <t>2026-07-13</t>
        </is>
      </c>
      <c r="B1194" s="2" t="inlineStr">
        <is>
          <t>2026-07-13T14:56:28</t>
        </is>
      </c>
      <c r="C1194" s="2" t="inlineStr">
        <is>
          <t>vivo</t>
        </is>
      </c>
      <c r="D1194" s="2" t="inlineStr">
        <is>
          <t>prepaid</t>
        </is>
      </c>
      <c r="E1194" s="2" t="inlineStr">
        <is>
          <t>SP</t>
        </is>
      </c>
      <c r="F1194" s="2" t="inlineStr">
        <is>
          <t>Vivo Pré</t>
        </is>
      </c>
      <c r="G1194" s="2" t="inlineStr">
        <is>
          <t>vivo:VIV202600029370-25gb</t>
        </is>
      </c>
      <c r="H1194" s="3" t="n">
        <v>30</v>
      </c>
      <c r="I1194" s="3" t="inlineStr"/>
      <c r="J1194" s="2" t="inlineStr"/>
      <c r="K1194" s="2" t="inlineStr"/>
      <c r="L1194" s="4" t="n">
        <v>25</v>
      </c>
      <c r="M1194" s="2" t="inlineStr">
        <is>
          <t>15 GB para navegar como quiser 5 GB de bônus 5 GB para navegar no Youtube</t>
        </is>
      </c>
      <c r="N1194" s="2" t="n">
        <v>30</v>
      </c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>
        <is>
          <t>https://vivo.com.br/para-voce/produtos-e-servicos/para-o-celular/pre-pago/vivo-pre</t>
        </is>
      </c>
      <c r="V1194" s="2" t="inlineStr">
        <is>
          <t>data/raw/vivo_prepaid_SP.html</t>
        </is>
      </c>
    </row>
    <row r="1195">
      <c r="A1195" s="5" t="inlineStr">
        <is>
          <t>2026-07-13</t>
        </is>
      </c>
      <c r="B1195" s="5" t="inlineStr">
        <is>
          <t>2026-07-13T14:56:28</t>
        </is>
      </c>
      <c r="C1195" s="5" t="inlineStr">
        <is>
          <t>vivo</t>
        </is>
      </c>
      <c r="D1195" s="5" t="inlineStr">
        <is>
          <t>prepaid</t>
        </is>
      </c>
      <c r="E1195" s="5" t="inlineStr">
        <is>
          <t>SP</t>
        </is>
      </c>
      <c r="F1195" s="5" t="inlineStr">
        <is>
          <t>Vivo Pré</t>
        </is>
      </c>
      <c r="G1195" s="5" t="inlineStr">
        <is>
          <t>vivo:VIV202600029370-9gb</t>
        </is>
      </c>
      <c r="H1195" s="6" t="n">
        <v>25</v>
      </c>
      <c r="I1195" s="6" t="inlineStr"/>
      <c r="J1195" s="5" t="inlineStr"/>
      <c r="K1195" s="5" t="inlineStr"/>
      <c r="L1195" s="7" t="n">
        <v>9</v>
      </c>
      <c r="M1195" s="5" t="inlineStr">
        <is>
          <t>6 GB para navegar como quiser 3 GB para navegar no YouTube</t>
        </is>
      </c>
      <c r="N1195" s="5" t="n">
        <v>22</v>
      </c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>
        <is>
          <t>https://vivo.com.br/para-voce/produtos-e-servicos/para-o-celular/pre-pago/vivo-pre</t>
        </is>
      </c>
      <c r="V1195" s="5" t="inlineStr">
        <is>
          <t>data/raw/vivo_prepaid_SP.html</t>
        </is>
      </c>
    </row>
    <row r="1196">
      <c r="A1196" s="2" t="inlineStr">
        <is>
          <t>2026-07-13</t>
        </is>
      </c>
      <c r="B1196" s="2" t="inlineStr">
        <is>
          <t>2026-07-13T14:56:28</t>
        </is>
      </c>
      <c r="C1196" s="2" t="inlineStr">
        <is>
          <t>vivo</t>
        </is>
      </c>
      <c r="D1196" s="2" t="inlineStr">
        <is>
          <t>prepaid</t>
        </is>
      </c>
      <c r="E1196" s="2" t="inlineStr">
        <is>
          <t>SP</t>
        </is>
      </c>
      <c r="F1196" s="2" t="inlineStr">
        <is>
          <t>Vivo Pré</t>
        </is>
      </c>
      <c r="G1196" s="2" t="inlineStr">
        <is>
          <t>vivo:VIV202600029370-5gb</t>
        </is>
      </c>
      <c r="H1196" s="3" t="n">
        <v>20</v>
      </c>
      <c r="I1196" s="3" t="inlineStr"/>
      <c r="J1196" s="2" t="inlineStr"/>
      <c r="K1196" s="2" t="inlineStr"/>
      <c r="L1196" s="4" t="n">
        <v>5</v>
      </c>
      <c r="M1196" s="2" t="inlineStr">
        <is>
          <t>5 GB para navegar como quiser</t>
        </is>
      </c>
      <c r="N1196" s="2" t="n">
        <v>17</v>
      </c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>
        <is>
          <t>https://vivo.com.br/para-voce/produtos-e-servicos/para-o-celular/pre-pago/vivo-pre</t>
        </is>
      </c>
      <c r="V1196" s="2" t="inlineStr">
        <is>
          <t>data/raw/vivo_prepaid_SP.html</t>
        </is>
      </c>
    </row>
    <row r="1197">
      <c r="A1197" s="5" t="inlineStr">
        <is>
          <t>2026-07-13</t>
        </is>
      </c>
      <c r="B1197" s="5" t="inlineStr">
        <is>
          <t>2026-07-13T14:56:28</t>
        </is>
      </c>
      <c r="C1197" s="5" t="inlineStr">
        <is>
          <t>vivo</t>
        </is>
      </c>
      <c r="D1197" s="5" t="inlineStr">
        <is>
          <t>prepaid</t>
        </is>
      </c>
      <c r="E1197" s="5" t="inlineStr">
        <is>
          <t>SP</t>
        </is>
      </c>
      <c r="F1197" s="5" t="inlineStr">
        <is>
          <t>Vivo Pré</t>
        </is>
      </c>
      <c r="G1197" s="5" t="inlineStr">
        <is>
          <t>vivo:VIV202600029370-4gb</t>
        </is>
      </c>
      <c r="H1197" s="6" t="n">
        <v>17</v>
      </c>
      <c r="I1197" s="6" t="inlineStr"/>
      <c r="J1197" s="5" t="inlineStr"/>
      <c r="K1197" s="5" t="inlineStr"/>
      <c r="L1197" s="7" t="n">
        <v>4</v>
      </c>
      <c r="M1197" s="5" t="inlineStr">
        <is>
          <t>4 GB para navegar como quiser</t>
        </is>
      </c>
      <c r="N1197" s="5" t="n">
        <v>15</v>
      </c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>
        <is>
          <t>https://vivo.com.br/para-voce/produtos-e-servicos/para-o-celular/pre-pago/vivo-pre</t>
        </is>
      </c>
      <c r="V1197" s="5" t="inlineStr">
        <is>
          <t>data/raw/vivo_prepaid_SP.html</t>
        </is>
      </c>
    </row>
  </sheetData>
  <autoFilter ref="A1:V1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V5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2026-07-13</t>
        </is>
      </c>
      <c r="B2" s="2" t="inlineStr">
        <is>
          <t>2026-07-13T14:56:28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2026-07-13</t>
        </is>
      </c>
      <c r="B3" s="5" t="inlineStr">
        <is>
          <t>2026-07-13T14:56:28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especial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2026-07-13</t>
        </is>
      </c>
      <c r="B4" s="2" t="inlineStr">
        <is>
          <t>2026-07-13T14:56:28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2026-07-13</t>
        </is>
      </c>
      <c r="B5" s="5" t="inlineStr">
        <is>
          <t>2026-07-13T14:56:28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especial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2026-07-13</t>
        </is>
      </c>
      <c r="B6" s="2" t="inlineStr">
        <is>
          <t>2026-07-13T14:56:28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especial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2026-07-13</t>
        </is>
      </c>
      <c r="B7" s="5" t="inlineStr">
        <is>
          <t>2026-07-13T14:56:28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especial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2026-07-13</t>
        </is>
      </c>
      <c r="B8" s="2" t="inlineStr">
        <is>
          <t>2026-07-13T14:56:28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2026-07-13</t>
        </is>
      </c>
      <c r="B9" s="5" t="inlineStr">
        <is>
          <t>2026-07-13T14:56:28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2026-07-13</t>
        </is>
      </c>
      <c r="B10" s="2" t="inlineStr">
        <is>
          <t>2026-07-13T14:56:28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2026-07-13</t>
        </is>
      </c>
      <c r="B11" s="5" t="inlineStr">
        <is>
          <t>2026-07-13T14:56:28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2026-07-13</t>
        </is>
      </c>
      <c r="B12" s="2" t="inlineStr">
        <is>
          <t>2026-07-13T14:56:28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2026-07-13</t>
        </is>
      </c>
      <c r="B13" s="5" t="inlineStr">
        <is>
          <t>2026-07-13T14:56:28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2026-07-13</t>
        </is>
      </c>
      <c r="B14" s="2" t="inlineStr">
        <is>
          <t>2026-07-13T14:56:28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2" t="inlineStr"/>
      <c r="L14" s="4" t="n">
        <v>10</v>
      </c>
      <c r="M14" s="2" t="inlineStr"/>
      <c r="N14" s="2" t="n">
        <v>25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2026-07-13</t>
        </is>
      </c>
      <c r="B15" s="5" t="inlineStr">
        <is>
          <t>2026-07-13T14:56:28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5" t="inlineStr"/>
      <c r="L15" s="7" t="n">
        <v>12</v>
      </c>
      <c r="M15" s="5" t="inlineStr"/>
      <c r="N15" s="5" t="n">
        <v>30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https://www.claro.com.br/celular/planos-pre/prezao</t>
        </is>
      </c>
      <c r="V15" s="5" t="inlineStr">
        <is>
          <t>data/raw/claro_prepaid_SP.json</t>
        </is>
      </c>
    </row>
    <row r="16">
      <c r="A16" s="2" t="inlineStr">
        <is>
          <t>2026-07-13</t>
        </is>
      </c>
      <c r="B16" s="2" t="inlineStr">
        <is>
          <t>2026-07-13T14:56:28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2" t="inlineStr"/>
      <c r="L16" s="4" t="n">
        <v>4</v>
      </c>
      <c r="M16" s="2" t="inlineStr"/>
      <c r="N16" s="2" t="n">
        <v>12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https://www.claro.com.br/celular/planos-pre/prezao</t>
        </is>
      </c>
      <c r="V16" s="2" t="inlineStr">
        <is>
          <t>data/raw/claro_prepaid_SP.json</t>
        </is>
      </c>
    </row>
    <row r="17">
      <c r="A17" s="5" t="inlineStr">
        <is>
          <t>2026-07-13</t>
        </is>
      </c>
      <c r="B17" s="5" t="inlineStr">
        <is>
          <t>2026-07-13T14:56:28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5" t="inlineStr"/>
      <c r="L17" s="7" t="n">
        <v>5</v>
      </c>
      <c r="M17" s="5" t="inlineStr"/>
      <c r="N17" s="5" t="n">
        <v>15</v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https://www.claro.com.br/celular/planos-pre/prezao</t>
        </is>
      </c>
      <c r="V17" s="5" t="inlineStr">
        <is>
          <t>data/raw/claro_prepaid_SP.json</t>
        </is>
      </c>
    </row>
    <row r="18">
      <c r="A18" s="2" t="inlineStr">
        <is>
          <t>2026-07-13</t>
        </is>
      </c>
      <c r="B18" s="2" t="inlineStr">
        <is>
          <t>2026-07-13T14:56:28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2" t="inlineStr"/>
      <c r="L18" s="4" t="n">
        <v>6</v>
      </c>
      <c r="M18" s="2" t="inlineStr"/>
      <c r="N18" s="2" t="n">
        <v>20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https://www.claro.com.br/celular/planos-pre/prezao</t>
        </is>
      </c>
      <c r="V18" s="2" t="inlineStr">
        <is>
          <t>data/raw/claro_prepaid_SP.json</t>
        </is>
      </c>
    </row>
    <row r="19">
      <c r="A19" s="5" t="inlineStr">
        <is>
          <t>2026-07-13</t>
        </is>
      </c>
      <c r="B19" s="5" t="inlineStr">
        <is>
          <t>2026-07-13T14:56:28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5" t="inlineStr"/>
      <c r="L19" s="7" t="n">
        <v>8</v>
      </c>
      <c r="M19" s="5" t="inlineStr"/>
      <c r="N19" s="5" t="n">
        <v>20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https://www.claro.com.br/celular/planos-pre/prezao</t>
        </is>
      </c>
      <c r="V19" s="5" t="inlineStr">
        <is>
          <t>data/raw/claro_prepaid_SP.json</t>
        </is>
      </c>
    </row>
    <row r="20">
      <c r="A20" s="2" t="inlineStr">
        <is>
          <t>2026-07-13</t>
        </is>
      </c>
      <c r="B20" s="2" t="inlineStr">
        <is>
          <t>2026-07-13T14:56:28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2" t="inlineStr"/>
      <c r="L20" s="4" t="n">
        <v>9</v>
      </c>
      <c r="M20" s="2" t="inlineStr"/>
      <c r="N20" s="2" t="n">
        <v>25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https://www.claro.com.br/celular/planos-pre/prezao</t>
        </is>
      </c>
      <c r="V20" s="2" t="inlineStr">
        <is>
          <t>data/raw/claro_prepaid_SP.json</t>
        </is>
      </c>
    </row>
    <row r="21">
      <c r="A21" s="5" t="inlineStr">
        <is>
          <t>2026-07-13</t>
        </is>
      </c>
      <c r="B21" s="5" t="inlineStr">
        <is>
          <t>2026-07-13T14:56:28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41GB</t>
        </is>
      </c>
      <c r="G21" s="5" t="inlineStr">
        <is>
          <t>tim:167036</t>
        </is>
      </c>
      <c r="H21" s="6" t="n">
        <v>49.99</v>
      </c>
      <c r="I21" s="6" t="inlineStr"/>
      <c r="J21" s="5" t="inlineStr"/>
      <c r="K21" s="5" t="inlineStr"/>
      <c r="L21" s="7" t="n">
        <v>41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https://www.tim.com.br/sp/para-voce/planos/controle</t>
        </is>
      </c>
      <c r="V21" s="5" t="inlineStr">
        <is>
          <t>data/raw/tim_control_SP.html</t>
        </is>
      </c>
    </row>
    <row r="22">
      <c r="A22" s="2" t="inlineStr">
        <is>
          <t>2026-07-13</t>
        </is>
      </c>
      <c r="B22" s="2" t="inlineStr">
        <is>
          <t>2026-07-13T14:56:28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Light Express 31GB</t>
        </is>
      </c>
      <c r="G22" s="2" t="inlineStr">
        <is>
          <t>tim:167046</t>
        </is>
      </c>
      <c r="H22" s="3" t="n">
        <v>60.99</v>
      </c>
      <c r="I22" s="3" t="inlineStr"/>
      <c r="J22" s="2" t="inlineStr"/>
      <c r="K22" s="2" t="inlineStr"/>
      <c r="L22" s="4" t="n">
        <v>31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https://www.tim.com.br/sp/para-voce/planos/controle</t>
        </is>
      </c>
      <c r="V22" s="2" t="inlineStr">
        <is>
          <t>data/raw/tim_control_SP.html</t>
        </is>
      </c>
    </row>
    <row r="23">
      <c r="A23" s="5" t="inlineStr">
        <is>
          <t>2026-07-13</t>
        </is>
      </c>
      <c r="B23" s="5" t="inlineStr">
        <is>
          <t>2026-07-13T14:56:28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Plus 45GB</t>
        </is>
      </c>
      <c r="G23" s="5" t="inlineStr">
        <is>
          <t>tim:167031</t>
        </is>
      </c>
      <c r="H23" s="6" t="n">
        <v>59.99</v>
      </c>
      <c r="I23" s="6" t="inlineStr"/>
      <c r="J23" s="5" t="inlineStr"/>
      <c r="K23" s="5" t="inlineStr"/>
      <c r="L23" s="7" t="n">
        <v>45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https://www.tim.com.br/sp/para-voce/planos/controle</t>
        </is>
      </c>
      <c r="V23" s="5" t="inlineStr">
        <is>
          <t>data/raw/tim_control_SP.html</t>
        </is>
      </c>
    </row>
    <row r="24">
      <c r="A24" s="2" t="inlineStr">
        <is>
          <t>2026-07-13</t>
        </is>
      </c>
      <c r="B24" s="2" t="inlineStr">
        <is>
          <t>2026-07-13T14:56:28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Premium 53GB</t>
        </is>
      </c>
      <c r="G24" s="2" t="inlineStr">
        <is>
          <t>tim:167041</t>
        </is>
      </c>
      <c r="H24" s="3" t="n">
        <v>69.98999999999999</v>
      </c>
      <c r="I24" s="3" t="inlineStr"/>
      <c r="J24" s="2" t="inlineStr"/>
      <c r="K24" s="2" t="inlineStr"/>
      <c r="L24" s="4" t="n">
        <v>53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https://www.tim.com.br/sp/para-voce/planos/controle</t>
        </is>
      </c>
      <c r="V24" s="2" t="inlineStr">
        <is>
          <t>data/raw/tim_control_SP.html</t>
        </is>
      </c>
    </row>
    <row r="25">
      <c r="A25" s="5" t="inlineStr">
        <is>
          <t>2026-07-13</t>
        </is>
      </c>
      <c r="B25" s="5" t="inlineStr">
        <is>
          <t>2026-07-13T14:56:28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Pro Express</t>
        </is>
      </c>
      <c r="G25" s="5" t="inlineStr">
        <is>
          <t>tim:167051</t>
        </is>
      </c>
      <c r="H25" s="6" t="n">
        <v>64.98999999999999</v>
      </c>
      <c r="I25" s="6" t="inlineStr"/>
      <c r="J25" s="5" t="inlineStr"/>
      <c r="K25" s="5" t="inlineStr"/>
      <c r="L25" s="7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https://www.tim.com.br/sp/para-voce/planos/controle</t>
        </is>
      </c>
      <c r="V25" s="5" t="inlineStr">
        <is>
          <t>data/raw/tim_control_SP.html</t>
        </is>
      </c>
    </row>
    <row r="26">
      <c r="A26" s="2" t="inlineStr">
        <is>
          <t>2026-07-13</t>
        </is>
      </c>
      <c r="B26" s="2" t="inlineStr">
        <is>
          <t>2026-07-13T14:56:28</t>
        </is>
      </c>
      <c r="C26" s="2" t="inlineStr">
        <is>
          <t>tim</t>
        </is>
      </c>
      <c r="D26" s="2" t="inlineStr">
        <is>
          <t>fit</t>
        </is>
      </c>
      <c r="E26" s="2" t="inlineStr">
        <is>
          <t>SP</t>
        </is>
      </c>
      <c r="F26" s="2" t="inlineStr">
        <is>
          <t>TIM Controle Fit Anual</t>
        </is>
      </c>
      <c r="G26" s="2" t="inlineStr">
        <is>
          <t>tim:TIM202600000271</t>
        </is>
      </c>
      <c r="H26" s="3" t="n">
        <v>30</v>
      </c>
      <c r="I26" s="3" t="inlineStr"/>
      <c r="J26" s="2" t="inlineStr">
        <is>
          <t>plano anual 12x no cartão de crédito; prazo de permanência 12m</t>
        </is>
      </c>
      <c r="K26" s="2" t="inlineStr">
        <is>
          <t>credit_card</t>
        </is>
      </c>
      <c r="L26" s="4" t="n">
        <v>30</v>
      </c>
      <c r="M26" s="2" t="inlineStr"/>
      <c r="N26" s="2" t="inlineStr"/>
      <c r="O26" s="2" t="inlineStr"/>
      <c r="P26" s="2" t="inlineStr"/>
      <c r="Q26" s="2" t="inlineStr"/>
      <c r="R26" s="2" t="inlineStr"/>
      <c r="S26" s="2" t="n">
        <v>12</v>
      </c>
      <c r="T26" s="2" t="inlineStr"/>
      <c r="U26" s="2" t="inlineStr">
        <is>
          <t>https://www.tim.com.br/sp/para-voce/planos/controle</t>
        </is>
      </c>
      <c r="V26" s="2" t="inlineStr">
        <is>
          <t>data/raw/tim_fit_SP.html</t>
        </is>
      </c>
    </row>
    <row r="27">
      <c r="A27" s="5" t="inlineStr">
        <is>
          <t>2026-07-13</t>
        </is>
      </c>
      <c r="B27" s="5" t="inlineStr">
        <is>
          <t>2026-07-13T14:56:28</t>
        </is>
      </c>
      <c r="C27" s="5" t="inlineStr">
        <is>
          <t>tim</t>
        </is>
      </c>
      <c r="D27" s="5" t="inlineStr">
        <is>
          <t>fit</t>
        </is>
      </c>
      <c r="E27" s="5" t="inlineStr">
        <is>
          <t>SP</t>
        </is>
      </c>
      <c r="F27" s="5" t="inlineStr">
        <is>
          <t>TIM Controle Fit Mensal</t>
        </is>
      </c>
      <c r="G27" s="5" t="inlineStr">
        <is>
          <t>tim:TIM202600000270</t>
        </is>
      </c>
      <c r="H27" s="6" t="n">
        <v>35</v>
      </c>
      <c r="I27" s="6" t="inlineStr"/>
      <c r="J27" s="5" t="inlineStr">
        <is>
          <t>plano mensal, sem prazo de permanência</t>
        </is>
      </c>
      <c r="K27" s="5" t="inlineStr"/>
      <c r="L27" s="7" t="n">
        <v>20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https://www.tim.com.br/sp/para-voce/planos/controle</t>
        </is>
      </c>
      <c r="V27" s="5" t="inlineStr">
        <is>
          <t>data/raw/tim_fit_SP.html</t>
        </is>
      </c>
    </row>
    <row r="28">
      <c r="A28" s="2" t="inlineStr">
        <is>
          <t>2026-07-13</t>
        </is>
      </c>
      <c r="B28" s="2" t="inlineStr">
        <is>
          <t>2026-07-13T14:56:28</t>
        </is>
      </c>
      <c r="C28" s="2" t="inlineStr">
        <is>
          <t>tim</t>
        </is>
      </c>
      <c r="D28" s="2" t="inlineStr">
        <is>
          <t>postpaid</t>
        </is>
      </c>
      <c r="E28" s="2" t="inlineStr">
        <is>
          <t>SP</t>
        </is>
      </c>
      <c r="F28" s="2" t="inlineStr">
        <is>
          <t>TIM Black 70GB</t>
        </is>
      </c>
      <c r="G28" s="2" t="inlineStr">
        <is>
          <t>tim:54206</t>
        </is>
      </c>
      <c r="H28" s="3" t="n">
        <v>129.99</v>
      </c>
      <c r="I28" s="3" t="inlineStr"/>
      <c r="J28" s="2" t="inlineStr"/>
      <c r="K28" s="2" t="inlineStr">
        <is>
          <t>bill</t>
        </is>
      </c>
      <c r="L28" s="4" t="n">
        <v>70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https://www.tim.com.br/sp/para-voce/planos/pos-pago/tim-black</t>
        </is>
      </c>
      <c r="V28" s="2" t="inlineStr">
        <is>
          <t>data/raw/tim_postpaid_SP.html</t>
        </is>
      </c>
    </row>
    <row r="29">
      <c r="A29" s="5" t="inlineStr">
        <is>
          <t>2026-07-13</t>
        </is>
      </c>
      <c r="B29" s="5" t="inlineStr">
        <is>
          <t>2026-07-13T14:56:28</t>
        </is>
      </c>
      <c r="C29" s="5" t="inlineStr">
        <is>
          <t>tim</t>
        </is>
      </c>
      <c r="D29" s="5" t="inlineStr">
        <is>
          <t>postpaid</t>
        </is>
      </c>
      <c r="E29" s="5" t="inlineStr">
        <is>
          <t>SP</t>
        </is>
      </c>
      <c r="F29" s="5" t="inlineStr">
        <is>
          <t>TIM Black A Express 67GB</t>
        </is>
      </c>
      <c r="G29" s="5" t="inlineStr">
        <is>
          <t>tim:55121</t>
        </is>
      </c>
      <c r="H29" s="6" t="n">
        <v>119.99</v>
      </c>
      <c r="I29" s="6" t="inlineStr"/>
      <c r="J29" s="5" t="inlineStr"/>
      <c r="K29" s="5" t="inlineStr">
        <is>
          <t>credit_card</t>
        </is>
      </c>
      <c r="L29" s="7" t="n">
        <v>67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https://www.tim.com.br/sp/para-voce/planos/pos-pago/tim-black</t>
        </is>
      </c>
      <c r="V29" s="5" t="inlineStr">
        <is>
          <t>data/raw/tim_postpaid_SP.html</t>
        </is>
      </c>
    </row>
    <row r="30">
      <c r="A30" s="2" t="inlineStr">
        <is>
          <t>2026-07-13</t>
        </is>
      </c>
      <c r="B30" s="2" t="inlineStr">
        <is>
          <t>2026-07-13T14:56:28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B Express 82GB</t>
        </is>
      </c>
      <c r="G30" s="2" t="inlineStr">
        <is>
          <t>tim:52146</t>
        </is>
      </c>
      <c r="H30" s="3" t="n">
        <v>144.99</v>
      </c>
      <c r="I30" s="3" t="inlineStr"/>
      <c r="J30" s="2" t="inlineStr"/>
      <c r="K30" s="2" t="inlineStr">
        <is>
          <t>credit_card</t>
        </is>
      </c>
      <c r="L30" s="4" t="n">
        <v>82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https://www.tim.com.br/sp/para-voce/planos/pos-pago/tim-black</t>
        </is>
      </c>
      <c r="V30" s="2" t="inlineStr">
        <is>
          <t>data/raw/tim_postpaid_SP.html</t>
        </is>
      </c>
    </row>
    <row r="31">
      <c r="A31" s="5" t="inlineStr">
        <is>
          <t>2026-07-13</t>
        </is>
      </c>
      <c r="B31" s="5" t="inlineStr">
        <is>
          <t>2026-07-13T14:56:28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C Express 107GB</t>
        </is>
      </c>
      <c r="G31" s="5" t="inlineStr">
        <is>
          <t>tim:52151</t>
        </is>
      </c>
      <c r="H31" s="6" t="n">
        <v>164.99</v>
      </c>
      <c r="I31" s="6" t="inlineStr"/>
      <c r="J31" s="5" t="inlineStr"/>
      <c r="K31" s="5" t="inlineStr">
        <is>
          <t>credit_card</t>
        </is>
      </c>
      <c r="L31" s="7" t="n">
        <v>107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https://www.tim.com.br/sp/para-voce/planos/pos-pago/tim-black</t>
        </is>
      </c>
      <c r="V31" s="5" t="inlineStr">
        <is>
          <t>data/raw/tim_postpaid_SP.html</t>
        </is>
      </c>
    </row>
    <row r="32">
      <c r="A32" s="2" t="inlineStr">
        <is>
          <t>2026-07-13</t>
        </is>
      </c>
      <c r="B32" s="2" t="inlineStr">
        <is>
          <t>2026-07-13T14:56:28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C Ultra 95GB</t>
        </is>
      </c>
      <c r="G32" s="2" t="inlineStr">
        <is>
          <t>tim:100581</t>
        </is>
      </c>
      <c r="H32" s="3" t="n">
        <v>159.99</v>
      </c>
      <c r="I32" s="3" t="inlineStr"/>
      <c r="J32" s="2" t="inlineStr"/>
      <c r="K32" s="2" t="inlineStr">
        <is>
          <t>bill</t>
        </is>
      </c>
      <c r="L32" s="4" t="n">
        <v>95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https://www.tim.com.br/sp/para-voce/planos/pos-pago/tim-black</t>
        </is>
      </c>
      <c r="V32" s="2" t="inlineStr">
        <is>
          <t>data/raw/tim_postpaid_SP.html</t>
        </is>
      </c>
    </row>
    <row r="33">
      <c r="A33" s="5" t="inlineStr">
        <is>
          <t>2026-07-13</t>
        </is>
      </c>
      <c r="B33" s="5" t="inlineStr">
        <is>
          <t>2026-07-13T14:56:28</t>
        </is>
      </c>
      <c r="C33" s="5" t="inlineStr">
        <is>
          <t>tim</t>
        </is>
      </c>
      <c r="D33" s="5" t="inlineStr">
        <is>
          <t>postpaid</t>
        </is>
      </c>
      <c r="E33" s="5" t="inlineStr">
        <is>
          <t>SP</t>
        </is>
      </c>
      <c r="F33" s="5" t="inlineStr">
        <is>
          <t>TIM Black Plus 80GB</t>
        </is>
      </c>
      <c r="G33" s="5" t="inlineStr">
        <is>
          <t>tim:54256</t>
        </is>
      </c>
      <c r="H33" s="6" t="n">
        <v>149.99</v>
      </c>
      <c r="I33" s="6" t="inlineStr"/>
      <c r="J33" s="5" t="inlineStr"/>
      <c r="K33" s="5" t="inlineStr">
        <is>
          <t>bill</t>
        </is>
      </c>
      <c r="L33" s="7" t="n">
        <v>80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https://www.tim.com.br/sp/para-voce/planos/pos-pago/tim-black</t>
        </is>
      </c>
      <c r="V33" s="5" t="inlineStr">
        <is>
          <t>data/raw/tim_postpaid_SP.html</t>
        </is>
      </c>
    </row>
    <row r="34">
      <c r="A34" s="2" t="inlineStr">
        <is>
          <t>2026-07-13</t>
        </is>
      </c>
      <c r="B34" s="2" t="inlineStr">
        <is>
          <t>2026-07-13T14:56:28</t>
        </is>
      </c>
      <c r="C34" s="2" t="inlineStr">
        <is>
          <t>tim</t>
        </is>
      </c>
      <c r="D34" s="2" t="inlineStr">
        <is>
          <t>postpaid</t>
        </is>
      </c>
      <c r="E34" s="2" t="inlineStr">
        <is>
          <t>SP</t>
        </is>
      </c>
      <c r="F34" s="2" t="inlineStr">
        <is>
          <t>TIM Black Premium 110GB</t>
        </is>
      </c>
      <c r="G34" s="2" t="inlineStr">
        <is>
          <t>tim:54261</t>
        </is>
      </c>
      <c r="H34" s="3" t="n">
        <v>159.99</v>
      </c>
      <c r="I34" s="3" t="inlineStr"/>
      <c r="J34" s="2" t="inlineStr"/>
      <c r="K34" s="2" t="inlineStr">
        <is>
          <t>bill</t>
        </is>
      </c>
      <c r="L34" s="4" t="n">
        <v>110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https://www.tim.com.br/sp/para-voce/planos/pos-pago/tim-black</t>
        </is>
      </c>
      <c r="V34" s="2" t="inlineStr">
        <is>
          <t>data/raw/tim_postpaid_SP.html</t>
        </is>
      </c>
    </row>
    <row r="35">
      <c r="A35" s="5" t="inlineStr">
        <is>
          <t>2026-07-13</t>
        </is>
      </c>
      <c r="B35" s="5" t="inlineStr">
        <is>
          <t>2026-07-13T14:56:28</t>
        </is>
      </c>
      <c r="C35" s="5" t="inlineStr">
        <is>
          <t>tim</t>
        </is>
      </c>
      <c r="D35" s="5" t="inlineStr">
        <is>
          <t>prepaid</t>
        </is>
      </c>
      <c r="E35" s="5" t="inlineStr">
        <is>
          <t>SP</t>
        </is>
      </c>
      <c r="F35" s="5" t="inlineStr">
        <is>
          <t>TIM Pré XIP Plus 16GB</t>
        </is>
      </c>
      <c r="G35" s="5" t="inlineStr">
        <is>
          <t>tim:106306</t>
        </is>
      </c>
      <c r="H35" s="6" t="n">
        <v>30</v>
      </c>
      <c r="I35" s="6" t="inlineStr"/>
      <c r="J35" s="5" t="inlineStr"/>
      <c r="K35" s="5" t="inlineStr"/>
      <c r="L35" s="7" t="n">
        <v>16</v>
      </c>
      <c r="M35" s="5" t="inlineStr"/>
      <c r="N35" s="5" t="n">
        <v>30</v>
      </c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https://www.tim.com.br/sp/para-voce/planos/pre-pago</t>
        </is>
      </c>
      <c r="V35" s="5" t="inlineStr">
        <is>
          <t>data/raw/tim_prepaid_SP.html</t>
        </is>
      </c>
    </row>
    <row r="36">
      <c r="A36" s="2" t="inlineStr">
        <is>
          <t>2026-07-13</t>
        </is>
      </c>
      <c r="B36" s="2" t="inlineStr">
        <is>
          <t>2026-07-13T14:56:28</t>
        </is>
      </c>
      <c r="C36" s="2" t="inlineStr">
        <is>
          <t>tim</t>
        </is>
      </c>
      <c r="D36" s="2" t="inlineStr">
        <is>
          <t>prepaid</t>
        </is>
      </c>
      <c r="E36" s="2" t="inlineStr">
        <is>
          <t>SP</t>
        </is>
      </c>
      <c r="F36" s="2" t="inlineStr">
        <is>
          <t>TIM Pré XIP Plus 6GB</t>
        </is>
      </c>
      <c r="G36" s="2" t="inlineStr">
        <is>
          <t>tim:59906</t>
        </is>
      </c>
      <c r="H36" s="3" t="n">
        <v>20</v>
      </c>
      <c r="I36" s="3" t="inlineStr"/>
      <c r="J36" s="2" t="inlineStr"/>
      <c r="K36" s="2" t="inlineStr"/>
      <c r="L36" s="4" t="n">
        <v>6</v>
      </c>
      <c r="M36" s="2" t="inlineStr"/>
      <c r="N36" s="2" t="n">
        <v>17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https://www.tim.com.br/sp/para-voce/planos/pre-pago</t>
        </is>
      </c>
      <c r="V36" s="2" t="inlineStr">
        <is>
          <t>data/raw/tim_prepaid_SP.html</t>
        </is>
      </c>
    </row>
    <row r="37">
      <c r="A37" s="5" t="inlineStr">
        <is>
          <t>2026-07-13</t>
        </is>
      </c>
      <c r="B37" s="5" t="inlineStr">
        <is>
          <t>2026-07-13T14:56:28</t>
        </is>
      </c>
      <c r="C37" s="5" t="inlineStr">
        <is>
          <t>tim</t>
        </is>
      </c>
      <c r="D37" s="5" t="inlineStr">
        <is>
          <t>prepaid</t>
        </is>
      </c>
      <c r="E37" s="5" t="inlineStr">
        <is>
          <t>SP</t>
        </is>
      </c>
      <c r="F37" s="5" t="inlineStr">
        <is>
          <t>TIM Pré XIP Plus 8GB</t>
        </is>
      </c>
      <c r="G37" s="5" t="inlineStr">
        <is>
          <t>tim:59901</t>
        </is>
      </c>
      <c r="H37" s="6" t="n">
        <v>25</v>
      </c>
      <c r="I37" s="6" t="inlineStr"/>
      <c r="J37" s="5" t="inlineStr"/>
      <c r="K37" s="5" t="inlineStr"/>
      <c r="L37" s="7" t="n">
        <v>8</v>
      </c>
      <c r="M37" s="5" t="inlineStr"/>
      <c r="N37" s="5" t="n">
        <v>22</v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https://www.tim.com.br/sp/para-voce/planos/pre-pago</t>
        </is>
      </c>
      <c r="V37" s="5" t="inlineStr">
        <is>
          <t>data/raw/tim_prepaid_SP.html</t>
        </is>
      </c>
    </row>
    <row r="38">
      <c r="A38" s="2" t="inlineStr">
        <is>
          <t>2026-07-13</t>
        </is>
      </c>
      <c r="B38" s="2" t="inlineStr">
        <is>
          <t>2026-07-13T14:56:28</t>
        </is>
      </c>
      <c r="C38" s="2" t="inlineStr">
        <is>
          <t>vivo</t>
        </is>
      </c>
      <c r="D38" s="2" t="inlineStr">
        <is>
          <t>control</t>
        </is>
      </c>
      <c r="E38" s="2" t="inlineStr">
        <is>
          <t>SP</t>
        </is>
      </c>
      <c r="F38" s="2" t="inlineStr">
        <is>
          <t>Vivo Controle</t>
        </is>
      </c>
      <c r="G38" s="2" t="inlineStr">
        <is>
          <t>vivo:VIV202600029270-46gb</t>
        </is>
      </c>
      <c r="H38" s="3" t="n">
        <v>59</v>
      </c>
      <c r="I38" s="3" t="inlineStr"/>
      <c r="J38" s="2" t="inlineStr"/>
      <c r="K38" s="2" t="inlineStr"/>
      <c r="L38" s="4" t="n">
        <v>46</v>
      </c>
      <c r="M38" s="2" t="inlineStr">
        <is>
          <t>15 GB de franquia 31 GB de bônus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2 meses de YouTube sem consumo no plano</t>
        </is>
      </c>
      <c r="U38" s="2" t="inlineStr">
        <is>
          <t>https://vivo.com.br/para-voce/produtos-e-servicos/para-o-celular/planos-controle</t>
        </is>
      </c>
      <c r="V38" s="2" t="inlineStr">
        <is>
          <t>data/raw/vivo_control_SP.html</t>
        </is>
      </c>
    </row>
    <row r="39">
      <c r="A39" s="5" t="inlineStr">
        <is>
          <t>2026-07-13</t>
        </is>
      </c>
      <c r="B39" s="5" t="inlineStr">
        <is>
          <t>2026-07-13T14:56:28</t>
        </is>
      </c>
      <c r="C39" s="5" t="inlineStr">
        <is>
          <t>vivo</t>
        </is>
      </c>
      <c r="D39" s="5" t="inlineStr">
        <is>
          <t>control</t>
        </is>
      </c>
      <c r="E39" s="5" t="inlineStr">
        <is>
          <t>SP</t>
        </is>
      </c>
      <c r="F39" s="5" t="inlineStr">
        <is>
          <t>Vivo Controle</t>
        </is>
      </c>
      <c r="G39" s="5" t="inlineStr">
        <is>
          <t>vivo:VIV202600029300-61gb</t>
        </is>
      </c>
      <c r="H39" s="6" t="n">
        <v>80</v>
      </c>
      <c r="I39" s="6" t="inlineStr"/>
      <c r="J39" s="5" t="inlineStr"/>
      <c r="K39" s="5" t="inlineStr"/>
      <c r="L39" s="7" t="n">
        <v>61</v>
      </c>
      <c r="M39" s="5" t="inlineStr">
        <is>
          <t>20 GB de franquia 31 GB de bônus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>
        <is>
          <t>2 meses de YouTube sem consumo no plano</t>
        </is>
      </c>
      <c r="U39" s="5" t="inlineStr">
        <is>
          <t>https://vivo.com.br/para-voce/produtos-e-servicos/para-o-celular/planos-controle</t>
        </is>
      </c>
      <c r="V39" s="5" t="inlineStr">
        <is>
          <t>data/raw/vivo_control_SP.html</t>
        </is>
      </c>
    </row>
    <row r="40">
      <c r="A40" s="2" t="inlineStr">
        <is>
          <t>2026-07-13</t>
        </is>
      </c>
      <c r="B40" s="2" t="inlineStr">
        <is>
          <t>2026-07-13T14:56:28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 Educação</t>
        </is>
      </c>
      <c r="G40" s="2" t="inlineStr">
        <is>
          <t>vivo:VIV202600029273-61gb</t>
        </is>
      </c>
      <c r="H40" s="3" t="n">
        <v>90</v>
      </c>
      <c r="I40" s="3" t="inlineStr"/>
      <c r="J40" s="2" t="inlineStr"/>
      <c r="K40" s="2" t="inlineStr"/>
      <c r="L40" s="4" t="n">
        <v>61</v>
      </c>
      <c r="M40" s="2" t="inlineStr">
        <is>
          <t>20 GB de franquia 31 GB de bônus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Assinatura Vivae inclusa</t>
        </is>
      </c>
      <c r="U40" s="2" t="inlineStr">
        <is>
          <t>https://vivo.com.br/para-voce/produtos-e-servicos/para-o-celular/planos-controle</t>
        </is>
      </c>
      <c r="V40" s="2" t="inlineStr">
        <is>
          <t>data/raw/vivo_control_SP.html</t>
        </is>
      </c>
    </row>
    <row r="41">
      <c r="A41" s="5" t="inlineStr">
        <is>
          <t>2026-07-13</t>
        </is>
      </c>
      <c r="B41" s="5" t="inlineStr">
        <is>
          <t>2026-07-13T14:56:28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 Entretenimento</t>
        </is>
      </c>
      <c r="G41" s="5" t="inlineStr">
        <is>
          <t>vivo:VIV202600029307-61gb</t>
        </is>
      </c>
      <c r="H41" s="6" t="n">
        <v>110</v>
      </c>
      <c r="I41" s="6" t="inlineStr"/>
      <c r="J41" s="5" t="inlineStr"/>
      <c r="K41" s="5" t="inlineStr"/>
      <c r="L41" s="7" t="n">
        <v>61</v>
      </c>
      <c r="M41" s="5" t="inlineStr">
        <is>
          <t>20 GB de franquia 31 GB de bônus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Assinatura Vivo TV Inicial inclusa</t>
        </is>
      </c>
      <c r="U41" s="5" t="inlineStr">
        <is>
          <t>https://vivo.com.br/para-voce/produtos-e-servicos/para-o-celular/planos-controle</t>
        </is>
      </c>
      <c r="V41" s="5" t="inlineStr">
        <is>
          <t>data/raw/vivo_control_SP.html</t>
        </is>
      </c>
    </row>
    <row r="42">
      <c r="A42" s="2" t="inlineStr">
        <is>
          <t>2026-07-13</t>
        </is>
      </c>
      <c r="B42" s="2" t="inlineStr">
        <is>
          <t>2026-07-13T14:56:28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Música</t>
        </is>
      </c>
      <c r="G42" s="2" t="inlineStr">
        <is>
          <t>vivo:VIV202600029313-61gb</t>
        </is>
      </c>
      <c r="H42" s="3" t="n">
        <v>90</v>
      </c>
      <c r="I42" s="3" t="inlineStr"/>
      <c r="J42" s="2" t="inlineStr"/>
      <c r="K42" s="2" t="inlineStr"/>
      <c r="L42" s="4" t="n">
        <v>61</v>
      </c>
      <c r="M42" s="2" t="inlineStr">
        <is>
          <t>20 GB de franquia 31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Apple Music Individual</t>
        </is>
      </c>
      <c r="U42" s="2" t="inlineStr">
        <is>
          <t>https://vivo.com.br/para-voce/produtos-e-servicos/para-o-celular/planos-controle</t>
        </is>
      </c>
      <c r="V42" s="2" t="inlineStr">
        <is>
          <t>data/raw/vivo_control_SP.html</t>
        </is>
      </c>
    </row>
    <row r="43">
      <c r="A43" s="5" t="inlineStr">
        <is>
          <t>2026-07-13</t>
        </is>
      </c>
      <c r="B43" s="5" t="inlineStr">
        <is>
          <t>2026-07-13T14:56:28</t>
        </is>
      </c>
      <c r="C43" s="5" t="inlineStr">
        <is>
          <t>vivo</t>
        </is>
      </c>
      <c r="D43" s="5" t="inlineStr">
        <is>
          <t>control</t>
        </is>
      </c>
      <c r="E43" s="5" t="inlineStr">
        <is>
          <t>SP</t>
        </is>
      </c>
      <c r="F43" s="5" t="inlineStr">
        <is>
          <t>Vivo Controle Netflix</t>
        </is>
      </c>
      <c r="G43" s="5" t="inlineStr">
        <is>
          <t>vivo:VIV202600029308-61gb</t>
        </is>
      </c>
      <c r="H43" s="6" t="n">
        <v>95</v>
      </c>
      <c r="I43" s="6" t="inlineStr"/>
      <c r="J43" s="5" t="inlineStr"/>
      <c r="K43" s="5" t="inlineStr"/>
      <c r="L43" s="7" t="n">
        <v>61</v>
      </c>
      <c r="M43" s="5" t="inlineStr">
        <is>
          <t>20 GB de franquia 31 GB de bônus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Assinatura Netflix Padrão com anúncios</t>
        </is>
      </c>
      <c r="U43" s="5" t="inlineStr">
        <is>
          <t>https://vivo.com.br/para-voce/produtos-e-servicos/para-o-celular/planos-controle</t>
        </is>
      </c>
      <c r="V43" s="5" t="inlineStr">
        <is>
          <t>data/raw/vivo_control_SP.html</t>
        </is>
      </c>
    </row>
    <row r="44">
      <c r="A44" s="2" t="inlineStr">
        <is>
          <t>2026-07-13</t>
        </is>
      </c>
      <c r="B44" s="2" t="inlineStr">
        <is>
          <t>2026-07-13T14:56:28</t>
        </is>
      </c>
      <c r="C44" s="2" t="inlineStr">
        <is>
          <t>vivo</t>
        </is>
      </c>
      <c r="D44" s="2" t="inlineStr">
        <is>
          <t>control</t>
        </is>
      </c>
      <c r="E44" s="2" t="inlineStr">
        <is>
          <t>SP</t>
        </is>
      </c>
      <c r="F44" s="2" t="inlineStr">
        <is>
          <t>Vivo Controle Saúde</t>
        </is>
      </c>
      <c r="G44" s="2" t="inlineStr">
        <is>
          <t>vivo:VIV202600029301-61gb</t>
        </is>
      </c>
      <c r="H44" s="3" t="n">
        <v>90</v>
      </c>
      <c r="I44" s="3" t="inlineStr"/>
      <c r="J44" s="2" t="inlineStr"/>
      <c r="K44" s="2" t="inlineStr"/>
      <c r="L44" s="4" t="n">
        <v>61</v>
      </c>
      <c r="M44" s="2" t="inlineStr">
        <is>
          <t>20 GB de franquia 31 GB de bônus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Assinatura Vale Saúde Sempre inclusa</t>
        </is>
      </c>
      <c r="U44" s="2" t="inlineStr">
        <is>
          <t>https://vivo.com.br/para-voce/produtos-e-servicos/para-o-celular/planos-controle</t>
        </is>
      </c>
      <c r="V44" s="2" t="inlineStr">
        <is>
          <t>data/raw/vivo_control_SP.html</t>
        </is>
      </c>
    </row>
    <row r="45">
      <c r="A45" s="5" t="inlineStr">
        <is>
          <t>2026-07-13</t>
        </is>
      </c>
      <c r="B45" s="5" t="inlineStr">
        <is>
          <t>2026-07-13T14:56:28</t>
        </is>
      </c>
      <c r="C45" s="5" t="inlineStr">
        <is>
          <t>vivo</t>
        </is>
      </c>
      <c r="D45" s="5" t="inlineStr">
        <is>
          <t>lite</t>
        </is>
      </c>
      <c r="E45" s="5" t="inlineStr">
        <is>
          <t>SP</t>
        </is>
      </c>
      <c r="F45" s="5" t="inlineStr">
        <is>
          <t>Easy Lite</t>
        </is>
      </c>
      <c r="G45" s="5" t="inlineStr">
        <is>
          <t>vivo:VIV202600032594-30gb</t>
        </is>
      </c>
      <c r="H45" s="6" t="n">
        <v>45</v>
      </c>
      <c r="I45" s="6" t="n">
        <v>30</v>
      </c>
      <c r="J45" s="5" t="inlineStr">
        <is>
          <t>preço sem fidelidade; fidelidade 12m no promo</t>
        </is>
      </c>
      <c r="K45" s="5" t="inlineStr"/>
      <c r="L45" s="7" t="n">
        <v>30</v>
      </c>
      <c r="M45" s="5" t="inlineStr">
        <is>
          <t>30 GB de franquia</t>
        </is>
      </c>
      <c r="N45" s="5" t="inlineStr"/>
      <c r="O45" s="5" t="inlineStr"/>
      <c r="P45" s="5" t="inlineStr"/>
      <c r="Q45" s="5" t="inlineStr"/>
      <c r="R45" s="5" t="inlineStr"/>
      <c r="S45" s="5" t="n">
        <v>12</v>
      </c>
      <c r="T45" s="5" t="inlineStr">
        <is>
          <t>2 meses de YouTube sem consumo no plano</t>
        </is>
      </c>
      <c r="U45" s="5" t="inlineStr">
        <is>
          <t>https://vivo.com.br/para-voce/produtos-e-servicos/para-o-celular/easy-lite</t>
        </is>
      </c>
      <c r="V45" s="5" t="inlineStr">
        <is>
          <t>data/raw/vivo_lite_SP.html</t>
        </is>
      </c>
    </row>
    <row r="46">
      <c r="A46" s="2" t="inlineStr">
        <is>
          <t>2026-07-13</t>
        </is>
      </c>
      <c r="B46" s="2" t="inlineStr">
        <is>
          <t>2026-07-13T14:56:28</t>
        </is>
      </c>
      <c r="C46" s="2" t="inlineStr">
        <is>
          <t>vivo</t>
        </is>
      </c>
      <c r="D46" s="2" t="inlineStr">
        <is>
          <t>lite</t>
        </is>
      </c>
      <c r="E46" s="2" t="inlineStr">
        <is>
          <t>SP</t>
        </is>
      </c>
      <c r="F46" s="2" t="inlineStr">
        <is>
          <t>Easy Lite</t>
        </is>
      </c>
      <c r="G46" s="2" t="inlineStr">
        <is>
          <t>vivo:VIV202600032596-40gb</t>
        </is>
      </c>
      <c r="H46" s="3" t="n">
        <v>55</v>
      </c>
      <c r="I46" s="3" t="n">
        <v>40</v>
      </c>
      <c r="J46" s="2" t="inlineStr">
        <is>
          <t>preço sem fidelidade; fidelidade 12m no promo</t>
        </is>
      </c>
      <c r="K46" s="2" t="inlineStr"/>
      <c r="L46" s="4" t="n">
        <v>40</v>
      </c>
      <c r="M46" s="2" t="inlineStr">
        <is>
          <t>40 GB de franquia</t>
        </is>
      </c>
      <c r="N46" s="2" t="inlineStr"/>
      <c r="O46" s="2" t="inlineStr"/>
      <c r="P46" s="2" t="inlineStr"/>
      <c r="Q46" s="2" t="inlineStr"/>
      <c r="R46" s="2" t="inlineStr"/>
      <c r="S46" s="2" t="n">
        <v>12</v>
      </c>
      <c r="T46" s="2" t="inlineStr">
        <is>
          <t>2 meses de YouTube sem consumo no plano</t>
        </is>
      </c>
      <c r="U46" s="2" t="inlineStr">
        <is>
          <t>https://vivo.com.br/para-voce/produtos-e-servicos/para-o-celular/easy-lite</t>
        </is>
      </c>
      <c r="V46" s="2" t="inlineStr">
        <is>
          <t>data/raw/vivo_lite_SP.html</t>
        </is>
      </c>
    </row>
    <row r="47">
      <c r="A47" s="5" t="inlineStr">
        <is>
          <t>2026-07-13</t>
        </is>
      </c>
      <c r="B47" s="5" t="inlineStr">
        <is>
          <t>2026-07-13T14:56:28</t>
        </is>
      </c>
      <c r="C47" s="5" t="inlineStr">
        <is>
          <t>vivo</t>
        </is>
      </c>
      <c r="D47" s="5" t="inlineStr">
        <is>
          <t>lite</t>
        </is>
      </c>
      <c r="E47" s="5" t="inlineStr">
        <is>
          <t>SP</t>
        </is>
      </c>
      <c r="F47" s="5" t="inlineStr">
        <is>
          <t>Easy Lite</t>
        </is>
      </c>
      <c r="G47" s="5" t="inlineStr">
        <is>
          <t>vivo:VIV202600032599-20gb</t>
        </is>
      </c>
      <c r="H47" s="6" t="n">
        <v>35</v>
      </c>
      <c r="I47" s="6" t="inlineStr"/>
      <c r="J47" s="5" t="inlineStr"/>
      <c r="K47" s="5" t="inlineStr"/>
      <c r="L47" s="7" t="n">
        <v>20</v>
      </c>
      <c r="M47" s="5" t="inlineStr">
        <is>
          <t>20 GB de franquia</t>
        </is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2 meses de YouTube sem consumo no plano</t>
        </is>
      </c>
      <c r="U47" s="5" t="inlineStr">
        <is>
          <t>https://vivo.com.br/para-voce/produtos-e-servicos/para-o-celular/easy-lite</t>
        </is>
      </c>
      <c r="V47" s="5" t="inlineStr">
        <is>
          <t>data/raw/vivo_lite_SP.html</t>
        </is>
      </c>
    </row>
    <row r="48">
      <c r="A48" s="2" t="inlineStr">
        <is>
          <t>2026-07-13</t>
        </is>
      </c>
      <c r="B48" s="2" t="inlineStr">
        <is>
          <t>2026-07-13T14:56:28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Amazon</t>
        </is>
      </c>
      <c r="G48" s="2" t="inlineStr">
        <is>
          <t>vivo:VIV202600029255-60gb</t>
        </is>
      </c>
      <c r="H48" s="3" t="n">
        <v>150</v>
      </c>
      <c r="I48" s="3" t="inlineStr"/>
      <c r="J48" s="2" t="inlineStr"/>
      <c r="K48" s="2" t="inlineStr"/>
      <c r="L48" s="4" t="n">
        <v>60</v>
      </c>
      <c r="M48" s="2" t="inlineStr">
        <is>
          <t>50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Assinatura Amazon Prime inclusa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2026-07-13</t>
        </is>
      </c>
      <c r="B49" s="5" t="inlineStr">
        <is>
          <t>2026-07-13T14:56:28</t>
        </is>
      </c>
      <c r="C49" s="5" t="inlineStr">
        <is>
          <t>vivo</t>
        </is>
      </c>
      <c r="D49" s="5" t="inlineStr">
        <is>
          <t>postpaid</t>
        </is>
      </c>
      <c r="E49" s="5" t="inlineStr">
        <is>
          <t>SP</t>
        </is>
      </c>
      <c r="F49" s="5" t="inlineStr">
        <is>
          <t>Vivo Pós com Disney+</t>
        </is>
      </c>
      <c r="G49" s="5" t="inlineStr">
        <is>
          <t>vivo:VIV202600022115-60gb</t>
        </is>
      </c>
      <c r="H49" s="6" t="n">
        <v>180</v>
      </c>
      <c r="I49" s="6" t="inlineStr"/>
      <c r="J49" s="5" t="inlineStr"/>
      <c r="K49" s="5" t="inlineStr"/>
      <c r="L49" s="7" t="n">
        <v>60</v>
      </c>
      <c r="M49" s="5" t="inlineStr">
        <is>
          <t>50 GB de franquia 10 GB de bônus</t>
        </is>
      </c>
      <c r="N49" s="5" t="inlineStr"/>
      <c r="O49" s="5" t="inlineStr"/>
      <c r="P49" s="5" t="inlineStr"/>
      <c r="Q49" s="5" t="inlineStr"/>
      <c r="R49" s="5" t="inlineStr">
        <is>
          <t>Disney+</t>
        </is>
      </c>
      <c r="S49" s="5" t="inlineStr"/>
      <c r="T49" s="5" t="inlineStr">
        <is>
          <t>Assinatura Disney+ Padrão inclusa</t>
        </is>
      </c>
      <c r="U49" s="5" t="inlineStr">
        <is>
          <t>https://vivo.com.br/para-voce/produtos-e-servicos/para-o-celular/planos-pos-pago</t>
        </is>
      </c>
      <c r="V49" s="5" t="inlineStr">
        <is>
          <t>data/raw/vivo_postpaid_SP.html</t>
        </is>
      </c>
    </row>
    <row r="50">
      <c r="A50" s="2" t="inlineStr">
        <is>
          <t>2026-07-13</t>
        </is>
      </c>
      <c r="B50" s="2" t="inlineStr">
        <is>
          <t>2026-07-13T14:56:28</t>
        </is>
      </c>
      <c r="C50" s="2" t="inlineStr">
        <is>
          <t>vivo</t>
        </is>
      </c>
      <c r="D50" s="2" t="inlineStr">
        <is>
          <t>postpaid</t>
        </is>
      </c>
      <c r="E50" s="2" t="inlineStr">
        <is>
          <t>SP</t>
        </is>
      </c>
      <c r="F50" s="2" t="inlineStr">
        <is>
          <t>Vivo Pós com Globoplay</t>
        </is>
      </c>
      <c r="G50" s="2" t="inlineStr">
        <is>
          <t>vivo:VIV202600029246-60gb</t>
        </is>
      </c>
      <c r="H50" s="3" t="n">
        <v>165</v>
      </c>
      <c r="I50" s="3" t="inlineStr"/>
      <c r="J50" s="2" t="inlineStr"/>
      <c r="K50" s="2" t="inlineStr"/>
      <c r="L50" s="4" t="n">
        <v>60</v>
      </c>
      <c r="M50" s="2" t="inlineStr">
        <is>
          <t>50 GB de franquia 10 GB de bônus</t>
        </is>
      </c>
      <c r="N50" s="2" t="inlineStr"/>
      <c r="O50" s="2" t="inlineStr"/>
      <c r="P50" s="2" t="inlineStr"/>
      <c r="Q50" s="2" t="inlineStr"/>
      <c r="R50" s="2" t="inlineStr">
        <is>
          <t>Globoplay</t>
        </is>
      </c>
      <c r="S50" s="2" t="inlineStr"/>
      <c r="T50" s="2" t="inlineStr">
        <is>
          <t>Assinatura Globoplay inclusa</t>
        </is>
      </c>
      <c r="U50" s="2" t="inlineStr">
        <is>
          <t>https://vivo.com.br/para-voce/produtos-e-servicos/para-o-celular/planos-pos-pago</t>
        </is>
      </c>
      <c r="V50" s="2" t="inlineStr">
        <is>
          <t>data/raw/vivo_postpaid_SP.html</t>
        </is>
      </c>
    </row>
    <row r="51">
      <c r="A51" s="5" t="inlineStr">
        <is>
          <t>2026-07-13</t>
        </is>
      </c>
      <c r="B51" s="5" t="inlineStr">
        <is>
          <t>2026-07-13T14:56:28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Pós com Netflix</t>
        </is>
      </c>
      <c r="G51" s="5" t="inlineStr">
        <is>
          <t>vivo:VIV202600029234-60gb</t>
        </is>
      </c>
      <c r="H51" s="6" t="n">
        <v>180</v>
      </c>
      <c r="I51" s="6" t="inlineStr"/>
      <c r="J51" s="5" t="inlineStr"/>
      <c r="K51" s="5" t="inlineStr"/>
      <c r="L51" s="7" t="n">
        <v>60</v>
      </c>
      <c r="M51" s="5" t="inlineStr">
        <is>
          <t>50 GB de franquia 10 GB de bônus</t>
        </is>
      </c>
      <c r="N51" s="5" t="inlineStr"/>
      <c r="O51" s="5" t="inlineStr"/>
      <c r="P51" s="5" t="inlineStr"/>
      <c r="Q51" s="5" t="inlineStr"/>
      <c r="R51" s="5" t="inlineStr">
        <is>
          <t>Netflix</t>
        </is>
      </c>
      <c r="S51" s="5" t="inlineStr"/>
      <c r="T51" s="5" t="inlineStr">
        <is>
          <t>Assinatura Netflix Padrão inclusa</t>
        </is>
      </c>
      <c r="U51" s="5" t="inlineStr">
        <is>
          <t>https://vivo.com.br/para-voce/produtos-e-servicos/para-o-celular/planos-pos-pago</t>
        </is>
      </c>
      <c r="V51" s="5" t="inlineStr">
        <is>
          <t>data/raw/vivo_postpaid_SP.html</t>
        </is>
      </c>
    </row>
    <row r="52">
      <c r="A52" s="2" t="inlineStr">
        <is>
          <t>2026-07-13</t>
        </is>
      </c>
      <c r="B52" s="2" t="inlineStr">
        <is>
          <t>2026-07-13T14:56:28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Pós com Premiere</t>
        </is>
      </c>
      <c r="G52" s="2" t="inlineStr">
        <is>
          <t>vivo:VIV202600029249-60gb</t>
        </is>
      </c>
      <c r="H52" s="3" t="n">
        <v>180</v>
      </c>
      <c r="I52" s="3" t="inlineStr"/>
      <c r="J52" s="2" t="inlineStr"/>
      <c r="K52" s="2" t="inlineStr"/>
      <c r="L52" s="4" t="n">
        <v>60</v>
      </c>
      <c r="M52" s="2" t="inlineStr">
        <is>
          <t>50 GB de franquia 10 GB de bônus</t>
        </is>
      </c>
      <c r="N52" s="2" t="inlineStr"/>
      <c r="O52" s="2" t="inlineStr"/>
      <c r="P52" s="2" t="inlineStr"/>
      <c r="Q52" s="2" t="inlineStr"/>
      <c r="R52" s="2" t="inlineStr">
        <is>
          <t>Premiere</t>
        </is>
      </c>
      <c r="S52" s="2" t="inlineStr"/>
      <c r="T52" s="2" t="inlineStr">
        <is>
          <t>Assinatura Premiere inclusa</t>
        </is>
      </c>
      <c r="U52" s="2" t="inlineStr">
        <is>
          <t>https://vivo.com.br/para-voce/produtos-e-servicos/para-o-celular/planos-pos-pago</t>
        </is>
      </c>
      <c r="V52" s="2" t="inlineStr">
        <is>
          <t>data/raw/vivo_postpaid_SP.html</t>
        </is>
      </c>
    </row>
    <row r="53">
      <c r="A53" s="5" t="inlineStr">
        <is>
          <t>2026-07-13</t>
        </is>
      </c>
      <c r="B53" s="5" t="inlineStr">
        <is>
          <t>2026-07-13T14:56:28</t>
        </is>
      </c>
      <c r="C53" s="5" t="inlineStr">
        <is>
          <t>vivo</t>
        </is>
      </c>
      <c r="D53" s="5" t="inlineStr">
        <is>
          <t>postpaid</t>
        </is>
      </c>
      <c r="E53" s="5" t="inlineStr">
        <is>
          <t>SP</t>
        </is>
      </c>
      <c r="F53" s="5" t="inlineStr">
        <is>
          <t>Vivo Pós com Spotify</t>
        </is>
      </c>
      <c r="G53" s="5" t="inlineStr">
        <is>
          <t>vivo:VIV202600029229-60gb</t>
        </is>
      </c>
      <c r="H53" s="6" t="n">
        <v>165</v>
      </c>
      <c r="I53" s="6" t="inlineStr"/>
      <c r="J53" s="5" t="inlineStr"/>
      <c r="K53" s="5" t="inlineStr"/>
      <c r="L53" s="7" t="n">
        <v>60</v>
      </c>
      <c r="M53" s="5" t="inlineStr">
        <is>
          <t>50 GB de franquia 10 GB de bônus</t>
        </is>
      </c>
      <c r="N53" s="5" t="inlineStr"/>
      <c r="O53" s="5" t="inlineStr"/>
      <c r="P53" s="5" t="inlineStr"/>
      <c r="Q53" s="5" t="inlineStr"/>
      <c r="R53" s="5" t="inlineStr">
        <is>
          <t>Spotify</t>
        </is>
      </c>
      <c r="S53" s="5" t="inlineStr"/>
      <c r="T53" s="5" t="inlineStr">
        <is>
          <t>Assinatura Spotify Premium inclusa</t>
        </is>
      </c>
      <c r="U53" s="5" t="inlineStr">
        <is>
          <t>https://vivo.com.br/para-voce/produtos-e-servicos/para-o-celular/planos-pos-pago</t>
        </is>
      </c>
      <c r="V53" s="5" t="inlineStr">
        <is>
          <t>data/raw/vivo_postpaid_SP.html</t>
        </is>
      </c>
    </row>
    <row r="54">
      <c r="A54" s="2" t="inlineStr">
        <is>
          <t>2026-07-13</t>
        </is>
      </c>
      <c r="B54" s="2" t="inlineStr">
        <is>
          <t>2026-07-13T14:56:28</t>
        </is>
      </c>
      <c r="C54" s="2" t="inlineStr">
        <is>
          <t>vivo</t>
        </is>
      </c>
      <c r="D54" s="2" t="inlineStr">
        <is>
          <t>postpaid</t>
        </is>
      </c>
      <c r="E54" s="2" t="inlineStr">
        <is>
          <t>SP</t>
        </is>
      </c>
      <c r="F54" s="2" t="inlineStr">
        <is>
          <t>Vivo Pós com Travel</t>
        </is>
      </c>
      <c r="G54" s="2" t="inlineStr">
        <is>
          <t>vivo:VIV202600029244-70gb</t>
        </is>
      </c>
      <c r="H54" s="3" t="n">
        <v>215</v>
      </c>
      <c r="I54" s="3" t="inlineStr"/>
      <c r="J54" s="2" t="inlineStr"/>
      <c r="K54" s="2" t="inlineStr"/>
      <c r="L54" s="4" t="n">
        <v>70</v>
      </c>
      <c r="M54" s="2" t="inlineStr">
        <is>
          <t>60 GB de franquia 10 GB de bônus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2 meses de YouTube sem consumo no plano</t>
        </is>
      </c>
      <c r="U54" s="2" t="inlineStr">
        <is>
          <t>https://vivo.com.br/para-voce/produtos-e-servicos/para-o-celular/planos-pos-pago</t>
        </is>
      </c>
      <c r="V54" s="2" t="inlineStr">
        <is>
          <t>data/raw/vivo_postpaid_SP.html</t>
        </is>
      </c>
    </row>
    <row r="55">
      <c r="A55" s="5" t="inlineStr">
        <is>
          <t>2026-07-13</t>
        </is>
      </c>
      <c r="B55" s="5" t="inlineStr">
        <is>
          <t>2026-07-13T14:56:28</t>
        </is>
      </c>
      <c r="C55" s="5" t="inlineStr">
        <is>
          <t>vivo</t>
        </is>
      </c>
      <c r="D55" s="5" t="inlineStr">
        <is>
          <t>prepaid</t>
        </is>
      </c>
      <c r="E55" s="5" t="inlineStr">
        <is>
          <t>SP</t>
        </is>
      </c>
      <c r="F55" s="5" t="inlineStr">
        <is>
          <t>Vivo Pré</t>
        </is>
      </c>
      <c r="G55" s="5" t="inlineStr">
        <is>
          <t>vivo:VIV202600029370-25gb</t>
        </is>
      </c>
      <c r="H55" s="6" t="n">
        <v>30</v>
      </c>
      <c r="I55" s="6" t="inlineStr"/>
      <c r="J55" s="5" t="inlineStr"/>
      <c r="K55" s="5" t="inlineStr"/>
      <c r="L55" s="7" t="n">
        <v>25</v>
      </c>
      <c r="M55" s="5" t="inlineStr">
        <is>
          <t>15 GB para navegar como quiser 5 GB de bônus 5 GB para navegar no Youtube</t>
        </is>
      </c>
      <c r="N55" s="5" t="n">
        <v>30</v>
      </c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https://vivo.com.br/para-voce/produtos-e-servicos/para-o-celular/pre-pago/vivo-pre</t>
        </is>
      </c>
      <c r="V55" s="5" t="inlineStr">
        <is>
          <t>data/raw/vivo_prepaid_SP.html</t>
        </is>
      </c>
    </row>
    <row r="56">
      <c r="A56" s="2" t="inlineStr">
        <is>
          <t>2026-07-13</t>
        </is>
      </c>
      <c r="B56" s="2" t="inlineStr">
        <is>
          <t>2026-07-13T14:56:28</t>
        </is>
      </c>
      <c r="C56" s="2" t="inlineStr">
        <is>
          <t>vivo</t>
        </is>
      </c>
      <c r="D56" s="2" t="inlineStr">
        <is>
          <t>prepaid</t>
        </is>
      </c>
      <c r="E56" s="2" t="inlineStr">
        <is>
          <t>SP</t>
        </is>
      </c>
      <c r="F56" s="2" t="inlineStr">
        <is>
          <t>Vivo Pré</t>
        </is>
      </c>
      <c r="G56" s="2" t="inlineStr">
        <is>
          <t>vivo:VIV202600029370-9gb</t>
        </is>
      </c>
      <c r="H56" s="3" t="n">
        <v>25</v>
      </c>
      <c r="I56" s="3" t="inlineStr"/>
      <c r="J56" s="2" t="inlineStr"/>
      <c r="K56" s="2" t="inlineStr"/>
      <c r="L56" s="4" t="n">
        <v>9</v>
      </c>
      <c r="M56" s="2" t="inlineStr">
        <is>
          <t>6 GB para navegar como quiser 3 GB para navegar no YouTube</t>
        </is>
      </c>
      <c r="N56" s="2" t="n">
        <v>22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https://vivo.com.br/para-voce/produtos-e-servicos/para-o-celular/pre-pago/vivo-pre</t>
        </is>
      </c>
      <c r="V56" s="2" t="inlineStr">
        <is>
          <t>data/raw/vivo_prepaid_SP.html</t>
        </is>
      </c>
    </row>
    <row r="57">
      <c r="A57" s="5" t="inlineStr">
        <is>
          <t>2026-07-13</t>
        </is>
      </c>
      <c r="B57" s="5" t="inlineStr">
        <is>
          <t>2026-07-13T14:56:28</t>
        </is>
      </c>
      <c r="C57" s="5" t="inlineStr">
        <is>
          <t>vivo</t>
        </is>
      </c>
      <c r="D57" s="5" t="inlineStr">
        <is>
          <t>prepaid</t>
        </is>
      </c>
      <c r="E57" s="5" t="inlineStr">
        <is>
          <t>SP</t>
        </is>
      </c>
      <c r="F57" s="5" t="inlineStr">
        <is>
          <t>Vivo Pré</t>
        </is>
      </c>
      <c r="G57" s="5" t="inlineStr">
        <is>
          <t>vivo:VIV202600029370-5gb</t>
        </is>
      </c>
      <c r="H57" s="6" t="n">
        <v>20</v>
      </c>
      <c r="I57" s="6" t="inlineStr"/>
      <c r="J57" s="5" t="inlineStr"/>
      <c r="K57" s="5" t="inlineStr"/>
      <c r="L57" s="7" t="n">
        <v>5</v>
      </c>
      <c r="M57" s="5" t="inlineStr">
        <is>
          <t>5 GB para navegar como quiser</t>
        </is>
      </c>
      <c r="N57" s="5" t="n">
        <v>17</v>
      </c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https://vivo.com.br/para-voce/produtos-e-servicos/para-o-celular/pre-pago/vivo-pre</t>
        </is>
      </c>
      <c r="V57" s="5" t="inlineStr">
        <is>
          <t>data/raw/vivo_prepaid_SP.html</t>
        </is>
      </c>
    </row>
    <row r="58">
      <c r="A58" s="2" t="inlineStr">
        <is>
          <t>2026-07-13</t>
        </is>
      </c>
      <c r="B58" s="2" t="inlineStr">
        <is>
          <t>2026-07-13T14:56:28</t>
        </is>
      </c>
      <c r="C58" s="2" t="inlineStr">
        <is>
          <t>vivo</t>
        </is>
      </c>
      <c r="D58" s="2" t="inlineStr">
        <is>
          <t>prepaid</t>
        </is>
      </c>
      <c r="E58" s="2" t="inlineStr">
        <is>
          <t>SP</t>
        </is>
      </c>
      <c r="F58" s="2" t="inlineStr">
        <is>
          <t>Vivo Pré</t>
        </is>
      </c>
      <c r="G58" s="2" t="inlineStr">
        <is>
          <t>vivo:VIV202600029370-4gb</t>
        </is>
      </c>
      <c r="H58" s="3" t="n">
        <v>17</v>
      </c>
      <c r="I58" s="3" t="inlineStr"/>
      <c r="J58" s="2" t="inlineStr"/>
      <c r="K58" s="2" t="inlineStr"/>
      <c r="L58" s="4" t="n">
        <v>4</v>
      </c>
      <c r="M58" s="2" t="inlineStr">
        <is>
          <t>4 GB para navegar como quiser</t>
        </is>
      </c>
      <c r="N58" s="2" t="n">
        <v>15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https://vivo.com.br/para-voce/produtos-e-servicos/para-o-celular/pre-pago/vivo-pre</t>
        </is>
      </c>
      <c r="V58" s="2" t="inlineStr">
        <is>
          <t>data/raw/vivo_prepaid_SP.html</t>
        </is>
      </c>
    </row>
  </sheetData>
  <autoFilter ref="A1:V58"/>
  <conditionalFormatting sqref="H2:H5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58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1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  <row r="2">
      <c r="A2" s="2" t="inlineStr">
        <is>
          <t>new</t>
        </is>
      </c>
      <c r="B2" s="2" t="inlineStr">
        <is>
          <t>tim</t>
        </is>
      </c>
      <c r="C2" s="2" t="inlineStr">
        <is>
          <t>fit</t>
        </is>
      </c>
      <c r="D2" s="2" t="inlineStr">
        <is>
          <t>SP</t>
        </is>
      </c>
      <c r="E2" s="2" t="inlineStr">
        <is>
          <t>tim:TIM202600000270</t>
        </is>
      </c>
      <c r="F2" s="2" t="inlineStr">
        <is>
          <t>TIM Controle Fit Mensal</t>
        </is>
      </c>
      <c r="G2" s="3" t="inlineStr"/>
      <c r="H2" s="3" t="n">
        <v>35</v>
      </c>
      <c r="I2" s="3" t="inlineStr"/>
    </row>
    <row r="3">
      <c r="A3" s="5" t="inlineStr">
        <is>
          <t>new</t>
        </is>
      </c>
      <c r="B3" s="5" t="inlineStr">
        <is>
          <t>tim</t>
        </is>
      </c>
      <c r="C3" s="5" t="inlineStr">
        <is>
          <t>fit</t>
        </is>
      </c>
      <c r="D3" s="5" t="inlineStr">
        <is>
          <t>SP</t>
        </is>
      </c>
      <c r="E3" s="5" t="inlineStr">
        <is>
          <t>tim:TIM202600000271</t>
        </is>
      </c>
      <c r="F3" s="5" t="inlineStr">
        <is>
          <t>TIM Controle Fit Anual</t>
        </is>
      </c>
      <c r="G3" s="6" t="inlineStr"/>
      <c r="H3" s="6" t="n">
        <v>30</v>
      </c>
      <c r="I3" s="6" t="inlineStr"/>
    </row>
    <row r="4">
      <c r="A4" s="2" t="inlineStr">
        <is>
          <t>price_change</t>
        </is>
      </c>
      <c r="B4" s="2" t="inlineStr">
        <is>
          <t>vivo</t>
        </is>
      </c>
      <c r="C4" s="2" t="inlineStr">
        <is>
          <t>control</t>
        </is>
      </c>
      <c r="D4" s="2" t="inlineStr">
        <is>
          <t>SP</t>
        </is>
      </c>
      <c r="E4" s="2" t="inlineStr">
        <is>
          <t>vivo:VIV202600029273-61gb</t>
        </is>
      </c>
      <c r="F4" s="2" t="inlineStr">
        <is>
          <t>Vivo Controle Educação</t>
        </is>
      </c>
      <c r="G4" s="3" t="n">
        <v>85</v>
      </c>
      <c r="H4" s="3" t="n">
        <v>90</v>
      </c>
      <c r="I4" s="3" t="n">
        <v>5</v>
      </c>
    </row>
    <row r="5">
      <c r="A5" s="5" t="inlineStr">
        <is>
          <t>price_change</t>
        </is>
      </c>
      <c r="B5" s="5" t="inlineStr">
        <is>
          <t>vivo</t>
        </is>
      </c>
      <c r="C5" s="5" t="inlineStr">
        <is>
          <t>control</t>
        </is>
      </c>
      <c r="D5" s="5" t="inlineStr">
        <is>
          <t>SP</t>
        </is>
      </c>
      <c r="E5" s="5" t="inlineStr">
        <is>
          <t>vivo:VIV202600029300-61gb</t>
        </is>
      </c>
      <c r="F5" s="5" t="inlineStr">
        <is>
          <t>Vivo Controle</t>
        </is>
      </c>
      <c r="G5" s="6" t="n">
        <v>75</v>
      </c>
      <c r="H5" s="6" t="n">
        <v>80</v>
      </c>
      <c r="I5" s="6" t="n">
        <v>5</v>
      </c>
    </row>
    <row r="6">
      <c r="A6" s="2" t="inlineStr">
        <is>
          <t>price_change</t>
        </is>
      </c>
      <c r="B6" s="2" t="inlineStr">
        <is>
          <t>vivo</t>
        </is>
      </c>
      <c r="C6" s="2" t="inlineStr">
        <is>
          <t>control</t>
        </is>
      </c>
      <c r="D6" s="2" t="inlineStr">
        <is>
          <t>SP</t>
        </is>
      </c>
      <c r="E6" s="2" t="inlineStr">
        <is>
          <t>vivo:VIV202600029301-61gb</t>
        </is>
      </c>
      <c r="F6" s="2" t="inlineStr">
        <is>
          <t>Vivo Controle Saúde</t>
        </is>
      </c>
      <c r="G6" s="3" t="n">
        <v>85</v>
      </c>
      <c r="H6" s="3" t="n">
        <v>90</v>
      </c>
      <c r="I6" s="3" t="n">
        <v>5</v>
      </c>
    </row>
    <row r="7">
      <c r="A7" s="5" t="inlineStr">
        <is>
          <t>price_change</t>
        </is>
      </c>
      <c r="B7" s="5" t="inlineStr">
        <is>
          <t>vivo</t>
        </is>
      </c>
      <c r="C7" s="5" t="inlineStr">
        <is>
          <t>control</t>
        </is>
      </c>
      <c r="D7" s="5" t="inlineStr">
        <is>
          <t>SP</t>
        </is>
      </c>
      <c r="E7" s="5" t="inlineStr">
        <is>
          <t>vivo:VIV202600029307-61gb</t>
        </is>
      </c>
      <c r="F7" s="5" t="inlineStr">
        <is>
          <t>Vivo Controle Entretenimento</t>
        </is>
      </c>
      <c r="G7" s="6" t="n">
        <v>105</v>
      </c>
      <c r="H7" s="6" t="n">
        <v>110</v>
      </c>
      <c r="I7" s="6" t="n">
        <v>5</v>
      </c>
    </row>
    <row r="8">
      <c r="A8" s="2" t="inlineStr">
        <is>
          <t>price_change</t>
        </is>
      </c>
      <c r="B8" s="2" t="inlineStr">
        <is>
          <t>vivo</t>
        </is>
      </c>
      <c r="C8" s="2" t="inlineStr">
        <is>
          <t>control</t>
        </is>
      </c>
      <c r="D8" s="2" t="inlineStr">
        <is>
          <t>SP</t>
        </is>
      </c>
      <c r="E8" s="2" t="inlineStr">
        <is>
          <t>vivo:VIV202600029308-61gb</t>
        </is>
      </c>
      <c r="F8" s="2" t="inlineStr">
        <is>
          <t>Vivo Controle Netflix</t>
        </is>
      </c>
      <c r="G8" s="3" t="n">
        <v>90</v>
      </c>
      <c r="H8" s="3" t="n">
        <v>95</v>
      </c>
      <c r="I8" s="3" t="n">
        <v>5</v>
      </c>
    </row>
    <row r="9">
      <c r="A9" s="5" t="inlineStr">
        <is>
          <t>price_change</t>
        </is>
      </c>
      <c r="B9" s="5" t="inlineStr">
        <is>
          <t>vivo</t>
        </is>
      </c>
      <c r="C9" s="5" t="inlineStr">
        <is>
          <t>control</t>
        </is>
      </c>
      <c r="D9" s="5" t="inlineStr">
        <is>
          <t>SP</t>
        </is>
      </c>
      <c r="E9" s="5" t="inlineStr">
        <is>
          <t>vivo:VIV202600029313-61gb</t>
        </is>
      </c>
      <c r="F9" s="5" t="inlineStr">
        <is>
          <t>Vivo Controle Música</t>
        </is>
      </c>
      <c r="G9" s="6" t="n">
        <v>85</v>
      </c>
      <c r="H9" s="6" t="n">
        <v>90</v>
      </c>
      <c r="I9" s="6" t="n">
        <v>5</v>
      </c>
    </row>
    <row r="10">
      <c r="A10" s="2" t="inlineStr">
        <is>
          <t>price_change</t>
        </is>
      </c>
      <c r="B10" s="2" t="inlineStr">
        <is>
          <t>vivo</t>
        </is>
      </c>
      <c r="C10" s="2" t="inlineStr">
        <is>
          <t>lite</t>
        </is>
      </c>
      <c r="D10" s="2" t="inlineStr">
        <is>
          <t>SP</t>
        </is>
      </c>
      <c r="E10" s="2" t="inlineStr">
        <is>
          <t>vivo:VIV202600032594-30gb</t>
        </is>
      </c>
      <c r="F10" s="2" t="inlineStr">
        <is>
          <t>Easy Lite</t>
        </is>
      </c>
      <c r="G10" s="3" t="n">
        <v>30</v>
      </c>
      <c r="H10" s="3" t="n">
        <v>45</v>
      </c>
      <c r="I10" s="3" t="n">
        <v>15</v>
      </c>
    </row>
    <row r="11">
      <c r="A11" s="5" t="inlineStr">
        <is>
          <t>price_change</t>
        </is>
      </c>
      <c r="B11" s="5" t="inlineStr">
        <is>
          <t>vivo</t>
        </is>
      </c>
      <c r="C11" s="5" t="inlineStr">
        <is>
          <t>lite</t>
        </is>
      </c>
      <c r="D11" s="5" t="inlineStr">
        <is>
          <t>SP</t>
        </is>
      </c>
      <c r="E11" s="5" t="inlineStr">
        <is>
          <t>vivo:VIV202600032596-40gb</t>
        </is>
      </c>
      <c r="F11" s="5" t="inlineStr">
        <is>
          <t>Easy Lite</t>
        </is>
      </c>
      <c r="G11" s="6" t="n">
        <v>40</v>
      </c>
      <c r="H11" s="6" t="n">
        <v>55</v>
      </c>
      <c r="I11" s="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2026-07-13T14:56:28</t>
        </is>
      </c>
    </row>
    <row r="4">
      <c r="A4" s="9" t="inlineStr">
        <is>
          <t>Latest snapshot</t>
        </is>
      </c>
      <c r="B4" s="2" t="inlineStr">
        <is>
          <t>2026-07-13</t>
        </is>
      </c>
    </row>
    <row r="5">
      <c r="A5" s="9" t="inlineStr">
        <is>
          <t>Plans in latest</t>
        </is>
      </c>
      <c r="B5" s="2" t="n">
        <v>57</v>
      </c>
    </row>
    <row r="6">
      <c r="A6" s="9" t="inlineStr">
        <is>
          <t>Snapshots in history</t>
        </is>
      </c>
      <c r="B6" s="2" t="n">
        <v>22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>21</v>
      </c>
      <c r="C9" s="10">
        <f>IFERROR(_xlfn.MINIFS(latest!$H$2:$H$2000,latest!$C$2:$C$2000,$A$9),"-")</f>
        <v>17</v>
      </c>
      <c r="D9" s="10">
        <f>IFERROR(AVERAGEIFS(latest!$H$2:$H$2000,latest!$C$2:$C$2000,$A$9),"-")</f>
        <v>98.86</v>
      </c>
      <c r="E9" s="10">
        <f>IFERROR(_xlfn.MAXIFS(latest!$H$2:$H$2000,latest!$C$2:$C$2000,$A$9),"-")</f>
        <v>215</v>
      </c>
    </row>
    <row r="10">
      <c r="A10" s="2" t="inlineStr">
        <is>
          <t>claro</t>
        </is>
      </c>
      <c r="B10" s="2">
        <f>COUNTIF(latest!$C$2:$C$2000,$A$10)</f>
        <v>19</v>
      </c>
      <c r="C10" s="10">
        <f>IFERROR(_xlfn.MINIFS(latest!$H$2:$H$2000,latest!$C$2:$C$2000,$A$10),"-")</f>
        <v>15</v>
      </c>
      <c r="D10" s="10">
        <f>IFERROR(AVERAGEIFS(latest!$H$2:$H$2000,latest!$C$2:$C$2000,$A$10),"-")</f>
        <v>90.73</v>
      </c>
      <c r="E10" s="10">
        <f>IFERROR(_xlfn.MAXIFS(latest!$H$2:$H$2000,latest!$C$2:$C$2000,$A$10),"-")</f>
        <v>339.9</v>
      </c>
    </row>
    <row r="11">
      <c r="A11" s="2" t="inlineStr">
        <is>
          <t>tim</t>
        </is>
      </c>
      <c r="B11" s="2">
        <f>COUNTIF(latest!$C$2:$C$2000,$A$11)</f>
        <v>17</v>
      </c>
      <c r="C11" s="10">
        <f>IFERROR(_xlfn.MINIFS(latest!$H$2:$H$2000,latest!$C$2:$C$2000,$A$11),"-")</f>
        <v>20</v>
      </c>
      <c r="D11" s="10">
        <f>IFERROR(AVERAGEIFS(latest!$H$2:$H$2000,latest!$C$2:$C$2000,$A$11),"-")</f>
        <v>86.82</v>
      </c>
      <c r="E11" s="10">
        <f>IFERROR(_xlfn.MAXIFS(latest!$H$2:$H$2000,latest!$C$2:$C$2000,$A$11),"-")</f>
        <v>164.99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27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>58.99</v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>59</v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>59.9</v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>119.99</v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>150</v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>124.9</v>
      </c>
      <c r="H3" s="3">
        <f>IFERROR(IF(_xlfn.MINIFS(history!$H:$H,history!$C:$C,"tim",history!$D:$D,"prepaid",history!$A:$A,YEAR($A3)&amp;"-"&amp;TEXT(MONTH($A3),"00")&amp;"-"&amp;TEXT(DAY($A3),"00"),history!$N:$N,"&gt;=28")=0,"",_xlfn.MINIFS(history!$H:$H,history!$C:$C,"tim",history!$D:$D,"prepaid",history!$A:$A,YEAR($A3)&amp;"-"&amp;TEXT(MONTH($A3),"00")&amp;"-"&amp;TEXT(DAY($A3),"00"),history!$N:$N,"&gt;=28")),"")</f>
        <v/>
      </c>
      <c r="I3" s="3">
        <f>IFERROR(IF(_xlfn.MINIFS(history!$H:$H,history!$C:$C,"vivo",history!$D:$D,"prepaid",history!$A:$A,YEAR($A3)&amp;"-"&amp;TEXT(MONTH($A3),"00")&amp;"-"&amp;TEXT(DAY($A3),"00"),history!$N:$N,"&gt;=28")=0,"",_xlfn.MINIFS(history!$H:$H,history!$C:$C,"vivo",history!$D:$D,"prepaid",history!$A:$A,YEAR($A3)&amp;"-"&amp;TEXT(MONTH($A3),"00")&amp;"-"&amp;TEXT(DAY($A3),"00"),history!$N:$N,"&gt;=28")),"")</f>
        <v/>
      </c>
      <c r="J3" s="3">
        <f>IFERROR(IF(_xlfn.MINIFS(history!$H:$H,history!$C:$C,"claro",history!$D:$D,"prepaid",history!$A:$A,YEAR($A3)&amp;"-"&amp;TEXT(MONTH($A3),"00")&amp;"-"&amp;TEXT(DAY($A3),"00"),history!$N:$N,"&gt;=28")=0,"",_xlfn.MINIFS(history!$H:$H,history!$C:$C,"claro",history!$D:$D,"prepaid",history!$A:$A,YEAR($A3)&amp;"-"&amp;TEXT(MONTH($A3),"00")&amp;"-"&amp;TEXT(DAY($A3),"00"),history!$N:$N,"&gt;=28")),"")</f>
        <v/>
      </c>
      <c r="K3" s="3">
        <f>IFERROR(1/MAX(IFERROR(1/_xlfn.MINIFS(history!$H:$H,history!$C:$C,"tim",history!$D:$D,"lite",history!$A:$A,YEAR($A3)&amp;"-"&amp;TEXT(MONTH($A3),"00")&amp;"-"&amp;TEXT(DAY($A3),"00"),history!$S:$S,"&gt;0"),0),IFERROR(1/_xlfn.MINIFS(history!$H:$H,history!$C:$C,"tim",history!$D:$D,"flex",history!$A:$A,YEAR($A3)&amp;"-"&amp;TEXT(MONTH($A3),"00")&amp;"-"&amp;TEXT(DAY($A3),"00")),0),IFERROR(1/_xlfn.MINIFS(history!$H:$H,history!$C:$C,"tim",history!$D:$D,"fit",history!$A:$A,YEAR($A3)&amp;"-"&amp;TEXT(MONTH($A3),"00")&amp;"-"&amp;TEXT(DAY($A3),"00"),history!$S:$S,"="),0)),"")</f>
        <v/>
      </c>
      <c r="L3" s="3">
        <f>IFERROR(1/MAX(IFERROR(1/_xlfn.MINIFS(history!$H:$H,history!$C:$C,"vivo",history!$D:$D,"lite",history!$A:$A,YEAR($A3)&amp;"-"&amp;TEXT(MONTH($A3),"00")&amp;"-"&amp;TEXT(DAY($A3),"00"),history!$S:$S,"&gt;0"),0),IFERROR(1/_xlfn.MINIFS(history!$H:$H,history!$C:$C,"vivo",history!$D:$D,"flex",history!$A:$A,YEAR($A3)&amp;"-"&amp;TEXT(MONTH($A3),"00")&amp;"-"&amp;TEXT(DAY($A3),"00")),0),IFERROR(1/_xlfn.MINIFS(history!$H:$H,history!$C:$C,"vivo",history!$D:$D,"fit",history!$A:$A,YEAR($A3)&amp;"-"&amp;TEXT(MONTH($A3),"00")&amp;"-"&amp;TEXT(DAY($A3),"00"),history!$S:$S,"="),0)),"")</f>
        <v/>
      </c>
      <c r="M3" s="3">
        <f>IFERROR(1/MAX(IFERROR(1/_xlfn.MINIFS(history!$H:$H,history!$C:$C,"claro",history!$D:$D,"lite",history!$A:$A,YEAR($A3)&amp;"-"&amp;TEXT(MONTH($A3),"00")&amp;"-"&amp;TEXT(DAY($A3),"00"),history!$S:$S,"&gt;0"),0),IFERROR(1/_xlfn.MINIFS(history!$H:$H,history!$C:$C,"claro",history!$D:$D,"flex",history!$A:$A,YEAR($A3)&amp;"-"&amp;TEXT(MONTH($A3),"00")&amp;"-"&amp;TEXT(DAY($A3),"00")),0),IFERROR(1/_xlfn.MINIFS(history!$H:$H,history!$C:$C,"claro",history!$D:$D,"fit",history!$A:$A,YEAR($A3)&amp;"-"&amp;TEXT(MONTH($A3),"00")&amp;"-"&amp;TEXT(DAY($A3),"00"),history!$S:$S,"="),0)),"")</f>
        <v>44.9</v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>58.99</v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>59</v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>59.9</v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>119.99</v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>150</v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>124.9</v>
      </c>
      <c r="H4" s="3">
        <f>IFERROR(IF(_xlfn.MINIFS(history!$H:$H,history!$C:$C,"tim",history!$D:$D,"prepaid",history!$A:$A,YEAR($A4)&amp;"-"&amp;TEXT(MONTH($A4),"00")&amp;"-"&amp;TEXT(DAY($A4),"00"),history!$N:$N,"&gt;=28")=0,"",_xlfn.MINIFS(history!$H:$H,history!$C:$C,"tim",history!$D:$D,"prepaid",history!$A:$A,YEAR($A4)&amp;"-"&amp;TEXT(MONTH($A4),"00")&amp;"-"&amp;TEXT(DAY($A4),"00"),history!$N:$N,"&gt;=28")),"")</f>
        <v/>
      </c>
      <c r="I4" s="3">
        <f>IFERROR(IF(_xlfn.MINIFS(history!$H:$H,history!$C:$C,"vivo",history!$D:$D,"prepaid",history!$A:$A,YEAR($A4)&amp;"-"&amp;TEXT(MONTH($A4),"00")&amp;"-"&amp;TEXT(DAY($A4),"00"),history!$N:$N,"&gt;=28")=0,"",_xlfn.MINIFS(history!$H:$H,history!$C:$C,"vivo",history!$D:$D,"prepaid",history!$A:$A,YEAR($A4)&amp;"-"&amp;TEXT(MONTH($A4),"00")&amp;"-"&amp;TEXT(DAY($A4),"00"),history!$N:$N,"&gt;=28")),"")</f>
        <v/>
      </c>
      <c r="J4" s="3">
        <f>IFERROR(IF(_xlfn.MINIFS(history!$H:$H,history!$C:$C,"claro",history!$D:$D,"prepaid",history!$A:$A,YEAR($A4)&amp;"-"&amp;TEXT(MONTH($A4),"00")&amp;"-"&amp;TEXT(DAY($A4),"00"),history!$N:$N,"&gt;=28")=0,"",_xlfn.MINIFS(history!$H:$H,history!$C:$C,"claro",history!$D:$D,"prepaid",history!$A:$A,YEAR($A4)&amp;"-"&amp;TEXT(MONTH($A4),"00")&amp;"-"&amp;TEXT(DAY($A4),"00"),history!$N:$N,"&gt;=28")),"")</f>
        <v/>
      </c>
      <c r="K4" s="3">
        <f>IFERROR(1/MAX(IFERROR(1/_xlfn.MINIFS(history!$H:$H,history!$C:$C,"tim",history!$D:$D,"lite",history!$A:$A,YEAR($A4)&amp;"-"&amp;TEXT(MONTH($A4),"00")&amp;"-"&amp;TEXT(DAY($A4),"00"),history!$S:$S,"&gt;0"),0),IFERROR(1/_xlfn.MINIFS(history!$H:$H,history!$C:$C,"tim",history!$D:$D,"flex",history!$A:$A,YEAR($A4)&amp;"-"&amp;TEXT(MONTH($A4),"00")&amp;"-"&amp;TEXT(DAY($A4),"00")),0),IFERROR(1/_xlfn.MINIFS(history!$H:$H,history!$C:$C,"tim",history!$D:$D,"fit",history!$A:$A,YEAR($A4)&amp;"-"&amp;TEXT(MONTH($A4),"00")&amp;"-"&amp;TEXT(DAY($A4),"00"),history!$S:$S,"="),0)),"")</f>
        <v/>
      </c>
      <c r="L4" s="3">
        <f>IFERROR(1/MAX(IFERROR(1/_xlfn.MINIFS(history!$H:$H,history!$C:$C,"vivo",history!$D:$D,"lite",history!$A:$A,YEAR($A4)&amp;"-"&amp;TEXT(MONTH($A4),"00")&amp;"-"&amp;TEXT(DAY($A4),"00"),history!$S:$S,"&gt;0"),0),IFERROR(1/_xlfn.MINIFS(history!$H:$H,history!$C:$C,"vivo",history!$D:$D,"flex",history!$A:$A,YEAR($A4)&amp;"-"&amp;TEXT(MONTH($A4),"00")&amp;"-"&amp;TEXT(DAY($A4),"00")),0),IFERROR(1/_xlfn.MINIFS(history!$H:$H,history!$C:$C,"vivo",history!$D:$D,"fit",history!$A:$A,YEAR($A4)&amp;"-"&amp;TEXT(MONTH($A4),"00")&amp;"-"&amp;TEXT(DAY($A4),"00"),history!$S:$S,"="),0)),"")</f>
        <v/>
      </c>
      <c r="M4" s="3">
        <f>IFERROR(1/MAX(IFERROR(1/_xlfn.MINIFS(history!$H:$H,history!$C:$C,"claro",history!$D:$D,"lite",history!$A:$A,YEAR($A4)&amp;"-"&amp;TEXT(MONTH($A4),"00")&amp;"-"&amp;TEXT(DAY($A4),"00"),history!$S:$S,"&gt;0"),0),IFERROR(1/_xlfn.MINIFS(history!$H:$H,history!$C:$C,"claro",history!$D:$D,"flex",history!$A:$A,YEAR($A4)&amp;"-"&amp;TEXT(MONTH($A4),"00")&amp;"-"&amp;TEXT(DAY($A4),"00")),0),IFERROR(1/_xlfn.MINIFS(history!$H:$H,history!$C:$C,"claro",history!$D:$D,"fit",history!$A:$A,YEAR($A4)&amp;"-"&amp;TEXT(MONTH($A4),"00")&amp;"-"&amp;TEXT(DAY($A4),"00"),history!$S:$S,"="),0)),"")</f>
        <v>44.9</v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>58.99</v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>59</v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>59.9</v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>119.99</v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>150</v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>124.9</v>
      </c>
      <c r="H5" s="3">
        <f>IFERROR(IF(_xlfn.MINIFS(history!$H:$H,history!$C:$C,"tim",history!$D:$D,"prepaid",history!$A:$A,YEAR($A5)&amp;"-"&amp;TEXT(MONTH($A5),"00")&amp;"-"&amp;TEXT(DAY($A5),"00"),history!$N:$N,"&gt;=28")=0,"",_xlfn.MINIFS(history!$H:$H,history!$C:$C,"tim",history!$D:$D,"prepaid",history!$A:$A,YEAR($A5)&amp;"-"&amp;TEXT(MONTH($A5),"00")&amp;"-"&amp;TEXT(DAY($A5),"00"),history!$N:$N,"&gt;=28")),"")</f>
        <v/>
      </c>
      <c r="I5" s="3">
        <f>IFERROR(IF(_xlfn.MINIFS(history!$H:$H,history!$C:$C,"vivo",history!$D:$D,"prepaid",history!$A:$A,YEAR($A5)&amp;"-"&amp;TEXT(MONTH($A5),"00")&amp;"-"&amp;TEXT(DAY($A5),"00"),history!$N:$N,"&gt;=28")=0,"",_xlfn.MINIFS(history!$H:$H,history!$C:$C,"vivo",history!$D:$D,"prepaid",history!$A:$A,YEAR($A5)&amp;"-"&amp;TEXT(MONTH($A5),"00")&amp;"-"&amp;TEXT(DAY($A5),"00"),history!$N:$N,"&gt;=28")),"")</f>
        <v/>
      </c>
      <c r="J5" s="3">
        <f>IFERROR(IF(_xlfn.MINIFS(history!$H:$H,history!$C:$C,"claro",history!$D:$D,"prepaid",history!$A:$A,YEAR($A5)&amp;"-"&amp;TEXT(MONTH($A5),"00")&amp;"-"&amp;TEXT(DAY($A5),"00"),history!$N:$N,"&gt;=28")=0,"",_xlfn.MINIFS(history!$H:$H,history!$C:$C,"claro",history!$D:$D,"prepaid",history!$A:$A,YEAR($A5)&amp;"-"&amp;TEXT(MONTH($A5),"00")&amp;"-"&amp;TEXT(DAY($A5),"00"),history!$N:$N,"&gt;=28")),"")</f>
        <v/>
      </c>
      <c r="K5" s="3">
        <f>IFERROR(1/MAX(IFERROR(1/_xlfn.MINIFS(history!$H:$H,history!$C:$C,"tim",history!$D:$D,"lite",history!$A:$A,YEAR($A5)&amp;"-"&amp;TEXT(MONTH($A5),"00")&amp;"-"&amp;TEXT(DAY($A5),"00"),history!$S:$S,"&gt;0"),0),IFERROR(1/_xlfn.MINIFS(history!$H:$H,history!$C:$C,"tim",history!$D:$D,"flex",history!$A:$A,YEAR($A5)&amp;"-"&amp;TEXT(MONTH($A5),"00")&amp;"-"&amp;TEXT(DAY($A5),"00")),0),IFERROR(1/_xlfn.MINIFS(history!$H:$H,history!$C:$C,"tim",history!$D:$D,"fit",history!$A:$A,YEAR($A5)&amp;"-"&amp;TEXT(MONTH($A5),"00")&amp;"-"&amp;TEXT(DAY($A5),"00"),history!$S:$S,"="),0)),"")</f>
        <v/>
      </c>
      <c r="L5" s="3">
        <f>IFERROR(1/MAX(IFERROR(1/_xlfn.MINIFS(history!$H:$H,history!$C:$C,"vivo",history!$D:$D,"lite",history!$A:$A,YEAR($A5)&amp;"-"&amp;TEXT(MONTH($A5),"00")&amp;"-"&amp;TEXT(DAY($A5),"00"),history!$S:$S,"&gt;0"),0),IFERROR(1/_xlfn.MINIFS(history!$H:$H,history!$C:$C,"vivo",history!$D:$D,"flex",history!$A:$A,YEAR($A5)&amp;"-"&amp;TEXT(MONTH($A5),"00")&amp;"-"&amp;TEXT(DAY($A5),"00")),0),IFERROR(1/_xlfn.MINIFS(history!$H:$H,history!$C:$C,"vivo",history!$D:$D,"fit",history!$A:$A,YEAR($A5)&amp;"-"&amp;TEXT(MONTH($A5),"00")&amp;"-"&amp;TEXT(DAY($A5),"00"),history!$S:$S,"="),0)),"")</f>
        <v/>
      </c>
      <c r="M5" s="3">
        <f>IFERROR(1/MAX(IFERROR(1/_xlfn.MINIFS(history!$H:$H,history!$C:$C,"claro",history!$D:$D,"lite",history!$A:$A,YEAR($A5)&amp;"-"&amp;TEXT(MONTH($A5),"00")&amp;"-"&amp;TEXT(DAY($A5),"00"),history!$S:$S,"&gt;0"),0),IFERROR(1/_xlfn.MINIFS(history!$H:$H,history!$C:$C,"claro",history!$D:$D,"flex",history!$A:$A,YEAR($A5)&amp;"-"&amp;TEXT(MONTH($A5),"00")&amp;"-"&amp;TEXT(DAY($A5),"00")),0),IFERROR(1/_xlfn.MINIFS(history!$H:$H,history!$C:$C,"claro",history!$D:$D,"fit",history!$A:$A,YEAR($A5)&amp;"-"&amp;TEXT(MONTH($A5),"00")&amp;"-"&amp;TEXT(DAY($A5),"00"),history!$S:$S,"="),0)),"")</f>
        <v>44.9</v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>58.99</v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>59</v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>59.9</v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>119.99</v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>150</v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>124.9</v>
      </c>
      <c r="H6" s="3">
        <f>IFERROR(IF(_xlfn.MINIFS(history!$H:$H,history!$C:$C,"tim",history!$D:$D,"prepaid",history!$A:$A,YEAR($A6)&amp;"-"&amp;TEXT(MONTH($A6),"00")&amp;"-"&amp;TEXT(DAY($A6),"00"),history!$N:$N,"&gt;=28")=0,"",_xlfn.MINIFS(history!$H:$H,history!$C:$C,"tim",history!$D:$D,"prepaid",history!$A:$A,YEAR($A6)&amp;"-"&amp;TEXT(MONTH($A6),"00")&amp;"-"&amp;TEXT(DAY($A6),"00"),history!$N:$N,"&gt;=28")),"")</f>
        <v/>
      </c>
      <c r="I6" s="3">
        <f>IFERROR(IF(_xlfn.MINIFS(history!$H:$H,history!$C:$C,"vivo",history!$D:$D,"prepaid",history!$A:$A,YEAR($A6)&amp;"-"&amp;TEXT(MONTH($A6),"00")&amp;"-"&amp;TEXT(DAY($A6),"00"),history!$N:$N,"&gt;=28")=0,"",_xlfn.MINIFS(history!$H:$H,history!$C:$C,"vivo",history!$D:$D,"prepaid",history!$A:$A,YEAR($A6)&amp;"-"&amp;TEXT(MONTH($A6),"00")&amp;"-"&amp;TEXT(DAY($A6),"00"),history!$N:$N,"&gt;=28")),"")</f>
        <v/>
      </c>
      <c r="J6" s="3">
        <f>IFERROR(IF(_xlfn.MINIFS(history!$H:$H,history!$C:$C,"claro",history!$D:$D,"prepaid",history!$A:$A,YEAR($A6)&amp;"-"&amp;TEXT(MONTH($A6),"00")&amp;"-"&amp;TEXT(DAY($A6),"00"),history!$N:$N,"&gt;=28")=0,"",_xlfn.MINIFS(history!$H:$H,history!$C:$C,"claro",history!$D:$D,"prepaid",history!$A:$A,YEAR($A6)&amp;"-"&amp;TEXT(MONTH($A6),"00")&amp;"-"&amp;TEXT(DAY($A6),"00"),history!$N:$N,"&gt;=28")),"")</f>
        <v/>
      </c>
      <c r="K6" s="3">
        <f>IFERROR(1/MAX(IFERROR(1/_xlfn.MINIFS(history!$H:$H,history!$C:$C,"tim",history!$D:$D,"lite",history!$A:$A,YEAR($A6)&amp;"-"&amp;TEXT(MONTH($A6),"00")&amp;"-"&amp;TEXT(DAY($A6),"00"),history!$S:$S,"&gt;0"),0),IFERROR(1/_xlfn.MINIFS(history!$H:$H,history!$C:$C,"tim",history!$D:$D,"flex",history!$A:$A,YEAR($A6)&amp;"-"&amp;TEXT(MONTH($A6),"00")&amp;"-"&amp;TEXT(DAY($A6),"00")),0),IFERROR(1/_xlfn.MINIFS(history!$H:$H,history!$C:$C,"tim",history!$D:$D,"fit",history!$A:$A,YEAR($A6)&amp;"-"&amp;TEXT(MONTH($A6),"00")&amp;"-"&amp;TEXT(DAY($A6),"00"),history!$S:$S,"="),0)),"")</f>
        <v/>
      </c>
      <c r="L6" s="3">
        <f>IFERROR(1/MAX(IFERROR(1/_xlfn.MINIFS(history!$H:$H,history!$C:$C,"vivo",history!$D:$D,"lite",history!$A:$A,YEAR($A6)&amp;"-"&amp;TEXT(MONTH($A6),"00")&amp;"-"&amp;TEXT(DAY($A6),"00"),history!$S:$S,"&gt;0"),0),IFERROR(1/_xlfn.MINIFS(history!$H:$H,history!$C:$C,"vivo",history!$D:$D,"flex",history!$A:$A,YEAR($A6)&amp;"-"&amp;TEXT(MONTH($A6),"00")&amp;"-"&amp;TEXT(DAY($A6),"00")),0),IFERROR(1/_xlfn.MINIFS(history!$H:$H,history!$C:$C,"vivo",history!$D:$D,"fit",history!$A:$A,YEAR($A6)&amp;"-"&amp;TEXT(MONTH($A6),"00")&amp;"-"&amp;TEXT(DAY($A6),"00"),history!$S:$S,"="),0)),"")</f>
        <v/>
      </c>
      <c r="M6" s="3">
        <f>IFERROR(1/MAX(IFERROR(1/_xlfn.MINIFS(history!$H:$H,history!$C:$C,"claro",history!$D:$D,"lite",history!$A:$A,YEAR($A6)&amp;"-"&amp;TEXT(MONTH($A6),"00")&amp;"-"&amp;TEXT(DAY($A6),"00"),history!$S:$S,"&gt;0"),0),IFERROR(1/_xlfn.MINIFS(history!$H:$H,history!$C:$C,"claro",history!$D:$D,"flex",history!$A:$A,YEAR($A6)&amp;"-"&amp;TEXT(MONTH($A6),"00")&amp;"-"&amp;TEXT(DAY($A6),"00")),0),IFERROR(1/_xlfn.MINIFS(history!$H:$H,history!$C:$C,"claro",history!$D:$D,"fit",history!$A:$A,YEAR($A6)&amp;"-"&amp;TEXT(MONTH($A6),"00")&amp;"-"&amp;TEXT(DAY($A6),"00"),history!$S:$S,"="),0)),"")</f>
        <v>44.9</v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>58.99</v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>59</v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>59.9</v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>119.99</v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>150</v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>124.9</v>
      </c>
      <c r="H7" s="3">
        <f>IFERROR(IF(_xlfn.MINIFS(history!$H:$H,history!$C:$C,"tim",history!$D:$D,"prepaid",history!$A:$A,YEAR($A7)&amp;"-"&amp;TEXT(MONTH($A7),"00")&amp;"-"&amp;TEXT(DAY($A7),"00"),history!$N:$N,"&gt;=28")=0,"",_xlfn.MINIFS(history!$H:$H,history!$C:$C,"tim",history!$D:$D,"prepaid",history!$A:$A,YEAR($A7)&amp;"-"&amp;TEXT(MONTH($A7),"00")&amp;"-"&amp;TEXT(DAY($A7),"00"),history!$N:$N,"&gt;=28")),"")</f>
        <v>20</v>
      </c>
      <c r="I7" s="3">
        <f>IFERROR(IF(_xlfn.MINIFS(history!$H:$H,history!$C:$C,"vivo",history!$D:$D,"prepaid",history!$A:$A,YEAR($A7)&amp;"-"&amp;TEXT(MONTH($A7),"00")&amp;"-"&amp;TEXT(DAY($A7),"00"),history!$N:$N,"&gt;=28")=0,"",_xlfn.MINIFS(history!$H:$H,history!$C:$C,"vivo",history!$D:$D,"prepaid",history!$A:$A,YEAR($A7)&amp;"-"&amp;TEXT(MONTH($A7),"00")&amp;"-"&amp;TEXT(DAY($A7),"00"),history!$N:$N,"&gt;=28")),"")</f>
        <v>30</v>
      </c>
      <c r="J7" s="3">
        <f>IFERROR(IF(_xlfn.MINIFS(history!$H:$H,history!$C:$C,"claro",history!$D:$D,"prepaid",history!$A:$A,YEAR($A7)&amp;"-"&amp;TEXT(MONTH($A7),"00")&amp;"-"&amp;TEXT(DAY($A7),"00"),history!$N:$N,"&gt;=28")=0,"",_xlfn.MINIFS(history!$H:$H,history!$C:$C,"claro",history!$D:$D,"prepaid",history!$A:$A,YEAR($A7)&amp;"-"&amp;TEXT(MONTH($A7),"00")&amp;"-"&amp;TEXT(DAY($A7),"00"),history!$N:$N,"&gt;=28")),"")</f>
        <v>30</v>
      </c>
      <c r="K7" s="3">
        <f>IFERROR(1/MAX(IFERROR(1/_xlfn.MINIFS(history!$H:$H,history!$C:$C,"tim",history!$D:$D,"lite",history!$A:$A,YEAR($A7)&amp;"-"&amp;TEXT(MONTH($A7),"00")&amp;"-"&amp;TEXT(DAY($A7),"00"),history!$S:$S,"&gt;0"),0),IFERROR(1/_xlfn.MINIFS(history!$H:$H,history!$C:$C,"tim",history!$D:$D,"flex",history!$A:$A,YEAR($A7)&amp;"-"&amp;TEXT(MONTH($A7),"00")&amp;"-"&amp;TEXT(DAY($A7),"00")),0),IFERROR(1/_xlfn.MINIFS(history!$H:$H,history!$C:$C,"tim",history!$D:$D,"fit",history!$A:$A,YEAR($A7)&amp;"-"&amp;TEXT(MONTH($A7),"00")&amp;"-"&amp;TEXT(DAY($A7),"00"),history!$S:$S,"="),0)),"")</f>
        <v/>
      </c>
      <c r="L7" s="3">
        <f>IFERROR(1/MAX(IFERROR(1/_xlfn.MINIFS(history!$H:$H,history!$C:$C,"vivo",history!$D:$D,"lite",history!$A:$A,YEAR($A7)&amp;"-"&amp;TEXT(MONTH($A7),"00")&amp;"-"&amp;TEXT(DAY($A7),"00"),history!$S:$S,"&gt;0"),0),IFERROR(1/_xlfn.MINIFS(history!$H:$H,history!$C:$C,"vivo",history!$D:$D,"flex",history!$A:$A,YEAR($A7)&amp;"-"&amp;TEXT(MONTH($A7),"00")&amp;"-"&amp;TEXT(DAY($A7),"00")),0),IFERROR(1/_xlfn.MINIFS(history!$H:$H,history!$C:$C,"vivo",history!$D:$D,"fit",history!$A:$A,YEAR($A7)&amp;"-"&amp;TEXT(MONTH($A7),"00")&amp;"-"&amp;TEXT(DAY($A7),"00"),history!$S:$S,"="),0)),"")</f>
        <v/>
      </c>
      <c r="M7" s="3">
        <f>IFERROR(1/MAX(IFERROR(1/_xlfn.MINIFS(history!$H:$H,history!$C:$C,"claro",history!$D:$D,"lite",history!$A:$A,YEAR($A7)&amp;"-"&amp;TEXT(MONTH($A7),"00")&amp;"-"&amp;TEXT(DAY($A7),"00"),history!$S:$S,"&gt;0"),0),IFERROR(1/_xlfn.MINIFS(history!$H:$H,history!$C:$C,"claro",history!$D:$D,"flex",history!$A:$A,YEAR($A7)&amp;"-"&amp;TEXT(MONTH($A7),"00")&amp;"-"&amp;TEXT(DAY($A7),"00")),0),IFERROR(1/_xlfn.MINIFS(history!$H:$H,history!$C:$C,"claro",history!$D:$D,"fit",history!$A:$A,YEAR($A7)&amp;"-"&amp;TEXT(MONTH($A7),"00")&amp;"-"&amp;TEXT(DAY($A7),"00"),history!$S:$S,"="),0)),"")</f>
        <v>44.9</v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>58.99</v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>59</v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>59.9</v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>119.99</v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>150</v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>124.9</v>
      </c>
      <c r="H8" s="3">
        <f>IFERROR(IF(_xlfn.MINIFS(history!$H:$H,history!$C:$C,"tim",history!$D:$D,"prepaid",history!$A:$A,YEAR($A8)&amp;"-"&amp;TEXT(MONTH($A8),"00")&amp;"-"&amp;TEXT(DAY($A8),"00"),history!$N:$N,"&gt;=28")=0,"",_xlfn.MINIFS(history!$H:$H,history!$C:$C,"tim",history!$D:$D,"prepaid",history!$A:$A,YEAR($A8)&amp;"-"&amp;TEXT(MONTH($A8),"00")&amp;"-"&amp;TEXT(DAY($A8),"00"),history!$N:$N,"&gt;=28")),"")</f>
        <v>20</v>
      </c>
      <c r="I8" s="3">
        <f>IFERROR(IF(_xlfn.MINIFS(history!$H:$H,history!$C:$C,"vivo",history!$D:$D,"prepaid",history!$A:$A,YEAR($A8)&amp;"-"&amp;TEXT(MONTH($A8),"00")&amp;"-"&amp;TEXT(DAY($A8),"00"),history!$N:$N,"&gt;=28")=0,"",_xlfn.MINIFS(history!$H:$H,history!$C:$C,"vivo",history!$D:$D,"prepaid",history!$A:$A,YEAR($A8)&amp;"-"&amp;TEXT(MONTH($A8),"00")&amp;"-"&amp;TEXT(DAY($A8),"00"),history!$N:$N,"&gt;=28")),"")</f>
        <v>30</v>
      </c>
      <c r="J8" s="3">
        <f>IFERROR(IF(_xlfn.MINIFS(history!$H:$H,history!$C:$C,"claro",history!$D:$D,"prepaid",history!$A:$A,YEAR($A8)&amp;"-"&amp;TEXT(MONTH($A8),"00")&amp;"-"&amp;TEXT(DAY($A8),"00"),history!$N:$N,"&gt;=28")=0,"",_xlfn.MINIFS(history!$H:$H,history!$C:$C,"claro",history!$D:$D,"prepaid",history!$A:$A,YEAR($A8)&amp;"-"&amp;TEXT(MONTH($A8),"00")&amp;"-"&amp;TEXT(DAY($A8),"00"),history!$N:$N,"&gt;=28")),"")</f>
        <v>30</v>
      </c>
      <c r="K8" s="3">
        <f>IFERROR(1/MAX(IFERROR(1/_xlfn.MINIFS(history!$H:$H,history!$C:$C,"tim",history!$D:$D,"lite",history!$A:$A,YEAR($A8)&amp;"-"&amp;TEXT(MONTH($A8),"00")&amp;"-"&amp;TEXT(DAY($A8),"00"),history!$S:$S,"&gt;0"),0),IFERROR(1/_xlfn.MINIFS(history!$H:$H,history!$C:$C,"tim",history!$D:$D,"flex",history!$A:$A,YEAR($A8)&amp;"-"&amp;TEXT(MONTH($A8),"00")&amp;"-"&amp;TEXT(DAY($A8),"00")),0),IFERROR(1/_xlfn.MINIFS(history!$H:$H,history!$C:$C,"tim",history!$D:$D,"fit",history!$A:$A,YEAR($A8)&amp;"-"&amp;TEXT(MONTH($A8),"00")&amp;"-"&amp;TEXT(DAY($A8),"00"),history!$S:$S,"="),0)),"")</f>
        <v/>
      </c>
      <c r="L8" s="3">
        <f>IFERROR(1/MAX(IFERROR(1/_xlfn.MINIFS(history!$H:$H,history!$C:$C,"vivo",history!$D:$D,"lite",history!$A:$A,YEAR($A8)&amp;"-"&amp;TEXT(MONTH($A8),"00")&amp;"-"&amp;TEXT(DAY($A8),"00"),history!$S:$S,"&gt;0"),0),IFERROR(1/_xlfn.MINIFS(history!$H:$H,history!$C:$C,"vivo",history!$D:$D,"flex",history!$A:$A,YEAR($A8)&amp;"-"&amp;TEXT(MONTH($A8),"00")&amp;"-"&amp;TEXT(DAY($A8),"00")),0),IFERROR(1/_xlfn.MINIFS(history!$H:$H,history!$C:$C,"vivo",history!$D:$D,"fit",history!$A:$A,YEAR($A8)&amp;"-"&amp;TEXT(MONTH($A8),"00")&amp;"-"&amp;TEXT(DAY($A8),"00"),history!$S:$S,"="),0)),"")</f>
        <v/>
      </c>
      <c r="M8" s="3">
        <f>IFERROR(1/MAX(IFERROR(1/_xlfn.MINIFS(history!$H:$H,history!$C:$C,"claro",history!$D:$D,"lite",history!$A:$A,YEAR($A8)&amp;"-"&amp;TEXT(MONTH($A8),"00")&amp;"-"&amp;TEXT(DAY($A8),"00"),history!$S:$S,"&gt;0"),0),IFERROR(1/_xlfn.MINIFS(history!$H:$H,history!$C:$C,"claro",history!$D:$D,"flex",history!$A:$A,YEAR($A8)&amp;"-"&amp;TEXT(MONTH($A8),"00")&amp;"-"&amp;TEXT(DAY($A8),"00")),0),IFERROR(1/_xlfn.MINIFS(history!$H:$H,history!$C:$C,"claro",history!$D:$D,"fit",history!$A:$A,YEAR($A8)&amp;"-"&amp;TEXT(MONTH($A8),"00")&amp;"-"&amp;TEXT(DAY($A8),"00"),history!$S:$S,"="),0)),"")</f>
        <v>44.9</v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>58.99</v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>59</v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>59.9</v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>119.99</v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>150</v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>124.9</v>
      </c>
      <c r="H9" s="3">
        <f>IFERROR(IF(_xlfn.MINIFS(history!$H:$H,history!$C:$C,"tim",history!$D:$D,"prepaid",history!$A:$A,YEAR($A9)&amp;"-"&amp;TEXT(MONTH($A9),"00")&amp;"-"&amp;TEXT(DAY($A9),"00"),history!$N:$N,"&gt;=28")=0,"",_xlfn.MINIFS(history!$H:$H,history!$C:$C,"tim",history!$D:$D,"prepaid",history!$A:$A,YEAR($A9)&amp;"-"&amp;TEXT(MONTH($A9),"00")&amp;"-"&amp;TEXT(DAY($A9),"00"),history!$N:$N,"&gt;=28")),"")</f>
        <v>20</v>
      </c>
      <c r="I9" s="3">
        <f>IFERROR(IF(_xlfn.MINIFS(history!$H:$H,history!$C:$C,"vivo",history!$D:$D,"prepaid",history!$A:$A,YEAR($A9)&amp;"-"&amp;TEXT(MONTH($A9),"00")&amp;"-"&amp;TEXT(DAY($A9),"00"),history!$N:$N,"&gt;=28")=0,"",_xlfn.MINIFS(history!$H:$H,history!$C:$C,"vivo",history!$D:$D,"prepaid",history!$A:$A,YEAR($A9)&amp;"-"&amp;TEXT(MONTH($A9),"00")&amp;"-"&amp;TEXT(DAY($A9),"00"),history!$N:$N,"&gt;=28")),"")</f>
        <v>30</v>
      </c>
      <c r="J9" s="3">
        <f>IFERROR(IF(_xlfn.MINIFS(history!$H:$H,history!$C:$C,"claro",history!$D:$D,"prepaid",history!$A:$A,YEAR($A9)&amp;"-"&amp;TEXT(MONTH($A9),"00")&amp;"-"&amp;TEXT(DAY($A9),"00"),history!$N:$N,"&gt;=28")=0,"",_xlfn.MINIFS(history!$H:$H,history!$C:$C,"claro",history!$D:$D,"prepaid",history!$A:$A,YEAR($A9)&amp;"-"&amp;TEXT(MONTH($A9),"00")&amp;"-"&amp;TEXT(DAY($A9),"00"),history!$N:$N,"&gt;=28")),"")</f>
        <v>30</v>
      </c>
      <c r="K9" s="3">
        <f>IFERROR(1/MAX(IFERROR(1/_xlfn.MINIFS(history!$H:$H,history!$C:$C,"tim",history!$D:$D,"lite",history!$A:$A,YEAR($A9)&amp;"-"&amp;TEXT(MONTH($A9),"00")&amp;"-"&amp;TEXT(DAY($A9),"00"),history!$S:$S,"&gt;0"),0),IFERROR(1/_xlfn.MINIFS(history!$H:$H,history!$C:$C,"tim",history!$D:$D,"flex",history!$A:$A,YEAR($A9)&amp;"-"&amp;TEXT(MONTH($A9),"00")&amp;"-"&amp;TEXT(DAY($A9),"00")),0),IFERROR(1/_xlfn.MINIFS(history!$H:$H,history!$C:$C,"tim",history!$D:$D,"fit",history!$A:$A,YEAR($A9)&amp;"-"&amp;TEXT(MONTH($A9),"00")&amp;"-"&amp;TEXT(DAY($A9),"00"),history!$S:$S,"="),0)),"")</f>
        <v/>
      </c>
      <c r="L9" s="3">
        <f>IFERROR(1/MAX(IFERROR(1/_xlfn.MINIFS(history!$H:$H,history!$C:$C,"vivo",history!$D:$D,"lite",history!$A:$A,YEAR($A9)&amp;"-"&amp;TEXT(MONTH($A9),"00")&amp;"-"&amp;TEXT(DAY($A9),"00"),history!$S:$S,"&gt;0"),0),IFERROR(1/_xlfn.MINIFS(history!$H:$H,history!$C:$C,"vivo",history!$D:$D,"flex",history!$A:$A,YEAR($A9)&amp;"-"&amp;TEXT(MONTH($A9),"00")&amp;"-"&amp;TEXT(DAY($A9),"00")),0),IFERROR(1/_xlfn.MINIFS(history!$H:$H,history!$C:$C,"vivo",history!$D:$D,"fit",history!$A:$A,YEAR($A9)&amp;"-"&amp;TEXT(MONTH($A9),"00")&amp;"-"&amp;TEXT(DAY($A9),"00"),history!$S:$S,"="),0)),"")</f>
        <v/>
      </c>
      <c r="M9" s="3">
        <f>IFERROR(1/MAX(IFERROR(1/_xlfn.MINIFS(history!$H:$H,history!$C:$C,"claro",history!$D:$D,"lite",history!$A:$A,YEAR($A9)&amp;"-"&amp;TEXT(MONTH($A9),"00")&amp;"-"&amp;TEXT(DAY($A9),"00"),history!$S:$S,"&gt;0"),0),IFERROR(1/_xlfn.MINIFS(history!$H:$H,history!$C:$C,"claro",history!$D:$D,"flex",history!$A:$A,YEAR($A9)&amp;"-"&amp;TEXT(MONTH($A9),"00")&amp;"-"&amp;TEXT(DAY($A9),"00")),0),IFERROR(1/_xlfn.MINIFS(history!$H:$H,history!$C:$C,"claro",history!$D:$D,"fit",history!$A:$A,YEAR($A9)&amp;"-"&amp;TEXT(MONTH($A9),"00")&amp;"-"&amp;TEXT(DAY($A9),"00"),history!$S:$S,"="),0)),"")</f>
        <v>44.9</v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>58.99</v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>59</v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>59.9</v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>119.99</v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>150</v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>124.9</v>
      </c>
      <c r="H10" s="3">
        <f>IFERROR(IF(_xlfn.MINIFS(history!$H:$H,history!$C:$C,"tim",history!$D:$D,"prepaid",history!$A:$A,YEAR($A10)&amp;"-"&amp;TEXT(MONTH($A10),"00")&amp;"-"&amp;TEXT(DAY($A10),"00"),history!$N:$N,"&gt;=28")=0,"",_xlfn.MINIFS(history!$H:$H,history!$C:$C,"tim",history!$D:$D,"prepaid",history!$A:$A,YEAR($A10)&amp;"-"&amp;TEXT(MONTH($A10),"00")&amp;"-"&amp;TEXT(DAY($A10),"00"),history!$N:$N,"&gt;=28")),"")</f>
        <v>20</v>
      </c>
      <c r="I10" s="3">
        <f>IFERROR(IF(_xlfn.MINIFS(history!$H:$H,history!$C:$C,"vivo",history!$D:$D,"prepaid",history!$A:$A,YEAR($A10)&amp;"-"&amp;TEXT(MONTH($A10),"00")&amp;"-"&amp;TEXT(DAY($A10),"00"),history!$N:$N,"&gt;=28")=0,"",_xlfn.MINIFS(history!$H:$H,history!$C:$C,"vivo",history!$D:$D,"prepaid",history!$A:$A,YEAR($A10)&amp;"-"&amp;TEXT(MONTH($A10),"00")&amp;"-"&amp;TEXT(DAY($A10),"00"),history!$N:$N,"&gt;=28")),"")</f>
        <v>30</v>
      </c>
      <c r="J10" s="3">
        <f>IFERROR(IF(_xlfn.MINIFS(history!$H:$H,history!$C:$C,"claro",history!$D:$D,"prepaid",history!$A:$A,YEAR($A10)&amp;"-"&amp;TEXT(MONTH($A10),"00")&amp;"-"&amp;TEXT(DAY($A10),"00"),history!$N:$N,"&gt;=28")=0,"",_xlfn.MINIFS(history!$H:$H,history!$C:$C,"claro",history!$D:$D,"prepaid",history!$A:$A,YEAR($A10)&amp;"-"&amp;TEXT(MONTH($A10),"00")&amp;"-"&amp;TEXT(DAY($A10),"00"),history!$N:$N,"&gt;=28")),"")</f>
        <v>30</v>
      </c>
      <c r="K10" s="3">
        <f>IFERROR(1/MAX(IFERROR(1/_xlfn.MINIFS(history!$H:$H,history!$C:$C,"tim",history!$D:$D,"lite",history!$A:$A,YEAR($A10)&amp;"-"&amp;TEXT(MONTH($A10),"00")&amp;"-"&amp;TEXT(DAY($A10),"00"),history!$S:$S,"&gt;0"),0),IFERROR(1/_xlfn.MINIFS(history!$H:$H,history!$C:$C,"tim",history!$D:$D,"flex",history!$A:$A,YEAR($A10)&amp;"-"&amp;TEXT(MONTH($A10),"00")&amp;"-"&amp;TEXT(DAY($A10),"00")),0),IFERROR(1/_xlfn.MINIFS(history!$H:$H,history!$C:$C,"tim",history!$D:$D,"fit",history!$A:$A,YEAR($A10)&amp;"-"&amp;TEXT(MONTH($A10),"00")&amp;"-"&amp;TEXT(DAY($A10),"00"),history!$S:$S,"="),0)),"")</f>
        <v/>
      </c>
      <c r="L10" s="3">
        <f>IFERROR(1/MAX(IFERROR(1/_xlfn.MINIFS(history!$H:$H,history!$C:$C,"vivo",history!$D:$D,"lite",history!$A:$A,YEAR($A10)&amp;"-"&amp;TEXT(MONTH($A10),"00")&amp;"-"&amp;TEXT(DAY($A10),"00"),history!$S:$S,"&gt;0"),0),IFERROR(1/_xlfn.MINIFS(history!$H:$H,history!$C:$C,"vivo",history!$D:$D,"flex",history!$A:$A,YEAR($A10)&amp;"-"&amp;TEXT(MONTH($A10),"00")&amp;"-"&amp;TEXT(DAY($A10),"00")),0),IFERROR(1/_xlfn.MINIFS(history!$H:$H,history!$C:$C,"vivo",history!$D:$D,"fit",history!$A:$A,YEAR($A10)&amp;"-"&amp;TEXT(MONTH($A10),"00")&amp;"-"&amp;TEXT(DAY($A10),"00"),history!$S:$S,"="),0)),"")</f>
        <v/>
      </c>
      <c r="M10" s="3">
        <f>IFERROR(1/MAX(IFERROR(1/_xlfn.MINIFS(history!$H:$H,history!$C:$C,"claro",history!$D:$D,"lite",history!$A:$A,YEAR($A10)&amp;"-"&amp;TEXT(MONTH($A10),"00")&amp;"-"&amp;TEXT(DAY($A10),"00"),history!$S:$S,"&gt;0"),0),IFERROR(1/_xlfn.MINIFS(history!$H:$H,history!$C:$C,"claro",history!$D:$D,"flex",history!$A:$A,YEAR($A10)&amp;"-"&amp;TEXT(MONTH($A10),"00")&amp;"-"&amp;TEXT(DAY($A10),"00")),0),IFERROR(1/_xlfn.MINIFS(history!$H:$H,history!$C:$C,"claro",history!$D:$D,"fit",history!$A:$A,YEAR($A10)&amp;"-"&amp;TEXT(MONTH($A10),"00")&amp;"-"&amp;TEXT(DAY($A10),"00"),history!$S:$S,"="),0)),"")</f>
        <v>44.9</v>
      </c>
    </row>
    <row r="11">
      <c r="A11" s="12" t="n">
        <v>46203</v>
      </c>
      <c r="B11" s="3">
        <f>IFERROR(IF(_xlfn.MINIFS(history!$H:$H,history!$C:$C,"tim",history!$D:$D,"control",history!$A:$A,YEAR($A11)&amp;"-"&amp;TEXT(MONTH($A11),"00")&amp;"-"&amp;TEXT(DAY($A11),"00"))=0,"",_xlfn.MINIFS(history!$H:$H,history!$C:$C,"tim",history!$D:$D,"control",history!$A:$A,YEAR($A11)&amp;"-"&amp;TEXT(MONTH($A11),"00")&amp;"-"&amp;TEXT(DAY($A11),"00"))),"")</f>
        <v>58.99</v>
      </c>
      <c r="C11" s="3">
        <f>IFERROR(IF(_xlfn.MINIFS(history!$H:$H,history!$C:$C,"vivo",history!$D:$D,"control",history!$A:$A,YEAR($A11)&amp;"-"&amp;TEXT(MONTH($A11),"00")&amp;"-"&amp;TEXT(DAY($A11),"00"))=0,"",_xlfn.MINIFS(history!$H:$H,history!$C:$C,"vivo",history!$D:$D,"control",history!$A:$A,YEAR($A11)&amp;"-"&amp;TEXT(MONTH($A11),"00")&amp;"-"&amp;TEXT(DAY($A11),"00"))),"")</f>
        <v>59</v>
      </c>
      <c r="D11" s="3">
        <f>IFERROR(IF(_xlfn.MINIFS(history!$H:$H,history!$C:$C,"claro",history!$D:$D,"control",history!$A:$A,YEAR($A11)&amp;"-"&amp;TEXT(MONTH($A11),"00")&amp;"-"&amp;TEXT(DAY($A11),"00"))=0,"",_xlfn.MINIFS(history!$H:$H,history!$C:$C,"claro",history!$D:$D,"control",history!$A:$A,YEAR($A11)&amp;"-"&amp;TEXT(MONTH($A11),"00")&amp;"-"&amp;TEXT(DAY($A11),"00"))),"")</f>
        <v>59.9</v>
      </c>
      <c r="E11" s="3">
        <f>IFERROR(IF(_xlfn.MINIFS(history!$H:$H,history!$C:$C,"tim",history!$D:$D,"postpaid",history!$A:$A,YEAR($A11)&amp;"-"&amp;TEXT(MONTH($A11),"00")&amp;"-"&amp;TEXT(DAY($A11),"00"))=0,"",_xlfn.MINIFS(history!$H:$H,history!$C:$C,"tim",history!$D:$D,"postpaid",history!$A:$A,YEAR($A11)&amp;"-"&amp;TEXT(MONTH($A11),"00")&amp;"-"&amp;TEXT(DAY($A11),"00"))),"")</f>
        <v>119.99</v>
      </c>
      <c r="F11" s="3">
        <f>IFERROR(IF(_xlfn.MINIFS(history!$H:$H,history!$C:$C,"vivo",history!$D:$D,"postpaid",history!$A:$A,YEAR($A11)&amp;"-"&amp;TEXT(MONTH($A11),"00")&amp;"-"&amp;TEXT(DAY($A11),"00"))=0,"",_xlfn.MINIFS(history!$H:$H,history!$C:$C,"vivo",history!$D:$D,"postpaid",history!$A:$A,YEAR($A11)&amp;"-"&amp;TEXT(MONTH($A11),"00")&amp;"-"&amp;TEXT(DAY($A11),"00"))),"")</f>
        <v>150</v>
      </c>
      <c r="G11" s="3">
        <f>IFERROR(IF(_xlfn.MINIFS(history!$H:$H,history!$C:$C,"claro",history!$D:$D,"postpaid",history!$A:$A,YEAR($A11)&amp;"-"&amp;TEXT(MONTH($A11),"00")&amp;"-"&amp;TEXT(DAY($A11),"00"))=0,"",_xlfn.MINIFS(history!$H:$H,history!$C:$C,"claro",history!$D:$D,"postpaid",history!$A:$A,YEAR($A11)&amp;"-"&amp;TEXT(MONTH($A11),"00")&amp;"-"&amp;TEXT(DAY($A11),"00"))),"")</f>
        <v>124.9</v>
      </c>
      <c r="H11" s="3">
        <f>IFERROR(IF(_xlfn.MINIFS(history!$H:$H,history!$C:$C,"tim",history!$D:$D,"prepaid",history!$A:$A,YEAR($A11)&amp;"-"&amp;TEXT(MONTH($A11),"00")&amp;"-"&amp;TEXT(DAY($A11),"00"),history!$N:$N,"&gt;=28")=0,"",_xlfn.MINIFS(history!$H:$H,history!$C:$C,"tim",history!$D:$D,"prepaid",history!$A:$A,YEAR($A11)&amp;"-"&amp;TEXT(MONTH($A11),"00")&amp;"-"&amp;TEXT(DAY($A11),"00"),history!$N:$N,"&gt;=28")),"")</f>
        <v>20</v>
      </c>
      <c r="I11" s="3">
        <f>IFERROR(IF(_xlfn.MINIFS(history!$H:$H,history!$C:$C,"vivo",history!$D:$D,"prepaid",history!$A:$A,YEAR($A11)&amp;"-"&amp;TEXT(MONTH($A11),"00")&amp;"-"&amp;TEXT(DAY($A11),"00"),history!$N:$N,"&gt;=28")=0,"",_xlfn.MINIFS(history!$H:$H,history!$C:$C,"vivo",history!$D:$D,"prepaid",history!$A:$A,YEAR($A11)&amp;"-"&amp;TEXT(MONTH($A11),"00")&amp;"-"&amp;TEXT(DAY($A11),"00"),history!$N:$N,"&gt;=28")),"")</f>
        <v>30</v>
      </c>
      <c r="J11" s="3">
        <f>IFERROR(IF(_xlfn.MINIFS(history!$H:$H,history!$C:$C,"claro",history!$D:$D,"prepaid",history!$A:$A,YEAR($A11)&amp;"-"&amp;TEXT(MONTH($A11),"00")&amp;"-"&amp;TEXT(DAY($A11),"00"),history!$N:$N,"&gt;=28")=0,"",_xlfn.MINIFS(history!$H:$H,history!$C:$C,"claro",history!$D:$D,"prepaid",history!$A:$A,YEAR($A11)&amp;"-"&amp;TEXT(MONTH($A11),"00")&amp;"-"&amp;TEXT(DAY($A11),"00"),history!$N:$N,"&gt;=28")),"")</f>
        <v>30</v>
      </c>
      <c r="K11" s="3">
        <f>IFERROR(1/MAX(IFERROR(1/_xlfn.MINIFS(history!$H:$H,history!$C:$C,"tim",history!$D:$D,"lite",history!$A:$A,YEAR($A11)&amp;"-"&amp;TEXT(MONTH($A11),"00")&amp;"-"&amp;TEXT(DAY($A11),"00"),history!$S:$S,"&gt;0"),0),IFERROR(1/_xlfn.MINIFS(history!$H:$H,history!$C:$C,"tim",history!$D:$D,"flex",history!$A:$A,YEAR($A11)&amp;"-"&amp;TEXT(MONTH($A11),"00")&amp;"-"&amp;TEXT(DAY($A11),"00")),0),IFERROR(1/_xlfn.MINIFS(history!$H:$H,history!$C:$C,"tim",history!$D:$D,"fit",history!$A:$A,YEAR($A11)&amp;"-"&amp;TEXT(MONTH($A11),"00")&amp;"-"&amp;TEXT(DAY($A11),"00"),history!$S:$S,"="),0)),"")</f>
        <v/>
      </c>
      <c r="L11" s="3">
        <f>IFERROR(1/MAX(IFERROR(1/_xlfn.MINIFS(history!$H:$H,history!$C:$C,"vivo",history!$D:$D,"lite",history!$A:$A,YEAR($A11)&amp;"-"&amp;TEXT(MONTH($A11),"00")&amp;"-"&amp;TEXT(DAY($A11),"00"),history!$S:$S,"&gt;0"),0),IFERROR(1/_xlfn.MINIFS(history!$H:$H,history!$C:$C,"vivo",history!$D:$D,"flex",history!$A:$A,YEAR($A11)&amp;"-"&amp;TEXT(MONTH($A11),"00")&amp;"-"&amp;TEXT(DAY($A11),"00")),0),IFERROR(1/_xlfn.MINIFS(history!$H:$H,history!$C:$C,"vivo",history!$D:$D,"fit",history!$A:$A,YEAR($A11)&amp;"-"&amp;TEXT(MONTH($A11),"00")&amp;"-"&amp;TEXT(DAY($A11),"00"),history!$S:$S,"="),0)),"")</f>
        <v/>
      </c>
      <c r="M11" s="3">
        <f>IFERROR(1/MAX(IFERROR(1/_xlfn.MINIFS(history!$H:$H,history!$C:$C,"claro",history!$D:$D,"lite",history!$A:$A,YEAR($A11)&amp;"-"&amp;TEXT(MONTH($A11),"00")&amp;"-"&amp;TEXT(DAY($A11),"00"),history!$S:$S,"&gt;0"),0),IFERROR(1/_xlfn.MINIFS(history!$H:$H,history!$C:$C,"claro",history!$D:$D,"flex",history!$A:$A,YEAR($A11)&amp;"-"&amp;TEXT(MONTH($A11),"00")&amp;"-"&amp;TEXT(DAY($A11),"00")),0),IFERROR(1/_xlfn.MINIFS(history!$H:$H,history!$C:$C,"claro",history!$D:$D,"fit",history!$A:$A,YEAR($A11)&amp;"-"&amp;TEXT(MONTH($A11),"00")&amp;"-"&amp;TEXT(DAY($A11),"00"),history!$S:$S,"="),0)),"")</f>
        <v>44.9</v>
      </c>
    </row>
    <row r="12">
      <c r="A12" s="12" t="n">
        <v>46204</v>
      </c>
      <c r="B12" s="3">
        <f>IFERROR(IF(_xlfn.MINIFS(history!$H:$H,history!$C:$C,"tim",history!$D:$D,"control",history!$A:$A,YEAR($A12)&amp;"-"&amp;TEXT(MONTH($A12),"00")&amp;"-"&amp;TEXT(DAY($A12),"00"))=0,"",_xlfn.MINIFS(history!$H:$H,history!$C:$C,"tim",history!$D:$D,"control",history!$A:$A,YEAR($A12)&amp;"-"&amp;TEXT(MONTH($A12),"00")&amp;"-"&amp;TEXT(DAY($A12),"00"))),"")</f>
        <v>58.99</v>
      </c>
      <c r="C12" s="3">
        <f>IFERROR(IF(_xlfn.MINIFS(history!$H:$H,history!$C:$C,"vivo",history!$D:$D,"control",history!$A:$A,YEAR($A12)&amp;"-"&amp;TEXT(MONTH($A12),"00")&amp;"-"&amp;TEXT(DAY($A12),"00"))=0,"",_xlfn.MINIFS(history!$H:$H,history!$C:$C,"vivo",history!$D:$D,"control",history!$A:$A,YEAR($A12)&amp;"-"&amp;TEXT(MONTH($A12),"00")&amp;"-"&amp;TEXT(DAY($A12),"00"))),"")</f>
        <v>59</v>
      </c>
      <c r="D12" s="3">
        <f>IFERROR(IF(_xlfn.MINIFS(history!$H:$H,history!$C:$C,"claro",history!$D:$D,"control",history!$A:$A,YEAR($A12)&amp;"-"&amp;TEXT(MONTH($A12),"00")&amp;"-"&amp;TEXT(DAY($A12),"00"))=0,"",_xlfn.MINIFS(history!$H:$H,history!$C:$C,"claro",history!$D:$D,"control",history!$A:$A,YEAR($A12)&amp;"-"&amp;TEXT(MONTH($A12),"00")&amp;"-"&amp;TEXT(DAY($A12),"00"))),"")</f>
        <v>59.9</v>
      </c>
      <c r="E12" s="3">
        <f>IFERROR(IF(_xlfn.MINIFS(history!$H:$H,history!$C:$C,"tim",history!$D:$D,"postpaid",history!$A:$A,YEAR($A12)&amp;"-"&amp;TEXT(MONTH($A12),"00")&amp;"-"&amp;TEXT(DAY($A12),"00"))=0,"",_xlfn.MINIFS(history!$H:$H,history!$C:$C,"tim",history!$D:$D,"postpaid",history!$A:$A,YEAR($A12)&amp;"-"&amp;TEXT(MONTH($A12),"00")&amp;"-"&amp;TEXT(DAY($A12),"00"))),"")</f>
        <v>119.99</v>
      </c>
      <c r="F12" s="3">
        <f>IFERROR(IF(_xlfn.MINIFS(history!$H:$H,history!$C:$C,"vivo",history!$D:$D,"postpaid",history!$A:$A,YEAR($A12)&amp;"-"&amp;TEXT(MONTH($A12),"00")&amp;"-"&amp;TEXT(DAY($A12),"00"))=0,"",_xlfn.MINIFS(history!$H:$H,history!$C:$C,"vivo",history!$D:$D,"postpaid",history!$A:$A,YEAR($A12)&amp;"-"&amp;TEXT(MONTH($A12),"00")&amp;"-"&amp;TEXT(DAY($A12),"00"))),"")</f>
        <v>150</v>
      </c>
      <c r="G12" s="3">
        <f>IFERROR(IF(_xlfn.MINIFS(history!$H:$H,history!$C:$C,"claro",history!$D:$D,"postpaid",history!$A:$A,YEAR($A12)&amp;"-"&amp;TEXT(MONTH($A12),"00")&amp;"-"&amp;TEXT(DAY($A12),"00"))=0,"",_xlfn.MINIFS(history!$H:$H,history!$C:$C,"claro",history!$D:$D,"postpaid",history!$A:$A,YEAR($A12)&amp;"-"&amp;TEXT(MONTH($A12),"00")&amp;"-"&amp;TEXT(DAY($A12),"00"))),"")</f>
        <v>124.9</v>
      </c>
      <c r="H12" s="3">
        <f>IFERROR(IF(_xlfn.MINIFS(history!$H:$H,history!$C:$C,"tim",history!$D:$D,"prepaid",history!$A:$A,YEAR($A12)&amp;"-"&amp;TEXT(MONTH($A12),"00")&amp;"-"&amp;TEXT(DAY($A12),"00"),history!$N:$N,"&gt;=28")=0,"",_xlfn.MINIFS(history!$H:$H,history!$C:$C,"tim",history!$D:$D,"prepaid",history!$A:$A,YEAR($A12)&amp;"-"&amp;TEXT(MONTH($A12),"00")&amp;"-"&amp;TEXT(DAY($A12),"00"),history!$N:$N,"&gt;=28")),"")</f>
        <v>30</v>
      </c>
      <c r="I12" s="3">
        <f>IFERROR(IF(_xlfn.MINIFS(history!$H:$H,history!$C:$C,"vivo",history!$D:$D,"prepaid",history!$A:$A,YEAR($A12)&amp;"-"&amp;TEXT(MONTH($A12),"00")&amp;"-"&amp;TEXT(DAY($A12),"00"),history!$N:$N,"&gt;=28")=0,"",_xlfn.MINIFS(history!$H:$H,history!$C:$C,"vivo",history!$D:$D,"prepaid",history!$A:$A,YEAR($A12)&amp;"-"&amp;TEXT(MONTH($A12),"00")&amp;"-"&amp;TEXT(DAY($A12),"00"),history!$N:$N,"&gt;=28")),"")</f>
        <v>30</v>
      </c>
      <c r="J12" s="3">
        <f>IFERROR(IF(_xlfn.MINIFS(history!$H:$H,history!$C:$C,"claro",history!$D:$D,"prepaid",history!$A:$A,YEAR($A12)&amp;"-"&amp;TEXT(MONTH($A12),"00")&amp;"-"&amp;TEXT(DAY($A12),"00"),history!$N:$N,"&gt;=28")=0,"",_xlfn.MINIFS(history!$H:$H,history!$C:$C,"claro",history!$D:$D,"prepaid",history!$A:$A,YEAR($A12)&amp;"-"&amp;TEXT(MONTH($A12),"00")&amp;"-"&amp;TEXT(DAY($A12),"00"),history!$N:$N,"&gt;=28")),"")</f>
        <v>30</v>
      </c>
      <c r="K12" s="3">
        <f>IFERROR(1/MAX(IFERROR(1/_xlfn.MINIFS(history!$H:$H,history!$C:$C,"tim",history!$D:$D,"lite",history!$A:$A,YEAR($A12)&amp;"-"&amp;TEXT(MONTH($A12),"00")&amp;"-"&amp;TEXT(DAY($A12),"00"),history!$S:$S,"&gt;0"),0),IFERROR(1/_xlfn.MINIFS(history!$H:$H,history!$C:$C,"tim",history!$D:$D,"flex",history!$A:$A,YEAR($A12)&amp;"-"&amp;TEXT(MONTH($A12),"00")&amp;"-"&amp;TEXT(DAY($A12),"00")),0),IFERROR(1/_xlfn.MINIFS(history!$H:$H,history!$C:$C,"tim",history!$D:$D,"fit",history!$A:$A,YEAR($A12)&amp;"-"&amp;TEXT(MONTH($A12),"00")&amp;"-"&amp;TEXT(DAY($A12),"00"),history!$S:$S,"="),0)),"")</f>
        <v/>
      </c>
      <c r="L12" s="3">
        <f>IFERROR(1/MAX(IFERROR(1/_xlfn.MINIFS(history!$H:$H,history!$C:$C,"vivo",history!$D:$D,"lite",history!$A:$A,YEAR($A12)&amp;"-"&amp;TEXT(MONTH($A12),"00")&amp;"-"&amp;TEXT(DAY($A12),"00"),history!$S:$S,"&gt;0"),0),IFERROR(1/_xlfn.MINIFS(history!$H:$H,history!$C:$C,"vivo",history!$D:$D,"flex",history!$A:$A,YEAR($A12)&amp;"-"&amp;TEXT(MONTH($A12),"00")&amp;"-"&amp;TEXT(DAY($A12),"00")),0),IFERROR(1/_xlfn.MINIFS(history!$H:$H,history!$C:$C,"vivo",history!$D:$D,"fit",history!$A:$A,YEAR($A12)&amp;"-"&amp;TEXT(MONTH($A12),"00")&amp;"-"&amp;TEXT(DAY($A12),"00"),history!$S:$S,"="),0)),"")</f>
        <v>45</v>
      </c>
      <c r="M12" s="3">
        <f>IFERROR(1/MAX(IFERROR(1/_xlfn.MINIFS(history!$H:$H,history!$C:$C,"claro",history!$D:$D,"lite",history!$A:$A,YEAR($A12)&amp;"-"&amp;TEXT(MONTH($A12),"00")&amp;"-"&amp;TEXT(DAY($A12),"00"),history!$S:$S,"&gt;0"),0),IFERROR(1/_xlfn.MINIFS(history!$H:$H,history!$C:$C,"claro",history!$D:$D,"flex",history!$A:$A,YEAR($A12)&amp;"-"&amp;TEXT(MONTH($A12),"00")&amp;"-"&amp;TEXT(DAY($A12),"00")),0),IFERROR(1/_xlfn.MINIFS(history!$H:$H,history!$C:$C,"claro",history!$D:$D,"fit",history!$A:$A,YEAR($A12)&amp;"-"&amp;TEXT(MONTH($A12),"00")&amp;"-"&amp;TEXT(DAY($A12),"00"),history!$S:$S,"="),0)),"")</f>
        <v>44.9</v>
      </c>
    </row>
    <row r="13">
      <c r="A13" s="12" t="n">
        <v>46205</v>
      </c>
      <c r="B13" s="3">
        <f>IFERROR(IF(_xlfn.MINIFS(history!$H:$H,history!$C:$C,"tim",history!$D:$D,"control",history!$A:$A,YEAR($A13)&amp;"-"&amp;TEXT(MONTH($A13),"00")&amp;"-"&amp;TEXT(DAY($A13),"00"))=0,"",_xlfn.MINIFS(history!$H:$H,history!$C:$C,"tim",history!$D:$D,"control",history!$A:$A,YEAR($A13)&amp;"-"&amp;TEXT(MONTH($A13),"00")&amp;"-"&amp;TEXT(DAY($A13),"00"))),"")</f>
        <v>58.99</v>
      </c>
      <c r="C13" s="3">
        <f>IFERROR(IF(_xlfn.MINIFS(history!$H:$H,history!$C:$C,"vivo",history!$D:$D,"control",history!$A:$A,YEAR($A13)&amp;"-"&amp;TEXT(MONTH($A13),"00")&amp;"-"&amp;TEXT(DAY($A13),"00"))=0,"",_xlfn.MINIFS(history!$H:$H,history!$C:$C,"vivo",history!$D:$D,"control",history!$A:$A,YEAR($A13)&amp;"-"&amp;TEXT(MONTH($A13),"00")&amp;"-"&amp;TEXT(DAY($A13),"00"))),"")</f>
        <v>59</v>
      </c>
      <c r="D13" s="3">
        <f>IFERROR(IF(_xlfn.MINIFS(history!$H:$H,history!$C:$C,"claro",history!$D:$D,"control",history!$A:$A,YEAR($A13)&amp;"-"&amp;TEXT(MONTH($A13),"00")&amp;"-"&amp;TEXT(DAY($A13),"00"))=0,"",_xlfn.MINIFS(history!$H:$H,history!$C:$C,"claro",history!$D:$D,"control",history!$A:$A,YEAR($A13)&amp;"-"&amp;TEXT(MONTH($A13),"00")&amp;"-"&amp;TEXT(DAY($A13),"00"))),"")</f>
        <v>59.9</v>
      </c>
      <c r="E13" s="3">
        <f>IFERROR(IF(_xlfn.MINIFS(history!$H:$H,history!$C:$C,"tim",history!$D:$D,"postpaid",history!$A:$A,YEAR($A13)&amp;"-"&amp;TEXT(MONTH($A13),"00")&amp;"-"&amp;TEXT(DAY($A13),"00"))=0,"",_xlfn.MINIFS(history!$H:$H,history!$C:$C,"tim",history!$D:$D,"postpaid",history!$A:$A,YEAR($A13)&amp;"-"&amp;TEXT(MONTH($A13),"00")&amp;"-"&amp;TEXT(DAY($A13),"00"))),"")</f>
        <v>119.99</v>
      </c>
      <c r="F13" s="3">
        <f>IFERROR(IF(_xlfn.MINIFS(history!$H:$H,history!$C:$C,"vivo",history!$D:$D,"postpaid",history!$A:$A,YEAR($A13)&amp;"-"&amp;TEXT(MONTH($A13),"00")&amp;"-"&amp;TEXT(DAY($A13),"00"))=0,"",_xlfn.MINIFS(history!$H:$H,history!$C:$C,"vivo",history!$D:$D,"postpaid",history!$A:$A,YEAR($A13)&amp;"-"&amp;TEXT(MONTH($A13),"00")&amp;"-"&amp;TEXT(DAY($A13),"00"))),"")</f>
        <v>150</v>
      </c>
      <c r="G13" s="3">
        <f>IFERROR(IF(_xlfn.MINIFS(history!$H:$H,history!$C:$C,"claro",history!$D:$D,"postpaid",history!$A:$A,YEAR($A13)&amp;"-"&amp;TEXT(MONTH($A13),"00")&amp;"-"&amp;TEXT(DAY($A13),"00"))=0,"",_xlfn.MINIFS(history!$H:$H,history!$C:$C,"claro",history!$D:$D,"postpaid",history!$A:$A,YEAR($A13)&amp;"-"&amp;TEXT(MONTH($A13),"00")&amp;"-"&amp;TEXT(DAY($A13),"00"))),"")</f>
        <v>124.9</v>
      </c>
      <c r="H13" s="3">
        <f>IFERROR(IF(_xlfn.MINIFS(history!$H:$H,history!$C:$C,"tim",history!$D:$D,"prepaid",history!$A:$A,YEAR($A13)&amp;"-"&amp;TEXT(MONTH($A13),"00")&amp;"-"&amp;TEXT(DAY($A13),"00"),history!$N:$N,"&gt;=28")=0,"",_xlfn.MINIFS(history!$H:$H,history!$C:$C,"tim",history!$D:$D,"prepaid",history!$A:$A,YEAR($A13)&amp;"-"&amp;TEXT(MONTH($A13),"00")&amp;"-"&amp;TEXT(DAY($A13),"00"),history!$N:$N,"&gt;=28")),"")</f>
        <v>30</v>
      </c>
      <c r="I13" s="3">
        <f>IFERROR(IF(_xlfn.MINIFS(history!$H:$H,history!$C:$C,"vivo",history!$D:$D,"prepaid",history!$A:$A,YEAR($A13)&amp;"-"&amp;TEXT(MONTH($A13),"00")&amp;"-"&amp;TEXT(DAY($A13),"00"),history!$N:$N,"&gt;=28")=0,"",_xlfn.MINIFS(history!$H:$H,history!$C:$C,"vivo",history!$D:$D,"prepaid",history!$A:$A,YEAR($A13)&amp;"-"&amp;TEXT(MONTH($A13),"00")&amp;"-"&amp;TEXT(DAY($A13),"00"),history!$N:$N,"&gt;=28")),"")</f>
        <v>30</v>
      </c>
      <c r="J13" s="3">
        <f>IFERROR(IF(_xlfn.MINIFS(history!$H:$H,history!$C:$C,"claro",history!$D:$D,"prepaid",history!$A:$A,YEAR($A13)&amp;"-"&amp;TEXT(MONTH($A13),"00")&amp;"-"&amp;TEXT(DAY($A13),"00"),history!$N:$N,"&gt;=28")=0,"",_xlfn.MINIFS(history!$H:$H,history!$C:$C,"claro",history!$D:$D,"prepaid",history!$A:$A,YEAR($A13)&amp;"-"&amp;TEXT(MONTH($A13),"00")&amp;"-"&amp;TEXT(DAY($A13),"00"),history!$N:$N,"&gt;=28")),"")</f>
        <v>30</v>
      </c>
      <c r="K13" s="3">
        <f>IFERROR(1/MAX(IFERROR(1/_xlfn.MINIFS(history!$H:$H,history!$C:$C,"tim",history!$D:$D,"lite",history!$A:$A,YEAR($A13)&amp;"-"&amp;TEXT(MONTH($A13),"00")&amp;"-"&amp;TEXT(DAY($A13),"00"),history!$S:$S,"&gt;0"),0),IFERROR(1/_xlfn.MINIFS(history!$H:$H,history!$C:$C,"tim",history!$D:$D,"flex",history!$A:$A,YEAR($A13)&amp;"-"&amp;TEXT(MONTH($A13),"00")&amp;"-"&amp;TEXT(DAY($A13),"00")),0),IFERROR(1/_xlfn.MINIFS(history!$H:$H,history!$C:$C,"tim",history!$D:$D,"fit",history!$A:$A,YEAR($A13)&amp;"-"&amp;TEXT(MONTH($A13),"00")&amp;"-"&amp;TEXT(DAY($A13),"00"),history!$S:$S,"="),0)),"")</f>
        <v/>
      </c>
      <c r="L13" s="3">
        <f>IFERROR(1/MAX(IFERROR(1/_xlfn.MINIFS(history!$H:$H,history!$C:$C,"vivo",history!$D:$D,"lite",history!$A:$A,YEAR($A13)&amp;"-"&amp;TEXT(MONTH($A13),"00")&amp;"-"&amp;TEXT(DAY($A13),"00"),history!$S:$S,"&gt;0"),0),IFERROR(1/_xlfn.MINIFS(history!$H:$H,history!$C:$C,"vivo",history!$D:$D,"flex",history!$A:$A,YEAR($A13)&amp;"-"&amp;TEXT(MONTH($A13),"00")&amp;"-"&amp;TEXT(DAY($A13),"00")),0),IFERROR(1/_xlfn.MINIFS(history!$H:$H,history!$C:$C,"vivo",history!$D:$D,"fit",history!$A:$A,YEAR($A13)&amp;"-"&amp;TEXT(MONTH($A13),"00")&amp;"-"&amp;TEXT(DAY($A13),"00"),history!$S:$S,"="),0)),"")</f>
        <v>45</v>
      </c>
      <c r="M13" s="3">
        <f>IFERROR(1/MAX(IFERROR(1/_xlfn.MINIFS(history!$H:$H,history!$C:$C,"claro",history!$D:$D,"lite",history!$A:$A,YEAR($A13)&amp;"-"&amp;TEXT(MONTH($A13),"00")&amp;"-"&amp;TEXT(DAY($A13),"00"),history!$S:$S,"&gt;0"),0),IFERROR(1/_xlfn.MINIFS(history!$H:$H,history!$C:$C,"claro",history!$D:$D,"flex",history!$A:$A,YEAR($A13)&amp;"-"&amp;TEXT(MONTH($A13),"00")&amp;"-"&amp;TEXT(DAY($A13),"00")),0),IFERROR(1/_xlfn.MINIFS(history!$H:$H,history!$C:$C,"claro",history!$D:$D,"fit",history!$A:$A,YEAR($A13)&amp;"-"&amp;TEXT(MONTH($A13),"00")&amp;"-"&amp;TEXT(DAY($A13),"00"),history!$S:$S,"="),0)),"")</f>
        <v>44.9</v>
      </c>
    </row>
    <row r="14">
      <c r="A14" s="12" t="n">
        <v>46206</v>
      </c>
      <c r="B14" s="3">
        <f>IFERROR(IF(_xlfn.MINIFS(history!$H:$H,history!$C:$C,"tim",history!$D:$D,"control",history!$A:$A,YEAR($A14)&amp;"-"&amp;TEXT(MONTH($A14),"00")&amp;"-"&amp;TEXT(DAY($A14),"00"))=0,"",_xlfn.MINIFS(history!$H:$H,history!$C:$C,"tim",history!$D:$D,"control",history!$A:$A,YEAR($A14)&amp;"-"&amp;TEXT(MONTH($A14),"00")&amp;"-"&amp;TEXT(DAY($A14),"00"))),"")</f>
        <v>58.99</v>
      </c>
      <c r="C14" s="3">
        <f>IFERROR(IF(_xlfn.MINIFS(history!$H:$H,history!$C:$C,"vivo",history!$D:$D,"control",history!$A:$A,YEAR($A14)&amp;"-"&amp;TEXT(MONTH($A14),"00")&amp;"-"&amp;TEXT(DAY($A14),"00"))=0,"",_xlfn.MINIFS(history!$H:$H,history!$C:$C,"vivo",history!$D:$D,"control",history!$A:$A,YEAR($A14)&amp;"-"&amp;TEXT(MONTH($A14),"00")&amp;"-"&amp;TEXT(DAY($A14),"00"))),"")</f>
        <v>59</v>
      </c>
      <c r="D14" s="3">
        <f>IFERROR(IF(_xlfn.MINIFS(history!$H:$H,history!$C:$C,"claro",history!$D:$D,"control",history!$A:$A,YEAR($A14)&amp;"-"&amp;TEXT(MONTH($A14),"00")&amp;"-"&amp;TEXT(DAY($A14),"00"))=0,"",_xlfn.MINIFS(history!$H:$H,history!$C:$C,"claro",history!$D:$D,"control",history!$A:$A,YEAR($A14)&amp;"-"&amp;TEXT(MONTH($A14),"00")&amp;"-"&amp;TEXT(DAY($A14),"00"))),"")</f>
        <v>59.9</v>
      </c>
      <c r="E14" s="3">
        <f>IFERROR(IF(_xlfn.MINIFS(history!$H:$H,history!$C:$C,"tim",history!$D:$D,"postpaid",history!$A:$A,YEAR($A14)&amp;"-"&amp;TEXT(MONTH($A14),"00")&amp;"-"&amp;TEXT(DAY($A14),"00"))=0,"",_xlfn.MINIFS(history!$H:$H,history!$C:$C,"tim",history!$D:$D,"postpaid",history!$A:$A,YEAR($A14)&amp;"-"&amp;TEXT(MONTH($A14),"00")&amp;"-"&amp;TEXT(DAY($A14),"00"))),"")</f>
        <v>119.99</v>
      </c>
      <c r="F14" s="3">
        <f>IFERROR(IF(_xlfn.MINIFS(history!$H:$H,history!$C:$C,"vivo",history!$D:$D,"postpaid",history!$A:$A,YEAR($A14)&amp;"-"&amp;TEXT(MONTH($A14),"00")&amp;"-"&amp;TEXT(DAY($A14),"00"))=0,"",_xlfn.MINIFS(history!$H:$H,history!$C:$C,"vivo",history!$D:$D,"postpaid",history!$A:$A,YEAR($A14)&amp;"-"&amp;TEXT(MONTH($A14),"00")&amp;"-"&amp;TEXT(DAY($A14),"00"))),"")</f>
        <v>150</v>
      </c>
      <c r="G14" s="3">
        <f>IFERROR(IF(_xlfn.MINIFS(history!$H:$H,history!$C:$C,"claro",history!$D:$D,"postpaid",history!$A:$A,YEAR($A14)&amp;"-"&amp;TEXT(MONTH($A14),"00")&amp;"-"&amp;TEXT(DAY($A14),"00"))=0,"",_xlfn.MINIFS(history!$H:$H,history!$C:$C,"claro",history!$D:$D,"postpaid",history!$A:$A,YEAR($A14)&amp;"-"&amp;TEXT(MONTH($A14),"00")&amp;"-"&amp;TEXT(DAY($A14),"00"))),"")</f>
        <v>124.9</v>
      </c>
      <c r="H14" s="3">
        <f>IFERROR(IF(_xlfn.MINIFS(history!$H:$H,history!$C:$C,"tim",history!$D:$D,"prepaid",history!$A:$A,YEAR($A14)&amp;"-"&amp;TEXT(MONTH($A14),"00")&amp;"-"&amp;TEXT(DAY($A14),"00"),history!$N:$N,"&gt;=28")=0,"",_xlfn.MINIFS(history!$H:$H,history!$C:$C,"tim",history!$D:$D,"prepaid",history!$A:$A,YEAR($A14)&amp;"-"&amp;TEXT(MONTH($A14),"00")&amp;"-"&amp;TEXT(DAY($A14),"00"),history!$N:$N,"&gt;=28")),"")</f>
        <v>30</v>
      </c>
      <c r="I14" s="3">
        <f>IFERROR(IF(_xlfn.MINIFS(history!$H:$H,history!$C:$C,"vivo",history!$D:$D,"prepaid",history!$A:$A,YEAR($A14)&amp;"-"&amp;TEXT(MONTH($A14),"00")&amp;"-"&amp;TEXT(DAY($A14),"00"),history!$N:$N,"&gt;=28")=0,"",_xlfn.MINIFS(history!$H:$H,history!$C:$C,"vivo",history!$D:$D,"prepaid",history!$A:$A,YEAR($A14)&amp;"-"&amp;TEXT(MONTH($A14),"00")&amp;"-"&amp;TEXT(DAY($A14),"00"),history!$N:$N,"&gt;=28")),"")</f>
        <v>30</v>
      </c>
      <c r="J14" s="3">
        <f>IFERROR(IF(_xlfn.MINIFS(history!$H:$H,history!$C:$C,"claro",history!$D:$D,"prepaid",history!$A:$A,YEAR($A14)&amp;"-"&amp;TEXT(MONTH($A14),"00")&amp;"-"&amp;TEXT(DAY($A14),"00"),history!$N:$N,"&gt;=28")=0,"",_xlfn.MINIFS(history!$H:$H,history!$C:$C,"claro",history!$D:$D,"prepaid",history!$A:$A,YEAR($A14)&amp;"-"&amp;TEXT(MONTH($A14),"00")&amp;"-"&amp;TEXT(DAY($A14),"00"),history!$N:$N,"&gt;=28")),"")</f>
        <v>30</v>
      </c>
      <c r="K14" s="3">
        <f>IFERROR(1/MAX(IFERROR(1/_xlfn.MINIFS(history!$H:$H,history!$C:$C,"tim",history!$D:$D,"lite",history!$A:$A,YEAR($A14)&amp;"-"&amp;TEXT(MONTH($A14),"00")&amp;"-"&amp;TEXT(DAY($A14),"00"),history!$S:$S,"&gt;0"),0),IFERROR(1/_xlfn.MINIFS(history!$H:$H,history!$C:$C,"tim",history!$D:$D,"flex",history!$A:$A,YEAR($A14)&amp;"-"&amp;TEXT(MONTH($A14),"00")&amp;"-"&amp;TEXT(DAY($A14),"00")),0),IFERROR(1/_xlfn.MINIFS(history!$H:$H,history!$C:$C,"tim",history!$D:$D,"fit",history!$A:$A,YEAR($A14)&amp;"-"&amp;TEXT(MONTH($A14),"00")&amp;"-"&amp;TEXT(DAY($A14),"00"),history!$S:$S,"="),0)),"")</f>
        <v/>
      </c>
      <c r="L14" s="3">
        <f>IFERROR(1/MAX(IFERROR(1/_xlfn.MINIFS(history!$H:$H,history!$C:$C,"vivo",history!$D:$D,"lite",history!$A:$A,YEAR($A14)&amp;"-"&amp;TEXT(MONTH($A14),"00")&amp;"-"&amp;TEXT(DAY($A14),"00"),history!$S:$S,"&gt;0"),0),IFERROR(1/_xlfn.MINIFS(history!$H:$H,history!$C:$C,"vivo",history!$D:$D,"flex",history!$A:$A,YEAR($A14)&amp;"-"&amp;TEXT(MONTH($A14),"00")&amp;"-"&amp;TEXT(DAY($A14),"00")),0),IFERROR(1/_xlfn.MINIFS(history!$H:$H,history!$C:$C,"vivo",history!$D:$D,"fit",history!$A:$A,YEAR($A14)&amp;"-"&amp;TEXT(MONTH($A14),"00")&amp;"-"&amp;TEXT(DAY($A14),"00"),history!$S:$S,"="),0)),"")</f>
        <v>45</v>
      </c>
      <c r="M14" s="3">
        <f>IFERROR(1/MAX(IFERROR(1/_xlfn.MINIFS(history!$H:$H,history!$C:$C,"claro",history!$D:$D,"lite",history!$A:$A,YEAR($A14)&amp;"-"&amp;TEXT(MONTH($A14),"00")&amp;"-"&amp;TEXT(DAY($A14),"00"),history!$S:$S,"&gt;0"),0),IFERROR(1/_xlfn.MINIFS(history!$H:$H,history!$C:$C,"claro",history!$D:$D,"flex",history!$A:$A,YEAR($A14)&amp;"-"&amp;TEXT(MONTH($A14),"00")&amp;"-"&amp;TEXT(DAY($A14),"00")),0),IFERROR(1/_xlfn.MINIFS(history!$H:$H,history!$C:$C,"claro",history!$D:$D,"fit",history!$A:$A,YEAR($A14)&amp;"-"&amp;TEXT(MONTH($A14),"00")&amp;"-"&amp;TEXT(DAY($A14),"00"),history!$S:$S,"="),0)),"")</f>
        <v>44.9</v>
      </c>
    </row>
    <row r="15">
      <c r="A15" s="12" t="n">
        <v>46207</v>
      </c>
      <c r="B15" s="3">
        <f>IFERROR(IF(_xlfn.MINIFS(history!$H:$H,history!$C:$C,"tim",history!$D:$D,"control",history!$A:$A,YEAR($A15)&amp;"-"&amp;TEXT(MONTH($A15),"00")&amp;"-"&amp;TEXT(DAY($A15),"00"))=0,"",_xlfn.MINIFS(history!$H:$H,history!$C:$C,"tim",history!$D:$D,"control",history!$A:$A,YEAR($A15)&amp;"-"&amp;TEXT(MONTH($A15),"00")&amp;"-"&amp;TEXT(DAY($A15),"00"))),"")</f>
        <v>58.99</v>
      </c>
      <c r="C15" s="3">
        <f>IFERROR(IF(_xlfn.MINIFS(history!$H:$H,history!$C:$C,"vivo",history!$D:$D,"control",history!$A:$A,YEAR($A15)&amp;"-"&amp;TEXT(MONTH($A15),"00")&amp;"-"&amp;TEXT(DAY($A15),"00"))=0,"",_xlfn.MINIFS(history!$H:$H,history!$C:$C,"vivo",history!$D:$D,"control",history!$A:$A,YEAR($A15)&amp;"-"&amp;TEXT(MONTH($A15),"00")&amp;"-"&amp;TEXT(DAY($A15),"00"))),"")</f>
        <v>59</v>
      </c>
      <c r="D15" s="3">
        <f>IFERROR(IF(_xlfn.MINIFS(history!$H:$H,history!$C:$C,"claro",history!$D:$D,"control",history!$A:$A,YEAR($A15)&amp;"-"&amp;TEXT(MONTH($A15),"00")&amp;"-"&amp;TEXT(DAY($A15),"00"))=0,"",_xlfn.MINIFS(history!$H:$H,history!$C:$C,"claro",history!$D:$D,"control",history!$A:$A,YEAR($A15)&amp;"-"&amp;TEXT(MONTH($A15),"00")&amp;"-"&amp;TEXT(DAY($A15),"00"))),"")</f>
        <v>59.9</v>
      </c>
      <c r="E15" s="3">
        <f>IFERROR(IF(_xlfn.MINIFS(history!$H:$H,history!$C:$C,"tim",history!$D:$D,"postpaid",history!$A:$A,YEAR($A15)&amp;"-"&amp;TEXT(MONTH($A15),"00")&amp;"-"&amp;TEXT(DAY($A15),"00"))=0,"",_xlfn.MINIFS(history!$H:$H,history!$C:$C,"tim",history!$D:$D,"postpaid",history!$A:$A,YEAR($A15)&amp;"-"&amp;TEXT(MONTH($A15),"00")&amp;"-"&amp;TEXT(DAY($A15),"00"))),"")</f>
        <v>119.99</v>
      </c>
      <c r="F15" s="3">
        <f>IFERROR(IF(_xlfn.MINIFS(history!$H:$H,history!$C:$C,"vivo",history!$D:$D,"postpaid",history!$A:$A,YEAR($A15)&amp;"-"&amp;TEXT(MONTH($A15),"00")&amp;"-"&amp;TEXT(DAY($A15),"00"))=0,"",_xlfn.MINIFS(history!$H:$H,history!$C:$C,"vivo",history!$D:$D,"postpaid",history!$A:$A,YEAR($A15)&amp;"-"&amp;TEXT(MONTH($A15),"00")&amp;"-"&amp;TEXT(DAY($A15),"00"))),"")</f>
        <v>150</v>
      </c>
      <c r="G15" s="3">
        <f>IFERROR(IF(_xlfn.MINIFS(history!$H:$H,history!$C:$C,"claro",history!$D:$D,"postpaid",history!$A:$A,YEAR($A15)&amp;"-"&amp;TEXT(MONTH($A15),"00")&amp;"-"&amp;TEXT(DAY($A15),"00"))=0,"",_xlfn.MINIFS(history!$H:$H,history!$C:$C,"claro",history!$D:$D,"postpaid",history!$A:$A,YEAR($A15)&amp;"-"&amp;TEXT(MONTH($A15),"00")&amp;"-"&amp;TEXT(DAY($A15),"00"))),"")</f>
        <v>124.9</v>
      </c>
      <c r="H15" s="3">
        <f>IFERROR(IF(_xlfn.MINIFS(history!$H:$H,history!$C:$C,"tim",history!$D:$D,"prepaid",history!$A:$A,YEAR($A15)&amp;"-"&amp;TEXT(MONTH($A15),"00")&amp;"-"&amp;TEXT(DAY($A15),"00"),history!$N:$N,"&gt;=28")=0,"",_xlfn.MINIFS(history!$H:$H,history!$C:$C,"tim",history!$D:$D,"prepaid",history!$A:$A,YEAR($A15)&amp;"-"&amp;TEXT(MONTH($A15),"00")&amp;"-"&amp;TEXT(DAY($A15),"00"),history!$N:$N,"&gt;=28")),"")</f>
        <v>30</v>
      </c>
      <c r="I15" s="3">
        <f>IFERROR(IF(_xlfn.MINIFS(history!$H:$H,history!$C:$C,"vivo",history!$D:$D,"prepaid",history!$A:$A,YEAR($A15)&amp;"-"&amp;TEXT(MONTH($A15),"00")&amp;"-"&amp;TEXT(DAY($A15),"00"),history!$N:$N,"&gt;=28")=0,"",_xlfn.MINIFS(history!$H:$H,history!$C:$C,"vivo",history!$D:$D,"prepaid",history!$A:$A,YEAR($A15)&amp;"-"&amp;TEXT(MONTH($A15),"00")&amp;"-"&amp;TEXT(DAY($A15),"00"),history!$N:$N,"&gt;=28")),"")</f>
        <v>30</v>
      </c>
      <c r="J15" s="3">
        <f>IFERROR(IF(_xlfn.MINIFS(history!$H:$H,history!$C:$C,"claro",history!$D:$D,"prepaid",history!$A:$A,YEAR($A15)&amp;"-"&amp;TEXT(MONTH($A15),"00")&amp;"-"&amp;TEXT(DAY($A15),"00"),history!$N:$N,"&gt;=28")=0,"",_xlfn.MINIFS(history!$H:$H,history!$C:$C,"claro",history!$D:$D,"prepaid",history!$A:$A,YEAR($A15)&amp;"-"&amp;TEXT(MONTH($A15),"00")&amp;"-"&amp;TEXT(DAY($A15),"00"),history!$N:$N,"&gt;=28")),"")</f>
        <v>30</v>
      </c>
      <c r="K15" s="3">
        <f>IFERROR(1/MAX(IFERROR(1/_xlfn.MINIFS(history!$H:$H,history!$C:$C,"tim",history!$D:$D,"lite",history!$A:$A,YEAR($A15)&amp;"-"&amp;TEXT(MONTH($A15),"00")&amp;"-"&amp;TEXT(DAY($A15),"00"),history!$S:$S,"&gt;0"),0),IFERROR(1/_xlfn.MINIFS(history!$H:$H,history!$C:$C,"tim",history!$D:$D,"flex",history!$A:$A,YEAR($A15)&amp;"-"&amp;TEXT(MONTH($A15),"00")&amp;"-"&amp;TEXT(DAY($A15),"00")),0),IFERROR(1/_xlfn.MINIFS(history!$H:$H,history!$C:$C,"tim",history!$D:$D,"fit",history!$A:$A,YEAR($A15)&amp;"-"&amp;TEXT(MONTH($A15),"00")&amp;"-"&amp;TEXT(DAY($A15),"00"),history!$S:$S,"="),0)),"")</f>
        <v/>
      </c>
      <c r="L15" s="3">
        <f>IFERROR(1/MAX(IFERROR(1/_xlfn.MINIFS(history!$H:$H,history!$C:$C,"vivo",history!$D:$D,"lite",history!$A:$A,YEAR($A15)&amp;"-"&amp;TEXT(MONTH($A15),"00")&amp;"-"&amp;TEXT(DAY($A15),"00"),history!$S:$S,"&gt;0"),0),IFERROR(1/_xlfn.MINIFS(history!$H:$H,history!$C:$C,"vivo",history!$D:$D,"flex",history!$A:$A,YEAR($A15)&amp;"-"&amp;TEXT(MONTH($A15),"00")&amp;"-"&amp;TEXT(DAY($A15),"00")),0),IFERROR(1/_xlfn.MINIFS(history!$H:$H,history!$C:$C,"vivo",history!$D:$D,"fit",history!$A:$A,YEAR($A15)&amp;"-"&amp;TEXT(MONTH($A15),"00")&amp;"-"&amp;TEXT(DAY($A15),"00"),history!$S:$S,"="),0)),"")</f>
        <v>45</v>
      </c>
      <c r="M15" s="3">
        <f>IFERROR(1/MAX(IFERROR(1/_xlfn.MINIFS(history!$H:$H,history!$C:$C,"claro",history!$D:$D,"lite",history!$A:$A,YEAR($A15)&amp;"-"&amp;TEXT(MONTH($A15),"00")&amp;"-"&amp;TEXT(DAY($A15),"00"),history!$S:$S,"&gt;0"),0),IFERROR(1/_xlfn.MINIFS(history!$H:$H,history!$C:$C,"claro",history!$D:$D,"flex",history!$A:$A,YEAR($A15)&amp;"-"&amp;TEXT(MONTH($A15),"00")&amp;"-"&amp;TEXT(DAY($A15),"00")),0),IFERROR(1/_xlfn.MINIFS(history!$H:$H,history!$C:$C,"claro",history!$D:$D,"fit",history!$A:$A,YEAR($A15)&amp;"-"&amp;TEXT(MONTH($A15),"00")&amp;"-"&amp;TEXT(DAY($A15),"00"),history!$S:$S,"="),0)),"")</f>
        <v>44.9</v>
      </c>
    </row>
    <row r="16">
      <c r="A16" s="12" t="n">
        <v>46208</v>
      </c>
      <c r="B16" s="3">
        <f>IFERROR(IF(_xlfn.MINIFS(history!$H:$H,history!$C:$C,"tim",history!$D:$D,"control",history!$A:$A,YEAR($A16)&amp;"-"&amp;TEXT(MONTH($A16),"00")&amp;"-"&amp;TEXT(DAY($A16),"00"))=0,"",_xlfn.MINIFS(history!$H:$H,history!$C:$C,"tim",history!$D:$D,"control",history!$A:$A,YEAR($A16)&amp;"-"&amp;TEXT(MONTH($A16),"00")&amp;"-"&amp;TEXT(DAY($A16),"00"))),"")</f>
        <v>58.99</v>
      </c>
      <c r="C16" s="3">
        <f>IFERROR(IF(_xlfn.MINIFS(history!$H:$H,history!$C:$C,"vivo",history!$D:$D,"control",history!$A:$A,YEAR($A16)&amp;"-"&amp;TEXT(MONTH($A16),"00")&amp;"-"&amp;TEXT(DAY($A16),"00"))=0,"",_xlfn.MINIFS(history!$H:$H,history!$C:$C,"vivo",history!$D:$D,"control",history!$A:$A,YEAR($A16)&amp;"-"&amp;TEXT(MONTH($A16),"00")&amp;"-"&amp;TEXT(DAY($A16),"00"))),"")</f>
        <v>59</v>
      </c>
      <c r="D16" s="3">
        <f>IFERROR(IF(_xlfn.MINIFS(history!$H:$H,history!$C:$C,"claro",history!$D:$D,"control",history!$A:$A,YEAR($A16)&amp;"-"&amp;TEXT(MONTH($A16),"00")&amp;"-"&amp;TEXT(DAY($A16),"00"))=0,"",_xlfn.MINIFS(history!$H:$H,history!$C:$C,"claro",history!$D:$D,"control",history!$A:$A,YEAR($A16)&amp;"-"&amp;TEXT(MONTH($A16),"00")&amp;"-"&amp;TEXT(DAY($A16),"00"))),"")</f>
        <v>59.9</v>
      </c>
      <c r="E16" s="3">
        <f>IFERROR(IF(_xlfn.MINIFS(history!$H:$H,history!$C:$C,"tim",history!$D:$D,"postpaid",history!$A:$A,YEAR($A16)&amp;"-"&amp;TEXT(MONTH($A16),"00")&amp;"-"&amp;TEXT(DAY($A16),"00"))=0,"",_xlfn.MINIFS(history!$H:$H,history!$C:$C,"tim",history!$D:$D,"postpaid",history!$A:$A,YEAR($A16)&amp;"-"&amp;TEXT(MONTH($A16),"00")&amp;"-"&amp;TEXT(DAY($A16),"00"))),"")</f>
        <v>119.99</v>
      </c>
      <c r="F16" s="3">
        <f>IFERROR(IF(_xlfn.MINIFS(history!$H:$H,history!$C:$C,"vivo",history!$D:$D,"postpaid",history!$A:$A,YEAR($A16)&amp;"-"&amp;TEXT(MONTH($A16),"00")&amp;"-"&amp;TEXT(DAY($A16),"00"))=0,"",_xlfn.MINIFS(history!$H:$H,history!$C:$C,"vivo",history!$D:$D,"postpaid",history!$A:$A,YEAR($A16)&amp;"-"&amp;TEXT(MONTH($A16),"00")&amp;"-"&amp;TEXT(DAY($A16),"00"))),"")</f>
        <v>150</v>
      </c>
      <c r="G16" s="3">
        <f>IFERROR(IF(_xlfn.MINIFS(history!$H:$H,history!$C:$C,"claro",history!$D:$D,"postpaid",history!$A:$A,YEAR($A16)&amp;"-"&amp;TEXT(MONTH($A16),"00")&amp;"-"&amp;TEXT(DAY($A16),"00"))=0,"",_xlfn.MINIFS(history!$H:$H,history!$C:$C,"claro",history!$D:$D,"postpaid",history!$A:$A,YEAR($A16)&amp;"-"&amp;TEXT(MONTH($A16),"00")&amp;"-"&amp;TEXT(DAY($A16),"00"))),"")</f>
        <v>124.9</v>
      </c>
      <c r="H16" s="3">
        <f>IFERROR(IF(_xlfn.MINIFS(history!$H:$H,history!$C:$C,"tim",history!$D:$D,"prepaid",history!$A:$A,YEAR($A16)&amp;"-"&amp;TEXT(MONTH($A16),"00")&amp;"-"&amp;TEXT(DAY($A16),"00"),history!$N:$N,"&gt;=28")=0,"",_xlfn.MINIFS(history!$H:$H,history!$C:$C,"tim",history!$D:$D,"prepaid",history!$A:$A,YEAR($A16)&amp;"-"&amp;TEXT(MONTH($A16),"00")&amp;"-"&amp;TEXT(DAY($A16),"00"),history!$N:$N,"&gt;=28")),"")</f>
        <v>30</v>
      </c>
      <c r="I16" s="3">
        <f>IFERROR(IF(_xlfn.MINIFS(history!$H:$H,history!$C:$C,"vivo",history!$D:$D,"prepaid",history!$A:$A,YEAR($A16)&amp;"-"&amp;TEXT(MONTH($A16),"00")&amp;"-"&amp;TEXT(DAY($A16),"00"),history!$N:$N,"&gt;=28")=0,"",_xlfn.MINIFS(history!$H:$H,history!$C:$C,"vivo",history!$D:$D,"prepaid",history!$A:$A,YEAR($A16)&amp;"-"&amp;TEXT(MONTH($A16),"00")&amp;"-"&amp;TEXT(DAY($A16),"00"),history!$N:$N,"&gt;=28")),"")</f>
        <v>30</v>
      </c>
      <c r="J16" s="3">
        <f>IFERROR(IF(_xlfn.MINIFS(history!$H:$H,history!$C:$C,"claro",history!$D:$D,"prepaid",history!$A:$A,YEAR($A16)&amp;"-"&amp;TEXT(MONTH($A16),"00")&amp;"-"&amp;TEXT(DAY($A16),"00"),history!$N:$N,"&gt;=28")=0,"",_xlfn.MINIFS(history!$H:$H,history!$C:$C,"claro",history!$D:$D,"prepaid",history!$A:$A,YEAR($A16)&amp;"-"&amp;TEXT(MONTH($A16),"00")&amp;"-"&amp;TEXT(DAY($A16),"00"),history!$N:$N,"&gt;=28")),"")</f>
        <v>30</v>
      </c>
      <c r="K16" s="3">
        <f>IFERROR(1/MAX(IFERROR(1/_xlfn.MINIFS(history!$H:$H,history!$C:$C,"tim",history!$D:$D,"lite",history!$A:$A,YEAR($A16)&amp;"-"&amp;TEXT(MONTH($A16),"00")&amp;"-"&amp;TEXT(DAY($A16),"00"),history!$S:$S,"&gt;0"),0),IFERROR(1/_xlfn.MINIFS(history!$H:$H,history!$C:$C,"tim",history!$D:$D,"flex",history!$A:$A,YEAR($A16)&amp;"-"&amp;TEXT(MONTH($A16),"00")&amp;"-"&amp;TEXT(DAY($A16),"00")),0),IFERROR(1/_xlfn.MINIFS(history!$H:$H,history!$C:$C,"tim",history!$D:$D,"fit",history!$A:$A,YEAR($A16)&amp;"-"&amp;TEXT(MONTH($A16),"00")&amp;"-"&amp;TEXT(DAY($A16),"00"),history!$S:$S,"="),0)),"")</f>
        <v/>
      </c>
      <c r="L16" s="3">
        <f>IFERROR(1/MAX(IFERROR(1/_xlfn.MINIFS(history!$H:$H,history!$C:$C,"vivo",history!$D:$D,"lite",history!$A:$A,YEAR($A16)&amp;"-"&amp;TEXT(MONTH($A16),"00")&amp;"-"&amp;TEXT(DAY($A16),"00"),history!$S:$S,"&gt;0"),0),IFERROR(1/_xlfn.MINIFS(history!$H:$H,history!$C:$C,"vivo",history!$D:$D,"flex",history!$A:$A,YEAR($A16)&amp;"-"&amp;TEXT(MONTH($A16),"00")&amp;"-"&amp;TEXT(DAY($A16),"00")),0),IFERROR(1/_xlfn.MINIFS(history!$H:$H,history!$C:$C,"vivo",history!$D:$D,"fit",history!$A:$A,YEAR($A16)&amp;"-"&amp;TEXT(MONTH($A16),"00")&amp;"-"&amp;TEXT(DAY($A16),"00"),history!$S:$S,"="),0)),"")</f>
        <v>45</v>
      </c>
      <c r="M16" s="3">
        <f>IFERROR(1/MAX(IFERROR(1/_xlfn.MINIFS(history!$H:$H,history!$C:$C,"claro",history!$D:$D,"lite",history!$A:$A,YEAR($A16)&amp;"-"&amp;TEXT(MONTH($A16),"00")&amp;"-"&amp;TEXT(DAY($A16),"00"),history!$S:$S,"&gt;0"),0),IFERROR(1/_xlfn.MINIFS(history!$H:$H,history!$C:$C,"claro",history!$D:$D,"flex",history!$A:$A,YEAR($A16)&amp;"-"&amp;TEXT(MONTH($A16),"00")&amp;"-"&amp;TEXT(DAY($A16),"00")),0),IFERROR(1/_xlfn.MINIFS(history!$H:$H,history!$C:$C,"claro",history!$D:$D,"fit",history!$A:$A,YEAR($A16)&amp;"-"&amp;TEXT(MONTH($A16),"00")&amp;"-"&amp;TEXT(DAY($A16),"00"),history!$S:$S,"="),0)),"")</f>
        <v>44.9</v>
      </c>
    </row>
    <row r="17">
      <c r="A17" s="12" t="n">
        <v>46209</v>
      </c>
      <c r="B17" s="3">
        <f>IFERROR(IF(_xlfn.MINIFS(history!$H:$H,history!$C:$C,"tim",history!$D:$D,"control",history!$A:$A,YEAR($A17)&amp;"-"&amp;TEXT(MONTH($A17),"00")&amp;"-"&amp;TEXT(DAY($A17),"00"))=0,"",_xlfn.MINIFS(history!$H:$H,history!$C:$C,"tim",history!$D:$D,"control",history!$A:$A,YEAR($A17)&amp;"-"&amp;TEXT(MONTH($A17),"00")&amp;"-"&amp;TEXT(DAY($A17),"00"))),"")</f>
        <v>49.99</v>
      </c>
      <c r="C17" s="3">
        <f>IFERROR(IF(_xlfn.MINIFS(history!$H:$H,history!$C:$C,"vivo",history!$D:$D,"control",history!$A:$A,YEAR($A17)&amp;"-"&amp;TEXT(MONTH($A17),"00")&amp;"-"&amp;TEXT(DAY($A17),"00"))=0,"",_xlfn.MINIFS(history!$H:$H,history!$C:$C,"vivo",history!$D:$D,"control",history!$A:$A,YEAR($A17)&amp;"-"&amp;TEXT(MONTH($A17),"00")&amp;"-"&amp;TEXT(DAY($A17),"00"))),"")</f>
        <v>59</v>
      </c>
      <c r="D17" s="3">
        <f>IFERROR(IF(_xlfn.MINIFS(history!$H:$H,history!$C:$C,"claro",history!$D:$D,"control",history!$A:$A,YEAR($A17)&amp;"-"&amp;TEXT(MONTH($A17),"00")&amp;"-"&amp;TEXT(DAY($A17),"00"))=0,"",_xlfn.MINIFS(history!$H:$H,history!$C:$C,"claro",history!$D:$D,"control",history!$A:$A,YEAR($A17)&amp;"-"&amp;TEXT(MONTH($A17),"00")&amp;"-"&amp;TEXT(DAY($A17),"00"))),"")</f>
        <v>59.9</v>
      </c>
      <c r="E17" s="3">
        <f>IFERROR(IF(_xlfn.MINIFS(history!$H:$H,history!$C:$C,"tim",history!$D:$D,"postpaid",history!$A:$A,YEAR($A17)&amp;"-"&amp;TEXT(MONTH($A17),"00")&amp;"-"&amp;TEXT(DAY($A17),"00"))=0,"",_xlfn.MINIFS(history!$H:$H,history!$C:$C,"tim",history!$D:$D,"postpaid",history!$A:$A,YEAR($A17)&amp;"-"&amp;TEXT(MONTH($A17),"00")&amp;"-"&amp;TEXT(DAY($A17),"00"))),"")</f>
        <v>119.99</v>
      </c>
      <c r="F17" s="3">
        <f>IFERROR(IF(_xlfn.MINIFS(history!$H:$H,history!$C:$C,"vivo",history!$D:$D,"postpaid",history!$A:$A,YEAR($A17)&amp;"-"&amp;TEXT(MONTH($A17),"00")&amp;"-"&amp;TEXT(DAY($A17),"00"))=0,"",_xlfn.MINIFS(history!$H:$H,history!$C:$C,"vivo",history!$D:$D,"postpaid",history!$A:$A,YEAR($A17)&amp;"-"&amp;TEXT(MONTH($A17),"00")&amp;"-"&amp;TEXT(DAY($A17),"00"))),"")</f>
        <v>150</v>
      </c>
      <c r="G17" s="3">
        <f>IFERROR(IF(_xlfn.MINIFS(history!$H:$H,history!$C:$C,"claro",history!$D:$D,"postpaid",history!$A:$A,YEAR($A17)&amp;"-"&amp;TEXT(MONTH($A17),"00")&amp;"-"&amp;TEXT(DAY($A17),"00"))=0,"",_xlfn.MINIFS(history!$H:$H,history!$C:$C,"claro",history!$D:$D,"postpaid",history!$A:$A,YEAR($A17)&amp;"-"&amp;TEXT(MONTH($A17),"00")&amp;"-"&amp;TEXT(DAY($A17),"00"))),"")</f>
        <v>124.9</v>
      </c>
      <c r="H17" s="3">
        <f>IFERROR(IF(_xlfn.MINIFS(history!$H:$H,history!$C:$C,"tim",history!$D:$D,"prepaid",history!$A:$A,YEAR($A17)&amp;"-"&amp;TEXT(MONTH($A17),"00")&amp;"-"&amp;TEXT(DAY($A17),"00"),history!$N:$N,"&gt;=28")=0,"",_xlfn.MINIFS(history!$H:$H,history!$C:$C,"tim",history!$D:$D,"prepaid",history!$A:$A,YEAR($A17)&amp;"-"&amp;TEXT(MONTH($A17),"00")&amp;"-"&amp;TEXT(DAY($A17),"00"),history!$N:$N,"&gt;=28")),"")</f>
        <v>30</v>
      </c>
      <c r="I17" s="3">
        <f>IFERROR(IF(_xlfn.MINIFS(history!$H:$H,history!$C:$C,"vivo",history!$D:$D,"prepaid",history!$A:$A,YEAR($A17)&amp;"-"&amp;TEXT(MONTH($A17),"00")&amp;"-"&amp;TEXT(DAY($A17),"00"),history!$N:$N,"&gt;=28")=0,"",_xlfn.MINIFS(history!$H:$H,history!$C:$C,"vivo",history!$D:$D,"prepaid",history!$A:$A,YEAR($A17)&amp;"-"&amp;TEXT(MONTH($A17),"00")&amp;"-"&amp;TEXT(DAY($A17),"00"),history!$N:$N,"&gt;=28")),"")</f>
        <v>30</v>
      </c>
      <c r="J17" s="3">
        <f>IFERROR(IF(_xlfn.MINIFS(history!$H:$H,history!$C:$C,"claro",history!$D:$D,"prepaid",history!$A:$A,YEAR($A17)&amp;"-"&amp;TEXT(MONTH($A17),"00")&amp;"-"&amp;TEXT(DAY($A17),"00"),history!$N:$N,"&gt;=28")=0,"",_xlfn.MINIFS(history!$H:$H,history!$C:$C,"claro",history!$D:$D,"prepaid",history!$A:$A,YEAR($A17)&amp;"-"&amp;TEXT(MONTH($A17),"00")&amp;"-"&amp;TEXT(DAY($A17),"00"),history!$N:$N,"&gt;=28")),"")</f>
        <v>30</v>
      </c>
      <c r="K17" s="3">
        <f>IFERROR(1/MAX(IFERROR(1/_xlfn.MINIFS(history!$H:$H,history!$C:$C,"tim",history!$D:$D,"lite",history!$A:$A,YEAR($A17)&amp;"-"&amp;TEXT(MONTH($A17),"00")&amp;"-"&amp;TEXT(DAY($A17),"00"),history!$S:$S,"&gt;0"),0),IFERROR(1/_xlfn.MINIFS(history!$H:$H,history!$C:$C,"tim",history!$D:$D,"flex",history!$A:$A,YEAR($A17)&amp;"-"&amp;TEXT(MONTH($A17),"00")&amp;"-"&amp;TEXT(DAY($A17),"00")),0),IFERROR(1/_xlfn.MINIFS(history!$H:$H,history!$C:$C,"tim",history!$D:$D,"fit",history!$A:$A,YEAR($A17)&amp;"-"&amp;TEXT(MONTH($A17),"00")&amp;"-"&amp;TEXT(DAY($A17),"00"),history!$S:$S,"="),0)),"")</f>
        <v/>
      </c>
      <c r="L17" s="3">
        <f>IFERROR(1/MAX(IFERROR(1/_xlfn.MINIFS(history!$H:$H,history!$C:$C,"vivo",history!$D:$D,"lite",history!$A:$A,YEAR($A17)&amp;"-"&amp;TEXT(MONTH($A17),"00")&amp;"-"&amp;TEXT(DAY($A17),"00"),history!$S:$S,"&gt;0"),0),IFERROR(1/_xlfn.MINIFS(history!$H:$H,history!$C:$C,"vivo",history!$D:$D,"flex",history!$A:$A,YEAR($A17)&amp;"-"&amp;TEXT(MONTH($A17),"00")&amp;"-"&amp;TEXT(DAY($A17),"00")),0),IFERROR(1/_xlfn.MINIFS(history!$H:$H,history!$C:$C,"vivo",history!$D:$D,"fit",history!$A:$A,YEAR($A17)&amp;"-"&amp;TEXT(MONTH($A17),"00")&amp;"-"&amp;TEXT(DAY($A17),"00"),history!$S:$S,"="),0)),"")</f>
        <v>45</v>
      </c>
      <c r="M17" s="3">
        <f>IFERROR(1/MAX(IFERROR(1/_xlfn.MINIFS(history!$H:$H,history!$C:$C,"claro",history!$D:$D,"lite",history!$A:$A,YEAR($A17)&amp;"-"&amp;TEXT(MONTH($A17),"00")&amp;"-"&amp;TEXT(DAY($A17),"00"),history!$S:$S,"&gt;0"),0),IFERROR(1/_xlfn.MINIFS(history!$H:$H,history!$C:$C,"claro",history!$D:$D,"flex",history!$A:$A,YEAR($A17)&amp;"-"&amp;TEXT(MONTH($A17),"00")&amp;"-"&amp;TEXT(DAY($A17),"00")),0),IFERROR(1/_xlfn.MINIFS(history!$H:$H,history!$C:$C,"claro",history!$D:$D,"fit",history!$A:$A,YEAR($A17)&amp;"-"&amp;TEXT(MONTH($A17),"00")&amp;"-"&amp;TEXT(DAY($A17),"00"),history!$S:$S,"="),0)),"")</f>
        <v>44.9</v>
      </c>
    </row>
    <row r="18">
      <c r="A18" s="12" t="n">
        <v>46210</v>
      </c>
      <c r="B18" s="3">
        <f>IFERROR(IF(_xlfn.MINIFS(history!$H:$H,history!$C:$C,"tim",history!$D:$D,"control",history!$A:$A,YEAR($A18)&amp;"-"&amp;TEXT(MONTH($A18),"00")&amp;"-"&amp;TEXT(DAY($A18),"00"))=0,"",_xlfn.MINIFS(history!$H:$H,history!$C:$C,"tim",history!$D:$D,"control",history!$A:$A,YEAR($A18)&amp;"-"&amp;TEXT(MONTH($A18),"00")&amp;"-"&amp;TEXT(DAY($A18),"00"))),"")</f>
        <v>49.99</v>
      </c>
      <c r="C18" s="3">
        <f>IFERROR(IF(_xlfn.MINIFS(history!$H:$H,history!$C:$C,"vivo",history!$D:$D,"control",history!$A:$A,YEAR($A18)&amp;"-"&amp;TEXT(MONTH($A18),"00")&amp;"-"&amp;TEXT(DAY($A18),"00"))=0,"",_xlfn.MINIFS(history!$H:$H,history!$C:$C,"vivo",history!$D:$D,"control",history!$A:$A,YEAR($A18)&amp;"-"&amp;TEXT(MONTH($A18),"00")&amp;"-"&amp;TEXT(DAY($A18),"00"))),"")</f>
        <v>59</v>
      </c>
      <c r="D18" s="3">
        <f>IFERROR(IF(_xlfn.MINIFS(history!$H:$H,history!$C:$C,"claro",history!$D:$D,"control",history!$A:$A,YEAR($A18)&amp;"-"&amp;TEXT(MONTH($A18),"00")&amp;"-"&amp;TEXT(DAY($A18),"00"))=0,"",_xlfn.MINIFS(history!$H:$H,history!$C:$C,"claro",history!$D:$D,"control",history!$A:$A,YEAR($A18)&amp;"-"&amp;TEXT(MONTH($A18),"00")&amp;"-"&amp;TEXT(DAY($A18),"00"))),"")</f>
        <v>59.9</v>
      </c>
      <c r="E18" s="3">
        <f>IFERROR(IF(_xlfn.MINIFS(history!$H:$H,history!$C:$C,"tim",history!$D:$D,"postpaid",history!$A:$A,YEAR($A18)&amp;"-"&amp;TEXT(MONTH($A18),"00")&amp;"-"&amp;TEXT(DAY($A18),"00"))=0,"",_xlfn.MINIFS(history!$H:$H,history!$C:$C,"tim",history!$D:$D,"postpaid",history!$A:$A,YEAR($A18)&amp;"-"&amp;TEXT(MONTH($A18),"00")&amp;"-"&amp;TEXT(DAY($A18),"00"))),"")</f>
        <v>119.99</v>
      </c>
      <c r="F18" s="3">
        <f>IFERROR(IF(_xlfn.MINIFS(history!$H:$H,history!$C:$C,"vivo",history!$D:$D,"postpaid",history!$A:$A,YEAR($A18)&amp;"-"&amp;TEXT(MONTH($A18),"00")&amp;"-"&amp;TEXT(DAY($A18),"00"))=0,"",_xlfn.MINIFS(history!$H:$H,history!$C:$C,"vivo",history!$D:$D,"postpaid",history!$A:$A,YEAR($A18)&amp;"-"&amp;TEXT(MONTH($A18),"00")&amp;"-"&amp;TEXT(DAY($A18),"00"))),"")</f>
        <v>150</v>
      </c>
      <c r="G18" s="3">
        <f>IFERROR(IF(_xlfn.MINIFS(history!$H:$H,history!$C:$C,"claro",history!$D:$D,"postpaid",history!$A:$A,YEAR($A18)&amp;"-"&amp;TEXT(MONTH($A18),"00")&amp;"-"&amp;TEXT(DAY($A18),"00"))=0,"",_xlfn.MINIFS(history!$H:$H,history!$C:$C,"claro",history!$D:$D,"postpaid",history!$A:$A,YEAR($A18)&amp;"-"&amp;TEXT(MONTH($A18),"00")&amp;"-"&amp;TEXT(DAY($A18),"00"))),"")</f>
        <v>124.9</v>
      </c>
      <c r="H18" s="3">
        <f>IFERROR(IF(_xlfn.MINIFS(history!$H:$H,history!$C:$C,"tim",history!$D:$D,"prepaid",history!$A:$A,YEAR($A18)&amp;"-"&amp;TEXT(MONTH($A18),"00")&amp;"-"&amp;TEXT(DAY($A18),"00"),history!$N:$N,"&gt;=28")=0,"",_xlfn.MINIFS(history!$H:$H,history!$C:$C,"tim",history!$D:$D,"prepaid",history!$A:$A,YEAR($A18)&amp;"-"&amp;TEXT(MONTH($A18),"00")&amp;"-"&amp;TEXT(DAY($A18),"00"),history!$N:$N,"&gt;=28")),"")</f>
        <v>30</v>
      </c>
      <c r="I18" s="3">
        <f>IFERROR(IF(_xlfn.MINIFS(history!$H:$H,history!$C:$C,"vivo",history!$D:$D,"prepaid",history!$A:$A,YEAR($A18)&amp;"-"&amp;TEXT(MONTH($A18),"00")&amp;"-"&amp;TEXT(DAY($A18),"00"),history!$N:$N,"&gt;=28")=0,"",_xlfn.MINIFS(history!$H:$H,history!$C:$C,"vivo",history!$D:$D,"prepaid",history!$A:$A,YEAR($A18)&amp;"-"&amp;TEXT(MONTH($A18),"00")&amp;"-"&amp;TEXT(DAY($A18),"00"),history!$N:$N,"&gt;=28")),"")</f>
        <v>30</v>
      </c>
      <c r="J18" s="3">
        <f>IFERROR(IF(_xlfn.MINIFS(history!$H:$H,history!$C:$C,"claro",history!$D:$D,"prepaid",history!$A:$A,YEAR($A18)&amp;"-"&amp;TEXT(MONTH($A18),"00")&amp;"-"&amp;TEXT(DAY($A18),"00"),history!$N:$N,"&gt;=28")=0,"",_xlfn.MINIFS(history!$H:$H,history!$C:$C,"claro",history!$D:$D,"prepaid",history!$A:$A,YEAR($A18)&amp;"-"&amp;TEXT(MONTH($A18),"00")&amp;"-"&amp;TEXT(DAY($A18),"00"),history!$N:$N,"&gt;=28")),"")</f>
        <v>30</v>
      </c>
      <c r="K18" s="3">
        <f>IFERROR(1/MAX(IFERROR(1/_xlfn.MINIFS(history!$H:$H,history!$C:$C,"tim",history!$D:$D,"lite",history!$A:$A,YEAR($A18)&amp;"-"&amp;TEXT(MONTH($A18),"00")&amp;"-"&amp;TEXT(DAY($A18),"00"),history!$S:$S,"&gt;0"),0),IFERROR(1/_xlfn.MINIFS(history!$H:$H,history!$C:$C,"tim",history!$D:$D,"flex",history!$A:$A,YEAR($A18)&amp;"-"&amp;TEXT(MONTH($A18),"00")&amp;"-"&amp;TEXT(DAY($A18),"00")),0),IFERROR(1/_xlfn.MINIFS(history!$H:$H,history!$C:$C,"tim",history!$D:$D,"fit",history!$A:$A,YEAR($A18)&amp;"-"&amp;TEXT(MONTH($A18),"00")&amp;"-"&amp;TEXT(DAY($A18),"00"),history!$S:$S,"="),0)),"")</f>
        <v/>
      </c>
      <c r="L18" s="3">
        <f>IFERROR(1/MAX(IFERROR(1/_xlfn.MINIFS(history!$H:$H,history!$C:$C,"vivo",history!$D:$D,"lite",history!$A:$A,YEAR($A18)&amp;"-"&amp;TEXT(MONTH($A18),"00")&amp;"-"&amp;TEXT(DAY($A18),"00"),history!$S:$S,"&gt;0"),0),IFERROR(1/_xlfn.MINIFS(history!$H:$H,history!$C:$C,"vivo",history!$D:$D,"flex",history!$A:$A,YEAR($A18)&amp;"-"&amp;TEXT(MONTH($A18),"00")&amp;"-"&amp;TEXT(DAY($A18),"00")),0),IFERROR(1/_xlfn.MINIFS(history!$H:$H,history!$C:$C,"vivo",history!$D:$D,"fit",history!$A:$A,YEAR($A18)&amp;"-"&amp;TEXT(MONTH($A18),"00")&amp;"-"&amp;TEXT(DAY($A18),"00"),history!$S:$S,"="),0)),"")</f>
        <v>45</v>
      </c>
      <c r="M18" s="3">
        <f>IFERROR(1/MAX(IFERROR(1/_xlfn.MINIFS(history!$H:$H,history!$C:$C,"claro",history!$D:$D,"lite",history!$A:$A,YEAR($A18)&amp;"-"&amp;TEXT(MONTH($A18),"00")&amp;"-"&amp;TEXT(DAY($A18),"00"),history!$S:$S,"&gt;0"),0),IFERROR(1/_xlfn.MINIFS(history!$H:$H,history!$C:$C,"claro",history!$D:$D,"flex",history!$A:$A,YEAR($A18)&amp;"-"&amp;TEXT(MONTH($A18),"00")&amp;"-"&amp;TEXT(DAY($A18),"00")),0),IFERROR(1/_xlfn.MINIFS(history!$H:$H,history!$C:$C,"claro",history!$D:$D,"fit",history!$A:$A,YEAR($A18)&amp;"-"&amp;TEXT(MONTH($A18),"00")&amp;"-"&amp;TEXT(DAY($A18),"00"),history!$S:$S,"="),0)),"")</f>
        <v>44.9</v>
      </c>
    </row>
    <row r="19">
      <c r="A19" s="12" t="n">
        <v>46211</v>
      </c>
      <c r="B19" s="3">
        <f>IFERROR(IF(_xlfn.MINIFS(history!$H:$H,history!$C:$C,"tim",history!$D:$D,"control",history!$A:$A,YEAR($A19)&amp;"-"&amp;TEXT(MONTH($A19),"00")&amp;"-"&amp;TEXT(DAY($A19),"00"))=0,"",_xlfn.MINIFS(history!$H:$H,history!$C:$C,"tim",history!$D:$D,"control",history!$A:$A,YEAR($A19)&amp;"-"&amp;TEXT(MONTH($A19),"00")&amp;"-"&amp;TEXT(DAY($A19),"00"))),"")</f>
        <v>49.99</v>
      </c>
      <c r="C19" s="3">
        <f>IFERROR(IF(_xlfn.MINIFS(history!$H:$H,history!$C:$C,"vivo",history!$D:$D,"control",history!$A:$A,YEAR($A19)&amp;"-"&amp;TEXT(MONTH($A19),"00")&amp;"-"&amp;TEXT(DAY($A19),"00"))=0,"",_xlfn.MINIFS(history!$H:$H,history!$C:$C,"vivo",history!$D:$D,"control",history!$A:$A,YEAR($A19)&amp;"-"&amp;TEXT(MONTH($A19),"00")&amp;"-"&amp;TEXT(DAY($A19),"00"))),"")</f>
        <v>59</v>
      </c>
      <c r="D19" s="3">
        <f>IFERROR(IF(_xlfn.MINIFS(history!$H:$H,history!$C:$C,"claro",history!$D:$D,"control",history!$A:$A,YEAR($A19)&amp;"-"&amp;TEXT(MONTH($A19),"00")&amp;"-"&amp;TEXT(DAY($A19),"00"))=0,"",_xlfn.MINIFS(history!$H:$H,history!$C:$C,"claro",history!$D:$D,"control",history!$A:$A,YEAR($A19)&amp;"-"&amp;TEXT(MONTH($A19),"00")&amp;"-"&amp;TEXT(DAY($A19),"00"))),"")</f>
        <v>59.9</v>
      </c>
      <c r="E19" s="3">
        <f>IFERROR(IF(_xlfn.MINIFS(history!$H:$H,history!$C:$C,"tim",history!$D:$D,"postpaid",history!$A:$A,YEAR($A19)&amp;"-"&amp;TEXT(MONTH($A19),"00")&amp;"-"&amp;TEXT(DAY($A19),"00"))=0,"",_xlfn.MINIFS(history!$H:$H,history!$C:$C,"tim",history!$D:$D,"postpaid",history!$A:$A,YEAR($A19)&amp;"-"&amp;TEXT(MONTH($A19),"00")&amp;"-"&amp;TEXT(DAY($A19),"00"))),"")</f>
        <v>119.99</v>
      </c>
      <c r="F19" s="3">
        <f>IFERROR(IF(_xlfn.MINIFS(history!$H:$H,history!$C:$C,"vivo",history!$D:$D,"postpaid",history!$A:$A,YEAR($A19)&amp;"-"&amp;TEXT(MONTH($A19),"00")&amp;"-"&amp;TEXT(DAY($A19),"00"))=0,"",_xlfn.MINIFS(history!$H:$H,history!$C:$C,"vivo",history!$D:$D,"postpaid",history!$A:$A,YEAR($A19)&amp;"-"&amp;TEXT(MONTH($A19),"00")&amp;"-"&amp;TEXT(DAY($A19),"00"))),"")</f>
        <v>150</v>
      </c>
      <c r="G19" s="3">
        <f>IFERROR(IF(_xlfn.MINIFS(history!$H:$H,history!$C:$C,"claro",history!$D:$D,"postpaid",history!$A:$A,YEAR($A19)&amp;"-"&amp;TEXT(MONTH($A19),"00")&amp;"-"&amp;TEXT(DAY($A19),"00"))=0,"",_xlfn.MINIFS(history!$H:$H,history!$C:$C,"claro",history!$D:$D,"postpaid",history!$A:$A,YEAR($A19)&amp;"-"&amp;TEXT(MONTH($A19),"00")&amp;"-"&amp;TEXT(DAY($A19),"00"))),"")</f>
        <v>124.9</v>
      </c>
      <c r="H19" s="3">
        <f>IFERROR(IF(_xlfn.MINIFS(history!$H:$H,history!$C:$C,"tim",history!$D:$D,"prepaid",history!$A:$A,YEAR($A19)&amp;"-"&amp;TEXT(MONTH($A19),"00")&amp;"-"&amp;TEXT(DAY($A19),"00"),history!$N:$N,"&gt;=28")=0,"",_xlfn.MINIFS(history!$H:$H,history!$C:$C,"tim",history!$D:$D,"prepaid",history!$A:$A,YEAR($A19)&amp;"-"&amp;TEXT(MONTH($A19),"00")&amp;"-"&amp;TEXT(DAY($A19),"00"),history!$N:$N,"&gt;=28")),"")</f>
        <v>30</v>
      </c>
      <c r="I19" s="3">
        <f>IFERROR(IF(_xlfn.MINIFS(history!$H:$H,history!$C:$C,"vivo",history!$D:$D,"prepaid",history!$A:$A,YEAR($A19)&amp;"-"&amp;TEXT(MONTH($A19),"00")&amp;"-"&amp;TEXT(DAY($A19),"00"),history!$N:$N,"&gt;=28")=0,"",_xlfn.MINIFS(history!$H:$H,history!$C:$C,"vivo",history!$D:$D,"prepaid",history!$A:$A,YEAR($A19)&amp;"-"&amp;TEXT(MONTH($A19),"00")&amp;"-"&amp;TEXT(DAY($A19),"00"),history!$N:$N,"&gt;=28")),"")</f>
        <v>30</v>
      </c>
      <c r="J19" s="3">
        <f>IFERROR(IF(_xlfn.MINIFS(history!$H:$H,history!$C:$C,"claro",history!$D:$D,"prepaid",history!$A:$A,YEAR($A19)&amp;"-"&amp;TEXT(MONTH($A19),"00")&amp;"-"&amp;TEXT(DAY($A19),"00"),history!$N:$N,"&gt;=28")=0,"",_xlfn.MINIFS(history!$H:$H,history!$C:$C,"claro",history!$D:$D,"prepaid",history!$A:$A,YEAR($A19)&amp;"-"&amp;TEXT(MONTH($A19),"00")&amp;"-"&amp;TEXT(DAY($A19),"00"),history!$N:$N,"&gt;=28")),"")</f>
        <v>30</v>
      </c>
      <c r="K19" s="3">
        <f>IFERROR(1/MAX(IFERROR(1/_xlfn.MINIFS(history!$H:$H,history!$C:$C,"tim",history!$D:$D,"lite",history!$A:$A,YEAR($A19)&amp;"-"&amp;TEXT(MONTH($A19),"00")&amp;"-"&amp;TEXT(DAY($A19),"00"),history!$S:$S,"&gt;0"),0),IFERROR(1/_xlfn.MINIFS(history!$H:$H,history!$C:$C,"tim",history!$D:$D,"flex",history!$A:$A,YEAR($A19)&amp;"-"&amp;TEXT(MONTH($A19),"00")&amp;"-"&amp;TEXT(DAY($A19),"00")),0),IFERROR(1/_xlfn.MINIFS(history!$H:$H,history!$C:$C,"tim",history!$D:$D,"fit",history!$A:$A,YEAR($A19)&amp;"-"&amp;TEXT(MONTH($A19),"00")&amp;"-"&amp;TEXT(DAY($A19),"00"),history!$S:$S,"="),0)),"")</f>
        <v/>
      </c>
      <c r="L19" s="3">
        <f>IFERROR(1/MAX(IFERROR(1/_xlfn.MINIFS(history!$H:$H,history!$C:$C,"vivo",history!$D:$D,"lite",history!$A:$A,YEAR($A19)&amp;"-"&amp;TEXT(MONTH($A19),"00")&amp;"-"&amp;TEXT(DAY($A19),"00"),history!$S:$S,"&gt;0"),0),IFERROR(1/_xlfn.MINIFS(history!$H:$H,history!$C:$C,"vivo",history!$D:$D,"flex",history!$A:$A,YEAR($A19)&amp;"-"&amp;TEXT(MONTH($A19),"00")&amp;"-"&amp;TEXT(DAY($A19),"00")),0),IFERROR(1/_xlfn.MINIFS(history!$H:$H,history!$C:$C,"vivo",history!$D:$D,"fit",history!$A:$A,YEAR($A19)&amp;"-"&amp;TEXT(MONTH($A19),"00")&amp;"-"&amp;TEXT(DAY($A19),"00"),history!$S:$S,"="),0)),"")</f>
        <v>45</v>
      </c>
      <c r="M19" s="3">
        <f>IFERROR(1/MAX(IFERROR(1/_xlfn.MINIFS(history!$H:$H,history!$C:$C,"claro",history!$D:$D,"lite",history!$A:$A,YEAR($A19)&amp;"-"&amp;TEXT(MONTH($A19),"00")&amp;"-"&amp;TEXT(DAY($A19),"00"),history!$S:$S,"&gt;0"),0),IFERROR(1/_xlfn.MINIFS(history!$H:$H,history!$C:$C,"claro",history!$D:$D,"flex",history!$A:$A,YEAR($A19)&amp;"-"&amp;TEXT(MONTH($A19),"00")&amp;"-"&amp;TEXT(DAY($A19),"00")),0),IFERROR(1/_xlfn.MINIFS(history!$H:$H,history!$C:$C,"claro",history!$D:$D,"fit",history!$A:$A,YEAR($A19)&amp;"-"&amp;TEXT(MONTH($A19),"00")&amp;"-"&amp;TEXT(DAY($A19),"00"),history!$S:$S,"="),0)),"")</f>
        <v>44.9</v>
      </c>
    </row>
    <row r="20">
      <c r="A20" s="12" t="n">
        <v>46212</v>
      </c>
      <c r="B20" s="3">
        <f>IFERROR(IF(_xlfn.MINIFS(history!$H:$H,history!$C:$C,"tim",history!$D:$D,"control",history!$A:$A,YEAR($A20)&amp;"-"&amp;TEXT(MONTH($A20),"00")&amp;"-"&amp;TEXT(DAY($A20),"00"))=0,"",_xlfn.MINIFS(history!$H:$H,history!$C:$C,"tim",history!$D:$D,"control",history!$A:$A,YEAR($A20)&amp;"-"&amp;TEXT(MONTH($A20),"00")&amp;"-"&amp;TEXT(DAY($A20),"00"))),"")</f>
        <v>49.99</v>
      </c>
      <c r="C20" s="3">
        <f>IFERROR(IF(_xlfn.MINIFS(history!$H:$H,history!$C:$C,"vivo",history!$D:$D,"control",history!$A:$A,YEAR($A20)&amp;"-"&amp;TEXT(MONTH($A20),"00")&amp;"-"&amp;TEXT(DAY($A20),"00"))=0,"",_xlfn.MINIFS(history!$H:$H,history!$C:$C,"vivo",history!$D:$D,"control",history!$A:$A,YEAR($A20)&amp;"-"&amp;TEXT(MONTH($A20),"00")&amp;"-"&amp;TEXT(DAY($A20),"00"))),"")</f>
        <v>59</v>
      </c>
      <c r="D20" s="3">
        <f>IFERROR(IF(_xlfn.MINIFS(history!$H:$H,history!$C:$C,"claro",history!$D:$D,"control",history!$A:$A,YEAR($A20)&amp;"-"&amp;TEXT(MONTH($A20),"00")&amp;"-"&amp;TEXT(DAY($A20),"00"))=0,"",_xlfn.MINIFS(history!$H:$H,history!$C:$C,"claro",history!$D:$D,"control",history!$A:$A,YEAR($A20)&amp;"-"&amp;TEXT(MONTH($A20),"00")&amp;"-"&amp;TEXT(DAY($A20),"00"))),"")</f>
        <v>59.9</v>
      </c>
      <c r="E20" s="3">
        <f>IFERROR(IF(_xlfn.MINIFS(history!$H:$H,history!$C:$C,"tim",history!$D:$D,"postpaid",history!$A:$A,YEAR($A20)&amp;"-"&amp;TEXT(MONTH($A20),"00")&amp;"-"&amp;TEXT(DAY($A20),"00"))=0,"",_xlfn.MINIFS(history!$H:$H,history!$C:$C,"tim",history!$D:$D,"postpaid",history!$A:$A,YEAR($A20)&amp;"-"&amp;TEXT(MONTH($A20),"00")&amp;"-"&amp;TEXT(DAY($A20),"00"))),"")</f>
        <v>119.99</v>
      </c>
      <c r="F20" s="3">
        <f>IFERROR(IF(_xlfn.MINIFS(history!$H:$H,history!$C:$C,"vivo",history!$D:$D,"postpaid",history!$A:$A,YEAR($A20)&amp;"-"&amp;TEXT(MONTH($A20),"00")&amp;"-"&amp;TEXT(DAY($A20),"00"))=0,"",_xlfn.MINIFS(history!$H:$H,history!$C:$C,"vivo",history!$D:$D,"postpaid",history!$A:$A,YEAR($A20)&amp;"-"&amp;TEXT(MONTH($A20),"00")&amp;"-"&amp;TEXT(DAY($A20),"00"))),"")</f>
        <v>150</v>
      </c>
      <c r="G20" s="3">
        <f>IFERROR(IF(_xlfn.MINIFS(history!$H:$H,history!$C:$C,"claro",history!$D:$D,"postpaid",history!$A:$A,YEAR($A20)&amp;"-"&amp;TEXT(MONTH($A20),"00")&amp;"-"&amp;TEXT(DAY($A20),"00"))=0,"",_xlfn.MINIFS(history!$H:$H,history!$C:$C,"claro",history!$D:$D,"postpaid",history!$A:$A,YEAR($A20)&amp;"-"&amp;TEXT(MONTH($A20),"00")&amp;"-"&amp;TEXT(DAY($A20),"00"))),"")</f>
        <v>124.9</v>
      </c>
      <c r="H20" s="3">
        <f>IFERROR(IF(_xlfn.MINIFS(history!$H:$H,history!$C:$C,"tim",history!$D:$D,"prepaid",history!$A:$A,YEAR($A20)&amp;"-"&amp;TEXT(MONTH($A20),"00")&amp;"-"&amp;TEXT(DAY($A20),"00"),history!$N:$N,"&gt;=28")=0,"",_xlfn.MINIFS(history!$H:$H,history!$C:$C,"tim",history!$D:$D,"prepaid",history!$A:$A,YEAR($A20)&amp;"-"&amp;TEXT(MONTH($A20),"00")&amp;"-"&amp;TEXT(DAY($A20),"00"),history!$N:$N,"&gt;=28")),"")</f>
        <v>30</v>
      </c>
      <c r="I20" s="3">
        <f>IFERROR(IF(_xlfn.MINIFS(history!$H:$H,history!$C:$C,"vivo",history!$D:$D,"prepaid",history!$A:$A,YEAR($A20)&amp;"-"&amp;TEXT(MONTH($A20),"00")&amp;"-"&amp;TEXT(DAY($A20),"00"),history!$N:$N,"&gt;=28")=0,"",_xlfn.MINIFS(history!$H:$H,history!$C:$C,"vivo",history!$D:$D,"prepaid",history!$A:$A,YEAR($A20)&amp;"-"&amp;TEXT(MONTH($A20),"00")&amp;"-"&amp;TEXT(DAY($A20),"00"),history!$N:$N,"&gt;=28")),"")</f>
        <v>30</v>
      </c>
      <c r="J20" s="3">
        <f>IFERROR(IF(_xlfn.MINIFS(history!$H:$H,history!$C:$C,"claro",history!$D:$D,"prepaid",history!$A:$A,YEAR($A20)&amp;"-"&amp;TEXT(MONTH($A20),"00")&amp;"-"&amp;TEXT(DAY($A20),"00"),history!$N:$N,"&gt;=28")=0,"",_xlfn.MINIFS(history!$H:$H,history!$C:$C,"claro",history!$D:$D,"prepaid",history!$A:$A,YEAR($A20)&amp;"-"&amp;TEXT(MONTH($A20),"00")&amp;"-"&amp;TEXT(DAY($A20),"00"),history!$N:$N,"&gt;=28")),"")</f>
        <v>30</v>
      </c>
      <c r="K20" s="3">
        <f>IFERROR(1/MAX(IFERROR(1/_xlfn.MINIFS(history!$H:$H,history!$C:$C,"tim",history!$D:$D,"lite",history!$A:$A,YEAR($A20)&amp;"-"&amp;TEXT(MONTH($A20),"00")&amp;"-"&amp;TEXT(DAY($A20),"00"),history!$S:$S,"&gt;0"),0),IFERROR(1/_xlfn.MINIFS(history!$H:$H,history!$C:$C,"tim",history!$D:$D,"flex",history!$A:$A,YEAR($A20)&amp;"-"&amp;TEXT(MONTH($A20),"00")&amp;"-"&amp;TEXT(DAY($A20),"00")),0),IFERROR(1/_xlfn.MINIFS(history!$H:$H,history!$C:$C,"tim",history!$D:$D,"fit",history!$A:$A,YEAR($A20)&amp;"-"&amp;TEXT(MONTH($A20),"00")&amp;"-"&amp;TEXT(DAY($A20),"00"),history!$S:$S,"="),0)),"")</f>
        <v/>
      </c>
      <c r="L20" s="3">
        <f>IFERROR(1/MAX(IFERROR(1/_xlfn.MINIFS(history!$H:$H,history!$C:$C,"vivo",history!$D:$D,"lite",history!$A:$A,YEAR($A20)&amp;"-"&amp;TEXT(MONTH($A20),"00")&amp;"-"&amp;TEXT(DAY($A20),"00"),history!$S:$S,"&gt;0"),0),IFERROR(1/_xlfn.MINIFS(history!$H:$H,history!$C:$C,"vivo",history!$D:$D,"flex",history!$A:$A,YEAR($A20)&amp;"-"&amp;TEXT(MONTH($A20),"00")&amp;"-"&amp;TEXT(DAY($A20),"00")),0),IFERROR(1/_xlfn.MINIFS(history!$H:$H,history!$C:$C,"vivo",history!$D:$D,"fit",history!$A:$A,YEAR($A20)&amp;"-"&amp;TEXT(MONTH($A20),"00")&amp;"-"&amp;TEXT(DAY($A20),"00"),history!$S:$S,"="),0)),"")</f>
        <v>45</v>
      </c>
      <c r="M20" s="3">
        <f>IFERROR(1/MAX(IFERROR(1/_xlfn.MINIFS(history!$H:$H,history!$C:$C,"claro",history!$D:$D,"lite",history!$A:$A,YEAR($A20)&amp;"-"&amp;TEXT(MONTH($A20),"00")&amp;"-"&amp;TEXT(DAY($A20),"00"),history!$S:$S,"&gt;0"),0),IFERROR(1/_xlfn.MINIFS(history!$H:$H,history!$C:$C,"claro",history!$D:$D,"flex",history!$A:$A,YEAR($A20)&amp;"-"&amp;TEXT(MONTH($A20),"00")&amp;"-"&amp;TEXT(DAY($A20),"00")),0),IFERROR(1/_xlfn.MINIFS(history!$H:$H,history!$C:$C,"claro",history!$D:$D,"fit",history!$A:$A,YEAR($A20)&amp;"-"&amp;TEXT(MONTH($A20),"00")&amp;"-"&amp;TEXT(DAY($A20),"00"),history!$S:$S,"="),0)),"")</f>
        <v>44.9</v>
      </c>
    </row>
    <row r="21">
      <c r="A21" s="12" t="n">
        <v>46213</v>
      </c>
      <c r="B21" s="3">
        <f>IFERROR(IF(_xlfn.MINIFS(history!$H:$H,history!$C:$C,"tim",history!$D:$D,"control",history!$A:$A,YEAR($A21)&amp;"-"&amp;TEXT(MONTH($A21),"00")&amp;"-"&amp;TEXT(DAY($A21),"00"))=0,"",_xlfn.MINIFS(history!$H:$H,history!$C:$C,"tim",history!$D:$D,"control",history!$A:$A,YEAR($A21)&amp;"-"&amp;TEXT(MONTH($A21),"00")&amp;"-"&amp;TEXT(DAY($A21),"00"))),"")</f>
        <v>49.99</v>
      </c>
      <c r="C21" s="3">
        <f>IFERROR(IF(_xlfn.MINIFS(history!$H:$H,history!$C:$C,"vivo",history!$D:$D,"control",history!$A:$A,YEAR($A21)&amp;"-"&amp;TEXT(MONTH($A21),"00")&amp;"-"&amp;TEXT(DAY($A21),"00"))=0,"",_xlfn.MINIFS(history!$H:$H,history!$C:$C,"vivo",history!$D:$D,"control",history!$A:$A,YEAR($A21)&amp;"-"&amp;TEXT(MONTH($A21),"00")&amp;"-"&amp;TEXT(DAY($A21),"00"))),"")</f>
        <v>59</v>
      </c>
      <c r="D21" s="3">
        <f>IFERROR(IF(_xlfn.MINIFS(history!$H:$H,history!$C:$C,"claro",history!$D:$D,"control",history!$A:$A,YEAR($A21)&amp;"-"&amp;TEXT(MONTH($A21),"00")&amp;"-"&amp;TEXT(DAY($A21),"00"))=0,"",_xlfn.MINIFS(history!$H:$H,history!$C:$C,"claro",history!$D:$D,"control",history!$A:$A,YEAR($A21)&amp;"-"&amp;TEXT(MONTH($A21),"00")&amp;"-"&amp;TEXT(DAY($A21),"00"))),"")</f>
        <v>59.9</v>
      </c>
      <c r="E21" s="3">
        <f>IFERROR(IF(_xlfn.MINIFS(history!$H:$H,history!$C:$C,"tim",history!$D:$D,"postpaid",history!$A:$A,YEAR($A21)&amp;"-"&amp;TEXT(MONTH($A21),"00")&amp;"-"&amp;TEXT(DAY($A21),"00"))=0,"",_xlfn.MINIFS(history!$H:$H,history!$C:$C,"tim",history!$D:$D,"postpaid",history!$A:$A,YEAR($A21)&amp;"-"&amp;TEXT(MONTH($A21),"00")&amp;"-"&amp;TEXT(DAY($A21),"00"))),"")</f>
        <v>119.99</v>
      </c>
      <c r="F21" s="3">
        <f>IFERROR(IF(_xlfn.MINIFS(history!$H:$H,history!$C:$C,"vivo",history!$D:$D,"postpaid",history!$A:$A,YEAR($A21)&amp;"-"&amp;TEXT(MONTH($A21),"00")&amp;"-"&amp;TEXT(DAY($A21),"00"))=0,"",_xlfn.MINIFS(history!$H:$H,history!$C:$C,"vivo",history!$D:$D,"postpaid",history!$A:$A,YEAR($A21)&amp;"-"&amp;TEXT(MONTH($A21),"00")&amp;"-"&amp;TEXT(DAY($A21),"00"))),"")</f>
        <v>150</v>
      </c>
      <c r="G21" s="3">
        <f>IFERROR(IF(_xlfn.MINIFS(history!$H:$H,history!$C:$C,"claro",history!$D:$D,"postpaid",history!$A:$A,YEAR($A21)&amp;"-"&amp;TEXT(MONTH($A21),"00")&amp;"-"&amp;TEXT(DAY($A21),"00"))=0,"",_xlfn.MINIFS(history!$H:$H,history!$C:$C,"claro",history!$D:$D,"postpaid",history!$A:$A,YEAR($A21)&amp;"-"&amp;TEXT(MONTH($A21),"00")&amp;"-"&amp;TEXT(DAY($A21),"00"))),"")</f>
        <v>124.9</v>
      </c>
      <c r="H21" s="3">
        <f>IFERROR(IF(_xlfn.MINIFS(history!$H:$H,history!$C:$C,"tim",history!$D:$D,"prepaid",history!$A:$A,YEAR($A21)&amp;"-"&amp;TEXT(MONTH($A21),"00")&amp;"-"&amp;TEXT(DAY($A21),"00"),history!$N:$N,"&gt;=28")=0,"",_xlfn.MINIFS(history!$H:$H,history!$C:$C,"tim",history!$D:$D,"prepaid",history!$A:$A,YEAR($A21)&amp;"-"&amp;TEXT(MONTH($A21),"00")&amp;"-"&amp;TEXT(DAY($A21),"00"),history!$N:$N,"&gt;=28")),"")</f>
        <v>30</v>
      </c>
      <c r="I21" s="3">
        <f>IFERROR(IF(_xlfn.MINIFS(history!$H:$H,history!$C:$C,"vivo",history!$D:$D,"prepaid",history!$A:$A,YEAR($A21)&amp;"-"&amp;TEXT(MONTH($A21),"00")&amp;"-"&amp;TEXT(DAY($A21),"00"),history!$N:$N,"&gt;=28")=0,"",_xlfn.MINIFS(history!$H:$H,history!$C:$C,"vivo",history!$D:$D,"prepaid",history!$A:$A,YEAR($A21)&amp;"-"&amp;TEXT(MONTH($A21),"00")&amp;"-"&amp;TEXT(DAY($A21),"00"),history!$N:$N,"&gt;=28")),"")</f>
        <v>30</v>
      </c>
      <c r="J21" s="3">
        <f>IFERROR(IF(_xlfn.MINIFS(history!$H:$H,history!$C:$C,"claro",history!$D:$D,"prepaid",history!$A:$A,YEAR($A21)&amp;"-"&amp;TEXT(MONTH($A21),"00")&amp;"-"&amp;TEXT(DAY($A21),"00"),history!$N:$N,"&gt;=28")=0,"",_xlfn.MINIFS(history!$H:$H,history!$C:$C,"claro",history!$D:$D,"prepaid",history!$A:$A,YEAR($A21)&amp;"-"&amp;TEXT(MONTH($A21),"00")&amp;"-"&amp;TEXT(DAY($A21),"00"),history!$N:$N,"&gt;=28")),"")</f>
        <v>30</v>
      </c>
      <c r="K21" s="3">
        <f>IFERROR(1/MAX(IFERROR(1/_xlfn.MINIFS(history!$H:$H,history!$C:$C,"tim",history!$D:$D,"lite",history!$A:$A,YEAR($A21)&amp;"-"&amp;TEXT(MONTH($A21),"00")&amp;"-"&amp;TEXT(DAY($A21),"00"),history!$S:$S,"&gt;0"),0),IFERROR(1/_xlfn.MINIFS(history!$H:$H,history!$C:$C,"tim",history!$D:$D,"flex",history!$A:$A,YEAR($A21)&amp;"-"&amp;TEXT(MONTH($A21),"00")&amp;"-"&amp;TEXT(DAY($A21),"00")),0),IFERROR(1/_xlfn.MINIFS(history!$H:$H,history!$C:$C,"tim",history!$D:$D,"fit",history!$A:$A,YEAR($A21)&amp;"-"&amp;TEXT(MONTH($A21),"00")&amp;"-"&amp;TEXT(DAY($A21),"00"),history!$S:$S,"="),0)),"")</f>
        <v/>
      </c>
      <c r="L21" s="3">
        <f>IFERROR(1/MAX(IFERROR(1/_xlfn.MINIFS(history!$H:$H,history!$C:$C,"vivo",history!$D:$D,"lite",history!$A:$A,YEAR($A21)&amp;"-"&amp;TEXT(MONTH($A21),"00")&amp;"-"&amp;TEXT(DAY($A21),"00"),history!$S:$S,"&gt;0"),0),IFERROR(1/_xlfn.MINIFS(history!$H:$H,history!$C:$C,"vivo",history!$D:$D,"flex",history!$A:$A,YEAR($A21)&amp;"-"&amp;TEXT(MONTH($A21),"00")&amp;"-"&amp;TEXT(DAY($A21),"00")),0),IFERROR(1/_xlfn.MINIFS(history!$H:$H,history!$C:$C,"vivo",history!$D:$D,"fit",history!$A:$A,YEAR($A21)&amp;"-"&amp;TEXT(MONTH($A21),"00")&amp;"-"&amp;TEXT(DAY($A21),"00"),history!$S:$S,"="),0)),"")</f>
        <v>45</v>
      </c>
      <c r="M21" s="3">
        <f>IFERROR(1/MAX(IFERROR(1/_xlfn.MINIFS(history!$H:$H,history!$C:$C,"claro",history!$D:$D,"lite",history!$A:$A,YEAR($A21)&amp;"-"&amp;TEXT(MONTH($A21),"00")&amp;"-"&amp;TEXT(DAY($A21),"00"),history!$S:$S,"&gt;0"),0),IFERROR(1/_xlfn.MINIFS(history!$H:$H,history!$C:$C,"claro",history!$D:$D,"flex",history!$A:$A,YEAR($A21)&amp;"-"&amp;TEXT(MONTH($A21),"00")&amp;"-"&amp;TEXT(DAY($A21),"00")),0),IFERROR(1/_xlfn.MINIFS(history!$H:$H,history!$C:$C,"claro",history!$D:$D,"fit",history!$A:$A,YEAR($A21)&amp;"-"&amp;TEXT(MONTH($A21),"00")&amp;"-"&amp;TEXT(DAY($A21),"00"),history!$S:$S,"="),0)),"")</f>
        <v>44.9</v>
      </c>
    </row>
    <row r="22">
      <c r="A22" s="12" t="n">
        <v>46214</v>
      </c>
      <c r="B22" s="3">
        <f>IFERROR(IF(_xlfn.MINIFS(history!$H:$H,history!$C:$C,"tim",history!$D:$D,"control",history!$A:$A,YEAR($A22)&amp;"-"&amp;TEXT(MONTH($A22),"00")&amp;"-"&amp;TEXT(DAY($A22),"00"))=0,"",_xlfn.MINIFS(history!$H:$H,history!$C:$C,"tim",history!$D:$D,"control",history!$A:$A,YEAR($A22)&amp;"-"&amp;TEXT(MONTH($A22),"00")&amp;"-"&amp;TEXT(DAY($A22),"00"))),"")</f>
        <v>49.99</v>
      </c>
      <c r="C22" s="3">
        <f>IFERROR(IF(_xlfn.MINIFS(history!$H:$H,history!$C:$C,"vivo",history!$D:$D,"control",history!$A:$A,YEAR($A22)&amp;"-"&amp;TEXT(MONTH($A22),"00")&amp;"-"&amp;TEXT(DAY($A22),"00"))=0,"",_xlfn.MINIFS(history!$H:$H,history!$C:$C,"vivo",history!$D:$D,"control",history!$A:$A,YEAR($A22)&amp;"-"&amp;TEXT(MONTH($A22),"00")&amp;"-"&amp;TEXT(DAY($A22),"00"))),"")</f>
        <v>59</v>
      </c>
      <c r="D22" s="3">
        <f>IFERROR(IF(_xlfn.MINIFS(history!$H:$H,history!$C:$C,"claro",history!$D:$D,"control",history!$A:$A,YEAR($A22)&amp;"-"&amp;TEXT(MONTH($A22),"00")&amp;"-"&amp;TEXT(DAY($A22),"00"))=0,"",_xlfn.MINIFS(history!$H:$H,history!$C:$C,"claro",history!$D:$D,"control",history!$A:$A,YEAR($A22)&amp;"-"&amp;TEXT(MONTH($A22),"00")&amp;"-"&amp;TEXT(DAY($A22),"00"))),"")</f>
        <v>59.9</v>
      </c>
      <c r="E22" s="3">
        <f>IFERROR(IF(_xlfn.MINIFS(history!$H:$H,history!$C:$C,"tim",history!$D:$D,"postpaid",history!$A:$A,YEAR($A22)&amp;"-"&amp;TEXT(MONTH($A22),"00")&amp;"-"&amp;TEXT(DAY($A22),"00"))=0,"",_xlfn.MINIFS(history!$H:$H,history!$C:$C,"tim",history!$D:$D,"postpaid",history!$A:$A,YEAR($A22)&amp;"-"&amp;TEXT(MONTH($A22),"00")&amp;"-"&amp;TEXT(DAY($A22),"00"))),"")</f>
        <v>119.99</v>
      </c>
      <c r="F22" s="3">
        <f>IFERROR(IF(_xlfn.MINIFS(history!$H:$H,history!$C:$C,"vivo",history!$D:$D,"postpaid",history!$A:$A,YEAR($A22)&amp;"-"&amp;TEXT(MONTH($A22),"00")&amp;"-"&amp;TEXT(DAY($A22),"00"))=0,"",_xlfn.MINIFS(history!$H:$H,history!$C:$C,"vivo",history!$D:$D,"postpaid",history!$A:$A,YEAR($A22)&amp;"-"&amp;TEXT(MONTH($A22),"00")&amp;"-"&amp;TEXT(DAY($A22),"00"))),"")</f>
        <v>150</v>
      </c>
      <c r="G22" s="3">
        <f>IFERROR(IF(_xlfn.MINIFS(history!$H:$H,history!$C:$C,"claro",history!$D:$D,"postpaid",history!$A:$A,YEAR($A22)&amp;"-"&amp;TEXT(MONTH($A22),"00")&amp;"-"&amp;TEXT(DAY($A22),"00"))=0,"",_xlfn.MINIFS(history!$H:$H,history!$C:$C,"claro",history!$D:$D,"postpaid",history!$A:$A,YEAR($A22)&amp;"-"&amp;TEXT(MONTH($A22),"00")&amp;"-"&amp;TEXT(DAY($A22),"00"))),"")</f>
        <v>124.9</v>
      </c>
      <c r="H22" s="3">
        <f>IFERROR(IF(_xlfn.MINIFS(history!$H:$H,history!$C:$C,"tim",history!$D:$D,"prepaid",history!$A:$A,YEAR($A22)&amp;"-"&amp;TEXT(MONTH($A22),"00")&amp;"-"&amp;TEXT(DAY($A22),"00"),history!$N:$N,"&gt;=28")=0,"",_xlfn.MINIFS(history!$H:$H,history!$C:$C,"tim",history!$D:$D,"prepaid",history!$A:$A,YEAR($A22)&amp;"-"&amp;TEXT(MONTH($A22),"00")&amp;"-"&amp;TEXT(DAY($A22),"00"),history!$N:$N,"&gt;=28")),"")</f>
        <v>30</v>
      </c>
      <c r="I22" s="3">
        <f>IFERROR(IF(_xlfn.MINIFS(history!$H:$H,history!$C:$C,"vivo",history!$D:$D,"prepaid",history!$A:$A,YEAR($A22)&amp;"-"&amp;TEXT(MONTH($A22),"00")&amp;"-"&amp;TEXT(DAY($A22),"00"),history!$N:$N,"&gt;=28")=0,"",_xlfn.MINIFS(history!$H:$H,history!$C:$C,"vivo",history!$D:$D,"prepaid",history!$A:$A,YEAR($A22)&amp;"-"&amp;TEXT(MONTH($A22),"00")&amp;"-"&amp;TEXT(DAY($A22),"00"),history!$N:$N,"&gt;=28")),"")</f>
        <v>30</v>
      </c>
      <c r="J22" s="3">
        <f>IFERROR(IF(_xlfn.MINIFS(history!$H:$H,history!$C:$C,"claro",history!$D:$D,"prepaid",history!$A:$A,YEAR($A22)&amp;"-"&amp;TEXT(MONTH($A22),"00")&amp;"-"&amp;TEXT(DAY($A22),"00"),history!$N:$N,"&gt;=28")=0,"",_xlfn.MINIFS(history!$H:$H,history!$C:$C,"claro",history!$D:$D,"prepaid",history!$A:$A,YEAR($A22)&amp;"-"&amp;TEXT(MONTH($A22),"00")&amp;"-"&amp;TEXT(DAY($A22),"00"),history!$N:$N,"&gt;=28")),"")</f>
        <v>30</v>
      </c>
      <c r="K22" s="3">
        <f>IFERROR(1/MAX(IFERROR(1/_xlfn.MINIFS(history!$H:$H,history!$C:$C,"tim",history!$D:$D,"lite",history!$A:$A,YEAR($A22)&amp;"-"&amp;TEXT(MONTH($A22),"00")&amp;"-"&amp;TEXT(DAY($A22),"00"),history!$S:$S,"&gt;0"),0),IFERROR(1/_xlfn.MINIFS(history!$H:$H,history!$C:$C,"tim",history!$D:$D,"flex",history!$A:$A,YEAR($A22)&amp;"-"&amp;TEXT(MONTH($A22),"00")&amp;"-"&amp;TEXT(DAY($A22),"00")),0),IFERROR(1/_xlfn.MINIFS(history!$H:$H,history!$C:$C,"tim",history!$D:$D,"fit",history!$A:$A,YEAR($A22)&amp;"-"&amp;TEXT(MONTH($A22),"00")&amp;"-"&amp;TEXT(DAY($A22),"00"),history!$S:$S,"="),0)),"")</f>
        <v/>
      </c>
      <c r="L22" s="3">
        <f>IFERROR(1/MAX(IFERROR(1/_xlfn.MINIFS(history!$H:$H,history!$C:$C,"vivo",history!$D:$D,"lite",history!$A:$A,YEAR($A22)&amp;"-"&amp;TEXT(MONTH($A22),"00")&amp;"-"&amp;TEXT(DAY($A22),"00"),history!$S:$S,"&gt;0"),0),IFERROR(1/_xlfn.MINIFS(history!$H:$H,history!$C:$C,"vivo",history!$D:$D,"flex",history!$A:$A,YEAR($A22)&amp;"-"&amp;TEXT(MONTH($A22),"00")&amp;"-"&amp;TEXT(DAY($A22),"00")),0),IFERROR(1/_xlfn.MINIFS(history!$H:$H,history!$C:$C,"vivo",history!$D:$D,"fit",history!$A:$A,YEAR($A22)&amp;"-"&amp;TEXT(MONTH($A22),"00")&amp;"-"&amp;TEXT(DAY($A22),"00"),history!$S:$S,"="),0)),"")</f>
        <v/>
      </c>
      <c r="M22" s="3">
        <f>IFERROR(1/MAX(IFERROR(1/_xlfn.MINIFS(history!$H:$H,history!$C:$C,"claro",history!$D:$D,"lite",history!$A:$A,YEAR($A22)&amp;"-"&amp;TEXT(MONTH($A22),"00")&amp;"-"&amp;TEXT(DAY($A22),"00"),history!$S:$S,"&gt;0"),0),IFERROR(1/_xlfn.MINIFS(history!$H:$H,history!$C:$C,"claro",history!$D:$D,"flex",history!$A:$A,YEAR($A22)&amp;"-"&amp;TEXT(MONTH($A22),"00")&amp;"-"&amp;TEXT(DAY($A22),"00")),0),IFERROR(1/_xlfn.MINIFS(history!$H:$H,history!$C:$C,"claro",history!$D:$D,"fit",history!$A:$A,YEAR($A22)&amp;"-"&amp;TEXT(MONTH($A22),"00")&amp;"-"&amp;TEXT(DAY($A22),"00"),history!$S:$S,"="),0)),"")</f>
        <v>44.9</v>
      </c>
    </row>
    <row r="23">
      <c r="A23" s="12" t="n">
        <v>46215</v>
      </c>
      <c r="B23" s="3">
        <f>IFERROR(IF(_xlfn.MINIFS(history!$H:$H,history!$C:$C,"tim",history!$D:$D,"control",history!$A:$A,YEAR($A23)&amp;"-"&amp;TEXT(MONTH($A23),"00")&amp;"-"&amp;TEXT(DAY($A23),"00"))=0,"",_xlfn.MINIFS(history!$H:$H,history!$C:$C,"tim",history!$D:$D,"control",history!$A:$A,YEAR($A23)&amp;"-"&amp;TEXT(MONTH($A23),"00")&amp;"-"&amp;TEXT(DAY($A23),"00"))),"")</f>
        <v>49.99</v>
      </c>
      <c r="C23" s="3">
        <f>IFERROR(IF(_xlfn.MINIFS(history!$H:$H,history!$C:$C,"vivo",history!$D:$D,"control",history!$A:$A,YEAR($A23)&amp;"-"&amp;TEXT(MONTH($A23),"00")&amp;"-"&amp;TEXT(DAY($A23),"00"))=0,"",_xlfn.MINIFS(history!$H:$H,history!$C:$C,"vivo",history!$D:$D,"control",history!$A:$A,YEAR($A23)&amp;"-"&amp;TEXT(MONTH($A23),"00")&amp;"-"&amp;TEXT(DAY($A23),"00"))),"")</f>
        <v>59</v>
      </c>
      <c r="D23" s="3">
        <f>IFERROR(IF(_xlfn.MINIFS(history!$H:$H,history!$C:$C,"claro",history!$D:$D,"control",history!$A:$A,YEAR($A23)&amp;"-"&amp;TEXT(MONTH($A23),"00")&amp;"-"&amp;TEXT(DAY($A23),"00"))=0,"",_xlfn.MINIFS(history!$H:$H,history!$C:$C,"claro",history!$D:$D,"control",history!$A:$A,YEAR($A23)&amp;"-"&amp;TEXT(MONTH($A23),"00")&amp;"-"&amp;TEXT(DAY($A23),"00"))),"")</f>
        <v>59.9</v>
      </c>
      <c r="E23" s="3">
        <f>IFERROR(IF(_xlfn.MINIFS(history!$H:$H,history!$C:$C,"tim",history!$D:$D,"postpaid",history!$A:$A,YEAR($A23)&amp;"-"&amp;TEXT(MONTH($A23),"00")&amp;"-"&amp;TEXT(DAY($A23),"00"))=0,"",_xlfn.MINIFS(history!$H:$H,history!$C:$C,"tim",history!$D:$D,"postpaid",history!$A:$A,YEAR($A23)&amp;"-"&amp;TEXT(MONTH($A23),"00")&amp;"-"&amp;TEXT(DAY($A23),"00"))),"")</f>
        <v>119.99</v>
      </c>
      <c r="F23" s="3">
        <f>IFERROR(IF(_xlfn.MINIFS(history!$H:$H,history!$C:$C,"vivo",history!$D:$D,"postpaid",history!$A:$A,YEAR($A23)&amp;"-"&amp;TEXT(MONTH($A23),"00")&amp;"-"&amp;TEXT(DAY($A23),"00"))=0,"",_xlfn.MINIFS(history!$H:$H,history!$C:$C,"vivo",history!$D:$D,"postpaid",history!$A:$A,YEAR($A23)&amp;"-"&amp;TEXT(MONTH($A23),"00")&amp;"-"&amp;TEXT(DAY($A23),"00"))),"")</f>
        <v>150</v>
      </c>
      <c r="G23" s="3">
        <f>IFERROR(IF(_xlfn.MINIFS(history!$H:$H,history!$C:$C,"claro",history!$D:$D,"postpaid",history!$A:$A,YEAR($A23)&amp;"-"&amp;TEXT(MONTH($A23),"00")&amp;"-"&amp;TEXT(DAY($A23),"00"))=0,"",_xlfn.MINIFS(history!$H:$H,history!$C:$C,"claro",history!$D:$D,"postpaid",history!$A:$A,YEAR($A23)&amp;"-"&amp;TEXT(MONTH($A23),"00")&amp;"-"&amp;TEXT(DAY($A23),"00"))),"")</f>
        <v>124.9</v>
      </c>
      <c r="H23" s="3">
        <f>IFERROR(IF(_xlfn.MINIFS(history!$H:$H,history!$C:$C,"tim",history!$D:$D,"prepaid",history!$A:$A,YEAR($A23)&amp;"-"&amp;TEXT(MONTH($A23),"00")&amp;"-"&amp;TEXT(DAY($A23),"00"),history!$N:$N,"&gt;=28")=0,"",_xlfn.MINIFS(history!$H:$H,history!$C:$C,"tim",history!$D:$D,"prepaid",history!$A:$A,YEAR($A23)&amp;"-"&amp;TEXT(MONTH($A23),"00")&amp;"-"&amp;TEXT(DAY($A23),"00"),history!$N:$N,"&gt;=28")),"")</f>
        <v>30</v>
      </c>
      <c r="I23" s="3">
        <f>IFERROR(IF(_xlfn.MINIFS(history!$H:$H,history!$C:$C,"vivo",history!$D:$D,"prepaid",history!$A:$A,YEAR($A23)&amp;"-"&amp;TEXT(MONTH($A23),"00")&amp;"-"&amp;TEXT(DAY($A23),"00"),history!$N:$N,"&gt;=28")=0,"",_xlfn.MINIFS(history!$H:$H,history!$C:$C,"vivo",history!$D:$D,"prepaid",history!$A:$A,YEAR($A23)&amp;"-"&amp;TEXT(MONTH($A23),"00")&amp;"-"&amp;TEXT(DAY($A23),"00"),history!$N:$N,"&gt;=28")),"")</f>
        <v>30</v>
      </c>
      <c r="J23" s="3">
        <f>IFERROR(IF(_xlfn.MINIFS(history!$H:$H,history!$C:$C,"claro",history!$D:$D,"prepaid",history!$A:$A,YEAR($A23)&amp;"-"&amp;TEXT(MONTH($A23),"00")&amp;"-"&amp;TEXT(DAY($A23),"00"),history!$N:$N,"&gt;=28")=0,"",_xlfn.MINIFS(history!$H:$H,history!$C:$C,"claro",history!$D:$D,"prepaid",history!$A:$A,YEAR($A23)&amp;"-"&amp;TEXT(MONTH($A23),"00")&amp;"-"&amp;TEXT(DAY($A23),"00"),history!$N:$N,"&gt;=28")),"")</f>
        <v>30</v>
      </c>
      <c r="K23" s="3">
        <f>IFERROR(1/MAX(IFERROR(1/_xlfn.MINIFS(history!$H:$H,history!$C:$C,"tim",history!$D:$D,"lite",history!$A:$A,YEAR($A23)&amp;"-"&amp;TEXT(MONTH($A23),"00")&amp;"-"&amp;TEXT(DAY($A23),"00"),history!$S:$S,"&gt;0"),0),IFERROR(1/_xlfn.MINIFS(history!$H:$H,history!$C:$C,"tim",history!$D:$D,"flex",history!$A:$A,YEAR($A23)&amp;"-"&amp;TEXT(MONTH($A23),"00")&amp;"-"&amp;TEXT(DAY($A23),"00")),0),IFERROR(1/_xlfn.MINIFS(history!$H:$H,history!$C:$C,"tim",history!$D:$D,"fit",history!$A:$A,YEAR($A23)&amp;"-"&amp;TEXT(MONTH($A23),"00")&amp;"-"&amp;TEXT(DAY($A23),"00"),history!$S:$S,"="),0)),"")</f>
        <v/>
      </c>
      <c r="L23" s="3">
        <f>IFERROR(1/MAX(IFERROR(1/_xlfn.MINIFS(history!$H:$H,history!$C:$C,"vivo",history!$D:$D,"lite",history!$A:$A,YEAR($A23)&amp;"-"&amp;TEXT(MONTH($A23),"00")&amp;"-"&amp;TEXT(DAY($A23),"00"),history!$S:$S,"&gt;0"),0),IFERROR(1/_xlfn.MINIFS(history!$H:$H,history!$C:$C,"vivo",history!$D:$D,"flex",history!$A:$A,YEAR($A23)&amp;"-"&amp;TEXT(MONTH($A23),"00")&amp;"-"&amp;TEXT(DAY($A23),"00")),0),IFERROR(1/_xlfn.MINIFS(history!$H:$H,history!$C:$C,"vivo",history!$D:$D,"fit",history!$A:$A,YEAR($A23)&amp;"-"&amp;TEXT(MONTH($A23),"00")&amp;"-"&amp;TEXT(DAY($A23),"00"),history!$S:$S,"="),0)),"")</f>
        <v/>
      </c>
      <c r="M23" s="3">
        <f>IFERROR(1/MAX(IFERROR(1/_xlfn.MINIFS(history!$H:$H,history!$C:$C,"claro",history!$D:$D,"lite",history!$A:$A,YEAR($A23)&amp;"-"&amp;TEXT(MONTH($A23),"00")&amp;"-"&amp;TEXT(DAY($A23),"00"),history!$S:$S,"&gt;0"),0),IFERROR(1/_xlfn.MINIFS(history!$H:$H,history!$C:$C,"claro",history!$D:$D,"flex",history!$A:$A,YEAR($A23)&amp;"-"&amp;TEXT(MONTH($A23),"00")&amp;"-"&amp;TEXT(DAY($A23),"00")),0),IFERROR(1/_xlfn.MINIFS(history!$H:$H,history!$C:$C,"claro",history!$D:$D,"fit",history!$A:$A,YEAR($A23)&amp;"-"&amp;TEXT(MONTH($A23),"00")&amp;"-"&amp;TEXT(DAY($A23),"00"),history!$S:$S,"="),0)),"")</f>
        <v>44.9</v>
      </c>
    </row>
    <row r="24">
      <c r="A24" s="12" t="n">
        <v>46216</v>
      </c>
      <c r="B24" s="3">
        <f>IFERROR(IF(_xlfn.MINIFS(history!$H:$H,history!$C:$C,"tim",history!$D:$D,"control",history!$A:$A,YEAR($A24)&amp;"-"&amp;TEXT(MONTH($A24),"00")&amp;"-"&amp;TEXT(DAY($A24),"00"))=0,"",_xlfn.MINIFS(history!$H:$H,history!$C:$C,"tim",history!$D:$D,"control",history!$A:$A,YEAR($A24)&amp;"-"&amp;TEXT(MONTH($A24),"00")&amp;"-"&amp;TEXT(DAY($A24),"00"))),"")</f>
        <v>49.99</v>
      </c>
      <c r="C24" s="3">
        <f>IFERROR(IF(_xlfn.MINIFS(history!$H:$H,history!$C:$C,"vivo",history!$D:$D,"control",history!$A:$A,YEAR($A24)&amp;"-"&amp;TEXT(MONTH($A24),"00")&amp;"-"&amp;TEXT(DAY($A24),"00"))=0,"",_xlfn.MINIFS(history!$H:$H,history!$C:$C,"vivo",history!$D:$D,"control",history!$A:$A,YEAR($A24)&amp;"-"&amp;TEXT(MONTH($A24),"00")&amp;"-"&amp;TEXT(DAY($A24),"00"))),"")</f>
        <v>59</v>
      </c>
      <c r="D24" s="3">
        <f>IFERROR(IF(_xlfn.MINIFS(history!$H:$H,history!$C:$C,"claro",history!$D:$D,"control",history!$A:$A,YEAR($A24)&amp;"-"&amp;TEXT(MONTH($A24),"00")&amp;"-"&amp;TEXT(DAY($A24),"00"))=0,"",_xlfn.MINIFS(history!$H:$H,history!$C:$C,"claro",history!$D:$D,"control",history!$A:$A,YEAR($A24)&amp;"-"&amp;TEXT(MONTH($A24),"00")&amp;"-"&amp;TEXT(DAY($A24),"00"))),"")</f>
        <v>59.9</v>
      </c>
      <c r="E24" s="3">
        <f>IFERROR(IF(_xlfn.MINIFS(history!$H:$H,history!$C:$C,"tim",history!$D:$D,"postpaid",history!$A:$A,YEAR($A24)&amp;"-"&amp;TEXT(MONTH($A24),"00")&amp;"-"&amp;TEXT(DAY($A24),"00"))=0,"",_xlfn.MINIFS(history!$H:$H,history!$C:$C,"tim",history!$D:$D,"postpaid",history!$A:$A,YEAR($A24)&amp;"-"&amp;TEXT(MONTH($A24),"00")&amp;"-"&amp;TEXT(DAY($A24),"00"))),"")</f>
        <v>119.99</v>
      </c>
      <c r="F24" s="3">
        <f>IFERROR(IF(_xlfn.MINIFS(history!$H:$H,history!$C:$C,"vivo",history!$D:$D,"postpaid",history!$A:$A,YEAR($A24)&amp;"-"&amp;TEXT(MONTH($A24),"00")&amp;"-"&amp;TEXT(DAY($A24),"00"))=0,"",_xlfn.MINIFS(history!$H:$H,history!$C:$C,"vivo",history!$D:$D,"postpaid",history!$A:$A,YEAR($A24)&amp;"-"&amp;TEXT(MONTH($A24),"00")&amp;"-"&amp;TEXT(DAY($A24),"00"))),"")</f>
        <v>150</v>
      </c>
      <c r="G24" s="3">
        <f>IFERROR(IF(_xlfn.MINIFS(history!$H:$H,history!$C:$C,"claro",history!$D:$D,"postpaid",history!$A:$A,YEAR($A24)&amp;"-"&amp;TEXT(MONTH($A24),"00")&amp;"-"&amp;TEXT(DAY($A24),"00"))=0,"",_xlfn.MINIFS(history!$H:$H,history!$C:$C,"claro",history!$D:$D,"postpaid",history!$A:$A,YEAR($A24)&amp;"-"&amp;TEXT(MONTH($A24),"00")&amp;"-"&amp;TEXT(DAY($A24),"00"))),"")</f>
        <v>124.9</v>
      </c>
      <c r="H24" s="3">
        <f>IFERROR(IF(_xlfn.MINIFS(history!$H:$H,history!$C:$C,"tim",history!$D:$D,"prepaid",history!$A:$A,YEAR($A24)&amp;"-"&amp;TEXT(MONTH($A24),"00")&amp;"-"&amp;TEXT(DAY($A24),"00"),history!$N:$N,"&gt;=28")=0,"",_xlfn.MINIFS(history!$H:$H,history!$C:$C,"tim",history!$D:$D,"prepaid",history!$A:$A,YEAR($A24)&amp;"-"&amp;TEXT(MONTH($A24),"00")&amp;"-"&amp;TEXT(DAY($A24),"00"),history!$N:$N,"&gt;=28")),"")</f>
        <v>30</v>
      </c>
      <c r="I24" s="3">
        <f>IFERROR(IF(_xlfn.MINIFS(history!$H:$H,history!$C:$C,"vivo",history!$D:$D,"prepaid",history!$A:$A,YEAR($A24)&amp;"-"&amp;TEXT(MONTH($A24),"00")&amp;"-"&amp;TEXT(DAY($A24),"00"),history!$N:$N,"&gt;=28")=0,"",_xlfn.MINIFS(history!$H:$H,history!$C:$C,"vivo",history!$D:$D,"prepaid",history!$A:$A,YEAR($A24)&amp;"-"&amp;TEXT(MONTH($A24),"00")&amp;"-"&amp;TEXT(DAY($A24),"00"),history!$N:$N,"&gt;=28")),"")</f>
        <v>30</v>
      </c>
      <c r="J24" s="3">
        <f>IFERROR(IF(_xlfn.MINIFS(history!$H:$H,history!$C:$C,"claro",history!$D:$D,"prepaid",history!$A:$A,YEAR($A24)&amp;"-"&amp;TEXT(MONTH($A24),"00")&amp;"-"&amp;TEXT(DAY($A24),"00"),history!$N:$N,"&gt;=28")=0,"",_xlfn.MINIFS(history!$H:$H,history!$C:$C,"claro",history!$D:$D,"prepaid",history!$A:$A,YEAR($A24)&amp;"-"&amp;TEXT(MONTH($A24),"00")&amp;"-"&amp;TEXT(DAY($A24),"00"),history!$N:$N,"&gt;=28")),"")</f>
        <v>30</v>
      </c>
      <c r="K24" s="3">
        <f>IFERROR(1/MAX(IFERROR(1/_xlfn.MINIFS(history!$H:$H,history!$C:$C,"tim",history!$D:$D,"lite",history!$A:$A,YEAR($A24)&amp;"-"&amp;TEXT(MONTH($A24),"00")&amp;"-"&amp;TEXT(DAY($A24),"00"),history!$S:$S,"&gt;0"),0),IFERROR(1/_xlfn.MINIFS(history!$H:$H,history!$C:$C,"tim",history!$D:$D,"flex",history!$A:$A,YEAR($A24)&amp;"-"&amp;TEXT(MONTH($A24),"00")&amp;"-"&amp;TEXT(DAY($A24),"00")),0),IFERROR(1/_xlfn.MINIFS(history!$H:$H,history!$C:$C,"tim",history!$D:$D,"fit",history!$A:$A,YEAR($A24)&amp;"-"&amp;TEXT(MONTH($A24),"00")&amp;"-"&amp;TEXT(DAY($A24),"00"),history!$S:$S,"="),0)),"")</f>
        <v>35</v>
      </c>
      <c r="L24" s="3">
        <f>IFERROR(1/MAX(IFERROR(1/_xlfn.MINIFS(history!$H:$H,history!$C:$C,"vivo",history!$D:$D,"lite",history!$A:$A,YEAR($A24)&amp;"-"&amp;TEXT(MONTH($A24),"00")&amp;"-"&amp;TEXT(DAY($A24),"00"),history!$S:$S,"&gt;0"),0),IFERROR(1/_xlfn.MINIFS(history!$H:$H,history!$C:$C,"vivo",history!$D:$D,"flex",history!$A:$A,YEAR($A24)&amp;"-"&amp;TEXT(MONTH($A24),"00")&amp;"-"&amp;TEXT(DAY($A24),"00")),0),IFERROR(1/_xlfn.MINIFS(history!$H:$H,history!$C:$C,"vivo",history!$D:$D,"fit",history!$A:$A,YEAR($A24)&amp;"-"&amp;TEXT(MONTH($A24),"00")&amp;"-"&amp;TEXT(DAY($A24),"00"),history!$S:$S,"="),0)),"")</f>
        <v>45</v>
      </c>
      <c r="M24" s="3">
        <f>IFERROR(1/MAX(IFERROR(1/_xlfn.MINIFS(history!$H:$H,history!$C:$C,"claro",history!$D:$D,"lite",history!$A:$A,YEAR($A24)&amp;"-"&amp;TEXT(MONTH($A24),"00")&amp;"-"&amp;TEXT(DAY($A24),"00"),history!$S:$S,"&gt;0"),0),IFERROR(1/_xlfn.MINIFS(history!$H:$H,history!$C:$C,"claro",history!$D:$D,"flex",history!$A:$A,YEAR($A24)&amp;"-"&amp;TEXT(MONTH($A24),"00")&amp;"-"&amp;TEXT(DAY($A24),"00")),0),IFERROR(1/_xlfn.MINIFS(history!$H:$H,history!$C:$C,"claro",history!$D:$D,"fit",history!$A:$A,YEAR($A24)&amp;"-"&amp;TEXT(MONTH($A24),"00")&amp;"-"&amp;TEXT(DAY($A24),"00"),history!$S:$S,"="),0)),"")</f>
        <v>44.9</v>
      </c>
    </row>
    <row r="26">
      <c r="A26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 / TIM Fit — no-commitment versions only (lite: the Sem-fidelidade price of toggle cards, #26; fit: the Mensal version, #28). Heatmap = per-category-block green→yellow (each cell vs all carriers in its category; subtle while prices are near-flat, differentiates as they move). Grows one row per day; charts on the `Charts` sheet.</t>
        </is>
      </c>
    </row>
    <row r="27">
      <c r="A27" s="13" t="inlineStr">
        <is>
          <t>Post — TIM: the entry-level tracked is the cheapest postpaid plan, R$119,99 — note it is CREDIT-CARD-only ("no cartão"; TIM's Express line); the cheapest bill-payment ("na fatura") plan is R$129,99. Both are in `history` + the TIM sheet, with the billing type in `payment_method` — a price change on the tracked plan shows in `changes` and the daily alert.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24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24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24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24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IF('comparison'!B24="",NA(),'comparison'!B24)</f>
        <v/>
      </c>
      <c r="R38" s="10">
        <f>IF('comparison'!C24="",NA(),'comparison'!C24)</f>
        <v/>
      </c>
      <c r="S38" s="10">
        <f>IF('comparison'!D24="",NA(),'comparison'!D24)</f>
        <v/>
      </c>
    </row>
    <row r="39">
      <c r="P39" s="2" t="inlineStr">
        <is>
          <t>Post</t>
        </is>
      </c>
      <c r="Q39" s="10">
        <f>IF('comparison'!E24="",NA(),'comparison'!E24)</f>
        <v/>
      </c>
      <c r="R39" s="10">
        <f>IF('comparison'!F24="",NA(),'comparison'!F24)</f>
        <v/>
      </c>
      <c r="S39" s="10">
        <f>IF('comparison'!G24="",NA(),'comparison'!G24)</f>
        <v/>
      </c>
    </row>
    <row r="40">
      <c r="P40" s="2" t="inlineStr">
        <is>
          <t>Pre</t>
        </is>
      </c>
      <c r="Q40" s="10">
        <f>IF('comparison'!H24="",NA(),'comparison'!H24)</f>
        <v/>
      </c>
      <c r="R40" s="10">
        <f>IF('comparison'!I24="",NA(),'comparison'!I24)</f>
        <v/>
      </c>
      <c r="S40" s="10">
        <f>IF('comparison'!J24="",NA(),'comparison'!J24)</f>
        <v/>
      </c>
    </row>
    <row r="41">
      <c r="P41" s="2" t="inlineStr">
        <is>
          <t>Digital</t>
        </is>
      </c>
      <c r="Q41" s="10">
        <f>IF('comparison'!K24="",NA(),'comparison'!K24)</f>
        <v/>
      </c>
      <c r="R41" s="10">
        <f>IF('comparison'!L24="",NA(),'comparison'!L24)</f>
        <v/>
      </c>
      <c r="S41" s="10">
        <f>IF('comparison'!M24="",NA(),'comparison'!M24)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0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C Ultra 95GB (95GB)</t>
        </is>
      </c>
    </row>
    <row r="10">
      <c r="A10" s="5" t="n">
        <v>6</v>
      </c>
      <c r="B10" s="6" t="n">
        <v>180</v>
      </c>
      <c r="C10" s="15" t="n"/>
      <c r="D10" s="6" t="n">
        <v>159.99</v>
      </c>
      <c r="E10" s="5" t="inlineStr">
        <is>
          <t>Vivo Pós com Premiere (60GB)</t>
        </is>
      </c>
      <c r="F10" s="15" t="n"/>
      <c r="G10" s="5" t="inlineStr">
        <is>
          <t>TIM Black Premium 110GB (110GB)</t>
        </is>
      </c>
    </row>
    <row r="11">
      <c r="A11" s="2" t="n">
        <v>7</v>
      </c>
      <c r="B11" s="3" t="n">
        <v>215</v>
      </c>
      <c r="D11" s="3" t="n">
        <v>164.99</v>
      </c>
      <c r="E11" s="2" t="inlineStr">
        <is>
          <t>Vivo Pós com Travel (70GB)</t>
        </is>
      </c>
      <c r="G11" s="2" t="inlineStr">
        <is>
          <t>TIM Black C Express 107GB (107GB)</t>
        </is>
      </c>
    </row>
    <row r="13">
      <c r="A13" s="14" t="inlineStr">
        <is>
          <t>Control / Hybrid</t>
        </is>
      </c>
    </row>
    <row r="14">
      <c r="A14" s="1" t="inlineStr">
        <is>
          <t>Rank</t>
        </is>
      </c>
      <c r="B14" s="1" t="inlineStr">
        <is>
          <t>Vivo R$</t>
        </is>
      </c>
      <c r="C14" s="1" t="inlineStr">
        <is>
          <t>Claro R$</t>
        </is>
      </c>
      <c r="D14" s="1" t="inlineStr">
        <is>
          <t>TIM R$</t>
        </is>
      </c>
      <c r="E14" s="1" t="inlineStr">
        <is>
          <t>Vivo plan</t>
        </is>
      </c>
      <c r="F14" s="1" t="inlineStr">
        <is>
          <t>Claro plan</t>
        </is>
      </c>
      <c r="G14" s="1" t="inlineStr">
        <is>
          <t>TIM plan</t>
        </is>
      </c>
    </row>
    <row r="15">
      <c r="A15" s="2" t="n">
        <v>1</v>
      </c>
      <c r="B15" s="3" t="n">
        <v>59</v>
      </c>
      <c r="C15" s="3" t="n">
        <v>59.9</v>
      </c>
      <c r="D15" s="3" t="n">
        <v>49.99</v>
      </c>
      <c r="E15" s="2" t="inlineStr">
        <is>
          <t>Vivo Controle (46GB)</t>
        </is>
      </c>
      <c r="F15" s="2" t="inlineStr">
        <is>
          <t>Controle 25GB (25GB) · promo R$54.9</t>
        </is>
      </c>
      <c r="G15" s="2" t="inlineStr">
        <is>
          <t>TIM Controle 41GB (41GB)</t>
        </is>
      </c>
    </row>
    <row r="16">
      <c r="A16" s="5" t="n">
        <v>2</v>
      </c>
      <c r="B16" s="6" t="n">
        <v>80</v>
      </c>
      <c r="C16" s="6" t="n">
        <v>69.90000000000001</v>
      </c>
      <c r="D16" s="6" t="n">
        <v>59.99</v>
      </c>
      <c r="E16" s="5" t="inlineStr">
        <is>
          <t>Vivo Controle (61GB)</t>
        </is>
      </c>
      <c r="F16" s="5" t="inlineStr">
        <is>
          <t>Controle 30GB (30GB)</t>
        </is>
      </c>
      <c r="G16" s="5" t="inlineStr">
        <is>
          <t>TIM Controle Plus 45GB (45GB)</t>
        </is>
      </c>
    </row>
    <row r="17">
      <c r="A17" s="2" t="n">
        <v>3</v>
      </c>
      <c r="B17" s="3" t="n">
        <v>90</v>
      </c>
      <c r="C17" s="3" t="n">
        <v>99.90000000000001</v>
      </c>
      <c r="D17" s="3" t="n">
        <v>60.99</v>
      </c>
      <c r="E17" s="2" t="inlineStr">
        <is>
          <t>Vivo Controle Educação (61GB)</t>
        </is>
      </c>
      <c r="F17" s="2" t="inlineStr">
        <is>
          <t>Controle 30GB (30GB)</t>
        </is>
      </c>
      <c r="G17" s="2" t="inlineStr">
        <is>
          <t>TIM Controle Light Express 31GB (31GB)</t>
        </is>
      </c>
    </row>
    <row r="18">
      <c r="A18" s="5" t="n">
        <v>4</v>
      </c>
      <c r="B18" s="6" t="n">
        <v>90</v>
      </c>
      <c r="C18" s="15" t="n"/>
      <c r="D18" s="6" t="n">
        <v>64.98999999999999</v>
      </c>
      <c r="E18" s="5" t="inlineStr">
        <is>
          <t>Vivo Controle Música (61GB)</t>
        </is>
      </c>
      <c r="F18" s="15" t="n"/>
      <c r="G18" s="5" t="inlineStr">
        <is>
          <t>TIM Controle Pro Express</t>
        </is>
      </c>
    </row>
    <row r="19">
      <c r="A19" s="2" t="n">
        <v>5</v>
      </c>
      <c r="B19" s="3" t="n">
        <v>90</v>
      </c>
      <c r="D19" s="3" t="n">
        <v>69.98999999999999</v>
      </c>
      <c r="E19" s="2" t="inlineStr">
        <is>
          <t>Vivo Controle Saúde (61GB)</t>
        </is>
      </c>
      <c r="G19" s="2" t="inlineStr">
        <is>
          <t>TIM Controle Premium 53GB (53GB)</t>
        </is>
      </c>
    </row>
    <row r="20">
      <c r="A20" s="5" t="n">
        <v>6</v>
      </c>
      <c r="B20" s="6" t="n">
        <v>95</v>
      </c>
      <c r="C20" s="15" t="n"/>
      <c r="D20" s="15" t="n"/>
      <c r="E20" s="5" t="inlineStr">
        <is>
          <t>Vivo Controle Netflix (61GB)</t>
        </is>
      </c>
      <c r="F20" s="15" t="n"/>
      <c r="G20" s="15" t="n"/>
    </row>
    <row r="21">
      <c r="A21" s="2" t="n">
        <v>7</v>
      </c>
      <c r="B21" s="3" t="n">
        <v>110</v>
      </c>
      <c r="E21" s="2" t="inlineStr">
        <is>
          <t>Vivo Controle Entretenimento (61GB)</t>
        </is>
      </c>
    </row>
    <row r="23">
      <c r="A23" s="14" t="inlineStr">
        <is>
          <t>Prepaid</t>
        </is>
      </c>
    </row>
    <row r="24">
      <c r="A24" s="13" t="inlineStr">
        <is>
          <t>Note: prepaid is not a clean unit — Claro Prezão is a daily fee (R$1/dia) vs Vivo/TIM recharge amounts.</t>
        </is>
      </c>
    </row>
    <row r="25">
      <c r="A25" s="1" t="inlineStr">
        <is>
          <t>Rank</t>
        </is>
      </c>
      <c r="B25" s="1" t="inlineStr">
        <is>
          <t>Vivo R$</t>
        </is>
      </c>
      <c r="C25" s="1" t="inlineStr">
        <is>
          <t>Claro R$</t>
        </is>
      </c>
      <c r="D25" s="1" t="inlineStr">
        <is>
          <t>TIM R$</t>
        </is>
      </c>
      <c r="E25" s="1" t="inlineStr">
        <is>
          <t>Vivo plan</t>
        </is>
      </c>
      <c r="F25" s="1" t="inlineStr">
        <is>
          <t>Claro plan</t>
        </is>
      </c>
      <c r="G25" s="1" t="inlineStr">
        <is>
          <t>TIM plan</t>
        </is>
      </c>
    </row>
    <row r="26">
      <c r="A26" s="2" t="n">
        <v>1</v>
      </c>
      <c r="B26" s="3" t="n">
        <v>17</v>
      </c>
      <c r="C26" s="3" t="n">
        <v>15</v>
      </c>
      <c r="D26" s="3" t="n">
        <v>20</v>
      </c>
      <c r="E26" s="2" t="inlineStr">
        <is>
          <t>Vivo Pré (4GB)</t>
        </is>
      </c>
      <c r="F26" s="2" t="inlineStr">
        <is>
          <t>Prezão 4GB (12 dias) (4GB)</t>
        </is>
      </c>
      <c r="G26" s="2" t="inlineStr">
        <is>
          <t>TIM Pré XIP Plus 6GB (6GB)</t>
        </is>
      </c>
    </row>
    <row r="27">
      <c r="A27" s="5" t="n">
        <v>2</v>
      </c>
      <c r="B27" s="6" t="n">
        <v>20</v>
      </c>
      <c r="C27" s="6" t="n">
        <v>15</v>
      </c>
      <c r="D27" s="6" t="n">
        <v>25</v>
      </c>
      <c r="E27" s="5" t="inlineStr">
        <is>
          <t>Vivo Pré (5GB)</t>
        </is>
      </c>
      <c r="F27" s="5" t="inlineStr">
        <is>
          <t>Prezão 5GB (15 dias) (5GB)</t>
        </is>
      </c>
      <c r="G27" s="5" t="inlineStr">
        <is>
          <t>TIM Pré XIP Plus 8GB (8GB)</t>
        </is>
      </c>
    </row>
    <row r="28">
      <c r="A28" s="2" t="n">
        <v>3</v>
      </c>
      <c r="B28" s="3" t="n">
        <v>25</v>
      </c>
      <c r="C28" s="3" t="n">
        <v>20</v>
      </c>
      <c r="D28" s="3" t="n">
        <v>30</v>
      </c>
      <c r="E28" s="2" t="inlineStr">
        <is>
          <t>Vivo Pré (9GB)</t>
        </is>
      </c>
      <c r="F28" s="2" t="inlineStr">
        <is>
          <t>Prezão 6GB (20 dias) (6GB)</t>
        </is>
      </c>
      <c r="G28" s="2" t="inlineStr">
        <is>
          <t>TIM Pré XIP Plus 16GB (16GB)</t>
        </is>
      </c>
    </row>
    <row r="29">
      <c r="A29" s="5" t="n">
        <v>4</v>
      </c>
      <c r="B29" s="6" t="n">
        <v>30</v>
      </c>
      <c r="C29" s="6" t="n">
        <v>20</v>
      </c>
      <c r="D29" s="15" t="n"/>
      <c r="E29" s="5" t="inlineStr">
        <is>
          <t>Vivo Pré (25GB)</t>
        </is>
      </c>
      <c r="F29" s="5" t="inlineStr">
        <is>
          <t>Prezão 8GB (20 dias) (8GB)</t>
        </is>
      </c>
      <c r="G29" s="15" t="n"/>
    </row>
    <row r="30">
      <c r="A30" s="2" t="n">
        <v>5</v>
      </c>
      <c r="C30" s="3" t="n">
        <v>25</v>
      </c>
      <c r="F30" s="2" t="inlineStr">
        <is>
          <t>Prezão 10GB (25 dias) (10GB)</t>
        </is>
      </c>
    </row>
    <row r="31">
      <c r="A31" s="5" t="n">
        <v>6</v>
      </c>
      <c r="B31" s="15" t="n"/>
      <c r="C31" s="6" t="n">
        <v>25</v>
      </c>
      <c r="D31" s="15" t="n"/>
      <c r="E31" s="15" t="n"/>
      <c r="F31" s="5" t="inlineStr">
        <is>
          <t>Prezão 9GB (25 dias) (9GB)</t>
        </is>
      </c>
      <c r="G31" s="15" t="n"/>
    </row>
    <row r="32">
      <c r="A32" s="2" t="n">
        <v>7</v>
      </c>
      <c r="C32" s="3" t="n">
        <v>30</v>
      </c>
      <c r="F32" s="2" t="inlineStr">
        <is>
          <t>Prezão 12GB (30 dias) (12GB)</t>
        </is>
      </c>
    </row>
    <row r="34">
      <c r="A34" s="14" t="inlineStr">
        <is>
          <t>Digital</t>
        </is>
      </c>
    </row>
    <row r="35">
      <c r="A35" s="13" t="inlineStr">
        <is>
          <t>Digital = Vivo Lite + Claro Flex + TIM Fit (#28); entry-level = no-commitment versions.</t>
        </is>
      </c>
    </row>
    <row r="36">
      <c r="A36" s="1" t="inlineStr">
        <is>
          <t>Rank</t>
        </is>
      </c>
      <c r="B36" s="1" t="inlineStr">
        <is>
          <t>Vivo R$</t>
        </is>
      </c>
      <c r="C36" s="1" t="inlineStr">
        <is>
          <t>Claro R$</t>
        </is>
      </c>
      <c r="D36" s="1" t="inlineStr">
        <is>
          <t>TIM R$</t>
        </is>
      </c>
      <c r="E36" s="1" t="inlineStr">
        <is>
          <t>Vivo plan</t>
        </is>
      </c>
      <c r="F36" s="1" t="inlineStr">
        <is>
          <t>Claro plan</t>
        </is>
      </c>
      <c r="G36" s="1" t="inlineStr">
        <is>
          <t>TIM plan</t>
        </is>
      </c>
    </row>
    <row r="37">
      <c r="A37" s="2" t="n">
        <v>1</v>
      </c>
      <c r="B37" s="3" t="n">
        <v>35</v>
      </c>
      <c r="C37" s="3" t="n">
        <v>44.9</v>
      </c>
      <c r="D37" s="3" t="n">
        <v>35</v>
      </c>
      <c r="E37" s="2" t="inlineStr">
        <is>
          <t>Easy Lite (20GB)</t>
        </is>
      </c>
      <c r="F37" s="2" t="inlineStr">
        <is>
          <t>Flex 15GB (15GB)</t>
        </is>
      </c>
      <c r="G37" s="2" t="inlineStr">
        <is>
          <t>TIM Controle Fit Mensal (20GB)</t>
        </is>
      </c>
    </row>
    <row r="38">
      <c r="A38" s="5" t="n">
        <v>2</v>
      </c>
      <c r="B38" s="6" t="n">
        <v>45</v>
      </c>
      <c r="C38" s="6" t="n">
        <v>59.9</v>
      </c>
      <c r="D38" s="15" t="n"/>
      <c r="E38" s="5" t="inlineStr">
        <is>
          <t>Easy Lite (30GB) · promo R$30</t>
        </is>
      </c>
      <c r="F38" s="5" t="inlineStr">
        <is>
          <t>Flex 20GB (20GB)</t>
        </is>
      </c>
      <c r="G38" s="15" t="n"/>
    </row>
    <row r="39">
      <c r="A39" s="2" t="n">
        <v>3</v>
      </c>
      <c r="B39" s="3" t="n">
        <v>55</v>
      </c>
      <c r="C39" s="3" t="n">
        <v>69.90000000000001</v>
      </c>
      <c r="E39" s="2" t="inlineStr">
        <is>
          <t>Easy Lite (40GB) · promo R$40</t>
        </is>
      </c>
      <c r="F39" s="2" t="inlineStr">
        <is>
          <t>Flex 30GB (30GB)</t>
        </is>
      </c>
    </row>
    <row r="40">
      <c r="A40" s="5" t="n">
        <v>4</v>
      </c>
      <c r="B40" s="15" t="n"/>
      <c r="C40" s="6" t="n">
        <v>119.9</v>
      </c>
      <c r="D40" s="15" t="n"/>
      <c r="E40" s="15" t="n"/>
      <c r="F40" s="5" t="inlineStr">
        <is>
          <t>Flex 40GB (40GB)</t>
        </is>
      </c>
      <c r="G40" s="15" t="n"/>
    </row>
  </sheetData>
  <conditionalFormatting sqref="B5:D11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21">
    <cfRule type="expression" priority="3" dxfId="1" stopIfTrue="1">
      <formula>AND(B15&lt;&gt;"",B15=MIN($B15:$D15))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6:D32">
    <cfRule type="expression" priority="5" dxfId="1" stopIfTrue="1">
      <formula>AND(B26&lt;&gt;"",B26=MIN($B26:$D26))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7:D40">
    <cfRule type="expression" priority="7" dxfId="1" stopIfTrue="1">
      <formula>AND(B37&lt;&gt;"",B37=MIN($B37:$D37))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2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2 meses de YouTube sem consumo no plano</t>
        </is>
      </c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Vivo Controle</t>
        </is>
      </c>
      <c r="B11" s="3" t="n">
        <v>59</v>
      </c>
      <c r="C11" s="3" t="n"/>
      <c r="D11" s="2" t="inlineStr">
        <is>
          <t>46 GB (15 GB de franquia 31 GB de bônus)</t>
        </is>
      </c>
      <c r="E11" s="2" t="n"/>
      <c r="F11" s="2" t="n"/>
      <c r="G11" s="2" t="n"/>
      <c r="H11" s="2" t="inlineStr">
        <is>
          <t>2 meses de YouTube sem consumo no plano</t>
        </is>
      </c>
    </row>
    <row r="12">
      <c r="A12" s="5" t="inlineStr">
        <is>
          <t>Vivo Controle</t>
        </is>
      </c>
      <c r="B12" s="6" t="n">
        <v>80</v>
      </c>
      <c r="C12" s="6" t="n"/>
      <c r="D12" s="5" t="inlineStr">
        <is>
          <t>61 GB (20 GB de franquia 31 GB de bônus)</t>
        </is>
      </c>
      <c r="E12" s="5" t="n"/>
      <c r="F12" s="5" t="n"/>
      <c r="G12" s="5" t="n"/>
      <c r="H12" s="5" t="inlineStr">
        <is>
          <t>2 meses de YouTube sem consumo no plano</t>
        </is>
      </c>
    </row>
    <row r="13">
      <c r="A13" s="2" t="inlineStr">
        <is>
          <t>Vivo Controle Educação</t>
        </is>
      </c>
      <c r="B13" s="3" t="n">
        <v>90</v>
      </c>
      <c r="C13" s="3" t="n"/>
      <c r="D13" s="2" t="inlineStr">
        <is>
          <t>61 GB (20 GB de franquia 31 GB de bônus)</t>
        </is>
      </c>
      <c r="E13" s="2" t="n"/>
      <c r="F13" s="2" t="n"/>
      <c r="G13" s="2" t="n"/>
      <c r="H13" s="2" t="inlineStr">
        <is>
          <t>Assinatura Vivae inclusa</t>
        </is>
      </c>
    </row>
    <row r="14">
      <c r="A14" s="5" t="inlineStr">
        <is>
          <t>Vivo Controle Música</t>
        </is>
      </c>
      <c r="B14" s="6" t="n">
        <v>90</v>
      </c>
      <c r="C14" s="6" t="n"/>
      <c r="D14" s="5" t="inlineStr">
        <is>
          <t>61 GB (20 GB de franquia 31 GB de bônus)</t>
        </is>
      </c>
      <c r="E14" s="5" t="n"/>
      <c r="F14" s="5" t="n"/>
      <c r="G14" s="5" t="n"/>
      <c r="H14" s="5" t="inlineStr">
        <is>
          <t>Apple Music Individual</t>
        </is>
      </c>
    </row>
    <row r="15">
      <c r="A15" s="2" t="inlineStr">
        <is>
          <t>Vivo Controle Saúde</t>
        </is>
      </c>
      <c r="B15" s="3" t="n">
        <v>90</v>
      </c>
      <c r="C15" s="3" t="n"/>
      <c r="D15" s="2" t="inlineStr">
        <is>
          <t>61 GB (20 GB de franquia 31 GB de bônus)</t>
        </is>
      </c>
      <c r="E15" s="2" t="n"/>
      <c r="F15" s="2" t="n"/>
      <c r="G15" s="2" t="n"/>
      <c r="H15" s="2" t="inlineStr">
        <is>
          <t>Assinatura Vale Saúde Sempre inclusa</t>
        </is>
      </c>
    </row>
    <row r="16">
      <c r="A16" s="5" t="inlineStr">
        <is>
          <t>Vivo Controle Netflix</t>
        </is>
      </c>
      <c r="B16" s="6" t="n">
        <v>95</v>
      </c>
      <c r="C16" s="6" t="n"/>
      <c r="D16" s="5" t="inlineStr">
        <is>
          <t>61 GB (20 GB de franquia 31 GB de bônus)</t>
        </is>
      </c>
      <c r="E16" s="5" t="n"/>
      <c r="F16" s="5" t="n"/>
      <c r="G16" s="5" t="n"/>
      <c r="H16" s="5" t="inlineStr">
        <is>
          <t>Assinatura Netflix Padrão com anúncios</t>
        </is>
      </c>
    </row>
    <row r="17">
      <c r="A17" s="2" t="inlineStr">
        <is>
          <t>Vivo Controle Entretenimento</t>
        </is>
      </c>
      <c r="B17" s="3" t="n">
        <v>110</v>
      </c>
      <c r="C17" s="3" t="n"/>
      <c r="D17" s="2" t="inlineStr">
        <is>
          <t>61 GB (20 GB de franquia 31 GB de bônus)</t>
        </is>
      </c>
      <c r="E17" s="2" t="n"/>
      <c r="F17" s="2" t="n"/>
      <c r="G17" s="2" t="n"/>
      <c r="H17" s="2" t="inlineStr">
        <is>
          <t>Assinatura Vivo TV Inicial inclusa</t>
        </is>
      </c>
    </row>
    <row r="18">
      <c r="A18" s="16" t="inlineStr">
        <is>
          <t>Digital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2" t="inlineStr">
        <is>
          <t>Easy Lite</t>
        </is>
      </c>
      <c r="B19" s="3" t="n">
        <v>35</v>
      </c>
      <c r="C19" s="3" t="n"/>
      <c r="D19" s="2" t="inlineStr">
        <is>
          <t>20 GB (20 GB de franquia)</t>
        </is>
      </c>
      <c r="E19" s="2" t="n"/>
      <c r="F19" s="2" t="n"/>
      <c r="G19" s="2" t="n"/>
      <c r="H19" s="2" t="inlineStr">
        <is>
          <t>2 meses de YouTube sem consumo no plano</t>
        </is>
      </c>
    </row>
    <row r="20">
      <c r="A20" s="5" t="inlineStr">
        <is>
          <t>Easy Lite</t>
        </is>
      </c>
      <c r="B20" s="6" t="n">
        <v>45</v>
      </c>
      <c r="C20" s="18" t="n">
        <v>30</v>
      </c>
      <c r="D20" s="5" t="inlineStr">
        <is>
          <t>30 GB (30 GB de franquia)</t>
        </is>
      </c>
      <c r="E20" s="5" t="n"/>
      <c r="F20" s="5" t="n"/>
      <c r="G20" s="5" t="n"/>
      <c r="H20" s="5" t="inlineStr">
        <is>
          <t>2 meses de YouTube sem consumo no plano · preço sem fidelidade; fidelidade 12m no promo</t>
        </is>
      </c>
    </row>
    <row r="21">
      <c r="A21" s="2" t="inlineStr">
        <is>
          <t>Easy Lite</t>
        </is>
      </c>
      <c r="B21" s="3" t="n">
        <v>55</v>
      </c>
      <c r="C21" s="18" t="n">
        <v>40</v>
      </c>
      <c r="D21" s="2" t="inlineStr">
        <is>
          <t>40 GB (40 GB de franquia)</t>
        </is>
      </c>
      <c r="E21" s="2" t="n"/>
      <c r="F21" s="2" t="n"/>
      <c r="G21" s="2" t="n"/>
      <c r="H21" s="2" t="inlineStr">
        <is>
          <t>2 meses de YouTube sem consumo no plano · preço sem fidelidade; fidelidade 12m no promo</t>
        </is>
      </c>
    </row>
    <row r="22">
      <c r="A22" s="16" t="inlineStr">
        <is>
          <t>Prepaid</t>
        </is>
      </c>
      <c r="B22" s="17" t="n"/>
      <c r="C22" s="17" t="n"/>
      <c r="D22" s="17" t="n"/>
      <c r="E22" s="17" t="n"/>
      <c r="F22" s="17" t="n"/>
      <c r="G22" s="17" t="n"/>
      <c r="H22" s="17" t="n"/>
    </row>
    <row r="23">
      <c r="A23" s="2" t="inlineStr">
        <is>
          <t>Vivo Pré</t>
        </is>
      </c>
      <c r="B23" s="3" t="n">
        <v>17</v>
      </c>
      <c r="C23" s="3" t="n"/>
      <c r="D23" s="2" t="inlineStr">
        <is>
          <t>4 GB (4 GB para navegar como quiser) · 15d</t>
        </is>
      </c>
      <c r="E23" s="2" t="n"/>
      <c r="F23" s="2" t="n"/>
      <c r="G23" s="2" t="n"/>
      <c r="H23" s="2" t="n"/>
    </row>
    <row r="24">
      <c r="A24" s="5" t="inlineStr">
        <is>
          <t>Vivo Pré</t>
        </is>
      </c>
      <c r="B24" s="6" t="n">
        <v>20</v>
      </c>
      <c r="C24" s="6" t="n"/>
      <c r="D24" s="5" t="inlineStr">
        <is>
          <t>5 GB (5 GB para navegar como quiser) · 17d</t>
        </is>
      </c>
      <c r="E24" s="5" t="n"/>
      <c r="F24" s="5" t="n"/>
      <c r="G24" s="5" t="n"/>
      <c r="H24" s="5" t="n"/>
    </row>
    <row r="25">
      <c r="A25" s="2" t="inlineStr">
        <is>
          <t>Vivo Pré</t>
        </is>
      </c>
      <c r="B25" s="3" t="n">
        <v>25</v>
      </c>
      <c r="C25" s="3" t="n"/>
      <c r="D25" s="2" t="inlineStr">
        <is>
          <t>9 GB (6 GB para navegar como quiser 3 GB para navegar no YouTube) · 22d</t>
        </is>
      </c>
      <c r="E25" s="2" t="n"/>
      <c r="F25" s="2" t="n"/>
      <c r="G25" s="2" t="n"/>
      <c r="H25" s="2" t="n"/>
    </row>
    <row r="26">
      <c r="A26" s="5" t="inlineStr">
        <is>
          <t>Vivo Pré</t>
        </is>
      </c>
      <c r="B26" s="6" t="n">
        <v>30</v>
      </c>
      <c r="C26" s="6" t="n"/>
      <c r="D26" s="5" t="inlineStr">
        <is>
          <t>25 GB (15 GB para navegar como quiser 5 GB de bônus 5 GB para navegar no Youtube) · 30d</t>
        </is>
      </c>
      <c r="E26" s="5" t="n"/>
      <c r="F26" s="5" t="n"/>
      <c r="G26" s="5" t="n"/>
      <c r="H26" s="5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:B2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B26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ou iCloud+; WhatsApp ilimitado;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ou iCloud+; WhatsApp ilimitado;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especial para uso livre; Bônus para redes sociais e apps;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Bônus especial 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Bônus especial 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Bônus especial 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Para redes sociais e apps; Bônus uso livre; Bônus extra nos apps; WhatsApp ilimitado; Assinatura Claro musica inclusa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2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C Ultra 95GB</t>
        </is>
      </c>
      <c r="B7" s="3" t="n">
        <v>159.99</v>
      </c>
      <c r="C7" s="3" t="n"/>
      <c r="D7" s="2" t="inlineStr">
        <is>
          <t>95 GB</t>
        </is>
      </c>
      <c r="E7" s="2" t="n"/>
      <c r="F7" s="2" t="n"/>
      <c r="G7" s="2" t="n"/>
      <c r="H7" s="2" t="n"/>
    </row>
    <row r="8">
      <c r="A8" s="5" t="inlineStr">
        <is>
          <t>TIM Black Premium 110GB</t>
        </is>
      </c>
      <c r="B8" s="6" t="n">
        <v>159.99</v>
      </c>
      <c r="C8" s="6" t="n"/>
      <c r="D8" s="5" t="inlineStr">
        <is>
          <t>110 GB</t>
        </is>
      </c>
      <c r="E8" s="5" t="n"/>
      <c r="F8" s="5" t="n"/>
      <c r="G8" s="5" t="n"/>
      <c r="H8" s="5" t="n"/>
    </row>
    <row r="9">
      <c r="A9" s="2" t="inlineStr">
        <is>
          <t>TIM Black C Express 107GB</t>
        </is>
      </c>
      <c r="B9" s="3" t="n">
        <v>164.99</v>
      </c>
      <c r="C9" s="3" t="n"/>
      <c r="D9" s="2" t="inlineStr">
        <is>
          <t>107 GB</t>
        </is>
      </c>
      <c r="E9" s="2" t="n"/>
      <c r="F9" s="2" t="n"/>
      <c r="G9" s="2" t="n"/>
      <c r="H9" s="2" t="n"/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TIM Controle 41GB</t>
        </is>
      </c>
      <c r="B11" s="3" t="n">
        <v>49.99</v>
      </c>
      <c r="C11" s="3" t="n"/>
      <c r="D11" s="2" t="inlineStr">
        <is>
          <t>41 GB</t>
        </is>
      </c>
      <c r="E11" s="2" t="n"/>
      <c r="F11" s="2" t="n"/>
      <c r="G11" s="2" t="n"/>
      <c r="H11" s="2" t="n"/>
    </row>
    <row r="12">
      <c r="A12" s="5" t="inlineStr">
        <is>
          <t>TIM Controle Plus 45GB</t>
        </is>
      </c>
      <c r="B12" s="6" t="n">
        <v>59.99</v>
      </c>
      <c r="C12" s="6" t="n"/>
      <c r="D12" s="5" t="inlineStr">
        <is>
          <t>45 GB</t>
        </is>
      </c>
      <c r="E12" s="5" t="n"/>
      <c r="F12" s="5" t="n"/>
      <c r="G12" s="5" t="n"/>
      <c r="H12" s="5" t="n"/>
    </row>
    <row r="13">
      <c r="A13" s="2" t="inlineStr">
        <is>
          <t>TIM Controle Light Express 31GB</t>
        </is>
      </c>
      <c r="B13" s="3" t="n">
        <v>60.99</v>
      </c>
      <c r="C13" s="3" t="n"/>
      <c r="D13" s="2" t="inlineStr">
        <is>
          <t>31 GB</t>
        </is>
      </c>
      <c r="E13" s="2" t="n"/>
      <c r="F13" s="2" t="n"/>
      <c r="G13" s="2" t="n"/>
      <c r="H13" s="2" t="n"/>
    </row>
    <row r="14">
      <c r="A14" s="5" t="inlineStr">
        <is>
          <t>TIM Controle Pro Express</t>
        </is>
      </c>
      <c r="B14" s="6" t="n">
        <v>64.98999999999999</v>
      </c>
      <c r="C14" s="6" t="n"/>
      <c r="D14" s="5" t="n"/>
      <c r="E14" s="5" t="n"/>
      <c r="F14" s="5" t="n"/>
      <c r="G14" s="5" t="n"/>
      <c r="H14" s="5" t="n"/>
    </row>
    <row r="15">
      <c r="A15" s="2" t="inlineStr">
        <is>
          <t>TIM Controle Premium 53GB</t>
        </is>
      </c>
      <c r="B15" s="3" t="n">
        <v>69.98999999999999</v>
      </c>
      <c r="C15" s="3" t="n"/>
      <c r="D15" s="2" t="inlineStr">
        <is>
          <t>53 GB</t>
        </is>
      </c>
      <c r="E15" s="2" t="n"/>
      <c r="F15" s="2" t="n"/>
      <c r="G15" s="2" t="n"/>
      <c r="H15" s="2" t="n"/>
    </row>
    <row r="16">
      <c r="A16" s="16" t="inlineStr">
        <is>
          <t>Digital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" t="inlineStr">
        <is>
          <t>TIM Controle Fit Anual</t>
        </is>
      </c>
      <c r="B17" s="3" t="n">
        <v>30</v>
      </c>
      <c r="C17" s="3" t="n"/>
      <c r="D17" s="2" t="inlineStr">
        <is>
          <t>30 GB</t>
        </is>
      </c>
      <c r="E17" s="2" t="n"/>
      <c r="F17" s="2" t="n"/>
      <c r="G17" s="2" t="n"/>
      <c r="H17" s="2" t="inlineStr">
        <is>
          <t>plano anual 12x no cartão de crédito; prazo de permanência 12m</t>
        </is>
      </c>
    </row>
    <row r="18">
      <c r="A18" s="5" t="inlineStr">
        <is>
          <t>TIM Controle Fit Mensal</t>
        </is>
      </c>
      <c r="B18" s="6" t="n">
        <v>35</v>
      </c>
      <c r="C18" s="6" t="n"/>
      <c r="D18" s="5" t="inlineStr">
        <is>
          <t>20 GB</t>
        </is>
      </c>
      <c r="E18" s="5" t="n"/>
      <c r="F18" s="5" t="n"/>
      <c r="G18" s="5" t="n"/>
      <c r="H18" s="5" t="inlineStr">
        <is>
          <t>plano mensal, sem prazo de permanência</t>
        </is>
      </c>
    </row>
    <row r="19">
      <c r="A19" s="16" t="inlineStr">
        <is>
          <t>Prepaid</t>
        </is>
      </c>
      <c r="B19" s="17" t="n"/>
      <c r="C19" s="17" t="n"/>
      <c r="D19" s="17" t="n"/>
      <c r="E19" s="17" t="n"/>
      <c r="F19" s="17" t="n"/>
      <c r="G19" s="17" t="n"/>
      <c r="H19" s="17" t="n"/>
    </row>
    <row r="20">
      <c r="A20" s="2" t="inlineStr">
        <is>
          <t>TIM Pré XIP Plus 6GB</t>
        </is>
      </c>
      <c r="B20" s="3" t="n">
        <v>20</v>
      </c>
      <c r="C20" s="3" t="n"/>
      <c r="D20" s="2" t="inlineStr">
        <is>
          <t>6 GB · 17d</t>
        </is>
      </c>
      <c r="E20" s="2" t="n"/>
      <c r="F20" s="2" t="n"/>
      <c r="G20" s="2" t="n"/>
      <c r="H20" s="2" t="n"/>
    </row>
    <row r="21">
      <c r="A21" s="5" t="inlineStr">
        <is>
          <t>TIM Pré XIP Plus 8GB</t>
        </is>
      </c>
      <c r="B21" s="6" t="n">
        <v>25</v>
      </c>
      <c r="C21" s="6" t="n"/>
      <c r="D21" s="5" t="inlineStr">
        <is>
          <t>8 GB · 22d</t>
        </is>
      </c>
      <c r="E21" s="5" t="n"/>
      <c r="F21" s="5" t="n"/>
      <c r="G21" s="5" t="n"/>
      <c r="H21" s="5" t="n"/>
    </row>
    <row r="22">
      <c r="A22" s="2" t="inlineStr">
        <is>
          <t>TIM Pré XIP Plus 16GB</t>
        </is>
      </c>
      <c r="B22" s="3" t="n">
        <v>30</v>
      </c>
      <c r="C22" s="3" t="n"/>
      <c r="D22" s="2" t="inlineStr">
        <is>
          <t>16 GB · 30d</t>
        </is>
      </c>
      <c r="E22" s="2" t="n"/>
      <c r="F22" s="2" t="n"/>
      <c r="G22" s="2" t="n"/>
      <c r="H22" s="2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B1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B2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2026-07-13T14:58:05Z</dcterms:created>
  <dcterms:modified xsi:type="dcterms:W3CDTF">2026-07-13T14:58:07Z</dcterms:modified>
</cp:coreProperties>
</file>