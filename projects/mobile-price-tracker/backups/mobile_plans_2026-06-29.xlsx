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</sheets>
  <definedNames>
    <definedName name="_xlnm._FilterDatabase" localSheetId="0" hidden="1">'history'!$A$1:$U$419</definedName>
    <definedName name="_xlnm._FilterDatabase" localSheetId="1" hidden="1">'latest'!$A$1:$U$56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'comparison'!$B$3:$B$10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'comparison'!$C$3:$C$10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'comparison'!$D$3:$D$10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'comparison'!$E$3:$E$10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'comparison'!$F$3:$F$10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'comparison'!$G$3:$G$10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'comparison'!$H$3:$H$10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'comparison'!$I$3:$I$10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'comparison'!$J$3:$J$10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'comparison'!$K$3:$K$10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'comparison'!$L$3:$L$10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'comparison'!$A$3:$A$10</f>
            </numRef>
          </cat>
          <val>
            <numRef>
              <f>'comparison'!$M$3:$M$10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U41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0" customWidth="1" min="11" max="11"/>
    <col width="11" customWidth="1" min="12" max="12"/>
    <col width="15" customWidth="1" min="13" max="13"/>
    <col width="16" customWidth="1" min="14" max="14"/>
    <col width="10" customWidth="1" min="15" max="15"/>
    <col width="10" customWidth="1" min="16" max="16"/>
    <col width="11" customWidth="1" min="17" max="17"/>
    <col width="16" customWidth="1" min="18" max="18"/>
    <col width="16" customWidth="1" min="19" max="19"/>
    <col width="12" customWidth="1" min="20" max="20"/>
    <col width="10" customWidth="1" min="21" max="21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data_gb</t>
        </is>
      </c>
      <c r="L1" s="1" t="inlineStr">
        <is>
          <t>data_note</t>
        </is>
      </c>
      <c r="M1" s="1" t="inlineStr">
        <is>
          <t>validity_days</t>
        </is>
      </c>
      <c r="N1" s="1" t="inlineStr">
        <is>
          <t>unlimited_apps</t>
        </is>
      </c>
      <c r="O1" s="1" t="inlineStr">
        <is>
          <t>voice</t>
        </is>
      </c>
      <c r="P1" s="1" t="inlineStr">
        <is>
          <t>sms</t>
        </is>
      </c>
      <c r="Q1" s="1" t="inlineStr">
        <is>
          <t>streaming</t>
        </is>
      </c>
      <c r="R1" s="1" t="inlineStr">
        <is>
          <t>loyalty_months</t>
        </is>
      </c>
      <c r="S1" s="1" t="inlineStr">
        <is>
          <t>extra_benefits</t>
        </is>
      </c>
      <c r="T1" s="1" t="inlineStr">
        <is>
          <t>source_url</t>
        </is>
      </c>
      <c r="U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4" t="n">
        <v>25</v>
      </c>
      <c r="L2" s="2" t="inlineStr"/>
      <c r="M2" s="2" t="inlineStr"/>
      <c r="N2" s="2" t="inlineStr">
        <is>
          <t>WhatsApp</t>
        </is>
      </c>
      <c r="O2" s="2" t="inlineStr"/>
      <c r="P2" s="2" t="inlineStr"/>
      <c r="Q2" s="2" t="inlineStr"/>
      <c r="R2" s="2" t="inlineStr"/>
      <c r="S2" s="2" t="inlineStr">
        <is>
          <t>Para uso livre; Para redes sociais e vídeos; Bônus exclusivo; Aproveite na sua franquia; WhatsApp e ligações ilimitadas</t>
        </is>
      </c>
      <c r="T2" s="2" t="inlineStr">
        <is>
          <t>https://www.claro.com.br/celular/controle</t>
        </is>
      </c>
      <c r="U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7" t="n">
        <v>30</v>
      </c>
      <c r="L3" s="5" t="inlineStr"/>
      <c r="M3" s="5" t="inlineStr"/>
      <c r="N3" s="5" t="inlineStr">
        <is>
          <t>WhatsApp</t>
        </is>
      </c>
      <c r="O3" s="5" t="inlineStr"/>
      <c r="P3" s="5" t="inlineStr"/>
      <c r="Q3" s="5" t="inlineStr"/>
      <c r="R3" s="5" t="inlineStr"/>
      <c r="S3" s="5" t="inlineStr">
        <is>
          <t>Para uso livre; Bônus do Hexa para uso livre; Bônus para redes sociais e apps; Redes sociais e apps; WhatsApp ilimitado</t>
        </is>
      </c>
      <c r="T3" s="5" t="inlineStr">
        <is>
          <t>https://www.claro.com.br/celular/controle</t>
        </is>
      </c>
      <c r="U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4" t="n">
        <v>30</v>
      </c>
      <c r="L4" s="2" t="inlineStr"/>
      <c r="M4" s="2" t="inlineStr"/>
      <c r="N4" s="2" t="inlineStr">
        <is>
          <t>WhatsApp</t>
        </is>
      </c>
      <c r="O4" s="2" t="inlineStr"/>
      <c r="P4" s="2" t="inlineStr"/>
      <c r="Q4" s="2" t="inlineStr"/>
      <c r="R4" s="2" t="inlineStr"/>
      <c r="S4" s="2" t="inlineStr">
        <is>
          <t>Para uso livre; Bônus para redes sociais e apps; Bônus uso livre; Redes sociais e apps; WhatsApp ilimitado</t>
        </is>
      </c>
      <c r="T4" s="2" t="inlineStr">
        <is>
          <t>https://www.claro.com.br/celular/controle</t>
        </is>
      </c>
      <c r="U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7" t="n">
        <v>15</v>
      </c>
      <c r="L5" s="5" t="inlineStr"/>
      <c r="M5" s="5" t="inlineStr"/>
      <c r="N5" s="5" t="inlineStr">
        <is>
          <t>WhatsApp</t>
        </is>
      </c>
      <c r="O5" s="5" t="inlineStr"/>
      <c r="P5" s="5" t="inlineStr"/>
      <c r="Q5" s="5" t="inlineStr"/>
      <c r="R5" s="5" t="inlineStr"/>
      <c r="S5" s="5" t="inlineStr">
        <is>
          <t>Para uso livre; Bônus do Hexa para uso livre; Para redes sociais e apps; Bônus extra nos apps; WhatsApp ilimitado</t>
        </is>
      </c>
      <c r="T5" s="5" t="inlineStr">
        <is>
          <t>https://www.claro.com.br/celular/flex</t>
        </is>
      </c>
      <c r="U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4" t="n">
        <v>20</v>
      </c>
      <c r="L6" s="2" t="inlineStr"/>
      <c r="M6" s="2" t="inlineStr"/>
      <c r="N6" s="2" t="inlineStr">
        <is>
          <t>WhatsApp</t>
        </is>
      </c>
      <c r="O6" s="2" t="inlineStr"/>
      <c r="P6" s="2" t="inlineStr"/>
      <c r="Q6" s="2" t="inlineStr"/>
      <c r="R6" s="2" t="inlineStr"/>
      <c r="S6" s="2" t="inlineStr">
        <is>
          <t>Para uso livre; Bônus do Hexa para uso livre; Para redes sociais e apps; Bônus extra nos apps; WhatsApp ilimitado</t>
        </is>
      </c>
      <c r="T6" s="2" t="inlineStr">
        <is>
          <t>https://www.claro.com.br/celular/flex</t>
        </is>
      </c>
      <c r="U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7" t="n">
        <v>30</v>
      </c>
      <c r="L7" s="5" t="inlineStr"/>
      <c r="M7" s="5" t="inlineStr"/>
      <c r="N7" s="5" t="inlineStr">
        <is>
          <t>WhatsApp</t>
        </is>
      </c>
      <c r="O7" s="5" t="inlineStr"/>
      <c r="P7" s="5" t="inlineStr"/>
      <c r="Q7" s="5" t="inlineStr"/>
      <c r="R7" s="5" t="inlineStr"/>
      <c r="S7" s="5" t="inlineStr">
        <is>
          <t>Para uso livre; Bônus do Hexa para uso livre; Para redes sociais e apps; Bônus extra nos apps; WhatsApp ilimitado; Assinatura Claro musica inclusa</t>
        </is>
      </c>
      <c r="T7" s="5" t="inlineStr">
        <is>
          <t>https://www.claro.com.br/celular/flex</t>
        </is>
      </c>
      <c r="U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4" t="n">
        <v>40</v>
      </c>
      <c r="L8" s="2" t="inlineStr"/>
      <c r="M8" s="2" t="inlineStr"/>
      <c r="N8" s="2" t="inlineStr">
        <is>
          <t>WhatsApp</t>
        </is>
      </c>
      <c r="O8" s="2" t="inlineStr"/>
      <c r="P8" s="2" t="inlineStr"/>
      <c r="Q8" s="2" t="inlineStr"/>
      <c r="R8" s="2" t="inlineStr"/>
      <c r="S8" s="2" t="inlineStr">
        <is>
          <t>Para uso livre; Para redes sociais e apps; Bônus uso livre; Bônus extra nos apps; WhatsApp ilimitado; Assinatura Claro musica inclusa</t>
        </is>
      </c>
      <c r="T8" s="2" t="inlineStr">
        <is>
          <t>https://www.claro.com.br/celular/flex</t>
        </is>
      </c>
      <c r="U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7" t="n">
        <v>100</v>
      </c>
      <c r="L9" s="5" t="inlineStr"/>
      <c r="M9" s="5" t="inlineStr"/>
      <c r="N9" s="5" t="inlineStr">
        <is>
          <t>WhatsApp</t>
        </is>
      </c>
      <c r="O9" s="5" t="inlineStr"/>
      <c r="P9" s="5" t="inlineStr"/>
      <c r="Q9" s="5" t="inlineStr"/>
      <c r="R9" s="5" t="inlineStr"/>
      <c r="S9" s="5" t="inlineStr">
        <is>
          <t>Armazenamento na nuvem:; Google One ou iCloud+; WhatsApp ilimitado; Roaming: Passaporte Américas; Claro Sync: Smartwatch conectado</t>
        </is>
      </c>
      <c r="T9" s="5" t="inlineStr">
        <is>
          <t>https://www.claro.com.br/celular/pos</t>
        </is>
      </c>
      <c r="U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4" t="n">
        <v>150</v>
      </c>
      <c r="L10" s="2" t="inlineStr"/>
      <c r="M10" s="2" t="inlineStr"/>
      <c r="N10" s="2" t="inlineStr">
        <is>
          <t>WhatsApp</t>
        </is>
      </c>
      <c r="O10" s="2" t="inlineStr"/>
      <c r="P10" s="2" t="inlineStr"/>
      <c r="Q10" s="2" t="inlineStr"/>
      <c r="R10" s="2" t="inlineStr"/>
      <c r="S10" s="2" t="inlineStr">
        <is>
          <t>Armazenamento na nuvem:; Google One ou iCloud+; WhatsApp ilimitado; Roaming: Passaporte Américas e Europa; Claro Sync: Smartwatch conectado</t>
        </is>
      </c>
      <c r="T10" s="2" t="inlineStr">
        <is>
          <t>https://www.claro.com.br/celular/pos</t>
        </is>
      </c>
      <c r="U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7" t="n">
        <v>200</v>
      </c>
      <c r="L11" s="5" t="inlineStr"/>
      <c r="M11" s="5" t="inlineStr"/>
      <c r="N11" s="5" t="inlineStr">
        <is>
          <t>WhatsApp</t>
        </is>
      </c>
      <c r="O11" s="5" t="inlineStr"/>
      <c r="P11" s="5" t="inlineStr"/>
      <c r="Q11" s="5" t="inlineStr"/>
      <c r="R11" s="5" t="inlineStr"/>
      <c r="S11" s="5" t="inlineStr">
        <is>
          <t>Armazenamento na nuvem:; Google One ou iCloud+; WhatsApp ilimitado; Roaming: Passaporte Mundo; Claro Sync: Smartwatch conectado</t>
        </is>
      </c>
      <c r="T11" s="5" t="inlineStr">
        <is>
          <t>https://www.claro.com.br/celular/pos</t>
        </is>
      </c>
      <c r="U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4" t="n">
        <v>50</v>
      </c>
      <c r="L12" s="2" t="inlineStr"/>
      <c r="M12" s="2" t="inlineStr"/>
      <c r="N12" s="2" t="inlineStr">
        <is>
          <t>WhatsApp</t>
        </is>
      </c>
      <c r="O12" s="2" t="inlineStr"/>
      <c r="P12" s="2" t="inlineStr"/>
      <c r="Q12" s="2" t="inlineStr"/>
      <c r="R12" s="2" t="inlineStr"/>
      <c r="S12" s="2" t="inlineStr">
        <is>
          <t>Armazenamento na nuvem:; Google One ou iCloud+; WhatsApp ilimitado; Roaming: Passaporte Américas; Claro Sync: Smartwatch conectado; Inclusa assinatura GeForce NOW</t>
        </is>
      </c>
      <c r="T12" s="2" t="inlineStr">
        <is>
          <t>https://www.claro.com.br/celular/pos</t>
        </is>
      </c>
      <c r="U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7" t="n">
        <v>60</v>
      </c>
      <c r="L13" s="5" t="inlineStr"/>
      <c r="M13" s="5" t="inlineStr"/>
      <c r="N13" s="5" t="inlineStr">
        <is>
          <t>WhatsApp</t>
        </is>
      </c>
      <c r="O13" s="5" t="inlineStr"/>
      <c r="P13" s="5" t="inlineStr"/>
      <c r="Q13" s="5" t="inlineStr"/>
      <c r="R13" s="5" t="inlineStr"/>
      <c r="S13" s="5" t="inlineStr">
        <is>
          <t>Armazenamento na nuvem:; Google One ou iCloud+; WhatsApp ilimitado; Roaming: Passaporte Américas; Claro Sync: Smartwatch conectado</t>
        </is>
      </c>
      <c r="T13" s="5" t="inlineStr">
        <is>
          <t>https://www.claro.com.br/celular/pos</t>
        </is>
      </c>
      <c r="U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4" t="n">
        <v>12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https://www.claro.com.br/celular/planos-pre/prezao</t>
        </is>
      </c>
      <c r="U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7" t="n">
        <v>41</v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>
        <is>
          <t>https://www.tim.com.br/sp/para-voce/planos/controle</t>
        </is>
      </c>
      <c r="U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4" t="n">
        <v>31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https://www.tim.com.br/sp/para-voce/planos/controle</t>
        </is>
      </c>
      <c r="U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7" t="n">
        <v>45</v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>
        <is>
          <t>https://www.tim.com.br/sp/para-voce/planos/controle</t>
        </is>
      </c>
      <c r="U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4" t="n">
        <v>53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https://www.tim.com.br/sp/para-voce/planos/controle</t>
        </is>
      </c>
      <c r="U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7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>
        <is>
          <t>https://www.tim.com.br/sp/para-voce/planos/controle</t>
        </is>
      </c>
      <c r="U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4" t="n">
        <v>70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https://www.tim.com.br/sp/para-voce/planos/pos-pago/tim-black</t>
        </is>
      </c>
      <c r="U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7" t="n">
        <v>67</v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>
        <is>
          <t>https://www.tim.com.br/sp/para-voce/planos/pos-pago/tim-black</t>
        </is>
      </c>
      <c r="U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4" t="n">
        <v>82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https://www.tim.com.br/sp/para-voce/planos/pos-pago/tim-black</t>
        </is>
      </c>
      <c r="U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7" t="n">
        <v>107</v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>
        <is>
          <t>https://www.tim.com.br/sp/para-voce/planos/pos-pago/tim-black</t>
        </is>
      </c>
      <c r="U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4" t="n">
        <v>95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https://www.tim.com.br/sp/para-voce/planos/pos-pago/tim-black</t>
        </is>
      </c>
      <c r="U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7" t="n">
        <v>80</v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>
        <is>
          <t>https://www.tim.com.br/sp/para-voce/planos/pos-pago/tim-black</t>
        </is>
      </c>
      <c r="U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4" t="n">
        <v>110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https://www.tim.com.br/sp/para-voce/planos/pos-pago/tim-black</t>
        </is>
      </c>
      <c r="U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7" t="n">
        <v>16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>
        <is>
          <t>https://www.tim.com.br/sp/para-voce/planos/pre-pago</t>
        </is>
      </c>
      <c r="U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4" t="n">
        <v>6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https://www.tim.com.br/sp/para-voce/planos/pre-pago</t>
        </is>
      </c>
      <c r="U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7" t="n">
        <v>8</v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>
        <is>
          <t>https://www.tim.com.br/sp/para-voce/planos/pre-pago</t>
        </is>
      </c>
      <c r="U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4" t="n">
        <v>46</v>
      </c>
      <c r="L30" s="2" t="inlineStr">
        <is>
          <t>15 GB de franquia 31 GB de bônus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6 meses grátis de Gemini com AI Plus</t>
        </is>
      </c>
      <c r="T30" s="2" t="inlineStr">
        <is>
          <t>https://vivo.com.br/para-voce/produtos-e-servicos/para-o-celular/planos-controle</t>
        </is>
      </c>
      <c r="U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7" t="n">
        <v>61</v>
      </c>
      <c r="L31" s="5" t="inlineStr">
        <is>
          <t>20 GB de franquia 31 GB de bônus</t>
        </is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6 meses grátis de Gemini com AI Plus</t>
        </is>
      </c>
      <c r="T31" s="5" t="inlineStr">
        <is>
          <t>https://vivo.com.br/para-voce/produtos-e-servicos/para-o-celular/planos-controle</t>
        </is>
      </c>
      <c r="U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4" t="n">
        <v>61</v>
      </c>
      <c r="L32" s="2" t="inlineStr">
        <is>
          <t>20 GB de franquia 31 GB de bônus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Assinatura Vivae inclusa</t>
        </is>
      </c>
      <c r="T32" s="2" t="inlineStr">
        <is>
          <t>https://vivo.com.br/para-voce/produtos-e-servicos/para-o-celular/planos-controle</t>
        </is>
      </c>
      <c r="U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7" t="n">
        <v>61</v>
      </c>
      <c r="L33" s="5" t="inlineStr">
        <is>
          <t>20 GB de franquia 31 GB de bônus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Assinatura Vivo TV Inicial inclusa</t>
        </is>
      </c>
      <c r="T33" s="5" t="inlineStr">
        <is>
          <t>https://vivo.com.br/para-voce/produtos-e-servicos/para-o-celular/planos-controle</t>
        </is>
      </c>
      <c r="U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4" t="n">
        <v>61</v>
      </c>
      <c r="L34" s="2" t="inlineStr">
        <is>
          <t>20 GB de franquia 31 GB de bônus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Apple Music Individual</t>
        </is>
      </c>
      <c r="T34" s="2" t="inlineStr">
        <is>
          <t>https://vivo.com.br/para-voce/produtos-e-servicos/para-o-celular/planos-controle</t>
        </is>
      </c>
      <c r="U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7" t="n">
        <v>61</v>
      </c>
      <c r="L35" s="5" t="inlineStr">
        <is>
          <t>20 GB de franquia 31 GB de bônus</t>
        </is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Assinatura Netflix Padrão com anúncios</t>
        </is>
      </c>
      <c r="T35" s="5" t="inlineStr">
        <is>
          <t>https://vivo.com.br/para-voce/produtos-e-servicos/para-o-celular/planos-controle</t>
        </is>
      </c>
      <c r="U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4" t="n">
        <v>61</v>
      </c>
      <c r="L36" s="2" t="inlineStr">
        <is>
          <t>20 GB de franquia 31 GB de bônus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Assinatura Vale Saúde Sempre inclusa</t>
        </is>
      </c>
      <c r="T36" s="2" t="inlineStr">
        <is>
          <t>https://vivo.com.br/para-voce/produtos-e-servicos/para-o-celular/planos-controle</t>
        </is>
      </c>
      <c r="U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7" t="n">
        <v>30</v>
      </c>
      <c r="L37" s="5" t="inlineStr">
        <is>
          <t>30 GB de franquia 2 Meses de YouTube ilimitado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>
        <is>
          <t>https://vivo.com.br/para-voce/produtos-e-servicos/para-o-celular/easy-lite</t>
        </is>
      </c>
      <c r="U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4" t="n">
        <v>40</v>
      </c>
      <c r="L38" s="2" t="inlineStr">
        <is>
          <t>40 GB de franquia 2 Meses de YouTube ilimitado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https://vivo.com.br/para-voce/produtos-e-servicos/para-o-celular/easy-lite</t>
        </is>
      </c>
      <c r="U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7" t="n">
        <v>20</v>
      </c>
      <c r="L39" s="5" t="inlineStr">
        <is>
          <t>20 GB de franquia 2 Meses de YouTube ilimitado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https://vivo.com.br/para-voce/produtos-e-servicos/para-o-celular/easy-lite</t>
        </is>
      </c>
      <c r="U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4" t="n">
        <v>30</v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https://vivo.com.br/para-voce/produtos-e-servicos/para-o-celular/easy-lite</t>
        </is>
      </c>
      <c r="U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7" t="n">
        <v>40</v>
      </c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https://vivo.com.br/para-voce/produtos-e-servicos/para-o-celular/easy-lite</t>
        </is>
      </c>
      <c r="U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4" t="n">
        <v>60</v>
      </c>
      <c r="L42" s="2" t="inlineStr">
        <is>
          <t>50 GB de franquia 10 GB de bônus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Assinatura Amazon Prime inclusa</t>
        </is>
      </c>
      <c r="T42" s="2" t="inlineStr">
        <is>
          <t>https://vivo.com.br/para-voce/produtos-e-servicos/para-o-celular/planos-pos-pago</t>
        </is>
      </c>
      <c r="U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7" t="n">
        <v>60</v>
      </c>
      <c r="L43" s="5" t="inlineStr">
        <is>
          <t>50 GB de franquia 10 GB de bônus</t>
        </is>
      </c>
      <c r="M43" s="5" t="inlineStr"/>
      <c r="N43" s="5" t="inlineStr"/>
      <c r="O43" s="5" t="inlineStr"/>
      <c r="P43" s="5" t="inlineStr"/>
      <c r="Q43" s="5" t="inlineStr">
        <is>
          <t>Disney+</t>
        </is>
      </c>
      <c r="R43" s="5" t="inlineStr"/>
      <c r="S43" s="5" t="inlineStr">
        <is>
          <t>Assinatura Disney+ Padrão inclusa</t>
        </is>
      </c>
      <c r="T43" s="5" t="inlineStr">
        <is>
          <t>https://vivo.com.br/para-voce/produtos-e-servicos/para-o-celular/planos-pos-pago</t>
        </is>
      </c>
      <c r="U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4" t="n">
        <v>60</v>
      </c>
      <c r="L44" s="2" t="inlineStr">
        <is>
          <t>50 GB de franquia 10 GB de bônus</t>
        </is>
      </c>
      <c r="M44" s="2" t="inlineStr"/>
      <c r="N44" s="2" t="inlineStr"/>
      <c r="O44" s="2" t="inlineStr"/>
      <c r="P44" s="2" t="inlineStr"/>
      <c r="Q44" s="2" t="inlineStr">
        <is>
          <t>Globoplay</t>
        </is>
      </c>
      <c r="R44" s="2" t="inlineStr"/>
      <c r="S44" s="2" t="inlineStr">
        <is>
          <t>Assinatura Globoplay inclusa</t>
        </is>
      </c>
      <c r="T44" s="2" t="inlineStr">
        <is>
          <t>https://vivo.com.br/para-voce/produtos-e-servicos/para-o-celular/planos-pos-pago</t>
        </is>
      </c>
      <c r="U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7" t="n">
        <v>60</v>
      </c>
      <c r="L45" s="5" t="inlineStr">
        <is>
          <t>50 GB de franquia 10 GB de bônus</t>
        </is>
      </c>
      <c r="M45" s="5" t="inlineStr"/>
      <c r="N45" s="5" t="inlineStr"/>
      <c r="O45" s="5" t="inlineStr"/>
      <c r="P45" s="5" t="inlineStr"/>
      <c r="Q45" s="5" t="inlineStr">
        <is>
          <t>Netflix</t>
        </is>
      </c>
      <c r="R45" s="5" t="inlineStr"/>
      <c r="S45" s="5" t="inlineStr">
        <is>
          <t>Assinatura Netflix Padrão inclusa</t>
        </is>
      </c>
      <c r="T45" s="5" t="inlineStr">
        <is>
          <t>https://vivo.com.br/para-voce/produtos-e-servicos/para-o-celular/planos-pos-pago</t>
        </is>
      </c>
      <c r="U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4" t="n">
        <v>60</v>
      </c>
      <c r="L46" s="2" t="inlineStr">
        <is>
          <t>50 GB de franquia 10 GB de bônus</t>
        </is>
      </c>
      <c r="M46" s="2" t="inlineStr"/>
      <c r="N46" s="2" t="inlineStr"/>
      <c r="O46" s="2" t="inlineStr"/>
      <c r="P46" s="2" t="inlineStr"/>
      <c r="Q46" s="2" t="inlineStr">
        <is>
          <t>Premiere</t>
        </is>
      </c>
      <c r="R46" s="2" t="inlineStr"/>
      <c r="S46" s="2" t="inlineStr">
        <is>
          <t>Assinatura Premiere inclusa</t>
        </is>
      </c>
      <c r="T46" s="2" t="inlineStr">
        <is>
          <t>https://vivo.com.br/para-voce/produtos-e-servicos/para-o-celular/planos-pos-pago</t>
        </is>
      </c>
      <c r="U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7" t="n">
        <v>60</v>
      </c>
      <c r="L47" s="5" t="inlineStr">
        <is>
          <t>50 GB de franquia 10 GB de bônus</t>
        </is>
      </c>
      <c r="M47" s="5" t="inlineStr"/>
      <c r="N47" s="5" t="inlineStr"/>
      <c r="O47" s="5" t="inlineStr"/>
      <c r="P47" s="5" t="inlineStr"/>
      <c r="Q47" s="5" t="inlineStr">
        <is>
          <t>Spotify</t>
        </is>
      </c>
      <c r="R47" s="5" t="inlineStr"/>
      <c r="S47" s="5" t="inlineStr">
        <is>
          <t>Assinatura Spotify Premium inclusa</t>
        </is>
      </c>
      <c r="T47" s="5" t="inlineStr">
        <is>
          <t>https://vivo.com.br/para-voce/produtos-e-servicos/para-o-celular/planos-pos-pago</t>
        </is>
      </c>
      <c r="U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4" t="n">
        <v>70</v>
      </c>
      <c r="L48" s="2" t="inlineStr">
        <is>
          <t>60 GB de franquia 10 GB de bônus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6 meses grátis de Gemini com AI Plus</t>
        </is>
      </c>
      <c r="T48" s="2" t="inlineStr">
        <is>
          <t>https://vivo.com.br/para-voce/produtos-e-servicos/para-o-celular/planos-pos-pago</t>
        </is>
      </c>
      <c r="U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7" t="n">
        <v>25</v>
      </c>
      <c r="L49" s="5" t="inlineStr">
        <is>
          <t>15 GB para navegar como quiser 5 GB de bônus 5 GB para navegar no Youtube</t>
        </is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>
        <is>
          <t>https://vivo.com.br/para-voce/produtos-e-servicos/para-o-celular/pre-pago/vivo-pre</t>
        </is>
      </c>
      <c r="U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4" t="n">
        <v>9</v>
      </c>
      <c r="L50" s="2" t="inlineStr">
        <is>
          <t>6 GB para navegar como quiser 3 GB para navegar no YouTube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https://vivo.com.br/para-voce/produtos-e-servicos/para-o-celular/pre-pago/vivo-pre</t>
        </is>
      </c>
      <c r="U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7" t="n">
        <v>5</v>
      </c>
      <c r="L51" s="5" t="inlineStr">
        <is>
          <t>5 GB para navegar como quiser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https://vivo.com.br/para-voce/produtos-e-servicos/para-o-celular/pre-pago/vivo-pre</t>
        </is>
      </c>
      <c r="U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4" t="n">
        <v>4</v>
      </c>
      <c r="L52" s="2" t="inlineStr">
        <is>
          <t>4 GB para navegar como quiser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https://vivo.com.br/para-voce/produtos-e-servicos/para-o-celular/pre-pago/vivo-pre</t>
        </is>
      </c>
      <c r="U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7" t="n">
        <v>25</v>
      </c>
      <c r="L53" s="5" t="inlineStr"/>
      <c r="M53" s="5" t="inlineStr"/>
      <c r="N53" s="5" t="inlineStr">
        <is>
          <t>WhatsApp</t>
        </is>
      </c>
      <c r="O53" s="5" t="inlineStr"/>
      <c r="P53" s="5" t="inlineStr"/>
      <c r="Q53" s="5" t="inlineStr"/>
      <c r="R53" s="5" t="inlineStr"/>
      <c r="S53" s="5" t="inlineStr">
        <is>
          <t>Para uso livre; Para redes sociais e vídeos; Bônus exclusivo; Aproveite na sua franquia; WhatsApp e ligações ilimitadas</t>
        </is>
      </c>
      <c r="T53" s="5" t="inlineStr">
        <is>
          <t>https://www.claro.com.br/celular/controle</t>
        </is>
      </c>
      <c r="U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4" t="n">
        <v>30</v>
      </c>
      <c r="L54" s="2" t="inlineStr"/>
      <c r="M54" s="2" t="inlineStr"/>
      <c r="N54" s="2" t="inlineStr">
        <is>
          <t>WhatsApp</t>
        </is>
      </c>
      <c r="O54" s="2" t="inlineStr"/>
      <c r="P54" s="2" t="inlineStr"/>
      <c r="Q54" s="2" t="inlineStr"/>
      <c r="R54" s="2" t="inlineStr"/>
      <c r="S54" s="2" t="inlineStr">
        <is>
          <t>Para uso livre; Bônus do Hexa para uso livre; Bônus para redes sociais e apps; Redes sociais e apps; WhatsApp ilimitado</t>
        </is>
      </c>
      <c r="T54" s="2" t="inlineStr">
        <is>
          <t>https://www.claro.com.br/celular/controle</t>
        </is>
      </c>
      <c r="U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7" t="n">
        <v>30</v>
      </c>
      <c r="L55" s="5" t="inlineStr"/>
      <c r="M55" s="5" t="inlineStr"/>
      <c r="N55" s="5" t="inlineStr">
        <is>
          <t>WhatsApp</t>
        </is>
      </c>
      <c r="O55" s="5" t="inlineStr"/>
      <c r="P55" s="5" t="inlineStr"/>
      <c r="Q55" s="5" t="inlineStr"/>
      <c r="R55" s="5" t="inlineStr"/>
      <c r="S55" s="5" t="inlineStr">
        <is>
          <t>Para uso livre; Bônus para redes sociais e apps; Bônus uso livre; Redes sociais e apps; WhatsApp ilimitado</t>
        </is>
      </c>
      <c r="T55" s="5" t="inlineStr">
        <is>
          <t>https://www.claro.com.br/celular/controle</t>
        </is>
      </c>
      <c r="U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4" t="n">
        <v>15</v>
      </c>
      <c r="L56" s="2" t="inlineStr"/>
      <c r="M56" s="2" t="inlineStr"/>
      <c r="N56" s="2" t="inlineStr">
        <is>
          <t>WhatsApp</t>
        </is>
      </c>
      <c r="O56" s="2" t="inlineStr"/>
      <c r="P56" s="2" t="inlineStr"/>
      <c r="Q56" s="2" t="inlineStr"/>
      <c r="R56" s="2" t="inlineStr"/>
      <c r="S56" s="2" t="inlineStr">
        <is>
          <t>Para uso livre; Bônus do Hexa para uso livre; Para redes sociais e apps; Bônus extra nos apps; WhatsApp ilimitado</t>
        </is>
      </c>
      <c r="T56" s="2" t="inlineStr">
        <is>
          <t>https://www.claro.com.br/celular/flex</t>
        </is>
      </c>
      <c r="U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7" t="n">
        <v>20</v>
      </c>
      <c r="L57" s="5" t="inlineStr"/>
      <c r="M57" s="5" t="inlineStr"/>
      <c r="N57" s="5" t="inlineStr">
        <is>
          <t>WhatsApp</t>
        </is>
      </c>
      <c r="O57" s="5" t="inlineStr"/>
      <c r="P57" s="5" t="inlineStr"/>
      <c r="Q57" s="5" t="inlineStr"/>
      <c r="R57" s="5" t="inlineStr"/>
      <c r="S57" s="5" t="inlineStr">
        <is>
          <t>Para uso livre; Bônus do Hexa para uso livre; Para redes sociais e apps; Bônus extra nos apps; WhatsApp ilimitado</t>
        </is>
      </c>
      <c r="T57" s="5" t="inlineStr">
        <is>
          <t>https://www.claro.com.br/celular/flex</t>
        </is>
      </c>
      <c r="U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4" t="n">
        <v>30</v>
      </c>
      <c r="L58" s="2" t="inlineStr"/>
      <c r="M58" s="2" t="inlineStr"/>
      <c r="N58" s="2" t="inlineStr">
        <is>
          <t>WhatsApp</t>
        </is>
      </c>
      <c r="O58" s="2" t="inlineStr"/>
      <c r="P58" s="2" t="inlineStr"/>
      <c r="Q58" s="2" t="inlineStr"/>
      <c r="R58" s="2" t="inlineStr"/>
      <c r="S58" s="2" t="inlineStr">
        <is>
          <t>Para uso livre; Bônus do Hexa para uso livre; Para redes sociais e apps; Bônus extra nos apps; WhatsApp ilimitado; Assinatura Claro musica inclusa</t>
        </is>
      </c>
      <c r="T58" s="2" t="inlineStr">
        <is>
          <t>https://www.claro.com.br/celular/flex</t>
        </is>
      </c>
      <c r="U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7" t="n">
        <v>40</v>
      </c>
      <c r="L59" s="5" t="inlineStr"/>
      <c r="M59" s="5" t="inlineStr"/>
      <c r="N59" s="5" t="inlineStr">
        <is>
          <t>WhatsApp</t>
        </is>
      </c>
      <c r="O59" s="5" t="inlineStr"/>
      <c r="P59" s="5" t="inlineStr"/>
      <c r="Q59" s="5" t="inlineStr"/>
      <c r="R59" s="5" t="inlineStr"/>
      <c r="S59" s="5" t="inlineStr">
        <is>
          <t>Para uso livre; Para redes sociais e apps; Bônus uso livre; Bônus extra nos apps; WhatsApp ilimitado; Assinatura Claro musica inclusa</t>
        </is>
      </c>
      <c r="T59" s="5" t="inlineStr">
        <is>
          <t>https://www.claro.com.br/celular/flex</t>
        </is>
      </c>
      <c r="U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4" t="n">
        <v>100</v>
      </c>
      <c r="L60" s="2" t="inlineStr"/>
      <c r="M60" s="2" t="inlineStr"/>
      <c r="N60" s="2" t="inlineStr">
        <is>
          <t>WhatsApp</t>
        </is>
      </c>
      <c r="O60" s="2" t="inlineStr"/>
      <c r="P60" s="2" t="inlineStr"/>
      <c r="Q60" s="2" t="inlineStr"/>
      <c r="R60" s="2" t="inlineStr"/>
      <c r="S60" s="2" t="inlineStr">
        <is>
          <t>Armazenamento na nuvem:; Google One ou iCloud+; WhatsApp ilimitado; Roaming: Passaporte Américas; Claro Sync: Smartwatch conectado</t>
        </is>
      </c>
      <c r="T60" s="2" t="inlineStr">
        <is>
          <t>https://www.claro.com.br/celular/pos</t>
        </is>
      </c>
      <c r="U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7" t="n">
        <v>150</v>
      </c>
      <c r="L61" s="5" t="inlineStr"/>
      <c r="M61" s="5" t="inlineStr"/>
      <c r="N61" s="5" t="inlineStr">
        <is>
          <t>WhatsApp</t>
        </is>
      </c>
      <c r="O61" s="5" t="inlineStr"/>
      <c r="P61" s="5" t="inlineStr"/>
      <c r="Q61" s="5" t="inlineStr"/>
      <c r="R61" s="5" t="inlineStr"/>
      <c r="S61" s="5" t="inlineStr">
        <is>
          <t>Armazenamento na nuvem:; Google One ou iCloud+; WhatsApp ilimitado; Roaming: Passaporte Américas e Europa; Claro Sync: Smartwatch conectado</t>
        </is>
      </c>
      <c r="T61" s="5" t="inlineStr">
        <is>
          <t>https://www.claro.com.br/celular/pos</t>
        </is>
      </c>
      <c r="U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4" t="n">
        <v>200</v>
      </c>
      <c r="L62" s="2" t="inlineStr"/>
      <c r="M62" s="2" t="inlineStr"/>
      <c r="N62" s="2" t="inlineStr">
        <is>
          <t>WhatsApp</t>
        </is>
      </c>
      <c r="O62" s="2" t="inlineStr"/>
      <c r="P62" s="2" t="inlineStr"/>
      <c r="Q62" s="2" t="inlineStr"/>
      <c r="R62" s="2" t="inlineStr"/>
      <c r="S62" s="2" t="inlineStr">
        <is>
          <t>Armazenamento na nuvem:; Google One ou iCloud+; WhatsApp ilimitado; Roaming: Passaporte Mundo; Claro Sync: Smartwatch conectado</t>
        </is>
      </c>
      <c r="T62" s="2" t="inlineStr">
        <is>
          <t>https://www.claro.com.br/celular/pos</t>
        </is>
      </c>
      <c r="U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7" t="n">
        <v>50</v>
      </c>
      <c r="L63" s="5" t="inlineStr"/>
      <c r="M63" s="5" t="inlineStr"/>
      <c r="N63" s="5" t="inlineStr">
        <is>
          <t>WhatsApp</t>
        </is>
      </c>
      <c r="O63" s="5" t="inlineStr"/>
      <c r="P63" s="5" t="inlineStr"/>
      <c r="Q63" s="5" t="inlineStr"/>
      <c r="R63" s="5" t="inlineStr"/>
      <c r="S63" s="5" t="inlineStr">
        <is>
          <t>Armazenamento na nuvem:; Google One ou iCloud+; WhatsApp ilimitado; Roaming: Passaporte Américas; Claro Sync: Smartwatch conectado; Inclusa assinatura GeForce NOW</t>
        </is>
      </c>
      <c r="T63" s="5" t="inlineStr">
        <is>
          <t>https://www.claro.com.br/celular/pos</t>
        </is>
      </c>
      <c r="U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4" t="n">
        <v>60</v>
      </c>
      <c r="L64" s="2" t="inlineStr"/>
      <c r="M64" s="2" t="inlineStr"/>
      <c r="N64" s="2" t="inlineStr">
        <is>
          <t>WhatsApp</t>
        </is>
      </c>
      <c r="O64" s="2" t="inlineStr"/>
      <c r="P64" s="2" t="inlineStr"/>
      <c r="Q64" s="2" t="inlineStr"/>
      <c r="R64" s="2" t="inlineStr"/>
      <c r="S64" s="2" t="inlineStr">
        <is>
          <t>Armazenamento na nuvem:; Google One ou iCloud+; WhatsApp ilimitado; Roaming: Passaporte Américas; Claro Sync: Smartwatch conectado</t>
        </is>
      </c>
      <c r="T64" s="2" t="inlineStr">
        <is>
          <t>https://www.claro.com.br/celular/pos</t>
        </is>
      </c>
      <c r="U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7" t="n">
        <v>12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>
        <is>
          <t>https://www.claro.com.br/celular/planos-pre/prezao</t>
        </is>
      </c>
      <c r="U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4" t="n">
        <v>41</v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https://www.tim.com.br/sp/para-voce/planos/controle</t>
        </is>
      </c>
      <c r="U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7" t="n">
        <v>31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>
        <is>
          <t>https://www.tim.com.br/sp/para-voce/planos/controle</t>
        </is>
      </c>
      <c r="U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4" t="n">
        <v>45</v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https://www.tim.com.br/sp/para-voce/planos/controle</t>
        </is>
      </c>
      <c r="U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7" t="n">
        <v>53</v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>
        <is>
          <t>https://www.tim.com.br/sp/para-voce/planos/controle</t>
        </is>
      </c>
      <c r="U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4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https://www.tim.com.br/sp/para-voce/planos/controle</t>
        </is>
      </c>
      <c r="U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7" t="n">
        <v>70</v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>
        <is>
          <t>https://www.tim.com.br/sp/para-voce/planos/pos-pago/tim-black</t>
        </is>
      </c>
      <c r="U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4" t="n">
        <v>67</v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https://www.tim.com.br/sp/para-voce/planos/pos-pago/tim-black</t>
        </is>
      </c>
      <c r="U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7" t="n">
        <v>82</v>
      </c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>
        <is>
          <t>https://www.tim.com.br/sp/para-voce/planos/pos-pago/tim-black</t>
        </is>
      </c>
      <c r="U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4" t="n">
        <v>107</v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https://www.tim.com.br/sp/para-voce/planos/pos-pago/tim-black</t>
        </is>
      </c>
      <c r="U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7" t="n">
        <v>95</v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>
        <is>
          <t>https://www.tim.com.br/sp/para-voce/planos/pos-pago/tim-black</t>
        </is>
      </c>
      <c r="U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4" t="n">
        <v>80</v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https://www.tim.com.br/sp/para-voce/planos/pos-pago/tim-black</t>
        </is>
      </c>
      <c r="U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7" t="n">
        <v>110</v>
      </c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>
        <is>
          <t>https://www.tim.com.br/sp/para-voce/planos/pos-pago/tim-black</t>
        </is>
      </c>
      <c r="U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4" t="n">
        <v>16</v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https://www.tim.com.br/sp/para-voce/planos/pre-pago</t>
        </is>
      </c>
      <c r="U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7" t="n">
        <v>6</v>
      </c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>
        <is>
          <t>https://www.tim.com.br/sp/para-voce/planos/pre-pago</t>
        </is>
      </c>
      <c r="U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4" t="n">
        <v>8</v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https://www.tim.com.br/sp/para-voce/planos/pre-pago</t>
        </is>
      </c>
      <c r="U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7" t="n">
        <v>46</v>
      </c>
      <c r="L81" s="5" t="inlineStr">
        <is>
          <t>15 GB de franquia 31 GB de bônus</t>
        </is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>
        <is>
          <t>6 meses grátis de Gemini com AI Plus</t>
        </is>
      </c>
      <c r="T81" s="5" t="inlineStr">
        <is>
          <t>https://vivo.com.br/para-voce/produtos-e-servicos/para-o-celular/planos-controle</t>
        </is>
      </c>
      <c r="U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4" t="n">
        <v>61</v>
      </c>
      <c r="L82" s="2" t="inlineStr">
        <is>
          <t>20 GB de franquia 31 GB de bônus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6 meses grátis de Gemini com AI Plus</t>
        </is>
      </c>
      <c r="T82" s="2" t="inlineStr">
        <is>
          <t>https://vivo.com.br/para-voce/produtos-e-servicos/para-o-celular/planos-controle</t>
        </is>
      </c>
      <c r="U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7" t="n">
        <v>61</v>
      </c>
      <c r="L83" s="5" t="inlineStr">
        <is>
          <t>20 GB de franquia 31 GB de bônus</t>
        </is>
      </c>
      <c r="M83" s="5" t="inlineStr"/>
      <c r="N83" s="5" t="inlineStr"/>
      <c r="O83" s="5" t="inlineStr"/>
      <c r="P83" s="5" t="inlineStr"/>
      <c r="Q83" s="5" t="inlineStr"/>
      <c r="R83" s="5" t="inlineStr"/>
      <c r="S83" s="5" t="inlineStr">
        <is>
          <t>Assinatura Vivae inclusa</t>
        </is>
      </c>
      <c r="T83" s="5" t="inlineStr">
        <is>
          <t>https://vivo.com.br/para-voce/produtos-e-servicos/para-o-celular/planos-controle</t>
        </is>
      </c>
      <c r="U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4" t="n">
        <v>61</v>
      </c>
      <c r="L84" s="2" t="inlineStr">
        <is>
          <t>20 GB de franquia 31 GB de bônus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>
        <is>
          <t>Assinatura Vivo TV Inicial inclusa</t>
        </is>
      </c>
      <c r="T84" s="2" t="inlineStr">
        <is>
          <t>https://vivo.com.br/para-voce/produtos-e-servicos/para-o-celular/planos-controle</t>
        </is>
      </c>
      <c r="U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7" t="n">
        <v>61</v>
      </c>
      <c r="L85" s="5" t="inlineStr">
        <is>
          <t>20 GB de franquia 31 GB de bônus</t>
        </is>
      </c>
      <c r="M85" s="5" t="inlineStr"/>
      <c r="N85" s="5" t="inlineStr"/>
      <c r="O85" s="5" t="inlineStr"/>
      <c r="P85" s="5" t="inlineStr"/>
      <c r="Q85" s="5" t="inlineStr"/>
      <c r="R85" s="5" t="inlineStr"/>
      <c r="S85" s="5" t="inlineStr">
        <is>
          <t>Apple Music Individual</t>
        </is>
      </c>
      <c r="T85" s="5" t="inlineStr">
        <is>
          <t>https://vivo.com.br/para-voce/produtos-e-servicos/para-o-celular/planos-controle</t>
        </is>
      </c>
      <c r="U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4" t="n">
        <v>61</v>
      </c>
      <c r="L86" s="2" t="inlineStr">
        <is>
          <t>20 GB de franquia 31 GB de bônus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Assinatura Netflix Padrão com anúncios</t>
        </is>
      </c>
      <c r="T86" s="2" t="inlineStr">
        <is>
          <t>https://vivo.com.br/para-voce/produtos-e-servicos/para-o-celular/planos-controle</t>
        </is>
      </c>
      <c r="U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7" t="n">
        <v>61</v>
      </c>
      <c r="L87" s="5" t="inlineStr">
        <is>
          <t>20 GB de franquia 31 GB de bônus</t>
        </is>
      </c>
      <c r="M87" s="5" t="inlineStr"/>
      <c r="N87" s="5" t="inlineStr"/>
      <c r="O87" s="5" t="inlineStr"/>
      <c r="P87" s="5" t="inlineStr"/>
      <c r="Q87" s="5" t="inlineStr"/>
      <c r="R87" s="5" t="inlineStr"/>
      <c r="S87" s="5" t="inlineStr">
        <is>
          <t>Assinatura Vale Saúde Sempre inclusa</t>
        </is>
      </c>
      <c r="T87" s="5" t="inlineStr">
        <is>
          <t>https://vivo.com.br/para-voce/produtos-e-servicos/para-o-celular/planos-controle</t>
        </is>
      </c>
      <c r="U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4" t="n">
        <v>30</v>
      </c>
      <c r="L88" s="2" t="inlineStr">
        <is>
          <t>30 GB de franquia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Youtube Ilimitado</t>
        </is>
      </c>
      <c r="T88" s="2" t="inlineStr">
        <is>
          <t>https://vivo.com.br/para-voce/produtos-e-servicos/para-o-celular/easy-lite</t>
        </is>
      </c>
      <c r="U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7" t="n">
        <v>40</v>
      </c>
      <c r="L89" s="5" t="inlineStr">
        <is>
          <t>40 GB de franquia</t>
        </is>
      </c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Youtube Ilimitado</t>
        </is>
      </c>
      <c r="T89" s="5" t="inlineStr">
        <is>
          <t>https://vivo.com.br/para-voce/produtos-e-servicos/para-o-celular/easy-lite</t>
        </is>
      </c>
      <c r="U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4" t="n">
        <v>20</v>
      </c>
      <c r="L90" s="2" t="inlineStr">
        <is>
          <t>20 GB de franquia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Youtube Ilimitado</t>
        </is>
      </c>
      <c r="T90" s="2" t="inlineStr">
        <is>
          <t>https://vivo.com.br/para-voce/produtos-e-servicos/para-o-celular/easy-lite</t>
        </is>
      </c>
      <c r="U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7" t="n">
        <v>60</v>
      </c>
      <c r="L91" s="5" t="inlineStr">
        <is>
          <t>50 GB de franquia 10 GB de bônus</t>
        </is>
      </c>
      <c r="M91" s="5" t="inlineStr"/>
      <c r="N91" s="5" t="inlineStr"/>
      <c r="O91" s="5" t="inlineStr"/>
      <c r="P91" s="5" t="inlineStr"/>
      <c r="Q91" s="5" t="inlineStr"/>
      <c r="R91" s="5" t="inlineStr"/>
      <c r="S91" s="5" t="inlineStr">
        <is>
          <t>Assinatura Amazon Prime inclusa</t>
        </is>
      </c>
      <c r="T91" s="5" t="inlineStr">
        <is>
          <t>https://vivo.com.br/para-voce/produtos-e-servicos/para-o-celular/planos-pos-pago</t>
        </is>
      </c>
      <c r="U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4" t="n">
        <v>60</v>
      </c>
      <c r="L92" s="2" t="inlineStr">
        <is>
          <t>50 GB de franquia 10 GB de bônus</t>
        </is>
      </c>
      <c r="M92" s="2" t="inlineStr"/>
      <c r="N92" s="2" t="inlineStr"/>
      <c r="O92" s="2" t="inlineStr"/>
      <c r="P92" s="2" t="inlineStr"/>
      <c r="Q92" s="2" t="inlineStr">
        <is>
          <t>Disney+</t>
        </is>
      </c>
      <c r="R92" s="2" t="inlineStr"/>
      <c r="S92" s="2" t="inlineStr">
        <is>
          <t>Assinatura Disney+ Padrão inclusa</t>
        </is>
      </c>
      <c r="T92" s="2" t="inlineStr">
        <is>
          <t>https://vivo.com.br/para-voce/produtos-e-servicos/para-o-celular/planos-pos-pago</t>
        </is>
      </c>
      <c r="U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7" t="n">
        <v>60</v>
      </c>
      <c r="L93" s="5" t="inlineStr">
        <is>
          <t>50 GB de franquia 10 GB de bônus</t>
        </is>
      </c>
      <c r="M93" s="5" t="inlineStr"/>
      <c r="N93" s="5" t="inlineStr"/>
      <c r="O93" s="5" t="inlineStr"/>
      <c r="P93" s="5" t="inlineStr"/>
      <c r="Q93" s="5" t="inlineStr">
        <is>
          <t>Globoplay</t>
        </is>
      </c>
      <c r="R93" s="5" t="inlineStr"/>
      <c r="S93" s="5" t="inlineStr">
        <is>
          <t>Assinatura Globoplay inclusa</t>
        </is>
      </c>
      <c r="T93" s="5" t="inlineStr">
        <is>
          <t>https://vivo.com.br/para-voce/produtos-e-servicos/para-o-celular/planos-pos-pago</t>
        </is>
      </c>
      <c r="U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4" t="n">
        <v>60</v>
      </c>
      <c r="L94" s="2" t="inlineStr">
        <is>
          <t>50 GB de franquia 10 GB de bônus</t>
        </is>
      </c>
      <c r="M94" s="2" t="inlineStr"/>
      <c r="N94" s="2" t="inlineStr"/>
      <c r="O94" s="2" t="inlineStr"/>
      <c r="P94" s="2" t="inlineStr"/>
      <c r="Q94" s="2" t="inlineStr">
        <is>
          <t>Netflix</t>
        </is>
      </c>
      <c r="R94" s="2" t="inlineStr"/>
      <c r="S94" s="2" t="inlineStr">
        <is>
          <t>Assinatura Netflix Padrão inclusa</t>
        </is>
      </c>
      <c r="T94" s="2" t="inlineStr">
        <is>
          <t>https://vivo.com.br/para-voce/produtos-e-servicos/para-o-celular/planos-pos-pago</t>
        </is>
      </c>
      <c r="U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7" t="n">
        <v>60</v>
      </c>
      <c r="L95" s="5" t="inlineStr">
        <is>
          <t>50 GB de franquia 10 GB de bônus</t>
        </is>
      </c>
      <c r="M95" s="5" t="inlineStr"/>
      <c r="N95" s="5" t="inlineStr"/>
      <c r="O95" s="5" t="inlineStr"/>
      <c r="P95" s="5" t="inlineStr"/>
      <c r="Q95" s="5" t="inlineStr">
        <is>
          <t>Premiere</t>
        </is>
      </c>
      <c r="R95" s="5" t="inlineStr"/>
      <c r="S95" s="5" t="inlineStr">
        <is>
          <t>Assinatura Premiere inclusa</t>
        </is>
      </c>
      <c r="T95" s="5" t="inlineStr">
        <is>
          <t>https://vivo.com.br/para-voce/produtos-e-servicos/para-o-celular/planos-pos-pago</t>
        </is>
      </c>
      <c r="U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4" t="n">
        <v>60</v>
      </c>
      <c r="L96" s="2" t="inlineStr">
        <is>
          <t>50 GB de franquia 10 GB de bônus</t>
        </is>
      </c>
      <c r="M96" s="2" t="inlineStr"/>
      <c r="N96" s="2" t="inlineStr"/>
      <c r="O96" s="2" t="inlineStr"/>
      <c r="P96" s="2" t="inlineStr"/>
      <c r="Q96" s="2" t="inlineStr">
        <is>
          <t>Spotify</t>
        </is>
      </c>
      <c r="R96" s="2" t="inlineStr"/>
      <c r="S96" s="2" t="inlineStr">
        <is>
          <t>Assinatura Spotify Premium inclusa</t>
        </is>
      </c>
      <c r="T96" s="2" t="inlineStr">
        <is>
          <t>https://vivo.com.br/para-voce/produtos-e-servicos/para-o-celular/planos-pos-pago</t>
        </is>
      </c>
      <c r="U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7" t="n">
        <v>70</v>
      </c>
      <c r="L97" s="5" t="inlineStr">
        <is>
          <t>60 GB de franquia 10 GB de bônus</t>
        </is>
      </c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6 meses grátis de Gemini com AI Plus</t>
        </is>
      </c>
      <c r="T97" s="5" t="inlineStr">
        <is>
          <t>https://vivo.com.br/para-voce/produtos-e-servicos/para-o-celular/planos-pos-pago</t>
        </is>
      </c>
      <c r="U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4" t="n">
        <v>25</v>
      </c>
      <c r="L98" s="2" t="inlineStr">
        <is>
          <t>15 GB para navegar como quiser 5 GB de bônus 5 GB para navegar no Youtube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https://vivo.com.br/para-voce/produtos-e-servicos/para-o-celular/pre-pago/vivo-pre</t>
        </is>
      </c>
      <c r="U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7" t="n">
        <v>9</v>
      </c>
      <c r="L99" s="5" t="inlineStr">
        <is>
          <t>6 GB para navegar como quiser 3 GB para navegar no YouTube</t>
        </is>
      </c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>
        <is>
          <t>https://vivo.com.br/para-voce/produtos-e-servicos/para-o-celular/pre-pago/vivo-pre</t>
        </is>
      </c>
      <c r="U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4" t="n">
        <v>5</v>
      </c>
      <c r="L100" s="2" t="inlineStr">
        <is>
          <t>5 GB para navegar como quiser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https://vivo.com.br/para-voce/produtos-e-servicos/para-o-celular/pre-pago/vivo-pre</t>
        </is>
      </c>
      <c r="U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7" t="n">
        <v>4</v>
      </c>
      <c r="L101" s="5" t="inlineStr">
        <is>
          <t>4 GB para navegar como quiser</t>
        </is>
      </c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>
        <is>
          <t>https://vivo.com.br/para-voce/produtos-e-servicos/para-o-celular/pre-pago/vivo-pre</t>
        </is>
      </c>
      <c r="U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4" t="n">
        <v>25</v>
      </c>
      <c r="L102" s="2" t="inlineStr"/>
      <c r="M102" s="2" t="inlineStr"/>
      <c r="N102" s="2" t="inlineStr">
        <is>
          <t>WhatsApp</t>
        </is>
      </c>
      <c r="O102" s="2" t="inlineStr"/>
      <c r="P102" s="2" t="inlineStr"/>
      <c r="Q102" s="2" t="inlineStr"/>
      <c r="R102" s="2" t="inlineStr"/>
      <c r="S102" s="2" t="inlineStr">
        <is>
          <t>Para uso livre; Para redes sociais e vídeos; Bônus exclusivo; Aproveite na sua franquia; WhatsApp e ligações ilimitadas</t>
        </is>
      </c>
      <c r="T102" s="2" t="inlineStr">
        <is>
          <t>https://www.claro.com.br/celular/controle</t>
        </is>
      </c>
      <c r="U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7" t="n">
        <v>30</v>
      </c>
      <c r="L103" s="5" t="inlineStr"/>
      <c r="M103" s="5" t="inlineStr"/>
      <c r="N103" s="5" t="inlineStr">
        <is>
          <t>WhatsApp</t>
        </is>
      </c>
      <c r="O103" s="5" t="inlineStr"/>
      <c r="P103" s="5" t="inlineStr"/>
      <c r="Q103" s="5" t="inlineStr"/>
      <c r="R103" s="5" t="inlineStr"/>
      <c r="S103" s="5" t="inlineStr">
        <is>
          <t>Para uso livre; Bônus do Hexa para uso livre; Bônus para redes sociais e apps; Redes sociais e apps; WhatsApp ilimitado</t>
        </is>
      </c>
      <c r="T103" s="5" t="inlineStr">
        <is>
          <t>https://www.claro.com.br/celular/controle</t>
        </is>
      </c>
      <c r="U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4" t="n">
        <v>30</v>
      </c>
      <c r="L104" s="2" t="inlineStr"/>
      <c r="M104" s="2" t="inlineStr"/>
      <c r="N104" s="2" t="inlineStr">
        <is>
          <t>WhatsApp</t>
        </is>
      </c>
      <c r="O104" s="2" t="inlineStr"/>
      <c r="P104" s="2" t="inlineStr"/>
      <c r="Q104" s="2" t="inlineStr"/>
      <c r="R104" s="2" t="inlineStr"/>
      <c r="S104" s="2" t="inlineStr">
        <is>
          <t>Para uso livre; Bônus para redes sociais e apps; Bônus uso livre; Redes sociais e apps; WhatsApp ilimitado</t>
        </is>
      </c>
      <c r="T104" s="2" t="inlineStr">
        <is>
          <t>https://www.claro.com.br/celular/controle</t>
        </is>
      </c>
      <c r="U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7" t="n">
        <v>15</v>
      </c>
      <c r="L105" s="5" t="inlineStr"/>
      <c r="M105" s="5" t="inlineStr"/>
      <c r="N105" s="5" t="inlineStr">
        <is>
          <t>WhatsApp</t>
        </is>
      </c>
      <c r="O105" s="5" t="inlineStr"/>
      <c r="P105" s="5" t="inlineStr"/>
      <c r="Q105" s="5" t="inlineStr"/>
      <c r="R105" s="5" t="inlineStr"/>
      <c r="S105" s="5" t="inlineStr">
        <is>
          <t>Para uso livre; Bônus do Hexa para uso livre; Para redes sociais e apps; Bônus extra nos apps; WhatsApp ilimitado</t>
        </is>
      </c>
      <c r="T105" s="5" t="inlineStr">
        <is>
          <t>https://www.claro.com.br/celular/flex</t>
        </is>
      </c>
      <c r="U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4" t="n">
        <v>20</v>
      </c>
      <c r="L106" s="2" t="inlineStr"/>
      <c r="M106" s="2" t="inlineStr"/>
      <c r="N106" s="2" t="inlineStr">
        <is>
          <t>WhatsApp</t>
        </is>
      </c>
      <c r="O106" s="2" t="inlineStr"/>
      <c r="P106" s="2" t="inlineStr"/>
      <c r="Q106" s="2" t="inlineStr"/>
      <c r="R106" s="2" t="inlineStr"/>
      <c r="S106" s="2" t="inlineStr">
        <is>
          <t>Para uso livre; Bônus do Hexa para uso livre; Para redes sociais e apps; Bônus extra nos apps; WhatsApp ilimitado</t>
        </is>
      </c>
      <c r="T106" s="2" t="inlineStr">
        <is>
          <t>https://www.claro.com.br/celular/flex</t>
        </is>
      </c>
      <c r="U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7" t="n">
        <v>30</v>
      </c>
      <c r="L107" s="5" t="inlineStr"/>
      <c r="M107" s="5" t="inlineStr"/>
      <c r="N107" s="5" t="inlineStr">
        <is>
          <t>WhatsApp</t>
        </is>
      </c>
      <c r="O107" s="5" t="inlineStr"/>
      <c r="P107" s="5" t="inlineStr"/>
      <c r="Q107" s="5" t="inlineStr"/>
      <c r="R107" s="5" t="inlineStr"/>
      <c r="S107" s="5" t="inlineStr">
        <is>
          <t>Para uso livre; Bônus do Hexa para uso livre; Para redes sociais e apps; Bônus extra nos apps; WhatsApp ilimitado; Assinatura Claro musica inclusa</t>
        </is>
      </c>
      <c r="T107" s="5" t="inlineStr">
        <is>
          <t>https://www.claro.com.br/celular/flex</t>
        </is>
      </c>
      <c r="U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4" t="n">
        <v>40</v>
      </c>
      <c r="L108" s="2" t="inlineStr"/>
      <c r="M108" s="2" t="inlineStr"/>
      <c r="N108" s="2" t="inlineStr">
        <is>
          <t>WhatsApp</t>
        </is>
      </c>
      <c r="O108" s="2" t="inlineStr"/>
      <c r="P108" s="2" t="inlineStr"/>
      <c r="Q108" s="2" t="inlineStr"/>
      <c r="R108" s="2" t="inlineStr"/>
      <c r="S108" s="2" t="inlineStr">
        <is>
          <t>Para uso livre; Para redes sociais e apps; Bônus uso livre; Bônus extra nos apps; WhatsApp ilimitado; Assinatura Claro musica inclusa</t>
        </is>
      </c>
      <c r="T108" s="2" t="inlineStr">
        <is>
          <t>https://www.claro.com.br/celular/flex</t>
        </is>
      </c>
      <c r="U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7" t="n">
        <v>100</v>
      </c>
      <c r="L109" s="5" t="inlineStr"/>
      <c r="M109" s="5" t="inlineStr"/>
      <c r="N109" s="5" t="inlineStr">
        <is>
          <t>WhatsApp</t>
        </is>
      </c>
      <c r="O109" s="5" t="inlineStr"/>
      <c r="P109" s="5" t="inlineStr"/>
      <c r="Q109" s="5" t="inlineStr"/>
      <c r="R109" s="5" t="inlineStr"/>
      <c r="S109" s="5" t="inlineStr">
        <is>
          <t>Armazenamento na nuvem:; Google One ou iCloud+; WhatsApp ilimitado; Roaming: Passaporte Américas; Claro Sync: Smartwatch conectado</t>
        </is>
      </c>
      <c r="T109" s="5" t="inlineStr">
        <is>
          <t>https://www.claro.com.br/celular/pos</t>
        </is>
      </c>
      <c r="U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4" t="n">
        <v>150</v>
      </c>
      <c r="L110" s="2" t="inlineStr"/>
      <c r="M110" s="2" t="inlineStr"/>
      <c r="N110" s="2" t="inlineStr">
        <is>
          <t>WhatsApp</t>
        </is>
      </c>
      <c r="O110" s="2" t="inlineStr"/>
      <c r="P110" s="2" t="inlineStr"/>
      <c r="Q110" s="2" t="inlineStr"/>
      <c r="R110" s="2" t="inlineStr"/>
      <c r="S110" s="2" t="inlineStr">
        <is>
          <t>Armazenamento na nuvem:; Google One ou iCloud+; WhatsApp ilimitado; Roaming: Passaporte Américas e Europa; Claro Sync: Smartwatch conectado</t>
        </is>
      </c>
      <c r="T110" s="2" t="inlineStr">
        <is>
          <t>https://www.claro.com.br/celular/pos</t>
        </is>
      </c>
      <c r="U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7" t="n">
        <v>200</v>
      </c>
      <c r="L111" s="5" t="inlineStr"/>
      <c r="M111" s="5" t="inlineStr"/>
      <c r="N111" s="5" t="inlineStr">
        <is>
          <t>WhatsApp</t>
        </is>
      </c>
      <c r="O111" s="5" t="inlineStr"/>
      <c r="P111" s="5" t="inlineStr"/>
      <c r="Q111" s="5" t="inlineStr"/>
      <c r="R111" s="5" t="inlineStr"/>
      <c r="S111" s="5" t="inlineStr">
        <is>
          <t>Armazenamento na nuvem:; Google One ou iCloud+; WhatsApp ilimitado; Roaming: Passaporte Mundo; Claro Sync: Smartwatch conectado</t>
        </is>
      </c>
      <c r="T111" s="5" t="inlineStr">
        <is>
          <t>https://www.claro.com.br/celular/pos</t>
        </is>
      </c>
      <c r="U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4" t="n">
        <v>50</v>
      </c>
      <c r="L112" s="2" t="inlineStr"/>
      <c r="M112" s="2" t="inlineStr"/>
      <c r="N112" s="2" t="inlineStr">
        <is>
          <t>WhatsApp</t>
        </is>
      </c>
      <c r="O112" s="2" t="inlineStr"/>
      <c r="P112" s="2" t="inlineStr"/>
      <c r="Q112" s="2" t="inlineStr"/>
      <c r="R112" s="2" t="inlineStr"/>
      <c r="S112" s="2" t="inlineStr">
        <is>
          <t>Armazenamento na nuvem:; Google One ou iCloud+; WhatsApp ilimitado; Roaming: Passaporte Américas; Claro Sync: Smartwatch conectado; Inclusa assinatura GeForce NOW</t>
        </is>
      </c>
      <c r="T112" s="2" t="inlineStr">
        <is>
          <t>https://www.claro.com.br/celular/pos</t>
        </is>
      </c>
      <c r="U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7" t="n">
        <v>60</v>
      </c>
      <c r="L113" s="5" t="inlineStr"/>
      <c r="M113" s="5" t="inlineStr"/>
      <c r="N113" s="5" t="inlineStr">
        <is>
          <t>WhatsApp</t>
        </is>
      </c>
      <c r="O113" s="5" t="inlineStr"/>
      <c r="P113" s="5" t="inlineStr"/>
      <c r="Q113" s="5" t="inlineStr"/>
      <c r="R113" s="5" t="inlineStr"/>
      <c r="S113" s="5" t="inlineStr">
        <is>
          <t>Armazenamento na nuvem:; Google One ou iCloud+; WhatsApp ilimitado; Roaming: Passaporte Américas; Claro Sync: Smartwatch conectado</t>
        </is>
      </c>
      <c r="T113" s="5" t="inlineStr">
        <is>
          <t>https://www.claro.com.br/celular/pos</t>
        </is>
      </c>
      <c r="U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4" t="n">
        <v>12</v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https://www.claro.com.br/celular/planos-pre/prezao</t>
        </is>
      </c>
      <c r="U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7" t="n">
        <v>41</v>
      </c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>
        <is>
          <t>https://www.tim.com.br/sp/para-voce/planos/controle</t>
        </is>
      </c>
      <c r="U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4" t="n">
        <v>31</v>
      </c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https://www.tim.com.br/sp/para-voce/planos/controle</t>
        </is>
      </c>
      <c r="U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7" t="n">
        <v>45</v>
      </c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>
        <is>
          <t>https://www.tim.com.br/sp/para-voce/planos/controle</t>
        </is>
      </c>
      <c r="U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4" t="n">
        <v>53</v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https://www.tim.com.br/sp/para-voce/planos/controle</t>
        </is>
      </c>
      <c r="U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7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>
        <is>
          <t>https://www.tim.com.br/sp/para-voce/planos/controle</t>
        </is>
      </c>
      <c r="U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4" t="n">
        <v>70</v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https://www.tim.com.br/sp/para-voce/planos/pos-pago/tim-black</t>
        </is>
      </c>
      <c r="U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7" t="n">
        <v>67</v>
      </c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>
        <is>
          <t>https://www.tim.com.br/sp/para-voce/planos/pos-pago/tim-black</t>
        </is>
      </c>
      <c r="U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4" t="n">
        <v>82</v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https://www.tim.com.br/sp/para-voce/planos/pos-pago/tim-black</t>
        </is>
      </c>
      <c r="U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7" t="n">
        <v>107</v>
      </c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>
        <is>
          <t>https://www.tim.com.br/sp/para-voce/planos/pos-pago/tim-black</t>
        </is>
      </c>
      <c r="U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4" t="n">
        <v>95</v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https://www.tim.com.br/sp/para-voce/planos/pos-pago/tim-black</t>
        </is>
      </c>
      <c r="U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7" t="n">
        <v>80</v>
      </c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>
        <is>
          <t>https://www.tim.com.br/sp/para-voce/planos/pos-pago/tim-black</t>
        </is>
      </c>
      <c r="U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4" t="n">
        <v>110</v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https://www.tim.com.br/sp/para-voce/planos/pos-pago/tim-black</t>
        </is>
      </c>
      <c r="U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7" t="n">
        <v>16</v>
      </c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>
        <is>
          <t>https://www.tim.com.br/sp/para-voce/planos/pre-pago</t>
        </is>
      </c>
      <c r="U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4" t="n">
        <v>6</v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https://www.tim.com.br/sp/para-voce/planos/pre-pago</t>
        </is>
      </c>
      <c r="U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7" t="n">
        <v>8</v>
      </c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>
        <is>
          <t>https://www.tim.com.br/sp/para-voce/planos/pre-pago</t>
        </is>
      </c>
      <c r="U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4" t="n">
        <v>46</v>
      </c>
      <c r="L130" s="2" t="inlineStr">
        <is>
          <t>15 GB de franquia 31 GB de bônus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6 meses grátis de Gemini com AI Plus</t>
        </is>
      </c>
      <c r="T130" s="2" t="inlineStr">
        <is>
          <t>https://vivo.com.br/para-voce/produtos-e-servicos/para-o-celular/planos-controle</t>
        </is>
      </c>
      <c r="U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7" t="n">
        <v>61</v>
      </c>
      <c r="L131" s="5" t="inlineStr">
        <is>
          <t>20 GB de franquia 31 GB de bônus</t>
        </is>
      </c>
      <c r="M131" s="5" t="inlineStr"/>
      <c r="N131" s="5" t="inlineStr"/>
      <c r="O131" s="5" t="inlineStr"/>
      <c r="P131" s="5" t="inlineStr"/>
      <c r="Q131" s="5" t="inlineStr"/>
      <c r="R131" s="5" t="inlineStr"/>
      <c r="S131" s="5" t="inlineStr">
        <is>
          <t>6 meses grátis de Gemini com AI Plus</t>
        </is>
      </c>
      <c r="T131" s="5" t="inlineStr">
        <is>
          <t>https://vivo.com.br/para-voce/produtos-e-servicos/para-o-celular/planos-controle</t>
        </is>
      </c>
      <c r="U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4" t="n">
        <v>61</v>
      </c>
      <c r="L132" s="2" t="inlineStr">
        <is>
          <t>20 GB de franquia 31 GB de bônus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Assinatura Vivae inclusa</t>
        </is>
      </c>
      <c r="T132" s="2" t="inlineStr">
        <is>
          <t>https://vivo.com.br/para-voce/produtos-e-servicos/para-o-celular/planos-controle</t>
        </is>
      </c>
      <c r="U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7" t="n">
        <v>61</v>
      </c>
      <c r="L133" s="5" t="inlineStr">
        <is>
          <t>20 GB de franquia 31 GB de bônus</t>
        </is>
      </c>
      <c r="M133" s="5" t="inlineStr"/>
      <c r="N133" s="5" t="inlineStr"/>
      <c r="O133" s="5" t="inlineStr"/>
      <c r="P133" s="5" t="inlineStr"/>
      <c r="Q133" s="5" t="inlineStr"/>
      <c r="R133" s="5" t="inlineStr"/>
      <c r="S133" s="5" t="inlineStr">
        <is>
          <t>Assinatura Vivo TV Inicial inclusa</t>
        </is>
      </c>
      <c r="T133" s="5" t="inlineStr">
        <is>
          <t>https://vivo.com.br/para-voce/produtos-e-servicos/para-o-celular/planos-controle</t>
        </is>
      </c>
      <c r="U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4" t="n">
        <v>61</v>
      </c>
      <c r="L134" s="2" t="inlineStr">
        <is>
          <t>20 GB de franquia 31 GB de bônus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Apple Music Individual</t>
        </is>
      </c>
      <c r="T134" s="2" t="inlineStr">
        <is>
          <t>https://vivo.com.br/para-voce/produtos-e-servicos/para-o-celular/planos-controle</t>
        </is>
      </c>
      <c r="U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7" t="n">
        <v>61</v>
      </c>
      <c r="L135" s="5" t="inlineStr">
        <is>
          <t>20 GB de franquia 31 GB de bônus</t>
        </is>
      </c>
      <c r="M135" s="5" t="inlineStr"/>
      <c r="N135" s="5" t="inlineStr"/>
      <c r="O135" s="5" t="inlineStr"/>
      <c r="P135" s="5" t="inlineStr"/>
      <c r="Q135" s="5" t="inlineStr"/>
      <c r="R135" s="5" t="inlineStr"/>
      <c r="S135" s="5" t="inlineStr">
        <is>
          <t>Assinatura Netflix Padrão com anúncios</t>
        </is>
      </c>
      <c r="T135" s="5" t="inlineStr">
        <is>
          <t>https://vivo.com.br/para-voce/produtos-e-servicos/para-o-celular/planos-controle</t>
        </is>
      </c>
      <c r="U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4" t="n">
        <v>61</v>
      </c>
      <c r="L136" s="2" t="inlineStr">
        <is>
          <t>20 GB de franquia 31 GB de bônus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Assinatura Vale Saúde Sempre inclusa</t>
        </is>
      </c>
      <c r="T136" s="2" t="inlineStr">
        <is>
          <t>https://vivo.com.br/para-voce/produtos-e-servicos/para-o-celular/planos-controle</t>
        </is>
      </c>
      <c r="U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7" t="n">
        <v>30</v>
      </c>
      <c r="L137" s="5" t="inlineStr">
        <is>
          <t>30 GB de franquia</t>
        </is>
      </c>
      <c r="M137" s="5" t="inlineStr"/>
      <c r="N137" s="5" t="inlineStr"/>
      <c r="O137" s="5" t="inlineStr"/>
      <c r="P137" s="5" t="inlineStr"/>
      <c r="Q137" s="5" t="inlineStr"/>
      <c r="R137" s="5" t="inlineStr"/>
      <c r="S137" s="5" t="inlineStr">
        <is>
          <t>2 meses de YouTube sem desconto no plano</t>
        </is>
      </c>
      <c r="T137" s="5" t="inlineStr">
        <is>
          <t>https://vivo.com.br/para-voce/produtos-e-servicos/para-o-celular/easy-lite</t>
        </is>
      </c>
      <c r="U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4" t="n">
        <v>40</v>
      </c>
      <c r="L138" s="2" t="inlineStr">
        <is>
          <t>40 GB de franquia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>
        <is>
          <t>2 meses de YouTube sem desconto no plano</t>
        </is>
      </c>
      <c r="T138" s="2" t="inlineStr">
        <is>
          <t>https://vivo.com.br/para-voce/produtos-e-servicos/para-o-celular/easy-lite</t>
        </is>
      </c>
      <c r="U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7" t="n">
        <v>20</v>
      </c>
      <c r="L139" s="5" t="inlineStr">
        <is>
          <t>20 GB de franquia</t>
        </is>
      </c>
      <c r="M139" s="5" t="inlineStr"/>
      <c r="N139" s="5" t="inlineStr"/>
      <c r="O139" s="5" t="inlineStr"/>
      <c r="P139" s="5" t="inlineStr"/>
      <c r="Q139" s="5" t="inlineStr"/>
      <c r="R139" s="5" t="inlineStr"/>
      <c r="S139" s="5" t="inlineStr">
        <is>
          <t>2 meses de YouTube sem desconto no plano</t>
        </is>
      </c>
      <c r="T139" s="5" t="inlineStr">
        <is>
          <t>https://vivo.com.br/para-voce/produtos-e-servicos/para-o-celular/easy-lite</t>
        </is>
      </c>
      <c r="U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4" t="n">
        <v>60</v>
      </c>
      <c r="L140" s="2" t="inlineStr">
        <is>
          <t>50 GB de franquia 10 GB de bônus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Assinatura Amazon Prime inclusa</t>
        </is>
      </c>
      <c r="T140" s="2" t="inlineStr">
        <is>
          <t>https://vivo.com.br/para-voce/produtos-e-servicos/para-o-celular/planos-pos-pago</t>
        </is>
      </c>
      <c r="U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7" t="n">
        <v>60</v>
      </c>
      <c r="L141" s="5" t="inlineStr">
        <is>
          <t>50 GB de franquia 10 GB de bônus</t>
        </is>
      </c>
      <c r="M141" s="5" t="inlineStr"/>
      <c r="N141" s="5" t="inlineStr"/>
      <c r="O141" s="5" t="inlineStr"/>
      <c r="P141" s="5" t="inlineStr"/>
      <c r="Q141" s="5" t="inlineStr">
        <is>
          <t>Disney+</t>
        </is>
      </c>
      <c r="R141" s="5" t="inlineStr"/>
      <c r="S141" s="5" t="inlineStr">
        <is>
          <t>Assinatura Disney+ Padrão inclusa</t>
        </is>
      </c>
      <c r="T141" s="5" t="inlineStr">
        <is>
          <t>https://vivo.com.br/para-voce/produtos-e-servicos/para-o-celular/planos-pos-pago</t>
        </is>
      </c>
      <c r="U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4" t="n">
        <v>60</v>
      </c>
      <c r="L142" s="2" t="inlineStr">
        <is>
          <t>50 GB de franquia 10 GB de bônus</t>
        </is>
      </c>
      <c r="M142" s="2" t="inlineStr"/>
      <c r="N142" s="2" t="inlineStr"/>
      <c r="O142" s="2" t="inlineStr"/>
      <c r="P142" s="2" t="inlineStr"/>
      <c r="Q142" s="2" t="inlineStr">
        <is>
          <t>Globoplay</t>
        </is>
      </c>
      <c r="R142" s="2" t="inlineStr"/>
      <c r="S142" s="2" t="inlineStr">
        <is>
          <t>Assinatura Globoplay inclusa</t>
        </is>
      </c>
      <c r="T142" s="2" t="inlineStr">
        <is>
          <t>https://vivo.com.br/para-voce/produtos-e-servicos/para-o-celular/planos-pos-pago</t>
        </is>
      </c>
      <c r="U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7" t="n">
        <v>60</v>
      </c>
      <c r="L143" s="5" t="inlineStr">
        <is>
          <t>50 GB de franquia 10 GB de bônus</t>
        </is>
      </c>
      <c r="M143" s="5" t="inlineStr"/>
      <c r="N143" s="5" t="inlineStr"/>
      <c r="O143" s="5" t="inlineStr"/>
      <c r="P143" s="5" t="inlineStr"/>
      <c r="Q143" s="5" t="inlineStr">
        <is>
          <t>Netflix</t>
        </is>
      </c>
      <c r="R143" s="5" t="inlineStr"/>
      <c r="S143" s="5" t="inlineStr">
        <is>
          <t>Assinatura Netflix Padrão inclusa</t>
        </is>
      </c>
      <c r="T143" s="5" t="inlineStr">
        <is>
          <t>https://vivo.com.br/para-voce/produtos-e-servicos/para-o-celular/planos-pos-pago</t>
        </is>
      </c>
      <c r="U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4" t="n">
        <v>60</v>
      </c>
      <c r="L144" s="2" t="inlineStr">
        <is>
          <t>50 GB de franquia 10 GB de bônus</t>
        </is>
      </c>
      <c r="M144" s="2" t="inlineStr"/>
      <c r="N144" s="2" t="inlineStr"/>
      <c r="O144" s="2" t="inlineStr"/>
      <c r="P144" s="2" t="inlineStr"/>
      <c r="Q144" s="2" t="inlineStr">
        <is>
          <t>Premiere</t>
        </is>
      </c>
      <c r="R144" s="2" t="inlineStr"/>
      <c r="S144" s="2" t="inlineStr">
        <is>
          <t>Assinatura Premiere inclusa</t>
        </is>
      </c>
      <c r="T144" s="2" t="inlineStr">
        <is>
          <t>https://vivo.com.br/para-voce/produtos-e-servicos/para-o-celular/planos-pos-pago</t>
        </is>
      </c>
      <c r="U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7" t="n">
        <v>60</v>
      </c>
      <c r="L145" s="5" t="inlineStr">
        <is>
          <t>50 GB de franquia 10 GB de bônus</t>
        </is>
      </c>
      <c r="M145" s="5" t="inlineStr"/>
      <c r="N145" s="5" t="inlineStr"/>
      <c r="O145" s="5" t="inlineStr"/>
      <c r="P145" s="5" t="inlineStr"/>
      <c r="Q145" s="5" t="inlineStr">
        <is>
          <t>Spotify</t>
        </is>
      </c>
      <c r="R145" s="5" t="inlineStr"/>
      <c r="S145" s="5" t="inlineStr">
        <is>
          <t>Assinatura Spotify Premium inclusa</t>
        </is>
      </c>
      <c r="T145" s="5" t="inlineStr">
        <is>
          <t>https://vivo.com.br/para-voce/produtos-e-servicos/para-o-celular/planos-pos-pago</t>
        </is>
      </c>
      <c r="U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4" t="n">
        <v>70</v>
      </c>
      <c r="L146" s="2" t="inlineStr">
        <is>
          <t>60 GB de franquia 10 GB de bônus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6 meses grátis de Gemini com AI Plus</t>
        </is>
      </c>
      <c r="T146" s="2" t="inlineStr">
        <is>
          <t>https://vivo.com.br/para-voce/produtos-e-servicos/para-o-celular/planos-pos-pago</t>
        </is>
      </c>
      <c r="U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7" t="n">
        <v>25</v>
      </c>
      <c r="L147" s="5" t="inlineStr">
        <is>
          <t>15 GB para navegar como quiser 5 GB de bônus 5 GB para navegar no Youtube</t>
        </is>
      </c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>
        <is>
          <t>https://vivo.com.br/para-voce/produtos-e-servicos/para-o-celular/pre-pago/vivo-pre</t>
        </is>
      </c>
      <c r="U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4" t="n">
        <v>9</v>
      </c>
      <c r="L148" s="2" t="inlineStr">
        <is>
          <t>6 GB para navegar como quiser 3 GB para navegar no YouTube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https://vivo.com.br/para-voce/produtos-e-servicos/para-o-celular/pre-pago/vivo-pre</t>
        </is>
      </c>
      <c r="U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7" t="n">
        <v>5</v>
      </c>
      <c r="L149" s="5" t="inlineStr">
        <is>
          <t>5 GB para navegar como quiser</t>
        </is>
      </c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>
        <is>
          <t>https://vivo.com.br/para-voce/produtos-e-servicos/para-o-celular/pre-pago/vivo-pre</t>
        </is>
      </c>
      <c r="U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4" t="n">
        <v>4</v>
      </c>
      <c r="L150" s="2" t="inlineStr">
        <is>
          <t>4 GB para navegar como quiser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https://vivo.com.br/para-voce/produtos-e-servicos/para-o-celular/pre-pago/vivo-pre</t>
        </is>
      </c>
      <c r="U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7" t="n">
        <v>25</v>
      </c>
      <c r="L151" s="5" t="inlineStr"/>
      <c r="M151" s="5" t="inlineStr"/>
      <c r="N151" s="5" t="inlineStr">
        <is>
          <t>WhatsApp</t>
        </is>
      </c>
      <c r="O151" s="5" t="inlineStr"/>
      <c r="P151" s="5" t="inlineStr"/>
      <c r="Q151" s="5" t="inlineStr"/>
      <c r="R151" s="5" t="inlineStr"/>
      <c r="S151" s="5" t="inlineStr">
        <is>
          <t>Para uso livre; Para redes sociais e vídeos; Bônus exclusivo; Aproveite na sua franquia; WhatsApp e ligações ilimitadas</t>
        </is>
      </c>
      <c r="T151" s="5" t="inlineStr">
        <is>
          <t>https://www.claro.com.br/celular/controle</t>
        </is>
      </c>
      <c r="U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4" t="n">
        <v>30</v>
      </c>
      <c r="L152" s="2" t="inlineStr"/>
      <c r="M152" s="2" t="inlineStr"/>
      <c r="N152" s="2" t="inlineStr">
        <is>
          <t>WhatsApp</t>
        </is>
      </c>
      <c r="O152" s="2" t="inlineStr"/>
      <c r="P152" s="2" t="inlineStr"/>
      <c r="Q152" s="2" t="inlineStr"/>
      <c r="R152" s="2" t="inlineStr"/>
      <c r="S152" s="2" t="inlineStr">
        <is>
          <t>Para uso livre; Bônus do Hexa para uso livre; Bônus para redes sociais e apps; Redes sociais e apps; WhatsApp ilimitado</t>
        </is>
      </c>
      <c r="T152" s="2" t="inlineStr">
        <is>
          <t>https://www.claro.com.br/celular/controle</t>
        </is>
      </c>
      <c r="U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7" t="n">
        <v>30</v>
      </c>
      <c r="L153" s="5" t="inlineStr"/>
      <c r="M153" s="5" t="inlineStr"/>
      <c r="N153" s="5" t="inlineStr">
        <is>
          <t>WhatsApp</t>
        </is>
      </c>
      <c r="O153" s="5" t="inlineStr"/>
      <c r="P153" s="5" t="inlineStr"/>
      <c r="Q153" s="5" t="inlineStr"/>
      <c r="R153" s="5" t="inlineStr"/>
      <c r="S153" s="5" t="inlineStr">
        <is>
          <t>Para uso livre; Bônus para redes sociais e apps; Bônus uso livre; Redes sociais e apps; WhatsApp ilimitado</t>
        </is>
      </c>
      <c r="T153" s="5" t="inlineStr">
        <is>
          <t>https://www.claro.com.br/celular/controle</t>
        </is>
      </c>
      <c r="U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4" t="n">
        <v>15</v>
      </c>
      <c r="L154" s="2" t="inlineStr"/>
      <c r="M154" s="2" t="inlineStr"/>
      <c r="N154" s="2" t="inlineStr">
        <is>
          <t>WhatsApp</t>
        </is>
      </c>
      <c r="O154" s="2" t="inlineStr"/>
      <c r="P154" s="2" t="inlineStr"/>
      <c r="Q154" s="2" t="inlineStr"/>
      <c r="R154" s="2" t="inlineStr"/>
      <c r="S154" s="2" t="inlineStr">
        <is>
          <t>Para uso livre; Bônus do Hexa para uso livre; Para redes sociais e apps; Bônus extra nos apps; WhatsApp ilimitado</t>
        </is>
      </c>
      <c r="T154" s="2" t="inlineStr">
        <is>
          <t>https://www.claro.com.br/celular/flex</t>
        </is>
      </c>
      <c r="U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7" t="n">
        <v>20</v>
      </c>
      <c r="L155" s="5" t="inlineStr"/>
      <c r="M155" s="5" t="inlineStr"/>
      <c r="N155" s="5" t="inlineStr">
        <is>
          <t>WhatsApp</t>
        </is>
      </c>
      <c r="O155" s="5" t="inlineStr"/>
      <c r="P155" s="5" t="inlineStr"/>
      <c r="Q155" s="5" t="inlineStr"/>
      <c r="R155" s="5" t="inlineStr"/>
      <c r="S155" s="5" t="inlineStr">
        <is>
          <t>Para uso livre; Bônus do Hexa para uso livre; Para redes sociais e apps; Bônus extra nos apps; WhatsApp ilimitado</t>
        </is>
      </c>
      <c r="T155" s="5" t="inlineStr">
        <is>
          <t>https://www.claro.com.br/celular/flex</t>
        </is>
      </c>
      <c r="U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4" t="n">
        <v>30</v>
      </c>
      <c r="L156" s="2" t="inlineStr"/>
      <c r="M156" s="2" t="inlineStr"/>
      <c r="N156" s="2" t="inlineStr">
        <is>
          <t>WhatsApp</t>
        </is>
      </c>
      <c r="O156" s="2" t="inlineStr"/>
      <c r="P156" s="2" t="inlineStr"/>
      <c r="Q156" s="2" t="inlineStr"/>
      <c r="R156" s="2" t="inlineStr"/>
      <c r="S156" s="2" t="inlineStr">
        <is>
          <t>Para uso livre; Bônus do Hexa para uso livre; Para redes sociais e apps; Bônus extra nos apps; WhatsApp ilimitado; Assinatura Claro musica inclusa</t>
        </is>
      </c>
      <c r="T156" s="2" t="inlineStr">
        <is>
          <t>https://www.claro.com.br/celular/flex</t>
        </is>
      </c>
      <c r="U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7" t="n">
        <v>40</v>
      </c>
      <c r="L157" s="5" t="inlineStr"/>
      <c r="M157" s="5" t="inlineStr"/>
      <c r="N157" s="5" t="inlineStr">
        <is>
          <t>WhatsApp</t>
        </is>
      </c>
      <c r="O157" s="5" t="inlineStr"/>
      <c r="P157" s="5" t="inlineStr"/>
      <c r="Q157" s="5" t="inlineStr"/>
      <c r="R157" s="5" t="inlineStr"/>
      <c r="S157" s="5" t="inlineStr">
        <is>
          <t>Para uso livre; Para redes sociais e apps; Bônus uso livre; Bônus extra nos apps; WhatsApp ilimitado; Assinatura Claro musica inclusa</t>
        </is>
      </c>
      <c r="T157" s="5" t="inlineStr">
        <is>
          <t>https://www.claro.com.br/celular/flex</t>
        </is>
      </c>
      <c r="U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4" t="n">
        <v>100</v>
      </c>
      <c r="L158" s="2" t="inlineStr"/>
      <c r="M158" s="2" t="inlineStr"/>
      <c r="N158" s="2" t="inlineStr">
        <is>
          <t>WhatsApp</t>
        </is>
      </c>
      <c r="O158" s="2" t="inlineStr"/>
      <c r="P158" s="2" t="inlineStr"/>
      <c r="Q158" s="2" t="inlineStr"/>
      <c r="R158" s="2" t="inlineStr"/>
      <c r="S158" s="2" t="inlineStr">
        <is>
          <t>Armazenamento na nuvem:; Google One ou iCloud+; WhatsApp ilimitado; Roaming: Passaporte Américas; Claro Sync: Smartwatch conectado</t>
        </is>
      </c>
      <c r="T158" s="2" t="inlineStr">
        <is>
          <t>https://www.claro.com.br/celular/pos</t>
        </is>
      </c>
      <c r="U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7" t="n">
        <v>150</v>
      </c>
      <c r="L159" s="5" t="inlineStr"/>
      <c r="M159" s="5" t="inlineStr"/>
      <c r="N159" s="5" t="inlineStr">
        <is>
          <t>WhatsApp</t>
        </is>
      </c>
      <c r="O159" s="5" t="inlineStr"/>
      <c r="P159" s="5" t="inlineStr"/>
      <c r="Q159" s="5" t="inlineStr"/>
      <c r="R159" s="5" t="inlineStr"/>
      <c r="S159" s="5" t="inlineStr">
        <is>
          <t>Armazenamento na nuvem:; Google One ou iCloud+; WhatsApp ilimitado; Roaming: Passaporte Américas e Europa; Claro Sync: Smartwatch conectado</t>
        </is>
      </c>
      <c r="T159" s="5" t="inlineStr">
        <is>
          <t>https://www.claro.com.br/celular/pos</t>
        </is>
      </c>
      <c r="U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4" t="n">
        <v>200</v>
      </c>
      <c r="L160" s="2" t="inlineStr"/>
      <c r="M160" s="2" t="inlineStr"/>
      <c r="N160" s="2" t="inlineStr">
        <is>
          <t>WhatsApp</t>
        </is>
      </c>
      <c r="O160" s="2" t="inlineStr"/>
      <c r="P160" s="2" t="inlineStr"/>
      <c r="Q160" s="2" t="inlineStr"/>
      <c r="R160" s="2" t="inlineStr"/>
      <c r="S160" s="2" t="inlineStr">
        <is>
          <t>Armazenamento na nuvem:; Google One ou iCloud+; WhatsApp ilimitado; Roaming: Passaporte Mundo; Claro Sync: Smartwatch conectado</t>
        </is>
      </c>
      <c r="T160" s="2" t="inlineStr">
        <is>
          <t>https://www.claro.com.br/celular/pos</t>
        </is>
      </c>
      <c r="U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7" t="n">
        <v>50</v>
      </c>
      <c r="L161" s="5" t="inlineStr"/>
      <c r="M161" s="5" t="inlineStr"/>
      <c r="N161" s="5" t="inlineStr">
        <is>
          <t>WhatsApp</t>
        </is>
      </c>
      <c r="O161" s="5" t="inlineStr"/>
      <c r="P161" s="5" t="inlineStr"/>
      <c r="Q161" s="5" t="inlineStr"/>
      <c r="R161" s="5" t="inlineStr"/>
      <c r="S161" s="5" t="inlineStr">
        <is>
          <t>Armazenamento na nuvem:; Google One ou iCloud+; WhatsApp ilimitado; Roaming: Passaporte Américas; Claro Sync: Smartwatch conectado; Inclusa assinatura GeForce NOW</t>
        </is>
      </c>
      <c r="T161" s="5" t="inlineStr">
        <is>
          <t>https://www.claro.com.br/celular/pos</t>
        </is>
      </c>
      <c r="U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4" t="n">
        <v>60</v>
      </c>
      <c r="L162" s="2" t="inlineStr"/>
      <c r="M162" s="2" t="inlineStr"/>
      <c r="N162" s="2" t="inlineStr">
        <is>
          <t>WhatsApp</t>
        </is>
      </c>
      <c r="O162" s="2" t="inlineStr"/>
      <c r="P162" s="2" t="inlineStr"/>
      <c r="Q162" s="2" t="inlineStr"/>
      <c r="R162" s="2" t="inlineStr"/>
      <c r="S162" s="2" t="inlineStr">
        <is>
          <t>Armazenamento na nuvem:; Google One ou iCloud+; WhatsApp ilimitado; Roaming: Passaporte Américas; Claro Sync: Smartwatch conectado</t>
        </is>
      </c>
      <c r="T162" s="2" t="inlineStr">
        <is>
          <t>https://www.claro.com.br/celular/pos</t>
        </is>
      </c>
      <c r="U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7" t="n">
        <v>12</v>
      </c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>
        <is>
          <t>https://www.claro.com.br/celular/planos-pre/prezao</t>
        </is>
      </c>
      <c r="U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4" t="n">
        <v>41</v>
      </c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https://www.tim.com.br/sp/para-voce/planos/controle</t>
        </is>
      </c>
      <c r="U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7" t="n">
        <v>31</v>
      </c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>
        <is>
          <t>https://www.tim.com.br/sp/para-voce/planos/controle</t>
        </is>
      </c>
      <c r="U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4" t="n">
        <v>45</v>
      </c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https://www.tim.com.br/sp/para-voce/planos/controle</t>
        </is>
      </c>
      <c r="U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7" t="n">
        <v>53</v>
      </c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>
        <is>
          <t>https://www.tim.com.br/sp/para-voce/planos/controle</t>
        </is>
      </c>
      <c r="U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4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https://www.tim.com.br/sp/para-voce/planos/controle</t>
        </is>
      </c>
      <c r="U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7" t="n">
        <v>70</v>
      </c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>
        <is>
          <t>https://www.tim.com.br/sp/para-voce/planos/pos-pago/tim-black</t>
        </is>
      </c>
      <c r="U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4" t="n">
        <v>67</v>
      </c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https://www.tim.com.br/sp/para-voce/planos/pos-pago/tim-black</t>
        </is>
      </c>
      <c r="U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7" t="n">
        <v>82</v>
      </c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>
        <is>
          <t>https://www.tim.com.br/sp/para-voce/planos/pos-pago/tim-black</t>
        </is>
      </c>
      <c r="U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4" t="n">
        <v>107</v>
      </c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https://www.tim.com.br/sp/para-voce/planos/pos-pago/tim-black</t>
        </is>
      </c>
      <c r="U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7" t="n">
        <v>95</v>
      </c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>
        <is>
          <t>https://www.tim.com.br/sp/para-voce/planos/pos-pago/tim-black</t>
        </is>
      </c>
      <c r="U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4" t="n">
        <v>80</v>
      </c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https://www.tim.com.br/sp/para-voce/planos/pos-pago/tim-black</t>
        </is>
      </c>
      <c r="U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7" t="n">
        <v>110</v>
      </c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>
        <is>
          <t>https://www.tim.com.br/sp/para-voce/planos/pos-pago/tim-black</t>
        </is>
      </c>
      <c r="U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4" t="n">
        <v>16</v>
      </c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https://www.tim.com.br/sp/para-voce/planos/pre-pago</t>
        </is>
      </c>
      <c r="U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7" t="n">
        <v>6</v>
      </c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>
        <is>
          <t>https://www.tim.com.br/sp/para-voce/planos/pre-pago</t>
        </is>
      </c>
      <c r="U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4" t="n">
        <v>8</v>
      </c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https://www.tim.com.br/sp/para-voce/planos/pre-pago</t>
        </is>
      </c>
      <c r="U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7" t="n">
        <v>46</v>
      </c>
      <c r="L179" s="5" t="inlineStr">
        <is>
          <t>15 GB de franquia 31 GB de bônus</t>
        </is>
      </c>
      <c r="M179" s="5" t="inlineStr"/>
      <c r="N179" s="5" t="inlineStr"/>
      <c r="O179" s="5" t="inlineStr"/>
      <c r="P179" s="5" t="inlineStr"/>
      <c r="Q179" s="5" t="inlineStr"/>
      <c r="R179" s="5" t="inlineStr"/>
      <c r="S179" s="5" t="inlineStr">
        <is>
          <t>6 meses grátis de Gemini com AI Plus</t>
        </is>
      </c>
      <c r="T179" s="5" t="inlineStr">
        <is>
          <t>https://vivo.com.br/para-voce/produtos-e-servicos/para-o-celular/planos-controle</t>
        </is>
      </c>
      <c r="U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4" t="n">
        <v>61</v>
      </c>
      <c r="L180" s="2" t="inlineStr">
        <is>
          <t>20 GB de franquia 31 GB de bônus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>
        <is>
          <t>6 meses grátis de Gemini com AI Plus</t>
        </is>
      </c>
      <c r="T180" s="2" t="inlineStr">
        <is>
          <t>https://vivo.com.br/para-voce/produtos-e-servicos/para-o-celular/planos-controle</t>
        </is>
      </c>
      <c r="U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7" t="n">
        <v>61</v>
      </c>
      <c r="L181" s="5" t="inlineStr">
        <is>
          <t>20 GB de franquia 31 GB de bônus</t>
        </is>
      </c>
      <c r="M181" s="5" t="inlineStr"/>
      <c r="N181" s="5" t="inlineStr"/>
      <c r="O181" s="5" t="inlineStr"/>
      <c r="P181" s="5" t="inlineStr"/>
      <c r="Q181" s="5" t="inlineStr"/>
      <c r="R181" s="5" t="inlineStr"/>
      <c r="S181" s="5" t="inlineStr">
        <is>
          <t>Assinatura Vivae inclusa</t>
        </is>
      </c>
      <c r="T181" s="5" t="inlineStr">
        <is>
          <t>https://vivo.com.br/para-voce/produtos-e-servicos/para-o-celular/planos-controle</t>
        </is>
      </c>
      <c r="U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4" t="n">
        <v>61</v>
      </c>
      <c r="L182" s="2" t="inlineStr">
        <is>
          <t>20 GB de franquia 31 GB de bônus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>
        <is>
          <t>Assinatura Vivo TV Inicial inclusa</t>
        </is>
      </c>
      <c r="T182" s="2" t="inlineStr">
        <is>
          <t>https://vivo.com.br/para-voce/produtos-e-servicos/para-o-celular/planos-controle</t>
        </is>
      </c>
      <c r="U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7" t="n">
        <v>61</v>
      </c>
      <c r="L183" s="5" t="inlineStr">
        <is>
          <t>20 GB de franquia 31 GB de bônus</t>
        </is>
      </c>
      <c r="M183" s="5" t="inlineStr"/>
      <c r="N183" s="5" t="inlineStr"/>
      <c r="O183" s="5" t="inlineStr"/>
      <c r="P183" s="5" t="inlineStr"/>
      <c r="Q183" s="5" t="inlineStr"/>
      <c r="R183" s="5" t="inlineStr"/>
      <c r="S183" s="5" t="inlineStr">
        <is>
          <t>Apple Music Individual</t>
        </is>
      </c>
      <c r="T183" s="5" t="inlineStr">
        <is>
          <t>https://vivo.com.br/para-voce/produtos-e-servicos/para-o-celular/planos-controle</t>
        </is>
      </c>
      <c r="U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4" t="n">
        <v>61</v>
      </c>
      <c r="L184" s="2" t="inlineStr">
        <is>
          <t>20 GB de franquia 31 GB de bônus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>
        <is>
          <t>Assinatura Netflix Padrão com anúncios</t>
        </is>
      </c>
      <c r="T184" s="2" t="inlineStr">
        <is>
          <t>https://vivo.com.br/para-voce/produtos-e-servicos/para-o-celular/planos-controle</t>
        </is>
      </c>
      <c r="U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7" t="n">
        <v>61</v>
      </c>
      <c r="L185" s="5" t="inlineStr">
        <is>
          <t>20 GB de franquia 31 GB de bônus</t>
        </is>
      </c>
      <c r="M185" s="5" t="inlineStr"/>
      <c r="N185" s="5" t="inlineStr"/>
      <c r="O185" s="5" t="inlineStr"/>
      <c r="P185" s="5" t="inlineStr"/>
      <c r="Q185" s="5" t="inlineStr"/>
      <c r="R185" s="5" t="inlineStr"/>
      <c r="S185" s="5" t="inlineStr">
        <is>
          <t>Assinatura Vale Saúde Sempre inclusa</t>
        </is>
      </c>
      <c r="T185" s="5" t="inlineStr">
        <is>
          <t>https://vivo.com.br/para-voce/produtos-e-servicos/para-o-celular/planos-controle</t>
        </is>
      </c>
      <c r="U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4" t="n">
        <v>30</v>
      </c>
      <c r="L186" s="2" t="inlineStr">
        <is>
          <t>30 GB de franquia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>
        <is>
          <t>2 meses de YouTube sem consumo no plano</t>
        </is>
      </c>
      <c r="T186" s="2" t="inlineStr">
        <is>
          <t>https://vivo.com.br/para-voce/produtos-e-servicos/para-o-celular/easy-lite</t>
        </is>
      </c>
      <c r="U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7" t="n">
        <v>40</v>
      </c>
      <c r="L187" s="5" t="inlineStr">
        <is>
          <t>40 GB de franquia</t>
        </is>
      </c>
      <c r="M187" s="5" t="inlineStr"/>
      <c r="N187" s="5" t="inlineStr"/>
      <c r="O187" s="5" t="inlineStr"/>
      <c r="P187" s="5" t="inlineStr"/>
      <c r="Q187" s="5" t="inlineStr"/>
      <c r="R187" s="5" t="inlineStr"/>
      <c r="S187" s="5" t="inlineStr">
        <is>
          <t>2 meses de YouTube sem consumo no plano</t>
        </is>
      </c>
      <c r="T187" s="5" t="inlineStr">
        <is>
          <t>https://vivo.com.br/para-voce/produtos-e-servicos/para-o-celular/easy-lite</t>
        </is>
      </c>
      <c r="U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4" t="n">
        <v>20</v>
      </c>
      <c r="L188" s="2" t="inlineStr">
        <is>
          <t>20 GB de franquia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2 meses de YouTube sem consumo no plano</t>
        </is>
      </c>
      <c r="T188" s="2" t="inlineStr">
        <is>
          <t>https://vivo.com.br/para-voce/produtos-e-servicos/para-o-celular/easy-lite</t>
        </is>
      </c>
      <c r="U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7" t="n">
        <v>60</v>
      </c>
      <c r="L189" s="5" t="inlineStr">
        <is>
          <t>50 GB de franquia 10 GB de bônus</t>
        </is>
      </c>
      <c r="M189" s="5" t="inlineStr"/>
      <c r="N189" s="5" t="inlineStr"/>
      <c r="O189" s="5" t="inlineStr"/>
      <c r="P189" s="5" t="inlineStr"/>
      <c r="Q189" s="5" t="inlineStr"/>
      <c r="R189" s="5" t="inlineStr"/>
      <c r="S189" s="5" t="inlineStr">
        <is>
          <t>Assinatura Amazon Prime inclusa</t>
        </is>
      </c>
      <c r="T189" s="5" t="inlineStr">
        <is>
          <t>https://vivo.com.br/para-voce/produtos-e-servicos/para-o-celular/planos-pos-pago</t>
        </is>
      </c>
      <c r="U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4" t="n">
        <v>60</v>
      </c>
      <c r="L190" s="2" t="inlineStr">
        <is>
          <t>50 GB de franquia 10 GB de bônus</t>
        </is>
      </c>
      <c r="M190" s="2" t="inlineStr"/>
      <c r="N190" s="2" t="inlineStr"/>
      <c r="O190" s="2" t="inlineStr"/>
      <c r="P190" s="2" t="inlineStr"/>
      <c r="Q190" s="2" t="inlineStr">
        <is>
          <t>Disney+</t>
        </is>
      </c>
      <c r="R190" s="2" t="inlineStr"/>
      <c r="S190" s="2" t="inlineStr">
        <is>
          <t>Assinatura Disney+ Padrão inclusa</t>
        </is>
      </c>
      <c r="T190" s="2" t="inlineStr">
        <is>
          <t>https://vivo.com.br/para-voce/produtos-e-servicos/para-o-celular/planos-pos-pago</t>
        </is>
      </c>
      <c r="U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7" t="n">
        <v>60</v>
      </c>
      <c r="L191" s="5" t="inlineStr">
        <is>
          <t>50 GB de franquia 10 GB de bônus</t>
        </is>
      </c>
      <c r="M191" s="5" t="inlineStr"/>
      <c r="N191" s="5" t="inlineStr"/>
      <c r="O191" s="5" t="inlineStr"/>
      <c r="P191" s="5" t="inlineStr"/>
      <c r="Q191" s="5" t="inlineStr">
        <is>
          <t>Globoplay</t>
        </is>
      </c>
      <c r="R191" s="5" t="inlineStr"/>
      <c r="S191" s="5" t="inlineStr">
        <is>
          <t>Assinatura Globoplay inclusa</t>
        </is>
      </c>
      <c r="T191" s="5" t="inlineStr">
        <is>
          <t>https://vivo.com.br/para-voce/produtos-e-servicos/para-o-celular/planos-pos-pago</t>
        </is>
      </c>
      <c r="U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4" t="n">
        <v>60</v>
      </c>
      <c r="L192" s="2" t="inlineStr">
        <is>
          <t>50 GB de franquia 10 GB de bônus</t>
        </is>
      </c>
      <c r="M192" s="2" t="inlineStr"/>
      <c r="N192" s="2" t="inlineStr"/>
      <c r="O192" s="2" t="inlineStr"/>
      <c r="P192" s="2" t="inlineStr"/>
      <c r="Q192" s="2" t="inlineStr">
        <is>
          <t>Netflix</t>
        </is>
      </c>
      <c r="R192" s="2" t="inlineStr"/>
      <c r="S192" s="2" t="inlineStr">
        <is>
          <t>Assinatura Netflix Padrão inclusa</t>
        </is>
      </c>
      <c r="T192" s="2" t="inlineStr">
        <is>
          <t>https://vivo.com.br/para-voce/produtos-e-servicos/para-o-celular/planos-pos-pago</t>
        </is>
      </c>
      <c r="U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7" t="n">
        <v>60</v>
      </c>
      <c r="L193" s="5" t="inlineStr">
        <is>
          <t>50 GB de franquia 10 GB de bônus</t>
        </is>
      </c>
      <c r="M193" s="5" t="inlineStr"/>
      <c r="N193" s="5" t="inlineStr"/>
      <c r="O193" s="5" t="inlineStr"/>
      <c r="P193" s="5" t="inlineStr"/>
      <c r="Q193" s="5" t="inlineStr">
        <is>
          <t>Premiere</t>
        </is>
      </c>
      <c r="R193" s="5" t="inlineStr"/>
      <c r="S193" s="5" t="inlineStr">
        <is>
          <t>Assinatura Premiere inclusa</t>
        </is>
      </c>
      <c r="T193" s="5" t="inlineStr">
        <is>
          <t>https://vivo.com.br/para-voce/produtos-e-servicos/para-o-celular/planos-pos-pago</t>
        </is>
      </c>
      <c r="U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4" t="n">
        <v>60</v>
      </c>
      <c r="L194" s="2" t="inlineStr">
        <is>
          <t>50 GB de franquia 10 GB de bônus</t>
        </is>
      </c>
      <c r="M194" s="2" t="inlineStr"/>
      <c r="N194" s="2" t="inlineStr"/>
      <c r="O194" s="2" t="inlineStr"/>
      <c r="P194" s="2" t="inlineStr"/>
      <c r="Q194" s="2" t="inlineStr">
        <is>
          <t>Spotify</t>
        </is>
      </c>
      <c r="R194" s="2" t="inlineStr"/>
      <c r="S194" s="2" t="inlineStr">
        <is>
          <t>Assinatura Spotify Premium inclusa</t>
        </is>
      </c>
      <c r="T194" s="2" t="inlineStr">
        <is>
          <t>https://vivo.com.br/para-voce/produtos-e-servicos/para-o-celular/planos-pos-pago</t>
        </is>
      </c>
      <c r="U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7" t="n">
        <v>70</v>
      </c>
      <c r="L195" s="5" t="inlineStr">
        <is>
          <t>60 GB de franquia 10 GB de bônus</t>
        </is>
      </c>
      <c r="M195" s="5" t="inlineStr"/>
      <c r="N195" s="5" t="inlineStr"/>
      <c r="O195" s="5" t="inlineStr"/>
      <c r="P195" s="5" t="inlineStr"/>
      <c r="Q195" s="5" t="inlineStr"/>
      <c r="R195" s="5" t="inlineStr"/>
      <c r="S195" s="5" t="inlineStr">
        <is>
          <t>6 meses grátis de Gemini com AI Plus</t>
        </is>
      </c>
      <c r="T195" s="5" t="inlineStr">
        <is>
          <t>https://vivo.com.br/para-voce/produtos-e-servicos/para-o-celular/planos-pos-pago</t>
        </is>
      </c>
      <c r="U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4" t="n">
        <v>25</v>
      </c>
      <c r="L196" s="2" t="inlineStr">
        <is>
          <t>15 GB para navegar como quiser 5 GB de bônus 5 GB para navegar no Youtube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https://vivo.com.br/para-voce/produtos-e-servicos/para-o-celular/pre-pago/vivo-pre</t>
        </is>
      </c>
      <c r="U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7" t="n">
        <v>9</v>
      </c>
      <c r="L197" s="5" t="inlineStr">
        <is>
          <t>6 GB para navegar como quiser 3 GB para navegar no YouTube</t>
        </is>
      </c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>
        <is>
          <t>https://vivo.com.br/para-voce/produtos-e-servicos/para-o-celular/pre-pago/vivo-pre</t>
        </is>
      </c>
      <c r="U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4" t="n">
        <v>5</v>
      </c>
      <c r="L198" s="2" t="inlineStr">
        <is>
          <t>5 GB para navegar como quiser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https://vivo.com.br/para-voce/produtos-e-servicos/para-o-celular/pre-pago/vivo-pre</t>
        </is>
      </c>
      <c r="U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7" t="n">
        <v>4</v>
      </c>
      <c r="L199" s="5" t="inlineStr">
        <is>
          <t>4 GB para navegar como quiser</t>
        </is>
      </c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>
        <is>
          <t>https://vivo.com.br/para-voce/produtos-e-servicos/para-o-celular/pre-pago/vivo-pre</t>
        </is>
      </c>
      <c r="U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4" t="n">
        <v>25</v>
      </c>
      <c r="L200" s="2" t="inlineStr"/>
      <c r="M200" s="2" t="inlineStr"/>
      <c r="N200" s="2" t="inlineStr">
        <is>
          <t>WhatsApp</t>
        </is>
      </c>
      <c r="O200" s="2" t="inlineStr"/>
      <c r="P200" s="2" t="inlineStr"/>
      <c r="Q200" s="2" t="inlineStr"/>
      <c r="R200" s="2" t="inlineStr"/>
      <c r="S200" s="2" t="inlineStr">
        <is>
          <t>Para uso livre; Para redes sociais e vídeos; Bônus exclusivo; Aproveite na sua franquia; WhatsApp e ligações ilimitadas</t>
        </is>
      </c>
      <c r="T200" s="2" t="inlineStr">
        <is>
          <t>https://www.claro.com.br/celular/controle</t>
        </is>
      </c>
      <c r="U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7" t="n">
        <v>30</v>
      </c>
      <c r="L201" s="5" t="inlineStr"/>
      <c r="M201" s="5" t="inlineStr"/>
      <c r="N201" s="5" t="inlineStr">
        <is>
          <t>WhatsApp</t>
        </is>
      </c>
      <c r="O201" s="5" t="inlineStr"/>
      <c r="P201" s="5" t="inlineStr"/>
      <c r="Q201" s="5" t="inlineStr"/>
      <c r="R201" s="5" t="inlineStr"/>
      <c r="S201" s="5" t="inlineStr">
        <is>
          <t>Para uso livre; Bônus do Hexa para uso livre; Bônus para redes sociais e apps; Redes sociais e apps; WhatsApp ilimitado</t>
        </is>
      </c>
      <c r="T201" s="5" t="inlineStr">
        <is>
          <t>https://www.claro.com.br/celular/controle</t>
        </is>
      </c>
      <c r="U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4" t="n">
        <v>30</v>
      </c>
      <c r="L202" s="2" t="inlineStr"/>
      <c r="M202" s="2" t="inlineStr"/>
      <c r="N202" s="2" t="inlineStr">
        <is>
          <t>WhatsApp</t>
        </is>
      </c>
      <c r="O202" s="2" t="inlineStr"/>
      <c r="P202" s="2" t="inlineStr"/>
      <c r="Q202" s="2" t="inlineStr"/>
      <c r="R202" s="2" t="inlineStr"/>
      <c r="S202" s="2" t="inlineStr">
        <is>
          <t>Para uso livre; Bônus para redes sociais e apps; Bônus uso livre; Redes sociais e apps; WhatsApp ilimitado</t>
        </is>
      </c>
      <c r="T202" s="2" t="inlineStr">
        <is>
          <t>https://www.claro.com.br/celular/controle</t>
        </is>
      </c>
      <c r="U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7" t="n">
        <v>15</v>
      </c>
      <c r="L203" s="5" t="inlineStr"/>
      <c r="M203" s="5" t="inlineStr"/>
      <c r="N203" s="5" t="inlineStr">
        <is>
          <t>WhatsApp</t>
        </is>
      </c>
      <c r="O203" s="5" t="inlineStr"/>
      <c r="P203" s="5" t="inlineStr"/>
      <c r="Q203" s="5" t="inlineStr"/>
      <c r="R203" s="5" t="inlineStr"/>
      <c r="S203" s="5" t="inlineStr">
        <is>
          <t>Para uso livre; Bônus do Hexa para uso livre; Para redes sociais e apps; Bônus extra nos apps; WhatsApp ilimitado</t>
        </is>
      </c>
      <c r="T203" s="5" t="inlineStr">
        <is>
          <t>https://www.claro.com.br/celular/flex</t>
        </is>
      </c>
      <c r="U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4" t="n">
        <v>20</v>
      </c>
      <c r="L204" s="2" t="inlineStr"/>
      <c r="M204" s="2" t="inlineStr"/>
      <c r="N204" s="2" t="inlineStr">
        <is>
          <t>WhatsApp</t>
        </is>
      </c>
      <c r="O204" s="2" t="inlineStr"/>
      <c r="P204" s="2" t="inlineStr"/>
      <c r="Q204" s="2" t="inlineStr"/>
      <c r="R204" s="2" t="inlineStr"/>
      <c r="S204" s="2" t="inlineStr">
        <is>
          <t>Para uso livre; Bônus do Hexa para uso livre; Para redes sociais e apps; Bônus extra nos apps; WhatsApp ilimitado</t>
        </is>
      </c>
      <c r="T204" s="2" t="inlineStr">
        <is>
          <t>https://www.claro.com.br/celular/flex</t>
        </is>
      </c>
      <c r="U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7" t="n">
        <v>30</v>
      </c>
      <c r="L205" s="5" t="inlineStr"/>
      <c r="M205" s="5" t="inlineStr"/>
      <c r="N205" s="5" t="inlineStr">
        <is>
          <t>WhatsApp</t>
        </is>
      </c>
      <c r="O205" s="5" t="inlineStr"/>
      <c r="P205" s="5" t="inlineStr"/>
      <c r="Q205" s="5" t="inlineStr"/>
      <c r="R205" s="5" t="inlineStr"/>
      <c r="S205" s="5" t="inlineStr">
        <is>
          <t>Para uso livre; Bônus do Hexa para uso livre; Para redes sociais e apps; Bônus extra nos apps; WhatsApp ilimitado; Assinatura Claro musica inclusa</t>
        </is>
      </c>
      <c r="T205" s="5" t="inlineStr">
        <is>
          <t>https://www.claro.com.br/celular/flex</t>
        </is>
      </c>
      <c r="U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4" t="n">
        <v>40</v>
      </c>
      <c r="L206" s="2" t="inlineStr"/>
      <c r="M206" s="2" t="inlineStr"/>
      <c r="N206" s="2" t="inlineStr">
        <is>
          <t>WhatsApp</t>
        </is>
      </c>
      <c r="O206" s="2" t="inlineStr"/>
      <c r="P206" s="2" t="inlineStr"/>
      <c r="Q206" s="2" t="inlineStr"/>
      <c r="R206" s="2" t="inlineStr"/>
      <c r="S206" s="2" t="inlineStr">
        <is>
          <t>Para uso livre; Para redes sociais e apps; Bônus uso livre; Bônus extra nos apps; WhatsApp ilimitado; Assinatura Claro musica inclusa</t>
        </is>
      </c>
      <c r="T206" s="2" t="inlineStr">
        <is>
          <t>https://www.claro.com.br/celular/flex</t>
        </is>
      </c>
      <c r="U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7" t="n">
        <v>100</v>
      </c>
      <c r="L207" s="5" t="inlineStr"/>
      <c r="M207" s="5" t="inlineStr"/>
      <c r="N207" s="5" t="inlineStr">
        <is>
          <t>WhatsApp</t>
        </is>
      </c>
      <c r="O207" s="5" t="inlineStr"/>
      <c r="P207" s="5" t="inlineStr"/>
      <c r="Q207" s="5" t="inlineStr"/>
      <c r="R207" s="5" t="inlineStr"/>
      <c r="S207" s="5" t="inlineStr">
        <is>
          <t>Armazenamento na nuvem:; Google One ou iCloud+; WhatsApp ilimitado; Roaming: Passaporte Américas; Claro Sync: Smartwatch conectado</t>
        </is>
      </c>
      <c r="T207" s="5" t="inlineStr">
        <is>
          <t>https://www.claro.com.br/celular/pos</t>
        </is>
      </c>
      <c r="U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4" t="n">
        <v>150</v>
      </c>
      <c r="L208" s="2" t="inlineStr"/>
      <c r="M208" s="2" t="inlineStr"/>
      <c r="N208" s="2" t="inlineStr">
        <is>
          <t>WhatsApp</t>
        </is>
      </c>
      <c r="O208" s="2" t="inlineStr"/>
      <c r="P208" s="2" t="inlineStr"/>
      <c r="Q208" s="2" t="inlineStr"/>
      <c r="R208" s="2" t="inlineStr"/>
      <c r="S208" s="2" t="inlineStr">
        <is>
          <t>Armazenamento na nuvem:; Google One ou iCloud+; WhatsApp ilimitado; Roaming: Passaporte Américas e Europa; Claro Sync: Smartwatch conectado</t>
        </is>
      </c>
      <c r="T208" s="2" t="inlineStr">
        <is>
          <t>https://www.claro.com.br/celular/pos</t>
        </is>
      </c>
      <c r="U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7" t="n">
        <v>200</v>
      </c>
      <c r="L209" s="5" t="inlineStr"/>
      <c r="M209" s="5" t="inlineStr"/>
      <c r="N209" s="5" t="inlineStr">
        <is>
          <t>WhatsApp</t>
        </is>
      </c>
      <c r="O209" s="5" t="inlineStr"/>
      <c r="P209" s="5" t="inlineStr"/>
      <c r="Q209" s="5" t="inlineStr"/>
      <c r="R209" s="5" t="inlineStr"/>
      <c r="S209" s="5" t="inlineStr">
        <is>
          <t>Armazenamento na nuvem:; Google One ou iCloud+; WhatsApp ilimitado; Roaming: Passaporte Mundo; Claro Sync: Smartwatch conectado</t>
        </is>
      </c>
      <c r="T209" s="5" t="inlineStr">
        <is>
          <t>https://www.claro.com.br/celular/pos</t>
        </is>
      </c>
      <c r="U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4" t="n">
        <v>50</v>
      </c>
      <c r="L210" s="2" t="inlineStr"/>
      <c r="M210" s="2" t="inlineStr"/>
      <c r="N210" s="2" t="inlineStr">
        <is>
          <t>WhatsApp</t>
        </is>
      </c>
      <c r="O210" s="2" t="inlineStr"/>
      <c r="P210" s="2" t="inlineStr"/>
      <c r="Q210" s="2" t="inlineStr"/>
      <c r="R210" s="2" t="inlineStr"/>
      <c r="S210" s="2" t="inlineStr">
        <is>
          <t>Armazenamento na nuvem:; Google One ou iCloud+; WhatsApp ilimitado; Roaming: Passaporte Américas; Claro Sync: Smartwatch conectado; Inclusa assinatura GeForce NOW</t>
        </is>
      </c>
      <c r="T210" s="2" t="inlineStr">
        <is>
          <t>https://www.claro.com.br/celular/pos</t>
        </is>
      </c>
      <c r="U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7" t="n">
        <v>60</v>
      </c>
      <c r="L211" s="5" t="inlineStr"/>
      <c r="M211" s="5" t="inlineStr"/>
      <c r="N211" s="5" t="inlineStr">
        <is>
          <t>WhatsApp</t>
        </is>
      </c>
      <c r="O211" s="5" t="inlineStr"/>
      <c r="P211" s="5" t="inlineStr"/>
      <c r="Q211" s="5" t="inlineStr"/>
      <c r="R211" s="5" t="inlineStr"/>
      <c r="S211" s="5" t="inlineStr">
        <is>
          <t>Armazenamento na nuvem:; Google One ou iCloud+; WhatsApp ilimitado; Roaming: Passaporte Américas; Claro Sync: Smartwatch conectado</t>
        </is>
      </c>
      <c r="T211" s="5" t="inlineStr">
        <is>
          <t>https://www.claro.com.br/celular/pos</t>
        </is>
      </c>
      <c r="U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4" t="n">
        <v>10</v>
      </c>
      <c r="L212" s="2" t="inlineStr"/>
      <c r="M212" s="2" t="n">
        <v>25</v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https://www.claro.com.br/celular/planos-pre/prezao</t>
        </is>
      </c>
      <c r="U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7" t="n">
        <v>12</v>
      </c>
      <c r="L213" s="5" t="inlineStr"/>
      <c r="M213" s="5" t="n">
        <v>30</v>
      </c>
      <c r="N213" s="5" t="inlineStr"/>
      <c r="O213" s="5" t="inlineStr"/>
      <c r="P213" s="5" t="inlineStr"/>
      <c r="Q213" s="5" t="inlineStr"/>
      <c r="R213" s="5" t="inlineStr"/>
      <c r="S213" s="5" t="inlineStr"/>
      <c r="T213" s="5" t="inlineStr">
        <is>
          <t>https://www.claro.com.br/celular/planos-pre/prezao</t>
        </is>
      </c>
      <c r="U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4" t="n">
        <v>4</v>
      </c>
      <c r="L214" s="2" t="inlineStr"/>
      <c r="M214" s="2" t="n">
        <v>12</v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https://www.claro.com.br/celular/planos-pre/prezao</t>
        </is>
      </c>
      <c r="U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7" t="n">
        <v>5</v>
      </c>
      <c r="L215" s="5" t="inlineStr"/>
      <c r="M215" s="5" t="n">
        <v>15</v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inlineStr">
        <is>
          <t>https://www.claro.com.br/celular/planos-pre/prezao</t>
        </is>
      </c>
      <c r="U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4" t="n">
        <v>6</v>
      </c>
      <c r="L216" s="2" t="inlineStr"/>
      <c r="M216" s="2" t="n">
        <v>20</v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https://www.claro.com.br/celular/planos-pre/prezao</t>
        </is>
      </c>
      <c r="U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7" t="n">
        <v>8</v>
      </c>
      <c r="L217" s="5" t="inlineStr"/>
      <c r="M217" s="5" t="n">
        <v>20</v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inlineStr">
        <is>
          <t>https://www.claro.com.br/celular/planos-pre/prezao</t>
        </is>
      </c>
      <c r="U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4" t="n">
        <v>9</v>
      </c>
      <c r="L218" s="2" t="inlineStr"/>
      <c r="M218" s="2" t="n">
        <v>25</v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https://www.claro.com.br/celular/planos-pre/prezao</t>
        </is>
      </c>
      <c r="U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7" t="n">
        <v>41</v>
      </c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>
        <is>
          <t>https://www.tim.com.br/sp/para-voce/planos/controle</t>
        </is>
      </c>
      <c r="U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4" t="n">
        <v>31</v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https://www.tim.com.br/sp/para-voce/planos/controle</t>
        </is>
      </c>
      <c r="U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7" t="n">
        <v>45</v>
      </c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>
        <is>
          <t>https://www.tim.com.br/sp/para-voce/planos/controle</t>
        </is>
      </c>
      <c r="U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4" t="n">
        <v>53</v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https://www.tim.com.br/sp/para-voce/planos/controle</t>
        </is>
      </c>
      <c r="U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7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>
        <is>
          <t>https://www.tim.com.br/sp/para-voce/planos/controle</t>
        </is>
      </c>
      <c r="U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4" t="n">
        <v>70</v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https://www.tim.com.br/sp/para-voce/planos/pos-pago/tim-black</t>
        </is>
      </c>
      <c r="U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7" t="n">
        <v>67</v>
      </c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>
        <is>
          <t>https://www.tim.com.br/sp/para-voce/planos/pos-pago/tim-black</t>
        </is>
      </c>
      <c r="U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4" t="n">
        <v>82</v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https://www.tim.com.br/sp/para-voce/planos/pos-pago/tim-black</t>
        </is>
      </c>
      <c r="U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7" t="n">
        <v>107</v>
      </c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>
        <is>
          <t>https://www.tim.com.br/sp/para-voce/planos/pos-pago/tim-black</t>
        </is>
      </c>
      <c r="U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4" t="n">
        <v>95</v>
      </c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https://www.tim.com.br/sp/para-voce/planos/pos-pago/tim-black</t>
        </is>
      </c>
      <c r="U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7" t="n">
        <v>80</v>
      </c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>
        <is>
          <t>https://www.tim.com.br/sp/para-voce/planos/pos-pago/tim-black</t>
        </is>
      </c>
      <c r="U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4" t="n">
        <v>110</v>
      </c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https://www.tim.com.br/sp/para-voce/planos/pos-pago/tim-black</t>
        </is>
      </c>
      <c r="U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7" t="n">
        <v>16</v>
      </c>
      <c r="L231" s="5" t="inlineStr"/>
      <c r="M231" s="5" t="n">
        <v>30</v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inlineStr">
        <is>
          <t>https://www.tim.com.br/sp/para-voce/planos/pre-pago</t>
        </is>
      </c>
      <c r="U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4" t="n">
        <v>6</v>
      </c>
      <c r="L232" s="2" t="inlineStr"/>
      <c r="M232" s="2" t="n">
        <v>30</v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https://www.tim.com.br/sp/para-voce/planos/pre-pago</t>
        </is>
      </c>
      <c r="U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7" t="n">
        <v>8</v>
      </c>
      <c r="L233" s="5" t="inlineStr"/>
      <c r="M233" s="5" t="n">
        <v>30</v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inlineStr">
        <is>
          <t>https://www.tim.com.br/sp/para-voce/planos/pre-pago</t>
        </is>
      </c>
      <c r="U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4" t="n">
        <v>46</v>
      </c>
      <c r="L234" s="2" t="inlineStr">
        <is>
          <t>15 GB de franquia 31 GB de bônus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>
        <is>
          <t>6 meses grátis de Gemini com AI Plus</t>
        </is>
      </c>
      <c r="T234" s="2" t="inlineStr">
        <is>
          <t>https://vivo.com.br/para-voce/produtos-e-servicos/para-o-celular/planos-controle</t>
        </is>
      </c>
      <c r="U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7" t="n">
        <v>51</v>
      </c>
      <c r="L235" s="5" t="inlineStr">
        <is>
          <t>20 GB de franquia 31 GB de bônus</t>
        </is>
      </c>
      <c r="M235" s="5" t="inlineStr"/>
      <c r="N235" s="5" t="inlineStr"/>
      <c r="O235" s="5" t="inlineStr"/>
      <c r="P235" s="5" t="inlineStr"/>
      <c r="Q235" s="5" t="inlineStr"/>
      <c r="R235" s="5" t="inlineStr"/>
      <c r="S235" s="5" t="inlineStr">
        <is>
          <t>6 meses grátis de Gemini com AI Plus</t>
        </is>
      </c>
      <c r="T235" s="5" t="inlineStr">
        <is>
          <t>https://vivo.com.br/para-voce/produtos-e-servicos/para-o-celular/planos-controle</t>
        </is>
      </c>
      <c r="U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4" t="n">
        <v>51</v>
      </c>
      <c r="L236" s="2" t="inlineStr">
        <is>
          <t>20 GB de franquia 31 GB de bônus</t>
        </is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>
        <is>
          <t>Assinatura Vivae inclusa</t>
        </is>
      </c>
      <c r="T236" s="2" t="inlineStr">
        <is>
          <t>https://vivo.com.br/para-voce/produtos-e-servicos/para-o-celular/planos-controle</t>
        </is>
      </c>
      <c r="U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7" t="n">
        <v>51</v>
      </c>
      <c r="L237" s="5" t="inlineStr">
        <is>
          <t>20 GB de franquia 31 GB de bônus</t>
        </is>
      </c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Assinatura Vivo TV Inicial inclusa</t>
        </is>
      </c>
      <c r="T237" s="5" t="inlineStr">
        <is>
          <t>https://vivo.com.br/para-voce/produtos-e-servicos/para-o-celular/planos-controle</t>
        </is>
      </c>
      <c r="U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4" t="n">
        <v>51</v>
      </c>
      <c r="L238" s="2" t="inlineStr">
        <is>
          <t>20 GB de franquia 31 GB de bônus</t>
        </is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>
        <is>
          <t>Apple Music Individual</t>
        </is>
      </c>
      <c r="T238" s="2" t="inlineStr">
        <is>
          <t>https://vivo.com.br/para-voce/produtos-e-servicos/para-o-celular/planos-controle</t>
        </is>
      </c>
      <c r="U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7" t="n">
        <v>51</v>
      </c>
      <c r="L239" s="5" t="inlineStr">
        <is>
          <t>20 GB de franquia 31 GB de bônus</t>
        </is>
      </c>
      <c r="M239" s="5" t="inlineStr"/>
      <c r="N239" s="5" t="inlineStr"/>
      <c r="O239" s="5" t="inlineStr"/>
      <c r="P239" s="5" t="inlineStr"/>
      <c r="Q239" s="5" t="inlineStr"/>
      <c r="R239" s="5" t="inlineStr"/>
      <c r="S239" s="5" t="inlineStr">
        <is>
          <t>Assinatura Netflix Padrão com anúncios</t>
        </is>
      </c>
      <c r="T239" s="5" t="inlineStr">
        <is>
          <t>https://vivo.com.br/para-voce/produtos-e-servicos/para-o-celular/planos-controle</t>
        </is>
      </c>
      <c r="U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4" t="n">
        <v>51</v>
      </c>
      <c r="L240" s="2" t="inlineStr">
        <is>
          <t>20 GB de franquia 31 GB de bônus</t>
        </is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>
        <is>
          <t>Assinatura Vale Saúde Sempre inclusa</t>
        </is>
      </c>
      <c r="T240" s="2" t="inlineStr">
        <is>
          <t>https://vivo.com.br/para-voce/produtos-e-servicos/para-o-celular/planos-controle</t>
        </is>
      </c>
      <c r="U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7" t="n">
        <v>30</v>
      </c>
      <c r="L241" s="5" t="inlineStr">
        <is>
          <t>30 GB de franquia</t>
        </is>
      </c>
      <c r="M241" s="5" t="inlineStr"/>
      <c r="N241" s="5" t="inlineStr"/>
      <c r="O241" s="5" t="inlineStr"/>
      <c r="P241" s="5" t="inlineStr"/>
      <c r="Q241" s="5" t="inlineStr"/>
      <c r="R241" s="5" t="inlineStr"/>
      <c r="S241" s="5" t="inlineStr">
        <is>
          <t>2 meses de YouTube sem consumo no plano</t>
        </is>
      </c>
      <c r="T241" s="5" t="inlineStr">
        <is>
          <t>https://vivo.com.br/para-voce/produtos-e-servicos/para-o-celular/easy-lite</t>
        </is>
      </c>
      <c r="U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4" t="n">
        <v>40</v>
      </c>
      <c r="L242" s="2" t="inlineStr">
        <is>
          <t>40 GB de franquia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>
        <is>
          <t>2 meses de YouTube sem consumo no plano</t>
        </is>
      </c>
      <c r="T242" s="2" t="inlineStr">
        <is>
          <t>https://vivo.com.br/para-voce/produtos-e-servicos/para-o-celular/easy-lite</t>
        </is>
      </c>
      <c r="U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7" t="n">
        <v>20</v>
      </c>
      <c r="L243" s="5" t="inlineStr">
        <is>
          <t>20 GB de franquia</t>
        </is>
      </c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2 meses de YouTube sem consumo no plano</t>
        </is>
      </c>
      <c r="T243" s="5" t="inlineStr">
        <is>
          <t>https://vivo.com.br/para-voce/produtos-e-servicos/para-o-celular/easy-lite</t>
        </is>
      </c>
      <c r="U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4" t="n">
        <v>60</v>
      </c>
      <c r="L244" s="2" t="inlineStr">
        <is>
          <t>50 GB de franquia 10 GB de bônus</t>
        </is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>
        <is>
          <t>Assinatura Amazon Prime inclusa</t>
        </is>
      </c>
      <c r="T244" s="2" t="inlineStr">
        <is>
          <t>https://vivo.com.br/para-voce/produtos-e-servicos/para-o-celular/planos-pos-pago</t>
        </is>
      </c>
      <c r="U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7" t="n">
        <v>60</v>
      </c>
      <c r="L245" s="5" t="inlineStr">
        <is>
          <t>50 GB de franquia 10 GB de bônus</t>
        </is>
      </c>
      <c r="M245" s="5" t="inlineStr"/>
      <c r="N245" s="5" t="inlineStr"/>
      <c r="O245" s="5" t="inlineStr"/>
      <c r="P245" s="5" t="inlineStr"/>
      <c r="Q245" s="5" t="inlineStr">
        <is>
          <t>Disney+</t>
        </is>
      </c>
      <c r="R245" s="5" t="inlineStr"/>
      <c r="S245" s="5" t="inlineStr">
        <is>
          <t>Assinatura Disney+ Padrão inclusa</t>
        </is>
      </c>
      <c r="T245" s="5" t="inlineStr">
        <is>
          <t>https://vivo.com.br/para-voce/produtos-e-servicos/para-o-celular/planos-pos-pago</t>
        </is>
      </c>
      <c r="U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4" t="n">
        <v>60</v>
      </c>
      <c r="L246" s="2" t="inlineStr">
        <is>
          <t>50 GB de franquia 10 GB de bônus</t>
        </is>
      </c>
      <c r="M246" s="2" t="inlineStr"/>
      <c r="N246" s="2" t="inlineStr"/>
      <c r="O246" s="2" t="inlineStr"/>
      <c r="P246" s="2" t="inlineStr"/>
      <c r="Q246" s="2" t="inlineStr">
        <is>
          <t>Globoplay</t>
        </is>
      </c>
      <c r="R246" s="2" t="inlineStr"/>
      <c r="S246" s="2" t="inlineStr">
        <is>
          <t>Assinatura Globoplay inclusa</t>
        </is>
      </c>
      <c r="T246" s="2" t="inlineStr">
        <is>
          <t>https://vivo.com.br/para-voce/produtos-e-servicos/para-o-celular/planos-pos-pago</t>
        </is>
      </c>
      <c r="U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7" t="n">
        <v>60</v>
      </c>
      <c r="L247" s="5" t="inlineStr">
        <is>
          <t>50 GB de franquia 10 GB de bônus</t>
        </is>
      </c>
      <c r="M247" s="5" t="inlineStr"/>
      <c r="N247" s="5" t="inlineStr"/>
      <c r="O247" s="5" t="inlineStr"/>
      <c r="P247" s="5" t="inlineStr"/>
      <c r="Q247" s="5" t="inlineStr">
        <is>
          <t>Netflix</t>
        </is>
      </c>
      <c r="R247" s="5" t="inlineStr"/>
      <c r="S247" s="5" t="inlineStr">
        <is>
          <t>Assinatura Netflix Padrão inclusa</t>
        </is>
      </c>
      <c r="T247" s="5" t="inlineStr">
        <is>
          <t>https://vivo.com.br/para-voce/produtos-e-servicos/para-o-celular/planos-pos-pago</t>
        </is>
      </c>
      <c r="U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4" t="n">
        <v>60</v>
      </c>
      <c r="L248" s="2" t="inlineStr">
        <is>
          <t>50 GB de franquia 10 GB de bônus</t>
        </is>
      </c>
      <c r="M248" s="2" t="inlineStr"/>
      <c r="N248" s="2" t="inlineStr"/>
      <c r="O248" s="2" t="inlineStr"/>
      <c r="P248" s="2" t="inlineStr"/>
      <c r="Q248" s="2" t="inlineStr">
        <is>
          <t>Premiere</t>
        </is>
      </c>
      <c r="R248" s="2" t="inlineStr"/>
      <c r="S248" s="2" t="inlineStr">
        <is>
          <t>Assinatura Premiere inclusa</t>
        </is>
      </c>
      <c r="T248" s="2" t="inlineStr">
        <is>
          <t>https://vivo.com.br/para-voce/produtos-e-servicos/para-o-celular/planos-pos-pago</t>
        </is>
      </c>
      <c r="U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7" t="n">
        <v>60</v>
      </c>
      <c r="L249" s="5" t="inlineStr">
        <is>
          <t>50 GB de franquia 10 GB de bônus</t>
        </is>
      </c>
      <c r="M249" s="5" t="inlineStr"/>
      <c r="N249" s="5" t="inlineStr"/>
      <c r="O249" s="5" t="inlineStr"/>
      <c r="P249" s="5" t="inlineStr"/>
      <c r="Q249" s="5" t="inlineStr">
        <is>
          <t>Spotify</t>
        </is>
      </c>
      <c r="R249" s="5" t="inlineStr"/>
      <c r="S249" s="5" t="inlineStr">
        <is>
          <t>Assinatura Spotify Premium inclusa</t>
        </is>
      </c>
      <c r="T249" s="5" t="inlineStr">
        <is>
          <t>https://vivo.com.br/para-voce/produtos-e-servicos/para-o-celular/planos-pos-pago</t>
        </is>
      </c>
      <c r="U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4" t="n">
        <v>70</v>
      </c>
      <c r="L250" s="2" t="inlineStr">
        <is>
          <t>60 GB de franquia 10 GB de bônus</t>
        </is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>
        <is>
          <t>6 meses grátis de Gemini com AI Plus</t>
        </is>
      </c>
      <c r="T250" s="2" t="inlineStr">
        <is>
          <t>https://vivo.com.br/para-voce/produtos-e-servicos/para-o-celular/planos-pos-pago</t>
        </is>
      </c>
      <c r="U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7" t="n">
        <v>25</v>
      </c>
      <c r="L251" s="5" t="inlineStr">
        <is>
          <t>15 GB para navegar como quiser 5 GB de bônus 5 GB para navegar no Youtube</t>
        </is>
      </c>
      <c r="M251" s="5" t="n">
        <v>30</v>
      </c>
      <c r="N251" s="5" t="inlineStr"/>
      <c r="O251" s="5" t="inlineStr"/>
      <c r="P251" s="5" t="inlineStr"/>
      <c r="Q251" s="5" t="inlineStr"/>
      <c r="R251" s="5" t="inlineStr"/>
      <c r="S251" s="5" t="inlineStr"/>
      <c r="T251" s="5" t="inlineStr">
        <is>
          <t>https://vivo.com.br/para-voce/produtos-e-servicos/para-o-celular/pre-pago/vivo-pre</t>
        </is>
      </c>
      <c r="U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4" t="n">
        <v>9</v>
      </c>
      <c r="L252" s="2" t="inlineStr">
        <is>
          <t>6 GB para navegar como quiser 3 GB para navegar no YouTube</t>
        </is>
      </c>
      <c r="M252" s="2" t="n">
        <v>22</v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https://vivo.com.br/para-voce/produtos-e-servicos/para-o-celular/pre-pago/vivo-pre</t>
        </is>
      </c>
      <c r="U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7" t="n">
        <v>5</v>
      </c>
      <c r="L253" s="5" t="inlineStr">
        <is>
          <t>5 GB para navegar como quiser</t>
        </is>
      </c>
      <c r="M253" s="5" t="n">
        <v>17</v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inlineStr">
        <is>
          <t>https://vivo.com.br/para-voce/produtos-e-servicos/para-o-celular/pre-pago/vivo-pre</t>
        </is>
      </c>
      <c r="U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4" t="n">
        <v>4</v>
      </c>
      <c r="L254" s="2" t="inlineStr">
        <is>
          <t>4 GB para navegar como quiser</t>
        </is>
      </c>
      <c r="M254" s="2" t="n">
        <v>15</v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https://vivo.com.br/para-voce/produtos-e-servicos/para-o-celular/pre-pago/vivo-pre</t>
        </is>
      </c>
      <c r="U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7" t="n">
        <v>25</v>
      </c>
      <c r="L255" s="5" t="inlineStr"/>
      <c r="M255" s="5" t="inlineStr"/>
      <c r="N255" s="5" t="inlineStr">
        <is>
          <t>WhatsApp</t>
        </is>
      </c>
      <c r="O255" s="5" t="inlineStr"/>
      <c r="P255" s="5" t="inlineStr"/>
      <c r="Q255" s="5" t="inlineStr"/>
      <c r="R255" s="5" t="inlineStr"/>
      <c r="S255" s="5" t="inlineStr">
        <is>
          <t>Para uso livre; Para redes sociais e vídeos; Bônus exclusivo; Aproveite na sua franquia; WhatsApp e ligações ilimitadas</t>
        </is>
      </c>
      <c r="T255" s="5" t="inlineStr">
        <is>
          <t>https://www.claro.com.br/celular/controle</t>
        </is>
      </c>
      <c r="U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4" t="n">
        <v>30</v>
      </c>
      <c r="L256" s="2" t="inlineStr"/>
      <c r="M256" s="2" t="inlineStr"/>
      <c r="N256" s="2" t="inlineStr">
        <is>
          <t>WhatsApp</t>
        </is>
      </c>
      <c r="O256" s="2" t="inlineStr"/>
      <c r="P256" s="2" t="inlineStr"/>
      <c r="Q256" s="2" t="inlineStr"/>
      <c r="R256" s="2" t="inlineStr"/>
      <c r="S256" s="2" t="inlineStr">
        <is>
          <t>Para uso livre; Bônus do Hexa para uso livre; Bônus para redes sociais e apps; Redes sociais e apps; WhatsApp ilimitado</t>
        </is>
      </c>
      <c r="T256" s="2" t="inlineStr">
        <is>
          <t>https://www.claro.com.br/celular/controle</t>
        </is>
      </c>
      <c r="U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7" t="n">
        <v>30</v>
      </c>
      <c r="L257" s="5" t="inlineStr"/>
      <c r="M257" s="5" t="inlineStr"/>
      <c r="N257" s="5" t="inlineStr">
        <is>
          <t>WhatsApp</t>
        </is>
      </c>
      <c r="O257" s="5" t="inlineStr"/>
      <c r="P257" s="5" t="inlineStr"/>
      <c r="Q257" s="5" t="inlineStr"/>
      <c r="R257" s="5" t="inlineStr"/>
      <c r="S257" s="5" t="inlineStr">
        <is>
          <t>Para uso livre; Bônus para redes sociais e apps; Bônus uso livre; Redes sociais e apps; WhatsApp ilimitado</t>
        </is>
      </c>
      <c r="T257" s="5" t="inlineStr">
        <is>
          <t>https://www.claro.com.br/celular/controle</t>
        </is>
      </c>
      <c r="U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4" t="n">
        <v>15</v>
      </c>
      <c r="L258" s="2" t="inlineStr"/>
      <c r="M258" s="2" t="inlineStr"/>
      <c r="N258" s="2" t="inlineStr">
        <is>
          <t>WhatsApp</t>
        </is>
      </c>
      <c r="O258" s="2" t="inlineStr"/>
      <c r="P258" s="2" t="inlineStr"/>
      <c r="Q258" s="2" t="inlineStr"/>
      <c r="R258" s="2" t="inlineStr"/>
      <c r="S258" s="2" t="inlineStr">
        <is>
          <t>Para uso livre; Bônus do Hexa para uso livre; Para redes sociais e apps; Bônus extra nos apps; WhatsApp ilimitado</t>
        </is>
      </c>
      <c r="T258" s="2" t="inlineStr">
        <is>
          <t>https://www.claro.com.br/celular/flex</t>
        </is>
      </c>
      <c r="U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7" t="n">
        <v>20</v>
      </c>
      <c r="L259" s="5" t="inlineStr"/>
      <c r="M259" s="5" t="inlineStr"/>
      <c r="N259" s="5" t="inlineStr">
        <is>
          <t>WhatsApp</t>
        </is>
      </c>
      <c r="O259" s="5" t="inlineStr"/>
      <c r="P259" s="5" t="inlineStr"/>
      <c r="Q259" s="5" t="inlineStr"/>
      <c r="R259" s="5" t="inlineStr"/>
      <c r="S259" s="5" t="inlineStr">
        <is>
          <t>Para uso livre; Bônus do Hexa para uso livre; Para redes sociais e apps; Bônus extra nos apps; WhatsApp ilimitado</t>
        </is>
      </c>
      <c r="T259" s="5" t="inlineStr">
        <is>
          <t>https://www.claro.com.br/celular/flex</t>
        </is>
      </c>
      <c r="U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4" t="n">
        <v>30</v>
      </c>
      <c r="L260" s="2" t="inlineStr"/>
      <c r="M260" s="2" t="inlineStr"/>
      <c r="N260" s="2" t="inlineStr">
        <is>
          <t>WhatsApp</t>
        </is>
      </c>
      <c r="O260" s="2" t="inlineStr"/>
      <c r="P260" s="2" t="inlineStr"/>
      <c r="Q260" s="2" t="inlineStr"/>
      <c r="R260" s="2" t="inlineStr"/>
      <c r="S260" s="2" t="inlineStr">
        <is>
          <t>Para uso livre; Bônus do Hexa para uso livre; Para redes sociais e apps; Bônus extra nos apps; WhatsApp ilimitado; Assinatura Claro musica inclusa</t>
        </is>
      </c>
      <c r="T260" s="2" t="inlineStr">
        <is>
          <t>https://www.claro.com.br/celular/flex</t>
        </is>
      </c>
      <c r="U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7" t="n">
        <v>40</v>
      </c>
      <c r="L261" s="5" t="inlineStr"/>
      <c r="M261" s="5" t="inlineStr"/>
      <c r="N261" s="5" t="inlineStr">
        <is>
          <t>WhatsApp</t>
        </is>
      </c>
      <c r="O261" s="5" t="inlineStr"/>
      <c r="P261" s="5" t="inlineStr"/>
      <c r="Q261" s="5" t="inlineStr"/>
      <c r="R261" s="5" t="inlineStr"/>
      <c r="S261" s="5" t="inlineStr">
        <is>
          <t>Para uso livre; Para redes sociais e apps; Bônus uso livre; Bônus extra nos apps; WhatsApp ilimitado; Assinatura Claro musica inclusa</t>
        </is>
      </c>
      <c r="T261" s="5" t="inlineStr">
        <is>
          <t>https://www.claro.com.br/celular/flex</t>
        </is>
      </c>
      <c r="U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4" t="n">
        <v>100</v>
      </c>
      <c r="L262" s="2" t="inlineStr"/>
      <c r="M262" s="2" t="inlineStr"/>
      <c r="N262" s="2" t="inlineStr">
        <is>
          <t>WhatsApp</t>
        </is>
      </c>
      <c r="O262" s="2" t="inlineStr"/>
      <c r="P262" s="2" t="inlineStr"/>
      <c r="Q262" s="2" t="inlineStr"/>
      <c r="R262" s="2" t="inlineStr"/>
      <c r="S262" s="2" t="inlineStr">
        <is>
          <t>Armazenamento na nuvem:; Google One ou iCloud+; WhatsApp ilimitado; Roaming: Passaporte Américas; Claro Sync: Smartwatch conectado</t>
        </is>
      </c>
      <c r="T262" s="2" t="inlineStr">
        <is>
          <t>https://www.claro.com.br/celular/pos</t>
        </is>
      </c>
      <c r="U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7" t="n">
        <v>150</v>
      </c>
      <c r="L263" s="5" t="inlineStr"/>
      <c r="M263" s="5" t="inlineStr"/>
      <c r="N263" s="5" t="inlineStr">
        <is>
          <t>WhatsApp</t>
        </is>
      </c>
      <c r="O263" s="5" t="inlineStr"/>
      <c r="P263" s="5" t="inlineStr"/>
      <c r="Q263" s="5" t="inlineStr"/>
      <c r="R263" s="5" t="inlineStr"/>
      <c r="S263" s="5" t="inlineStr">
        <is>
          <t>Armazenamento na nuvem:; Google One ou iCloud+; WhatsApp ilimitado; Roaming: Passaporte Américas e Europa; Claro Sync: Smartwatch conectado</t>
        </is>
      </c>
      <c r="T263" s="5" t="inlineStr">
        <is>
          <t>https://www.claro.com.br/celular/pos</t>
        </is>
      </c>
      <c r="U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4" t="n">
        <v>200</v>
      </c>
      <c r="L264" s="2" t="inlineStr"/>
      <c r="M264" s="2" t="inlineStr"/>
      <c r="N264" s="2" t="inlineStr">
        <is>
          <t>WhatsApp</t>
        </is>
      </c>
      <c r="O264" s="2" t="inlineStr"/>
      <c r="P264" s="2" t="inlineStr"/>
      <c r="Q264" s="2" t="inlineStr"/>
      <c r="R264" s="2" t="inlineStr"/>
      <c r="S264" s="2" t="inlineStr">
        <is>
          <t>Armazenamento na nuvem:; Google One ou iCloud+; WhatsApp ilimitado; Roaming: Passaporte Mundo; Claro Sync: Smartwatch conectado</t>
        </is>
      </c>
      <c r="T264" s="2" t="inlineStr">
        <is>
          <t>https://www.claro.com.br/celular/pos</t>
        </is>
      </c>
      <c r="U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7" t="n">
        <v>50</v>
      </c>
      <c r="L265" s="5" t="inlineStr"/>
      <c r="M265" s="5" t="inlineStr"/>
      <c r="N265" s="5" t="inlineStr">
        <is>
          <t>WhatsApp</t>
        </is>
      </c>
      <c r="O265" s="5" t="inlineStr"/>
      <c r="P265" s="5" t="inlineStr"/>
      <c r="Q265" s="5" t="inlineStr"/>
      <c r="R265" s="5" t="inlineStr"/>
      <c r="S265" s="5" t="inlineStr">
        <is>
          <t>Armazenamento na nuvem:; Google One ou iCloud+; WhatsApp ilimitado; Roaming: Passaporte Américas; Claro Sync: Smartwatch conectado; Inclusa assinatura GeForce NOW</t>
        </is>
      </c>
      <c r="T265" s="5" t="inlineStr">
        <is>
          <t>https://www.claro.com.br/celular/pos</t>
        </is>
      </c>
      <c r="U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4" t="n">
        <v>60</v>
      </c>
      <c r="L266" s="2" t="inlineStr"/>
      <c r="M266" s="2" t="inlineStr"/>
      <c r="N266" s="2" t="inlineStr">
        <is>
          <t>WhatsApp</t>
        </is>
      </c>
      <c r="O266" s="2" t="inlineStr"/>
      <c r="P266" s="2" t="inlineStr"/>
      <c r="Q266" s="2" t="inlineStr"/>
      <c r="R266" s="2" t="inlineStr"/>
      <c r="S266" s="2" t="inlineStr">
        <is>
          <t>Armazenamento na nuvem:; Google One ou iCloud+; WhatsApp ilimitado; Roaming: Passaporte Américas; Claro Sync: Smartwatch conectado</t>
        </is>
      </c>
      <c r="T266" s="2" t="inlineStr">
        <is>
          <t>https://www.claro.com.br/celular/pos</t>
        </is>
      </c>
      <c r="U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7" t="n">
        <v>10</v>
      </c>
      <c r="L267" s="5" t="inlineStr"/>
      <c r="M267" s="5" t="n">
        <v>25</v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inlineStr">
        <is>
          <t>https://www.claro.com.br/celular/planos-pre/prezao</t>
        </is>
      </c>
      <c r="U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4" t="n">
        <v>12</v>
      </c>
      <c r="L268" s="2" t="inlineStr"/>
      <c r="M268" s="2" t="n">
        <v>30</v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https://www.claro.com.br/celular/planos-pre/prezao</t>
        </is>
      </c>
      <c r="U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7" t="n">
        <v>4</v>
      </c>
      <c r="L269" s="5" t="inlineStr"/>
      <c r="M269" s="5" t="n">
        <v>12</v>
      </c>
      <c r="N269" s="5" t="inlineStr"/>
      <c r="O269" s="5" t="inlineStr"/>
      <c r="P269" s="5" t="inlineStr"/>
      <c r="Q269" s="5" t="inlineStr"/>
      <c r="R269" s="5" t="inlineStr"/>
      <c r="S269" s="5" t="inlineStr"/>
      <c r="T269" s="5" t="inlineStr">
        <is>
          <t>https://www.claro.com.br/celular/planos-pre/prezao</t>
        </is>
      </c>
      <c r="U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4" t="n">
        <v>5</v>
      </c>
      <c r="L270" s="2" t="inlineStr"/>
      <c r="M270" s="2" t="n">
        <v>15</v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https://www.claro.com.br/celular/planos-pre/prezao</t>
        </is>
      </c>
      <c r="U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7" t="n">
        <v>6</v>
      </c>
      <c r="L271" s="5" t="inlineStr"/>
      <c r="M271" s="5" t="n">
        <v>20</v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inlineStr">
        <is>
          <t>https://www.claro.com.br/celular/planos-pre/prezao</t>
        </is>
      </c>
      <c r="U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4" t="n">
        <v>8</v>
      </c>
      <c r="L272" s="2" t="inlineStr"/>
      <c r="M272" s="2" t="n">
        <v>20</v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https://www.claro.com.br/celular/planos-pre/prezao</t>
        </is>
      </c>
      <c r="U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7" t="n">
        <v>9</v>
      </c>
      <c r="L273" s="5" t="inlineStr"/>
      <c r="M273" s="5" t="n">
        <v>25</v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inlineStr">
        <is>
          <t>https://www.claro.com.br/celular/planos-pre/prezao</t>
        </is>
      </c>
      <c r="U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4" t="n">
        <v>41</v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https://www.tim.com.br/sp/para-voce/planos/controle</t>
        </is>
      </c>
      <c r="U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7" t="n">
        <v>31</v>
      </c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>
        <is>
          <t>https://www.tim.com.br/sp/para-voce/planos/controle</t>
        </is>
      </c>
      <c r="U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4" t="n">
        <v>45</v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https://www.tim.com.br/sp/para-voce/planos/controle</t>
        </is>
      </c>
      <c r="U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7" t="n">
        <v>53</v>
      </c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>
        <is>
          <t>https://www.tim.com.br/sp/para-voce/planos/controle</t>
        </is>
      </c>
      <c r="U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4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https://www.tim.com.br/sp/para-voce/planos/controle</t>
        </is>
      </c>
      <c r="U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7" t="n">
        <v>70</v>
      </c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>
        <is>
          <t>https://www.tim.com.br/sp/para-voce/planos/pos-pago/tim-black</t>
        </is>
      </c>
      <c r="U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4" t="n">
        <v>67</v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https://www.tim.com.br/sp/para-voce/planos/pos-pago/tim-black</t>
        </is>
      </c>
      <c r="U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7" t="n">
        <v>82</v>
      </c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>
        <is>
          <t>https://www.tim.com.br/sp/para-voce/planos/pos-pago/tim-black</t>
        </is>
      </c>
      <c r="U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4" t="n">
        <v>107</v>
      </c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https://www.tim.com.br/sp/para-voce/planos/pos-pago/tim-black</t>
        </is>
      </c>
      <c r="U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7" t="n">
        <v>95</v>
      </c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>
        <is>
          <t>https://www.tim.com.br/sp/para-voce/planos/pos-pago/tim-black</t>
        </is>
      </c>
      <c r="U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4" t="n">
        <v>80</v>
      </c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https://www.tim.com.br/sp/para-voce/planos/pos-pago/tim-black</t>
        </is>
      </c>
      <c r="U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7" t="n">
        <v>110</v>
      </c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>
        <is>
          <t>https://www.tim.com.br/sp/para-voce/planos/pos-pago/tim-black</t>
        </is>
      </c>
      <c r="U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4" t="n">
        <v>16</v>
      </c>
      <c r="L286" s="2" t="inlineStr"/>
      <c r="M286" s="2" t="n">
        <v>30</v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https://www.tim.com.br/sp/para-voce/planos/pre-pago</t>
        </is>
      </c>
      <c r="U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7" t="n">
        <v>6</v>
      </c>
      <c r="L287" s="5" t="inlineStr"/>
      <c r="M287" s="5" t="n">
        <v>30</v>
      </c>
      <c r="N287" s="5" t="inlineStr"/>
      <c r="O287" s="5" t="inlineStr"/>
      <c r="P287" s="5" t="inlineStr"/>
      <c r="Q287" s="5" t="inlineStr"/>
      <c r="R287" s="5" t="inlineStr"/>
      <c r="S287" s="5" t="inlineStr"/>
      <c r="T287" s="5" t="inlineStr">
        <is>
          <t>https://www.tim.com.br/sp/para-voce/planos/pre-pago</t>
        </is>
      </c>
      <c r="U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4" t="n">
        <v>8</v>
      </c>
      <c r="L288" s="2" t="inlineStr"/>
      <c r="M288" s="2" t="n">
        <v>30</v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https://www.tim.com.br/sp/para-voce/planos/pre-pago</t>
        </is>
      </c>
      <c r="U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7" t="n">
        <v>46</v>
      </c>
      <c r="L289" s="5" t="inlineStr">
        <is>
          <t>15 GB de franquia 31 GB de bônus</t>
        </is>
      </c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6 meses grátis de Gemini com AI Plus</t>
        </is>
      </c>
      <c r="T289" s="5" t="inlineStr">
        <is>
          <t>https://vivo.com.br/para-voce/produtos-e-servicos/para-o-celular/planos-controle</t>
        </is>
      </c>
      <c r="U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4" t="n">
        <v>61</v>
      </c>
      <c r="L290" s="2" t="inlineStr">
        <is>
          <t>20 GB de franquia 31 GB de bônus</t>
        </is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>
        <is>
          <t>6 meses grátis de Gemini com AI Plus</t>
        </is>
      </c>
      <c r="T290" s="2" t="inlineStr">
        <is>
          <t>https://vivo.com.br/para-voce/produtos-e-servicos/para-o-celular/planos-controle</t>
        </is>
      </c>
      <c r="U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7" t="n">
        <v>61</v>
      </c>
      <c r="L291" s="5" t="inlineStr">
        <is>
          <t>20 GB de franquia 31 GB de bônus</t>
        </is>
      </c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Assinatura Vivae inclusa</t>
        </is>
      </c>
      <c r="T291" s="5" t="inlineStr">
        <is>
          <t>https://vivo.com.br/para-voce/produtos-e-servicos/para-o-celular/planos-controle</t>
        </is>
      </c>
      <c r="U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4" t="n">
        <v>61</v>
      </c>
      <c r="L292" s="2" t="inlineStr">
        <is>
          <t>20 GB de franquia 31 GB de bônus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>
        <is>
          <t>Assinatura Vivo TV Inicial inclusa</t>
        </is>
      </c>
      <c r="T292" s="2" t="inlineStr">
        <is>
          <t>https://vivo.com.br/para-voce/produtos-e-servicos/para-o-celular/planos-controle</t>
        </is>
      </c>
      <c r="U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7" t="n">
        <v>61</v>
      </c>
      <c r="L293" s="5" t="inlineStr">
        <is>
          <t>20 GB de franquia 31 GB de bônus</t>
        </is>
      </c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Apple Music Individual</t>
        </is>
      </c>
      <c r="T293" s="5" t="inlineStr">
        <is>
          <t>https://vivo.com.br/para-voce/produtos-e-servicos/para-o-celular/planos-controle</t>
        </is>
      </c>
      <c r="U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4" t="n">
        <v>61</v>
      </c>
      <c r="L294" s="2" t="inlineStr">
        <is>
          <t>20 GB de franquia 31 GB de bônus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>
        <is>
          <t>Assinatura Netflix Padrão com anúncios</t>
        </is>
      </c>
      <c r="T294" s="2" t="inlineStr">
        <is>
          <t>https://vivo.com.br/para-voce/produtos-e-servicos/para-o-celular/planos-controle</t>
        </is>
      </c>
      <c r="U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7" t="n">
        <v>61</v>
      </c>
      <c r="L295" s="5" t="inlineStr">
        <is>
          <t>20 GB de franquia 31 GB de bônus</t>
        </is>
      </c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Assinatura Vale Saúde Sempre inclusa</t>
        </is>
      </c>
      <c r="T295" s="5" t="inlineStr">
        <is>
          <t>https://vivo.com.br/para-voce/produtos-e-servicos/para-o-celular/planos-controle</t>
        </is>
      </c>
      <c r="U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4" t="n">
        <v>30</v>
      </c>
      <c r="L296" s="2" t="inlineStr">
        <is>
          <t>30 GB de franquia</t>
        </is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>
        <is>
          <t>2 meses de YouTube sem consumo no plano</t>
        </is>
      </c>
      <c r="T296" s="2" t="inlineStr">
        <is>
          <t>https://vivo.com.br/para-voce/produtos-e-servicos/para-o-celular/easy-lite</t>
        </is>
      </c>
      <c r="U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7" t="n">
        <v>40</v>
      </c>
      <c r="L297" s="5" t="inlineStr">
        <is>
          <t>40 GB de franquia</t>
        </is>
      </c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2 meses de YouTube sem consumo no plano</t>
        </is>
      </c>
      <c r="T297" s="5" t="inlineStr">
        <is>
          <t>https://vivo.com.br/para-voce/produtos-e-servicos/para-o-celular/easy-lite</t>
        </is>
      </c>
      <c r="U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4" t="n">
        <v>20</v>
      </c>
      <c r="L298" s="2" t="inlineStr">
        <is>
          <t>20 GB de franquia</t>
        </is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>
        <is>
          <t>2 meses de YouTube sem consumo no plano</t>
        </is>
      </c>
      <c r="T298" s="2" t="inlineStr">
        <is>
          <t>https://vivo.com.br/para-voce/produtos-e-servicos/para-o-celular/easy-lite</t>
        </is>
      </c>
      <c r="U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7" t="n">
        <v>60</v>
      </c>
      <c r="L299" s="5" t="inlineStr">
        <is>
          <t>50 GB de franquia 10 GB de bônus</t>
        </is>
      </c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Assinatura Amazon Prime inclusa</t>
        </is>
      </c>
      <c r="T299" s="5" t="inlineStr">
        <is>
          <t>https://vivo.com.br/para-voce/produtos-e-servicos/para-o-celular/planos-pos-pago</t>
        </is>
      </c>
      <c r="U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4" t="n">
        <v>60</v>
      </c>
      <c r="L300" s="2" t="inlineStr">
        <is>
          <t>50 GB de franquia 10 GB de bônus</t>
        </is>
      </c>
      <c r="M300" s="2" t="inlineStr"/>
      <c r="N300" s="2" t="inlineStr"/>
      <c r="O300" s="2" t="inlineStr"/>
      <c r="P300" s="2" t="inlineStr"/>
      <c r="Q300" s="2" t="inlineStr">
        <is>
          <t>Disney+</t>
        </is>
      </c>
      <c r="R300" s="2" t="inlineStr"/>
      <c r="S300" s="2" t="inlineStr">
        <is>
          <t>Assinatura Disney+ Padrão inclusa</t>
        </is>
      </c>
      <c r="T300" s="2" t="inlineStr">
        <is>
          <t>https://vivo.com.br/para-voce/produtos-e-servicos/para-o-celular/planos-pos-pago</t>
        </is>
      </c>
      <c r="U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7" t="n">
        <v>60</v>
      </c>
      <c r="L301" s="5" t="inlineStr">
        <is>
          <t>50 GB de franquia 10 GB de bônus</t>
        </is>
      </c>
      <c r="M301" s="5" t="inlineStr"/>
      <c r="N301" s="5" t="inlineStr"/>
      <c r="O301" s="5" t="inlineStr"/>
      <c r="P301" s="5" t="inlineStr"/>
      <c r="Q301" s="5" t="inlineStr">
        <is>
          <t>Globoplay</t>
        </is>
      </c>
      <c r="R301" s="5" t="inlineStr"/>
      <c r="S301" s="5" t="inlineStr">
        <is>
          <t>Assinatura Globoplay inclusa</t>
        </is>
      </c>
      <c r="T301" s="5" t="inlineStr">
        <is>
          <t>https://vivo.com.br/para-voce/produtos-e-servicos/para-o-celular/planos-pos-pago</t>
        </is>
      </c>
      <c r="U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4" t="n">
        <v>60</v>
      </c>
      <c r="L302" s="2" t="inlineStr">
        <is>
          <t>50 GB de franquia 10 GB de bônus</t>
        </is>
      </c>
      <c r="M302" s="2" t="inlineStr"/>
      <c r="N302" s="2" t="inlineStr"/>
      <c r="O302" s="2" t="inlineStr"/>
      <c r="P302" s="2" t="inlineStr"/>
      <c r="Q302" s="2" t="inlineStr">
        <is>
          <t>Netflix</t>
        </is>
      </c>
      <c r="R302" s="2" t="inlineStr"/>
      <c r="S302" s="2" t="inlineStr">
        <is>
          <t>Assinatura Netflix Padrão inclusa</t>
        </is>
      </c>
      <c r="T302" s="2" t="inlineStr">
        <is>
          <t>https://vivo.com.br/para-voce/produtos-e-servicos/para-o-celular/planos-pos-pago</t>
        </is>
      </c>
      <c r="U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7" t="n">
        <v>60</v>
      </c>
      <c r="L303" s="5" t="inlineStr">
        <is>
          <t>50 GB de franquia 10 GB de bônus</t>
        </is>
      </c>
      <c r="M303" s="5" t="inlineStr"/>
      <c r="N303" s="5" t="inlineStr"/>
      <c r="O303" s="5" t="inlineStr"/>
      <c r="P303" s="5" t="inlineStr"/>
      <c r="Q303" s="5" t="inlineStr">
        <is>
          <t>Premiere</t>
        </is>
      </c>
      <c r="R303" s="5" t="inlineStr"/>
      <c r="S303" s="5" t="inlineStr">
        <is>
          <t>Assinatura Premiere inclusa</t>
        </is>
      </c>
      <c r="T303" s="5" t="inlineStr">
        <is>
          <t>https://vivo.com.br/para-voce/produtos-e-servicos/para-o-celular/planos-pos-pago</t>
        </is>
      </c>
      <c r="U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4" t="n">
        <v>60</v>
      </c>
      <c r="L304" s="2" t="inlineStr">
        <is>
          <t>50 GB de franquia 10 GB de bônus</t>
        </is>
      </c>
      <c r="M304" s="2" t="inlineStr"/>
      <c r="N304" s="2" t="inlineStr"/>
      <c r="O304" s="2" t="inlineStr"/>
      <c r="P304" s="2" t="inlineStr"/>
      <c r="Q304" s="2" t="inlineStr">
        <is>
          <t>Spotify</t>
        </is>
      </c>
      <c r="R304" s="2" t="inlineStr"/>
      <c r="S304" s="2" t="inlineStr">
        <is>
          <t>Assinatura Spotify Premium inclusa</t>
        </is>
      </c>
      <c r="T304" s="2" t="inlineStr">
        <is>
          <t>https://vivo.com.br/para-voce/produtos-e-servicos/para-o-celular/planos-pos-pago</t>
        </is>
      </c>
      <c r="U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7" t="n">
        <v>70</v>
      </c>
      <c r="L305" s="5" t="inlineStr">
        <is>
          <t>60 GB de franquia 10 GB de bônus</t>
        </is>
      </c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6 meses grátis de Gemini com AI Plus</t>
        </is>
      </c>
      <c r="T305" s="5" t="inlineStr">
        <is>
          <t>https://vivo.com.br/para-voce/produtos-e-servicos/para-o-celular/planos-pos-pago</t>
        </is>
      </c>
      <c r="U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4" t="n">
        <v>25</v>
      </c>
      <c r="L306" s="2" t="inlineStr">
        <is>
          <t>15 GB para navegar como quiser 5 GB de bônus 5 GB para navegar no Youtube</t>
        </is>
      </c>
      <c r="M306" s="2" t="n">
        <v>30</v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https://vivo.com.br/para-voce/produtos-e-servicos/para-o-celular/pre-pago/vivo-pre</t>
        </is>
      </c>
      <c r="U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7" t="n">
        <v>9</v>
      </c>
      <c r="L307" s="5" t="inlineStr">
        <is>
          <t>6 GB para navegar como quiser 3 GB para navegar no YouTube</t>
        </is>
      </c>
      <c r="M307" s="5" t="n">
        <v>22</v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inlineStr">
        <is>
          <t>https://vivo.com.br/para-voce/produtos-e-servicos/para-o-celular/pre-pago/vivo-pre</t>
        </is>
      </c>
      <c r="U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4" t="n">
        <v>5</v>
      </c>
      <c r="L308" s="2" t="inlineStr">
        <is>
          <t>5 GB para navegar como quiser</t>
        </is>
      </c>
      <c r="M308" s="2" t="n">
        <v>17</v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https://vivo.com.br/para-voce/produtos-e-servicos/para-o-celular/pre-pago/vivo-pre</t>
        </is>
      </c>
      <c r="U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7" t="n">
        <v>4</v>
      </c>
      <c r="L309" s="5" t="inlineStr">
        <is>
          <t>4 GB para navegar como quiser</t>
        </is>
      </c>
      <c r="M309" s="5" t="n">
        <v>15</v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inlineStr">
        <is>
          <t>https://vivo.com.br/para-voce/produtos-e-servicos/para-o-celular/pre-pago/vivo-pre</t>
        </is>
      </c>
      <c r="U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4" t="n">
        <v>25</v>
      </c>
      <c r="L310" s="2" t="inlineStr"/>
      <c r="M310" s="2" t="inlineStr"/>
      <c r="N310" s="2" t="inlineStr">
        <is>
          <t>WhatsApp</t>
        </is>
      </c>
      <c r="O310" s="2" t="inlineStr"/>
      <c r="P310" s="2" t="inlineStr"/>
      <c r="Q310" s="2" t="inlineStr"/>
      <c r="R310" s="2" t="inlineStr"/>
      <c r="S310" s="2" t="inlineStr">
        <is>
          <t>Para uso livre; Para redes sociais e vídeos; Bônus exclusivo; Aproveite na sua franquia; WhatsApp e ligações ilimitadas</t>
        </is>
      </c>
      <c r="T310" s="2" t="inlineStr">
        <is>
          <t>https://www.claro.com.br/celular/controle</t>
        </is>
      </c>
      <c r="U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7" t="n">
        <v>30</v>
      </c>
      <c r="L311" s="5" t="inlineStr"/>
      <c r="M311" s="5" t="inlineStr"/>
      <c r="N311" s="5" t="inlineStr">
        <is>
          <t>WhatsApp</t>
        </is>
      </c>
      <c r="O311" s="5" t="inlineStr"/>
      <c r="P311" s="5" t="inlineStr"/>
      <c r="Q311" s="5" t="inlineStr"/>
      <c r="R311" s="5" t="inlineStr"/>
      <c r="S311" s="5" t="inlineStr">
        <is>
          <t>Para uso livre; Bônus do Hexa para uso livre; Bônus para redes sociais e apps; Redes sociais e apps; WhatsApp ilimitado</t>
        </is>
      </c>
      <c r="T311" s="5" t="inlineStr">
        <is>
          <t>https://www.claro.com.br/celular/controle</t>
        </is>
      </c>
      <c r="U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4" t="n">
        <v>30</v>
      </c>
      <c r="L312" s="2" t="inlineStr"/>
      <c r="M312" s="2" t="inlineStr"/>
      <c r="N312" s="2" t="inlineStr">
        <is>
          <t>WhatsApp</t>
        </is>
      </c>
      <c r="O312" s="2" t="inlineStr"/>
      <c r="P312" s="2" t="inlineStr"/>
      <c r="Q312" s="2" t="inlineStr"/>
      <c r="R312" s="2" t="inlineStr"/>
      <c r="S312" s="2" t="inlineStr">
        <is>
          <t>Para uso livre; Bônus para redes sociais e apps; Bônus uso livre; Redes sociais e apps; WhatsApp ilimitado</t>
        </is>
      </c>
      <c r="T312" s="2" t="inlineStr">
        <is>
          <t>https://www.claro.com.br/celular/controle</t>
        </is>
      </c>
      <c r="U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7" t="n">
        <v>15</v>
      </c>
      <c r="L313" s="5" t="inlineStr"/>
      <c r="M313" s="5" t="inlineStr"/>
      <c r="N313" s="5" t="inlineStr">
        <is>
          <t>WhatsApp</t>
        </is>
      </c>
      <c r="O313" s="5" t="inlineStr"/>
      <c r="P313" s="5" t="inlineStr"/>
      <c r="Q313" s="5" t="inlineStr"/>
      <c r="R313" s="5" t="inlineStr"/>
      <c r="S313" s="5" t="inlineStr">
        <is>
          <t>Para uso livre; Bônus do Hexa para uso livre; Para redes sociais e apps; Bônus extra nos apps; WhatsApp ilimitado</t>
        </is>
      </c>
      <c r="T313" s="5" t="inlineStr">
        <is>
          <t>https://www.claro.com.br/celular/flex</t>
        </is>
      </c>
      <c r="U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4" t="n">
        <v>20</v>
      </c>
      <c r="L314" s="2" t="inlineStr"/>
      <c r="M314" s="2" t="inlineStr"/>
      <c r="N314" s="2" t="inlineStr">
        <is>
          <t>WhatsApp</t>
        </is>
      </c>
      <c r="O314" s="2" t="inlineStr"/>
      <c r="P314" s="2" t="inlineStr"/>
      <c r="Q314" s="2" t="inlineStr"/>
      <c r="R314" s="2" t="inlineStr"/>
      <c r="S314" s="2" t="inlineStr">
        <is>
          <t>Para uso livre; Bônus do Hexa para uso livre; Para redes sociais e apps; Bônus extra nos apps; WhatsApp ilimitado</t>
        </is>
      </c>
      <c r="T314" s="2" t="inlineStr">
        <is>
          <t>https://www.claro.com.br/celular/flex</t>
        </is>
      </c>
      <c r="U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7" t="n">
        <v>30</v>
      </c>
      <c r="L315" s="5" t="inlineStr"/>
      <c r="M315" s="5" t="inlineStr"/>
      <c r="N315" s="5" t="inlineStr">
        <is>
          <t>WhatsApp</t>
        </is>
      </c>
      <c r="O315" s="5" t="inlineStr"/>
      <c r="P315" s="5" t="inlineStr"/>
      <c r="Q315" s="5" t="inlineStr"/>
      <c r="R315" s="5" t="inlineStr"/>
      <c r="S315" s="5" t="inlineStr">
        <is>
          <t>Para uso livre; Bônus do Hexa para uso livre; Para redes sociais e apps; Bônus extra nos apps; WhatsApp ilimitado; Assinatura Claro musica inclusa</t>
        </is>
      </c>
      <c r="T315" s="5" t="inlineStr">
        <is>
          <t>https://www.claro.com.br/celular/flex</t>
        </is>
      </c>
      <c r="U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4" t="n">
        <v>40</v>
      </c>
      <c r="L316" s="2" t="inlineStr"/>
      <c r="M316" s="2" t="inlineStr"/>
      <c r="N316" s="2" t="inlineStr">
        <is>
          <t>WhatsApp</t>
        </is>
      </c>
      <c r="O316" s="2" t="inlineStr"/>
      <c r="P316" s="2" t="inlineStr"/>
      <c r="Q316" s="2" t="inlineStr"/>
      <c r="R316" s="2" t="inlineStr"/>
      <c r="S316" s="2" t="inlineStr">
        <is>
          <t>Para uso livre; Para redes sociais e apps; Bônus uso livre; Bônus extra nos apps; WhatsApp ilimitado; Assinatura Claro musica inclusa</t>
        </is>
      </c>
      <c r="T316" s="2" t="inlineStr">
        <is>
          <t>https://www.claro.com.br/celular/flex</t>
        </is>
      </c>
      <c r="U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7" t="n">
        <v>100</v>
      </c>
      <c r="L317" s="5" t="inlineStr"/>
      <c r="M317" s="5" t="inlineStr"/>
      <c r="N317" s="5" t="inlineStr">
        <is>
          <t>WhatsApp</t>
        </is>
      </c>
      <c r="O317" s="5" t="inlineStr"/>
      <c r="P317" s="5" t="inlineStr"/>
      <c r="Q317" s="5" t="inlineStr"/>
      <c r="R317" s="5" t="inlineStr"/>
      <c r="S317" s="5" t="inlineStr">
        <is>
          <t>Armazenamento na nuvem:; Google One ou iCloud+; WhatsApp ilimitado; Roaming: Passaporte Américas; Claro Sync: Smartwatch conectado</t>
        </is>
      </c>
      <c r="T317" s="5" t="inlineStr">
        <is>
          <t>https://www.claro.com.br/celular/pos</t>
        </is>
      </c>
      <c r="U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4" t="n">
        <v>150</v>
      </c>
      <c r="L318" s="2" t="inlineStr"/>
      <c r="M318" s="2" t="inlineStr"/>
      <c r="N318" s="2" t="inlineStr">
        <is>
          <t>WhatsApp</t>
        </is>
      </c>
      <c r="O318" s="2" t="inlineStr"/>
      <c r="P318" s="2" t="inlineStr"/>
      <c r="Q318" s="2" t="inlineStr"/>
      <c r="R318" s="2" t="inlineStr"/>
      <c r="S318" s="2" t="inlineStr">
        <is>
          <t>Armazenamento na nuvem:; Google One ou iCloud+; WhatsApp ilimitado; Roaming: Passaporte Américas e Europa; Claro Sync: Smartwatch conectado</t>
        </is>
      </c>
      <c r="T318" s="2" t="inlineStr">
        <is>
          <t>https://www.claro.com.br/celular/pos</t>
        </is>
      </c>
      <c r="U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7" t="n">
        <v>200</v>
      </c>
      <c r="L319" s="5" t="inlineStr"/>
      <c r="M319" s="5" t="inlineStr"/>
      <c r="N319" s="5" t="inlineStr">
        <is>
          <t>WhatsApp</t>
        </is>
      </c>
      <c r="O319" s="5" t="inlineStr"/>
      <c r="P319" s="5" t="inlineStr"/>
      <c r="Q319" s="5" t="inlineStr"/>
      <c r="R319" s="5" t="inlineStr"/>
      <c r="S319" s="5" t="inlineStr">
        <is>
          <t>Armazenamento na nuvem:; Google One ou iCloud+; WhatsApp ilimitado; Roaming: Passaporte Mundo; Claro Sync: Smartwatch conectado</t>
        </is>
      </c>
      <c r="T319" s="5" t="inlineStr">
        <is>
          <t>https://www.claro.com.br/celular/pos</t>
        </is>
      </c>
      <c r="U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4" t="n">
        <v>50</v>
      </c>
      <c r="L320" s="2" t="inlineStr"/>
      <c r="M320" s="2" t="inlineStr"/>
      <c r="N320" s="2" t="inlineStr">
        <is>
          <t>WhatsApp</t>
        </is>
      </c>
      <c r="O320" s="2" t="inlineStr"/>
      <c r="P320" s="2" t="inlineStr"/>
      <c r="Q320" s="2" t="inlineStr"/>
      <c r="R320" s="2" t="inlineStr"/>
      <c r="S320" s="2" t="inlineStr">
        <is>
          <t>Armazenamento na nuvem:; Google One ou iCloud+; WhatsApp ilimitado; Roaming: Passaporte Américas; Claro Sync: Smartwatch conectado; Inclusa assinatura GeForce NOW</t>
        </is>
      </c>
      <c r="T320" s="2" t="inlineStr">
        <is>
          <t>https://www.claro.com.br/celular/pos</t>
        </is>
      </c>
      <c r="U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7" t="n">
        <v>60</v>
      </c>
      <c r="L321" s="5" t="inlineStr"/>
      <c r="M321" s="5" t="inlineStr"/>
      <c r="N321" s="5" t="inlineStr">
        <is>
          <t>WhatsApp</t>
        </is>
      </c>
      <c r="O321" s="5" t="inlineStr"/>
      <c r="P321" s="5" t="inlineStr"/>
      <c r="Q321" s="5" t="inlineStr"/>
      <c r="R321" s="5" t="inlineStr"/>
      <c r="S321" s="5" t="inlineStr">
        <is>
          <t>Armazenamento na nuvem:; Google One ou iCloud+; WhatsApp ilimitado; Roaming: Passaporte Américas; Claro Sync: Smartwatch conectado</t>
        </is>
      </c>
      <c r="T321" s="5" t="inlineStr">
        <is>
          <t>https://www.claro.com.br/celular/pos</t>
        </is>
      </c>
      <c r="U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4" t="n">
        <v>10</v>
      </c>
      <c r="L322" s="2" t="inlineStr"/>
      <c r="M322" s="2" t="n">
        <v>25</v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https://www.claro.com.br/celular/planos-pre/prezao</t>
        </is>
      </c>
      <c r="U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7" t="n">
        <v>12</v>
      </c>
      <c r="L323" s="5" t="inlineStr"/>
      <c r="M323" s="5" t="n">
        <v>30</v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inlineStr">
        <is>
          <t>https://www.claro.com.br/celular/planos-pre/prezao</t>
        </is>
      </c>
      <c r="U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4" t="n">
        <v>4</v>
      </c>
      <c r="L324" s="2" t="inlineStr"/>
      <c r="M324" s="2" t="n">
        <v>12</v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https://www.claro.com.br/celular/planos-pre/prezao</t>
        </is>
      </c>
      <c r="U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7" t="n">
        <v>5</v>
      </c>
      <c r="L325" s="5" t="inlineStr"/>
      <c r="M325" s="5" t="n">
        <v>15</v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inlineStr">
        <is>
          <t>https://www.claro.com.br/celular/planos-pre/prezao</t>
        </is>
      </c>
      <c r="U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4" t="n">
        <v>6</v>
      </c>
      <c r="L326" s="2" t="inlineStr"/>
      <c r="M326" s="2" t="n">
        <v>20</v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https://www.claro.com.br/celular/planos-pre/prezao</t>
        </is>
      </c>
      <c r="U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7" t="n">
        <v>8</v>
      </c>
      <c r="L327" s="5" t="inlineStr"/>
      <c r="M327" s="5" t="n">
        <v>20</v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inlineStr">
        <is>
          <t>https://www.claro.com.br/celular/planos-pre/prezao</t>
        </is>
      </c>
      <c r="U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4" t="n">
        <v>9</v>
      </c>
      <c r="L328" s="2" t="inlineStr"/>
      <c r="M328" s="2" t="n">
        <v>25</v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https://www.claro.com.br/celular/planos-pre/prezao</t>
        </is>
      </c>
      <c r="U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7" t="n">
        <v>41</v>
      </c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>
        <is>
          <t>https://www.tim.com.br/sp/para-voce/planos/controle</t>
        </is>
      </c>
      <c r="U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4" t="n">
        <v>31</v>
      </c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https://www.tim.com.br/sp/para-voce/planos/controle</t>
        </is>
      </c>
      <c r="U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7" t="n">
        <v>45</v>
      </c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>
        <is>
          <t>https://www.tim.com.br/sp/para-voce/planos/controle</t>
        </is>
      </c>
      <c r="U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4" t="n">
        <v>53</v>
      </c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https://www.tim.com.br/sp/para-voce/planos/controle</t>
        </is>
      </c>
      <c r="U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7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>
        <is>
          <t>https://www.tim.com.br/sp/para-voce/planos/controle</t>
        </is>
      </c>
      <c r="U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4" t="n">
        <v>70</v>
      </c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https://www.tim.com.br/sp/para-voce/planos/pos-pago/tim-black</t>
        </is>
      </c>
      <c r="U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7" t="n">
        <v>67</v>
      </c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>
        <is>
          <t>https://www.tim.com.br/sp/para-voce/planos/pos-pago/tim-black</t>
        </is>
      </c>
      <c r="U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4" t="n">
        <v>82</v>
      </c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https://www.tim.com.br/sp/para-voce/planos/pos-pago/tim-black</t>
        </is>
      </c>
      <c r="U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7" t="n">
        <v>107</v>
      </c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>
        <is>
          <t>https://www.tim.com.br/sp/para-voce/planos/pos-pago/tim-black</t>
        </is>
      </c>
      <c r="U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4" t="n">
        <v>95</v>
      </c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https://www.tim.com.br/sp/para-voce/planos/pos-pago/tim-black</t>
        </is>
      </c>
      <c r="U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7" t="n">
        <v>80</v>
      </c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>
        <is>
          <t>https://www.tim.com.br/sp/para-voce/planos/pos-pago/tim-black</t>
        </is>
      </c>
      <c r="U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4" t="n">
        <v>110</v>
      </c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https://www.tim.com.br/sp/para-voce/planos/pos-pago/tim-black</t>
        </is>
      </c>
      <c r="U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7" t="n">
        <v>16</v>
      </c>
      <c r="L341" s="5" t="inlineStr"/>
      <c r="M341" s="5" t="n">
        <v>30</v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inlineStr">
        <is>
          <t>https://www.tim.com.br/sp/para-voce/planos/pre-pago</t>
        </is>
      </c>
      <c r="U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4" t="n">
        <v>6</v>
      </c>
      <c r="L342" s="2" t="inlineStr"/>
      <c r="M342" s="2" t="n">
        <v>30</v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https://www.tim.com.br/sp/para-voce/planos/pre-pago</t>
        </is>
      </c>
      <c r="U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7" t="n">
        <v>8</v>
      </c>
      <c r="L343" s="5" t="inlineStr"/>
      <c r="M343" s="5" t="n">
        <v>30</v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inlineStr">
        <is>
          <t>https://www.tim.com.br/sp/para-voce/planos/pre-pago</t>
        </is>
      </c>
      <c r="U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4" t="n">
        <v>46</v>
      </c>
      <c r="L344" s="2" t="inlineStr">
        <is>
          <t>15 GB de franquia 31 GB de bônus</t>
        </is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>
        <is>
          <t>6 meses grátis de Gemini com AI Plus</t>
        </is>
      </c>
      <c r="T344" s="2" t="inlineStr">
        <is>
          <t>https://vivo.com.br/para-voce/produtos-e-servicos/para-o-celular/planos-controle</t>
        </is>
      </c>
      <c r="U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7" t="n">
        <v>61</v>
      </c>
      <c r="L345" s="5" t="inlineStr">
        <is>
          <t>20 GB de franquia 31 GB de bônus</t>
        </is>
      </c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6 meses grátis de Gemini com AI Plus</t>
        </is>
      </c>
      <c r="T345" s="5" t="inlineStr">
        <is>
          <t>https://vivo.com.br/para-voce/produtos-e-servicos/para-o-celular/planos-controle</t>
        </is>
      </c>
      <c r="U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4" t="n">
        <v>61</v>
      </c>
      <c r="L346" s="2" t="inlineStr">
        <is>
          <t>20 GB de franquia 31 GB de bônus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>
        <is>
          <t>Assinatura Vivae inclusa</t>
        </is>
      </c>
      <c r="T346" s="2" t="inlineStr">
        <is>
          <t>https://vivo.com.br/para-voce/produtos-e-servicos/para-o-celular/planos-controle</t>
        </is>
      </c>
      <c r="U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7" t="n">
        <v>61</v>
      </c>
      <c r="L347" s="5" t="inlineStr">
        <is>
          <t>20 GB de franquia 31 GB de bônus</t>
        </is>
      </c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Assinatura Vivo TV Inicial inclusa</t>
        </is>
      </c>
      <c r="T347" s="5" t="inlineStr">
        <is>
          <t>https://vivo.com.br/para-voce/produtos-e-servicos/para-o-celular/planos-controle</t>
        </is>
      </c>
      <c r="U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4" t="n">
        <v>61</v>
      </c>
      <c r="L348" s="2" t="inlineStr">
        <is>
          <t>20 GB de franquia 31 GB de bônus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>
        <is>
          <t>Apple Music Individual</t>
        </is>
      </c>
      <c r="T348" s="2" t="inlineStr">
        <is>
          <t>https://vivo.com.br/para-voce/produtos-e-servicos/para-o-celular/planos-controle</t>
        </is>
      </c>
      <c r="U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7" t="n">
        <v>61</v>
      </c>
      <c r="L349" s="5" t="inlineStr">
        <is>
          <t>20 GB de franquia 31 GB de bônus</t>
        </is>
      </c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Assinatura Netflix Padrão com anúncios</t>
        </is>
      </c>
      <c r="T349" s="5" t="inlineStr">
        <is>
          <t>https://vivo.com.br/para-voce/produtos-e-servicos/para-o-celular/planos-controle</t>
        </is>
      </c>
      <c r="U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4" t="n">
        <v>61</v>
      </c>
      <c r="L350" s="2" t="inlineStr">
        <is>
          <t>20 GB de franquia 31 GB de bônus</t>
        </is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>
        <is>
          <t>Assinatura Vale Saúde Sempre inclusa</t>
        </is>
      </c>
      <c r="T350" s="2" t="inlineStr">
        <is>
          <t>https://vivo.com.br/para-voce/produtos-e-servicos/para-o-celular/planos-controle</t>
        </is>
      </c>
      <c r="U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7" t="n">
        <v>30</v>
      </c>
      <c r="L351" s="5" t="inlineStr">
        <is>
          <t>30 GB de franquia</t>
        </is>
      </c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2 meses de YouTube sem consumo no plano</t>
        </is>
      </c>
      <c r="T351" s="5" t="inlineStr">
        <is>
          <t>https://vivo.com.br/para-voce/produtos-e-servicos/para-o-celular/easy-lite</t>
        </is>
      </c>
      <c r="U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4" t="n">
        <v>40</v>
      </c>
      <c r="L352" s="2" t="inlineStr">
        <is>
          <t>40 GB de franquia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>
        <is>
          <t>2 meses de YouTube sem consumo no plano</t>
        </is>
      </c>
      <c r="T352" s="2" t="inlineStr">
        <is>
          <t>https://vivo.com.br/para-voce/produtos-e-servicos/para-o-celular/easy-lite</t>
        </is>
      </c>
      <c r="U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7" t="n">
        <v>20</v>
      </c>
      <c r="L353" s="5" t="inlineStr">
        <is>
          <t>20 GB de franquia</t>
        </is>
      </c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2 meses de YouTube sem consumo no plano</t>
        </is>
      </c>
      <c r="T353" s="5" t="inlineStr">
        <is>
          <t>https://vivo.com.br/para-voce/produtos-e-servicos/para-o-celular/easy-lite</t>
        </is>
      </c>
      <c r="U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4" t="n">
        <v>60</v>
      </c>
      <c r="L354" s="2" t="inlineStr">
        <is>
          <t>50 GB de franquia 10 GB de bônus</t>
        </is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>
        <is>
          <t>Assinatura Amazon Prime inclusa</t>
        </is>
      </c>
      <c r="T354" s="2" t="inlineStr">
        <is>
          <t>https://vivo.com.br/para-voce/produtos-e-servicos/para-o-celular/planos-pos-pago</t>
        </is>
      </c>
      <c r="U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7" t="n">
        <v>60</v>
      </c>
      <c r="L355" s="5" t="inlineStr">
        <is>
          <t>50 GB de franquia 10 GB de bônus</t>
        </is>
      </c>
      <c r="M355" s="5" t="inlineStr"/>
      <c r="N355" s="5" t="inlineStr"/>
      <c r="O355" s="5" t="inlineStr"/>
      <c r="P355" s="5" t="inlineStr"/>
      <c r="Q355" s="5" t="inlineStr">
        <is>
          <t>Disney+</t>
        </is>
      </c>
      <c r="R355" s="5" t="inlineStr"/>
      <c r="S355" s="5" t="inlineStr">
        <is>
          <t>Assinatura Disney+ Padrão inclusa</t>
        </is>
      </c>
      <c r="T355" s="5" t="inlineStr">
        <is>
          <t>https://vivo.com.br/para-voce/produtos-e-servicos/para-o-celular/planos-pos-pago</t>
        </is>
      </c>
      <c r="U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4" t="n">
        <v>60</v>
      </c>
      <c r="L356" s="2" t="inlineStr">
        <is>
          <t>50 GB de franquia 10 GB de bônus</t>
        </is>
      </c>
      <c r="M356" s="2" t="inlineStr"/>
      <c r="N356" s="2" t="inlineStr"/>
      <c r="O356" s="2" t="inlineStr"/>
      <c r="P356" s="2" t="inlineStr"/>
      <c r="Q356" s="2" t="inlineStr">
        <is>
          <t>Globoplay</t>
        </is>
      </c>
      <c r="R356" s="2" t="inlineStr"/>
      <c r="S356" s="2" t="inlineStr">
        <is>
          <t>Assinatura Globoplay inclusa</t>
        </is>
      </c>
      <c r="T356" s="2" t="inlineStr">
        <is>
          <t>https://vivo.com.br/para-voce/produtos-e-servicos/para-o-celular/planos-pos-pago</t>
        </is>
      </c>
      <c r="U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7" t="n">
        <v>60</v>
      </c>
      <c r="L357" s="5" t="inlineStr">
        <is>
          <t>50 GB de franquia 10 GB de bônus</t>
        </is>
      </c>
      <c r="M357" s="5" t="inlineStr"/>
      <c r="N357" s="5" t="inlineStr"/>
      <c r="O357" s="5" t="inlineStr"/>
      <c r="P357" s="5" t="inlineStr"/>
      <c r="Q357" s="5" t="inlineStr">
        <is>
          <t>Netflix</t>
        </is>
      </c>
      <c r="R357" s="5" t="inlineStr"/>
      <c r="S357" s="5" t="inlineStr">
        <is>
          <t>Assinatura Netflix Padrão inclusa</t>
        </is>
      </c>
      <c r="T357" s="5" t="inlineStr">
        <is>
          <t>https://vivo.com.br/para-voce/produtos-e-servicos/para-o-celular/planos-pos-pago</t>
        </is>
      </c>
      <c r="U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4" t="n">
        <v>60</v>
      </c>
      <c r="L358" s="2" t="inlineStr">
        <is>
          <t>50 GB de franquia 10 GB de bônus</t>
        </is>
      </c>
      <c r="M358" s="2" t="inlineStr"/>
      <c r="N358" s="2" t="inlineStr"/>
      <c r="O358" s="2" t="inlineStr"/>
      <c r="P358" s="2" t="inlineStr"/>
      <c r="Q358" s="2" t="inlineStr">
        <is>
          <t>Premiere</t>
        </is>
      </c>
      <c r="R358" s="2" t="inlineStr"/>
      <c r="S358" s="2" t="inlineStr">
        <is>
          <t>Assinatura Premiere inclusa</t>
        </is>
      </c>
      <c r="T358" s="2" t="inlineStr">
        <is>
          <t>https://vivo.com.br/para-voce/produtos-e-servicos/para-o-celular/planos-pos-pago</t>
        </is>
      </c>
      <c r="U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7" t="n">
        <v>60</v>
      </c>
      <c r="L359" s="5" t="inlineStr">
        <is>
          <t>50 GB de franquia 10 GB de bônus</t>
        </is>
      </c>
      <c r="M359" s="5" t="inlineStr"/>
      <c r="N359" s="5" t="inlineStr"/>
      <c r="O359" s="5" t="inlineStr"/>
      <c r="P359" s="5" t="inlineStr"/>
      <c r="Q359" s="5" t="inlineStr">
        <is>
          <t>Spotify</t>
        </is>
      </c>
      <c r="R359" s="5" t="inlineStr"/>
      <c r="S359" s="5" t="inlineStr">
        <is>
          <t>Assinatura Spotify Premium inclusa</t>
        </is>
      </c>
      <c r="T359" s="5" t="inlineStr">
        <is>
          <t>https://vivo.com.br/para-voce/produtos-e-servicos/para-o-celular/planos-pos-pago</t>
        </is>
      </c>
      <c r="U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4" t="n">
        <v>70</v>
      </c>
      <c r="L360" s="2" t="inlineStr">
        <is>
          <t>60 GB de franquia 10 GB de bônus</t>
        </is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>
        <is>
          <t>6 meses grátis de Gemini com AI Plus</t>
        </is>
      </c>
      <c r="T360" s="2" t="inlineStr">
        <is>
          <t>https://vivo.com.br/para-voce/produtos-e-servicos/para-o-celular/planos-pos-pago</t>
        </is>
      </c>
      <c r="U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7" t="n">
        <v>25</v>
      </c>
      <c r="L361" s="5" t="inlineStr">
        <is>
          <t>15 GB para navegar como quiser 5 GB de bônus 5 GB para navegar no Youtube</t>
        </is>
      </c>
      <c r="M361" s="5" t="n">
        <v>30</v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inlineStr">
        <is>
          <t>https://vivo.com.br/para-voce/produtos-e-servicos/para-o-celular/pre-pago/vivo-pre</t>
        </is>
      </c>
      <c r="U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4" t="n">
        <v>9</v>
      </c>
      <c r="L362" s="2" t="inlineStr">
        <is>
          <t>6 GB para navegar como quiser 3 GB para navegar no YouTube</t>
        </is>
      </c>
      <c r="M362" s="2" t="n">
        <v>22</v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https://vivo.com.br/para-voce/produtos-e-servicos/para-o-celular/pre-pago/vivo-pre</t>
        </is>
      </c>
      <c r="U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7" t="n">
        <v>5</v>
      </c>
      <c r="L363" s="5" t="inlineStr">
        <is>
          <t>5 GB para navegar como quiser</t>
        </is>
      </c>
      <c r="M363" s="5" t="n">
        <v>17</v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inlineStr">
        <is>
          <t>https://vivo.com.br/para-voce/produtos-e-servicos/para-o-celular/pre-pago/vivo-pre</t>
        </is>
      </c>
      <c r="U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4" t="n">
        <v>4</v>
      </c>
      <c r="L364" s="2" t="inlineStr">
        <is>
          <t>4 GB para navegar como quiser</t>
        </is>
      </c>
      <c r="M364" s="2" t="n">
        <v>15</v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https://vivo.com.br/para-voce/produtos-e-servicos/para-o-celular/pre-pago/vivo-pre</t>
        </is>
      </c>
      <c r="U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7" t="n">
        <v>25</v>
      </c>
      <c r="L365" s="5" t="inlineStr"/>
      <c r="M365" s="5" t="inlineStr"/>
      <c r="N365" s="5" t="inlineStr">
        <is>
          <t>WhatsApp</t>
        </is>
      </c>
      <c r="O365" s="5" t="inlineStr"/>
      <c r="P365" s="5" t="inlineStr"/>
      <c r="Q365" s="5" t="inlineStr"/>
      <c r="R365" s="5" t="inlineStr"/>
      <c r="S365" s="5" t="inlineStr">
        <is>
          <t>Para uso livre; Para redes sociais e vídeos; Bônus exclusivo; Aproveite na sua franquia; WhatsApp e ligações ilimitadas</t>
        </is>
      </c>
      <c r="T365" s="5" t="inlineStr">
        <is>
          <t>https://www.claro.com.br/celular/controle</t>
        </is>
      </c>
      <c r="U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4" t="n">
        <v>30</v>
      </c>
      <c r="L366" s="2" t="inlineStr"/>
      <c r="M366" s="2" t="inlineStr"/>
      <c r="N366" s="2" t="inlineStr">
        <is>
          <t>WhatsApp</t>
        </is>
      </c>
      <c r="O366" s="2" t="inlineStr"/>
      <c r="P366" s="2" t="inlineStr"/>
      <c r="Q366" s="2" t="inlineStr"/>
      <c r="R366" s="2" t="inlineStr"/>
      <c r="S366" s="2" t="inlineStr">
        <is>
          <t>Para uso livre; Bônus do Hexa para uso livre; Bônus para redes sociais e apps; Redes sociais e apps; WhatsApp ilimitado</t>
        </is>
      </c>
      <c r="T366" s="2" t="inlineStr">
        <is>
          <t>https://www.claro.com.br/celular/controle</t>
        </is>
      </c>
      <c r="U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7" t="n">
        <v>30</v>
      </c>
      <c r="L367" s="5" t="inlineStr"/>
      <c r="M367" s="5" t="inlineStr"/>
      <c r="N367" s="5" t="inlineStr">
        <is>
          <t>WhatsApp</t>
        </is>
      </c>
      <c r="O367" s="5" t="inlineStr"/>
      <c r="P367" s="5" t="inlineStr"/>
      <c r="Q367" s="5" t="inlineStr"/>
      <c r="R367" s="5" t="inlineStr"/>
      <c r="S367" s="5" t="inlineStr">
        <is>
          <t>Para uso livre; Bônus para redes sociais e apps; Bônus uso livre; Redes sociais e apps; WhatsApp ilimitado</t>
        </is>
      </c>
      <c r="T367" s="5" t="inlineStr">
        <is>
          <t>https://www.claro.com.br/celular/controle</t>
        </is>
      </c>
      <c r="U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4" t="n">
        <v>15</v>
      </c>
      <c r="L368" s="2" t="inlineStr"/>
      <c r="M368" s="2" t="inlineStr"/>
      <c r="N368" s="2" t="inlineStr">
        <is>
          <t>WhatsApp</t>
        </is>
      </c>
      <c r="O368" s="2" t="inlineStr"/>
      <c r="P368" s="2" t="inlineStr"/>
      <c r="Q368" s="2" t="inlineStr"/>
      <c r="R368" s="2" t="inlineStr"/>
      <c r="S368" s="2" t="inlineStr">
        <is>
          <t>Para uso livre; Bônus do Hexa para uso livre; Para redes sociais e apps; Bônus extra nos apps; WhatsApp ilimitado</t>
        </is>
      </c>
      <c r="T368" s="2" t="inlineStr">
        <is>
          <t>https://www.claro.com.br/celular/flex</t>
        </is>
      </c>
      <c r="U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7" t="n">
        <v>20</v>
      </c>
      <c r="L369" s="5" t="inlineStr"/>
      <c r="M369" s="5" t="inlineStr"/>
      <c r="N369" s="5" t="inlineStr">
        <is>
          <t>WhatsApp</t>
        </is>
      </c>
      <c r="O369" s="5" t="inlineStr"/>
      <c r="P369" s="5" t="inlineStr"/>
      <c r="Q369" s="5" t="inlineStr"/>
      <c r="R369" s="5" t="inlineStr"/>
      <c r="S369" s="5" t="inlineStr">
        <is>
          <t>Para uso livre; Bônus do Hexa para uso livre; Para redes sociais e apps; Bônus extra nos apps; WhatsApp ilimitado</t>
        </is>
      </c>
      <c r="T369" s="5" t="inlineStr">
        <is>
          <t>https://www.claro.com.br/celular/flex</t>
        </is>
      </c>
      <c r="U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4" t="n">
        <v>30</v>
      </c>
      <c r="L370" s="2" t="inlineStr"/>
      <c r="M370" s="2" t="inlineStr"/>
      <c r="N370" s="2" t="inlineStr">
        <is>
          <t>WhatsApp</t>
        </is>
      </c>
      <c r="O370" s="2" t="inlineStr"/>
      <c r="P370" s="2" t="inlineStr"/>
      <c r="Q370" s="2" t="inlineStr"/>
      <c r="R370" s="2" t="inlineStr"/>
      <c r="S370" s="2" t="inlineStr">
        <is>
          <t>Para uso livre; Bônus do Hexa para uso livre; Para redes sociais e apps; Bônus extra nos apps; WhatsApp ilimitado; Assinatura Claro musica inclusa</t>
        </is>
      </c>
      <c r="T370" s="2" t="inlineStr">
        <is>
          <t>https://www.claro.com.br/celular/flex</t>
        </is>
      </c>
      <c r="U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7" t="n">
        <v>40</v>
      </c>
      <c r="L371" s="5" t="inlineStr"/>
      <c r="M371" s="5" t="inlineStr"/>
      <c r="N371" s="5" t="inlineStr">
        <is>
          <t>WhatsApp</t>
        </is>
      </c>
      <c r="O371" s="5" t="inlineStr"/>
      <c r="P371" s="5" t="inlineStr"/>
      <c r="Q371" s="5" t="inlineStr"/>
      <c r="R371" s="5" t="inlineStr"/>
      <c r="S371" s="5" t="inlineStr">
        <is>
          <t>Para uso livre; Para redes sociais e apps; Bônus uso livre; Bônus extra nos apps; WhatsApp ilimitado; Assinatura Claro musica inclusa</t>
        </is>
      </c>
      <c r="T371" s="5" t="inlineStr">
        <is>
          <t>https://www.claro.com.br/celular/flex</t>
        </is>
      </c>
      <c r="U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4" t="n">
        <v>100</v>
      </c>
      <c r="L372" s="2" t="inlineStr"/>
      <c r="M372" s="2" t="inlineStr"/>
      <c r="N372" s="2" t="inlineStr">
        <is>
          <t>WhatsApp</t>
        </is>
      </c>
      <c r="O372" s="2" t="inlineStr"/>
      <c r="P372" s="2" t="inlineStr"/>
      <c r="Q372" s="2" t="inlineStr"/>
      <c r="R372" s="2" t="inlineStr"/>
      <c r="S372" s="2" t="inlineStr">
        <is>
          <t>Armazenamento na nuvem:; Google One ou iCloud+; WhatsApp ilimitado; Roaming: Passaporte Américas; Claro Sync: Smartwatch conectado</t>
        </is>
      </c>
      <c r="T372" s="2" t="inlineStr">
        <is>
          <t>https://www.claro.com.br/celular/pos</t>
        </is>
      </c>
      <c r="U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7" t="n">
        <v>150</v>
      </c>
      <c r="L373" s="5" t="inlineStr"/>
      <c r="M373" s="5" t="inlineStr"/>
      <c r="N373" s="5" t="inlineStr">
        <is>
          <t>WhatsApp</t>
        </is>
      </c>
      <c r="O373" s="5" t="inlineStr"/>
      <c r="P373" s="5" t="inlineStr"/>
      <c r="Q373" s="5" t="inlineStr"/>
      <c r="R373" s="5" t="inlineStr"/>
      <c r="S373" s="5" t="inlineStr">
        <is>
          <t>Armazenamento na nuvem:; Google One ou iCloud+; WhatsApp ilimitado; Roaming: Passaporte Américas e Europa; Claro Sync: Smartwatch conectado</t>
        </is>
      </c>
      <c r="T373" s="5" t="inlineStr">
        <is>
          <t>https://www.claro.com.br/celular/pos</t>
        </is>
      </c>
      <c r="U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4" t="n">
        <v>200</v>
      </c>
      <c r="L374" s="2" t="inlineStr"/>
      <c r="M374" s="2" t="inlineStr"/>
      <c r="N374" s="2" t="inlineStr">
        <is>
          <t>WhatsApp</t>
        </is>
      </c>
      <c r="O374" s="2" t="inlineStr"/>
      <c r="P374" s="2" t="inlineStr"/>
      <c r="Q374" s="2" t="inlineStr"/>
      <c r="R374" s="2" t="inlineStr"/>
      <c r="S374" s="2" t="inlineStr">
        <is>
          <t>Armazenamento na nuvem:; Google One ou iCloud+; WhatsApp ilimitado; Roaming: Passaporte Mundo; Claro Sync: Smartwatch conectado</t>
        </is>
      </c>
      <c r="T374" s="2" t="inlineStr">
        <is>
          <t>https://www.claro.com.br/celular/pos</t>
        </is>
      </c>
      <c r="U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7" t="n">
        <v>50</v>
      </c>
      <c r="L375" s="5" t="inlineStr"/>
      <c r="M375" s="5" t="inlineStr"/>
      <c r="N375" s="5" t="inlineStr">
        <is>
          <t>WhatsApp</t>
        </is>
      </c>
      <c r="O375" s="5" t="inlineStr"/>
      <c r="P375" s="5" t="inlineStr"/>
      <c r="Q375" s="5" t="inlineStr"/>
      <c r="R375" s="5" t="inlineStr"/>
      <c r="S375" s="5" t="inlineStr">
        <is>
          <t>Armazenamento na nuvem:; Google One ou iCloud+; WhatsApp ilimitado; Roaming: Passaporte Américas; Claro Sync: Smartwatch conectado; Inclusa assinatura GeForce NOW</t>
        </is>
      </c>
      <c r="T375" s="5" t="inlineStr">
        <is>
          <t>https://www.claro.com.br/celular/pos</t>
        </is>
      </c>
      <c r="U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4" t="n">
        <v>60</v>
      </c>
      <c r="L376" s="2" t="inlineStr"/>
      <c r="M376" s="2" t="inlineStr"/>
      <c r="N376" s="2" t="inlineStr">
        <is>
          <t>WhatsApp</t>
        </is>
      </c>
      <c r="O376" s="2" t="inlineStr"/>
      <c r="P376" s="2" t="inlineStr"/>
      <c r="Q376" s="2" t="inlineStr"/>
      <c r="R376" s="2" t="inlineStr"/>
      <c r="S376" s="2" t="inlineStr">
        <is>
          <t>Armazenamento na nuvem:; Google One ou iCloud+; WhatsApp ilimitado; Roaming: Passaporte Américas; Claro Sync: Smartwatch conectado</t>
        </is>
      </c>
      <c r="T376" s="2" t="inlineStr">
        <is>
          <t>https://www.claro.com.br/celular/pos</t>
        </is>
      </c>
      <c r="U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7" t="n">
        <v>10</v>
      </c>
      <c r="L377" s="5" t="inlineStr"/>
      <c r="M377" s="5" t="n">
        <v>25</v>
      </c>
      <c r="N377" s="5" t="inlineStr"/>
      <c r="O377" s="5" t="inlineStr"/>
      <c r="P377" s="5" t="inlineStr"/>
      <c r="Q377" s="5" t="inlineStr"/>
      <c r="R377" s="5" t="inlineStr"/>
      <c r="S377" s="5" t="inlineStr"/>
      <c r="T377" s="5" t="inlineStr">
        <is>
          <t>https://www.claro.com.br/celular/planos-pre/prezao</t>
        </is>
      </c>
      <c r="U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4" t="n">
        <v>12</v>
      </c>
      <c r="L378" s="2" t="inlineStr"/>
      <c r="M378" s="2" t="n">
        <v>30</v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>
        <is>
          <t>https://www.claro.com.br/celular/planos-pre/prezao</t>
        </is>
      </c>
      <c r="U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7" t="n">
        <v>4</v>
      </c>
      <c r="L379" s="5" t="inlineStr"/>
      <c r="M379" s="5" t="n">
        <v>12</v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inlineStr">
        <is>
          <t>https://www.claro.com.br/celular/planos-pre/prezao</t>
        </is>
      </c>
      <c r="U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4" t="n">
        <v>5</v>
      </c>
      <c r="L380" s="2" t="inlineStr"/>
      <c r="M380" s="2" t="n">
        <v>15</v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https://www.claro.com.br/celular/planos-pre/prezao</t>
        </is>
      </c>
      <c r="U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7" t="n">
        <v>6</v>
      </c>
      <c r="L381" s="5" t="inlineStr"/>
      <c r="M381" s="5" t="n">
        <v>20</v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inlineStr">
        <is>
          <t>https://www.claro.com.br/celular/planos-pre/prezao</t>
        </is>
      </c>
      <c r="U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4" t="n">
        <v>8</v>
      </c>
      <c r="L382" s="2" t="inlineStr"/>
      <c r="M382" s="2" t="n">
        <v>20</v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>
        <is>
          <t>https://www.claro.com.br/celular/planos-pre/prezao</t>
        </is>
      </c>
      <c r="U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7" t="n">
        <v>9</v>
      </c>
      <c r="L383" s="5" t="inlineStr"/>
      <c r="M383" s="5" t="n">
        <v>25</v>
      </c>
      <c r="N383" s="5" t="inlineStr"/>
      <c r="O383" s="5" t="inlineStr"/>
      <c r="P383" s="5" t="inlineStr"/>
      <c r="Q383" s="5" t="inlineStr"/>
      <c r="R383" s="5" t="inlineStr"/>
      <c r="S383" s="5" t="inlineStr"/>
      <c r="T383" s="5" t="inlineStr">
        <is>
          <t>https://www.claro.com.br/celular/planos-pre/prezao</t>
        </is>
      </c>
      <c r="U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4" t="n">
        <v>41</v>
      </c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https://www.tim.com.br/sp/para-voce/planos/controle</t>
        </is>
      </c>
      <c r="U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7" t="n">
        <v>31</v>
      </c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>
        <is>
          <t>https://www.tim.com.br/sp/para-voce/planos/controle</t>
        </is>
      </c>
      <c r="U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4" t="n">
        <v>45</v>
      </c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https://www.tim.com.br/sp/para-voce/planos/controle</t>
        </is>
      </c>
      <c r="U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7" t="n">
        <v>53</v>
      </c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>
        <is>
          <t>https://www.tim.com.br/sp/para-voce/planos/controle</t>
        </is>
      </c>
      <c r="U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4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https://www.tim.com.br/sp/para-voce/planos/controle</t>
        </is>
      </c>
      <c r="U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7" t="n">
        <v>70</v>
      </c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>
        <is>
          <t>https://www.tim.com.br/sp/para-voce/planos/pos-pago/tim-black</t>
        </is>
      </c>
      <c r="U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4" t="n">
        <v>67</v>
      </c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https://www.tim.com.br/sp/para-voce/planos/pos-pago/tim-black</t>
        </is>
      </c>
      <c r="U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7" t="n">
        <v>82</v>
      </c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>
        <is>
          <t>https://www.tim.com.br/sp/para-voce/planos/pos-pago/tim-black</t>
        </is>
      </c>
      <c r="U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4" t="n">
        <v>107</v>
      </c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https://www.tim.com.br/sp/para-voce/planos/pos-pago/tim-black</t>
        </is>
      </c>
      <c r="U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7" t="n">
        <v>95</v>
      </c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>
        <is>
          <t>https://www.tim.com.br/sp/para-voce/planos/pos-pago/tim-black</t>
        </is>
      </c>
      <c r="U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4" t="n">
        <v>80</v>
      </c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https://www.tim.com.br/sp/para-voce/planos/pos-pago/tim-black</t>
        </is>
      </c>
      <c r="U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7" t="n">
        <v>110</v>
      </c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>
        <is>
          <t>https://www.tim.com.br/sp/para-voce/planos/pos-pago/tim-black</t>
        </is>
      </c>
      <c r="U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4" t="n">
        <v>16</v>
      </c>
      <c r="L396" s="2" t="inlineStr"/>
      <c r="M396" s="2" t="n">
        <v>30</v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>
        <is>
          <t>https://www.tim.com.br/sp/para-voce/planos/pre-pago</t>
        </is>
      </c>
      <c r="U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7" t="n">
        <v>6</v>
      </c>
      <c r="L397" s="5" t="inlineStr"/>
      <c r="M397" s="5" t="n">
        <v>30</v>
      </c>
      <c r="N397" s="5" t="inlineStr"/>
      <c r="O397" s="5" t="inlineStr"/>
      <c r="P397" s="5" t="inlineStr"/>
      <c r="Q397" s="5" t="inlineStr"/>
      <c r="R397" s="5" t="inlineStr"/>
      <c r="S397" s="5" t="inlineStr"/>
      <c r="T397" s="5" t="inlineStr">
        <is>
          <t>https://www.tim.com.br/sp/para-voce/planos/pre-pago</t>
        </is>
      </c>
      <c r="U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4" t="n">
        <v>8</v>
      </c>
      <c r="L398" s="2" t="inlineStr"/>
      <c r="M398" s="2" t="n">
        <v>30</v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https://www.tim.com.br/sp/para-voce/planos/pre-pago</t>
        </is>
      </c>
      <c r="U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7" t="n">
        <v>46</v>
      </c>
      <c r="L399" s="5" t="inlineStr">
        <is>
          <t>15 GB de franquia 31 GB de bônus</t>
        </is>
      </c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6 meses grátis de Gemini com AI Plus</t>
        </is>
      </c>
      <c r="T399" s="5" t="inlineStr">
        <is>
          <t>https://vivo.com.br/para-voce/produtos-e-servicos/para-o-celular/planos-controle</t>
        </is>
      </c>
      <c r="U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4" t="n">
        <v>61</v>
      </c>
      <c r="L400" s="2" t="inlineStr">
        <is>
          <t>20 GB de franquia 31 GB de bônus</t>
        </is>
      </c>
      <c r="M400" s="2" t="inlineStr"/>
      <c r="N400" s="2" t="inlineStr"/>
      <c r="O400" s="2" t="inlineStr"/>
      <c r="P400" s="2" t="inlineStr"/>
      <c r="Q400" s="2" t="inlineStr"/>
      <c r="R400" s="2" t="inlineStr"/>
      <c r="S400" s="2" t="inlineStr">
        <is>
          <t>6 meses grátis de Gemini com AI Plus</t>
        </is>
      </c>
      <c r="T400" s="2" t="inlineStr">
        <is>
          <t>https://vivo.com.br/para-voce/produtos-e-servicos/para-o-celular/planos-controle</t>
        </is>
      </c>
      <c r="U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7" t="n">
        <v>61</v>
      </c>
      <c r="L401" s="5" t="inlineStr">
        <is>
          <t>20 GB de franquia 31 GB de bônus</t>
        </is>
      </c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Assinatura Vivae inclusa</t>
        </is>
      </c>
      <c r="T401" s="5" t="inlineStr">
        <is>
          <t>https://vivo.com.br/para-voce/produtos-e-servicos/para-o-celular/planos-controle</t>
        </is>
      </c>
      <c r="U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4" t="n">
        <v>61</v>
      </c>
      <c r="L402" s="2" t="inlineStr">
        <is>
          <t>20 GB de franquia 31 GB de bônus</t>
        </is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>
        <is>
          <t>Assinatura Vivo TV Inicial inclusa</t>
        </is>
      </c>
      <c r="T402" s="2" t="inlineStr">
        <is>
          <t>https://vivo.com.br/para-voce/produtos-e-servicos/para-o-celular/planos-controle</t>
        </is>
      </c>
      <c r="U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7" t="n">
        <v>61</v>
      </c>
      <c r="L403" s="5" t="inlineStr">
        <is>
          <t>20 GB de franquia 31 GB de bônus</t>
        </is>
      </c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Apple Music Individual</t>
        </is>
      </c>
      <c r="T403" s="5" t="inlineStr">
        <is>
          <t>https://vivo.com.br/para-voce/produtos-e-servicos/para-o-celular/planos-controle</t>
        </is>
      </c>
      <c r="U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4" t="n">
        <v>61</v>
      </c>
      <c r="L404" s="2" t="inlineStr">
        <is>
          <t>20 GB de franquia 31 GB de bônus</t>
        </is>
      </c>
      <c r="M404" s="2" t="inlineStr"/>
      <c r="N404" s="2" t="inlineStr"/>
      <c r="O404" s="2" t="inlineStr"/>
      <c r="P404" s="2" t="inlineStr"/>
      <c r="Q404" s="2" t="inlineStr"/>
      <c r="R404" s="2" t="inlineStr"/>
      <c r="S404" s="2" t="inlineStr">
        <is>
          <t>Assinatura Netflix Padrão com anúncios</t>
        </is>
      </c>
      <c r="T404" s="2" t="inlineStr">
        <is>
          <t>https://vivo.com.br/para-voce/produtos-e-servicos/para-o-celular/planos-controle</t>
        </is>
      </c>
      <c r="U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7" t="n">
        <v>61</v>
      </c>
      <c r="L405" s="5" t="inlineStr">
        <is>
          <t>20 GB de franquia 31 GB de bônus</t>
        </is>
      </c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Assinatura Vale Saúde Sempre inclusa</t>
        </is>
      </c>
      <c r="T405" s="5" t="inlineStr">
        <is>
          <t>https://vivo.com.br/para-voce/produtos-e-servicos/para-o-celular/planos-controle</t>
        </is>
      </c>
      <c r="U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4" t="n">
        <v>30</v>
      </c>
      <c r="L406" s="2" t="inlineStr">
        <is>
          <t>30 GB de franquia</t>
        </is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>
        <is>
          <t>2 meses de YouTube sem consumo no plano</t>
        </is>
      </c>
      <c r="T406" s="2" t="inlineStr">
        <is>
          <t>https://vivo.com.br/para-voce/produtos-e-servicos/para-o-celular/easy-lite</t>
        </is>
      </c>
      <c r="U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7" t="n">
        <v>40</v>
      </c>
      <c r="L407" s="5" t="inlineStr">
        <is>
          <t>40 GB de franquia</t>
        </is>
      </c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2 meses de YouTube sem consumo no plano</t>
        </is>
      </c>
      <c r="T407" s="5" t="inlineStr">
        <is>
          <t>https://vivo.com.br/para-voce/produtos-e-servicos/para-o-celular/easy-lite</t>
        </is>
      </c>
      <c r="U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4" t="n">
        <v>20</v>
      </c>
      <c r="L408" s="2" t="inlineStr">
        <is>
          <t>20 GB de franquia</t>
        </is>
      </c>
      <c r="M408" s="2" t="inlineStr"/>
      <c r="N408" s="2" t="inlineStr"/>
      <c r="O408" s="2" t="inlineStr"/>
      <c r="P408" s="2" t="inlineStr"/>
      <c r="Q408" s="2" t="inlineStr"/>
      <c r="R408" s="2" t="inlineStr"/>
      <c r="S408" s="2" t="inlineStr">
        <is>
          <t>2 meses de YouTube sem consumo no plano</t>
        </is>
      </c>
      <c r="T408" s="2" t="inlineStr">
        <is>
          <t>https://vivo.com.br/para-voce/produtos-e-servicos/para-o-celular/easy-lite</t>
        </is>
      </c>
      <c r="U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7" t="n">
        <v>60</v>
      </c>
      <c r="L409" s="5" t="inlineStr">
        <is>
          <t>50 GB de franquia 10 GB de bônus</t>
        </is>
      </c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Assinatura Amazon Prime inclusa</t>
        </is>
      </c>
      <c r="T409" s="5" t="inlineStr">
        <is>
          <t>https://vivo.com.br/para-voce/produtos-e-servicos/para-o-celular/planos-pos-pago</t>
        </is>
      </c>
      <c r="U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4" t="n">
        <v>60</v>
      </c>
      <c r="L410" s="2" t="inlineStr">
        <is>
          <t>50 GB de franquia 10 GB de bônus</t>
        </is>
      </c>
      <c r="M410" s="2" t="inlineStr"/>
      <c r="N410" s="2" t="inlineStr"/>
      <c r="O410" s="2" t="inlineStr"/>
      <c r="P410" s="2" t="inlineStr"/>
      <c r="Q410" s="2" t="inlineStr">
        <is>
          <t>Disney+</t>
        </is>
      </c>
      <c r="R410" s="2" t="inlineStr"/>
      <c r="S410" s="2" t="inlineStr">
        <is>
          <t>Assinatura Disney+ Padrão inclusa</t>
        </is>
      </c>
      <c r="T410" s="2" t="inlineStr">
        <is>
          <t>https://vivo.com.br/para-voce/produtos-e-servicos/para-o-celular/planos-pos-pago</t>
        </is>
      </c>
      <c r="U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7" t="n">
        <v>60</v>
      </c>
      <c r="L411" s="5" t="inlineStr">
        <is>
          <t>50 GB de franquia 10 GB de bônus</t>
        </is>
      </c>
      <c r="M411" s="5" t="inlineStr"/>
      <c r="N411" s="5" t="inlineStr"/>
      <c r="O411" s="5" t="inlineStr"/>
      <c r="P411" s="5" t="inlineStr"/>
      <c r="Q411" s="5" t="inlineStr">
        <is>
          <t>Globoplay</t>
        </is>
      </c>
      <c r="R411" s="5" t="inlineStr"/>
      <c r="S411" s="5" t="inlineStr">
        <is>
          <t>Assinatura Globoplay inclusa</t>
        </is>
      </c>
      <c r="T411" s="5" t="inlineStr">
        <is>
          <t>https://vivo.com.br/para-voce/produtos-e-servicos/para-o-celular/planos-pos-pago</t>
        </is>
      </c>
      <c r="U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4" t="n">
        <v>60</v>
      </c>
      <c r="L412" s="2" t="inlineStr">
        <is>
          <t>50 GB de franquia 10 GB de bônus</t>
        </is>
      </c>
      <c r="M412" s="2" t="inlineStr"/>
      <c r="N412" s="2" t="inlineStr"/>
      <c r="O412" s="2" t="inlineStr"/>
      <c r="P412" s="2" t="inlineStr"/>
      <c r="Q412" s="2" t="inlineStr">
        <is>
          <t>Netflix</t>
        </is>
      </c>
      <c r="R412" s="2" t="inlineStr"/>
      <c r="S412" s="2" t="inlineStr">
        <is>
          <t>Assinatura Netflix Padrão inclusa</t>
        </is>
      </c>
      <c r="T412" s="2" t="inlineStr">
        <is>
          <t>https://vivo.com.br/para-voce/produtos-e-servicos/para-o-celular/planos-pos-pago</t>
        </is>
      </c>
      <c r="U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7" t="n">
        <v>60</v>
      </c>
      <c r="L413" s="5" t="inlineStr">
        <is>
          <t>50 GB de franquia 10 GB de bônus</t>
        </is>
      </c>
      <c r="M413" s="5" t="inlineStr"/>
      <c r="N413" s="5" t="inlineStr"/>
      <c r="O413" s="5" t="inlineStr"/>
      <c r="P413" s="5" t="inlineStr"/>
      <c r="Q413" s="5" t="inlineStr">
        <is>
          <t>Premiere</t>
        </is>
      </c>
      <c r="R413" s="5" t="inlineStr"/>
      <c r="S413" s="5" t="inlineStr">
        <is>
          <t>Assinatura Premiere inclusa</t>
        </is>
      </c>
      <c r="T413" s="5" t="inlineStr">
        <is>
          <t>https://vivo.com.br/para-voce/produtos-e-servicos/para-o-celular/planos-pos-pago</t>
        </is>
      </c>
      <c r="U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4" t="n">
        <v>60</v>
      </c>
      <c r="L414" s="2" t="inlineStr">
        <is>
          <t>50 GB de franquia 10 GB de bônus</t>
        </is>
      </c>
      <c r="M414" s="2" t="inlineStr"/>
      <c r="N414" s="2" t="inlineStr"/>
      <c r="O414" s="2" t="inlineStr"/>
      <c r="P414" s="2" t="inlineStr"/>
      <c r="Q414" s="2" t="inlineStr">
        <is>
          <t>Spotify</t>
        </is>
      </c>
      <c r="R414" s="2" t="inlineStr"/>
      <c r="S414" s="2" t="inlineStr">
        <is>
          <t>Assinatura Spotify Premium inclusa</t>
        </is>
      </c>
      <c r="T414" s="2" t="inlineStr">
        <is>
          <t>https://vivo.com.br/para-voce/produtos-e-servicos/para-o-celular/planos-pos-pago</t>
        </is>
      </c>
      <c r="U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7" t="n">
        <v>70</v>
      </c>
      <c r="L415" s="5" t="inlineStr">
        <is>
          <t>60 GB de franquia 10 GB de bônus</t>
        </is>
      </c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6 meses grátis de Gemini com AI Plus</t>
        </is>
      </c>
      <c r="T415" s="5" t="inlineStr">
        <is>
          <t>https://vivo.com.br/para-voce/produtos-e-servicos/para-o-celular/planos-pos-pago</t>
        </is>
      </c>
      <c r="U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4" t="n">
        <v>25</v>
      </c>
      <c r="L416" s="2" t="inlineStr">
        <is>
          <t>15 GB para navegar como quiser 5 GB de bônus 5 GB para navegar no Youtube</t>
        </is>
      </c>
      <c r="M416" s="2" t="n">
        <v>30</v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>
        <is>
          <t>https://vivo.com.br/para-voce/produtos-e-servicos/para-o-celular/pre-pago/vivo-pre</t>
        </is>
      </c>
      <c r="U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7" t="n">
        <v>9</v>
      </c>
      <c r="L417" s="5" t="inlineStr">
        <is>
          <t>6 GB para navegar como quiser 3 GB para navegar no YouTube</t>
        </is>
      </c>
      <c r="M417" s="5" t="n">
        <v>22</v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inlineStr">
        <is>
          <t>https://vivo.com.br/para-voce/produtos-e-servicos/para-o-celular/pre-pago/vivo-pre</t>
        </is>
      </c>
      <c r="U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4" t="n">
        <v>5</v>
      </c>
      <c r="L418" s="2" t="inlineStr">
        <is>
          <t>5 GB para navegar como quiser</t>
        </is>
      </c>
      <c r="M418" s="2" t="n">
        <v>17</v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>
        <is>
          <t>https://vivo.com.br/para-voce/produtos-e-servicos/para-o-celular/pre-pago/vivo-pre</t>
        </is>
      </c>
      <c r="U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7" t="n">
        <v>4</v>
      </c>
      <c r="L419" s="5" t="inlineStr">
        <is>
          <t>4 GB para navegar como quiser</t>
        </is>
      </c>
      <c r="M419" s="5" t="n">
        <v>15</v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inlineStr">
        <is>
          <t>https://vivo.com.br/para-voce/produtos-e-servicos/para-o-celular/pre-pago/vivo-pre</t>
        </is>
      </c>
      <c r="U419" s="5" t="inlineStr">
        <is>
          <t>data/raw/vivo_prepaid_SP.html</t>
        </is>
      </c>
    </row>
  </sheetData>
  <autoFilter ref="A1:U4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U5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0" customWidth="1" min="11" max="11"/>
    <col width="11" customWidth="1" min="12" max="12"/>
    <col width="15" customWidth="1" min="13" max="13"/>
    <col width="16" customWidth="1" min="14" max="14"/>
    <col width="10" customWidth="1" min="15" max="15"/>
    <col width="10" customWidth="1" min="16" max="16"/>
    <col width="11" customWidth="1" min="17" max="17"/>
    <col width="16" customWidth="1" min="18" max="18"/>
    <col width="16" customWidth="1" min="19" max="19"/>
    <col width="12" customWidth="1" min="20" max="20"/>
    <col width="10" customWidth="1" min="21" max="21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data_gb</t>
        </is>
      </c>
      <c r="L1" s="1" t="inlineStr">
        <is>
          <t>data_note</t>
        </is>
      </c>
      <c r="M1" s="1" t="inlineStr">
        <is>
          <t>validity_days</t>
        </is>
      </c>
      <c r="N1" s="1" t="inlineStr">
        <is>
          <t>unlimited_apps</t>
        </is>
      </c>
      <c r="O1" s="1" t="inlineStr">
        <is>
          <t>voice</t>
        </is>
      </c>
      <c r="P1" s="1" t="inlineStr">
        <is>
          <t>sms</t>
        </is>
      </c>
      <c r="Q1" s="1" t="inlineStr">
        <is>
          <t>streaming</t>
        </is>
      </c>
      <c r="R1" s="1" t="inlineStr">
        <is>
          <t>loyalty_months</t>
        </is>
      </c>
      <c r="S1" s="1" t="inlineStr">
        <is>
          <t>extra_benefits</t>
        </is>
      </c>
      <c r="T1" s="1" t="inlineStr">
        <is>
          <t>source_url</t>
        </is>
      </c>
      <c r="U1" s="1" t="inlineStr">
        <is>
          <t>raw_ref</t>
        </is>
      </c>
    </row>
    <row r="2">
      <c r="A2" s="2" t="inlineStr">
        <is>
          <t>2026-06-29</t>
        </is>
      </c>
      <c r="B2" s="2" t="inlineStr">
        <is>
          <t>2026-06-29T22:07:51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4" t="n">
        <v>25</v>
      </c>
      <c r="L2" s="2" t="inlineStr"/>
      <c r="M2" s="2" t="inlineStr"/>
      <c r="N2" s="2" t="inlineStr">
        <is>
          <t>WhatsApp</t>
        </is>
      </c>
      <c r="O2" s="2" t="inlineStr"/>
      <c r="P2" s="2" t="inlineStr"/>
      <c r="Q2" s="2" t="inlineStr"/>
      <c r="R2" s="2" t="inlineStr"/>
      <c r="S2" s="2" t="inlineStr">
        <is>
          <t>Para uso livre; Para redes sociais e vídeos; Bônus exclusivo; Aproveite na sua franquia; WhatsApp e ligações ilimitadas</t>
        </is>
      </c>
      <c r="T2" s="2" t="inlineStr">
        <is>
          <t>https://www.claro.com.br/celular/controle</t>
        </is>
      </c>
      <c r="U2" s="2" t="inlineStr">
        <is>
          <t>data/raw/claro_control_SP.json</t>
        </is>
      </c>
    </row>
    <row r="3">
      <c r="A3" s="5" t="inlineStr">
        <is>
          <t>2026-06-29</t>
        </is>
      </c>
      <c r="B3" s="5" t="inlineStr">
        <is>
          <t>2026-06-29T22:07:51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7" t="n">
        <v>30</v>
      </c>
      <c r="L3" s="5" t="inlineStr"/>
      <c r="M3" s="5" t="inlineStr"/>
      <c r="N3" s="5" t="inlineStr">
        <is>
          <t>WhatsApp</t>
        </is>
      </c>
      <c r="O3" s="5" t="inlineStr"/>
      <c r="P3" s="5" t="inlineStr"/>
      <c r="Q3" s="5" t="inlineStr"/>
      <c r="R3" s="5" t="inlineStr"/>
      <c r="S3" s="5" t="inlineStr">
        <is>
          <t>Para uso livre; Bônus do Hexa para uso livre; Bônus para redes sociais e apps; Redes sociais e apps; WhatsApp ilimitado</t>
        </is>
      </c>
      <c r="T3" s="5" t="inlineStr">
        <is>
          <t>https://www.claro.com.br/celular/controle</t>
        </is>
      </c>
      <c r="U3" s="5" t="inlineStr">
        <is>
          <t>data/raw/claro_control_SP.json</t>
        </is>
      </c>
    </row>
    <row r="4">
      <c r="A4" s="2" t="inlineStr">
        <is>
          <t>2026-06-29</t>
        </is>
      </c>
      <c r="B4" s="2" t="inlineStr">
        <is>
          <t>2026-06-29T22:07:51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4" t="n">
        <v>30</v>
      </c>
      <c r="L4" s="2" t="inlineStr"/>
      <c r="M4" s="2" t="inlineStr"/>
      <c r="N4" s="2" t="inlineStr">
        <is>
          <t>WhatsApp</t>
        </is>
      </c>
      <c r="O4" s="2" t="inlineStr"/>
      <c r="P4" s="2" t="inlineStr"/>
      <c r="Q4" s="2" t="inlineStr"/>
      <c r="R4" s="2" t="inlineStr"/>
      <c r="S4" s="2" t="inlineStr">
        <is>
          <t>Para uso livre; Bônus para redes sociais e apps; Bônus uso livre; Redes sociais e apps; WhatsApp ilimitado</t>
        </is>
      </c>
      <c r="T4" s="2" t="inlineStr">
        <is>
          <t>https://www.claro.com.br/celular/controle</t>
        </is>
      </c>
      <c r="U4" s="2" t="inlineStr">
        <is>
          <t>data/raw/claro_control_SP.json</t>
        </is>
      </c>
    </row>
    <row r="5">
      <c r="A5" s="5" t="inlineStr">
        <is>
          <t>2026-06-29</t>
        </is>
      </c>
      <c r="B5" s="5" t="inlineStr">
        <is>
          <t>2026-06-29T22:07:51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7" t="n">
        <v>15</v>
      </c>
      <c r="L5" s="5" t="inlineStr"/>
      <c r="M5" s="5" t="inlineStr"/>
      <c r="N5" s="5" t="inlineStr">
        <is>
          <t>WhatsApp</t>
        </is>
      </c>
      <c r="O5" s="5" t="inlineStr"/>
      <c r="P5" s="5" t="inlineStr"/>
      <c r="Q5" s="5" t="inlineStr"/>
      <c r="R5" s="5" t="inlineStr"/>
      <c r="S5" s="5" t="inlineStr">
        <is>
          <t>Para uso livre; Bônus do Hexa para uso livre; Para redes sociais e apps; Bônus extra nos apps; WhatsApp ilimitado</t>
        </is>
      </c>
      <c r="T5" s="5" t="inlineStr">
        <is>
          <t>https://www.claro.com.br/celular/flex</t>
        </is>
      </c>
      <c r="U5" s="5" t="inlineStr">
        <is>
          <t>data/raw/claro_flex_SP.json</t>
        </is>
      </c>
    </row>
    <row r="6">
      <c r="A6" s="2" t="inlineStr">
        <is>
          <t>2026-06-29</t>
        </is>
      </c>
      <c r="B6" s="2" t="inlineStr">
        <is>
          <t>2026-06-29T22:07:51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4" t="n">
        <v>20</v>
      </c>
      <c r="L6" s="2" t="inlineStr"/>
      <c r="M6" s="2" t="inlineStr"/>
      <c r="N6" s="2" t="inlineStr">
        <is>
          <t>WhatsApp</t>
        </is>
      </c>
      <c r="O6" s="2" t="inlineStr"/>
      <c r="P6" s="2" t="inlineStr"/>
      <c r="Q6" s="2" t="inlineStr"/>
      <c r="R6" s="2" t="inlineStr"/>
      <c r="S6" s="2" t="inlineStr">
        <is>
          <t>Para uso livre; Bônus do Hexa para uso livre; Para redes sociais e apps; Bônus extra nos apps; WhatsApp ilimitado</t>
        </is>
      </c>
      <c r="T6" s="2" t="inlineStr">
        <is>
          <t>https://www.claro.com.br/celular/flex</t>
        </is>
      </c>
      <c r="U6" s="2" t="inlineStr">
        <is>
          <t>data/raw/claro_flex_SP.json</t>
        </is>
      </c>
    </row>
    <row r="7">
      <c r="A7" s="5" t="inlineStr">
        <is>
          <t>2026-06-29</t>
        </is>
      </c>
      <c r="B7" s="5" t="inlineStr">
        <is>
          <t>2026-06-29T22:07:51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7" t="n">
        <v>30</v>
      </c>
      <c r="L7" s="5" t="inlineStr"/>
      <c r="M7" s="5" t="inlineStr"/>
      <c r="N7" s="5" t="inlineStr">
        <is>
          <t>WhatsApp</t>
        </is>
      </c>
      <c r="O7" s="5" t="inlineStr"/>
      <c r="P7" s="5" t="inlineStr"/>
      <c r="Q7" s="5" t="inlineStr"/>
      <c r="R7" s="5" t="inlineStr"/>
      <c r="S7" s="5" t="inlineStr">
        <is>
          <t>Para uso livre; Bônus do Hexa para uso livre; Para redes sociais e apps; Bônus extra nos apps; WhatsApp ilimitado; Assinatura Claro musica inclusa</t>
        </is>
      </c>
      <c r="T7" s="5" t="inlineStr">
        <is>
          <t>https://www.claro.com.br/celular/flex</t>
        </is>
      </c>
      <c r="U7" s="5" t="inlineStr">
        <is>
          <t>data/raw/claro_flex_SP.json</t>
        </is>
      </c>
    </row>
    <row r="8">
      <c r="A8" s="2" t="inlineStr">
        <is>
          <t>2026-06-29</t>
        </is>
      </c>
      <c r="B8" s="2" t="inlineStr">
        <is>
          <t>2026-06-29T22:07:51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4" t="n">
        <v>40</v>
      </c>
      <c r="L8" s="2" t="inlineStr"/>
      <c r="M8" s="2" t="inlineStr"/>
      <c r="N8" s="2" t="inlineStr">
        <is>
          <t>WhatsApp</t>
        </is>
      </c>
      <c r="O8" s="2" t="inlineStr"/>
      <c r="P8" s="2" t="inlineStr"/>
      <c r="Q8" s="2" t="inlineStr"/>
      <c r="R8" s="2" t="inlineStr"/>
      <c r="S8" s="2" t="inlineStr">
        <is>
          <t>Para uso livre; Para redes sociais e apps; Bônus uso livre; Bônus extra nos apps; WhatsApp ilimitado; Assinatura Claro musica inclusa</t>
        </is>
      </c>
      <c r="T8" s="2" t="inlineStr">
        <is>
          <t>https://www.claro.com.br/celular/flex</t>
        </is>
      </c>
      <c r="U8" s="2" t="inlineStr">
        <is>
          <t>data/raw/claro_flex_SP.json</t>
        </is>
      </c>
    </row>
    <row r="9">
      <c r="A9" s="5" t="inlineStr">
        <is>
          <t>2026-06-29</t>
        </is>
      </c>
      <c r="B9" s="5" t="inlineStr">
        <is>
          <t>2026-06-29T22:07:51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7" t="n">
        <v>100</v>
      </c>
      <c r="L9" s="5" t="inlineStr"/>
      <c r="M9" s="5" t="inlineStr"/>
      <c r="N9" s="5" t="inlineStr">
        <is>
          <t>WhatsApp</t>
        </is>
      </c>
      <c r="O9" s="5" t="inlineStr"/>
      <c r="P9" s="5" t="inlineStr"/>
      <c r="Q9" s="5" t="inlineStr"/>
      <c r="R9" s="5" t="inlineStr"/>
      <c r="S9" s="5" t="inlineStr">
        <is>
          <t>Armazenamento na nuvem:; Google One ou iCloud+; WhatsApp ilimitado; Roaming: Passaporte Américas; Claro Sync: Smartwatch conectado</t>
        </is>
      </c>
      <c r="T9" s="5" t="inlineStr">
        <is>
          <t>https://www.claro.com.br/celular/pos</t>
        </is>
      </c>
      <c r="U9" s="5" t="inlineStr">
        <is>
          <t>data/raw/claro_postpaid_SP.json</t>
        </is>
      </c>
    </row>
    <row r="10">
      <c r="A10" s="2" t="inlineStr">
        <is>
          <t>2026-06-29</t>
        </is>
      </c>
      <c r="B10" s="2" t="inlineStr">
        <is>
          <t>2026-06-29T22:07:51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4" t="n">
        <v>150</v>
      </c>
      <c r="L10" s="2" t="inlineStr"/>
      <c r="M10" s="2" t="inlineStr"/>
      <c r="N10" s="2" t="inlineStr">
        <is>
          <t>WhatsApp</t>
        </is>
      </c>
      <c r="O10" s="2" t="inlineStr"/>
      <c r="P10" s="2" t="inlineStr"/>
      <c r="Q10" s="2" t="inlineStr"/>
      <c r="R10" s="2" t="inlineStr"/>
      <c r="S10" s="2" t="inlineStr">
        <is>
          <t>Armazenamento na nuvem:; Google One ou iCloud+; WhatsApp ilimitado; Roaming: Passaporte Américas e Europa; Claro Sync: Smartwatch conectado</t>
        </is>
      </c>
      <c r="T10" s="2" t="inlineStr">
        <is>
          <t>https://www.claro.com.br/celular/pos</t>
        </is>
      </c>
      <c r="U10" s="2" t="inlineStr">
        <is>
          <t>data/raw/claro_postpaid_SP.json</t>
        </is>
      </c>
    </row>
    <row r="11">
      <c r="A11" s="5" t="inlineStr">
        <is>
          <t>2026-06-29</t>
        </is>
      </c>
      <c r="B11" s="5" t="inlineStr">
        <is>
          <t>2026-06-29T22:07:51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7" t="n">
        <v>200</v>
      </c>
      <c r="L11" s="5" t="inlineStr"/>
      <c r="M11" s="5" t="inlineStr"/>
      <c r="N11" s="5" t="inlineStr">
        <is>
          <t>WhatsApp</t>
        </is>
      </c>
      <c r="O11" s="5" t="inlineStr"/>
      <c r="P11" s="5" t="inlineStr"/>
      <c r="Q11" s="5" t="inlineStr"/>
      <c r="R11" s="5" t="inlineStr"/>
      <c r="S11" s="5" t="inlineStr">
        <is>
          <t>Armazenamento na nuvem:; Google One ou iCloud+; WhatsApp ilimitado; Roaming: Passaporte Mundo; Claro Sync: Smartwatch conectado</t>
        </is>
      </c>
      <c r="T11" s="5" t="inlineStr">
        <is>
          <t>https://www.claro.com.br/celular/pos</t>
        </is>
      </c>
      <c r="U11" s="5" t="inlineStr">
        <is>
          <t>data/raw/claro_postpaid_SP.json</t>
        </is>
      </c>
    </row>
    <row r="12">
      <c r="A12" s="2" t="inlineStr">
        <is>
          <t>2026-06-29</t>
        </is>
      </c>
      <c r="B12" s="2" t="inlineStr">
        <is>
          <t>2026-06-29T22:07:51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4" t="n">
        <v>50</v>
      </c>
      <c r="L12" s="2" t="inlineStr"/>
      <c r="M12" s="2" t="inlineStr"/>
      <c r="N12" s="2" t="inlineStr">
        <is>
          <t>WhatsApp</t>
        </is>
      </c>
      <c r="O12" s="2" t="inlineStr"/>
      <c r="P12" s="2" t="inlineStr"/>
      <c r="Q12" s="2" t="inlineStr"/>
      <c r="R12" s="2" t="inlineStr"/>
      <c r="S12" s="2" t="inlineStr">
        <is>
          <t>Armazenamento na nuvem:; Google One ou iCloud+; WhatsApp ilimitado; Roaming: Passaporte Américas; Claro Sync: Smartwatch conectado; Inclusa assinatura GeForce NOW</t>
        </is>
      </c>
      <c r="T12" s="2" t="inlineStr">
        <is>
          <t>https://www.claro.com.br/celular/pos</t>
        </is>
      </c>
      <c r="U12" s="2" t="inlineStr">
        <is>
          <t>data/raw/claro_postpaid_SP.json</t>
        </is>
      </c>
    </row>
    <row r="13">
      <c r="A13" s="5" t="inlineStr">
        <is>
          <t>2026-06-29</t>
        </is>
      </c>
      <c r="B13" s="5" t="inlineStr">
        <is>
          <t>2026-06-29T22:07:51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7" t="n">
        <v>60</v>
      </c>
      <c r="L13" s="5" t="inlineStr"/>
      <c r="M13" s="5" t="inlineStr"/>
      <c r="N13" s="5" t="inlineStr">
        <is>
          <t>WhatsApp</t>
        </is>
      </c>
      <c r="O13" s="5" t="inlineStr"/>
      <c r="P13" s="5" t="inlineStr"/>
      <c r="Q13" s="5" t="inlineStr"/>
      <c r="R13" s="5" t="inlineStr"/>
      <c r="S13" s="5" t="inlineStr">
        <is>
          <t>Armazenamento na nuvem:; Google One ou iCloud+; WhatsApp ilimitado; Roaming: Passaporte Américas; Claro Sync: Smartwatch conectado</t>
        </is>
      </c>
      <c r="T13" s="5" t="inlineStr">
        <is>
          <t>https://www.claro.com.br/celular/pos</t>
        </is>
      </c>
      <c r="U13" s="5" t="inlineStr">
        <is>
          <t>data/raw/claro_postpaid_SP.json</t>
        </is>
      </c>
    </row>
    <row r="14">
      <c r="A14" s="2" t="inlineStr">
        <is>
          <t>2026-06-29</t>
        </is>
      </c>
      <c r="B14" s="2" t="inlineStr">
        <is>
          <t>2026-06-29T22:07:51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4" t="n">
        <v>10</v>
      </c>
      <c r="L14" s="2" t="inlineStr"/>
      <c r="M14" s="2" t="n">
        <v>25</v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https://www.claro.com.br/celular/planos-pre/prezao</t>
        </is>
      </c>
      <c r="U14" s="2" t="inlineStr">
        <is>
          <t>data/raw/claro_prepaid_SP.json</t>
        </is>
      </c>
    </row>
    <row r="15">
      <c r="A15" s="5" t="inlineStr">
        <is>
          <t>2026-06-29</t>
        </is>
      </c>
      <c r="B15" s="5" t="inlineStr">
        <is>
          <t>2026-06-29T22:07:51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7" t="n">
        <v>12</v>
      </c>
      <c r="L15" s="5" t="inlineStr"/>
      <c r="M15" s="5" t="n">
        <v>30</v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>
        <is>
          <t>https://www.claro.com.br/celular/planos-pre/prezao</t>
        </is>
      </c>
      <c r="U15" s="5" t="inlineStr">
        <is>
          <t>data/raw/claro_prepaid_SP.json</t>
        </is>
      </c>
    </row>
    <row r="16">
      <c r="A16" s="2" t="inlineStr">
        <is>
          <t>2026-06-29</t>
        </is>
      </c>
      <c r="B16" s="2" t="inlineStr">
        <is>
          <t>2026-06-29T22:07:51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4" t="n">
        <v>4</v>
      </c>
      <c r="L16" s="2" t="inlineStr"/>
      <c r="M16" s="2" t="n">
        <v>12</v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https://www.claro.com.br/celular/planos-pre/prezao</t>
        </is>
      </c>
      <c r="U16" s="2" t="inlineStr">
        <is>
          <t>data/raw/claro_prepaid_SP.json</t>
        </is>
      </c>
    </row>
    <row r="17">
      <c r="A17" s="5" t="inlineStr">
        <is>
          <t>2026-06-29</t>
        </is>
      </c>
      <c r="B17" s="5" t="inlineStr">
        <is>
          <t>2026-06-29T22:07:51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7" t="n">
        <v>5</v>
      </c>
      <c r="L17" s="5" t="inlineStr"/>
      <c r="M17" s="5" t="n">
        <v>15</v>
      </c>
      <c r="N17" s="5" t="inlineStr"/>
      <c r="O17" s="5" t="inlineStr"/>
      <c r="P17" s="5" t="inlineStr"/>
      <c r="Q17" s="5" t="inlineStr"/>
      <c r="R17" s="5" t="inlineStr"/>
      <c r="S17" s="5" t="inlineStr"/>
      <c r="T17" s="5" t="inlineStr">
        <is>
          <t>https://www.claro.com.br/celular/planos-pre/prezao</t>
        </is>
      </c>
      <c r="U17" s="5" t="inlineStr">
        <is>
          <t>data/raw/claro_prepaid_SP.json</t>
        </is>
      </c>
    </row>
    <row r="18">
      <c r="A18" s="2" t="inlineStr">
        <is>
          <t>2026-06-29</t>
        </is>
      </c>
      <c r="B18" s="2" t="inlineStr">
        <is>
          <t>2026-06-29T22:07:51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4" t="n">
        <v>6</v>
      </c>
      <c r="L18" s="2" t="inlineStr"/>
      <c r="M18" s="2" t="n">
        <v>20</v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https://www.claro.com.br/celular/planos-pre/prezao</t>
        </is>
      </c>
      <c r="U18" s="2" t="inlineStr">
        <is>
          <t>data/raw/claro_prepaid_SP.json</t>
        </is>
      </c>
    </row>
    <row r="19">
      <c r="A19" s="5" t="inlineStr">
        <is>
          <t>2026-06-29</t>
        </is>
      </c>
      <c r="B19" s="5" t="inlineStr">
        <is>
          <t>2026-06-29T22:07:51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7" t="n">
        <v>8</v>
      </c>
      <c r="L19" s="5" t="inlineStr"/>
      <c r="M19" s="5" t="n">
        <v>20</v>
      </c>
      <c r="N19" s="5" t="inlineStr"/>
      <c r="O19" s="5" t="inlineStr"/>
      <c r="P19" s="5" t="inlineStr"/>
      <c r="Q19" s="5" t="inlineStr"/>
      <c r="R19" s="5" t="inlineStr"/>
      <c r="S19" s="5" t="inlineStr"/>
      <c r="T19" s="5" t="inlineStr">
        <is>
          <t>https://www.claro.com.br/celular/planos-pre/prezao</t>
        </is>
      </c>
      <c r="U19" s="5" t="inlineStr">
        <is>
          <t>data/raw/claro_prepaid_SP.json</t>
        </is>
      </c>
    </row>
    <row r="20">
      <c r="A20" s="2" t="inlineStr">
        <is>
          <t>2026-06-29</t>
        </is>
      </c>
      <c r="B20" s="2" t="inlineStr">
        <is>
          <t>2026-06-29T22:07:51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4" t="n">
        <v>9</v>
      </c>
      <c r="L20" s="2" t="inlineStr"/>
      <c r="M20" s="2" t="n">
        <v>25</v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https://www.claro.com.br/celular/planos-pre/prezao</t>
        </is>
      </c>
      <c r="U20" s="2" t="inlineStr">
        <is>
          <t>data/raw/claro_prepaid_SP.json</t>
        </is>
      </c>
    </row>
    <row r="21">
      <c r="A21" s="5" t="inlineStr">
        <is>
          <t>2026-06-29</t>
        </is>
      </c>
      <c r="B21" s="5" t="inlineStr">
        <is>
          <t>2026-06-29T22:07:51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41GB</t>
        </is>
      </c>
      <c r="G21" s="5" t="inlineStr">
        <is>
          <t>tim:162901</t>
        </is>
      </c>
      <c r="H21" s="6" t="n">
        <v>58.99</v>
      </c>
      <c r="I21" s="6" t="inlineStr"/>
      <c r="J21" s="5" t="inlineStr"/>
      <c r="K21" s="7" t="n">
        <v>41</v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>
        <is>
          <t>https://www.tim.com.br/sp/para-voce/planos/controle</t>
        </is>
      </c>
      <c r="U21" s="5" t="inlineStr">
        <is>
          <t>data/raw/tim_control_SP.html</t>
        </is>
      </c>
    </row>
    <row r="22">
      <c r="A22" s="2" t="inlineStr">
        <is>
          <t>2026-06-29</t>
        </is>
      </c>
      <c r="B22" s="2" t="inlineStr">
        <is>
          <t>2026-06-29T22:07:51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31GB</t>
        </is>
      </c>
      <c r="G22" s="2" t="inlineStr">
        <is>
          <t>tim:143536</t>
        </is>
      </c>
      <c r="H22" s="3" t="n">
        <v>60.99</v>
      </c>
      <c r="I22" s="3" t="inlineStr"/>
      <c r="J22" s="2" t="inlineStr"/>
      <c r="K22" s="4" t="n">
        <v>31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https://www.tim.com.br/sp/para-voce/planos/controle</t>
        </is>
      </c>
      <c r="U22" s="2" t="inlineStr">
        <is>
          <t>data/raw/tim_control_SP.html</t>
        </is>
      </c>
    </row>
    <row r="23">
      <c r="A23" s="5" t="inlineStr">
        <is>
          <t>2026-06-29</t>
        </is>
      </c>
      <c r="B23" s="5" t="inlineStr">
        <is>
          <t>2026-06-29T22:07:51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Plus 45GB</t>
        </is>
      </c>
      <c r="G23" s="5" t="inlineStr">
        <is>
          <t>tim:155891</t>
        </is>
      </c>
      <c r="H23" s="6" t="n">
        <v>64.98999999999999</v>
      </c>
      <c r="I23" s="6" t="inlineStr"/>
      <c r="J23" s="5" t="inlineStr"/>
      <c r="K23" s="7" t="n">
        <v>45</v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>
        <is>
          <t>https://www.tim.com.br/sp/para-voce/planos/controle</t>
        </is>
      </c>
      <c r="U23" s="5" t="inlineStr">
        <is>
          <t>data/raw/tim_control_SP.html</t>
        </is>
      </c>
    </row>
    <row r="24">
      <c r="A24" s="2" t="inlineStr">
        <is>
          <t>2026-06-29</t>
        </is>
      </c>
      <c r="B24" s="2" t="inlineStr">
        <is>
          <t>2026-06-29T22:07:51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Premium 53GB</t>
        </is>
      </c>
      <c r="G24" s="2" t="inlineStr">
        <is>
          <t>tim:162896</t>
        </is>
      </c>
      <c r="H24" s="3" t="n">
        <v>84.98999999999999</v>
      </c>
      <c r="I24" s="3" t="inlineStr"/>
      <c r="J24" s="2" t="inlineStr"/>
      <c r="K24" s="4" t="n">
        <v>53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https://www.tim.com.br/sp/para-voce/planos/controle</t>
        </is>
      </c>
      <c r="U24" s="2" t="inlineStr">
        <is>
          <t>data/raw/tim_control_SP.html</t>
        </is>
      </c>
    </row>
    <row r="25">
      <c r="A25" s="5" t="inlineStr">
        <is>
          <t>2026-06-29</t>
        </is>
      </c>
      <c r="B25" s="5" t="inlineStr">
        <is>
          <t>2026-06-29T22:07:51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Pro Express</t>
        </is>
      </c>
      <c r="G25" s="5" t="inlineStr">
        <is>
          <t>tim:143576</t>
        </is>
      </c>
      <c r="H25" s="6" t="n">
        <v>64.98999999999999</v>
      </c>
      <c r="I25" s="6" t="inlineStr"/>
      <c r="J25" s="5" t="inlineStr"/>
      <c r="K25" s="7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>
        <is>
          <t>https://www.tim.com.br/sp/para-voce/planos/controle</t>
        </is>
      </c>
      <c r="U25" s="5" t="inlineStr">
        <is>
          <t>data/raw/tim_control_SP.html</t>
        </is>
      </c>
    </row>
    <row r="26">
      <c r="A26" s="2" t="inlineStr">
        <is>
          <t>2026-06-29</t>
        </is>
      </c>
      <c r="B26" s="2" t="inlineStr">
        <is>
          <t>2026-06-29T22:07:51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70GB</t>
        </is>
      </c>
      <c r="G26" s="2" t="inlineStr">
        <is>
          <t>tim:54206</t>
        </is>
      </c>
      <c r="H26" s="3" t="n">
        <v>129.99</v>
      </c>
      <c r="I26" s="3" t="inlineStr"/>
      <c r="J26" s="2" t="inlineStr"/>
      <c r="K26" s="4" t="n">
        <v>70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https://www.tim.com.br/sp/para-voce/planos/pos-pago/tim-black</t>
        </is>
      </c>
      <c r="U26" s="2" t="inlineStr">
        <is>
          <t>data/raw/tim_postpaid_SP.html</t>
        </is>
      </c>
    </row>
    <row r="27">
      <c r="A27" s="5" t="inlineStr">
        <is>
          <t>2026-06-29</t>
        </is>
      </c>
      <c r="B27" s="5" t="inlineStr">
        <is>
          <t>2026-06-29T22:07:51</t>
        </is>
      </c>
      <c r="C27" s="5" t="inlineStr">
        <is>
          <t>tim</t>
        </is>
      </c>
      <c r="D27" s="5" t="inlineStr">
        <is>
          <t>postpaid</t>
        </is>
      </c>
      <c r="E27" s="5" t="inlineStr">
        <is>
          <t>SP</t>
        </is>
      </c>
      <c r="F27" s="5" t="inlineStr">
        <is>
          <t>TIM Black A Express 67GB</t>
        </is>
      </c>
      <c r="G27" s="5" t="inlineStr">
        <is>
          <t>tim:55121</t>
        </is>
      </c>
      <c r="H27" s="6" t="n">
        <v>119.99</v>
      </c>
      <c r="I27" s="6" t="inlineStr"/>
      <c r="J27" s="5" t="inlineStr"/>
      <c r="K27" s="7" t="n">
        <v>67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>
        <is>
          <t>https://www.tim.com.br/sp/para-voce/planos/pos-pago/tim-black</t>
        </is>
      </c>
      <c r="U27" s="5" t="inlineStr">
        <is>
          <t>data/raw/tim_postpaid_SP.html</t>
        </is>
      </c>
    </row>
    <row r="28">
      <c r="A28" s="2" t="inlineStr">
        <is>
          <t>2026-06-29</t>
        </is>
      </c>
      <c r="B28" s="2" t="inlineStr">
        <is>
          <t>2026-06-29T22:07:51</t>
        </is>
      </c>
      <c r="C28" s="2" t="inlineStr">
        <is>
          <t>tim</t>
        </is>
      </c>
      <c r="D28" s="2" t="inlineStr">
        <is>
          <t>postpaid</t>
        </is>
      </c>
      <c r="E28" s="2" t="inlineStr">
        <is>
          <t>SP</t>
        </is>
      </c>
      <c r="F28" s="2" t="inlineStr">
        <is>
          <t>TIM Black B Express 82GB</t>
        </is>
      </c>
      <c r="G28" s="2" t="inlineStr">
        <is>
          <t>tim:52146</t>
        </is>
      </c>
      <c r="H28" s="3" t="n">
        <v>144.99</v>
      </c>
      <c r="I28" s="3" t="inlineStr"/>
      <c r="J28" s="2" t="inlineStr"/>
      <c r="K28" s="4" t="n">
        <v>82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https://www.tim.com.br/sp/para-voce/planos/pos-pago/tim-black</t>
        </is>
      </c>
      <c r="U28" s="2" t="inlineStr">
        <is>
          <t>data/raw/tim_postpaid_SP.html</t>
        </is>
      </c>
    </row>
    <row r="29">
      <c r="A29" s="5" t="inlineStr">
        <is>
          <t>2026-06-29</t>
        </is>
      </c>
      <c r="B29" s="5" t="inlineStr">
        <is>
          <t>2026-06-29T22:07:51</t>
        </is>
      </c>
      <c r="C29" s="5" t="inlineStr">
        <is>
          <t>tim</t>
        </is>
      </c>
      <c r="D29" s="5" t="inlineStr">
        <is>
          <t>postpaid</t>
        </is>
      </c>
      <c r="E29" s="5" t="inlineStr">
        <is>
          <t>SP</t>
        </is>
      </c>
      <c r="F29" s="5" t="inlineStr">
        <is>
          <t>TIM Black C Express 107GB</t>
        </is>
      </c>
      <c r="G29" s="5" t="inlineStr">
        <is>
          <t>tim:52151</t>
        </is>
      </c>
      <c r="H29" s="6" t="n">
        <v>164.99</v>
      </c>
      <c r="I29" s="6" t="inlineStr"/>
      <c r="J29" s="5" t="inlineStr"/>
      <c r="K29" s="7" t="n">
        <v>107</v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>
        <is>
          <t>https://www.tim.com.br/sp/para-voce/planos/pos-pago/tim-black</t>
        </is>
      </c>
      <c r="U29" s="5" t="inlineStr">
        <is>
          <t>data/raw/tim_postpaid_SP.html</t>
        </is>
      </c>
    </row>
    <row r="30">
      <c r="A30" s="2" t="inlineStr">
        <is>
          <t>2026-06-29</t>
        </is>
      </c>
      <c r="B30" s="2" t="inlineStr">
        <is>
          <t>2026-06-29T22:07:51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C Ultra 95GB</t>
        </is>
      </c>
      <c r="G30" s="2" t="inlineStr">
        <is>
          <t>tim:100581</t>
        </is>
      </c>
      <c r="H30" s="3" t="n">
        <v>159.99</v>
      </c>
      <c r="I30" s="3" t="inlineStr"/>
      <c r="J30" s="2" t="inlineStr"/>
      <c r="K30" s="4" t="n">
        <v>95</v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https://www.tim.com.br/sp/para-voce/planos/pos-pago/tim-black</t>
        </is>
      </c>
      <c r="U30" s="2" t="inlineStr">
        <is>
          <t>data/raw/tim_postpaid_SP.html</t>
        </is>
      </c>
    </row>
    <row r="31">
      <c r="A31" s="5" t="inlineStr">
        <is>
          <t>2026-06-29</t>
        </is>
      </c>
      <c r="B31" s="5" t="inlineStr">
        <is>
          <t>2026-06-29T22:07:51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Plus 80GB</t>
        </is>
      </c>
      <c r="G31" s="5" t="inlineStr">
        <is>
          <t>tim:54256</t>
        </is>
      </c>
      <c r="H31" s="6" t="n">
        <v>149.99</v>
      </c>
      <c r="I31" s="6" t="inlineStr"/>
      <c r="J31" s="5" t="inlineStr"/>
      <c r="K31" s="7" t="n">
        <v>80</v>
      </c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https://www.tim.com.br/sp/para-voce/planos/pos-pago/tim-black</t>
        </is>
      </c>
      <c r="U31" s="5" t="inlineStr">
        <is>
          <t>data/raw/tim_postpaid_SP.html</t>
        </is>
      </c>
    </row>
    <row r="32">
      <c r="A32" s="2" t="inlineStr">
        <is>
          <t>2026-06-29</t>
        </is>
      </c>
      <c r="B32" s="2" t="inlineStr">
        <is>
          <t>2026-06-29T22:07:51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Premium 110GB</t>
        </is>
      </c>
      <c r="G32" s="2" t="inlineStr">
        <is>
          <t>tim:54261</t>
        </is>
      </c>
      <c r="H32" s="3" t="n">
        <v>159.99</v>
      </c>
      <c r="I32" s="3" t="inlineStr"/>
      <c r="J32" s="2" t="inlineStr"/>
      <c r="K32" s="4" t="n">
        <v>110</v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https://www.tim.com.br/sp/para-voce/planos/pos-pago/tim-black</t>
        </is>
      </c>
      <c r="U32" s="2" t="inlineStr">
        <is>
          <t>data/raw/tim_postpaid_SP.html</t>
        </is>
      </c>
    </row>
    <row r="33">
      <c r="A33" s="5" t="inlineStr">
        <is>
          <t>2026-06-29</t>
        </is>
      </c>
      <c r="B33" s="5" t="inlineStr">
        <is>
          <t>2026-06-29T22:07:51</t>
        </is>
      </c>
      <c r="C33" s="5" t="inlineStr">
        <is>
          <t>tim</t>
        </is>
      </c>
      <c r="D33" s="5" t="inlineStr">
        <is>
          <t>prepaid</t>
        </is>
      </c>
      <c r="E33" s="5" t="inlineStr">
        <is>
          <t>SP</t>
        </is>
      </c>
      <c r="F33" s="5" t="inlineStr">
        <is>
          <t>TIM Pré XIP Plus 16GB</t>
        </is>
      </c>
      <c r="G33" s="5" t="inlineStr">
        <is>
          <t>tim:106306</t>
        </is>
      </c>
      <c r="H33" s="6" t="n">
        <v>30</v>
      </c>
      <c r="I33" s="6" t="inlineStr"/>
      <c r="J33" s="5" t="inlineStr"/>
      <c r="K33" s="7" t="n">
        <v>16</v>
      </c>
      <c r="L33" s="5" t="inlineStr"/>
      <c r="M33" s="5" t="n">
        <v>30</v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https://www.tim.com.br/sp/para-voce/planos/pre-pago</t>
        </is>
      </c>
      <c r="U33" s="5" t="inlineStr">
        <is>
          <t>data/raw/tim_prepaid_SP.html</t>
        </is>
      </c>
    </row>
    <row r="34">
      <c r="A34" s="2" t="inlineStr">
        <is>
          <t>2026-06-29</t>
        </is>
      </c>
      <c r="B34" s="2" t="inlineStr">
        <is>
          <t>2026-06-29T22:07:51</t>
        </is>
      </c>
      <c r="C34" s="2" t="inlineStr">
        <is>
          <t>tim</t>
        </is>
      </c>
      <c r="D34" s="2" t="inlineStr">
        <is>
          <t>prepaid</t>
        </is>
      </c>
      <c r="E34" s="2" t="inlineStr">
        <is>
          <t>SP</t>
        </is>
      </c>
      <c r="F34" s="2" t="inlineStr">
        <is>
          <t>TIM Pré XIP Plus 6GB</t>
        </is>
      </c>
      <c r="G34" s="2" t="inlineStr">
        <is>
          <t>tim:59906</t>
        </is>
      </c>
      <c r="H34" s="3" t="n">
        <v>20</v>
      </c>
      <c r="I34" s="3" t="inlineStr"/>
      <c r="J34" s="2" t="inlineStr"/>
      <c r="K34" s="4" t="n">
        <v>6</v>
      </c>
      <c r="L34" s="2" t="inlineStr"/>
      <c r="M34" s="2" t="n">
        <v>30</v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https://www.tim.com.br/sp/para-voce/planos/pre-pago</t>
        </is>
      </c>
      <c r="U34" s="2" t="inlineStr">
        <is>
          <t>data/raw/tim_prepaid_SP.html</t>
        </is>
      </c>
    </row>
    <row r="35">
      <c r="A35" s="5" t="inlineStr">
        <is>
          <t>2026-06-29</t>
        </is>
      </c>
      <c r="B35" s="5" t="inlineStr">
        <is>
          <t>2026-06-29T22:07:51</t>
        </is>
      </c>
      <c r="C35" s="5" t="inlineStr">
        <is>
          <t>tim</t>
        </is>
      </c>
      <c r="D35" s="5" t="inlineStr">
        <is>
          <t>prepaid</t>
        </is>
      </c>
      <c r="E35" s="5" t="inlineStr">
        <is>
          <t>SP</t>
        </is>
      </c>
      <c r="F35" s="5" t="inlineStr">
        <is>
          <t>TIM Pré XIP Plus 8GB</t>
        </is>
      </c>
      <c r="G35" s="5" t="inlineStr">
        <is>
          <t>tim:59901</t>
        </is>
      </c>
      <c r="H35" s="6" t="n">
        <v>25</v>
      </c>
      <c r="I35" s="6" t="inlineStr"/>
      <c r="J35" s="5" t="inlineStr"/>
      <c r="K35" s="7" t="n">
        <v>8</v>
      </c>
      <c r="L35" s="5" t="inlineStr"/>
      <c r="M35" s="5" t="n">
        <v>30</v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https://www.tim.com.br/sp/para-voce/planos/pre-pago</t>
        </is>
      </c>
      <c r="U35" s="5" t="inlineStr">
        <is>
          <t>data/raw/tim_prepaid_SP.html</t>
        </is>
      </c>
    </row>
    <row r="36">
      <c r="A36" s="2" t="inlineStr">
        <is>
          <t>2026-06-29</t>
        </is>
      </c>
      <c r="B36" s="2" t="inlineStr">
        <is>
          <t>2026-06-29T22:07:51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</t>
        </is>
      </c>
      <c r="G36" s="2" t="inlineStr">
        <is>
          <t>vivo:VIV202600029270-46gb</t>
        </is>
      </c>
      <c r="H36" s="3" t="n">
        <v>59</v>
      </c>
      <c r="I36" s="3" t="inlineStr"/>
      <c r="J36" s="2" t="inlineStr"/>
      <c r="K36" s="4" t="n">
        <v>46</v>
      </c>
      <c r="L36" s="2" t="inlineStr">
        <is>
          <t>15 GB de franquia 31 GB de bônus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6 meses grátis de Gemini com AI Plus</t>
        </is>
      </c>
      <c r="T36" s="2" t="inlineStr">
        <is>
          <t>https://vivo.com.br/para-voce/produtos-e-servicos/para-o-celular/planos-controle</t>
        </is>
      </c>
      <c r="U36" s="2" t="inlineStr">
        <is>
          <t>data/raw/vivo_control_SP.html</t>
        </is>
      </c>
    </row>
    <row r="37">
      <c r="A37" s="5" t="inlineStr">
        <is>
          <t>2026-06-29</t>
        </is>
      </c>
      <c r="B37" s="5" t="inlineStr">
        <is>
          <t>2026-06-29T22:07:51</t>
        </is>
      </c>
      <c r="C37" s="5" t="inlineStr">
        <is>
          <t>vivo</t>
        </is>
      </c>
      <c r="D37" s="5" t="inlineStr">
        <is>
          <t>control</t>
        </is>
      </c>
      <c r="E37" s="5" t="inlineStr">
        <is>
          <t>SP</t>
        </is>
      </c>
      <c r="F37" s="5" t="inlineStr">
        <is>
          <t>Vivo Controle</t>
        </is>
      </c>
      <c r="G37" s="5" t="inlineStr">
        <is>
          <t>vivo:VIV202600029300-61gb</t>
        </is>
      </c>
      <c r="H37" s="6" t="n">
        <v>80</v>
      </c>
      <c r="I37" s="6" t="inlineStr"/>
      <c r="J37" s="5" t="inlineStr"/>
      <c r="K37" s="7" t="n">
        <v>61</v>
      </c>
      <c r="L37" s="5" t="inlineStr">
        <is>
          <t>20 GB de franquia 31 GB de bônus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6 meses grátis de Gemini com AI Plus</t>
        </is>
      </c>
      <c r="T37" s="5" t="inlineStr">
        <is>
          <t>https://vivo.com.br/para-voce/produtos-e-servicos/para-o-celular/planos-controle</t>
        </is>
      </c>
      <c r="U37" s="5" t="inlineStr">
        <is>
          <t>data/raw/vivo_control_SP.html</t>
        </is>
      </c>
    </row>
    <row r="38">
      <c r="A38" s="2" t="inlineStr">
        <is>
          <t>2026-06-29</t>
        </is>
      </c>
      <c r="B38" s="2" t="inlineStr">
        <is>
          <t>2026-06-29T22:07:51</t>
        </is>
      </c>
      <c r="C38" s="2" t="inlineStr">
        <is>
          <t>vivo</t>
        </is>
      </c>
      <c r="D38" s="2" t="inlineStr">
        <is>
          <t>control</t>
        </is>
      </c>
      <c r="E38" s="2" t="inlineStr">
        <is>
          <t>SP</t>
        </is>
      </c>
      <c r="F38" s="2" t="inlineStr">
        <is>
          <t>Vivo Controle Educação</t>
        </is>
      </c>
      <c r="G38" s="2" t="inlineStr">
        <is>
          <t>vivo:VIV202600029273-61gb</t>
        </is>
      </c>
      <c r="H38" s="3" t="n">
        <v>90</v>
      </c>
      <c r="I38" s="3" t="inlineStr"/>
      <c r="J38" s="2" t="inlineStr"/>
      <c r="K38" s="4" t="n">
        <v>61</v>
      </c>
      <c r="L38" s="2" t="inlineStr">
        <is>
          <t>20 GB de franquia 31 GB de bônus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Assinatura Vivae inclusa</t>
        </is>
      </c>
      <c r="T38" s="2" t="inlineStr">
        <is>
          <t>https://vivo.com.br/para-voce/produtos-e-servicos/para-o-celular/planos-controle</t>
        </is>
      </c>
      <c r="U38" s="2" t="inlineStr">
        <is>
          <t>data/raw/vivo_control_SP.html</t>
        </is>
      </c>
    </row>
    <row r="39">
      <c r="A39" s="5" t="inlineStr">
        <is>
          <t>2026-06-29</t>
        </is>
      </c>
      <c r="B39" s="5" t="inlineStr">
        <is>
          <t>2026-06-29T22:07:51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 Entretenimento</t>
        </is>
      </c>
      <c r="G39" s="5" t="inlineStr">
        <is>
          <t>vivo:VIV202600029307-61gb</t>
        </is>
      </c>
      <c r="H39" s="6" t="n">
        <v>110</v>
      </c>
      <c r="I39" s="6" t="inlineStr"/>
      <c r="J39" s="5" t="inlineStr"/>
      <c r="K39" s="7" t="n">
        <v>61</v>
      </c>
      <c r="L39" s="5" t="inlineStr">
        <is>
          <t>20 GB de franquia 31 GB de bônus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Assinatura Vivo TV Inicial inclusa</t>
        </is>
      </c>
      <c r="T39" s="5" t="inlineStr">
        <is>
          <t>https://vivo.com.br/para-voce/produtos-e-servicos/para-o-celular/planos-controle</t>
        </is>
      </c>
      <c r="U39" s="5" t="inlineStr">
        <is>
          <t>data/raw/vivo_control_SP.html</t>
        </is>
      </c>
    </row>
    <row r="40">
      <c r="A40" s="2" t="inlineStr">
        <is>
          <t>2026-06-29</t>
        </is>
      </c>
      <c r="B40" s="2" t="inlineStr">
        <is>
          <t>2026-06-29T22:07:51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 Música</t>
        </is>
      </c>
      <c r="G40" s="2" t="inlineStr">
        <is>
          <t>vivo:VIV202600029313-61gb</t>
        </is>
      </c>
      <c r="H40" s="3" t="n">
        <v>95</v>
      </c>
      <c r="I40" s="3" t="inlineStr"/>
      <c r="J40" s="2" t="inlineStr"/>
      <c r="K40" s="4" t="n">
        <v>61</v>
      </c>
      <c r="L40" s="2" t="inlineStr">
        <is>
          <t>20 GB de franquia 31 GB de bônus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Apple Music Individual</t>
        </is>
      </c>
      <c r="T40" s="2" t="inlineStr">
        <is>
          <t>https://vivo.com.br/para-voce/produtos-e-servicos/para-o-celular/planos-controle</t>
        </is>
      </c>
      <c r="U40" s="2" t="inlineStr">
        <is>
          <t>data/raw/vivo_control_SP.html</t>
        </is>
      </c>
    </row>
    <row r="41">
      <c r="A41" s="5" t="inlineStr">
        <is>
          <t>2026-06-29</t>
        </is>
      </c>
      <c r="B41" s="5" t="inlineStr">
        <is>
          <t>2026-06-29T22:07:51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Netflix</t>
        </is>
      </c>
      <c r="G41" s="5" t="inlineStr">
        <is>
          <t>vivo:VIV202600029308-61gb</t>
        </is>
      </c>
      <c r="H41" s="6" t="n">
        <v>95</v>
      </c>
      <c r="I41" s="6" t="inlineStr"/>
      <c r="J41" s="5" t="inlineStr"/>
      <c r="K41" s="7" t="n">
        <v>61</v>
      </c>
      <c r="L41" s="5" t="inlineStr">
        <is>
          <t>20 GB de franquia 31 GB de bônus</t>
        </is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Assinatura Netflix Padrão com anúncios</t>
        </is>
      </c>
      <c r="T41" s="5" t="inlineStr">
        <is>
          <t>https://vivo.com.br/para-voce/produtos-e-servicos/para-o-celular/planos-controle</t>
        </is>
      </c>
      <c r="U41" s="5" t="inlineStr">
        <is>
          <t>data/raw/vivo_control_SP.html</t>
        </is>
      </c>
    </row>
    <row r="42">
      <c r="A42" s="2" t="inlineStr">
        <is>
          <t>2026-06-29</t>
        </is>
      </c>
      <c r="B42" s="2" t="inlineStr">
        <is>
          <t>2026-06-29T22:07:51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Saúde</t>
        </is>
      </c>
      <c r="G42" s="2" t="inlineStr">
        <is>
          <t>vivo:VIV202600029301-61gb</t>
        </is>
      </c>
      <c r="H42" s="3" t="n">
        <v>90</v>
      </c>
      <c r="I42" s="3" t="inlineStr"/>
      <c r="J42" s="2" t="inlineStr"/>
      <c r="K42" s="4" t="n">
        <v>61</v>
      </c>
      <c r="L42" s="2" t="inlineStr">
        <is>
          <t>20 GB de franquia 31 GB de bônus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Assinatura Vale Saúde Sempre inclusa</t>
        </is>
      </c>
      <c r="T42" s="2" t="inlineStr">
        <is>
          <t>https://vivo.com.br/para-voce/produtos-e-servicos/para-o-celular/planos-controle</t>
        </is>
      </c>
      <c r="U42" s="2" t="inlineStr">
        <is>
          <t>data/raw/vivo_control_SP.html</t>
        </is>
      </c>
    </row>
    <row r="43">
      <c r="A43" s="5" t="inlineStr">
        <is>
          <t>2026-06-29</t>
        </is>
      </c>
      <c r="B43" s="5" t="inlineStr">
        <is>
          <t>2026-06-29T22:07:51</t>
        </is>
      </c>
      <c r="C43" s="5" t="inlineStr">
        <is>
          <t>vivo</t>
        </is>
      </c>
      <c r="D43" s="5" t="inlineStr">
        <is>
          <t>lite</t>
        </is>
      </c>
      <c r="E43" s="5" t="inlineStr">
        <is>
          <t>SP</t>
        </is>
      </c>
      <c r="F43" s="5" t="inlineStr">
        <is>
          <t>Easy Lite</t>
        </is>
      </c>
      <c r="G43" s="5" t="inlineStr">
        <is>
          <t>vivo:VIV202600025883-30gb</t>
        </is>
      </c>
      <c r="H43" s="6" t="n">
        <v>30</v>
      </c>
      <c r="I43" s="6" t="inlineStr"/>
      <c r="J43" s="5" t="inlineStr"/>
      <c r="K43" s="7" t="n">
        <v>30</v>
      </c>
      <c r="L43" s="5" t="inlineStr">
        <is>
          <t>30 GB de franquia</t>
        </is>
      </c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2 meses de YouTube sem consumo no plano</t>
        </is>
      </c>
      <c r="T43" s="5" t="inlineStr">
        <is>
          <t>https://vivo.com.br/para-voce/produtos-e-servicos/para-o-celular/easy-lite</t>
        </is>
      </c>
      <c r="U43" s="5" t="inlineStr">
        <is>
          <t>data/raw/vivo_lite_SP.html</t>
        </is>
      </c>
    </row>
    <row r="44">
      <c r="A44" s="2" t="inlineStr">
        <is>
          <t>2026-06-29</t>
        </is>
      </c>
      <c r="B44" s="2" t="inlineStr">
        <is>
          <t>2026-06-29T22:07:51</t>
        </is>
      </c>
      <c r="C44" s="2" t="inlineStr">
        <is>
          <t>vivo</t>
        </is>
      </c>
      <c r="D44" s="2" t="inlineStr">
        <is>
          <t>lite</t>
        </is>
      </c>
      <c r="E44" s="2" t="inlineStr">
        <is>
          <t>SP</t>
        </is>
      </c>
      <c r="F44" s="2" t="inlineStr">
        <is>
          <t>Easy Lite</t>
        </is>
      </c>
      <c r="G44" s="2" t="inlineStr">
        <is>
          <t>vivo:VIV202600025885-40gb</t>
        </is>
      </c>
      <c r="H44" s="3" t="n">
        <v>40</v>
      </c>
      <c r="I44" s="3" t="inlineStr"/>
      <c r="J44" s="2" t="inlineStr"/>
      <c r="K44" s="4" t="n">
        <v>40</v>
      </c>
      <c r="L44" s="2" t="inlineStr">
        <is>
          <t>40 GB de franquia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2 meses de YouTube sem consumo no plano</t>
        </is>
      </c>
      <c r="T44" s="2" t="inlineStr">
        <is>
          <t>https://vivo.com.br/para-voce/produtos-e-servicos/para-o-celular/easy-lite</t>
        </is>
      </c>
      <c r="U44" s="2" t="inlineStr">
        <is>
          <t>data/raw/vivo_lite_SP.html</t>
        </is>
      </c>
    </row>
    <row r="45">
      <c r="A45" s="5" t="inlineStr">
        <is>
          <t>2026-06-29</t>
        </is>
      </c>
      <c r="B45" s="5" t="inlineStr">
        <is>
          <t>2026-06-29T22:07:51</t>
        </is>
      </c>
      <c r="C45" s="5" t="inlineStr">
        <is>
          <t>vivo</t>
        </is>
      </c>
      <c r="D45" s="5" t="inlineStr">
        <is>
          <t>lite</t>
        </is>
      </c>
      <c r="E45" s="5" t="inlineStr">
        <is>
          <t>SP</t>
        </is>
      </c>
      <c r="F45" s="5" t="inlineStr">
        <is>
          <t>Easy Lite</t>
        </is>
      </c>
      <c r="G45" s="5" t="inlineStr">
        <is>
          <t>vivo:VIV202600025888-20gb</t>
        </is>
      </c>
      <c r="H45" s="6" t="n">
        <v>35</v>
      </c>
      <c r="I45" s="6" t="inlineStr"/>
      <c r="J45" s="5" t="inlineStr"/>
      <c r="K45" s="7" t="n">
        <v>20</v>
      </c>
      <c r="L45" s="5" t="inlineStr">
        <is>
          <t>20 GB de franquia</t>
        </is>
      </c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2 meses de YouTube sem consumo no plano</t>
        </is>
      </c>
      <c r="T45" s="5" t="inlineStr">
        <is>
          <t>https://vivo.com.br/para-voce/produtos-e-servicos/para-o-celular/easy-lite</t>
        </is>
      </c>
      <c r="U45" s="5" t="inlineStr">
        <is>
          <t>data/raw/vivo_lite_SP.html</t>
        </is>
      </c>
    </row>
    <row r="46">
      <c r="A46" s="2" t="inlineStr">
        <is>
          <t>2026-06-29</t>
        </is>
      </c>
      <c r="B46" s="2" t="inlineStr">
        <is>
          <t>2026-06-29T22:07:51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Amazon</t>
        </is>
      </c>
      <c r="G46" s="2" t="inlineStr">
        <is>
          <t>vivo:VIV202600029255-60gb</t>
        </is>
      </c>
      <c r="H46" s="3" t="n">
        <v>150</v>
      </c>
      <c r="I46" s="3" t="inlineStr"/>
      <c r="J46" s="2" t="inlineStr"/>
      <c r="K46" s="4" t="n">
        <v>60</v>
      </c>
      <c r="L46" s="2" t="inlineStr">
        <is>
          <t>50 GB de franquia 10 GB de bônus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Assinatura Amazon Prime inclusa</t>
        </is>
      </c>
      <c r="T46" s="2" t="inlineStr">
        <is>
          <t>https://vivo.com.br/para-voce/produtos-e-servicos/para-o-celular/planos-pos-pago</t>
        </is>
      </c>
      <c r="U46" s="2" t="inlineStr">
        <is>
          <t>data/raw/vivo_postpaid_SP.html</t>
        </is>
      </c>
    </row>
    <row r="47">
      <c r="A47" s="5" t="inlineStr">
        <is>
          <t>2026-06-29</t>
        </is>
      </c>
      <c r="B47" s="5" t="inlineStr">
        <is>
          <t>2026-06-29T22:07:51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Disney+</t>
        </is>
      </c>
      <c r="G47" s="5" t="inlineStr">
        <is>
          <t>vivo:VIV202600022115-60gb</t>
        </is>
      </c>
      <c r="H47" s="6" t="n">
        <v>180</v>
      </c>
      <c r="I47" s="6" t="inlineStr"/>
      <c r="J47" s="5" t="inlineStr"/>
      <c r="K47" s="7" t="n">
        <v>60</v>
      </c>
      <c r="L47" s="5" t="inlineStr">
        <is>
          <t>50 GB de franquia 10 GB de bônus</t>
        </is>
      </c>
      <c r="M47" s="5" t="inlineStr"/>
      <c r="N47" s="5" t="inlineStr"/>
      <c r="O47" s="5" t="inlineStr"/>
      <c r="P47" s="5" t="inlineStr"/>
      <c r="Q47" s="5" t="inlineStr">
        <is>
          <t>Disney+</t>
        </is>
      </c>
      <c r="R47" s="5" t="inlineStr"/>
      <c r="S47" s="5" t="inlineStr">
        <is>
          <t>Assinatura Disney+ Padrão inclusa</t>
        </is>
      </c>
      <c r="T47" s="5" t="inlineStr">
        <is>
          <t>https://vivo.com.br/para-voce/produtos-e-servicos/para-o-celular/planos-pos-pago</t>
        </is>
      </c>
      <c r="U47" s="5" t="inlineStr">
        <is>
          <t>data/raw/vivo_postpaid_SP.html</t>
        </is>
      </c>
    </row>
    <row r="48">
      <c r="A48" s="2" t="inlineStr">
        <is>
          <t>2026-06-29</t>
        </is>
      </c>
      <c r="B48" s="2" t="inlineStr">
        <is>
          <t>2026-06-29T22:07:51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Globoplay</t>
        </is>
      </c>
      <c r="G48" s="2" t="inlineStr">
        <is>
          <t>vivo:VIV202600029246-60gb</t>
        </is>
      </c>
      <c r="H48" s="3" t="n">
        <v>165</v>
      </c>
      <c r="I48" s="3" t="inlineStr"/>
      <c r="J48" s="2" t="inlineStr"/>
      <c r="K48" s="4" t="n">
        <v>60</v>
      </c>
      <c r="L48" s="2" t="inlineStr">
        <is>
          <t>50 GB de franquia 10 GB de bônus</t>
        </is>
      </c>
      <c r="M48" s="2" t="inlineStr"/>
      <c r="N48" s="2" t="inlineStr"/>
      <c r="O48" s="2" t="inlineStr"/>
      <c r="P48" s="2" t="inlineStr"/>
      <c r="Q48" s="2" t="inlineStr">
        <is>
          <t>Globoplay</t>
        </is>
      </c>
      <c r="R48" s="2" t="inlineStr"/>
      <c r="S48" s="2" t="inlineStr">
        <is>
          <t>Assinatura Globoplay inclusa</t>
        </is>
      </c>
      <c r="T48" s="2" t="inlineStr">
        <is>
          <t>https://vivo.com.br/para-voce/produtos-e-servicos/para-o-celular/planos-pos-pago</t>
        </is>
      </c>
      <c r="U48" s="2" t="inlineStr">
        <is>
          <t>data/raw/vivo_postpaid_SP.html</t>
        </is>
      </c>
    </row>
    <row r="49">
      <c r="A49" s="5" t="inlineStr">
        <is>
          <t>2026-06-29</t>
        </is>
      </c>
      <c r="B49" s="5" t="inlineStr">
        <is>
          <t>2026-06-29T22:07:51</t>
        </is>
      </c>
      <c r="C49" s="5" t="inlineStr">
        <is>
          <t>vivo</t>
        </is>
      </c>
      <c r="D49" s="5" t="inlineStr">
        <is>
          <t>postpaid</t>
        </is>
      </c>
      <c r="E49" s="5" t="inlineStr">
        <is>
          <t>SP</t>
        </is>
      </c>
      <c r="F49" s="5" t="inlineStr">
        <is>
          <t>Vivo Pós com Netflix</t>
        </is>
      </c>
      <c r="G49" s="5" t="inlineStr">
        <is>
          <t>vivo:VIV202600029234-60gb</t>
        </is>
      </c>
      <c r="H49" s="6" t="n">
        <v>180</v>
      </c>
      <c r="I49" s="6" t="inlineStr"/>
      <c r="J49" s="5" t="inlineStr"/>
      <c r="K49" s="7" t="n">
        <v>60</v>
      </c>
      <c r="L49" s="5" t="inlineStr">
        <is>
          <t>50 GB de franquia 10 GB de bônus</t>
        </is>
      </c>
      <c r="M49" s="5" t="inlineStr"/>
      <c r="N49" s="5" t="inlineStr"/>
      <c r="O49" s="5" t="inlineStr"/>
      <c r="P49" s="5" t="inlineStr"/>
      <c r="Q49" s="5" t="inlineStr">
        <is>
          <t>Netflix</t>
        </is>
      </c>
      <c r="R49" s="5" t="inlineStr"/>
      <c r="S49" s="5" t="inlineStr">
        <is>
          <t>Assinatura Netflix Padrão inclusa</t>
        </is>
      </c>
      <c r="T49" s="5" t="inlineStr">
        <is>
          <t>https://vivo.com.br/para-voce/produtos-e-servicos/para-o-celular/planos-pos-pago</t>
        </is>
      </c>
      <c r="U49" s="5" t="inlineStr">
        <is>
          <t>data/raw/vivo_postpaid_SP.html</t>
        </is>
      </c>
    </row>
    <row r="50">
      <c r="A50" s="2" t="inlineStr">
        <is>
          <t>2026-06-29</t>
        </is>
      </c>
      <c r="B50" s="2" t="inlineStr">
        <is>
          <t>2026-06-29T22:07:51</t>
        </is>
      </c>
      <c r="C50" s="2" t="inlineStr">
        <is>
          <t>vivo</t>
        </is>
      </c>
      <c r="D50" s="2" t="inlineStr">
        <is>
          <t>postpaid</t>
        </is>
      </c>
      <c r="E50" s="2" t="inlineStr">
        <is>
          <t>SP</t>
        </is>
      </c>
      <c r="F50" s="2" t="inlineStr">
        <is>
          <t>Vivo Pós com Premiere</t>
        </is>
      </c>
      <c r="G50" s="2" t="inlineStr">
        <is>
          <t>vivo:VIV202600029249-60gb</t>
        </is>
      </c>
      <c r="H50" s="3" t="n">
        <v>180</v>
      </c>
      <c r="I50" s="3" t="inlineStr"/>
      <c r="J50" s="2" t="inlineStr"/>
      <c r="K50" s="4" t="n">
        <v>60</v>
      </c>
      <c r="L50" s="2" t="inlineStr">
        <is>
          <t>50 GB de franquia 10 GB de bônus</t>
        </is>
      </c>
      <c r="M50" s="2" t="inlineStr"/>
      <c r="N50" s="2" t="inlineStr"/>
      <c r="O50" s="2" t="inlineStr"/>
      <c r="P50" s="2" t="inlineStr"/>
      <c r="Q50" s="2" t="inlineStr">
        <is>
          <t>Premiere</t>
        </is>
      </c>
      <c r="R50" s="2" t="inlineStr"/>
      <c r="S50" s="2" t="inlineStr">
        <is>
          <t>Assinatura Premiere inclusa</t>
        </is>
      </c>
      <c r="T50" s="2" t="inlineStr">
        <is>
          <t>https://vivo.com.br/para-voce/produtos-e-servicos/para-o-celular/planos-pos-pago</t>
        </is>
      </c>
      <c r="U50" s="2" t="inlineStr">
        <is>
          <t>data/raw/vivo_postpaid_SP.html</t>
        </is>
      </c>
    </row>
    <row r="51">
      <c r="A51" s="5" t="inlineStr">
        <is>
          <t>2026-06-29</t>
        </is>
      </c>
      <c r="B51" s="5" t="inlineStr">
        <is>
          <t>2026-06-29T22:07:51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Pós com Spotify</t>
        </is>
      </c>
      <c r="G51" s="5" t="inlineStr">
        <is>
          <t>vivo:VIV202600029229-60gb</t>
        </is>
      </c>
      <c r="H51" s="6" t="n">
        <v>165</v>
      </c>
      <c r="I51" s="6" t="inlineStr"/>
      <c r="J51" s="5" t="inlineStr"/>
      <c r="K51" s="7" t="n">
        <v>60</v>
      </c>
      <c r="L51" s="5" t="inlineStr">
        <is>
          <t>50 GB de franquia 10 GB de bônus</t>
        </is>
      </c>
      <c r="M51" s="5" t="inlineStr"/>
      <c r="N51" s="5" t="inlineStr"/>
      <c r="O51" s="5" t="inlineStr"/>
      <c r="P51" s="5" t="inlineStr"/>
      <c r="Q51" s="5" t="inlineStr">
        <is>
          <t>Spotify</t>
        </is>
      </c>
      <c r="R51" s="5" t="inlineStr"/>
      <c r="S51" s="5" t="inlineStr">
        <is>
          <t>Assinatura Spotify Premium inclusa</t>
        </is>
      </c>
      <c r="T51" s="5" t="inlineStr">
        <is>
          <t>https://vivo.com.br/para-voce/produtos-e-servicos/para-o-celular/planos-pos-pago</t>
        </is>
      </c>
      <c r="U51" s="5" t="inlineStr">
        <is>
          <t>data/raw/vivo_postpaid_SP.html</t>
        </is>
      </c>
    </row>
    <row r="52">
      <c r="A52" s="2" t="inlineStr">
        <is>
          <t>2026-06-29</t>
        </is>
      </c>
      <c r="B52" s="2" t="inlineStr">
        <is>
          <t>2026-06-29T22:07:51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Pós com Travel</t>
        </is>
      </c>
      <c r="G52" s="2" t="inlineStr">
        <is>
          <t>vivo:VIV202600029244-70gb</t>
        </is>
      </c>
      <c r="H52" s="3" t="n">
        <v>215</v>
      </c>
      <c r="I52" s="3" t="inlineStr"/>
      <c r="J52" s="2" t="inlineStr"/>
      <c r="K52" s="4" t="n">
        <v>70</v>
      </c>
      <c r="L52" s="2" t="inlineStr">
        <is>
          <t>60 GB de franquia 10 GB de bônus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6 meses grátis de Gemini com AI Plus</t>
        </is>
      </c>
      <c r="T52" s="2" t="inlineStr">
        <is>
          <t>https://vivo.com.br/para-voce/produtos-e-servicos/para-o-celular/planos-pos-pago</t>
        </is>
      </c>
      <c r="U52" s="2" t="inlineStr">
        <is>
          <t>data/raw/vivo_postpaid_SP.html</t>
        </is>
      </c>
    </row>
    <row r="53">
      <c r="A53" s="5" t="inlineStr">
        <is>
          <t>2026-06-29</t>
        </is>
      </c>
      <c r="B53" s="5" t="inlineStr">
        <is>
          <t>2026-06-29T22:07:51</t>
        </is>
      </c>
      <c r="C53" s="5" t="inlineStr">
        <is>
          <t>vivo</t>
        </is>
      </c>
      <c r="D53" s="5" t="inlineStr">
        <is>
          <t>prepaid</t>
        </is>
      </c>
      <c r="E53" s="5" t="inlineStr">
        <is>
          <t>SP</t>
        </is>
      </c>
      <c r="F53" s="5" t="inlineStr">
        <is>
          <t>Vivo Pré</t>
        </is>
      </c>
      <c r="G53" s="5" t="inlineStr">
        <is>
          <t>vivo:VIV202600029370-25gb</t>
        </is>
      </c>
      <c r="H53" s="6" t="n">
        <v>30</v>
      </c>
      <c r="I53" s="6" t="inlineStr"/>
      <c r="J53" s="5" t="inlineStr"/>
      <c r="K53" s="7" t="n">
        <v>25</v>
      </c>
      <c r="L53" s="5" t="inlineStr">
        <is>
          <t>15 GB para navegar como quiser 5 GB de bônus 5 GB para navegar no Youtube</t>
        </is>
      </c>
      <c r="M53" s="5" t="n">
        <v>30</v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https://vivo.com.br/para-voce/produtos-e-servicos/para-o-celular/pre-pago/vivo-pre</t>
        </is>
      </c>
      <c r="U53" s="5" t="inlineStr">
        <is>
          <t>data/raw/vivo_prepaid_SP.html</t>
        </is>
      </c>
    </row>
    <row r="54">
      <c r="A54" s="2" t="inlineStr">
        <is>
          <t>2026-06-29</t>
        </is>
      </c>
      <c r="B54" s="2" t="inlineStr">
        <is>
          <t>2026-06-29T22:07:51</t>
        </is>
      </c>
      <c r="C54" s="2" t="inlineStr">
        <is>
          <t>vivo</t>
        </is>
      </c>
      <c r="D54" s="2" t="inlineStr">
        <is>
          <t>prepaid</t>
        </is>
      </c>
      <c r="E54" s="2" t="inlineStr">
        <is>
          <t>SP</t>
        </is>
      </c>
      <c r="F54" s="2" t="inlineStr">
        <is>
          <t>Vivo Pré</t>
        </is>
      </c>
      <c r="G54" s="2" t="inlineStr">
        <is>
          <t>vivo:VIV202600029370-9gb</t>
        </is>
      </c>
      <c r="H54" s="3" t="n">
        <v>25</v>
      </c>
      <c r="I54" s="3" t="inlineStr"/>
      <c r="J54" s="2" t="inlineStr"/>
      <c r="K54" s="4" t="n">
        <v>9</v>
      </c>
      <c r="L54" s="2" t="inlineStr">
        <is>
          <t>6 GB para navegar como quiser 3 GB para navegar no YouTube</t>
        </is>
      </c>
      <c r="M54" s="2" t="n">
        <v>22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https://vivo.com.br/para-voce/produtos-e-servicos/para-o-celular/pre-pago/vivo-pre</t>
        </is>
      </c>
      <c r="U54" s="2" t="inlineStr">
        <is>
          <t>data/raw/vivo_prepaid_SP.html</t>
        </is>
      </c>
    </row>
    <row r="55">
      <c r="A55" s="5" t="inlineStr">
        <is>
          <t>2026-06-29</t>
        </is>
      </c>
      <c r="B55" s="5" t="inlineStr">
        <is>
          <t>2026-06-29T22:07:51</t>
        </is>
      </c>
      <c r="C55" s="5" t="inlineStr">
        <is>
          <t>vivo</t>
        </is>
      </c>
      <c r="D55" s="5" t="inlineStr">
        <is>
          <t>prepaid</t>
        </is>
      </c>
      <c r="E55" s="5" t="inlineStr">
        <is>
          <t>SP</t>
        </is>
      </c>
      <c r="F55" s="5" t="inlineStr">
        <is>
          <t>Vivo Pré</t>
        </is>
      </c>
      <c r="G55" s="5" t="inlineStr">
        <is>
          <t>vivo:VIV202600029370-5gb</t>
        </is>
      </c>
      <c r="H55" s="6" t="n">
        <v>20</v>
      </c>
      <c r="I55" s="6" t="inlineStr"/>
      <c r="J55" s="5" t="inlineStr"/>
      <c r="K55" s="7" t="n">
        <v>5</v>
      </c>
      <c r="L55" s="5" t="inlineStr">
        <is>
          <t>5 GB para navegar como quiser</t>
        </is>
      </c>
      <c r="M55" s="5" t="n">
        <v>17</v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https://vivo.com.br/para-voce/produtos-e-servicos/para-o-celular/pre-pago/vivo-pre</t>
        </is>
      </c>
      <c r="U55" s="5" t="inlineStr">
        <is>
          <t>data/raw/vivo_prepaid_SP.html</t>
        </is>
      </c>
    </row>
    <row r="56">
      <c r="A56" s="2" t="inlineStr">
        <is>
          <t>2026-06-29</t>
        </is>
      </c>
      <c r="B56" s="2" t="inlineStr">
        <is>
          <t>2026-06-29T22:07:51</t>
        </is>
      </c>
      <c r="C56" s="2" t="inlineStr">
        <is>
          <t>vivo</t>
        </is>
      </c>
      <c r="D56" s="2" t="inlineStr">
        <is>
          <t>prepaid</t>
        </is>
      </c>
      <c r="E56" s="2" t="inlineStr">
        <is>
          <t>SP</t>
        </is>
      </c>
      <c r="F56" s="2" t="inlineStr">
        <is>
          <t>Vivo Pré</t>
        </is>
      </c>
      <c r="G56" s="2" t="inlineStr">
        <is>
          <t>vivo:VIV202600029370-4gb</t>
        </is>
      </c>
      <c r="H56" s="3" t="n">
        <v>17</v>
      </c>
      <c r="I56" s="3" t="inlineStr"/>
      <c r="J56" s="2" t="inlineStr"/>
      <c r="K56" s="4" t="n">
        <v>4</v>
      </c>
      <c r="L56" s="2" t="inlineStr">
        <is>
          <t>4 GB para navegar como quiser</t>
        </is>
      </c>
      <c r="M56" s="2" t="n">
        <v>15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https://vivo.com.br/para-voce/produtos-e-servicos/para-o-celular/pre-pago/vivo-pre</t>
        </is>
      </c>
      <c r="U56" s="2" t="inlineStr">
        <is>
          <t>data/raw/vivo_prepaid_SP.html</t>
        </is>
      </c>
    </row>
  </sheetData>
  <autoFilter ref="A1:U56"/>
  <conditionalFormatting sqref="H2:H5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6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2026-06-29T22:07:51</t>
        </is>
      </c>
    </row>
    <row r="4">
      <c r="A4" s="9" t="inlineStr">
        <is>
          <t>Latest snapshot</t>
        </is>
      </c>
      <c r="B4" s="2" t="inlineStr">
        <is>
          <t>2026-06-29</t>
        </is>
      </c>
    </row>
    <row r="5">
      <c r="A5" s="9" t="inlineStr">
        <is>
          <t>Plans in latest</t>
        </is>
      </c>
      <c r="B5" s="2" t="n">
        <v>55</v>
      </c>
    </row>
    <row r="6">
      <c r="A6" s="9" t="inlineStr">
        <is>
          <t>Snapshots in history</t>
        </is>
      </c>
      <c r="B6" s="2" t="n">
        <v>8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/>
      </c>
      <c r="C9" s="10">
        <f>IFERROR(_xlfn.MINIFS(latest!$H$2:$H$2000,latest!$C$2:$C$2000,$A$9),"-")</f>
        <v/>
      </c>
      <c r="D9" s="10">
        <f>IFERROR(AVERAGEIFS(latest!$H$2:$H$2000,latest!$C$2:$C$2000,$A$9),"-")</f>
        <v/>
      </c>
      <c r="E9" s="10">
        <f>IFERROR(_xlfn.MAXIFS(latest!$H$2:$H$2000,latest!$C$2:$C$2000,$A$9),"-")</f>
        <v/>
      </c>
    </row>
    <row r="10">
      <c r="A10" s="2" t="inlineStr">
        <is>
          <t>claro</t>
        </is>
      </c>
      <c r="B10" s="2">
        <f>COUNTIF(latest!$C$2:$C$2000,$A$10)</f>
        <v/>
      </c>
      <c r="C10" s="10">
        <f>IFERROR(_xlfn.MINIFS(latest!$H$2:$H$2000,latest!$C$2:$C$2000,$A$10),"-")</f>
        <v/>
      </c>
      <c r="D10" s="10">
        <f>IFERROR(AVERAGEIFS(latest!$H$2:$H$2000,latest!$C$2:$C$2000,$A$10),"-")</f>
        <v/>
      </c>
      <c r="E10" s="10">
        <f>IFERROR(_xlfn.MAXIFS(latest!$H$2:$H$2000,latest!$C$2:$C$2000,$A$10),"-")</f>
        <v/>
      </c>
    </row>
    <row r="11">
      <c r="A11" s="2" t="inlineStr">
        <is>
          <t>tim</t>
        </is>
      </c>
      <c r="B11" s="2">
        <f>COUNTIF(latest!$C$2:$C$2000,$A$11)</f>
        <v/>
      </c>
      <c r="C11" s="10">
        <f>IFERROR(_xlfn.MINIFS(latest!$H$2:$H$2000,latest!$C$2:$C$2000,$A$11),"-")</f>
        <v/>
      </c>
      <c r="D11" s="10">
        <f>IFERROR(AVERAGEIFS(latest!$H$2:$H$2000,latest!$C$2:$C$2000,$A$11),"-")</f>
        <v/>
      </c>
      <c r="E11" s="10">
        <f>IFERROR(_xlfn.MAXIFS(latest!$H$2:$H$2000,latest!$C$2:$C$2000,$A$11),"-")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/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/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/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/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/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/>
      </c>
      <c r="H3" s="3">
        <f>IFERROR(IF(_xlfn.MINIFS(history!$H:$H,history!$C:$C,"tim",history!$D:$D,"prepaid",history!$A:$A,YEAR($A3)&amp;"-"&amp;TEXT(MONTH($A3),"00")&amp;"-"&amp;TEXT(DAY($A3),"00"),history!$M:$M,"&gt;=28")=0,"",_xlfn.MINIFS(history!$H:$H,history!$C:$C,"tim",history!$D:$D,"prepaid",history!$A:$A,YEAR($A3)&amp;"-"&amp;TEXT(MONTH($A3),"00")&amp;"-"&amp;TEXT(DAY($A3),"00"),history!$M:$M,"&gt;=28")),"")</f>
        <v/>
      </c>
      <c r="I3" s="3">
        <f>IFERROR(IF(_xlfn.MINIFS(history!$H:$H,history!$C:$C,"vivo",history!$D:$D,"prepaid",history!$A:$A,YEAR($A3)&amp;"-"&amp;TEXT(MONTH($A3),"00")&amp;"-"&amp;TEXT(DAY($A3),"00"),history!$M:$M,"&gt;=28")=0,"",_xlfn.MINIFS(history!$H:$H,history!$C:$C,"vivo",history!$D:$D,"prepaid",history!$A:$A,YEAR($A3)&amp;"-"&amp;TEXT(MONTH($A3),"00")&amp;"-"&amp;TEXT(DAY($A3),"00"),history!$M:$M,"&gt;=28")),"")</f>
        <v/>
      </c>
      <c r="J3" s="3">
        <f>IFERROR(IF(_xlfn.MINIFS(history!$H:$H,history!$C:$C,"claro",history!$D:$D,"prepaid",history!$A:$A,YEAR($A3)&amp;"-"&amp;TEXT(MONTH($A3),"00")&amp;"-"&amp;TEXT(DAY($A3),"00"),history!$M:$M,"&gt;=28")=0,"",_xlfn.MINIFS(history!$H:$H,history!$C:$C,"claro",history!$D:$D,"prepaid",history!$A:$A,YEAR($A3)&amp;"-"&amp;TEXT(MONTH($A3),"00")&amp;"-"&amp;TEXT(DAY($A3),"00"),history!$M:$M,"&gt;=28")),"")</f>
        <v/>
      </c>
      <c r="K3" s="3">
        <f>IFERROR(1/MAX(IFERROR(1/_xlfn.MINIFS(history!$H:$H,history!$C:$C,"tim",history!$D:$D,"lite",history!$A:$A,YEAR($A3)&amp;"-"&amp;TEXT(MONTH($A3),"00")&amp;"-"&amp;TEXT(DAY($A3),"00")),0),IFERROR(1/_xlfn.MINIFS(history!$H:$H,history!$C:$C,"tim",history!$D:$D,"flex",history!$A:$A,YEAR($A3)&amp;"-"&amp;TEXT(MONTH($A3),"00")&amp;"-"&amp;TEXT(DAY($A3),"00")),0)),"")</f>
        <v/>
      </c>
      <c r="L3" s="3">
        <f>IFERROR(1/MAX(IFERROR(1/_xlfn.MINIFS(history!$H:$H,history!$C:$C,"vivo",history!$D:$D,"lite",history!$A:$A,YEAR($A3)&amp;"-"&amp;TEXT(MONTH($A3),"00")&amp;"-"&amp;TEXT(DAY($A3),"00")),0),IFERROR(1/_xlfn.MINIFS(history!$H:$H,history!$C:$C,"vivo",history!$D:$D,"flex",history!$A:$A,YEAR($A3)&amp;"-"&amp;TEXT(MONTH($A3),"00")&amp;"-"&amp;TEXT(DAY($A3),"00")),0)),"")</f>
        <v/>
      </c>
      <c r="M3" s="3">
        <f>IFERROR(1/MAX(IFERROR(1/_xlfn.MINIFS(history!$H:$H,history!$C:$C,"claro",history!$D:$D,"lite",history!$A:$A,YEAR($A3)&amp;"-"&amp;TEXT(MONTH($A3),"00")&amp;"-"&amp;TEXT(DAY($A3),"00")),0),IFERROR(1/_xlfn.MINIFS(history!$H:$H,history!$C:$C,"claro",history!$D:$D,"flex",history!$A:$A,YEAR($A3)&amp;"-"&amp;TEXT(MONTH($A3),"00")&amp;"-"&amp;TEXT(DAY($A3),"00")),0)),"")</f>
        <v/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/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/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/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/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/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/>
      </c>
      <c r="H4" s="3">
        <f>IFERROR(IF(_xlfn.MINIFS(history!$H:$H,history!$C:$C,"tim",history!$D:$D,"prepaid",history!$A:$A,YEAR($A4)&amp;"-"&amp;TEXT(MONTH($A4),"00")&amp;"-"&amp;TEXT(DAY($A4),"00"),history!$M:$M,"&gt;=28")=0,"",_xlfn.MINIFS(history!$H:$H,history!$C:$C,"tim",history!$D:$D,"prepaid",history!$A:$A,YEAR($A4)&amp;"-"&amp;TEXT(MONTH($A4),"00")&amp;"-"&amp;TEXT(DAY($A4),"00"),history!$M:$M,"&gt;=28")),"")</f>
        <v/>
      </c>
      <c r="I4" s="3">
        <f>IFERROR(IF(_xlfn.MINIFS(history!$H:$H,history!$C:$C,"vivo",history!$D:$D,"prepaid",history!$A:$A,YEAR($A4)&amp;"-"&amp;TEXT(MONTH($A4),"00")&amp;"-"&amp;TEXT(DAY($A4),"00"),history!$M:$M,"&gt;=28")=0,"",_xlfn.MINIFS(history!$H:$H,history!$C:$C,"vivo",history!$D:$D,"prepaid",history!$A:$A,YEAR($A4)&amp;"-"&amp;TEXT(MONTH($A4),"00")&amp;"-"&amp;TEXT(DAY($A4),"00"),history!$M:$M,"&gt;=28")),"")</f>
        <v/>
      </c>
      <c r="J4" s="3">
        <f>IFERROR(IF(_xlfn.MINIFS(history!$H:$H,history!$C:$C,"claro",history!$D:$D,"prepaid",history!$A:$A,YEAR($A4)&amp;"-"&amp;TEXT(MONTH($A4),"00")&amp;"-"&amp;TEXT(DAY($A4),"00"),history!$M:$M,"&gt;=28")=0,"",_xlfn.MINIFS(history!$H:$H,history!$C:$C,"claro",history!$D:$D,"prepaid",history!$A:$A,YEAR($A4)&amp;"-"&amp;TEXT(MONTH($A4),"00")&amp;"-"&amp;TEXT(DAY($A4),"00"),history!$M:$M,"&gt;=28")),"")</f>
        <v/>
      </c>
      <c r="K4" s="3">
        <f>IFERROR(1/MAX(IFERROR(1/_xlfn.MINIFS(history!$H:$H,history!$C:$C,"tim",history!$D:$D,"lite",history!$A:$A,YEAR($A4)&amp;"-"&amp;TEXT(MONTH($A4),"00")&amp;"-"&amp;TEXT(DAY($A4),"00")),0),IFERROR(1/_xlfn.MINIFS(history!$H:$H,history!$C:$C,"tim",history!$D:$D,"flex",history!$A:$A,YEAR($A4)&amp;"-"&amp;TEXT(MONTH($A4),"00")&amp;"-"&amp;TEXT(DAY($A4),"00")),0)),"")</f>
        <v/>
      </c>
      <c r="L4" s="3">
        <f>IFERROR(1/MAX(IFERROR(1/_xlfn.MINIFS(history!$H:$H,history!$C:$C,"vivo",history!$D:$D,"lite",history!$A:$A,YEAR($A4)&amp;"-"&amp;TEXT(MONTH($A4),"00")&amp;"-"&amp;TEXT(DAY($A4),"00")),0),IFERROR(1/_xlfn.MINIFS(history!$H:$H,history!$C:$C,"vivo",history!$D:$D,"flex",history!$A:$A,YEAR($A4)&amp;"-"&amp;TEXT(MONTH($A4),"00")&amp;"-"&amp;TEXT(DAY($A4),"00")),0)),"")</f>
        <v/>
      </c>
      <c r="M4" s="3">
        <f>IFERROR(1/MAX(IFERROR(1/_xlfn.MINIFS(history!$H:$H,history!$C:$C,"claro",history!$D:$D,"lite",history!$A:$A,YEAR($A4)&amp;"-"&amp;TEXT(MONTH($A4),"00")&amp;"-"&amp;TEXT(DAY($A4),"00")),0),IFERROR(1/_xlfn.MINIFS(history!$H:$H,history!$C:$C,"claro",history!$D:$D,"flex",history!$A:$A,YEAR($A4)&amp;"-"&amp;TEXT(MONTH($A4),"00")&amp;"-"&amp;TEXT(DAY($A4),"00")),0)),"")</f>
        <v/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/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/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/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/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/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/>
      </c>
      <c r="H5" s="3">
        <f>IFERROR(IF(_xlfn.MINIFS(history!$H:$H,history!$C:$C,"tim",history!$D:$D,"prepaid",history!$A:$A,YEAR($A5)&amp;"-"&amp;TEXT(MONTH($A5),"00")&amp;"-"&amp;TEXT(DAY($A5),"00"),history!$M:$M,"&gt;=28")=0,"",_xlfn.MINIFS(history!$H:$H,history!$C:$C,"tim",history!$D:$D,"prepaid",history!$A:$A,YEAR($A5)&amp;"-"&amp;TEXT(MONTH($A5),"00")&amp;"-"&amp;TEXT(DAY($A5),"00"),history!$M:$M,"&gt;=28")),"")</f>
        <v/>
      </c>
      <c r="I5" s="3">
        <f>IFERROR(IF(_xlfn.MINIFS(history!$H:$H,history!$C:$C,"vivo",history!$D:$D,"prepaid",history!$A:$A,YEAR($A5)&amp;"-"&amp;TEXT(MONTH($A5),"00")&amp;"-"&amp;TEXT(DAY($A5),"00"),history!$M:$M,"&gt;=28")=0,"",_xlfn.MINIFS(history!$H:$H,history!$C:$C,"vivo",history!$D:$D,"prepaid",history!$A:$A,YEAR($A5)&amp;"-"&amp;TEXT(MONTH($A5),"00")&amp;"-"&amp;TEXT(DAY($A5),"00"),history!$M:$M,"&gt;=28")),"")</f>
        <v/>
      </c>
      <c r="J5" s="3">
        <f>IFERROR(IF(_xlfn.MINIFS(history!$H:$H,history!$C:$C,"claro",history!$D:$D,"prepaid",history!$A:$A,YEAR($A5)&amp;"-"&amp;TEXT(MONTH($A5),"00")&amp;"-"&amp;TEXT(DAY($A5),"00"),history!$M:$M,"&gt;=28")=0,"",_xlfn.MINIFS(history!$H:$H,history!$C:$C,"claro",history!$D:$D,"prepaid",history!$A:$A,YEAR($A5)&amp;"-"&amp;TEXT(MONTH($A5),"00")&amp;"-"&amp;TEXT(DAY($A5),"00"),history!$M:$M,"&gt;=28")),"")</f>
        <v/>
      </c>
      <c r="K5" s="3">
        <f>IFERROR(1/MAX(IFERROR(1/_xlfn.MINIFS(history!$H:$H,history!$C:$C,"tim",history!$D:$D,"lite",history!$A:$A,YEAR($A5)&amp;"-"&amp;TEXT(MONTH($A5),"00")&amp;"-"&amp;TEXT(DAY($A5),"00")),0),IFERROR(1/_xlfn.MINIFS(history!$H:$H,history!$C:$C,"tim",history!$D:$D,"flex",history!$A:$A,YEAR($A5)&amp;"-"&amp;TEXT(MONTH($A5),"00")&amp;"-"&amp;TEXT(DAY($A5),"00")),0)),"")</f>
        <v/>
      </c>
      <c r="L5" s="3">
        <f>IFERROR(1/MAX(IFERROR(1/_xlfn.MINIFS(history!$H:$H,history!$C:$C,"vivo",history!$D:$D,"lite",history!$A:$A,YEAR($A5)&amp;"-"&amp;TEXT(MONTH($A5),"00")&amp;"-"&amp;TEXT(DAY($A5),"00")),0),IFERROR(1/_xlfn.MINIFS(history!$H:$H,history!$C:$C,"vivo",history!$D:$D,"flex",history!$A:$A,YEAR($A5)&amp;"-"&amp;TEXT(MONTH($A5),"00")&amp;"-"&amp;TEXT(DAY($A5),"00")),0)),"")</f>
        <v/>
      </c>
      <c r="M5" s="3">
        <f>IFERROR(1/MAX(IFERROR(1/_xlfn.MINIFS(history!$H:$H,history!$C:$C,"claro",history!$D:$D,"lite",history!$A:$A,YEAR($A5)&amp;"-"&amp;TEXT(MONTH($A5),"00")&amp;"-"&amp;TEXT(DAY($A5),"00")),0),IFERROR(1/_xlfn.MINIFS(history!$H:$H,history!$C:$C,"claro",history!$D:$D,"flex",history!$A:$A,YEAR($A5)&amp;"-"&amp;TEXT(MONTH($A5),"00")&amp;"-"&amp;TEXT(DAY($A5),"00")),0)),"")</f>
        <v/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/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/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/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/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/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/>
      </c>
      <c r="H6" s="3">
        <f>IFERROR(IF(_xlfn.MINIFS(history!$H:$H,history!$C:$C,"tim",history!$D:$D,"prepaid",history!$A:$A,YEAR($A6)&amp;"-"&amp;TEXT(MONTH($A6),"00")&amp;"-"&amp;TEXT(DAY($A6),"00"),history!$M:$M,"&gt;=28")=0,"",_xlfn.MINIFS(history!$H:$H,history!$C:$C,"tim",history!$D:$D,"prepaid",history!$A:$A,YEAR($A6)&amp;"-"&amp;TEXT(MONTH($A6),"00")&amp;"-"&amp;TEXT(DAY($A6),"00"),history!$M:$M,"&gt;=28")),"")</f>
        <v/>
      </c>
      <c r="I6" s="3">
        <f>IFERROR(IF(_xlfn.MINIFS(history!$H:$H,history!$C:$C,"vivo",history!$D:$D,"prepaid",history!$A:$A,YEAR($A6)&amp;"-"&amp;TEXT(MONTH($A6),"00")&amp;"-"&amp;TEXT(DAY($A6),"00"),history!$M:$M,"&gt;=28")=0,"",_xlfn.MINIFS(history!$H:$H,history!$C:$C,"vivo",history!$D:$D,"prepaid",history!$A:$A,YEAR($A6)&amp;"-"&amp;TEXT(MONTH($A6),"00")&amp;"-"&amp;TEXT(DAY($A6),"00"),history!$M:$M,"&gt;=28")),"")</f>
        <v/>
      </c>
      <c r="J6" s="3">
        <f>IFERROR(IF(_xlfn.MINIFS(history!$H:$H,history!$C:$C,"claro",history!$D:$D,"prepaid",history!$A:$A,YEAR($A6)&amp;"-"&amp;TEXT(MONTH($A6),"00")&amp;"-"&amp;TEXT(DAY($A6),"00"),history!$M:$M,"&gt;=28")=0,"",_xlfn.MINIFS(history!$H:$H,history!$C:$C,"claro",history!$D:$D,"prepaid",history!$A:$A,YEAR($A6)&amp;"-"&amp;TEXT(MONTH($A6),"00")&amp;"-"&amp;TEXT(DAY($A6),"00"),history!$M:$M,"&gt;=28")),"")</f>
        <v/>
      </c>
      <c r="K6" s="3">
        <f>IFERROR(1/MAX(IFERROR(1/_xlfn.MINIFS(history!$H:$H,history!$C:$C,"tim",history!$D:$D,"lite",history!$A:$A,YEAR($A6)&amp;"-"&amp;TEXT(MONTH($A6),"00")&amp;"-"&amp;TEXT(DAY($A6),"00")),0),IFERROR(1/_xlfn.MINIFS(history!$H:$H,history!$C:$C,"tim",history!$D:$D,"flex",history!$A:$A,YEAR($A6)&amp;"-"&amp;TEXT(MONTH($A6),"00")&amp;"-"&amp;TEXT(DAY($A6),"00")),0)),"")</f>
        <v/>
      </c>
      <c r="L6" s="3">
        <f>IFERROR(1/MAX(IFERROR(1/_xlfn.MINIFS(history!$H:$H,history!$C:$C,"vivo",history!$D:$D,"lite",history!$A:$A,YEAR($A6)&amp;"-"&amp;TEXT(MONTH($A6),"00")&amp;"-"&amp;TEXT(DAY($A6),"00")),0),IFERROR(1/_xlfn.MINIFS(history!$H:$H,history!$C:$C,"vivo",history!$D:$D,"flex",history!$A:$A,YEAR($A6)&amp;"-"&amp;TEXT(MONTH($A6),"00")&amp;"-"&amp;TEXT(DAY($A6),"00")),0)),"")</f>
        <v/>
      </c>
      <c r="M6" s="3">
        <f>IFERROR(1/MAX(IFERROR(1/_xlfn.MINIFS(history!$H:$H,history!$C:$C,"claro",history!$D:$D,"lite",history!$A:$A,YEAR($A6)&amp;"-"&amp;TEXT(MONTH($A6),"00")&amp;"-"&amp;TEXT(DAY($A6),"00")),0),IFERROR(1/_xlfn.MINIFS(history!$H:$H,history!$C:$C,"claro",history!$D:$D,"flex",history!$A:$A,YEAR($A6)&amp;"-"&amp;TEXT(MONTH($A6),"00")&amp;"-"&amp;TEXT(DAY($A6),"00")),0)),"")</f>
        <v/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/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/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/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/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/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/>
      </c>
      <c r="H7" s="3">
        <f>IFERROR(IF(_xlfn.MINIFS(history!$H:$H,history!$C:$C,"tim",history!$D:$D,"prepaid",history!$A:$A,YEAR($A7)&amp;"-"&amp;TEXT(MONTH($A7),"00")&amp;"-"&amp;TEXT(DAY($A7),"00"),history!$M:$M,"&gt;=28")=0,"",_xlfn.MINIFS(history!$H:$H,history!$C:$C,"tim",history!$D:$D,"prepaid",history!$A:$A,YEAR($A7)&amp;"-"&amp;TEXT(MONTH($A7),"00")&amp;"-"&amp;TEXT(DAY($A7),"00"),history!$M:$M,"&gt;=28")),"")</f>
        <v/>
      </c>
      <c r="I7" s="3">
        <f>IFERROR(IF(_xlfn.MINIFS(history!$H:$H,history!$C:$C,"vivo",history!$D:$D,"prepaid",history!$A:$A,YEAR($A7)&amp;"-"&amp;TEXT(MONTH($A7),"00")&amp;"-"&amp;TEXT(DAY($A7),"00"),history!$M:$M,"&gt;=28")=0,"",_xlfn.MINIFS(history!$H:$H,history!$C:$C,"vivo",history!$D:$D,"prepaid",history!$A:$A,YEAR($A7)&amp;"-"&amp;TEXT(MONTH($A7),"00")&amp;"-"&amp;TEXT(DAY($A7),"00"),history!$M:$M,"&gt;=28")),"")</f>
        <v/>
      </c>
      <c r="J7" s="3">
        <f>IFERROR(IF(_xlfn.MINIFS(history!$H:$H,history!$C:$C,"claro",history!$D:$D,"prepaid",history!$A:$A,YEAR($A7)&amp;"-"&amp;TEXT(MONTH($A7),"00")&amp;"-"&amp;TEXT(DAY($A7),"00"),history!$M:$M,"&gt;=28")=0,"",_xlfn.MINIFS(history!$H:$H,history!$C:$C,"claro",history!$D:$D,"prepaid",history!$A:$A,YEAR($A7)&amp;"-"&amp;TEXT(MONTH($A7),"00")&amp;"-"&amp;TEXT(DAY($A7),"00"),history!$M:$M,"&gt;=28")),"")</f>
        <v/>
      </c>
      <c r="K7" s="3">
        <f>IFERROR(1/MAX(IFERROR(1/_xlfn.MINIFS(history!$H:$H,history!$C:$C,"tim",history!$D:$D,"lite",history!$A:$A,YEAR($A7)&amp;"-"&amp;TEXT(MONTH($A7),"00")&amp;"-"&amp;TEXT(DAY($A7),"00")),0),IFERROR(1/_xlfn.MINIFS(history!$H:$H,history!$C:$C,"tim",history!$D:$D,"flex",history!$A:$A,YEAR($A7)&amp;"-"&amp;TEXT(MONTH($A7),"00")&amp;"-"&amp;TEXT(DAY($A7),"00")),0)),"")</f>
        <v/>
      </c>
      <c r="L7" s="3">
        <f>IFERROR(1/MAX(IFERROR(1/_xlfn.MINIFS(history!$H:$H,history!$C:$C,"vivo",history!$D:$D,"lite",history!$A:$A,YEAR($A7)&amp;"-"&amp;TEXT(MONTH($A7),"00")&amp;"-"&amp;TEXT(DAY($A7),"00")),0),IFERROR(1/_xlfn.MINIFS(history!$H:$H,history!$C:$C,"vivo",history!$D:$D,"flex",history!$A:$A,YEAR($A7)&amp;"-"&amp;TEXT(MONTH($A7),"00")&amp;"-"&amp;TEXT(DAY($A7),"00")),0)),"")</f>
        <v/>
      </c>
      <c r="M7" s="3">
        <f>IFERROR(1/MAX(IFERROR(1/_xlfn.MINIFS(history!$H:$H,history!$C:$C,"claro",history!$D:$D,"lite",history!$A:$A,YEAR($A7)&amp;"-"&amp;TEXT(MONTH($A7),"00")&amp;"-"&amp;TEXT(DAY($A7),"00")),0),IFERROR(1/_xlfn.MINIFS(history!$H:$H,history!$C:$C,"claro",history!$D:$D,"flex",history!$A:$A,YEAR($A7)&amp;"-"&amp;TEXT(MONTH($A7),"00")&amp;"-"&amp;TEXT(DAY($A7),"00")),0)),"")</f>
        <v/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/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/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/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/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/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/>
      </c>
      <c r="H8" s="3">
        <f>IFERROR(IF(_xlfn.MINIFS(history!$H:$H,history!$C:$C,"tim",history!$D:$D,"prepaid",history!$A:$A,YEAR($A8)&amp;"-"&amp;TEXT(MONTH($A8),"00")&amp;"-"&amp;TEXT(DAY($A8),"00"),history!$M:$M,"&gt;=28")=0,"",_xlfn.MINIFS(history!$H:$H,history!$C:$C,"tim",history!$D:$D,"prepaid",history!$A:$A,YEAR($A8)&amp;"-"&amp;TEXT(MONTH($A8),"00")&amp;"-"&amp;TEXT(DAY($A8),"00"),history!$M:$M,"&gt;=28")),"")</f>
        <v/>
      </c>
      <c r="I8" s="3">
        <f>IFERROR(IF(_xlfn.MINIFS(history!$H:$H,history!$C:$C,"vivo",history!$D:$D,"prepaid",history!$A:$A,YEAR($A8)&amp;"-"&amp;TEXT(MONTH($A8),"00")&amp;"-"&amp;TEXT(DAY($A8),"00"),history!$M:$M,"&gt;=28")=0,"",_xlfn.MINIFS(history!$H:$H,history!$C:$C,"vivo",history!$D:$D,"prepaid",history!$A:$A,YEAR($A8)&amp;"-"&amp;TEXT(MONTH($A8),"00")&amp;"-"&amp;TEXT(DAY($A8),"00"),history!$M:$M,"&gt;=28")),"")</f>
        <v/>
      </c>
      <c r="J8" s="3">
        <f>IFERROR(IF(_xlfn.MINIFS(history!$H:$H,history!$C:$C,"claro",history!$D:$D,"prepaid",history!$A:$A,YEAR($A8)&amp;"-"&amp;TEXT(MONTH($A8),"00")&amp;"-"&amp;TEXT(DAY($A8),"00"),history!$M:$M,"&gt;=28")=0,"",_xlfn.MINIFS(history!$H:$H,history!$C:$C,"claro",history!$D:$D,"prepaid",history!$A:$A,YEAR($A8)&amp;"-"&amp;TEXT(MONTH($A8),"00")&amp;"-"&amp;TEXT(DAY($A8),"00"),history!$M:$M,"&gt;=28")),"")</f>
        <v/>
      </c>
      <c r="K8" s="3">
        <f>IFERROR(1/MAX(IFERROR(1/_xlfn.MINIFS(history!$H:$H,history!$C:$C,"tim",history!$D:$D,"lite",history!$A:$A,YEAR($A8)&amp;"-"&amp;TEXT(MONTH($A8),"00")&amp;"-"&amp;TEXT(DAY($A8),"00")),0),IFERROR(1/_xlfn.MINIFS(history!$H:$H,history!$C:$C,"tim",history!$D:$D,"flex",history!$A:$A,YEAR($A8)&amp;"-"&amp;TEXT(MONTH($A8),"00")&amp;"-"&amp;TEXT(DAY($A8),"00")),0)),"")</f>
        <v/>
      </c>
      <c r="L8" s="3">
        <f>IFERROR(1/MAX(IFERROR(1/_xlfn.MINIFS(history!$H:$H,history!$C:$C,"vivo",history!$D:$D,"lite",history!$A:$A,YEAR($A8)&amp;"-"&amp;TEXT(MONTH($A8),"00")&amp;"-"&amp;TEXT(DAY($A8),"00")),0),IFERROR(1/_xlfn.MINIFS(history!$H:$H,history!$C:$C,"vivo",history!$D:$D,"flex",history!$A:$A,YEAR($A8)&amp;"-"&amp;TEXT(MONTH($A8),"00")&amp;"-"&amp;TEXT(DAY($A8),"00")),0)),"")</f>
        <v/>
      </c>
      <c r="M8" s="3">
        <f>IFERROR(1/MAX(IFERROR(1/_xlfn.MINIFS(history!$H:$H,history!$C:$C,"claro",history!$D:$D,"lite",history!$A:$A,YEAR($A8)&amp;"-"&amp;TEXT(MONTH($A8),"00")&amp;"-"&amp;TEXT(DAY($A8),"00")),0),IFERROR(1/_xlfn.MINIFS(history!$H:$H,history!$C:$C,"claro",history!$D:$D,"flex",history!$A:$A,YEAR($A8)&amp;"-"&amp;TEXT(MONTH($A8),"00")&amp;"-"&amp;TEXT(DAY($A8),"00")),0)),"")</f>
        <v/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/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/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/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/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/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/>
      </c>
      <c r="H9" s="3">
        <f>IFERROR(IF(_xlfn.MINIFS(history!$H:$H,history!$C:$C,"tim",history!$D:$D,"prepaid",history!$A:$A,YEAR($A9)&amp;"-"&amp;TEXT(MONTH($A9),"00")&amp;"-"&amp;TEXT(DAY($A9),"00"),history!$M:$M,"&gt;=28")=0,"",_xlfn.MINIFS(history!$H:$H,history!$C:$C,"tim",history!$D:$D,"prepaid",history!$A:$A,YEAR($A9)&amp;"-"&amp;TEXT(MONTH($A9),"00")&amp;"-"&amp;TEXT(DAY($A9),"00"),history!$M:$M,"&gt;=28")),"")</f>
        <v/>
      </c>
      <c r="I9" s="3">
        <f>IFERROR(IF(_xlfn.MINIFS(history!$H:$H,history!$C:$C,"vivo",history!$D:$D,"prepaid",history!$A:$A,YEAR($A9)&amp;"-"&amp;TEXT(MONTH($A9),"00")&amp;"-"&amp;TEXT(DAY($A9),"00"),history!$M:$M,"&gt;=28")=0,"",_xlfn.MINIFS(history!$H:$H,history!$C:$C,"vivo",history!$D:$D,"prepaid",history!$A:$A,YEAR($A9)&amp;"-"&amp;TEXT(MONTH($A9),"00")&amp;"-"&amp;TEXT(DAY($A9),"00"),history!$M:$M,"&gt;=28")),"")</f>
        <v/>
      </c>
      <c r="J9" s="3">
        <f>IFERROR(IF(_xlfn.MINIFS(history!$H:$H,history!$C:$C,"claro",history!$D:$D,"prepaid",history!$A:$A,YEAR($A9)&amp;"-"&amp;TEXT(MONTH($A9),"00")&amp;"-"&amp;TEXT(DAY($A9),"00"),history!$M:$M,"&gt;=28")=0,"",_xlfn.MINIFS(history!$H:$H,history!$C:$C,"claro",history!$D:$D,"prepaid",history!$A:$A,YEAR($A9)&amp;"-"&amp;TEXT(MONTH($A9),"00")&amp;"-"&amp;TEXT(DAY($A9),"00"),history!$M:$M,"&gt;=28")),"")</f>
        <v/>
      </c>
      <c r="K9" s="3">
        <f>IFERROR(1/MAX(IFERROR(1/_xlfn.MINIFS(history!$H:$H,history!$C:$C,"tim",history!$D:$D,"lite",history!$A:$A,YEAR($A9)&amp;"-"&amp;TEXT(MONTH($A9),"00")&amp;"-"&amp;TEXT(DAY($A9),"00")),0),IFERROR(1/_xlfn.MINIFS(history!$H:$H,history!$C:$C,"tim",history!$D:$D,"flex",history!$A:$A,YEAR($A9)&amp;"-"&amp;TEXT(MONTH($A9),"00")&amp;"-"&amp;TEXT(DAY($A9),"00")),0)),"")</f>
        <v/>
      </c>
      <c r="L9" s="3">
        <f>IFERROR(1/MAX(IFERROR(1/_xlfn.MINIFS(history!$H:$H,history!$C:$C,"vivo",history!$D:$D,"lite",history!$A:$A,YEAR($A9)&amp;"-"&amp;TEXT(MONTH($A9),"00")&amp;"-"&amp;TEXT(DAY($A9),"00")),0),IFERROR(1/_xlfn.MINIFS(history!$H:$H,history!$C:$C,"vivo",history!$D:$D,"flex",history!$A:$A,YEAR($A9)&amp;"-"&amp;TEXT(MONTH($A9),"00")&amp;"-"&amp;TEXT(DAY($A9),"00")),0)),"")</f>
        <v/>
      </c>
      <c r="M9" s="3">
        <f>IFERROR(1/MAX(IFERROR(1/_xlfn.MINIFS(history!$H:$H,history!$C:$C,"claro",history!$D:$D,"lite",history!$A:$A,YEAR($A9)&amp;"-"&amp;TEXT(MONTH($A9),"00")&amp;"-"&amp;TEXT(DAY($A9),"00")),0),IFERROR(1/_xlfn.MINIFS(history!$H:$H,history!$C:$C,"claro",history!$D:$D,"flex",history!$A:$A,YEAR($A9)&amp;"-"&amp;TEXT(MONTH($A9),"00")&amp;"-"&amp;TEXT(DAY($A9),"00")),0)),"")</f>
        <v/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/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/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/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/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/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/>
      </c>
      <c r="H10" s="3">
        <f>IFERROR(IF(_xlfn.MINIFS(history!$H:$H,history!$C:$C,"tim",history!$D:$D,"prepaid",history!$A:$A,YEAR($A10)&amp;"-"&amp;TEXT(MONTH($A10),"00")&amp;"-"&amp;TEXT(DAY($A10),"00"),history!$M:$M,"&gt;=28")=0,"",_xlfn.MINIFS(history!$H:$H,history!$C:$C,"tim",history!$D:$D,"prepaid",history!$A:$A,YEAR($A10)&amp;"-"&amp;TEXT(MONTH($A10),"00")&amp;"-"&amp;TEXT(DAY($A10),"00"),history!$M:$M,"&gt;=28")),"")</f>
        <v/>
      </c>
      <c r="I10" s="3">
        <f>IFERROR(IF(_xlfn.MINIFS(history!$H:$H,history!$C:$C,"vivo",history!$D:$D,"prepaid",history!$A:$A,YEAR($A10)&amp;"-"&amp;TEXT(MONTH($A10),"00")&amp;"-"&amp;TEXT(DAY($A10),"00"),history!$M:$M,"&gt;=28")=0,"",_xlfn.MINIFS(history!$H:$H,history!$C:$C,"vivo",history!$D:$D,"prepaid",history!$A:$A,YEAR($A10)&amp;"-"&amp;TEXT(MONTH($A10),"00")&amp;"-"&amp;TEXT(DAY($A10),"00"),history!$M:$M,"&gt;=28")),"")</f>
        <v/>
      </c>
      <c r="J10" s="3">
        <f>IFERROR(IF(_xlfn.MINIFS(history!$H:$H,history!$C:$C,"claro",history!$D:$D,"prepaid",history!$A:$A,YEAR($A10)&amp;"-"&amp;TEXT(MONTH($A10),"00")&amp;"-"&amp;TEXT(DAY($A10),"00"),history!$M:$M,"&gt;=28")=0,"",_xlfn.MINIFS(history!$H:$H,history!$C:$C,"claro",history!$D:$D,"prepaid",history!$A:$A,YEAR($A10)&amp;"-"&amp;TEXT(MONTH($A10),"00")&amp;"-"&amp;TEXT(DAY($A10),"00"),history!$M:$M,"&gt;=28")),"")</f>
        <v/>
      </c>
      <c r="K10" s="3">
        <f>IFERROR(1/MAX(IFERROR(1/_xlfn.MINIFS(history!$H:$H,history!$C:$C,"tim",history!$D:$D,"lite",history!$A:$A,YEAR($A10)&amp;"-"&amp;TEXT(MONTH($A10),"00")&amp;"-"&amp;TEXT(DAY($A10),"00")),0),IFERROR(1/_xlfn.MINIFS(history!$H:$H,history!$C:$C,"tim",history!$D:$D,"flex",history!$A:$A,YEAR($A10)&amp;"-"&amp;TEXT(MONTH($A10),"00")&amp;"-"&amp;TEXT(DAY($A10),"00")),0)),"")</f>
        <v/>
      </c>
      <c r="L10" s="3">
        <f>IFERROR(1/MAX(IFERROR(1/_xlfn.MINIFS(history!$H:$H,history!$C:$C,"vivo",history!$D:$D,"lite",history!$A:$A,YEAR($A10)&amp;"-"&amp;TEXT(MONTH($A10),"00")&amp;"-"&amp;TEXT(DAY($A10),"00")),0),IFERROR(1/_xlfn.MINIFS(history!$H:$H,history!$C:$C,"vivo",history!$D:$D,"flex",history!$A:$A,YEAR($A10)&amp;"-"&amp;TEXT(MONTH($A10),"00")&amp;"-"&amp;TEXT(DAY($A10),"00")),0)),"")</f>
        <v/>
      </c>
      <c r="M10" s="3">
        <f>IFERROR(1/MAX(IFERROR(1/_xlfn.MINIFS(history!$H:$H,history!$C:$C,"claro",history!$D:$D,"lite",history!$A:$A,YEAR($A10)&amp;"-"&amp;TEXT(MONTH($A10),"00")&amp;"-"&amp;TEXT(DAY($A10),"00")),0),IFERROR(1/_xlfn.MINIFS(history!$H:$H,history!$C:$C,"claro",history!$D:$D,"flex",history!$A:$A,YEAR($A10)&amp;"-"&amp;TEXT(MONTH($A10),"00")&amp;"-"&amp;TEXT(DAY($A10),"00")),0)),"")</f>
        <v/>
      </c>
    </row>
    <row r="12">
      <c r="A12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Flex. Heatmap = per-category-block green→yellow (each cell vs all carriers in its category; subtle while prices are near-flat, differentiates as they move). Grows one row per day; charts on the `Charts` sheet.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10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10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10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10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IF('comparison'!B10="",NA(),'comparison'!B10)</f>
        <v/>
      </c>
      <c r="R38" s="10">
        <f>IF('comparison'!C10="",NA(),'comparison'!C10)</f>
        <v/>
      </c>
      <c r="S38" s="10">
        <f>IF('comparison'!D10="",NA(),'comparison'!D10)</f>
        <v/>
      </c>
    </row>
    <row r="39">
      <c r="P39" s="2" t="inlineStr">
        <is>
          <t>Post</t>
        </is>
      </c>
      <c r="Q39" s="10">
        <f>IF('comparison'!E10="",NA(),'comparison'!E10)</f>
        <v/>
      </c>
      <c r="R39" s="10">
        <f>IF('comparison'!F10="",NA(),'comparison'!F10)</f>
        <v/>
      </c>
      <c r="S39" s="10">
        <f>IF('comparison'!G10="",NA(),'comparison'!G10)</f>
        <v/>
      </c>
    </row>
    <row r="40">
      <c r="P40" s="2" t="inlineStr">
        <is>
          <t>Pre</t>
        </is>
      </c>
      <c r="Q40" s="10">
        <f>IF('comparison'!H10="",NA(),'comparison'!H10)</f>
        <v/>
      </c>
      <c r="R40" s="10">
        <f>IF('comparison'!I10="",NA(),'comparison'!I10)</f>
        <v/>
      </c>
      <c r="S40" s="10">
        <f>IF('comparison'!J10="",NA(),'comparison'!J10)</f>
        <v/>
      </c>
    </row>
    <row r="41">
      <c r="P41" s="2" t="inlineStr">
        <is>
          <t>Digital</t>
        </is>
      </c>
      <c r="Q41" s="10">
        <f>IF('comparison'!K10="",NA(),'comparison'!K10)</f>
        <v/>
      </c>
      <c r="R41" s="10">
        <f>IF('comparison'!L10="",NA(),'comparison'!L10)</f>
        <v/>
      </c>
      <c r="S41" s="10">
        <f>IF('comparison'!M10="",NA(),'comparison'!M10)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0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3">
      <c r="A13" s="14" t="inlineStr">
        <is>
          <t>Control / Hybrid</t>
        </is>
      </c>
    </row>
    <row r="14">
      <c r="A14" s="1" t="inlineStr">
        <is>
          <t>Rank</t>
        </is>
      </c>
      <c r="B14" s="1" t="inlineStr">
        <is>
          <t>Vivo R$</t>
        </is>
      </c>
      <c r="C14" s="1" t="inlineStr">
        <is>
          <t>Claro R$</t>
        </is>
      </c>
      <c r="D14" s="1" t="inlineStr">
        <is>
          <t>TIM R$</t>
        </is>
      </c>
      <c r="E14" s="1" t="inlineStr">
        <is>
          <t>Vivo plan</t>
        </is>
      </c>
      <c r="F14" s="1" t="inlineStr">
        <is>
          <t>Claro plan</t>
        </is>
      </c>
      <c r="G14" s="1" t="inlineStr">
        <is>
          <t>TIM plan</t>
        </is>
      </c>
    </row>
    <row r="15">
      <c r="A15" s="2" t="n">
        <v>1</v>
      </c>
      <c r="B15" s="3" t="n">
        <v>59</v>
      </c>
      <c r="C15" s="3" t="n">
        <v>59.9</v>
      </c>
      <c r="D15" s="3" t="n">
        <v>58.99</v>
      </c>
      <c r="E15" s="2" t="inlineStr">
        <is>
          <t>Vivo Controle (46GB)</t>
        </is>
      </c>
      <c r="F15" s="2" t="inlineStr">
        <is>
          <t>Controle 25GB (25GB) · promo R$54.9</t>
        </is>
      </c>
      <c r="G15" s="2" t="inlineStr">
        <is>
          <t>TIM Controle 41GB (41GB)</t>
        </is>
      </c>
    </row>
    <row r="16">
      <c r="A16" s="5" t="n">
        <v>2</v>
      </c>
      <c r="B16" s="6" t="n">
        <v>80</v>
      </c>
      <c r="C16" s="6" t="n">
        <v>69.90000000000001</v>
      </c>
      <c r="D16" s="6" t="n">
        <v>60.99</v>
      </c>
      <c r="E16" s="5" t="inlineStr">
        <is>
          <t>Vivo Controle (61GB)</t>
        </is>
      </c>
      <c r="F16" s="5" t="inlineStr">
        <is>
          <t>Controle 30GB (30GB)</t>
        </is>
      </c>
      <c r="G16" s="5" t="inlineStr">
        <is>
          <t>TIM Controle Light Express 31GB (31GB)</t>
        </is>
      </c>
    </row>
    <row r="17">
      <c r="A17" s="2" t="n">
        <v>3</v>
      </c>
      <c r="B17" s="3" t="n">
        <v>90</v>
      </c>
      <c r="C17" s="3" t="n">
        <v>99.90000000000001</v>
      </c>
      <c r="D17" s="3" t="n">
        <v>64.98999999999999</v>
      </c>
      <c r="E17" s="2" t="inlineStr">
        <is>
          <t>Vivo Controle Educação (61GB)</t>
        </is>
      </c>
      <c r="F17" s="2" t="inlineStr">
        <is>
          <t>Controle 30GB (30GB)</t>
        </is>
      </c>
      <c r="G17" s="2" t="inlineStr">
        <is>
          <t>TIM Controle Plus 45GB (45GB)</t>
        </is>
      </c>
    </row>
    <row r="18">
      <c r="A18" s="5" t="n">
        <v>4</v>
      </c>
      <c r="B18" s="6" t="n">
        <v>90</v>
      </c>
      <c r="C18" s="15" t="n"/>
      <c r="D18" s="6" t="n">
        <v>64.98999999999999</v>
      </c>
      <c r="E18" s="5" t="inlineStr">
        <is>
          <t>Vivo Controle Saúde (61GB)</t>
        </is>
      </c>
      <c r="F18" s="15" t="n"/>
      <c r="G18" s="5" t="inlineStr">
        <is>
          <t>TIM Controle Pro Express</t>
        </is>
      </c>
    </row>
    <row r="19">
      <c r="A19" s="2" t="n">
        <v>5</v>
      </c>
      <c r="B19" s="3" t="n">
        <v>95</v>
      </c>
      <c r="D19" s="3" t="n">
        <v>84.98999999999999</v>
      </c>
      <c r="E19" s="2" t="inlineStr">
        <is>
          <t>Vivo Controle Música (61GB)</t>
        </is>
      </c>
      <c r="G19" s="2" t="inlineStr">
        <is>
          <t>TIM Controle Premium 53GB (53GB)</t>
        </is>
      </c>
    </row>
    <row r="20">
      <c r="A20" s="5" t="n">
        <v>6</v>
      </c>
      <c r="B20" s="6" t="n">
        <v>95</v>
      </c>
      <c r="C20" s="15" t="n"/>
      <c r="D20" s="15" t="n"/>
      <c r="E20" s="5" t="inlineStr">
        <is>
          <t>Vivo Controle Netflix (61GB)</t>
        </is>
      </c>
      <c r="F20" s="15" t="n"/>
      <c r="G20" s="15" t="n"/>
    </row>
    <row r="21">
      <c r="A21" s="2" t="n">
        <v>7</v>
      </c>
      <c r="B21" s="3" t="n">
        <v>110</v>
      </c>
      <c r="E21" s="2" t="inlineStr">
        <is>
          <t>Vivo Controle Entretenimento (61GB)</t>
        </is>
      </c>
    </row>
    <row r="23">
      <c r="A23" s="14" t="inlineStr">
        <is>
          <t>Prepaid</t>
        </is>
      </c>
    </row>
    <row r="24">
      <c r="A24" s="13" t="inlineStr">
        <is>
          <t>Note: prepaid is not a clean unit — Claro Prezão is a daily fee (R$1/dia) vs Vivo/TIM recharge amounts.</t>
        </is>
      </c>
    </row>
    <row r="25">
      <c r="A25" s="1" t="inlineStr">
        <is>
          <t>Rank</t>
        </is>
      </c>
      <c r="B25" s="1" t="inlineStr">
        <is>
          <t>Vivo R$</t>
        </is>
      </c>
      <c r="C25" s="1" t="inlineStr">
        <is>
          <t>Claro R$</t>
        </is>
      </c>
      <c r="D25" s="1" t="inlineStr">
        <is>
          <t>TIM R$</t>
        </is>
      </c>
      <c r="E25" s="1" t="inlineStr">
        <is>
          <t>Vivo plan</t>
        </is>
      </c>
      <c r="F25" s="1" t="inlineStr">
        <is>
          <t>Claro plan</t>
        </is>
      </c>
      <c r="G25" s="1" t="inlineStr">
        <is>
          <t>TIM plan</t>
        </is>
      </c>
    </row>
    <row r="26">
      <c r="A26" s="2" t="n">
        <v>1</v>
      </c>
      <c r="B26" s="3" t="n">
        <v>17</v>
      </c>
      <c r="C26" s="3" t="n">
        <v>15</v>
      </c>
      <c r="D26" s="3" t="n">
        <v>20</v>
      </c>
      <c r="E26" s="2" t="inlineStr">
        <is>
          <t>Vivo Pré (4GB)</t>
        </is>
      </c>
      <c r="F26" s="2" t="inlineStr">
        <is>
          <t>Prezão 4GB (12 dias) (4GB)</t>
        </is>
      </c>
      <c r="G26" s="2" t="inlineStr">
        <is>
          <t>TIM Pré XIP Plus 6GB (6GB)</t>
        </is>
      </c>
    </row>
    <row r="27">
      <c r="A27" s="5" t="n">
        <v>2</v>
      </c>
      <c r="B27" s="6" t="n">
        <v>20</v>
      </c>
      <c r="C27" s="6" t="n">
        <v>15</v>
      </c>
      <c r="D27" s="6" t="n">
        <v>25</v>
      </c>
      <c r="E27" s="5" t="inlineStr">
        <is>
          <t>Vivo Pré (5GB)</t>
        </is>
      </c>
      <c r="F27" s="5" t="inlineStr">
        <is>
          <t>Prezão 5GB (15 dias) (5GB)</t>
        </is>
      </c>
      <c r="G27" s="5" t="inlineStr">
        <is>
          <t>TIM Pré XIP Plus 8GB (8GB)</t>
        </is>
      </c>
    </row>
    <row r="28">
      <c r="A28" s="2" t="n">
        <v>3</v>
      </c>
      <c r="B28" s="3" t="n">
        <v>25</v>
      </c>
      <c r="C28" s="3" t="n">
        <v>20</v>
      </c>
      <c r="D28" s="3" t="n">
        <v>30</v>
      </c>
      <c r="E28" s="2" t="inlineStr">
        <is>
          <t>Vivo Pré (9GB)</t>
        </is>
      </c>
      <c r="F28" s="2" t="inlineStr">
        <is>
          <t>Prezão 6GB (20 dias) (6GB)</t>
        </is>
      </c>
      <c r="G28" s="2" t="inlineStr">
        <is>
          <t>TIM Pré XIP Plus 16GB (16GB)</t>
        </is>
      </c>
    </row>
    <row r="29">
      <c r="A29" s="5" t="n">
        <v>4</v>
      </c>
      <c r="B29" s="6" t="n">
        <v>30</v>
      </c>
      <c r="C29" s="6" t="n">
        <v>20</v>
      </c>
      <c r="D29" s="15" t="n"/>
      <c r="E29" s="5" t="inlineStr">
        <is>
          <t>Vivo Pré (25GB)</t>
        </is>
      </c>
      <c r="F29" s="5" t="inlineStr">
        <is>
          <t>Prezão 8GB (20 dias) (8GB)</t>
        </is>
      </c>
      <c r="G29" s="15" t="n"/>
    </row>
    <row r="30">
      <c r="A30" s="2" t="n">
        <v>5</v>
      </c>
      <c r="C30" s="3" t="n">
        <v>25</v>
      </c>
      <c r="F30" s="2" t="inlineStr">
        <is>
          <t>Prezão 10GB (25 dias) (10GB)</t>
        </is>
      </c>
    </row>
    <row r="31">
      <c r="A31" s="5" t="n">
        <v>6</v>
      </c>
      <c r="B31" s="15" t="n"/>
      <c r="C31" s="6" t="n">
        <v>25</v>
      </c>
      <c r="D31" s="15" t="n"/>
      <c r="E31" s="15" t="n"/>
      <c r="F31" s="5" t="inlineStr">
        <is>
          <t>Prezão 9GB (25 dias) (9GB)</t>
        </is>
      </c>
      <c r="G31" s="15" t="n"/>
    </row>
    <row r="32">
      <c r="A32" s="2" t="n">
        <v>7</v>
      </c>
      <c r="C32" s="3" t="n">
        <v>30</v>
      </c>
      <c r="F32" s="2" t="inlineStr">
        <is>
          <t>Prezão 12GB (30 dias) (12GB)</t>
        </is>
      </c>
    </row>
    <row r="34">
      <c r="A34" s="14" t="inlineStr">
        <is>
          <t>Digital</t>
        </is>
      </c>
    </row>
    <row r="35">
      <c r="A35" s="13" t="inlineStr">
        <is>
          <t>Digital = Vivo Lite + Claro Flex (TIM has no digital line).</t>
        </is>
      </c>
    </row>
    <row r="36">
      <c r="A36" s="1" t="inlineStr">
        <is>
          <t>Rank</t>
        </is>
      </c>
      <c r="B36" s="1" t="inlineStr">
        <is>
          <t>Vivo R$</t>
        </is>
      </c>
      <c r="C36" s="1" t="inlineStr">
        <is>
          <t>Claro R$</t>
        </is>
      </c>
      <c r="D36" s="1" t="inlineStr">
        <is>
          <t>TIM R$</t>
        </is>
      </c>
      <c r="E36" s="1" t="inlineStr">
        <is>
          <t>Vivo plan</t>
        </is>
      </c>
      <c r="F36" s="1" t="inlineStr">
        <is>
          <t>Claro plan</t>
        </is>
      </c>
      <c r="G36" s="1" t="inlineStr">
        <is>
          <t>TIM plan</t>
        </is>
      </c>
    </row>
    <row r="37">
      <c r="A37" s="2" t="n">
        <v>1</v>
      </c>
      <c r="B37" s="3" t="n">
        <v>30</v>
      </c>
      <c r="C37" s="3" t="n">
        <v>44.9</v>
      </c>
      <c r="E37" s="2" t="inlineStr">
        <is>
          <t>Easy Lite (30GB)</t>
        </is>
      </c>
      <c r="F37" s="2" t="inlineStr">
        <is>
          <t>Flex 15GB (15GB)</t>
        </is>
      </c>
    </row>
    <row r="38">
      <c r="A38" s="5" t="n">
        <v>2</v>
      </c>
      <c r="B38" s="6" t="n">
        <v>35</v>
      </c>
      <c r="C38" s="6" t="n">
        <v>59.9</v>
      </c>
      <c r="D38" s="15" t="n"/>
      <c r="E38" s="5" t="inlineStr">
        <is>
          <t>Easy Lite (20GB)</t>
        </is>
      </c>
      <c r="F38" s="5" t="inlineStr">
        <is>
          <t>Flex 20GB (20GB)</t>
        </is>
      </c>
      <c r="G38" s="15" t="n"/>
    </row>
    <row r="39">
      <c r="A39" s="2" t="n">
        <v>3</v>
      </c>
      <c r="B39" s="3" t="n">
        <v>40</v>
      </c>
      <c r="C39" s="3" t="n">
        <v>69.90000000000001</v>
      </c>
      <c r="E39" s="2" t="inlineStr">
        <is>
          <t>Easy Lite (40GB)</t>
        </is>
      </c>
      <c r="F39" s="2" t="inlineStr">
        <is>
          <t>Flex 30GB (30GB)</t>
        </is>
      </c>
    </row>
    <row r="40">
      <c r="A40" s="5" t="n">
        <v>4</v>
      </c>
      <c r="B40" s="15" t="n"/>
      <c r="C40" s="6" t="n">
        <v>119.9</v>
      </c>
      <c r="D40" s="15" t="n"/>
      <c r="E40" s="15" t="n"/>
      <c r="F40" s="5" t="inlineStr">
        <is>
          <t>Flex 40GB (40GB)</t>
        </is>
      </c>
      <c r="G40" s="15" t="n"/>
    </row>
  </sheetData>
  <conditionalFormatting sqref="B5:D11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21">
    <cfRule type="expression" priority="3" dxfId="1" stopIfTrue="1">
      <formula>AND(B15&lt;&gt;"",B15=MIN($B15:$D15))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6:D32">
    <cfRule type="expression" priority="5" dxfId="1" stopIfTrue="1">
      <formula>AND(B26&lt;&gt;"",B26=MIN($B26:$D26))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7:D40">
    <cfRule type="expression" priority="7" dxfId="1" stopIfTrue="1">
      <formula>AND(B37&lt;&gt;"",B37=MIN($B37:$D37))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2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6 meses grátis de Gemini com AI Plus</t>
        </is>
      </c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Vivo Controle</t>
        </is>
      </c>
      <c r="B11" s="3" t="n">
        <v>59</v>
      </c>
      <c r="C11" s="3" t="n"/>
      <c r="D11" s="2" t="inlineStr">
        <is>
          <t>46 GB (15 GB de franquia 31 GB de bônus)</t>
        </is>
      </c>
      <c r="E11" s="2" t="n"/>
      <c r="F11" s="2" t="n"/>
      <c r="G11" s="2" t="n"/>
      <c r="H11" s="2" t="inlineStr">
        <is>
          <t>6 meses grátis de Gemini com AI Plus</t>
        </is>
      </c>
    </row>
    <row r="12">
      <c r="A12" s="5" t="inlineStr">
        <is>
          <t>Vivo Controle</t>
        </is>
      </c>
      <c r="B12" s="6" t="n">
        <v>80</v>
      </c>
      <c r="C12" s="6" t="n"/>
      <c r="D12" s="5" t="inlineStr">
        <is>
          <t>61 GB (20 GB de franquia 31 GB de bônus)</t>
        </is>
      </c>
      <c r="E12" s="5" t="n"/>
      <c r="F12" s="5" t="n"/>
      <c r="G12" s="5" t="n"/>
      <c r="H12" s="5" t="inlineStr">
        <is>
          <t>6 meses grátis de Gemini com AI Plus</t>
        </is>
      </c>
    </row>
    <row r="13">
      <c r="A13" s="2" t="inlineStr">
        <is>
          <t>Vivo Controle Educação</t>
        </is>
      </c>
      <c r="B13" s="3" t="n">
        <v>90</v>
      </c>
      <c r="C13" s="3" t="n"/>
      <c r="D13" s="2" t="inlineStr">
        <is>
          <t>61 GB (20 GB de franquia 31 GB de bônus)</t>
        </is>
      </c>
      <c r="E13" s="2" t="n"/>
      <c r="F13" s="2" t="n"/>
      <c r="G13" s="2" t="n"/>
      <c r="H13" s="2" t="inlineStr">
        <is>
          <t>Assinatura Vivae inclusa</t>
        </is>
      </c>
    </row>
    <row r="14">
      <c r="A14" s="5" t="inlineStr">
        <is>
          <t>Vivo Controle Saúde</t>
        </is>
      </c>
      <c r="B14" s="6" t="n">
        <v>90</v>
      </c>
      <c r="C14" s="6" t="n"/>
      <c r="D14" s="5" t="inlineStr">
        <is>
          <t>61 GB (20 GB de franquia 31 GB de bônus)</t>
        </is>
      </c>
      <c r="E14" s="5" t="n"/>
      <c r="F14" s="5" t="n"/>
      <c r="G14" s="5" t="n"/>
      <c r="H14" s="5" t="inlineStr">
        <is>
          <t>Assinatura Vale Saúde Sempre inclusa</t>
        </is>
      </c>
    </row>
    <row r="15">
      <c r="A15" s="2" t="inlineStr">
        <is>
          <t>Vivo Controle Música</t>
        </is>
      </c>
      <c r="B15" s="3" t="n">
        <v>95</v>
      </c>
      <c r="C15" s="3" t="n"/>
      <c r="D15" s="2" t="inlineStr">
        <is>
          <t>61 GB (20 GB de franquia 31 GB de bônus)</t>
        </is>
      </c>
      <c r="E15" s="2" t="n"/>
      <c r="F15" s="2" t="n"/>
      <c r="G15" s="2" t="n"/>
      <c r="H15" s="2" t="inlineStr">
        <is>
          <t>Apple Music Individual</t>
        </is>
      </c>
    </row>
    <row r="16">
      <c r="A16" s="5" t="inlineStr">
        <is>
          <t>Vivo Controle Netflix</t>
        </is>
      </c>
      <c r="B16" s="6" t="n">
        <v>95</v>
      </c>
      <c r="C16" s="6" t="n"/>
      <c r="D16" s="5" t="inlineStr">
        <is>
          <t>61 GB (20 GB de franquia 31 GB de bônus)</t>
        </is>
      </c>
      <c r="E16" s="5" t="n"/>
      <c r="F16" s="5" t="n"/>
      <c r="G16" s="5" t="n"/>
      <c r="H16" s="5" t="inlineStr">
        <is>
          <t>Assinatura Netflix Padrão com anúncios</t>
        </is>
      </c>
    </row>
    <row r="17">
      <c r="A17" s="2" t="inlineStr">
        <is>
          <t>Vivo Controle Entretenimento</t>
        </is>
      </c>
      <c r="B17" s="3" t="n">
        <v>110</v>
      </c>
      <c r="C17" s="3" t="n"/>
      <c r="D17" s="2" t="inlineStr">
        <is>
          <t>61 GB (20 GB de franquia 31 GB de bônus)</t>
        </is>
      </c>
      <c r="E17" s="2" t="n"/>
      <c r="F17" s="2" t="n"/>
      <c r="G17" s="2" t="n"/>
      <c r="H17" s="2" t="inlineStr">
        <is>
          <t>Assinatura Vivo TV Inicial inclusa</t>
        </is>
      </c>
    </row>
    <row r="18">
      <c r="A18" s="16" t="inlineStr">
        <is>
          <t>Digital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2" t="inlineStr">
        <is>
          <t>Easy Lite</t>
        </is>
      </c>
      <c r="B19" s="3" t="n">
        <v>30</v>
      </c>
      <c r="C19" s="3" t="n"/>
      <c r="D19" s="2" t="inlineStr">
        <is>
          <t>30 GB (30 GB de franquia)</t>
        </is>
      </c>
      <c r="E19" s="2" t="n"/>
      <c r="F19" s="2" t="n"/>
      <c r="G19" s="2" t="n"/>
      <c r="H19" s="2" t="inlineStr">
        <is>
          <t>2 meses de YouTube sem consumo no plano</t>
        </is>
      </c>
    </row>
    <row r="20">
      <c r="A20" s="5" t="inlineStr">
        <is>
          <t>Easy Lite</t>
        </is>
      </c>
      <c r="B20" s="6" t="n">
        <v>35</v>
      </c>
      <c r="C20" s="6" t="n"/>
      <c r="D20" s="5" t="inlineStr">
        <is>
          <t>20 GB (20 GB de franquia)</t>
        </is>
      </c>
      <c r="E20" s="5" t="n"/>
      <c r="F20" s="5" t="n"/>
      <c r="G20" s="5" t="n"/>
      <c r="H20" s="5" t="inlineStr">
        <is>
          <t>2 meses de YouTube sem consumo no plano</t>
        </is>
      </c>
    </row>
    <row r="21">
      <c r="A21" s="2" t="inlineStr">
        <is>
          <t>Easy Lite</t>
        </is>
      </c>
      <c r="B21" s="3" t="n">
        <v>40</v>
      </c>
      <c r="C21" s="3" t="n"/>
      <c r="D21" s="2" t="inlineStr">
        <is>
          <t>40 GB (40 GB de franquia)</t>
        </is>
      </c>
      <c r="E21" s="2" t="n"/>
      <c r="F21" s="2" t="n"/>
      <c r="G21" s="2" t="n"/>
      <c r="H21" s="2" t="inlineStr">
        <is>
          <t>2 meses de YouTube sem consumo no plano</t>
        </is>
      </c>
    </row>
    <row r="22">
      <c r="A22" s="16" t="inlineStr">
        <is>
          <t>Prepaid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>
      <c r="A23" s="2" t="inlineStr">
        <is>
          <t>Vivo Pré</t>
        </is>
      </c>
      <c r="B23" s="3" t="n">
        <v>17</v>
      </c>
      <c r="C23" s="3" t="n"/>
      <c r="D23" s="2" t="inlineStr">
        <is>
          <t>4 GB (4 GB para navegar como quiser) · 15d</t>
        </is>
      </c>
      <c r="E23" s="2" t="n"/>
      <c r="F23" s="2" t="n"/>
      <c r="G23" s="2" t="n"/>
      <c r="H23" s="2" t="n"/>
    </row>
    <row r="24">
      <c r="A24" s="5" t="inlineStr">
        <is>
          <t>Vivo Pré</t>
        </is>
      </c>
      <c r="B24" s="6" t="n">
        <v>20</v>
      </c>
      <c r="C24" s="6" t="n"/>
      <c r="D24" s="5" t="inlineStr">
        <is>
          <t>5 GB (5 GB para navegar como quiser) · 17d</t>
        </is>
      </c>
      <c r="E24" s="5" t="n"/>
      <c r="F24" s="5" t="n"/>
      <c r="G24" s="5" t="n"/>
      <c r="H24" s="5" t="n"/>
    </row>
    <row r="25">
      <c r="A25" s="2" t="inlineStr">
        <is>
          <t>Vivo Pré</t>
        </is>
      </c>
      <c r="B25" s="3" t="n">
        <v>25</v>
      </c>
      <c r="C25" s="3" t="n"/>
      <c r="D25" s="2" t="inlineStr">
        <is>
          <t>9 GB (6 GB para navegar como quiser 3 GB para navegar no YouTube) · 22d</t>
        </is>
      </c>
      <c r="E25" s="2" t="n"/>
      <c r="F25" s="2" t="n"/>
      <c r="G25" s="2" t="n"/>
      <c r="H25" s="2" t="n"/>
    </row>
    <row r="26">
      <c r="A26" s="5" t="inlineStr">
        <is>
          <t>Vivo Pré</t>
        </is>
      </c>
      <c r="B26" s="6" t="n">
        <v>30</v>
      </c>
      <c r="C26" s="6" t="n"/>
      <c r="D26" s="5" t="inlineStr">
        <is>
          <t>25 GB (15 GB para navegar como quiser 5 GB de bônus 5 GB para navegar no Youtube) · 30d</t>
        </is>
      </c>
      <c r="E26" s="5" t="n"/>
      <c r="F26" s="5" t="n"/>
      <c r="G26" s="5" t="n"/>
      <c r="H26" s="5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B2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B26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ou iCloud+; WhatsApp ilimitado;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ou iCloud+; WhatsApp ilimitado;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do Hexa para uso livre; Bônus para redes sociais e apps;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do Hexa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do Hexa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do Hexa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uso livre;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1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41GB</t>
        </is>
      </c>
      <c r="B11" s="3" t="n">
        <v>58.99</v>
      </c>
      <c r="C11" s="3" t="n"/>
      <c r="D11" s="2" t="inlineStr">
        <is>
          <t>41 GB</t>
        </is>
      </c>
      <c r="E11" s="2" t="n"/>
      <c r="F11" s="2" t="n"/>
      <c r="G11" s="2" t="n"/>
      <c r="H11" s="2" t="n"/>
    </row>
    <row r="12">
      <c r="A12" s="5" t="inlineStr">
        <is>
          <t>TIM Controle Light Express 31GB</t>
        </is>
      </c>
      <c r="B12" s="6" t="n">
        <v>60.99</v>
      </c>
      <c r="C12" s="6" t="n"/>
      <c r="D12" s="5" t="inlineStr">
        <is>
          <t>31 GB</t>
        </is>
      </c>
      <c r="E12" s="5" t="n"/>
      <c r="F12" s="5" t="n"/>
      <c r="G12" s="5" t="n"/>
      <c r="H12" s="5" t="n"/>
    </row>
    <row r="13">
      <c r="A13" s="2" t="inlineStr">
        <is>
          <t>TIM Controle Plus 45GB</t>
        </is>
      </c>
      <c r="B13" s="3" t="n">
        <v>64.98999999999999</v>
      </c>
      <c r="C13" s="3" t="n"/>
      <c r="D13" s="2" t="inlineStr">
        <is>
          <t>45 GB</t>
        </is>
      </c>
      <c r="E13" s="2" t="n"/>
      <c r="F13" s="2" t="n"/>
      <c r="G13" s="2" t="n"/>
      <c r="H13" s="2" t="n"/>
    </row>
    <row r="14">
      <c r="A14" s="5" t="inlineStr">
        <is>
          <t>TIM Controle Pro Express</t>
        </is>
      </c>
      <c r="B14" s="6" t="n">
        <v>64.98999999999999</v>
      </c>
      <c r="C14" s="6" t="n"/>
      <c r="D14" s="5" t="n"/>
      <c r="E14" s="5" t="n"/>
      <c r="F14" s="5" t="n"/>
      <c r="G14" s="5" t="n"/>
      <c r="H14" s="5" t="n"/>
    </row>
    <row r="15">
      <c r="A15" s="2" t="inlineStr">
        <is>
          <t>TIM Controle Premium 53GB</t>
        </is>
      </c>
      <c r="B15" s="3" t="n">
        <v>84.98999999999999</v>
      </c>
      <c r="C15" s="3" t="n"/>
      <c r="D15" s="2" t="inlineStr">
        <is>
          <t>53 GB</t>
        </is>
      </c>
      <c r="E15" s="2" t="n"/>
      <c r="F15" s="2" t="n"/>
      <c r="G15" s="2" t="n"/>
      <c r="H15" s="2" t="n"/>
    </row>
    <row r="16">
      <c r="A16" s="16" t="inlineStr">
        <is>
          <t>Prepaid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Pré XIP Plus 6GB</t>
        </is>
      </c>
      <c r="B17" s="3" t="n">
        <v>20</v>
      </c>
      <c r="C17" s="3" t="n"/>
      <c r="D17" s="2" t="inlineStr">
        <is>
          <t>6 GB · 30d</t>
        </is>
      </c>
      <c r="E17" s="2" t="n"/>
      <c r="F17" s="2" t="n"/>
      <c r="G17" s="2" t="n"/>
      <c r="H17" s="2" t="n"/>
    </row>
    <row r="18">
      <c r="A18" s="5" t="inlineStr">
        <is>
          <t>TIM Pré XIP Plus 8GB</t>
        </is>
      </c>
      <c r="B18" s="6" t="n">
        <v>25</v>
      </c>
      <c r="C18" s="6" t="n"/>
      <c r="D18" s="5" t="inlineStr">
        <is>
          <t>8 GB · 30d</t>
        </is>
      </c>
      <c r="E18" s="5" t="n"/>
      <c r="F18" s="5" t="n"/>
      <c r="G18" s="5" t="n"/>
      <c r="H18" s="5" t="n"/>
    </row>
    <row r="19">
      <c r="A19" s="2" t="inlineStr">
        <is>
          <t>TIM Pré XIP Plus 16GB</t>
        </is>
      </c>
      <c r="B19" s="3" t="n">
        <v>30</v>
      </c>
      <c r="C19" s="3" t="n"/>
      <c r="D19" s="2" t="inlineStr">
        <is>
          <t>16 GB · 30d</t>
        </is>
      </c>
      <c r="E19" s="2" t="n"/>
      <c r="F19" s="2" t="n"/>
      <c r="G19" s="2" t="n"/>
      <c r="H19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1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2026-06-29T22:09:19Z</dcterms:created>
  <dcterms:modified xsi:type="dcterms:W3CDTF">2026-06-29T22:09:19Z</dcterms:modified>
</cp:coreProperties>
</file>