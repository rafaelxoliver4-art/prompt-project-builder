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y" sheetId="1" state="visible" r:id="rId1"/>
    <sheet name="latest" sheetId="2" state="visible" r:id="rId2"/>
    <sheet name="changes" sheetId="3" state="visible" r:id="rId3"/>
    <sheet name="summary" sheetId="4" state="visible" r:id="rId4"/>
    <sheet name="comparison" sheetId="5" state="visible" r:id="rId5"/>
    <sheet name="Ranking" sheetId="6" state="visible" r:id="rId6"/>
    <sheet name="Vivo" sheetId="7" state="visible" r:id="rId7"/>
    <sheet name="Claro" sheetId="8" state="visible" r:id="rId8"/>
    <sheet name="TIM" sheetId="9" state="visible" r:id="rId9"/>
  </sheets>
  <definedNames>
    <definedName name="_xlnm._FilterDatabase" localSheetId="0" hidden="1">'history'!$A$1:$T$52</definedName>
    <definedName name="_xlnm._FilterDatabase" localSheetId="1" hidden="1">'latest'!$A$1:$T$52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;[RED]-R$ #,##0.00;&quot;-&quot;"/>
    <numFmt numFmtId="165" formatCode="#,##0.##"/>
  </numFmts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b val="1"/>
    </font>
    <font>
      <name val="Arial"/>
      <i val="1"/>
      <color rgb="00808080"/>
      <sz val="9"/>
    </font>
    <font>
      <name val="Arial"/>
      <b val="1"/>
      <sz val="12"/>
    </font>
    <font>
      <name val="Arial"/>
      <b val="1"/>
      <color rgb="001F3864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  <fill>
      <patternFill patternType="solid">
        <fgColor rgb="00D6E0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0" pivotButton="0" quotePrefix="0" xfId="0"/>
    <xf numFmtId="164" fontId="2" fillId="0" borderId="0" applyAlignment="1" pivotButton="0" quotePrefix="0" xfId="0">
      <alignment horizontal="right"/>
    </xf>
    <xf numFmtId="165" fontId="2" fillId="0" borderId="0" applyAlignment="1" pivotButton="0" quotePrefix="0" xfId="0">
      <alignment horizontal="right"/>
    </xf>
    <xf numFmtId="0" fontId="2" fillId="3" borderId="0" pivotButton="0" quotePrefix="0" xfId="0"/>
    <xf numFmtId="164" fontId="2" fillId="3" borderId="0" applyAlignment="1" pivotButton="0" quotePrefix="0" xfId="0">
      <alignment horizontal="right"/>
    </xf>
    <xf numFmtId="165" fontId="2" fillId="3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64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0" fillId="3" borderId="0" pivotButton="0" quotePrefix="0" xfId="0"/>
    <xf numFmtId="0" fontId="7" fillId="4" borderId="0" pivotButton="0" quotePrefix="0" xfId="0"/>
    <xf numFmtId="0" fontId="0" fillId="4" borderId="0" pivotButton="0" quotePrefix="0" xfId="0"/>
    <xf numFmtId="164" fontId="2" fillId="5" borderId="0" applyAlignment="1" pivotButton="0" quotePrefix="0" xfId="0">
      <alignment horizontal="right"/>
    </xf>
  </cellXfs>
  <cellStyles count="1">
    <cellStyle name="Normal" xfId="0" builtinId="0" hidden="0"/>
  </cellStyles>
  <dxfs count="2">
    <dxf>
      <fill>
        <patternFill patternType="solid">
          <fgColor rgb="00FFF2CC"/>
        </patternFill>
      </fill>
    </dxf>
    <dxf>
      <font>
        <name val="Arial"/>
        <b val="1"/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Control — cheapest R$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'comparison'!B36</f>
            </strRef>
          </tx>
          <spPr>
            <a:ln w="20000">
              <a:solidFill>
                <a:srgbClr val="0033A0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'comparison'!$A$37</f>
            </numRef>
          </cat>
          <val>
            <numRef>
              <f>'comparison'!$B$37</f>
            </numRef>
          </val>
          <smooth val="0"/>
        </ser>
        <ser>
          <idx val="1"/>
          <order val="1"/>
          <tx>
            <strRef>
              <f>'comparison'!C36</f>
            </strRef>
          </tx>
          <spPr>
            <a:ln w="20000">
              <a:solidFill>
                <a:srgbClr val="660099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'comparison'!$A$37</f>
            </numRef>
          </cat>
          <val>
            <numRef>
              <f>'comparison'!$C$37</f>
            </numRef>
          </val>
          <smooth val="0"/>
        </ser>
        <ser>
          <idx val="2"/>
          <order val="2"/>
          <tx>
            <strRef>
              <f>'comparison'!D36</f>
            </strRef>
          </tx>
          <spPr>
            <a:ln w="20000">
              <a:solidFill>
                <a:srgbClr val="DA291C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'comparison'!$A$37</f>
            </numRef>
          </cat>
          <val>
            <numRef>
              <f>'comparison'!$D$37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Post — cheapest R$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'comparison'!E36</f>
            </strRef>
          </tx>
          <spPr>
            <a:ln w="20000">
              <a:solidFill>
                <a:srgbClr val="0033A0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'comparison'!$A$37</f>
            </numRef>
          </cat>
          <val>
            <numRef>
              <f>'comparison'!$E$37</f>
            </numRef>
          </val>
          <smooth val="0"/>
        </ser>
        <ser>
          <idx val="1"/>
          <order val="1"/>
          <tx>
            <strRef>
              <f>'comparison'!F36</f>
            </strRef>
          </tx>
          <spPr>
            <a:ln w="20000">
              <a:solidFill>
                <a:srgbClr val="660099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'comparison'!$A$37</f>
            </numRef>
          </cat>
          <val>
            <numRef>
              <f>'comparison'!$F$37</f>
            </numRef>
          </val>
          <smooth val="0"/>
        </ser>
        <ser>
          <idx val="2"/>
          <order val="2"/>
          <tx>
            <strRef>
              <f>'comparison'!G36</f>
            </strRef>
          </tx>
          <spPr>
            <a:ln w="20000">
              <a:solidFill>
                <a:srgbClr val="DA291C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'comparison'!$A$37</f>
            </numRef>
          </cat>
          <val>
            <numRef>
              <f>'comparison'!$G$37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Pre — cheapest R$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'comparison'!H36</f>
            </strRef>
          </tx>
          <spPr>
            <a:ln w="20000">
              <a:solidFill>
                <a:srgbClr val="0033A0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'comparison'!$A$37</f>
            </numRef>
          </cat>
          <val>
            <numRef>
              <f>'comparison'!$H$37</f>
            </numRef>
          </val>
          <smooth val="0"/>
        </ser>
        <ser>
          <idx val="1"/>
          <order val="1"/>
          <tx>
            <strRef>
              <f>'comparison'!I36</f>
            </strRef>
          </tx>
          <spPr>
            <a:ln w="20000">
              <a:solidFill>
                <a:srgbClr val="660099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'comparison'!$A$37</f>
            </numRef>
          </cat>
          <val>
            <numRef>
              <f>'comparison'!$I$37</f>
            </numRef>
          </val>
          <smooth val="0"/>
        </ser>
        <ser>
          <idx val="2"/>
          <order val="2"/>
          <tx>
            <strRef>
              <f>'comparison'!J36</f>
            </strRef>
          </tx>
          <spPr>
            <a:ln w="20000">
              <a:solidFill>
                <a:srgbClr val="DA291C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'comparison'!$A$37</f>
            </numRef>
          </cat>
          <val>
            <numRef>
              <f>'comparison'!$J$37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— cheapest R$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'comparison'!K36</f>
            </strRef>
          </tx>
          <spPr>
            <a:ln w="20000">
              <a:solidFill>
                <a:srgbClr val="0033A0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'comparison'!$A$37</f>
            </numRef>
          </cat>
          <val>
            <numRef>
              <f>'comparison'!$K$37</f>
            </numRef>
          </val>
          <smooth val="0"/>
        </ser>
        <ser>
          <idx val="1"/>
          <order val="1"/>
          <tx>
            <strRef>
              <f>'comparison'!L36</f>
            </strRef>
          </tx>
          <spPr>
            <a:ln w="20000">
              <a:solidFill>
                <a:srgbClr val="660099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'comparison'!$A$37</f>
            </numRef>
          </cat>
          <val>
            <numRef>
              <f>'comparison'!$L$37</f>
            </numRef>
          </val>
          <smooth val="0"/>
        </ser>
        <ser>
          <idx val="2"/>
          <order val="2"/>
          <tx>
            <strRef>
              <f>'comparison'!M36</f>
            </strRef>
          </tx>
          <spPr>
            <a:ln w="20000">
              <a:solidFill>
                <a:srgbClr val="DA291C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'comparison'!$A$37</f>
            </numRef>
          </cat>
          <val>
            <numRef>
              <f>'comparison'!$M$37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14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</row>
      <rowOff>0</rowOff>
    </from>
    <ext cx="414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18</row>
      <rowOff>0</rowOff>
    </from>
    <ext cx="414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18</row>
      <rowOff>0</rowOff>
    </from>
    <ext cx="414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8A8A8A"/>
    <outlinePr summaryBelow="1" summaryRight="1"/>
    <pageSetUpPr/>
  </sheetPr>
  <dimension ref="A1:T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1" customWidth="1" min="8" max="8"/>
    <col width="17" customWidth="1" min="9" max="9"/>
    <col width="12" customWidth="1" min="10" max="10"/>
    <col width="10" customWidth="1" min="11" max="11"/>
    <col width="11" customWidth="1" min="12" max="12"/>
    <col width="16" customWidth="1" min="13" max="13"/>
    <col width="10" customWidth="1" min="14" max="14"/>
    <col width="10" customWidth="1" min="15" max="15"/>
    <col width="11" customWidth="1" min="16" max="16"/>
    <col width="16" customWidth="1" min="17" max="17"/>
    <col width="16" customWidth="1" min="18" max="18"/>
    <col width="12" customWidth="1" min="19" max="19"/>
    <col width="10" customWidth="1" min="20" max="20"/>
  </cols>
  <sheetData>
    <row r="1">
      <c r="A1" s="1" t="inlineStr">
        <is>
          <t>snapshot_date</t>
        </is>
      </c>
      <c r="B1" s="1" t="inlineStr">
        <is>
          <t>snapshot_ts</t>
        </is>
      </c>
      <c r="C1" s="1" t="inlineStr">
        <is>
          <t>carrier</t>
        </is>
      </c>
      <c r="D1" s="1" t="inlineStr">
        <is>
          <t>category</t>
        </is>
      </c>
      <c r="E1" s="1" t="inlineStr">
        <is>
          <t>state</t>
        </is>
      </c>
      <c r="F1" s="1" t="inlineStr">
        <is>
          <t>plan_name</t>
        </is>
      </c>
      <c r="G1" s="1" t="inlineStr">
        <is>
          <t>plan_id</t>
        </is>
      </c>
      <c r="H1" s="1" t="inlineStr">
        <is>
          <t>price_brl</t>
        </is>
      </c>
      <c r="I1" s="1" t="inlineStr">
        <is>
          <t>price_promo_brl</t>
        </is>
      </c>
      <c r="J1" s="1" t="inlineStr">
        <is>
          <t>price_note</t>
        </is>
      </c>
      <c r="K1" s="1" t="inlineStr">
        <is>
          <t>data_gb</t>
        </is>
      </c>
      <c r="L1" s="1" t="inlineStr">
        <is>
          <t>data_note</t>
        </is>
      </c>
      <c r="M1" s="1" t="inlineStr">
        <is>
          <t>unlimited_apps</t>
        </is>
      </c>
      <c r="N1" s="1" t="inlineStr">
        <is>
          <t>voice</t>
        </is>
      </c>
      <c r="O1" s="1" t="inlineStr">
        <is>
          <t>sms</t>
        </is>
      </c>
      <c r="P1" s="1" t="inlineStr">
        <is>
          <t>streaming</t>
        </is>
      </c>
      <c r="Q1" s="1" t="inlineStr">
        <is>
          <t>loyalty_months</t>
        </is>
      </c>
      <c r="R1" s="1" t="inlineStr">
        <is>
          <t>extra_benefits</t>
        </is>
      </c>
      <c r="S1" s="1" t="inlineStr">
        <is>
          <t>source_url</t>
        </is>
      </c>
      <c r="T1" s="1" t="inlineStr">
        <is>
          <t>raw_ref</t>
        </is>
      </c>
    </row>
    <row r="2">
      <c r="A2" s="2" t="inlineStr">
        <is>
          <t>2026-06-22</t>
        </is>
      </c>
      <c r="B2" s="2" t="inlineStr">
        <is>
          <t>2026-06-22T18:35:49</t>
        </is>
      </c>
      <c r="C2" s="2" t="inlineStr">
        <is>
          <t>claro</t>
        </is>
      </c>
      <c r="D2" s="2" t="inlineStr">
        <is>
          <t>control</t>
        </is>
      </c>
      <c r="E2" s="2" t="inlineStr">
        <is>
          <t>SP</t>
        </is>
      </c>
      <c r="F2" s="2" t="inlineStr">
        <is>
          <t>Controle 25GB</t>
        </is>
      </c>
      <c r="G2" s="2" t="inlineStr">
        <is>
          <t>claro:plano-controle-25gb</t>
        </is>
      </c>
      <c r="H2" s="3" t="n">
        <v>59.9</v>
      </c>
      <c r="I2" s="3" t="n">
        <v>54.9</v>
      </c>
      <c r="J2" s="2" t="inlineStr">
        <is>
          <t>De R$ 59,90 Por:</t>
        </is>
      </c>
      <c r="K2" s="4" t="n">
        <v>25</v>
      </c>
      <c r="L2" s="2" t="inlineStr"/>
      <c r="M2" s="2" t="inlineStr">
        <is>
          <t>WhatsApp</t>
        </is>
      </c>
      <c r="N2" s="2" t="inlineStr"/>
      <c r="O2" s="2" t="inlineStr"/>
      <c r="P2" s="2" t="inlineStr"/>
      <c r="Q2" s="2" t="inlineStr"/>
      <c r="R2" s="2" t="inlineStr">
        <is>
          <t>Para uso livre; Para redes sociais e vídeos; Bônus exclusivo; Aproveite na sua franquia; WhatsApp e ligações ilimitadas</t>
        </is>
      </c>
      <c r="S2" s="2" t="inlineStr">
        <is>
          <t>https://www.claro.com.br/celular/controle</t>
        </is>
      </c>
      <c r="T2" s="2" t="inlineStr">
        <is>
          <t>data/raw/claro_control_SP.json</t>
        </is>
      </c>
    </row>
    <row r="3">
      <c r="A3" s="5" t="inlineStr">
        <is>
          <t>2026-06-22</t>
        </is>
      </c>
      <c r="B3" s="5" t="inlineStr">
        <is>
          <t>2026-06-22T18:35:49</t>
        </is>
      </c>
      <c r="C3" s="5" t="inlineStr">
        <is>
          <t>claro</t>
        </is>
      </c>
      <c r="D3" s="5" t="inlineStr">
        <is>
          <t>control</t>
        </is>
      </c>
      <c r="E3" s="5" t="inlineStr">
        <is>
          <t>SP</t>
        </is>
      </c>
      <c r="F3" s="5" t="inlineStr">
        <is>
          <t>Controle 30GB</t>
        </is>
      </c>
      <c r="G3" s="5" t="inlineStr">
        <is>
          <t>claro:plano-controle-30gb</t>
        </is>
      </c>
      <c r="H3" s="6" t="n">
        <v>69.90000000000001</v>
      </c>
      <c r="I3" s="6" t="inlineStr"/>
      <c r="J3" s="5" t="inlineStr"/>
      <c r="K3" s="7" t="n">
        <v>30</v>
      </c>
      <c r="L3" s="5" t="inlineStr"/>
      <c r="M3" s="5" t="inlineStr">
        <is>
          <t>WhatsApp</t>
        </is>
      </c>
      <c r="N3" s="5" t="inlineStr"/>
      <c r="O3" s="5" t="inlineStr"/>
      <c r="P3" s="5" t="inlineStr"/>
      <c r="Q3" s="5" t="inlineStr"/>
      <c r="R3" s="5" t="inlineStr">
        <is>
          <t>Para uso livre; Bônus do Hexa para uso livre; Bônus para redes sociais e apps; Redes sociais e apps; WhatsApp ilimitado</t>
        </is>
      </c>
      <c r="S3" s="5" t="inlineStr">
        <is>
          <t>https://www.claro.com.br/celular/controle</t>
        </is>
      </c>
      <c r="T3" s="5" t="inlineStr">
        <is>
          <t>data/raw/claro_control_SP.json</t>
        </is>
      </c>
    </row>
    <row r="4">
      <c r="A4" s="2" t="inlineStr">
        <is>
          <t>2026-06-22</t>
        </is>
      </c>
      <c r="B4" s="2" t="inlineStr">
        <is>
          <t>2026-06-22T18:35:49</t>
        </is>
      </c>
      <c r="C4" s="2" t="inlineStr">
        <is>
          <t>claro</t>
        </is>
      </c>
      <c r="D4" s="2" t="inlineStr">
        <is>
          <t>control</t>
        </is>
      </c>
      <c r="E4" s="2" t="inlineStr">
        <is>
          <t>SP</t>
        </is>
      </c>
      <c r="F4" s="2" t="inlineStr">
        <is>
          <t>Controle 30GB</t>
        </is>
      </c>
      <c r="G4" s="2" t="inlineStr">
        <is>
          <t>claro:plano-controle-30gb-gaming</t>
        </is>
      </c>
      <c r="H4" s="3" t="n">
        <v>99.90000000000001</v>
      </c>
      <c r="I4" s="3" t="inlineStr"/>
      <c r="J4" s="2" t="inlineStr"/>
      <c r="K4" s="4" t="n">
        <v>30</v>
      </c>
      <c r="L4" s="2" t="inlineStr"/>
      <c r="M4" s="2" t="inlineStr">
        <is>
          <t>WhatsApp</t>
        </is>
      </c>
      <c r="N4" s="2" t="inlineStr"/>
      <c r="O4" s="2" t="inlineStr"/>
      <c r="P4" s="2" t="inlineStr"/>
      <c r="Q4" s="2" t="inlineStr"/>
      <c r="R4" s="2" t="inlineStr">
        <is>
          <t>Para uso livre; Bônus para redes sociais e apps; Bônus uso livre; Redes sociais e apps; WhatsApp ilimitado</t>
        </is>
      </c>
      <c r="S4" s="2" t="inlineStr">
        <is>
          <t>https://www.claro.com.br/celular/controle</t>
        </is>
      </c>
      <c r="T4" s="2" t="inlineStr">
        <is>
          <t>data/raw/claro_control_SP.json</t>
        </is>
      </c>
    </row>
    <row r="5">
      <c r="A5" s="5" t="inlineStr">
        <is>
          <t>2026-06-22</t>
        </is>
      </c>
      <c r="B5" s="5" t="inlineStr">
        <is>
          <t>2026-06-22T18:35:49</t>
        </is>
      </c>
      <c r="C5" s="5" t="inlineStr">
        <is>
          <t>claro</t>
        </is>
      </c>
      <c r="D5" s="5" t="inlineStr">
        <is>
          <t>flex</t>
        </is>
      </c>
      <c r="E5" s="5" t="inlineStr">
        <is>
          <t>SP</t>
        </is>
      </c>
      <c r="F5" s="5" t="inlineStr">
        <is>
          <t>Flex 15GB</t>
        </is>
      </c>
      <c r="G5" s="5" t="inlineStr">
        <is>
          <t>claro:plano-flex-15gb</t>
        </is>
      </c>
      <c r="H5" s="6" t="n">
        <v>44.9</v>
      </c>
      <c r="I5" s="6" t="inlineStr"/>
      <c r="J5" s="5" t="inlineStr"/>
      <c r="K5" s="7" t="n">
        <v>15</v>
      </c>
      <c r="L5" s="5" t="inlineStr"/>
      <c r="M5" s="5" t="inlineStr">
        <is>
          <t>WhatsApp</t>
        </is>
      </c>
      <c r="N5" s="5" t="inlineStr"/>
      <c r="O5" s="5" t="inlineStr"/>
      <c r="P5" s="5" t="inlineStr"/>
      <c r="Q5" s="5" t="inlineStr"/>
      <c r="R5" s="5" t="inlineStr">
        <is>
          <t>Para uso livre; Bônus do Hexa para uso livre; Para redes sociais e apps; Bônus extra nos apps; WhatsApp ilimitado</t>
        </is>
      </c>
      <c r="S5" s="5" t="inlineStr">
        <is>
          <t>https://www.claro.com.br/celular/flex</t>
        </is>
      </c>
      <c r="T5" s="5" t="inlineStr">
        <is>
          <t>data/raw/claro_flex_SP.json</t>
        </is>
      </c>
    </row>
    <row r="6">
      <c r="A6" s="2" t="inlineStr">
        <is>
          <t>2026-06-22</t>
        </is>
      </c>
      <c r="B6" s="2" t="inlineStr">
        <is>
          <t>2026-06-22T18:35:49</t>
        </is>
      </c>
      <c r="C6" s="2" t="inlineStr">
        <is>
          <t>claro</t>
        </is>
      </c>
      <c r="D6" s="2" t="inlineStr">
        <is>
          <t>flex</t>
        </is>
      </c>
      <c r="E6" s="2" t="inlineStr">
        <is>
          <t>SP</t>
        </is>
      </c>
      <c r="F6" s="2" t="inlineStr">
        <is>
          <t>Flex 20GB</t>
        </is>
      </c>
      <c r="G6" s="2" t="inlineStr">
        <is>
          <t>claro:plano-flex-20gb</t>
        </is>
      </c>
      <c r="H6" s="3" t="n">
        <v>59.9</v>
      </c>
      <c r="I6" s="3" t="inlineStr"/>
      <c r="J6" s="2" t="inlineStr"/>
      <c r="K6" s="4" t="n">
        <v>20</v>
      </c>
      <c r="L6" s="2" t="inlineStr"/>
      <c r="M6" s="2" t="inlineStr">
        <is>
          <t>WhatsApp</t>
        </is>
      </c>
      <c r="N6" s="2" t="inlineStr"/>
      <c r="O6" s="2" t="inlineStr"/>
      <c r="P6" s="2" t="inlineStr"/>
      <c r="Q6" s="2" t="inlineStr"/>
      <c r="R6" s="2" t="inlineStr">
        <is>
          <t>Para uso livre; Bônus do Hexa para uso livre; Para redes sociais e apps; Bônus extra nos apps; WhatsApp ilimitado</t>
        </is>
      </c>
      <c r="S6" s="2" t="inlineStr">
        <is>
          <t>https://www.claro.com.br/celular/flex</t>
        </is>
      </c>
      <c r="T6" s="2" t="inlineStr">
        <is>
          <t>data/raw/claro_flex_SP.json</t>
        </is>
      </c>
    </row>
    <row r="7">
      <c r="A7" s="5" t="inlineStr">
        <is>
          <t>2026-06-22</t>
        </is>
      </c>
      <c r="B7" s="5" t="inlineStr">
        <is>
          <t>2026-06-22T18:35:49</t>
        </is>
      </c>
      <c r="C7" s="5" t="inlineStr">
        <is>
          <t>claro</t>
        </is>
      </c>
      <c r="D7" s="5" t="inlineStr">
        <is>
          <t>flex</t>
        </is>
      </c>
      <c r="E7" s="5" t="inlineStr">
        <is>
          <t>SP</t>
        </is>
      </c>
      <c r="F7" s="5" t="inlineStr">
        <is>
          <t>Flex 30GB</t>
        </is>
      </c>
      <c r="G7" s="5" t="inlineStr">
        <is>
          <t>claro:plano-flex-30gb</t>
        </is>
      </c>
      <c r="H7" s="6" t="n">
        <v>69.90000000000001</v>
      </c>
      <c r="I7" s="6" t="inlineStr"/>
      <c r="J7" s="5" t="inlineStr"/>
      <c r="K7" s="7" t="n">
        <v>30</v>
      </c>
      <c r="L7" s="5" t="inlineStr"/>
      <c r="M7" s="5" t="inlineStr">
        <is>
          <t>WhatsApp</t>
        </is>
      </c>
      <c r="N7" s="5" t="inlineStr"/>
      <c r="O7" s="5" t="inlineStr"/>
      <c r="P7" s="5" t="inlineStr"/>
      <c r="Q7" s="5" t="inlineStr"/>
      <c r="R7" s="5" t="inlineStr">
        <is>
          <t>Para uso livre; Bônus do Hexa para uso livre; Para redes sociais e apps; Bônus extra nos apps; WhatsApp ilimitado; Assinatura Claro musica inclusa</t>
        </is>
      </c>
      <c r="S7" s="5" t="inlineStr">
        <is>
          <t>https://www.claro.com.br/celular/flex</t>
        </is>
      </c>
      <c r="T7" s="5" t="inlineStr">
        <is>
          <t>data/raw/claro_flex_SP.json</t>
        </is>
      </c>
    </row>
    <row r="8">
      <c r="A8" s="2" t="inlineStr">
        <is>
          <t>2026-06-22</t>
        </is>
      </c>
      <c r="B8" s="2" t="inlineStr">
        <is>
          <t>2026-06-22T18:35:49</t>
        </is>
      </c>
      <c r="C8" s="2" t="inlineStr">
        <is>
          <t>claro</t>
        </is>
      </c>
      <c r="D8" s="2" t="inlineStr">
        <is>
          <t>flex</t>
        </is>
      </c>
      <c r="E8" s="2" t="inlineStr">
        <is>
          <t>SP</t>
        </is>
      </c>
      <c r="F8" s="2" t="inlineStr">
        <is>
          <t>Flex 40GB</t>
        </is>
      </c>
      <c r="G8" s="2" t="inlineStr">
        <is>
          <t>claro:plano-flex-40gb</t>
        </is>
      </c>
      <c r="H8" s="3" t="n">
        <v>119.9</v>
      </c>
      <c r="I8" s="3" t="inlineStr"/>
      <c r="J8" s="2" t="inlineStr"/>
      <c r="K8" s="4" t="n">
        <v>40</v>
      </c>
      <c r="L8" s="2" t="inlineStr"/>
      <c r="M8" s="2" t="inlineStr">
        <is>
          <t>WhatsApp</t>
        </is>
      </c>
      <c r="N8" s="2" t="inlineStr"/>
      <c r="O8" s="2" t="inlineStr"/>
      <c r="P8" s="2" t="inlineStr"/>
      <c r="Q8" s="2" t="inlineStr"/>
      <c r="R8" s="2" t="inlineStr">
        <is>
          <t>Para uso livre; Para redes sociais e apps; Bônus uso livre; Bônus extra nos apps; WhatsApp ilimitado; Assinatura Claro musica inclusa</t>
        </is>
      </c>
      <c r="S8" s="2" t="inlineStr">
        <is>
          <t>https://www.claro.com.br/celular/flex</t>
        </is>
      </c>
      <c r="T8" s="2" t="inlineStr">
        <is>
          <t>data/raw/claro_flex_SP.json</t>
        </is>
      </c>
    </row>
    <row r="9">
      <c r="A9" s="5" t="inlineStr">
        <is>
          <t>2026-06-22</t>
        </is>
      </c>
      <c r="B9" s="5" t="inlineStr">
        <is>
          <t>2026-06-22T18:35:49</t>
        </is>
      </c>
      <c r="C9" s="5" t="inlineStr">
        <is>
          <t>claro</t>
        </is>
      </c>
      <c r="D9" s="5" t="inlineStr">
        <is>
          <t>postpaid</t>
        </is>
      </c>
      <c r="E9" s="5" t="inlineStr">
        <is>
          <t>SP</t>
        </is>
      </c>
      <c r="F9" s="5" t="inlineStr">
        <is>
          <t>Pós 100GB</t>
        </is>
      </c>
      <c r="G9" s="5" t="inlineStr">
        <is>
          <t>claro:plano-pos-100gb</t>
        </is>
      </c>
      <c r="H9" s="6" t="n">
        <v>179.9</v>
      </c>
      <c r="I9" s="6" t="inlineStr"/>
      <c r="J9" s="5" t="inlineStr"/>
      <c r="K9" s="7" t="n">
        <v>100</v>
      </c>
      <c r="L9" s="5" t="inlineStr"/>
      <c r="M9" s="5" t="inlineStr">
        <is>
          <t>WhatsApp</t>
        </is>
      </c>
      <c r="N9" s="5" t="inlineStr"/>
      <c r="O9" s="5" t="inlineStr"/>
      <c r="P9" s="5" t="inlineStr"/>
      <c r="Q9" s="5" t="inlineStr"/>
      <c r="R9" s="5" t="inlineStr">
        <is>
          <t>Armazenamento na nuvem:; Google One ou iCloud+; WhatsApp ilimitado; Roaming: Passaporte Américas; Claro Sync: Smartwatch conectado</t>
        </is>
      </c>
      <c r="S9" s="5" t="inlineStr">
        <is>
          <t>https://www.claro.com.br/celular/pos</t>
        </is>
      </c>
      <c r="T9" s="5" t="inlineStr">
        <is>
          <t>data/raw/claro_postpaid_SP.json</t>
        </is>
      </c>
    </row>
    <row r="10">
      <c r="A10" s="2" t="inlineStr">
        <is>
          <t>2026-06-22</t>
        </is>
      </c>
      <c r="B10" s="2" t="inlineStr">
        <is>
          <t>2026-06-22T18:35:49</t>
        </is>
      </c>
      <c r="C10" s="2" t="inlineStr">
        <is>
          <t>claro</t>
        </is>
      </c>
      <c r="D10" s="2" t="inlineStr">
        <is>
          <t>postpaid</t>
        </is>
      </c>
      <c r="E10" s="2" t="inlineStr">
        <is>
          <t>SP</t>
        </is>
      </c>
      <c r="F10" s="2" t="inlineStr">
        <is>
          <t>Pós 150GB</t>
        </is>
      </c>
      <c r="G10" s="2" t="inlineStr">
        <is>
          <t>claro:plano-pos-150gb</t>
        </is>
      </c>
      <c r="H10" s="3" t="n">
        <v>239.9</v>
      </c>
      <c r="I10" s="3" t="inlineStr"/>
      <c r="J10" s="2" t="inlineStr"/>
      <c r="K10" s="4" t="n">
        <v>150</v>
      </c>
      <c r="L10" s="2" t="inlineStr"/>
      <c r="M10" s="2" t="inlineStr">
        <is>
          <t>WhatsApp</t>
        </is>
      </c>
      <c r="N10" s="2" t="inlineStr"/>
      <c r="O10" s="2" t="inlineStr"/>
      <c r="P10" s="2" t="inlineStr"/>
      <c r="Q10" s="2" t="inlineStr"/>
      <c r="R10" s="2" t="inlineStr">
        <is>
          <t>Armazenamento na nuvem:; Google One ou iCloud+; WhatsApp ilimitado; Roaming: Passaporte Américas e Europa; Claro Sync: Smartwatch conectado</t>
        </is>
      </c>
      <c r="S10" s="2" t="inlineStr">
        <is>
          <t>https://www.claro.com.br/celular/pos</t>
        </is>
      </c>
      <c r="T10" s="2" t="inlineStr">
        <is>
          <t>data/raw/claro_postpaid_SP.json</t>
        </is>
      </c>
    </row>
    <row r="11">
      <c r="A11" s="5" t="inlineStr">
        <is>
          <t>2026-06-22</t>
        </is>
      </c>
      <c r="B11" s="5" t="inlineStr">
        <is>
          <t>2026-06-22T18:35:49</t>
        </is>
      </c>
      <c r="C11" s="5" t="inlineStr">
        <is>
          <t>claro</t>
        </is>
      </c>
      <c r="D11" s="5" t="inlineStr">
        <is>
          <t>postpaid</t>
        </is>
      </c>
      <c r="E11" s="5" t="inlineStr">
        <is>
          <t>SP</t>
        </is>
      </c>
      <c r="F11" s="5" t="inlineStr">
        <is>
          <t>Pós 200GB</t>
        </is>
      </c>
      <c r="G11" s="5" t="inlineStr">
        <is>
          <t>claro:plano-pos-200gb</t>
        </is>
      </c>
      <c r="H11" s="6" t="n">
        <v>339.9</v>
      </c>
      <c r="I11" s="6" t="inlineStr"/>
      <c r="J11" s="5" t="inlineStr"/>
      <c r="K11" s="7" t="n">
        <v>200</v>
      </c>
      <c r="L11" s="5" t="inlineStr"/>
      <c r="M11" s="5" t="inlineStr">
        <is>
          <t>WhatsApp</t>
        </is>
      </c>
      <c r="N11" s="5" t="inlineStr"/>
      <c r="O11" s="5" t="inlineStr"/>
      <c r="P11" s="5" t="inlineStr"/>
      <c r="Q11" s="5" t="inlineStr"/>
      <c r="R11" s="5" t="inlineStr">
        <is>
          <t>Armazenamento na nuvem:; Google One ou iCloud+; WhatsApp ilimitado; Roaming: Passaporte Mundo; Claro Sync: Smartwatch conectado</t>
        </is>
      </c>
      <c r="S11" s="5" t="inlineStr">
        <is>
          <t>https://www.claro.com.br/celular/pos</t>
        </is>
      </c>
      <c r="T11" s="5" t="inlineStr">
        <is>
          <t>data/raw/claro_postpaid_SP.json</t>
        </is>
      </c>
    </row>
    <row r="12">
      <c r="A12" s="2" t="inlineStr">
        <is>
          <t>2026-06-22</t>
        </is>
      </c>
      <c r="B12" s="2" t="inlineStr">
        <is>
          <t>2026-06-22T18:35:49</t>
        </is>
      </c>
      <c r="C12" s="2" t="inlineStr">
        <is>
          <t>claro</t>
        </is>
      </c>
      <c r="D12" s="2" t="inlineStr">
        <is>
          <t>postpaid</t>
        </is>
      </c>
      <c r="E12" s="2" t="inlineStr">
        <is>
          <t>SP</t>
        </is>
      </c>
      <c r="F12" s="2" t="inlineStr">
        <is>
          <t>Pós 50GB com GeForce NOW</t>
        </is>
      </c>
      <c r="G12" s="2" t="inlineStr">
        <is>
          <t>claro:plano-pos-60gb-geforce</t>
        </is>
      </c>
      <c r="H12" s="3" t="n">
        <v>164.9</v>
      </c>
      <c r="I12" s="3" t="inlineStr"/>
      <c r="J12" s="2" t="inlineStr"/>
      <c r="K12" s="4" t="n">
        <v>50</v>
      </c>
      <c r="L12" s="2" t="inlineStr"/>
      <c r="M12" s="2" t="inlineStr">
        <is>
          <t>WhatsApp</t>
        </is>
      </c>
      <c r="N12" s="2" t="inlineStr"/>
      <c r="O12" s="2" t="inlineStr"/>
      <c r="P12" s="2" t="inlineStr"/>
      <c r="Q12" s="2" t="inlineStr"/>
      <c r="R12" s="2" t="inlineStr">
        <is>
          <t>Armazenamento na nuvem:; Google One ou iCloud+; WhatsApp ilimitado; Roaming: Passaporte Américas; Claro Sync: Smartwatch conectado; Inclusa assinatura GeForce NOW</t>
        </is>
      </c>
      <c r="S12" s="2" t="inlineStr">
        <is>
          <t>https://www.claro.com.br/celular/pos</t>
        </is>
      </c>
      <c r="T12" s="2" t="inlineStr">
        <is>
          <t>data/raw/claro_postpaid_SP.json</t>
        </is>
      </c>
    </row>
    <row r="13">
      <c r="A13" s="5" t="inlineStr">
        <is>
          <t>2026-06-22</t>
        </is>
      </c>
      <c r="B13" s="5" t="inlineStr">
        <is>
          <t>2026-06-22T18:35:49</t>
        </is>
      </c>
      <c r="C13" s="5" t="inlineStr">
        <is>
          <t>claro</t>
        </is>
      </c>
      <c r="D13" s="5" t="inlineStr">
        <is>
          <t>postpaid</t>
        </is>
      </c>
      <c r="E13" s="5" t="inlineStr">
        <is>
          <t>SP</t>
        </is>
      </c>
      <c r="F13" s="5" t="inlineStr">
        <is>
          <t>Pós 60GB</t>
        </is>
      </c>
      <c r="G13" s="5" t="inlineStr">
        <is>
          <t>claro:plano-pos-60gb</t>
        </is>
      </c>
      <c r="H13" s="6" t="n">
        <v>124.9</v>
      </c>
      <c r="I13" s="6" t="inlineStr"/>
      <c r="J13" s="5" t="inlineStr"/>
      <c r="K13" s="7" t="n">
        <v>60</v>
      </c>
      <c r="L13" s="5" t="inlineStr"/>
      <c r="M13" s="5" t="inlineStr">
        <is>
          <t>WhatsApp</t>
        </is>
      </c>
      <c r="N13" s="5" t="inlineStr"/>
      <c r="O13" s="5" t="inlineStr"/>
      <c r="P13" s="5" t="inlineStr"/>
      <c r="Q13" s="5" t="inlineStr"/>
      <c r="R13" s="5" t="inlineStr">
        <is>
          <t>Armazenamento na nuvem:; Google One ou iCloud+; WhatsApp ilimitado; Roaming: Passaporte Américas; Claro Sync: Smartwatch conectado</t>
        </is>
      </c>
      <c r="S13" s="5" t="inlineStr">
        <is>
          <t>https://www.claro.com.br/celular/pos</t>
        </is>
      </c>
      <c r="T13" s="5" t="inlineStr">
        <is>
          <t>data/raw/claro_postpaid_SP.json</t>
        </is>
      </c>
    </row>
    <row r="14">
      <c r="A14" s="2" t="inlineStr">
        <is>
          <t>2026-06-22</t>
        </is>
      </c>
      <c r="B14" s="2" t="inlineStr">
        <is>
          <t>2026-06-22T18:35:49</t>
        </is>
      </c>
      <c r="C14" s="2" t="inlineStr">
        <is>
          <t>claro</t>
        </is>
      </c>
      <c r="D14" s="2" t="inlineStr">
        <is>
          <t>prepaid</t>
        </is>
      </c>
      <c r="E14" s="2" t="inlineStr">
        <is>
          <t>SP</t>
        </is>
      </c>
      <c r="F14" s="2" t="inlineStr">
        <is>
          <t>Prezão R$1 por dia</t>
        </is>
      </c>
      <c r="G14" s="2" t="inlineStr">
        <is>
          <t>claro:prez-o-r-1-por-dia</t>
        </is>
      </c>
      <c r="H14" s="3" t="n">
        <v>1</v>
      </c>
      <c r="I14" s="3" t="inlineStr"/>
      <c r="J14" s="2" t="inlineStr">
        <is>
          <t>prepaid Prezão — preço por dia; recargas a partir de R$15</t>
        </is>
      </c>
      <c r="K14" s="4" t="n">
        <v>12</v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>
        <is>
          <t>https://www.claro.com.br/celular/planos-pre/prezao</t>
        </is>
      </c>
      <c r="T14" s="2" t="inlineStr">
        <is>
          <t>data/raw/claro_prepaid_SP.json</t>
        </is>
      </c>
    </row>
    <row r="15">
      <c r="A15" s="5" t="inlineStr">
        <is>
          <t>2026-06-22</t>
        </is>
      </c>
      <c r="B15" s="5" t="inlineStr">
        <is>
          <t>2026-06-22T18:35:49</t>
        </is>
      </c>
      <c r="C15" s="5" t="inlineStr">
        <is>
          <t>tim</t>
        </is>
      </c>
      <c r="D15" s="5" t="inlineStr">
        <is>
          <t>control</t>
        </is>
      </c>
      <c r="E15" s="5" t="inlineStr">
        <is>
          <t>SP</t>
        </is>
      </c>
      <c r="F15" s="5" t="inlineStr">
        <is>
          <t>TIM Controle 41GB</t>
        </is>
      </c>
      <c r="G15" s="5" t="inlineStr">
        <is>
          <t>tim:162901</t>
        </is>
      </c>
      <c r="H15" s="6" t="n">
        <v>58.99</v>
      </c>
      <c r="I15" s="6" t="inlineStr"/>
      <c r="J15" s="5" t="inlineStr"/>
      <c r="K15" s="7" t="n">
        <v>41</v>
      </c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>
        <is>
          <t>https://www.tim.com.br/sp/para-voce/planos/controle</t>
        </is>
      </c>
      <c r="T15" s="5" t="inlineStr">
        <is>
          <t>data/raw/tim_control_SP.html</t>
        </is>
      </c>
    </row>
    <row r="16">
      <c r="A16" s="2" t="inlineStr">
        <is>
          <t>2026-06-22</t>
        </is>
      </c>
      <c r="B16" s="2" t="inlineStr">
        <is>
          <t>2026-06-22T18:35:49</t>
        </is>
      </c>
      <c r="C16" s="2" t="inlineStr">
        <is>
          <t>tim</t>
        </is>
      </c>
      <c r="D16" s="2" t="inlineStr">
        <is>
          <t>control</t>
        </is>
      </c>
      <c r="E16" s="2" t="inlineStr">
        <is>
          <t>SP</t>
        </is>
      </c>
      <c r="F16" s="2" t="inlineStr">
        <is>
          <t>TIM Controle Light Express 31GB</t>
        </is>
      </c>
      <c r="G16" s="2" t="inlineStr">
        <is>
          <t>tim:143536</t>
        </is>
      </c>
      <c r="H16" s="3" t="n">
        <v>60.99</v>
      </c>
      <c r="I16" s="3" t="inlineStr"/>
      <c r="J16" s="2" t="inlineStr"/>
      <c r="K16" s="4" t="n">
        <v>31</v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>
        <is>
          <t>https://www.tim.com.br/sp/para-voce/planos/controle</t>
        </is>
      </c>
      <c r="T16" s="2" t="inlineStr">
        <is>
          <t>data/raw/tim_control_SP.html</t>
        </is>
      </c>
    </row>
    <row r="17">
      <c r="A17" s="5" t="inlineStr">
        <is>
          <t>2026-06-22</t>
        </is>
      </c>
      <c r="B17" s="5" t="inlineStr">
        <is>
          <t>2026-06-22T18:35:49</t>
        </is>
      </c>
      <c r="C17" s="5" t="inlineStr">
        <is>
          <t>tim</t>
        </is>
      </c>
      <c r="D17" s="5" t="inlineStr">
        <is>
          <t>control</t>
        </is>
      </c>
      <c r="E17" s="5" t="inlineStr">
        <is>
          <t>SP</t>
        </is>
      </c>
      <c r="F17" s="5" t="inlineStr">
        <is>
          <t>TIM Controle Plus 45GB</t>
        </is>
      </c>
      <c r="G17" s="5" t="inlineStr">
        <is>
          <t>tim:155891</t>
        </is>
      </c>
      <c r="H17" s="6" t="n">
        <v>64.98999999999999</v>
      </c>
      <c r="I17" s="6" t="inlineStr"/>
      <c r="J17" s="5" t="inlineStr"/>
      <c r="K17" s="7" t="n">
        <v>45</v>
      </c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>
        <is>
          <t>https://www.tim.com.br/sp/para-voce/planos/controle</t>
        </is>
      </c>
      <c r="T17" s="5" t="inlineStr">
        <is>
          <t>data/raw/tim_control_SP.html</t>
        </is>
      </c>
    </row>
    <row r="18">
      <c r="A18" s="2" t="inlineStr">
        <is>
          <t>2026-06-22</t>
        </is>
      </c>
      <c r="B18" s="2" t="inlineStr">
        <is>
          <t>2026-06-22T18:35:49</t>
        </is>
      </c>
      <c r="C18" s="2" t="inlineStr">
        <is>
          <t>tim</t>
        </is>
      </c>
      <c r="D18" s="2" t="inlineStr">
        <is>
          <t>control</t>
        </is>
      </c>
      <c r="E18" s="2" t="inlineStr">
        <is>
          <t>SP</t>
        </is>
      </c>
      <c r="F18" s="2" t="inlineStr">
        <is>
          <t>TIM Controle Premium 53GB</t>
        </is>
      </c>
      <c r="G18" s="2" t="inlineStr">
        <is>
          <t>tim:162896</t>
        </is>
      </c>
      <c r="H18" s="3" t="n">
        <v>84.98999999999999</v>
      </c>
      <c r="I18" s="3" t="inlineStr"/>
      <c r="J18" s="2" t="inlineStr"/>
      <c r="K18" s="4" t="n">
        <v>53</v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>
        <is>
          <t>https://www.tim.com.br/sp/para-voce/planos/controle</t>
        </is>
      </c>
      <c r="T18" s="2" t="inlineStr">
        <is>
          <t>data/raw/tim_control_SP.html</t>
        </is>
      </c>
    </row>
    <row r="19">
      <c r="A19" s="5" t="inlineStr">
        <is>
          <t>2026-06-22</t>
        </is>
      </c>
      <c r="B19" s="5" t="inlineStr">
        <is>
          <t>2026-06-22T18:35:49</t>
        </is>
      </c>
      <c r="C19" s="5" t="inlineStr">
        <is>
          <t>tim</t>
        </is>
      </c>
      <c r="D19" s="5" t="inlineStr">
        <is>
          <t>control</t>
        </is>
      </c>
      <c r="E19" s="5" t="inlineStr">
        <is>
          <t>SP</t>
        </is>
      </c>
      <c r="F19" s="5" t="inlineStr">
        <is>
          <t>TIM Controle Pro Express</t>
        </is>
      </c>
      <c r="G19" s="5" t="inlineStr">
        <is>
          <t>tim:143576</t>
        </is>
      </c>
      <c r="H19" s="6" t="n">
        <v>64.98999999999999</v>
      </c>
      <c r="I19" s="6" t="inlineStr"/>
      <c r="J19" s="5" t="inlineStr"/>
      <c r="K19" s="7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>
        <is>
          <t>https://www.tim.com.br/sp/para-voce/planos/controle</t>
        </is>
      </c>
      <c r="T19" s="5" t="inlineStr">
        <is>
          <t>data/raw/tim_control_SP.html</t>
        </is>
      </c>
    </row>
    <row r="20">
      <c r="A20" s="2" t="inlineStr">
        <is>
          <t>2026-06-22</t>
        </is>
      </c>
      <c r="B20" s="2" t="inlineStr">
        <is>
          <t>2026-06-22T18:35:49</t>
        </is>
      </c>
      <c r="C20" s="2" t="inlineStr">
        <is>
          <t>tim</t>
        </is>
      </c>
      <c r="D20" s="2" t="inlineStr">
        <is>
          <t>postpaid</t>
        </is>
      </c>
      <c r="E20" s="2" t="inlineStr">
        <is>
          <t>SP</t>
        </is>
      </c>
      <c r="F20" s="2" t="inlineStr">
        <is>
          <t>TIM Black 70GB</t>
        </is>
      </c>
      <c r="G20" s="2" t="inlineStr">
        <is>
          <t>tim:54206</t>
        </is>
      </c>
      <c r="H20" s="3" t="n">
        <v>129.99</v>
      </c>
      <c r="I20" s="3" t="inlineStr"/>
      <c r="J20" s="2" t="inlineStr"/>
      <c r="K20" s="4" t="n">
        <v>70</v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>
        <is>
          <t>https://www.tim.com.br/sp/para-voce/planos/pos-pago/tim-black</t>
        </is>
      </c>
      <c r="T20" s="2" t="inlineStr">
        <is>
          <t>data/raw/tim_postpaid_SP.html</t>
        </is>
      </c>
    </row>
    <row r="21">
      <c r="A21" s="5" t="inlineStr">
        <is>
          <t>2026-06-22</t>
        </is>
      </c>
      <c r="B21" s="5" t="inlineStr">
        <is>
          <t>2026-06-22T18:35:49</t>
        </is>
      </c>
      <c r="C21" s="5" t="inlineStr">
        <is>
          <t>tim</t>
        </is>
      </c>
      <c r="D21" s="5" t="inlineStr">
        <is>
          <t>postpaid</t>
        </is>
      </c>
      <c r="E21" s="5" t="inlineStr">
        <is>
          <t>SP</t>
        </is>
      </c>
      <c r="F21" s="5" t="inlineStr">
        <is>
          <t>TIM Black A Express 67GB</t>
        </is>
      </c>
      <c r="G21" s="5" t="inlineStr">
        <is>
          <t>tim:55121</t>
        </is>
      </c>
      <c r="H21" s="6" t="n">
        <v>119.99</v>
      </c>
      <c r="I21" s="6" t="inlineStr"/>
      <c r="J21" s="5" t="inlineStr"/>
      <c r="K21" s="7" t="n">
        <v>67</v>
      </c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>
        <is>
          <t>https://www.tim.com.br/sp/para-voce/planos/pos-pago/tim-black</t>
        </is>
      </c>
      <c r="T21" s="5" t="inlineStr">
        <is>
          <t>data/raw/tim_postpaid_SP.html</t>
        </is>
      </c>
    </row>
    <row r="22">
      <c r="A22" s="2" t="inlineStr">
        <is>
          <t>2026-06-22</t>
        </is>
      </c>
      <c r="B22" s="2" t="inlineStr">
        <is>
          <t>2026-06-22T18:35:49</t>
        </is>
      </c>
      <c r="C22" s="2" t="inlineStr">
        <is>
          <t>tim</t>
        </is>
      </c>
      <c r="D22" s="2" t="inlineStr">
        <is>
          <t>postpaid</t>
        </is>
      </c>
      <c r="E22" s="2" t="inlineStr">
        <is>
          <t>SP</t>
        </is>
      </c>
      <c r="F22" s="2" t="inlineStr">
        <is>
          <t>TIM Black B Express 82GB</t>
        </is>
      </c>
      <c r="G22" s="2" t="inlineStr">
        <is>
          <t>tim:52146</t>
        </is>
      </c>
      <c r="H22" s="3" t="n">
        <v>144.99</v>
      </c>
      <c r="I22" s="3" t="inlineStr"/>
      <c r="J22" s="2" t="inlineStr"/>
      <c r="K22" s="4" t="n">
        <v>82</v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>
        <is>
          <t>https://www.tim.com.br/sp/para-voce/planos/pos-pago/tim-black</t>
        </is>
      </c>
      <c r="T22" s="2" t="inlineStr">
        <is>
          <t>data/raw/tim_postpaid_SP.html</t>
        </is>
      </c>
    </row>
    <row r="23">
      <c r="A23" s="5" t="inlineStr">
        <is>
          <t>2026-06-22</t>
        </is>
      </c>
      <c r="B23" s="5" t="inlineStr">
        <is>
          <t>2026-06-22T18:35:49</t>
        </is>
      </c>
      <c r="C23" s="5" t="inlineStr">
        <is>
          <t>tim</t>
        </is>
      </c>
      <c r="D23" s="5" t="inlineStr">
        <is>
          <t>postpaid</t>
        </is>
      </c>
      <c r="E23" s="5" t="inlineStr">
        <is>
          <t>SP</t>
        </is>
      </c>
      <c r="F23" s="5" t="inlineStr">
        <is>
          <t>TIM Black C Express 107GB</t>
        </is>
      </c>
      <c r="G23" s="5" t="inlineStr">
        <is>
          <t>tim:52151</t>
        </is>
      </c>
      <c r="H23" s="6" t="n">
        <v>164.99</v>
      </c>
      <c r="I23" s="6" t="inlineStr"/>
      <c r="J23" s="5" t="inlineStr"/>
      <c r="K23" s="7" t="n">
        <v>107</v>
      </c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>
        <is>
          <t>https://www.tim.com.br/sp/para-voce/planos/pos-pago/tim-black</t>
        </is>
      </c>
      <c r="T23" s="5" t="inlineStr">
        <is>
          <t>data/raw/tim_postpaid_SP.html</t>
        </is>
      </c>
    </row>
    <row r="24">
      <c r="A24" s="2" t="inlineStr">
        <is>
          <t>2026-06-22</t>
        </is>
      </c>
      <c r="B24" s="2" t="inlineStr">
        <is>
          <t>2026-06-22T18:35:49</t>
        </is>
      </c>
      <c r="C24" s="2" t="inlineStr">
        <is>
          <t>tim</t>
        </is>
      </c>
      <c r="D24" s="2" t="inlineStr">
        <is>
          <t>postpaid</t>
        </is>
      </c>
      <c r="E24" s="2" t="inlineStr">
        <is>
          <t>SP</t>
        </is>
      </c>
      <c r="F24" s="2" t="inlineStr">
        <is>
          <t>TIM Black C Ultra 95GB</t>
        </is>
      </c>
      <c r="G24" s="2" t="inlineStr">
        <is>
          <t>tim:100581</t>
        </is>
      </c>
      <c r="H24" s="3" t="n">
        <v>159.99</v>
      </c>
      <c r="I24" s="3" t="inlineStr"/>
      <c r="J24" s="2" t="inlineStr"/>
      <c r="K24" s="4" t="n">
        <v>95</v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>
        <is>
          <t>https://www.tim.com.br/sp/para-voce/planos/pos-pago/tim-black</t>
        </is>
      </c>
      <c r="T24" s="2" t="inlineStr">
        <is>
          <t>data/raw/tim_postpaid_SP.html</t>
        </is>
      </c>
    </row>
    <row r="25">
      <c r="A25" s="5" t="inlineStr">
        <is>
          <t>2026-06-22</t>
        </is>
      </c>
      <c r="B25" s="5" t="inlineStr">
        <is>
          <t>2026-06-22T18:35:49</t>
        </is>
      </c>
      <c r="C25" s="5" t="inlineStr">
        <is>
          <t>tim</t>
        </is>
      </c>
      <c r="D25" s="5" t="inlineStr">
        <is>
          <t>postpaid</t>
        </is>
      </c>
      <c r="E25" s="5" t="inlineStr">
        <is>
          <t>SP</t>
        </is>
      </c>
      <c r="F25" s="5" t="inlineStr">
        <is>
          <t>TIM Black Plus 80GB</t>
        </is>
      </c>
      <c r="G25" s="5" t="inlineStr">
        <is>
          <t>tim:54256</t>
        </is>
      </c>
      <c r="H25" s="6" t="n">
        <v>149.99</v>
      </c>
      <c r="I25" s="6" t="inlineStr"/>
      <c r="J25" s="5" t="inlineStr"/>
      <c r="K25" s="7" t="n">
        <v>80</v>
      </c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>
        <is>
          <t>https://www.tim.com.br/sp/para-voce/planos/pos-pago/tim-black</t>
        </is>
      </c>
      <c r="T25" s="5" t="inlineStr">
        <is>
          <t>data/raw/tim_postpaid_SP.html</t>
        </is>
      </c>
    </row>
    <row r="26">
      <c r="A26" s="2" t="inlineStr">
        <is>
          <t>2026-06-22</t>
        </is>
      </c>
      <c r="B26" s="2" t="inlineStr">
        <is>
          <t>2026-06-22T18:35:49</t>
        </is>
      </c>
      <c r="C26" s="2" t="inlineStr">
        <is>
          <t>tim</t>
        </is>
      </c>
      <c r="D26" s="2" t="inlineStr">
        <is>
          <t>postpaid</t>
        </is>
      </c>
      <c r="E26" s="2" t="inlineStr">
        <is>
          <t>SP</t>
        </is>
      </c>
      <c r="F26" s="2" t="inlineStr">
        <is>
          <t>TIM Black Premium 110GB</t>
        </is>
      </c>
      <c r="G26" s="2" t="inlineStr">
        <is>
          <t>tim:54261</t>
        </is>
      </c>
      <c r="H26" s="3" t="n">
        <v>159.99</v>
      </c>
      <c r="I26" s="3" t="inlineStr"/>
      <c r="J26" s="2" t="inlineStr"/>
      <c r="K26" s="4" t="n">
        <v>110</v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>
        <is>
          <t>https://www.tim.com.br/sp/para-voce/planos/pos-pago/tim-black</t>
        </is>
      </c>
      <c r="T26" s="2" t="inlineStr">
        <is>
          <t>data/raw/tim_postpaid_SP.html</t>
        </is>
      </c>
    </row>
    <row r="27">
      <c r="A27" s="5" t="inlineStr">
        <is>
          <t>2026-06-22</t>
        </is>
      </c>
      <c r="B27" s="5" t="inlineStr">
        <is>
          <t>2026-06-22T18:35:49</t>
        </is>
      </c>
      <c r="C27" s="5" t="inlineStr">
        <is>
          <t>tim</t>
        </is>
      </c>
      <c r="D27" s="5" t="inlineStr">
        <is>
          <t>prepaid</t>
        </is>
      </c>
      <c r="E27" s="5" t="inlineStr">
        <is>
          <t>SP</t>
        </is>
      </c>
      <c r="F27" s="5" t="inlineStr">
        <is>
          <t>TIM Pré XIP Plus 16GB</t>
        </is>
      </c>
      <c r="G27" s="5" t="inlineStr">
        <is>
          <t>tim:106306</t>
        </is>
      </c>
      <c r="H27" s="6" t="n">
        <v>30</v>
      </c>
      <c r="I27" s="6" t="inlineStr"/>
      <c r="J27" s="5" t="inlineStr"/>
      <c r="K27" s="7" t="n">
        <v>16</v>
      </c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>
        <is>
          <t>https://www.tim.com.br/sp/para-voce/planos/pre-pago</t>
        </is>
      </c>
      <c r="T27" s="5" t="inlineStr">
        <is>
          <t>data/raw/tim_prepaid_SP.html</t>
        </is>
      </c>
    </row>
    <row r="28">
      <c r="A28" s="2" t="inlineStr">
        <is>
          <t>2026-06-22</t>
        </is>
      </c>
      <c r="B28" s="2" t="inlineStr">
        <is>
          <t>2026-06-22T18:35:49</t>
        </is>
      </c>
      <c r="C28" s="2" t="inlineStr">
        <is>
          <t>tim</t>
        </is>
      </c>
      <c r="D28" s="2" t="inlineStr">
        <is>
          <t>prepaid</t>
        </is>
      </c>
      <c r="E28" s="2" t="inlineStr">
        <is>
          <t>SP</t>
        </is>
      </c>
      <c r="F28" s="2" t="inlineStr">
        <is>
          <t>TIM Pré XIP Plus 6GB</t>
        </is>
      </c>
      <c r="G28" s="2" t="inlineStr">
        <is>
          <t>tim:59906</t>
        </is>
      </c>
      <c r="H28" s="3" t="n">
        <v>20</v>
      </c>
      <c r="I28" s="3" t="inlineStr"/>
      <c r="J28" s="2" t="inlineStr"/>
      <c r="K28" s="4" t="n">
        <v>6</v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>
        <is>
          <t>https://www.tim.com.br/sp/para-voce/planos/pre-pago</t>
        </is>
      </c>
      <c r="T28" s="2" t="inlineStr">
        <is>
          <t>data/raw/tim_prepaid_SP.html</t>
        </is>
      </c>
    </row>
    <row r="29">
      <c r="A29" s="5" t="inlineStr">
        <is>
          <t>2026-06-22</t>
        </is>
      </c>
      <c r="B29" s="5" t="inlineStr">
        <is>
          <t>2026-06-22T18:35:49</t>
        </is>
      </c>
      <c r="C29" s="5" t="inlineStr">
        <is>
          <t>tim</t>
        </is>
      </c>
      <c r="D29" s="5" t="inlineStr">
        <is>
          <t>prepaid</t>
        </is>
      </c>
      <c r="E29" s="5" t="inlineStr">
        <is>
          <t>SP</t>
        </is>
      </c>
      <c r="F29" s="5" t="inlineStr">
        <is>
          <t>TIM Pré XIP Plus 8GB</t>
        </is>
      </c>
      <c r="G29" s="5" t="inlineStr">
        <is>
          <t>tim:59901</t>
        </is>
      </c>
      <c r="H29" s="6" t="n">
        <v>25</v>
      </c>
      <c r="I29" s="6" t="inlineStr"/>
      <c r="J29" s="5" t="inlineStr"/>
      <c r="K29" s="7" t="n">
        <v>8</v>
      </c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>
        <is>
          <t>https://www.tim.com.br/sp/para-voce/planos/pre-pago</t>
        </is>
      </c>
      <c r="T29" s="5" t="inlineStr">
        <is>
          <t>data/raw/tim_prepaid_SP.html</t>
        </is>
      </c>
    </row>
    <row r="30">
      <c r="A30" s="2" t="inlineStr">
        <is>
          <t>2026-06-22</t>
        </is>
      </c>
      <c r="B30" s="2" t="inlineStr">
        <is>
          <t>2026-06-22T18:35:49</t>
        </is>
      </c>
      <c r="C30" s="2" t="inlineStr">
        <is>
          <t>vivo</t>
        </is>
      </c>
      <c r="D30" s="2" t="inlineStr">
        <is>
          <t>control</t>
        </is>
      </c>
      <c r="E30" s="2" t="inlineStr">
        <is>
          <t>SP</t>
        </is>
      </c>
      <c r="F30" s="2" t="inlineStr">
        <is>
          <t>Vivo Controle</t>
        </is>
      </c>
      <c r="G30" s="2" t="inlineStr">
        <is>
          <t>vivo:VIV202600029270-46gb</t>
        </is>
      </c>
      <c r="H30" s="3" t="n">
        <v>59</v>
      </c>
      <c r="I30" s="3" t="inlineStr"/>
      <c r="J30" s="2" t="inlineStr"/>
      <c r="K30" s="4" t="n">
        <v>46</v>
      </c>
      <c r="L30" s="2" t="inlineStr">
        <is>
          <t>15 GB de franquia 31 GB de bônus</t>
        </is>
      </c>
      <c r="M30" s="2" t="inlineStr"/>
      <c r="N30" s="2" t="inlineStr"/>
      <c r="O30" s="2" t="inlineStr"/>
      <c r="P30" s="2" t="inlineStr"/>
      <c r="Q30" s="2" t="inlineStr"/>
      <c r="R30" s="2" t="inlineStr">
        <is>
          <t>6 meses grátis de Gemini com AI Plus</t>
        </is>
      </c>
      <c r="S30" s="2" t="inlineStr">
        <is>
          <t>https://vivo.com.br/para-voce/produtos-e-servicos/para-o-celular/planos-controle</t>
        </is>
      </c>
      <c r="T30" s="2" t="inlineStr">
        <is>
          <t>data/raw/vivo_control_SP.html</t>
        </is>
      </c>
    </row>
    <row r="31">
      <c r="A31" s="5" t="inlineStr">
        <is>
          <t>2026-06-22</t>
        </is>
      </c>
      <c r="B31" s="5" t="inlineStr">
        <is>
          <t>2026-06-22T18:35:49</t>
        </is>
      </c>
      <c r="C31" s="5" t="inlineStr">
        <is>
          <t>vivo</t>
        </is>
      </c>
      <c r="D31" s="5" t="inlineStr">
        <is>
          <t>control</t>
        </is>
      </c>
      <c r="E31" s="5" t="inlineStr">
        <is>
          <t>SP</t>
        </is>
      </c>
      <c r="F31" s="5" t="inlineStr">
        <is>
          <t>Vivo Controle</t>
        </is>
      </c>
      <c r="G31" s="5" t="inlineStr">
        <is>
          <t>vivo:VIV202600029300-61gb</t>
        </is>
      </c>
      <c r="H31" s="6" t="n">
        <v>80</v>
      </c>
      <c r="I31" s="6" t="inlineStr"/>
      <c r="J31" s="5" t="inlineStr"/>
      <c r="K31" s="7" t="n">
        <v>61</v>
      </c>
      <c r="L31" s="5" t="inlineStr">
        <is>
          <t>20 GB de franquia 31 GB de bônus</t>
        </is>
      </c>
      <c r="M31" s="5" t="inlineStr"/>
      <c r="N31" s="5" t="inlineStr"/>
      <c r="O31" s="5" t="inlineStr"/>
      <c r="P31" s="5" t="inlineStr"/>
      <c r="Q31" s="5" t="inlineStr"/>
      <c r="R31" s="5" t="inlineStr">
        <is>
          <t>6 meses grátis de Gemini com AI Plus</t>
        </is>
      </c>
      <c r="S31" s="5" t="inlineStr">
        <is>
          <t>https://vivo.com.br/para-voce/produtos-e-servicos/para-o-celular/planos-controle</t>
        </is>
      </c>
      <c r="T31" s="5" t="inlineStr">
        <is>
          <t>data/raw/vivo_control_SP.html</t>
        </is>
      </c>
    </row>
    <row r="32">
      <c r="A32" s="2" t="inlineStr">
        <is>
          <t>2026-06-22</t>
        </is>
      </c>
      <c r="B32" s="2" t="inlineStr">
        <is>
          <t>2026-06-22T18:35:49</t>
        </is>
      </c>
      <c r="C32" s="2" t="inlineStr">
        <is>
          <t>vivo</t>
        </is>
      </c>
      <c r="D32" s="2" t="inlineStr">
        <is>
          <t>control</t>
        </is>
      </c>
      <c r="E32" s="2" t="inlineStr">
        <is>
          <t>SP</t>
        </is>
      </c>
      <c r="F32" s="2" t="inlineStr">
        <is>
          <t>Vivo Controle Educação</t>
        </is>
      </c>
      <c r="G32" s="2" t="inlineStr">
        <is>
          <t>vivo:VIV202600029273-61gb</t>
        </is>
      </c>
      <c r="H32" s="3" t="n">
        <v>90</v>
      </c>
      <c r="I32" s="3" t="inlineStr"/>
      <c r="J32" s="2" t="inlineStr"/>
      <c r="K32" s="4" t="n">
        <v>61</v>
      </c>
      <c r="L32" s="2" t="inlineStr">
        <is>
          <t>20 GB de franquia 31 GB de bônus</t>
        </is>
      </c>
      <c r="M32" s="2" t="inlineStr"/>
      <c r="N32" s="2" t="inlineStr"/>
      <c r="O32" s="2" t="inlineStr"/>
      <c r="P32" s="2" t="inlineStr"/>
      <c r="Q32" s="2" t="inlineStr"/>
      <c r="R32" s="2" t="inlineStr">
        <is>
          <t>Assinatura Vivae inclusa</t>
        </is>
      </c>
      <c r="S32" s="2" t="inlineStr">
        <is>
          <t>https://vivo.com.br/para-voce/produtos-e-servicos/para-o-celular/planos-controle</t>
        </is>
      </c>
      <c r="T32" s="2" t="inlineStr">
        <is>
          <t>data/raw/vivo_control_SP.html</t>
        </is>
      </c>
    </row>
    <row r="33">
      <c r="A33" s="5" t="inlineStr">
        <is>
          <t>2026-06-22</t>
        </is>
      </c>
      <c r="B33" s="5" t="inlineStr">
        <is>
          <t>2026-06-22T18:35:49</t>
        </is>
      </c>
      <c r="C33" s="5" t="inlineStr">
        <is>
          <t>vivo</t>
        </is>
      </c>
      <c r="D33" s="5" t="inlineStr">
        <is>
          <t>control</t>
        </is>
      </c>
      <c r="E33" s="5" t="inlineStr">
        <is>
          <t>SP</t>
        </is>
      </c>
      <c r="F33" s="5" t="inlineStr">
        <is>
          <t>Vivo Controle Entretenimento</t>
        </is>
      </c>
      <c r="G33" s="5" t="inlineStr">
        <is>
          <t>vivo:VIV202600029307-61gb</t>
        </is>
      </c>
      <c r="H33" s="6" t="n">
        <v>110</v>
      </c>
      <c r="I33" s="6" t="inlineStr"/>
      <c r="J33" s="5" t="inlineStr"/>
      <c r="K33" s="7" t="n">
        <v>61</v>
      </c>
      <c r="L33" s="5" t="inlineStr">
        <is>
          <t>20 GB de franquia 31 GB de bônus</t>
        </is>
      </c>
      <c r="M33" s="5" t="inlineStr"/>
      <c r="N33" s="5" t="inlineStr"/>
      <c r="O33" s="5" t="inlineStr"/>
      <c r="P33" s="5" t="inlineStr"/>
      <c r="Q33" s="5" t="inlineStr"/>
      <c r="R33" s="5" t="inlineStr">
        <is>
          <t>Assinatura Vivo TV Inicial inclusa</t>
        </is>
      </c>
      <c r="S33" s="5" t="inlineStr">
        <is>
          <t>https://vivo.com.br/para-voce/produtos-e-servicos/para-o-celular/planos-controle</t>
        </is>
      </c>
      <c r="T33" s="5" t="inlineStr">
        <is>
          <t>data/raw/vivo_control_SP.html</t>
        </is>
      </c>
    </row>
    <row r="34">
      <c r="A34" s="2" t="inlineStr">
        <is>
          <t>2026-06-22</t>
        </is>
      </c>
      <c r="B34" s="2" t="inlineStr">
        <is>
          <t>2026-06-22T18:35:49</t>
        </is>
      </c>
      <c r="C34" s="2" t="inlineStr">
        <is>
          <t>vivo</t>
        </is>
      </c>
      <c r="D34" s="2" t="inlineStr">
        <is>
          <t>control</t>
        </is>
      </c>
      <c r="E34" s="2" t="inlineStr">
        <is>
          <t>SP</t>
        </is>
      </c>
      <c r="F34" s="2" t="inlineStr">
        <is>
          <t>Vivo Controle Música</t>
        </is>
      </c>
      <c r="G34" s="2" t="inlineStr">
        <is>
          <t>vivo:VIV202600029313-61gb</t>
        </is>
      </c>
      <c r="H34" s="3" t="n">
        <v>95</v>
      </c>
      <c r="I34" s="3" t="inlineStr"/>
      <c r="J34" s="2" t="inlineStr"/>
      <c r="K34" s="4" t="n">
        <v>61</v>
      </c>
      <c r="L34" s="2" t="inlineStr">
        <is>
          <t>20 GB de franquia 31 GB de bônus</t>
        </is>
      </c>
      <c r="M34" s="2" t="inlineStr"/>
      <c r="N34" s="2" t="inlineStr"/>
      <c r="O34" s="2" t="inlineStr"/>
      <c r="P34" s="2" t="inlineStr"/>
      <c r="Q34" s="2" t="inlineStr"/>
      <c r="R34" s="2" t="inlineStr">
        <is>
          <t>Apple Music Individual</t>
        </is>
      </c>
      <c r="S34" s="2" t="inlineStr">
        <is>
          <t>https://vivo.com.br/para-voce/produtos-e-servicos/para-o-celular/planos-controle</t>
        </is>
      </c>
      <c r="T34" s="2" t="inlineStr">
        <is>
          <t>data/raw/vivo_control_SP.html</t>
        </is>
      </c>
    </row>
    <row r="35">
      <c r="A35" s="5" t="inlineStr">
        <is>
          <t>2026-06-22</t>
        </is>
      </c>
      <c r="B35" s="5" t="inlineStr">
        <is>
          <t>2026-06-22T18:35:49</t>
        </is>
      </c>
      <c r="C35" s="5" t="inlineStr">
        <is>
          <t>vivo</t>
        </is>
      </c>
      <c r="D35" s="5" t="inlineStr">
        <is>
          <t>control</t>
        </is>
      </c>
      <c r="E35" s="5" t="inlineStr">
        <is>
          <t>SP</t>
        </is>
      </c>
      <c r="F35" s="5" t="inlineStr">
        <is>
          <t>Vivo Controle Netflix</t>
        </is>
      </c>
      <c r="G35" s="5" t="inlineStr">
        <is>
          <t>vivo:VIV202600029308-61gb</t>
        </is>
      </c>
      <c r="H35" s="6" t="n">
        <v>95</v>
      </c>
      <c r="I35" s="6" t="inlineStr"/>
      <c r="J35" s="5" t="inlineStr"/>
      <c r="K35" s="7" t="n">
        <v>61</v>
      </c>
      <c r="L35" s="5" t="inlineStr">
        <is>
          <t>20 GB de franquia 31 GB de bônus</t>
        </is>
      </c>
      <c r="M35" s="5" t="inlineStr"/>
      <c r="N35" s="5" t="inlineStr"/>
      <c r="O35" s="5" t="inlineStr"/>
      <c r="P35" s="5" t="inlineStr"/>
      <c r="Q35" s="5" t="inlineStr"/>
      <c r="R35" s="5" t="inlineStr">
        <is>
          <t>Assinatura Netflix Padrão com anúncios</t>
        </is>
      </c>
      <c r="S35" s="5" t="inlineStr">
        <is>
          <t>https://vivo.com.br/para-voce/produtos-e-servicos/para-o-celular/planos-controle</t>
        </is>
      </c>
      <c r="T35" s="5" t="inlineStr">
        <is>
          <t>data/raw/vivo_control_SP.html</t>
        </is>
      </c>
    </row>
    <row r="36">
      <c r="A36" s="2" t="inlineStr">
        <is>
          <t>2026-06-22</t>
        </is>
      </c>
      <c r="B36" s="2" t="inlineStr">
        <is>
          <t>2026-06-22T18:35:49</t>
        </is>
      </c>
      <c r="C36" s="2" t="inlineStr">
        <is>
          <t>vivo</t>
        </is>
      </c>
      <c r="D36" s="2" t="inlineStr">
        <is>
          <t>control</t>
        </is>
      </c>
      <c r="E36" s="2" t="inlineStr">
        <is>
          <t>SP</t>
        </is>
      </c>
      <c r="F36" s="2" t="inlineStr">
        <is>
          <t>Vivo Controle Saúde</t>
        </is>
      </c>
      <c r="G36" s="2" t="inlineStr">
        <is>
          <t>vivo:VIV202600029301-61gb</t>
        </is>
      </c>
      <c r="H36" s="3" t="n">
        <v>90</v>
      </c>
      <c r="I36" s="3" t="inlineStr"/>
      <c r="J36" s="2" t="inlineStr"/>
      <c r="K36" s="4" t="n">
        <v>61</v>
      </c>
      <c r="L36" s="2" t="inlineStr">
        <is>
          <t>20 GB de franquia 31 GB de bônus</t>
        </is>
      </c>
      <c r="M36" s="2" t="inlineStr"/>
      <c r="N36" s="2" t="inlineStr"/>
      <c r="O36" s="2" t="inlineStr"/>
      <c r="P36" s="2" t="inlineStr"/>
      <c r="Q36" s="2" t="inlineStr"/>
      <c r="R36" s="2" t="inlineStr">
        <is>
          <t>Assinatura Vale Saúde Sempre inclusa</t>
        </is>
      </c>
      <c r="S36" s="2" t="inlineStr">
        <is>
          <t>https://vivo.com.br/para-voce/produtos-e-servicos/para-o-celular/planos-controle</t>
        </is>
      </c>
      <c r="T36" s="2" t="inlineStr">
        <is>
          <t>data/raw/vivo_control_SP.html</t>
        </is>
      </c>
    </row>
    <row r="37">
      <c r="A37" s="5" t="inlineStr">
        <is>
          <t>2026-06-22</t>
        </is>
      </c>
      <c r="B37" s="5" t="inlineStr">
        <is>
          <t>2026-06-22T18:35:49</t>
        </is>
      </c>
      <c r="C37" s="5" t="inlineStr">
        <is>
          <t>vivo</t>
        </is>
      </c>
      <c r="D37" s="5" t="inlineStr">
        <is>
          <t>lite</t>
        </is>
      </c>
      <c r="E37" s="5" t="inlineStr">
        <is>
          <t>SP</t>
        </is>
      </c>
      <c r="F37" s="5" t="inlineStr">
        <is>
          <t>Easy Lite</t>
        </is>
      </c>
      <c r="G37" s="5" t="inlineStr">
        <is>
          <t>vivo:VIV202600005312-30gb</t>
        </is>
      </c>
      <c r="H37" s="6" t="n">
        <v>30</v>
      </c>
      <c r="I37" s="6" t="inlineStr"/>
      <c r="J37" s="5" t="inlineStr"/>
      <c r="K37" s="7" t="n">
        <v>30</v>
      </c>
      <c r="L37" s="5" t="inlineStr">
        <is>
          <t>30 GB de franquia 2 Meses de YouTube ilimitado</t>
        </is>
      </c>
      <c r="M37" s="5" t="inlineStr"/>
      <c r="N37" s="5" t="inlineStr"/>
      <c r="O37" s="5" t="inlineStr"/>
      <c r="P37" s="5" t="inlineStr"/>
      <c r="Q37" s="5" t="inlineStr"/>
      <c r="R37" s="5" t="inlineStr"/>
      <c r="S37" s="5" t="inlineStr">
        <is>
          <t>https://vivo.com.br/para-voce/produtos-e-servicos/para-o-celular/easy-lite</t>
        </is>
      </c>
      <c r="T37" s="5" t="inlineStr">
        <is>
          <t>data/raw/vivo_lite_SP.html</t>
        </is>
      </c>
    </row>
    <row r="38">
      <c r="A38" s="2" t="inlineStr">
        <is>
          <t>2026-06-22</t>
        </is>
      </c>
      <c r="B38" s="2" t="inlineStr">
        <is>
          <t>2026-06-22T18:35:49</t>
        </is>
      </c>
      <c r="C38" s="2" t="inlineStr">
        <is>
          <t>vivo</t>
        </is>
      </c>
      <c r="D38" s="2" t="inlineStr">
        <is>
          <t>lite</t>
        </is>
      </c>
      <c r="E38" s="2" t="inlineStr">
        <is>
          <t>SP</t>
        </is>
      </c>
      <c r="F38" s="2" t="inlineStr">
        <is>
          <t>Easy Lite</t>
        </is>
      </c>
      <c r="G38" s="2" t="inlineStr">
        <is>
          <t>vivo:VIV202600019134-40gb</t>
        </is>
      </c>
      <c r="H38" s="3" t="n">
        <v>40</v>
      </c>
      <c r="I38" s="3" t="inlineStr"/>
      <c r="J38" s="2" t="inlineStr"/>
      <c r="K38" s="4" t="n">
        <v>40</v>
      </c>
      <c r="L38" s="2" t="inlineStr">
        <is>
          <t>40 GB de franquia 2 Meses de YouTube ilimitado</t>
        </is>
      </c>
      <c r="M38" s="2" t="inlineStr"/>
      <c r="N38" s="2" t="inlineStr"/>
      <c r="O38" s="2" t="inlineStr"/>
      <c r="P38" s="2" t="inlineStr"/>
      <c r="Q38" s="2" t="inlineStr"/>
      <c r="R38" s="2" t="inlineStr"/>
      <c r="S38" s="2" t="inlineStr">
        <is>
          <t>https://vivo.com.br/para-voce/produtos-e-servicos/para-o-celular/easy-lite</t>
        </is>
      </c>
      <c r="T38" s="2" t="inlineStr">
        <is>
          <t>data/raw/vivo_lite_SP.html</t>
        </is>
      </c>
    </row>
    <row r="39">
      <c r="A39" s="5" t="inlineStr">
        <is>
          <t>2026-06-22</t>
        </is>
      </c>
      <c r="B39" s="5" t="inlineStr">
        <is>
          <t>2026-06-22T18:35:49</t>
        </is>
      </c>
      <c r="C39" s="5" t="inlineStr">
        <is>
          <t>vivo</t>
        </is>
      </c>
      <c r="D39" s="5" t="inlineStr">
        <is>
          <t>lite</t>
        </is>
      </c>
      <c r="E39" s="5" t="inlineStr">
        <is>
          <t>SP</t>
        </is>
      </c>
      <c r="F39" s="5" t="inlineStr">
        <is>
          <t>Easy Lite</t>
        </is>
      </c>
      <c r="G39" s="5" t="inlineStr">
        <is>
          <t>vivo:VIV202600019132-20gb</t>
        </is>
      </c>
      <c r="H39" s="6" t="n">
        <v>35</v>
      </c>
      <c r="I39" s="6" t="inlineStr"/>
      <c r="J39" s="5" t="inlineStr"/>
      <c r="K39" s="7" t="n">
        <v>20</v>
      </c>
      <c r="L39" s="5" t="inlineStr">
        <is>
          <t>20 GB de franquia 2 Meses de YouTube ilimitado</t>
        </is>
      </c>
      <c r="M39" s="5" t="inlineStr"/>
      <c r="N39" s="5" t="inlineStr"/>
      <c r="O39" s="5" t="inlineStr"/>
      <c r="P39" s="5" t="inlineStr"/>
      <c r="Q39" s="5" t="inlineStr"/>
      <c r="R39" s="5" t="inlineStr"/>
      <c r="S39" s="5" t="inlineStr">
        <is>
          <t>https://vivo.com.br/para-voce/produtos-e-servicos/para-o-celular/easy-lite</t>
        </is>
      </c>
      <c r="T39" s="5" t="inlineStr">
        <is>
          <t>data/raw/vivo_lite_SP.html</t>
        </is>
      </c>
    </row>
    <row r="40">
      <c r="A40" s="2" t="inlineStr">
        <is>
          <t>2026-06-22</t>
        </is>
      </c>
      <c r="B40" s="2" t="inlineStr">
        <is>
          <t>2026-06-22T18:35:49</t>
        </is>
      </c>
      <c r="C40" s="2" t="inlineStr">
        <is>
          <t>vivo</t>
        </is>
      </c>
      <c r="D40" s="2" t="inlineStr">
        <is>
          <t>lite</t>
        </is>
      </c>
      <c r="E40" s="2" t="inlineStr">
        <is>
          <t>SP</t>
        </is>
      </c>
      <c r="F40" s="2" t="inlineStr">
        <is>
          <t>Easy Lite</t>
        </is>
      </c>
      <c r="G40" s="2" t="inlineStr">
        <is>
          <t>vivo:VIV202600019127-30gb</t>
        </is>
      </c>
      <c r="H40" s="3" t="n">
        <v>40</v>
      </c>
      <c r="I40" s="3" t="inlineStr"/>
      <c r="J40" s="2" t="inlineStr"/>
      <c r="K40" s="4" t="n">
        <v>30</v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>
        <is>
          <t>https://vivo.com.br/para-voce/produtos-e-servicos/para-o-celular/easy-lite</t>
        </is>
      </c>
      <c r="T40" s="2" t="inlineStr">
        <is>
          <t>data/raw/vivo_lite_SP.html</t>
        </is>
      </c>
    </row>
    <row r="41">
      <c r="A41" s="5" t="inlineStr">
        <is>
          <t>2026-06-22</t>
        </is>
      </c>
      <c r="B41" s="5" t="inlineStr">
        <is>
          <t>2026-06-22T18:35:49</t>
        </is>
      </c>
      <c r="C41" s="5" t="inlineStr">
        <is>
          <t>vivo</t>
        </is>
      </c>
      <c r="D41" s="5" t="inlineStr">
        <is>
          <t>lite</t>
        </is>
      </c>
      <c r="E41" s="5" t="inlineStr">
        <is>
          <t>SP</t>
        </is>
      </c>
      <c r="F41" s="5" t="inlineStr">
        <is>
          <t>Easy Lite</t>
        </is>
      </c>
      <c r="G41" s="5" t="inlineStr">
        <is>
          <t>vivo:VIV202600019129-40gb</t>
        </is>
      </c>
      <c r="H41" s="6" t="n">
        <v>50</v>
      </c>
      <c r="I41" s="6" t="inlineStr"/>
      <c r="J41" s="5" t="inlineStr"/>
      <c r="K41" s="7" t="n">
        <v>40</v>
      </c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>
        <is>
          <t>https://vivo.com.br/para-voce/produtos-e-servicos/para-o-celular/easy-lite</t>
        </is>
      </c>
      <c r="T41" s="5" t="inlineStr">
        <is>
          <t>data/raw/vivo_lite_SP.html</t>
        </is>
      </c>
    </row>
    <row r="42">
      <c r="A42" s="2" t="inlineStr">
        <is>
          <t>2026-06-22</t>
        </is>
      </c>
      <c r="B42" s="2" t="inlineStr">
        <is>
          <t>2026-06-22T18:35:49</t>
        </is>
      </c>
      <c r="C42" s="2" t="inlineStr">
        <is>
          <t>vivo</t>
        </is>
      </c>
      <c r="D42" s="2" t="inlineStr">
        <is>
          <t>postpaid</t>
        </is>
      </c>
      <c r="E42" s="2" t="inlineStr">
        <is>
          <t>SP</t>
        </is>
      </c>
      <c r="F42" s="2" t="inlineStr">
        <is>
          <t>Vivo Pós com Amazon</t>
        </is>
      </c>
      <c r="G42" s="2" t="inlineStr">
        <is>
          <t>vivo:VIV202600029255-60gb</t>
        </is>
      </c>
      <c r="H42" s="3" t="n">
        <v>150</v>
      </c>
      <c r="I42" s="3" t="inlineStr"/>
      <c r="J42" s="2" t="inlineStr"/>
      <c r="K42" s="4" t="n">
        <v>60</v>
      </c>
      <c r="L42" s="2" t="inlineStr">
        <is>
          <t>50 GB de franquia 10 GB de bônus</t>
        </is>
      </c>
      <c r="M42" s="2" t="inlineStr"/>
      <c r="N42" s="2" t="inlineStr"/>
      <c r="O42" s="2" t="inlineStr"/>
      <c r="P42" s="2" t="inlineStr"/>
      <c r="Q42" s="2" t="inlineStr"/>
      <c r="R42" s="2" t="inlineStr">
        <is>
          <t>Assinatura Amazon Prime inclusa</t>
        </is>
      </c>
      <c r="S42" s="2" t="inlineStr">
        <is>
          <t>https://vivo.com.br/para-voce/produtos-e-servicos/para-o-celular/planos-pos-pago</t>
        </is>
      </c>
      <c r="T42" s="2" t="inlineStr">
        <is>
          <t>data/raw/vivo_postpaid_SP.html</t>
        </is>
      </c>
    </row>
    <row r="43">
      <c r="A43" s="5" t="inlineStr">
        <is>
          <t>2026-06-22</t>
        </is>
      </c>
      <c r="B43" s="5" t="inlineStr">
        <is>
          <t>2026-06-22T18:35:49</t>
        </is>
      </c>
      <c r="C43" s="5" t="inlineStr">
        <is>
          <t>vivo</t>
        </is>
      </c>
      <c r="D43" s="5" t="inlineStr">
        <is>
          <t>postpaid</t>
        </is>
      </c>
      <c r="E43" s="5" t="inlineStr">
        <is>
          <t>SP</t>
        </is>
      </c>
      <c r="F43" s="5" t="inlineStr">
        <is>
          <t>Vivo Pós com Disney+</t>
        </is>
      </c>
      <c r="G43" s="5" t="inlineStr">
        <is>
          <t>vivo:VIV202600022115-60gb</t>
        </is>
      </c>
      <c r="H43" s="6" t="n">
        <v>180</v>
      </c>
      <c r="I43" s="6" t="inlineStr"/>
      <c r="J43" s="5" t="inlineStr"/>
      <c r="K43" s="7" t="n">
        <v>60</v>
      </c>
      <c r="L43" s="5" t="inlineStr">
        <is>
          <t>50 GB de franquia 10 GB de bônus</t>
        </is>
      </c>
      <c r="M43" s="5" t="inlineStr"/>
      <c r="N43" s="5" t="inlineStr"/>
      <c r="O43" s="5" t="inlineStr"/>
      <c r="P43" s="5" t="inlineStr">
        <is>
          <t>Disney+</t>
        </is>
      </c>
      <c r="Q43" s="5" t="inlineStr"/>
      <c r="R43" s="5" t="inlineStr">
        <is>
          <t>Assinatura Disney+ Padrão inclusa</t>
        </is>
      </c>
      <c r="S43" s="5" t="inlineStr">
        <is>
          <t>https://vivo.com.br/para-voce/produtos-e-servicos/para-o-celular/planos-pos-pago</t>
        </is>
      </c>
      <c r="T43" s="5" t="inlineStr">
        <is>
          <t>data/raw/vivo_postpaid_SP.html</t>
        </is>
      </c>
    </row>
    <row r="44">
      <c r="A44" s="2" t="inlineStr">
        <is>
          <t>2026-06-22</t>
        </is>
      </c>
      <c r="B44" s="2" t="inlineStr">
        <is>
          <t>2026-06-22T18:35:49</t>
        </is>
      </c>
      <c r="C44" s="2" t="inlineStr">
        <is>
          <t>vivo</t>
        </is>
      </c>
      <c r="D44" s="2" t="inlineStr">
        <is>
          <t>postpaid</t>
        </is>
      </c>
      <c r="E44" s="2" t="inlineStr">
        <is>
          <t>SP</t>
        </is>
      </c>
      <c r="F44" s="2" t="inlineStr">
        <is>
          <t>Vivo Pós com Globoplay</t>
        </is>
      </c>
      <c r="G44" s="2" t="inlineStr">
        <is>
          <t>vivo:VIV202600029246-60gb</t>
        </is>
      </c>
      <c r="H44" s="3" t="n">
        <v>165</v>
      </c>
      <c r="I44" s="3" t="inlineStr"/>
      <c r="J44" s="2" t="inlineStr"/>
      <c r="K44" s="4" t="n">
        <v>60</v>
      </c>
      <c r="L44" s="2" t="inlineStr">
        <is>
          <t>50 GB de franquia 10 GB de bônus</t>
        </is>
      </c>
      <c r="M44" s="2" t="inlineStr"/>
      <c r="N44" s="2" t="inlineStr"/>
      <c r="O44" s="2" t="inlineStr"/>
      <c r="P44" s="2" t="inlineStr">
        <is>
          <t>Globoplay</t>
        </is>
      </c>
      <c r="Q44" s="2" t="inlineStr"/>
      <c r="R44" s="2" t="inlineStr">
        <is>
          <t>Assinatura Globoplay inclusa</t>
        </is>
      </c>
      <c r="S44" s="2" t="inlineStr">
        <is>
          <t>https://vivo.com.br/para-voce/produtos-e-servicos/para-o-celular/planos-pos-pago</t>
        </is>
      </c>
      <c r="T44" s="2" t="inlineStr">
        <is>
          <t>data/raw/vivo_postpaid_SP.html</t>
        </is>
      </c>
    </row>
    <row r="45">
      <c r="A45" s="5" t="inlineStr">
        <is>
          <t>2026-06-22</t>
        </is>
      </c>
      <c r="B45" s="5" t="inlineStr">
        <is>
          <t>2026-06-22T18:35:49</t>
        </is>
      </c>
      <c r="C45" s="5" t="inlineStr">
        <is>
          <t>vivo</t>
        </is>
      </c>
      <c r="D45" s="5" t="inlineStr">
        <is>
          <t>postpaid</t>
        </is>
      </c>
      <c r="E45" s="5" t="inlineStr">
        <is>
          <t>SP</t>
        </is>
      </c>
      <c r="F45" s="5" t="inlineStr">
        <is>
          <t>Vivo Pós com Netflix</t>
        </is>
      </c>
      <c r="G45" s="5" t="inlineStr">
        <is>
          <t>vivo:VIV202600029234-60gb</t>
        </is>
      </c>
      <c r="H45" s="6" t="n">
        <v>180</v>
      </c>
      <c r="I45" s="6" t="inlineStr"/>
      <c r="J45" s="5" t="inlineStr"/>
      <c r="K45" s="7" t="n">
        <v>60</v>
      </c>
      <c r="L45" s="5" t="inlineStr">
        <is>
          <t>50 GB de franquia 10 GB de bônus</t>
        </is>
      </c>
      <c r="M45" s="5" t="inlineStr"/>
      <c r="N45" s="5" t="inlineStr"/>
      <c r="O45" s="5" t="inlineStr"/>
      <c r="P45" s="5" t="inlineStr">
        <is>
          <t>Netflix</t>
        </is>
      </c>
      <c r="Q45" s="5" t="inlineStr"/>
      <c r="R45" s="5" t="inlineStr">
        <is>
          <t>Assinatura Netflix Padrão inclusa</t>
        </is>
      </c>
      <c r="S45" s="5" t="inlineStr">
        <is>
          <t>https://vivo.com.br/para-voce/produtos-e-servicos/para-o-celular/planos-pos-pago</t>
        </is>
      </c>
      <c r="T45" s="5" t="inlineStr">
        <is>
          <t>data/raw/vivo_postpaid_SP.html</t>
        </is>
      </c>
    </row>
    <row r="46">
      <c r="A46" s="2" t="inlineStr">
        <is>
          <t>2026-06-22</t>
        </is>
      </c>
      <c r="B46" s="2" t="inlineStr">
        <is>
          <t>2026-06-22T18:35:49</t>
        </is>
      </c>
      <c r="C46" s="2" t="inlineStr">
        <is>
          <t>vivo</t>
        </is>
      </c>
      <c r="D46" s="2" t="inlineStr">
        <is>
          <t>postpaid</t>
        </is>
      </c>
      <c r="E46" s="2" t="inlineStr">
        <is>
          <t>SP</t>
        </is>
      </c>
      <c r="F46" s="2" t="inlineStr">
        <is>
          <t>Vivo Pós com Premiere</t>
        </is>
      </c>
      <c r="G46" s="2" t="inlineStr">
        <is>
          <t>vivo:VIV202600029249-60gb</t>
        </is>
      </c>
      <c r="H46" s="3" t="n">
        <v>180</v>
      </c>
      <c r="I46" s="3" t="inlineStr"/>
      <c r="J46" s="2" t="inlineStr"/>
      <c r="K46" s="4" t="n">
        <v>60</v>
      </c>
      <c r="L46" s="2" t="inlineStr">
        <is>
          <t>50 GB de franquia 10 GB de bônus</t>
        </is>
      </c>
      <c r="M46" s="2" t="inlineStr"/>
      <c r="N46" s="2" t="inlineStr"/>
      <c r="O46" s="2" t="inlineStr"/>
      <c r="P46" s="2" t="inlineStr">
        <is>
          <t>Premiere</t>
        </is>
      </c>
      <c r="Q46" s="2" t="inlineStr"/>
      <c r="R46" s="2" t="inlineStr">
        <is>
          <t>Assinatura Premiere inclusa</t>
        </is>
      </c>
      <c r="S46" s="2" t="inlineStr">
        <is>
          <t>https://vivo.com.br/para-voce/produtos-e-servicos/para-o-celular/planos-pos-pago</t>
        </is>
      </c>
      <c r="T46" s="2" t="inlineStr">
        <is>
          <t>data/raw/vivo_postpaid_SP.html</t>
        </is>
      </c>
    </row>
    <row r="47">
      <c r="A47" s="5" t="inlineStr">
        <is>
          <t>2026-06-22</t>
        </is>
      </c>
      <c r="B47" s="5" t="inlineStr">
        <is>
          <t>2026-06-22T18:35:49</t>
        </is>
      </c>
      <c r="C47" s="5" t="inlineStr">
        <is>
          <t>vivo</t>
        </is>
      </c>
      <c r="D47" s="5" t="inlineStr">
        <is>
          <t>postpaid</t>
        </is>
      </c>
      <c r="E47" s="5" t="inlineStr">
        <is>
          <t>SP</t>
        </is>
      </c>
      <c r="F47" s="5" t="inlineStr">
        <is>
          <t>Vivo Pós com Spotify</t>
        </is>
      </c>
      <c r="G47" s="5" t="inlineStr">
        <is>
          <t>vivo:VIV202600029229-60gb</t>
        </is>
      </c>
      <c r="H47" s="6" t="n">
        <v>165</v>
      </c>
      <c r="I47" s="6" t="inlineStr"/>
      <c r="J47" s="5" t="inlineStr"/>
      <c r="K47" s="7" t="n">
        <v>60</v>
      </c>
      <c r="L47" s="5" t="inlineStr">
        <is>
          <t>50 GB de franquia 10 GB de bônus</t>
        </is>
      </c>
      <c r="M47" s="5" t="inlineStr"/>
      <c r="N47" s="5" t="inlineStr"/>
      <c r="O47" s="5" t="inlineStr"/>
      <c r="P47" s="5" t="inlineStr">
        <is>
          <t>Spotify</t>
        </is>
      </c>
      <c r="Q47" s="5" t="inlineStr"/>
      <c r="R47" s="5" t="inlineStr">
        <is>
          <t>Assinatura Spotify Premium inclusa</t>
        </is>
      </c>
      <c r="S47" s="5" t="inlineStr">
        <is>
          <t>https://vivo.com.br/para-voce/produtos-e-servicos/para-o-celular/planos-pos-pago</t>
        </is>
      </c>
      <c r="T47" s="5" t="inlineStr">
        <is>
          <t>data/raw/vivo_postpaid_SP.html</t>
        </is>
      </c>
    </row>
    <row r="48">
      <c r="A48" s="2" t="inlineStr">
        <is>
          <t>2026-06-22</t>
        </is>
      </c>
      <c r="B48" s="2" t="inlineStr">
        <is>
          <t>2026-06-22T18:35:49</t>
        </is>
      </c>
      <c r="C48" s="2" t="inlineStr">
        <is>
          <t>vivo</t>
        </is>
      </c>
      <c r="D48" s="2" t="inlineStr">
        <is>
          <t>postpaid</t>
        </is>
      </c>
      <c r="E48" s="2" t="inlineStr">
        <is>
          <t>SP</t>
        </is>
      </c>
      <c r="F48" s="2" t="inlineStr">
        <is>
          <t>Vivo Pós com Travel</t>
        </is>
      </c>
      <c r="G48" s="2" t="inlineStr">
        <is>
          <t>vivo:VIV202600029244-70gb</t>
        </is>
      </c>
      <c r="H48" s="3" t="n">
        <v>215</v>
      </c>
      <c r="I48" s="3" t="inlineStr"/>
      <c r="J48" s="2" t="inlineStr"/>
      <c r="K48" s="4" t="n">
        <v>70</v>
      </c>
      <c r="L48" s="2" t="inlineStr">
        <is>
          <t>60 GB de franquia 10 GB de bônus</t>
        </is>
      </c>
      <c r="M48" s="2" t="inlineStr"/>
      <c r="N48" s="2" t="inlineStr"/>
      <c r="O48" s="2" t="inlineStr"/>
      <c r="P48" s="2" t="inlineStr"/>
      <c r="Q48" s="2" t="inlineStr"/>
      <c r="R48" s="2" t="inlineStr">
        <is>
          <t>6 meses grátis de Gemini com AI Plus</t>
        </is>
      </c>
      <c r="S48" s="2" t="inlineStr">
        <is>
          <t>https://vivo.com.br/para-voce/produtos-e-servicos/para-o-celular/planos-pos-pago</t>
        </is>
      </c>
      <c r="T48" s="2" t="inlineStr">
        <is>
          <t>data/raw/vivo_postpaid_SP.html</t>
        </is>
      </c>
    </row>
    <row r="49">
      <c r="A49" s="5" t="inlineStr">
        <is>
          <t>2026-06-22</t>
        </is>
      </c>
      <c r="B49" s="5" t="inlineStr">
        <is>
          <t>2026-06-22T18:35:49</t>
        </is>
      </c>
      <c r="C49" s="5" t="inlineStr">
        <is>
          <t>vivo</t>
        </is>
      </c>
      <c r="D49" s="5" t="inlineStr">
        <is>
          <t>prepaid</t>
        </is>
      </c>
      <c r="E49" s="5" t="inlineStr">
        <is>
          <t>SP</t>
        </is>
      </c>
      <c r="F49" s="5" t="inlineStr">
        <is>
          <t>Vivo Pré</t>
        </is>
      </c>
      <c r="G49" s="5" t="inlineStr">
        <is>
          <t>vivo:VIV202600022379-25gb</t>
        </is>
      </c>
      <c r="H49" s="6" t="n">
        <v>30</v>
      </c>
      <c r="I49" s="6" t="inlineStr"/>
      <c r="J49" s="5" t="inlineStr"/>
      <c r="K49" s="7" t="n">
        <v>25</v>
      </c>
      <c r="L49" s="5" t="inlineStr">
        <is>
          <t>15 GB para navegar como quiser 5 GB de bônus 5 GB para navegar no Youtube</t>
        </is>
      </c>
      <c r="M49" s="5" t="inlineStr"/>
      <c r="N49" s="5" t="inlineStr"/>
      <c r="O49" s="5" t="inlineStr"/>
      <c r="P49" s="5" t="inlineStr"/>
      <c r="Q49" s="5" t="inlineStr"/>
      <c r="R49" s="5" t="inlineStr"/>
      <c r="S49" s="5" t="inlineStr">
        <is>
          <t>https://vivo.com.br/para-voce/produtos-e-servicos/para-o-celular/pre-pago/vivo-pre</t>
        </is>
      </c>
      <c r="T49" s="5" t="inlineStr">
        <is>
          <t>data/raw/vivo_prepaid_SP.html</t>
        </is>
      </c>
    </row>
    <row r="50">
      <c r="A50" s="2" t="inlineStr">
        <is>
          <t>2026-06-22</t>
        </is>
      </c>
      <c r="B50" s="2" t="inlineStr">
        <is>
          <t>2026-06-22T18:35:49</t>
        </is>
      </c>
      <c r="C50" s="2" t="inlineStr">
        <is>
          <t>vivo</t>
        </is>
      </c>
      <c r="D50" s="2" t="inlineStr">
        <is>
          <t>prepaid</t>
        </is>
      </c>
      <c r="E50" s="2" t="inlineStr">
        <is>
          <t>SP</t>
        </is>
      </c>
      <c r="F50" s="2" t="inlineStr">
        <is>
          <t>Vivo Pré</t>
        </is>
      </c>
      <c r="G50" s="2" t="inlineStr">
        <is>
          <t>vivo:VIV202600022379-9gb</t>
        </is>
      </c>
      <c r="H50" s="3" t="n">
        <v>25</v>
      </c>
      <c r="I50" s="3" t="inlineStr"/>
      <c r="J50" s="2" t="inlineStr"/>
      <c r="K50" s="4" t="n">
        <v>9</v>
      </c>
      <c r="L50" s="2" t="inlineStr">
        <is>
          <t>6 GB para navegar como quiser 3 GB para navegar no YouTube</t>
        </is>
      </c>
      <c r="M50" s="2" t="inlineStr"/>
      <c r="N50" s="2" t="inlineStr"/>
      <c r="O50" s="2" t="inlineStr"/>
      <c r="P50" s="2" t="inlineStr"/>
      <c r="Q50" s="2" t="inlineStr"/>
      <c r="R50" s="2" t="inlineStr"/>
      <c r="S50" s="2" t="inlineStr">
        <is>
          <t>https://vivo.com.br/para-voce/produtos-e-servicos/para-o-celular/pre-pago/vivo-pre</t>
        </is>
      </c>
      <c r="T50" s="2" t="inlineStr">
        <is>
          <t>data/raw/vivo_prepaid_SP.html</t>
        </is>
      </c>
    </row>
    <row r="51">
      <c r="A51" s="5" t="inlineStr">
        <is>
          <t>2026-06-22</t>
        </is>
      </c>
      <c r="B51" s="5" t="inlineStr">
        <is>
          <t>2026-06-22T18:35:49</t>
        </is>
      </c>
      <c r="C51" s="5" t="inlineStr">
        <is>
          <t>vivo</t>
        </is>
      </c>
      <c r="D51" s="5" t="inlineStr">
        <is>
          <t>prepaid</t>
        </is>
      </c>
      <c r="E51" s="5" t="inlineStr">
        <is>
          <t>SP</t>
        </is>
      </c>
      <c r="F51" s="5" t="inlineStr">
        <is>
          <t>Vivo Pré</t>
        </is>
      </c>
      <c r="G51" s="5" t="inlineStr">
        <is>
          <t>vivo:VIV202600022379-5gb</t>
        </is>
      </c>
      <c r="H51" s="6" t="n">
        <v>20</v>
      </c>
      <c r="I51" s="6" t="inlineStr"/>
      <c r="J51" s="5" t="inlineStr"/>
      <c r="K51" s="7" t="n">
        <v>5</v>
      </c>
      <c r="L51" s="5" t="inlineStr">
        <is>
          <t>5 GB para navegar como quiser</t>
        </is>
      </c>
      <c r="M51" s="5" t="inlineStr"/>
      <c r="N51" s="5" t="inlineStr"/>
      <c r="O51" s="5" t="inlineStr"/>
      <c r="P51" s="5" t="inlineStr"/>
      <c r="Q51" s="5" t="inlineStr"/>
      <c r="R51" s="5" t="inlineStr"/>
      <c r="S51" s="5" t="inlineStr">
        <is>
          <t>https://vivo.com.br/para-voce/produtos-e-servicos/para-o-celular/pre-pago/vivo-pre</t>
        </is>
      </c>
      <c r="T51" s="5" t="inlineStr">
        <is>
          <t>data/raw/vivo_prepaid_SP.html</t>
        </is>
      </c>
    </row>
    <row r="52">
      <c r="A52" s="2" t="inlineStr">
        <is>
          <t>2026-06-22</t>
        </is>
      </c>
      <c r="B52" s="2" t="inlineStr">
        <is>
          <t>2026-06-22T18:35:49</t>
        </is>
      </c>
      <c r="C52" s="2" t="inlineStr">
        <is>
          <t>vivo</t>
        </is>
      </c>
      <c r="D52" s="2" t="inlineStr">
        <is>
          <t>prepaid</t>
        </is>
      </c>
      <c r="E52" s="2" t="inlineStr">
        <is>
          <t>SP</t>
        </is>
      </c>
      <c r="F52" s="2" t="inlineStr">
        <is>
          <t>Vivo Pré</t>
        </is>
      </c>
      <c r="G52" s="2" t="inlineStr">
        <is>
          <t>vivo:VIV202600022379-4gb</t>
        </is>
      </c>
      <c r="H52" s="3" t="n">
        <v>17</v>
      </c>
      <c r="I52" s="3" t="inlineStr"/>
      <c r="J52" s="2" t="inlineStr"/>
      <c r="K52" s="4" t="n">
        <v>4</v>
      </c>
      <c r="L52" s="2" t="inlineStr">
        <is>
          <t>4 GB para navegar como quiser</t>
        </is>
      </c>
      <c r="M52" s="2" t="inlineStr"/>
      <c r="N52" s="2" t="inlineStr"/>
      <c r="O52" s="2" t="inlineStr"/>
      <c r="P52" s="2" t="inlineStr"/>
      <c r="Q52" s="2" t="inlineStr"/>
      <c r="R52" s="2" t="inlineStr"/>
      <c r="S52" s="2" t="inlineStr">
        <is>
          <t>https://vivo.com.br/para-voce/produtos-e-servicos/para-o-celular/pre-pago/vivo-pre</t>
        </is>
      </c>
      <c r="T52" s="2" t="inlineStr">
        <is>
          <t>data/raw/vivo_prepaid_SP.html</t>
        </is>
      </c>
    </row>
  </sheetData>
  <autoFilter ref="A1:T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A8A8A"/>
    <outlinePr summaryBelow="1" summaryRight="1"/>
    <pageSetUpPr/>
  </sheetPr>
  <dimension ref="A1:T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1" customWidth="1" min="8" max="8"/>
    <col width="17" customWidth="1" min="9" max="9"/>
    <col width="12" customWidth="1" min="10" max="10"/>
    <col width="10" customWidth="1" min="11" max="11"/>
    <col width="11" customWidth="1" min="12" max="12"/>
    <col width="16" customWidth="1" min="13" max="13"/>
    <col width="10" customWidth="1" min="14" max="14"/>
    <col width="10" customWidth="1" min="15" max="15"/>
    <col width="11" customWidth="1" min="16" max="16"/>
    <col width="16" customWidth="1" min="17" max="17"/>
    <col width="16" customWidth="1" min="18" max="18"/>
    <col width="12" customWidth="1" min="19" max="19"/>
    <col width="10" customWidth="1" min="20" max="20"/>
  </cols>
  <sheetData>
    <row r="1">
      <c r="A1" s="1" t="inlineStr">
        <is>
          <t>snapshot_date</t>
        </is>
      </c>
      <c r="B1" s="1" t="inlineStr">
        <is>
          <t>snapshot_ts</t>
        </is>
      </c>
      <c r="C1" s="1" t="inlineStr">
        <is>
          <t>carrier</t>
        </is>
      </c>
      <c r="D1" s="1" t="inlineStr">
        <is>
          <t>category</t>
        </is>
      </c>
      <c r="E1" s="1" t="inlineStr">
        <is>
          <t>state</t>
        </is>
      </c>
      <c r="F1" s="1" t="inlineStr">
        <is>
          <t>plan_name</t>
        </is>
      </c>
      <c r="G1" s="1" t="inlineStr">
        <is>
          <t>plan_id</t>
        </is>
      </c>
      <c r="H1" s="1" t="inlineStr">
        <is>
          <t>price_brl</t>
        </is>
      </c>
      <c r="I1" s="1" t="inlineStr">
        <is>
          <t>price_promo_brl</t>
        </is>
      </c>
      <c r="J1" s="1" t="inlineStr">
        <is>
          <t>price_note</t>
        </is>
      </c>
      <c r="K1" s="1" t="inlineStr">
        <is>
          <t>data_gb</t>
        </is>
      </c>
      <c r="L1" s="1" t="inlineStr">
        <is>
          <t>data_note</t>
        </is>
      </c>
      <c r="M1" s="1" t="inlineStr">
        <is>
          <t>unlimited_apps</t>
        </is>
      </c>
      <c r="N1" s="1" t="inlineStr">
        <is>
          <t>voice</t>
        </is>
      </c>
      <c r="O1" s="1" t="inlineStr">
        <is>
          <t>sms</t>
        </is>
      </c>
      <c r="P1" s="1" t="inlineStr">
        <is>
          <t>streaming</t>
        </is>
      </c>
      <c r="Q1" s="1" t="inlineStr">
        <is>
          <t>loyalty_months</t>
        </is>
      </c>
      <c r="R1" s="1" t="inlineStr">
        <is>
          <t>extra_benefits</t>
        </is>
      </c>
      <c r="S1" s="1" t="inlineStr">
        <is>
          <t>source_url</t>
        </is>
      </c>
      <c r="T1" s="1" t="inlineStr">
        <is>
          <t>raw_ref</t>
        </is>
      </c>
    </row>
    <row r="2">
      <c r="A2" s="2" t="inlineStr">
        <is>
          <t>2026-06-22</t>
        </is>
      </c>
      <c r="B2" s="2" t="inlineStr">
        <is>
          <t>2026-06-22T18:35:49</t>
        </is>
      </c>
      <c r="C2" s="2" t="inlineStr">
        <is>
          <t>claro</t>
        </is>
      </c>
      <c r="D2" s="2" t="inlineStr">
        <is>
          <t>control</t>
        </is>
      </c>
      <c r="E2" s="2" t="inlineStr">
        <is>
          <t>SP</t>
        </is>
      </c>
      <c r="F2" s="2" t="inlineStr">
        <is>
          <t>Controle 25GB</t>
        </is>
      </c>
      <c r="G2" s="2" t="inlineStr">
        <is>
          <t>claro:plano-controle-25gb</t>
        </is>
      </c>
      <c r="H2" s="3" t="n">
        <v>59.9</v>
      </c>
      <c r="I2" s="3" t="n">
        <v>54.9</v>
      </c>
      <c r="J2" s="2" t="inlineStr">
        <is>
          <t>De R$ 59,90 Por:</t>
        </is>
      </c>
      <c r="K2" s="4" t="n">
        <v>25</v>
      </c>
      <c r="L2" s="2" t="inlineStr"/>
      <c r="M2" s="2" t="inlineStr">
        <is>
          <t>WhatsApp</t>
        </is>
      </c>
      <c r="N2" s="2" t="inlineStr"/>
      <c r="O2" s="2" t="inlineStr"/>
      <c r="P2" s="2" t="inlineStr"/>
      <c r="Q2" s="2" t="inlineStr"/>
      <c r="R2" s="2" t="inlineStr">
        <is>
          <t>Para uso livre; Para redes sociais e vídeos; Bônus exclusivo; Aproveite na sua franquia; WhatsApp e ligações ilimitadas</t>
        </is>
      </c>
      <c r="S2" s="2" t="inlineStr">
        <is>
          <t>https://www.claro.com.br/celular/controle</t>
        </is>
      </c>
      <c r="T2" s="2" t="inlineStr">
        <is>
          <t>data/raw/claro_control_SP.json</t>
        </is>
      </c>
    </row>
    <row r="3">
      <c r="A3" s="5" t="inlineStr">
        <is>
          <t>2026-06-22</t>
        </is>
      </c>
      <c r="B3" s="5" t="inlineStr">
        <is>
          <t>2026-06-22T18:35:49</t>
        </is>
      </c>
      <c r="C3" s="5" t="inlineStr">
        <is>
          <t>claro</t>
        </is>
      </c>
      <c r="D3" s="5" t="inlineStr">
        <is>
          <t>control</t>
        </is>
      </c>
      <c r="E3" s="5" t="inlineStr">
        <is>
          <t>SP</t>
        </is>
      </c>
      <c r="F3" s="5" t="inlineStr">
        <is>
          <t>Controle 30GB</t>
        </is>
      </c>
      <c r="G3" s="5" t="inlineStr">
        <is>
          <t>claro:plano-controle-30gb</t>
        </is>
      </c>
      <c r="H3" s="6" t="n">
        <v>69.90000000000001</v>
      </c>
      <c r="I3" s="6" t="inlineStr"/>
      <c r="J3" s="5" t="inlineStr"/>
      <c r="K3" s="7" t="n">
        <v>30</v>
      </c>
      <c r="L3" s="5" t="inlineStr"/>
      <c r="M3" s="5" t="inlineStr">
        <is>
          <t>WhatsApp</t>
        </is>
      </c>
      <c r="N3" s="5" t="inlineStr"/>
      <c r="O3" s="5" t="inlineStr"/>
      <c r="P3" s="5" t="inlineStr"/>
      <c r="Q3" s="5" t="inlineStr"/>
      <c r="R3" s="5" t="inlineStr">
        <is>
          <t>Para uso livre; Bônus do Hexa para uso livre; Bônus para redes sociais e apps; Redes sociais e apps; WhatsApp ilimitado</t>
        </is>
      </c>
      <c r="S3" s="5" t="inlineStr">
        <is>
          <t>https://www.claro.com.br/celular/controle</t>
        </is>
      </c>
      <c r="T3" s="5" t="inlineStr">
        <is>
          <t>data/raw/claro_control_SP.json</t>
        </is>
      </c>
    </row>
    <row r="4">
      <c r="A4" s="2" t="inlineStr">
        <is>
          <t>2026-06-22</t>
        </is>
      </c>
      <c r="B4" s="2" t="inlineStr">
        <is>
          <t>2026-06-22T18:35:49</t>
        </is>
      </c>
      <c r="C4" s="2" t="inlineStr">
        <is>
          <t>claro</t>
        </is>
      </c>
      <c r="D4" s="2" t="inlineStr">
        <is>
          <t>control</t>
        </is>
      </c>
      <c r="E4" s="2" t="inlineStr">
        <is>
          <t>SP</t>
        </is>
      </c>
      <c r="F4" s="2" t="inlineStr">
        <is>
          <t>Controle 30GB</t>
        </is>
      </c>
      <c r="G4" s="2" t="inlineStr">
        <is>
          <t>claro:plano-controle-30gb-gaming</t>
        </is>
      </c>
      <c r="H4" s="3" t="n">
        <v>99.90000000000001</v>
      </c>
      <c r="I4" s="3" t="inlineStr"/>
      <c r="J4" s="2" t="inlineStr"/>
      <c r="K4" s="4" t="n">
        <v>30</v>
      </c>
      <c r="L4" s="2" t="inlineStr"/>
      <c r="M4" s="2" t="inlineStr">
        <is>
          <t>WhatsApp</t>
        </is>
      </c>
      <c r="N4" s="2" t="inlineStr"/>
      <c r="O4" s="2" t="inlineStr"/>
      <c r="P4" s="2" t="inlineStr"/>
      <c r="Q4" s="2" t="inlineStr"/>
      <c r="R4" s="2" t="inlineStr">
        <is>
          <t>Para uso livre; Bônus para redes sociais e apps; Bônus uso livre; Redes sociais e apps; WhatsApp ilimitado</t>
        </is>
      </c>
      <c r="S4" s="2" t="inlineStr">
        <is>
          <t>https://www.claro.com.br/celular/controle</t>
        </is>
      </c>
      <c r="T4" s="2" t="inlineStr">
        <is>
          <t>data/raw/claro_control_SP.json</t>
        </is>
      </c>
    </row>
    <row r="5">
      <c r="A5" s="5" t="inlineStr">
        <is>
          <t>2026-06-22</t>
        </is>
      </c>
      <c r="B5" s="5" t="inlineStr">
        <is>
          <t>2026-06-22T18:35:49</t>
        </is>
      </c>
      <c r="C5" s="5" t="inlineStr">
        <is>
          <t>claro</t>
        </is>
      </c>
      <c r="D5" s="5" t="inlineStr">
        <is>
          <t>flex</t>
        </is>
      </c>
      <c r="E5" s="5" t="inlineStr">
        <is>
          <t>SP</t>
        </is>
      </c>
      <c r="F5" s="5" t="inlineStr">
        <is>
          <t>Flex 15GB</t>
        </is>
      </c>
      <c r="G5" s="5" t="inlineStr">
        <is>
          <t>claro:plano-flex-15gb</t>
        </is>
      </c>
      <c r="H5" s="6" t="n">
        <v>44.9</v>
      </c>
      <c r="I5" s="6" t="inlineStr"/>
      <c r="J5" s="5" t="inlineStr"/>
      <c r="K5" s="7" t="n">
        <v>15</v>
      </c>
      <c r="L5" s="5" t="inlineStr"/>
      <c r="M5" s="5" t="inlineStr">
        <is>
          <t>WhatsApp</t>
        </is>
      </c>
      <c r="N5" s="5" t="inlineStr"/>
      <c r="O5" s="5" t="inlineStr"/>
      <c r="P5" s="5" t="inlineStr"/>
      <c r="Q5" s="5" t="inlineStr"/>
      <c r="R5" s="5" t="inlineStr">
        <is>
          <t>Para uso livre; Bônus do Hexa para uso livre; Para redes sociais e apps; Bônus extra nos apps; WhatsApp ilimitado</t>
        </is>
      </c>
      <c r="S5" s="5" t="inlineStr">
        <is>
          <t>https://www.claro.com.br/celular/flex</t>
        </is>
      </c>
      <c r="T5" s="5" t="inlineStr">
        <is>
          <t>data/raw/claro_flex_SP.json</t>
        </is>
      </c>
    </row>
    <row r="6">
      <c r="A6" s="2" t="inlineStr">
        <is>
          <t>2026-06-22</t>
        </is>
      </c>
      <c r="B6" s="2" t="inlineStr">
        <is>
          <t>2026-06-22T18:35:49</t>
        </is>
      </c>
      <c r="C6" s="2" t="inlineStr">
        <is>
          <t>claro</t>
        </is>
      </c>
      <c r="D6" s="2" t="inlineStr">
        <is>
          <t>flex</t>
        </is>
      </c>
      <c r="E6" s="2" t="inlineStr">
        <is>
          <t>SP</t>
        </is>
      </c>
      <c r="F6" s="2" t="inlineStr">
        <is>
          <t>Flex 20GB</t>
        </is>
      </c>
      <c r="G6" s="2" t="inlineStr">
        <is>
          <t>claro:plano-flex-20gb</t>
        </is>
      </c>
      <c r="H6" s="3" t="n">
        <v>59.9</v>
      </c>
      <c r="I6" s="3" t="inlineStr"/>
      <c r="J6" s="2" t="inlineStr"/>
      <c r="K6" s="4" t="n">
        <v>20</v>
      </c>
      <c r="L6" s="2" t="inlineStr"/>
      <c r="M6" s="2" t="inlineStr">
        <is>
          <t>WhatsApp</t>
        </is>
      </c>
      <c r="N6" s="2" t="inlineStr"/>
      <c r="O6" s="2" t="inlineStr"/>
      <c r="P6" s="2" t="inlineStr"/>
      <c r="Q6" s="2" t="inlineStr"/>
      <c r="R6" s="2" t="inlineStr">
        <is>
          <t>Para uso livre; Bônus do Hexa para uso livre; Para redes sociais e apps; Bônus extra nos apps; WhatsApp ilimitado</t>
        </is>
      </c>
      <c r="S6" s="2" t="inlineStr">
        <is>
          <t>https://www.claro.com.br/celular/flex</t>
        </is>
      </c>
      <c r="T6" s="2" t="inlineStr">
        <is>
          <t>data/raw/claro_flex_SP.json</t>
        </is>
      </c>
    </row>
    <row r="7">
      <c r="A7" s="5" t="inlineStr">
        <is>
          <t>2026-06-22</t>
        </is>
      </c>
      <c r="B7" s="5" t="inlineStr">
        <is>
          <t>2026-06-22T18:35:49</t>
        </is>
      </c>
      <c r="C7" s="5" t="inlineStr">
        <is>
          <t>claro</t>
        </is>
      </c>
      <c r="D7" s="5" t="inlineStr">
        <is>
          <t>flex</t>
        </is>
      </c>
      <c r="E7" s="5" t="inlineStr">
        <is>
          <t>SP</t>
        </is>
      </c>
      <c r="F7" s="5" t="inlineStr">
        <is>
          <t>Flex 30GB</t>
        </is>
      </c>
      <c r="G7" s="5" t="inlineStr">
        <is>
          <t>claro:plano-flex-30gb</t>
        </is>
      </c>
      <c r="H7" s="6" t="n">
        <v>69.90000000000001</v>
      </c>
      <c r="I7" s="6" t="inlineStr"/>
      <c r="J7" s="5" t="inlineStr"/>
      <c r="K7" s="7" t="n">
        <v>30</v>
      </c>
      <c r="L7" s="5" t="inlineStr"/>
      <c r="M7" s="5" t="inlineStr">
        <is>
          <t>WhatsApp</t>
        </is>
      </c>
      <c r="N7" s="5" t="inlineStr"/>
      <c r="O7" s="5" t="inlineStr"/>
      <c r="P7" s="5" t="inlineStr"/>
      <c r="Q7" s="5" t="inlineStr"/>
      <c r="R7" s="5" t="inlineStr">
        <is>
          <t>Para uso livre; Bônus do Hexa para uso livre; Para redes sociais e apps; Bônus extra nos apps; WhatsApp ilimitado; Assinatura Claro musica inclusa</t>
        </is>
      </c>
      <c r="S7" s="5" t="inlineStr">
        <is>
          <t>https://www.claro.com.br/celular/flex</t>
        </is>
      </c>
      <c r="T7" s="5" t="inlineStr">
        <is>
          <t>data/raw/claro_flex_SP.json</t>
        </is>
      </c>
    </row>
    <row r="8">
      <c r="A8" s="2" t="inlineStr">
        <is>
          <t>2026-06-22</t>
        </is>
      </c>
      <c r="B8" s="2" t="inlineStr">
        <is>
          <t>2026-06-22T18:35:49</t>
        </is>
      </c>
      <c r="C8" s="2" t="inlineStr">
        <is>
          <t>claro</t>
        </is>
      </c>
      <c r="D8" s="2" t="inlineStr">
        <is>
          <t>flex</t>
        </is>
      </c>
      <c r="E8" s="2" t="inlineStr">
        <is>
          <t>SP</t>
        </is>
      </c>
      <c r="F8" s="2" t="inlineStr">
        <is>
          <t>Flex 40GB</t>
        </is>
      </c>
      <c r="G8" s="2" t="inlineStr">
        <is>
          <t>claro:plano-flex-40gb</t>
        </is>
      </c>
      <c r="H8" s="3" t="n">
        <v>119.9</v>
      </c>
      <c r="I8" s="3" t="inlineStr"/>
      <c r="J8" s="2" t="inlineStr"/>
      <c r="K8" s="4" t="n">
        <v>40</v>
      </c>
      <c r="L8" s="2" t="inlineStr"/>
      <c r="M8" s="2" t="inlineStr">
        <is>
          <t>WhatsApp</t>
        </is>
      </c>
      <c r="N8" s="2" t="inlineStr"/>
      <c r="O8" s="2" t="inlineStr"/>
      <c r="P8" s="2" t="inlineStr"/>
      <c r="Q8" s="2" t="inlineStr"/>
      <c r="R8" s="2" t="inlineStr">
        <is>
          <t>Para uso livre; Para redes sociais e apps; Bônus uso livre; Bônus extra nos apps; WhatsApp ilimitado; Assinatura Claro musica inclusa</t>
        </is>
      </c>
      <c r="S8" s="2" t="inlineStr">
        <is>
          <t>https://www.claro.com.br/celular/flex</t>
        </is>
      </c>
      <c r="T8" s="2" t="inlineStr">
        <is>
          <t>data/raw/claro_flex_SP.json</t>
        </is>
      </c>
    </row>
    <row r="9">
      <c r="A9" s="5" t="inlineStr">
        <is>
          <t>2026-06-22</t>
        </is>
      </c>
      <c r="B9" s="5" t="inlineStr">
        <is>
          <t>2026-06-22T18:35:49</t>
        </is>
      </c>
      <c r="C9" s="5" t="inlineStr">
        <is>
          <t>claro</t>
        </is>
      </c>
      <c r="D9" s="5" t="inlineStr">
        <is>
          <t>postpaid</t>
        </is>
      </c>
      <c r="E9" s="5" t="inlineStr">
        <is>
          <t>SP</t>
        </is>
      </c>
      <c r="F9" s="5" t="inlineStr">
        <is>
          <t>Pós 100GB</t>
        </is>
      </c>
      <c r="G9" s="5" t="inlineStr">
        <is>
          <t>claro:plano-pos-100gb</t>
        </is>
      </c>
      <c r="H9" s="6" t="n">
        <v>179.9</v>
      </c>
      <c r="I9" s="6" t="inlineStr"/>
      <c r="J9" s="5" t="inlineStr"/>
      <c r="K9" s="7" t="n">
        <v>100</v>
      </c>
      <c r="L9" s="5" t="inlineStr"/>
      <c r="M9" s="5" t="inlineStr">
        <is>
          <t>WhatsApp</t>
        </is>
      </c>
      <c r="N9" s="5" t="inlineStr"/>
      <c r="O9" s="5" t="inlineStr"/>
      <c r="P9" s="5" t="inlineStr"/>
      <c r="Q9" s="5" t="inlineStr"/>
      <c r="R9" s="5" t="inlineStr">
        <is>
          <t>Armazenamento na nuvem:; Google One ou iCloud+; WhatsApp ilimitado; Roaming: Passaporte Américas; Claro Sync: Smartwatch conectado</t>
        </is>
      </c>
      <c r="S9" s="5" t="inlineStr">
        <is>
          <t>https://www.claro.com.br/celular/pos</t>
        </is>
      </c>
      <c r="T9" s="5" t="inlineStr">
        <is>
          <t>data/raw/claro_postpaid_SP.json</t>
        </is>
      </c>
    </row>
    <row r="10">
      <c r="A10" s="2" t="inlineStr">
        <is>
          <t>2026-06-22</t>
        </is>
      </c>
      <c r="B10" s="2" t="inlineStr">
        <is>
          <t>2026-06-22T18:35:49</t>
        </is>
      </c>
      <c r="C10" s="2" t="inlineStr">
        <is>
          <t>claro</t>
        </is>
      </c>
      <c r="D10" s="2" t="inlineStr">
        <is>
          <t>postpaid</t>
        </is>
      </c>
      <c r="E10" s="2" t="inlineStr">
        <is>
          <t>SP</t>
        </is>
      </c>
      <c r="F10" s="2" t="inlineStr">
        <is>
          <t>Pós 150GB</t>
        </is>
      </c>
      <c r="G10" s="2" t="inlineStr">
        <is>
          <t>claro:plano-pos-150gb</t>
        </is>
      </c>
      <c r="H10" s="3" t="n">
        <v>239.9</v>
      </c>
      <c r="I10" s="3" t="inlineStr"/>
      <c r="J10" s="2" t="inlineStr"/>
      <c r="K10" s="4" t="n">
        <v>150</v>
      </c>
      <c r="L10" s="2" t="inlineStr"/>
      <c r="M10" s="2" t="inlineStr">
        <is>
          <t>WhatsApp</t>
        </is>
      </c>
      <c r="N10" s="2" t="inlineStr"/>
      <c r="O10" s="2" t="inlineStr"/>
      <c r="P10" s="2" t="inlineStr"/>
      <c r="Q10" s="2" t="inlineStr"/>
      <c r="R10" s="2" t="inlineStr">
        <is>
          <t>Armazenamento na nuvem:; Google One ou iCloud+; WhatsApp ilimitado; Roaming: Passaporte Américas e Europa; Claro Sync: Smartwatch conectado</t>
        </is>
      </c>
      <c r="S10" s="2" t="inlineStr">
        <is>
          <t>https://www.claro.com.br/celular/pos</t>
        </is>
      </c>
      <c r="T10" s="2" t="inlineStr">
        <is>
          <t>data/raw/claro_postpaid_SP.json</t>
        </is>
      </c>
    </row>
    <row r="11">
      <c r="A11" s="5" t="inlineStr">
        <is>
          <t>2026-06-22</t>
        </is>
      </c>
      <c r="B11" s="5" t="inlineStr">
        <is>
          <t>2026-06-22T18:35:49</t>
        </is>
      </c>
      <c r="C11" s="5" t="inlineStr">
        <is>
          <t>claro</t>
        </is>
      </c>
      <c r="D11" s="5" t="inlineStr">
        <is>
          <t>postpaid</t>
        </is>
      </c>
      <c r="E11" s="5" t="inlineStr">
        <is>
          <t>SP</t>
        </is>
      </c>
      <c r="F11" s="5" t="inlineStr">
        <is>
          <t>Pós 200GB</t>
        </is>
      </c>
      <c r="G11" s="5" t="inlineStr">
        <is>
          <t>claro:plano-pos-200gb</t>
        </is>
      </c>
      <c r="H11" s="6" t="n">
        <v>339.9</v>
      </c>
      <c r="I11" s="6" t="inlineStr"/>
      <c r="J11" s="5" t="inlineStr"/>
      <c r="K11" s="7" t="n">
        <v>200</v>
      </c>
      <c r="L11" s="5" t="inlineStr"/>
      <c r="M11" s="5" t="inlineStr">
        <is>
          <t>WhatsApp</t>
        </is>
      </c>
      <c r="N11" s="5" t="inlineStr"/>
      <c r="O11" s="5" t="inlineStr"/>
      <c r="P11" s="5" t="inlineStr"/>
      <c r="Q11" s="5" t="inlineStr"/>
      <c r="R11" s="5" t="inlineStr">
        <is>
          <t>Armazenamento na nuvem:; Google One ou iCloud+; WhatsApp ilimitado; Roaming: Passaporte Mundo; Claro Sync: Smartwatch conectado</t>
        </is>
      </c>
      <c r="S11" s="5" t="inlineStr">
        <is>
          <t>https://www.claro.com.br/celular/pos</t>
        </is>
      </c>
      <c r="T11" s="5" t="inlineStr">
        <is>
          <t>data/raw/claro_postpaid_SP.json</t>
        </is>
      </c>
    </row>
    <row r="12">
      <c r="A12" s="2" t="inlineStr">
        <is>
          <t>2026-06-22</t>
        </is>
      </c>
      <c r="B12" s="2" t="inlineStr">
        <is>
          <t>2026-06-22T18:35:49</t>
        </is>
      </c>
      <c r="C12" s="2" t="inlineStr">
        <is>
          <t>claro</t>
        </is>
      </c>
      <c r="D12" s="2" t="inlineStr">
        <is>
          <t>postpaid</t>
        </is>
      </c>
      <c r="E12" s="2" t="inlineStr">
        <is>
          <t>SP</t>
        </is>
      </c>
      <c r="F12" s="2" t="inlineStr">
        <is>
          <t>Pós 50GB com GeForce NOW</t>
        </is>
      </c>
      <c r="G12" s="2" t="inlineStr">
        <is>
          <t>claro:plano-pos-60gb-geforce</t>
        </is>
      </c>
      <c r="H12" s="3" t="n">
        <v>164.9</v>
      </c>
      <c r="I12" s="3" t="inlineStr"/>
      <c r="J12" s="2" t="inlineStr"/>
      <c r="K12" s="4" t="n">
        <v>50</v>
      </c>
      <c r="L12" s="2" t="inlineStr"/>
      <c r="M12" s="2" t="inlineStr">
        <is>
          <t>WhatsApp</t>
        </is>
      </c>
      <c r="N12" s="2" t="inlineStr"/>
      <c r="O12" s="2" t="inlineStr"/>
      <c r="P12" s="2" t="inlineStr"/>
      <c r="Q12" s="2" t="inlineStr"/>
      <c r="R12" s="2" t="inlineStr">
        <is>
          <t>Armazenamento na nuvem:; Google One ou iCloud+; WhatsApp ilimitado; Roaming: Passaporte Américas; Claro Sync: Smartwatch conectado; Inclusa assinatura GeForce NOW</t>
        </is>
      </c>
      <c r="S12" s="2" t="inlineStr">
        <is>
          <t>https://www.claro.com.br/celular/pos</t>
        </is>
      </c>
      <c r="T12" s="2" t="inlineStr">
        <is>
          <t>data/raw/claro_postpaid_SP.json</t>
        </is>
      </c>
    </row>
    <row r="13">
      <c r="A13" s="5" t="inlineStr">
        <is>
          <t>2026-06-22</t>
        </is>
      </c>
      <c r="B13" s="5" t="inlineStr">
        <is>
          <t>2026-06-22T18:35:49</t>
        </is>
      </c>
      <c r="C13" s="5" t="inlineStr">
        <is>
          <t>claro</t>
        </is>
      </c>
      <c r="D13" s="5" t="inlineStr">
        <is>
          <t>postpaid</t>
        </is>
      </c>
      <c r="E13" s="5" t="inlineStr">
        <is>
          <t>SP</t>
        </is>
      </c>
      <c r="F13" s="5" t="inlineStr">
        <is>
          <t>Pós 60GB</t>
        </is>
      </c>
      <c r="G13" s="5" t="inlineStr">
        <is>
          <t>claro:plano-pos-60gb</t>
        </is>
      </c>
      <c r="H13" s="6" t="n">
        <v>124.9</v>
      </c>
      <c r="I13" s="6" t="inlineStr"/>
      <c r="J13" s="5" t="inlineStr"/>
      <c r="K13" s="7" t="n">
        <v>60</v>
      </c>
      <c r="L13" s="5" t="inlineStr"/>
      <c r="M13" s="5" t="inlineStr">
        <is>
          <t>WhatsApp</t>
        </is>
      </c>
      <c r="N13" s="5" t="inlineStr"/>
      <c r="O13" s="5" t="inlineStr"/>
      <c r="P13" s="5" t="inlineStr"/>
      <c r="Q13" s="5" t="inlineStr"/>
      <c r="R13" s="5" t="inlineStr">
        <is>
          <t>Armazenamento na nuvem:; Google One ou iCloud+; WhatsApp ilimitado; Roaming: Passaporte Américas; Claro Sync: Smartwatch conectado</t>
        </is>
      </c>
      <c r="S13" s="5" t="inlineStr">
        <is>
          <t>https://www.claro.com.br/celular/pos</t>
        </is>
      </c>
      <c r="T13" s="5" t="inlineStr">
        <is>
          <t>data/raw/claro_postpaid_SP.json</t>
        </is>
      </c>
    </row>
    <row r="14">
      <c r="A14" s="2" t="inlineStr">
        <is>
          <t>2026-06-22</t>
        </is>
      </c>
      <c r="B14" s="2" t="inlineStr">
        <is>
          <t>2026-06-22T18:35:49</t>
        </is>
      </c>
      <c r="C14" s="2" t="inlineStr">
        <is>
          <t>claro</t>
        </is>
      </c>
      <c r="D14" s="2" t="inlineStr">
        <is>
          <t>prepaid</t>
        </is>
      </c>
      <c r="E14" s="2" t="inlineStr">
        <is>
          <t>SP</t>
        </is>
      </c>
      <c r="F14" s="2" t="inlineStr">
        <is>
          <t>Prezão R$1 por dia</t>
        </is>
      </c>
      <c r="G14" s="2" t="inlineStr">
        <is>
          <t>claro:prez-o-r-1-por-dia</t>
        </is>
      </c>
      <c r="H14" s="3" t="n">
        <v>1</v>
      </c>
      <c r="I14" s="3" t="inlineStr"/>
      <c r="J14" s="2" t="inlineStr">
        <is>
          <t>prepaid Prezão — preço por dia; recargas a partir de R$15</t>
        </is>
      </c>
      <c r="K14" s="4" t="n">
        <v>12</v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>
        <is>
          <t>https://www.claro.com.br/celular/planos-pre/prezao</t>
        </is>
      </c>
      <c r="T14" s="2" t="inlineStr">
        <is>
          <t>data/raw/claro_prepaid_SP.json</t>
        </is>
      </c>
    </row>
    <row r="15">
      <c r="A15" s="5" t="inlineStr">
        <is>
          <t>2026-06-22</t>
        </is>
      </c>
      <c r="B15" s="5" t="inlineStr">
        <is>
          <t>2026-06-22T18:35:49</t>
        </is>
      </c>
      <c r="C15" s="5" t="inlineStr">
        <is>
          <t>tim</t>
        </is>
      </c>
      <c r="D15" s="5" t="inlineStr">
        <is>
          <t>control</t>
        </is>
      </c>
      <c r="E15" s="5" t="inlineStr">
        <is>
          <t>SP</t>
        </is>
      </c>
      <c r="F15" s="5" t="inlineStr">
        <is>
          <t>TIM Controle 41GB</t>
        </is>
      </c>
      <c r="G15" s="5" t="inlineStr">
        <is>
          <t>tim:162901</t>
        </is>
      </c>
      <c r="H15" s="6" t="n">
        <v>58.99</v>
      </c>
      <c r="I15" s="6" t="inlineStr"/>
      <c r="J15" s="5" t="inlineStr"/>
      <c r="K15" s="7" t="n">
        <v>41</v>
      </c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>
        <is>
          <t>https://www.tim.com.br/sp/para-voce/planos/controle</t>
        </is>
      </c>
      <c r="T15" s="5" t="inlineStr">
        <is>
          <t>data/raw/tim_control_SP.html</t>
        </is>
      </c>
    </row>
    <row r="16">
      <c r="A16" s="2" t="inlineStr">
        <is>
          <t>2026-06-22</t>
        </is>
      </c>
      <c r="B16" s="2" t="inlineStr">
        <is>
          <t>2026-06-22T18:35:49</t>
        </is>
      </c>
      <c r="C16" s="2" t="inlineStr">
        <is>
          <t>tim</t>
        </is>
      </c>
      <c r="D16" s="2" t="inlineStr">
        <is>
          <t>control</t>
        </is>
      </c>
      <c r="E16" s="2" t="inlineStr">
        <is>
          <t>SP</t>
        </is>
      </c>
      <c r="F16" s="2" t="inlineStr">
        <is>
          <t>TIM Controle Light Express 31GB</t>
        </is>
      </c>
      <c r="G16" s="2" t="inlineStr">
        <is>
          <t>tim:143536</t>
        </is>
      </c>
      <c r="H16" s="3" t="n">
        <v>60.99</v>
      </c>
      <c r="I16" s="3" t="inlineStr"/>
      <c r="J16" s="2" t="inlineStr"/>
      <c r="K16" s="4" t="n">
        <v>31</v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>
        <is>
          <t>https://www.tim.com.br/sp/para-voce/planos/controle</t>
        </is>
      </c>
      <c r="T16" s="2" t="inlineStr">
        <is>
          <t>data/raw/tim_control_SP.html</t>
        </is>
      </c>
    </row>
    <row r="17">
      <c r="A17" s="5" t="inlineStr">
        <is>
          <t>2026-06-22</t>
        </is>
      </c>
      <c r="B17" s="5" t="inlineStr">
        <is>
          <t>2026-06-22T18:35:49</t>
        </is>
      </c>
      <c r="C17" s="5" t="inlineStr">
        <is>
          <t>tim</t>
        </is>
      </c>
      <c r="D17" s="5" t="inlineStr">
        <is>
          <t>control</t>
        </is>
      </c>
      <c r="E17" s="5" t="inlineStr">
        <is>
          <t>SP</t>
        </is>
      </c>
      <c r="F17" s="5" t="inlineStr">
        <is>
          <t>TIM Controle Plus 45GB</t>
        </is>
      </c>
      <c r="G17" s="5" t="inlineStr">
        <is>
          <t>tim:155891</t>
        </is>
      </c>
      <c r="H17" s="6" t="n">
        <v>64.98999999999999</v>
      </c>
      <c r="I17" s="6" t="inlineStr"/>
      <c r="J17" s="5" t="inlineStr"/>
      <c r="K17" s="7" t="n">
        <v>45</v>
      </c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>
        <is>
          <t>https://www.tim.com.br/sp/para-voce/planos/controle</t>
        </is>
      </c>
      <c r="T17" s="5" t="inlineStr">
        <is>
          <t>data/raw/tim_control_SP.html</t>
        </is>
      </c>
    </row>
    <row r="18">
      <c r="A18" s="2" t="inlineStr">
        <is>
          <t>2026-06-22</t>
        </is>
      </c>
      <c r="B18" s="2" t="inlineStr">
        <is>
          <t>2026-06-22T18:35:49</t>
        </is>
      </c>
      <c r="C18" s="2" t="inlineStr">
        <is>
          <t>tim</t>
        </is>
      </c>
      <c r="D18" s="2" t="inlineStr">
        <is>
          <t>control</t>
        </is>
      </c>
      <c r="E18" s="2" t="inlineStr">
        <is>
          <t>SP</t>
        </is>
      </c>
      <c r="F18" s="2" t="inlineStr">
        <is>
          <t>TIM Controle Premium 53GB</t>
        </is>
      </c>
      <c r="G18" s="2" t="inlineStr">
        <is>
          <t>tim:162896</t>
        </is>
      </c>
      <c r="H18" s="3" t="n">
        <v>84.98999999999999</v>
      </c>
      <c r="I18" s="3" t="inlineStr"/>
      <c r="J18" s="2" t="inlineStr"/>
      <c r="K18" s="4" t="n">
        <v>53</v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>
        <is>
          <t>https://www.tim.com.br/sp/para-voce/planos/controle</t>
        </is>
      </c>
      <c r="T18" s="2" t="inlineStr">
        <is>
          <t>data/raw/tim_control_SP.html</t>
        </is>
      </c>
    </row>
    <row r="19">
      <c r="A19" s="5" t="inlineStr">
        <is>
          <t>2026-06-22</t>
        </is>
      </c>
      <c r="B19" s="5" t="inlineStr">
        <is>
          <t>2026-06-22T18:35:49</t>
        </is>
      </c>
      <c r="C19" s="5" t="inlineStr">
        <is>
          <t>tim</t>
        </is>
      </c>
      <c r="D19" s="5" t="inlineStr">
        <is>
          <t>control</t>
        </is>
      </c>
      <c r="E19" s="5" t="inlineStr">
        <is>
          <t>SP</t>
        </is>
      </c>
      <c r="F19" s="5" t="inlineStr">
        <is>
          <t>TIM Controle Pro Express</t>
        </is>
      </c>
      <c r="G19" s="5" t="inlineStr">
        <is>
          <t>tim:143576</t>
        </is>
      </c>
      <c r="H19" s="6" t="n">
        <v>64.98999999999999</v>
      </c>
      <c r="I19" s="6" t="inlineStr"/>
      <c r="J19" s="5" t="inlineStr"/>
      <c r="K19" s="7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>
        <is>
          <t>https://www.tim.com.br/sp/para-voce/planos/controle</t>
        </is>
      </c>
      <c r="T19" s="5" t="inlineStr">
        <is>
          <t>data/raw/tim_control_SP.html</t>
        </is>
      </c>
    </row>
    <row r="20">
      <c r="A20" s="2" t="inlineStr">
        <is>
          <t>2026-06-22</t>
        </is>
      </c>
      <c r="B20" s="2" t="inlineStr">
        <is>
          <t>2026-06-22T18:35:49</t>
        </is>
      </c>
      <c r="C20" s="2" t="inlineStr">
        <is>
          <t>tim</t>
        </is>
      </c>
      <c r="D20" s="2" t="inlineStr">
        <is>
          <t>postpaid</t>
        </is>
      </c>
      <c r="E20" s="2" t="inlineStr">
        <is>
          <t>SP</t>
        </is>
      </c>
      <c r="F20" s="2" t="inlineStr">
        <is>
          <t>TIM Black 70GB</t>
        </is>
      </c>
      <c r="G20" s="2" t="inlineStr">
        <is>
          <t>tim:54206</t>
        </is>
      </c>
      <c r="H20" s="3" t="n">
        <v>129.99</v>
      </c>
      <c r="I20" s="3" t="inlineStr"/>
      <c r="J20" s="2" t="inlineStr"/>
      <c r="K20" s="4" t="n">
        <v>70</v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>
        <is>
          <t>https://www.tim.com.br/sp/para-voce/planos/pos-pago/tim-black</t>
        </is>
      </c>
      <c r="T20" s="2" t="inlineStr">
        <is>
          <t>data/raw/tim_postpaid_SP.html</t>
        </is>
      </c>
    </row>
    <row r="21">
      <c r="A21" s="5" t="inlineStr">
        <is>
          <t>2026-06-22</t>
        </is>
      </c>
      <c r="B21" s="5" t="inlineStr">
        <is>
          <t>2026-06-22T18:35:49</t>
        </is>
      </c>
      <c r="C21" s="5" t="inlineStr">
        <is>
          <t>tim</t>
        </is>
      </c>
      <c r="D21" s="5" t="inlineStr">
        <is>
          <t>postpaid</t>
        </is>
      </c>
      <c r="E21" s="5" t="inlineStr">
        <is>
          <t>SP</t>
        </is>
      </c>
      <c r="F21" s="5" t="inlineStr">
        <is>
          <t>TIM Black A Express 67GB</t>
        </is>
      </c>
      <c r="G21" s="5" t="inlineStr">
        <is>
          <t>tim:55121</t>
        </is>
      </c>
      <c r="H21" s="6" t="n">
        <v>119.99</v>
      </c>
      <c r="I21" s="6" t="inlineStr"/>
      <c r="J21" s="5" t="inlineStr"/>
      <c r="K21" s="7" t="n">
        <v>67</v>
      </c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>
        <is>
          <t>https://www.tim.com.br/sp/para-voce/planos/pos-pago/tim-black</t>
        </is>
      </c>
      <c r="T21" s="5" t="inlineStr">
        <is>
          <t>data/raw/tim_postpaid_SP.html</t>
        </is>
      </c>
    </row>
    <row r="22">
      <c r="A22" s="2" t="inlineStr">
        <is>
          <t>2026-06-22</t>
        </is>
      </c>
      <c r="B22" s="2" t="inlineStr">
        <is>
          <t>2026-06-22T18:35:49</t>
        </is>
      </c>
      <c r="C22" s="2" t="inlineStr">
        <is>
          <t>tim</t>
        </is>
      </c>
      <c r="D22" s="2" t="inlineStr">
        <is>
          <t>postpaid</t>
        </is>
      </c>
      <c r="E22" s="2" t="inlineStr">
        <is>
          <t>SP</t>
        </is>
      </c>
      <c r="F22" s="2" t="inlineStr">
        <is>
          <t>TIM Black B Express 82GB</t>
        </is>
      </c>
      <c r="G22" s="2" t="inlineStr">
        <is>
          <t>tim:52146</t>
        </is>
      </c>
      <c r="H22" s="3" t="n">
        <v>144.99</v>
      </c>
      <c r="I22" s="3" t="inlineStr"/>
      <c r="J22" s="2" t="inlineStr"/>
      <c r="K22" s="4" t="n">
        <v>82</v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>
        <is>
          <t>https://www.tim.com.br/sp/para-voce/planos/pos-pago/tim-black</t>
        </is>
      </c>
      <c r="T22" s="2" t="inlineStr">
        <is>
          <t>data/raw/tim_postpaid_SP.html</t>
        </is>
      </c>
    </row>
    <row r="23">
      <c r="A23" s="5" t="inlineStr">
        <is>
          <t>2026-06-22</t>
        </is>
      </c>
      <c r="B23" s="5" t="inlineStr">
        <is>
          <t>2026-06-22T18:35:49</t>
        </is>
      </c>
      <c r="C23" s="5" t="inlineStr">
        <is>
          <t>tim</t>
        </is>
      </c>
      <c r="D23" s="5" t="inlineStr">
        <is>
          <t>postpaid</t>
        </is>
      </c>
      <c r="E23" s="5" t="inlineStr">
        <is>
          <t>SP</t>
        </is>
      </c>
      <c r="F23" s="5" t="inlineStr">
        <is>
          <t>TIM Black C Express 107GB</t>
        </is>
      </c>
      <c r="G23" s="5" t="inlineStr">
        <is>
          <t>tim:52151</t>
        </is>
      </c>
      <c r="H23" s="6" t="n">
        <v>164.99</v>
      </c>
      <c r="I23" s="6" t="inlineStr"/>
      <c r="J23" s="5" t="inlineStr"/>
      <c r="K23" s="7" t="n">
        <v>107</v>
      </c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>
        <is>
          <t>https://www.tim.com.br/sp/para-voce/planos/pos-pago/tim-black</t>
        </is>
      </c>
      <c r="T23" s="5" t="inlineStr">
        <is>
          <t>data/raw/tim_postpaid_SP.html</t>
        </is>
      </c>
    </row>
    <row r="24">
      <c r="A24" s="2" t="inlineStr">
        <is>
          <t>2026-06-22</t>
        </is>
      </c>
      <c r="B24" s="2" t="inlineStr">
        <is>
          <t>2026-06-22T18:35:49</t>
        </is>
      </c>
      <c r="C24" s="2" t="inlineStr">
        <is>
          <t>tim</t>
        </is>
      </c>
      <c r="D24" s="2" t="inlineStr">
        <is>
          <t>postpaid</t>
        </is>
      </c>
      <c r="E24" s="2" t="inlineStr">
        <is>
          <t>SP</t>
        </is>
      </c>
      <c r="F24" s="2" t="inlineStr">
        <is>
          <t>TIM Black C Ultra 95GB</t>
        </is>
      </c>
      <c r="G24" s="2" t="inlineStr">
        <is>
          <t>tim:100581</t>
        </is>
      </c>
      <c r="H24" s="3" t="n">
        <v>159.99</v>
      </c>
      <c r="I24" s="3" t="inlineStr"/>
      <c r="J24" s="2" t="inlineStr"/>
      <c r="K24" s="4" t="n">
        <v>95</v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>
        <is>
          <t>https://www.tim.com.br/sp/para-voce/planos/pos-pago/tim-black</t>
        </is>
      </c>
      <c r="T24" s="2" t="inlineStr">
        <is>
          <t>data/raw/tim_postpaid_SP.html</t>
        </is>
      </c>
    </row>
    <row r="25">
      <c r="A25" s="5" t="inlineStr">
        <is>
          <t>2026-06-22</t>
        </is>
      </c>
      <c r="B25" s="5" t="inlineStr">
        <is>
          <t>2026-06-22T18:35:49</t>
        </is>
      </c>
      <c r="C25" s="5" t="inlineStr">
        <is>
          <t>tim</t>
        </is>
      </c>
      <c r="D25" s="5" t="inlineStr">
        <is>
          <t>postpaid</t>
        </is>
      </c>
      <c r="E25" s="5" t="inlineStr">
        <is>
          <t>SP</t>
        </is>
      </c>
      <c r="F25" s="5" t="inlineStr">
        <is>
          <t>TIM Black Plus 80GB</t>
        </is>
      </c>
      <c r="G25" s="5" t="inlineStr">
        <is>
          <t>tim:54256</t>
        </is>
      </c>
      <c r="H25" s="6" t="n">
        <v>149.99</v>
      </c>
      <c r="I25" s="6" t="inlineStr"/>
      <c r="J25" s="5" t="inlineStr"/>
      <c r="K25" s="7" t="n">
        <v>80</v>
      </c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>
        <is>
          <t>https://www.tim.com.br/sp/para-voce/planos/pos-pago/tim-black</t>
        </is>
      </c>
      <c r="T25" s="5" t="inlineStr">
        <is>
          <t>data/raw/tim_postpaid_SP.html</t>
        </is>
      </c>
    </row>
    <row r="26">
      <c r="A26" s="2" t="inlineStr">
        <is>
          <t>2026-06-22</t>
        </is>
      </c>
      <c r="B26" s="2" t="inlineStr">
        <is>
          <t>2026-06-22T18:35:49</t>
        </is>
      </c>
      <c r="C26" s="2" t="inlineStr">
        <is>
          <t>tim</t>
        </is>
      </c>
      <c r="D26" s="2" t="inlineStr">
        <is>
          <t>postpaid</t>
        </is>
      </c>
      <c r="E26" s="2" t="inlineStr">
        <is>
          <t>SP</t>
        </is>
      </c>
      <c r="F26" s="2" t="inlineStr">
        <is>
          <t>TIM Black Premium 110GB</t>
        </is>
      </c>
      <c r="G26" s="2" t="inlineStr">
        <is>
          <t>tim:54261</t>
        </is>
      </c>
      <c r="H26" s="3" t="n">
        <v>159.99</v>
      </c>
      <c r="I26" s="3" t="inlineStr"/>
      <c r="J26" s="2" t="inlineStr"/>
      <c r="K26" s="4" t="n">
        <v>110</v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>
        <is>
          <t>https://www.tim.com.br/sp/para-voce/planos/pos-pago/tim-black</t>
        </is>
      </c>
      <c r="T26" s="2" t="inlineStr">
        <is>
          <t>data/raw/tim_postpaid_SP.html</t>
        </is>
      </c>
    </row>
    <row r="27">
      <c r="A27" s="5" t="inlineStr">
        <is>
          <t>2026-06-22</t>
        </is>
      </c>
      <c r="B27" s="5" t="inlineStr">
        <is>
          <t>2026-06-22T18:35:49</t>
        </is>
      </c>
      <c r="C27" s="5" t="inlineStr">
        <is>
          <t>tim</t>
        </is>
      </c>
      <c r="D27" s="5" t="inlineStr">
        <is>
          <t>prepaid</t>
        </is>
      </c>
      <c r="E27" s="5" t="inlineStr">
        <is>
          <t>SP</t>
        </is>
      </c>
      <c r="F27" s="5" t="inlineStr">
        <is>
          <t>TIM Pré XIP Plus 16GB</t>
        </is>
      </c>
      <c r="G27" s="5" t="inlineStr">
        <is>
          <t>tim:106306</t>
        </is>
      </c>
      <c r="H27" s="6" t="n">
        <v>30</v>
      </c>
      <c r="I27" s="6" t="inlineStr"/>
      <c r="J27" s="5" t="inlineStr"/>
      <c r="K27" s="7" t="n">
        <v>16</v>
      </c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>
        <is>
          <t>https://www.tim.com.br/sp/para-voce/planos/pre-pago</t>
        </is>
      </c>
      <c r="T27" s="5" t="inlineStr">
        <is>
          <t>data/raw/tim_prepaid_SP.html</t>
        </is>
      </c>
    </row>
    <row r="28">
      <c r="A28" s="2" t="inlineStr">
        <is>
          <t>2026-06-22</t>
        </is>
      </c>
      <c r="B28" s="2" t="inlineStr">
        <is>
          <t>2026-06-22T18:35:49</t>
        </is>
      </c>
      <c r="C28" s="2" t="inlineStr">
        <is>
          <t>tim</t>
        </is>
      </c>
      <c r="D28" s="2" t="inlineStr">
        <is>
          <t>prepaid</t>
        </is>
      </c>
      <c r="E28" s="2" t="inlineStr">
        <is>
          <t>SP</t>
        </is>
      </c>
      <c r="F28" s="2" t="inlineStr">
        <is>
          <t>TIM Pré XIP Plus 6GB</t>
        </is>
      </c>
      <c r="G28" s="2" t="inlineStr">
        <is>
          <t>tim:59906</t>
        </is>
      </c>
      <c r="H28" s="3" t="n">
        <v>20</v>
      </c>
      <c r="I28" s="3" t="inlineStr"/>
      <c r="J28" s="2" t="inlineStr"/>
      <c r="K28" s="4" t="n">
        <v>6</v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>
        <is>
          <t>https://www.tim.com.br/sp/para-voce/planos/pre-pago</t>
        </is>
      </c>
      <c r="T28" s="2" t="inlineStr">
        <is>
          <t>data/raw/tim_prepaid_SP.html</t>
        </is>
      </c>
    </row>
    <row r="29">
      <c r="A29" s="5" t="inlineStr">
        <is>
          <t>2026-06-22</t>
        </is>
      </c>
      <c r="B29" s="5" t="inlineStr">
        <is>
          <t>2026-06-22T18:35:49</t>
        </is>
      </c>
      <c r="C29" s="5" t="inlineStr">
        <is>
          <t>tim</t>
        </is>
      </c>
      <c r="D29" s="5" t="inlineStr">
        <is>
          <t>prepaid</t>
        </is>
      </c>
      <c r="E29" s="5" t="inlineStr">
        <is>
          <t>SP</t>
        </is>
      </c>
      <c r="F29" s="5" t="inlineStr">
        <is>
          <t>TIM Pré XIP Plus 8GB</t>
        </is>
      </c>
      <c r="G29" s="5" t="inlineStr">
        <is>
          <t>tim:59901</t>
        </is>
      </c>
      <c r="H29" s="6" t="n">
        <v>25</v>
      </c>
      <c r="I29" s="6" t="inlineStr"/>
      <c r="J29" s="5" t="inlineStr"/>
      <c r="K29" s="7" t="n">
        <v>8</v>
      </c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>
        <is>
          <t>https://www.tim.com.br/sp/para-voce/planos/pre-pago</t>
        </is>
      </c>
      <c r="T29" s="5" t="inlineStr">
        <is>
          <t>data/raw/tim_prepaid_SP.html</t>
        </is>
      </c>
    </row>
    <row r="30">
      <c r="A30" s="2" t="inlineStr">
        <is>
          <t>2026-06-22</t>
        </is>
      </c>
      <c r="B30" s="2" t="inlineStr">
        <is>
          <t>2026-06-22T18:35:49</t>
        </is>
      </c>
      <c r="C30" s="2" t="inlineStr">
        <is>
          <t>vivo</t>
        </is>
      </c>
      <c r="D30" s="2" t="inlineStr">
        <is>
          <t>control</t>
        </is>
      </c>
      <c r="E30" s="2" t="inlineStr">
        <is>
          <t>SP</t>
        </is>
      </c>
      <c r="F30" s="2" t="inlineStr">
        <is>
          <t>Vivo Controle</t>
        </is>
      </c>
      <c r="G30" s="2" t="inlineStr">
        <is>
          <t>vivo:VIV202600029270-46gb</t>
        </is>
      </c>
      <c r="H30" s="3" t="n">
        <v>59</v>
      </c>
      <c r="I30" s="3" t="inlineStr"/>
      <c r="J30" s="2" t="inlineStr"/>
      <c r="K30" s="4" t="n">
        <v>46</v>
      </c>
      <c r="L30" s="2" t="inlineStr">
        <is>
          <t>15 GB de franquia 31 GB de bônus</t>
        </is>
      </c>
      <c r="M30" s="2" t="inlineStr"/>
      <c r="N30" s="2" t="inlineStr"/>
      <c r="O30" s="2" t="inlineStr"/>
      <c r="P30" s="2" t="inlineStr"/>
      <c r="Q30" s="2" t="inlineStr"/>
      <c r="R30" s="2" t="inlineStr">
        <is>
          <t>6 meses grátis de Gemini com AI Plus</t>
        </is>
      </c>
      <c r="S30" s="2" t="inlineStr">
        <is>
          <t>https://vivo.com.br/para-voce/produtos-e-servicos/para-o-celular/planos-controle</t>
        </is>
      </c>
      <c r="T30" s="2" t="inlineStr">
        <is>
          <t>data/raw/vivo_control_SP.html</t>
        </is>
      </c>
    </row>
    <row r="31">
      <c r="A31" s="5" t="inlineStr">
        <is>
          <t>2026-06-22</t>
        </is>
      </c>
      <c r="B31" s="5" t="inlineStr">
        <is>
          <t>2026-06-22T18:35:49</t>
        </is>
      </c>
      <c r="C31" s="5" t="inlineStr">
        <is>
          <t>vivo</t>
        </is>
      </c>
      <c r="D31" s="5" t="inlineStr">
        <is>
          <t>control</t>
        </is>
      </c>
      <c r="E31" s="5" t="inlineStr">
        <is>
          <t>SP</t>
        </is>
      </c>
      <c r="F31" s="5" t="inlineStr">
        <is>
          <t>Vivo Controle</t>
        </is>
      </c>
      <c r="G31" s="5" t="inlineStr">
        <is>
          <t>vivo:VIV202600029300-61gb</t>
        </is>
      </c>
      <c r="H31" s="6" t="n">
        <v>80</v>
      </c>
      <c r="I31" s="6" t="inlineStr"/>
      <c r="J31" s="5" t="inlineStr"/>
      <c r="K31" s="7" t="n">
        <v>61</v>
      </c>
      <c r="L31" s="5" t="inlineStr">
        <is>
          <t>20 GB de franquia 31 GB de bônus</t>
        </is>
      </c>
      <c r="M31" s="5" t="inlineStr"/>
      <c r="N31" s="5" t="inlineStr"/>
      <c r="O31" s="5" t="inlineStr"/>
      <c r="P31" s="5" t="inlineStr"/>
      <c r="Q31" s="5" t="inlineStr"/>
      <c r="R31" s="5" t="inlineStr">
        <is>
          <t>6 meses grátis de Gemini com AI Plus</t>
        </is>
      </c>
      <c r="S31" s="5" t="inlineStr">
        <is>
          <t>https://vivo.com.br/para-voce/produtos-e-servicos/para-o-celular/planos-controle</t>
        </is>
      </c>
      <c r="T31" s="5" t="inlineStr">
        <is>
          <t>data/raw/vivo_control_SP.html</t>
        </is>
      </c>
    </row>
    <row r="32">
      <c r="A32" s="2" t="inlineStr">
        <is>
          <t>2026-06-22</t>
        </is>
      </c>
      <c r="B32" s="2" t="inlineStr">
        <is>
          <t>2026-06-22T18:35:49</t>
        </is>
      </c>
      <c r="C32" s="2" t="inlineStr">
        <is>
          <t>vivo</t>
        </is>
      </c>
      <c r="D32" s="2" t="inlineStr">
        <is>
          <t>control</t>
        </is>
      </c>
      <c r="E32" s="2" t="inlineStr">
        <is>
          <t>SP</t>
        </is>
      </c>
      <c r="F32" s="2" t="inlineStr">
        <is>
          <t>Vivo Controle Educação</t>
        </is>
      </c>
      <c r="G32" s="2" t="inlineStr">
        <is>
          <t>vivo:VIV202600029273-61gb</t>
        </is>
      </c>
      <c r="H32" s="3" t="n">
        <v>90</v>
      </c>
      <c r="I32" s="3" t="inlineStr"/>
      <c r="J32" s="2" t="inlineStr"/>
      <c r="K32" s="4" t="n">
        <v>61</v>
      </c>
      <c r="L32" s="2" t="inlineStr">
        <is>
          <t>20 GB de franquia 31 GB de bônus</t>
        </is>
      </c>
      <c r="M32" s="2" t="inlineStr"/>
      <c r="N32" s="2" t="inlineStr"/>
      <c r="O32" s="2" t="inlineStr"/>
      <c r="P32" s="2" t="inlineStr"/>
      <c r="Q32" s="2" t="inlineStr"/>
      <c r="R32" s="2" t="inlineStr">
        <is>
          <t>Assinatura Vivae inclusa</t>
        </is>
      </c>
      <c r="S32" s="2" t="inlineStr">
        <is>
          <t>https://vivo.com.br/para-voce/produtos-e-servicos/para-o-celular/planos-controle</t>
        </is>
      </c>
      <c r="T32" s="2" t="inlineStr">
        <is>
          <t>data/raw/vivo_control_SP.html</t>
        </is>
      </c>
    </row>
    <row r="33">
      <c r="A33" s="5" t="inlineStr">
        <is>
          <t>2026-06-22</t>
        </is>
      </c>
      <c r="B33" s="5" t="inlineStr">
        <is>
          <t>2026-06-22T18:35:49</t>
        </is>
      </c>
      <c r="C33" s="5" t="inlineStr">
        <is>
          <t>vivo</t>
        </is>
      </c>
      <c r="D33" s="5" t="inlineStr">
        <is>
          <t>control</t>
        </is>
      </c>
      <c r="E33" s="5" t="inlineStr">
        <is>
          <t>SP</t>
        </is>
      </c>
      <c r="F33" s="5" t="inlineStr">
        <is>
          <t>Vivo Controle Entretenimento</t>
        </is>
      </c>
      <c r="G33" s="5" t="inlineStr">
        <is>
          <t>vivo:VIV202600029307-61gb</t>
        </is>
      </c>
      <c r="H33" s="6" t="n">
        <v>110</v>
      </c>
      <c r="I33" s="6" t="inlineStr"/>
      <c r="J33" s="5" t="inlineStr"/>
      <c r="K33" s="7" t="n">
        <v>61</v>
      </c>
      <c r="L33" s="5" t="inlineStr">
        <is>
          <t>20 GB de franquia 31 GB de bônus</t>
        </is>
      </c>
      <c r="M33" s="5" t="inlineStr"/>
      <c r="N33" s="5" t="inlineStr"/>
      <c r="O33" s="5" t="inlineStr"/>
      <c r="P33" s="5" t="inlineStr"/>
      <c r="Q33" s="5" t="inlineStr"/>
      <c r="R33" s="5" t="inlineStr">
        <is>
          <t>Assinatura Vivo TV Inicial inclusa</t>
        </is>
      </c>
      <c r="S33" s="5" t="inlineStr">
        <is>
          <t>https://vivo.com.br/para-voce/produtos-e-servicos/para-o-celular/planos-controle</t>
        </is>
      </c>
      <c r="T33" s="5" t="inlineStr">
        <is>
          <t>data/raw/vivo_control_SP.html</t>
        </is>
      </c>
    </row>
    <row r="34">
      <c r="A34" s="2" t="inlineStr">
        <is>
          <t>2026-06-22</t>
        </is>
      </c>
      <c r="B34" s="2" t="inlineStr">
        <is>
          <t>2026-06-22T18:35:49</t>
        </is>
      </c>
      <c r="C34" s="2" t="inlineStr">
        <is>
          <t>vivo</t>
        </is>
      </c>
      <c r="D34" s="2" t="inlineStr">
        <is>
          <t>control</t>
        </is>
      </c>
      <c r="E34" s="2" t="inlineStr">
        <is>
          <t>SP</t>
        </is>
      </c>
      <c r="F34" s="2" t="inlineStr">
        <is>
          <t>Vivo Controle Música</t>
        </is>
      </c>
      <c r="G34" s="2" t="inlineStr">
        <is>
          <t>vivo:VIV202600029313-61gb</t>
        </is>
      </c>
      <c r="H34" s="3" t="n">
        <v>95</v>
      </c>
      <c r="I34" s="3" t="inlineStr"/>
      <c r="J34" s="2" t="inlineStr"/>
      <c r="K34" s="4" t="n">
        <v>61</v>
      </c>
      <c r="L34" s="2" t="inlineStr">
        <is>
          <t>20 GB de franquia 31 GB de bônus</t>
        </is>
      </c>
      <c r="M34" s="2" t="inlineStr"/>
      <c r="N34" s="2" t="inlineStr"/>
      <c r="O34" s="2" t="inlineStr"/>
      <c r="P34" s="2" t="inlineStr"/>
      <c r="Q34" s="2" t="inlineStr"/>
      <c r="R34" s="2" t="inlineStr">
        <is>
          <t>Apple Music Individual</t>
        </is>
      </c>
      <c r="S34" s="2" t="inlineStr">
        <is>
          <t>https://vivo.com.br/para-voce/produtos-e-servicos/para-o-celular/planos-controle</t>
        </is>
      </c>
      <c r="T34" s="2" t="inlineStr">
        <is>
          <t>data/raw/vivo_control_SP.html</t>
        </is>
      </c>
    </row>
    <row r="35">
      <c r="A35" s="5" t="inlineStr">
        <is>
          <t>2026-06-22</t>
        </is>
      </c>
      <c r="B35" s="5" t="inlineStr">
        <is>
          <t>2026-06-22T18:35:49</t>
        </is>
      </c>
      <c r="C35" s="5" t="inlineStr">
        <is>
          <t>vivo</t>
        </is>
      </c>
      <c r="D35" s="5" t="inlineStr">
        <is>
          <t>control</t>
        </is>
      </c>
      <c r="E35" s="5" t="inlineStr">
        <is>
          <t>SP</t>
        </is>
      </c>
      <c r="F35" s="5" t="inlineStr">
        <is>
          <t>Vivo Controle Netflix</t>
        </is>
      </c>
      <c r="G35" s="5" t="inlineStr">
        <is>
          <t>vivo:VIV202600029308-61gb</t>
        </is>
      </c>
      <c r="H35" s="6" t="n">
        <v>95</v>
      </c>
      <c r="I35" s="6" t="inlineStr"/>
      <c r="J35" s="5" t="inlineStr"/>
      <c r="K35" s="7" t="n">
        <v>61</v>
      </c>
      <c r="L35" s="5" t="inlineStr">
        <is>
          <t>20 GB de franquia 31 GB de bônus</t>
        </is>
      </c>
      <c r="M35" s="5" t="inlineStr"/>
      <c r="N35" s="5" t="inlineStr"/>
      <c r="O35" s="5" t="inlineStr"/>
      <c r="P35" s="5" t="inlineStr"/>
      <c r="Q35" s="5" t="inlineStr"/>
      <c r="R35" s="5" t="inlineStr">
        <is>
          <t>Assinatura Netflix Padrão com anúncios</t>
        </is>
      </c>
      <c r="S35" s="5" t="inlineStr">
        <is>
          <t>https://vivo.com.br/para-voce/produtos-e-servicos/para-o-celular/planos-controle</t>
        </is>
      </c>
      <c r="T35" s="5" t="inlineStr">
        <is>
          <t>data/raw/vivo_control_SP.html</t>
        </is>
      </c>
    </row>
    <row r="36">
      <c r="A36" s="2" t="inlineStr">
        <is>
          <t>2026-06-22</t>
        </is>
      </c>
      <c r="B36" s="2" t="inlineStr">
        <is>
          <t>2026-06-22T18:35:49</t>
        </is>
      </c>
      <c r="C36" s="2" t="inlineStr">
        <is>
          <t>vivo</t>
        </is>
      </c>
      <c r="D36" s="2" t="inlineStr">
        <is>
          <t>control</t>
        </is>
      </c>
      <c r="E36" s="2" t="inlineStr">
        <is>
          <t>SP</t>
        </is>
      </c>
      <c r="F36" s="2" t="inlineStr">
        <is>
          <t>Vivo Controle Saúde</t>
        </is>
      </c>
      <c r="G36" s="2" t="inlineStr">
        <is>
          <t>vivo:VIV202600029301-61gb</t>
        </is>
      </c>
      <c r="H36" s="3" t="n">
        <v>90</v>
      </c>
      <c r="I36" s="3" t="inlineStr"/>
      <c r="J36" s="2" t="inlineStr"/>
      <c r="K36" s="4" t="n">
        <v>61</v>
      </c>
      <c r="L36" s="2" t="inlineStr">
        <is>
          <t>20 GB de franquia 31 GB de bônus</t>
        </is>
      </c>
      <c r="M36" s="2" t="inlineStr"/>
      <c r="N36" s="2" t="inlineStr"/>
      <c r="O36" s="2" t="inlineStr"/>
      <c r="P36" s="2" t="inlineStr"/>
      <c r="Q36" s="2" t="inlineStr"/>
      <c r="R36" s="2" t="inlineStr">
        <is>
          <t>Assinatura Vale Saúde Sempre inclusa</t>
        </is>
      </c>
      <c r="S36" s="2" t="inlineStr">
        <is>
          <t>https://vivo.com.br/para-voce/produtos-e-servicos/para-o-celular/planos-controle</t>
        </is>
      </c>
      <c r="T36" s="2" t="inlineStr">
        <is>
          <t>data/raw/vivo_control_SP.html</t>
        </is>
      </c>
    </row>
    <row r="37">
      <c r="A37" s="5" t="inlineStr">
        <is>
          <t>2026-06-22</t>
        </is>
      </c>
      <c r="B37" s="5" t="inlineStr">
        <is>
          <t>2026-06-22T18:35:49</t>
        </is>
      </c>
      <c r="C37" s="5" t="inlineStr">
        <is>
          <t>vivo</t>
        </is>
      </c>
      <c r="D37" s="5" t="inlineStr">
        <is>
          <t>lite</t>
        </is>
      </c>
      <c r="E37" s="5" t="inlineStr">
        <is>
          <t>SP</t>
        </is>
      </c>
      <c r="F37" s="5" t="inlineStr">
        <is>
          <t>Easy Lite</t>
        </is>
      </c>
      <c r="G37" s="5" t="inlineStr">
        <is>
          <t>vivo:VIV202600005312-30gb</t>
        </is>
      </c>
      <c r="H37" s="6" t="n">
        <v>30</v>
      </c>
      <c r="I37" s="6" t="inlineStr"/>
      <c r="J37" s="5" t="inlineStr"/>
      <c r="K37" s="7" t="n">
        <v>30</v>
      </c>
      <c r="L37" s="5" t="inlineStr">
        <is>
          <t>30 GB de franquia 2 Meses de YouTube ilimitado</t>
        </is>
      </c>
      <c r="M37" s="5" t="inlineStr"/>
      <c r="N37" s="5" t="inlineStr"/>
      <c r="O37" s="5" t="inlineStr"/>
      <c r="P37" s="5" t="inlineStr"/>
      <c r="Q37" s="5" t="inlineStr"/>
      <c r="R37" s="5" t="inlineStr"/>
      <c r="S37" s="5" t="inlineStr">
        <is>
          <t>https://vivo.com.br/para-voce/produtos-e-servicos/para-o-celular/easy-lite</t>
        </is>
      </c>
      <c r="T37" s="5" t="inlineStr">
        <is>
          <t>data/raw/vivo_lite_SP.html</t>
        </is>
      </c>
    </row>
    <row r="38">
      <c r="A38" s="2" t="inlineStr">
        <is>
          <t>2026-06-22</t>
        </is>
      </c>
      <c r="B38" s="2" t="inlineStr">
        <is>
          <t>2026-06-22T18:35:49</t>
        </is>
      </c>
      <c r="C38" s="2" t="inlineStr">
        <is>
          <t>vivo</t>
        </is>
      </c>
      <c r="D38" s="2" t="inlineStr">
        <is>
          <t>lite</t>
        </is>
      </c>
      <c r="E38" s="2" t="inlineStr">
        <is>
          <t>SP</t>
        </is>
      </c>
      <c r="F38" s="2" t="inlineStr">
        <is>
          <t>Easy Lite</t>
        </is>
      </c>
      <c r="G38" s="2" t="inlineStr">
        <is>
          <t>vivo:VIV202600019134-40gb</t>
        </is>
      </c>
      <c r="H38" s="3" t="n">
        <v>40</v>
      </c>
      <c r="I38" s="3" t="inlineStr"/>
      <c r="J38" s="2" t="inlineStr"/>
      <c r="K38" s="4" t="n">
        <v>40</v>
      </c>
      <c r="L38" s="2" t="inlineStr">
        <is>
          <t>40 GB de franquia 2 Meses de YouTube ilimitado</t>
        </is>
      </c>
      <c r="M38" s="2" t="inlineStr"/>
      <c r="N38" s="2" t="inlineStr"/>
      <c r="O38" s="2" t="inlineStr"/>
      <c r="P38" s="2" t="inlineStr"/>
      <c r="Q38" s="2" t="inlineStr"/>
      <c r="R38" s="2" t="inlineStr"/>
      <c r="S38" s="2" t="inlineStr">
        <is>
          <t>https://vivo.com.br/para-voce/produtos-e-servicos/para-o-celular/easy-lite</t>
        </is>
      </c>
      <c r="T38" s="2" t="inlineStr">
        <is>
          <t>data/raw/vivo_lite_SP.html</t>
        </is>
      </c>
    </row>
    <row r="39">
      <c r="A39" s="5" t="inlineStr">
        <is>
          <t>2026-06-22</t>
        </is>
      </c>
      <c r="B39" s="5" t="inlineStr">
        <is>
          <t>2026-06-22T18:35:49</t>
        </is>
      </c>
      <c r="C39" s="5" t="inlineStr">
        <is>
          <t>vivo</t>
        </is>
      </c>
      <c r="D39" s="5" t="inlineStr">
        <is>
          <t>lite</t>
        </is>
      </c>
      <c r="E39" s="5" t="inlineStr">
        <is>
          <t>SP</t>
        </is>
      </c>
      <c r="F39" s="5" t="inlineStr">
        <is>
          <t>Easy Lite</t>
        </is>
      </c>
      <c r="G39" s="5" t="inlineStr">
        <is>
          <t>vivo:VIV202600019132-20gb</t>
        </is>
      </c>
      <c r="H39" s="6" t="n">
        <v>35</v>
      </c>
      <c r="I39" s="6" t="inlineStr"/>
      <c r="J39" s="5" t="inlineStr"/>
      <c r="K39" s="7" t="n">
        <v>20</v>
      </c>
      <c r="L39" s="5" t="inlineStr">
        <is>
          <t>20 GB de franquia 2 Meses de YouTube ilimitado</t>
        </is>
      </c>
      <c r="M39" s="5" t="inlineStr"/>
      <c r="N39" s="5" t="inlineStr"/>
      <c r="O39" s="5" t="inlineStr"/>
      <c r="P39" s="5" t="inlineStr"/>
      <c r="Q39" s="5" t="inlineStr"/>
      <c r="R39" s="5" t="inlineStr"/>
      <c r="S39" s="5" t="inlineStr">
        <is>
          <t>https://vivo.com.br/para-voce/produtos-e-servicos/para-o-celular/easy-lite</t>
        </is>
      </c>
      <c r="T39" s="5" t="inlineStr">
        <is>
          <t>data/raw/vivo_lite_SP.html</t>
        </is>
      </c>
    </row>
    <row r="40">
      <c r="A40" s="2" t="inlineStr">
        <is>
          <t>2026-06-22</t>
        </is>
      </c>
      <c r="B40" s="2" t="inlineStr">
        <is>
          <t>2026-06-22T18:35:49</t>
        </is>
      </c>
      <c r="C40" s="2" t="inlineStr">
        <is>
          <t>vivo</t>
        </is>
      </c>
      <c r="D40" s="2" t="inlineStr">
        <is>
          <t>lite</t>
        </is>
      </c>
      <c r="E40" s="2" t="inlineStr">
        <is>
          <t>SP</t>
        </is>
      </c>
      <c r="F40" s="2" t="inlineStr">
        <is>
          <t>Easy Lite</t>
        </is>
      </c>
      <c r="G40" s="2" t="inlineStr">
        <is>
          <t>vivo:VIV202600019127-30gb</t>
        </is>
      </c>
      <c r="H40" s="3" t="n">
        <v>40</v>
      </c>
      <c r="I40" s="3" t="inlineStr"/>
      <c r="J40" s="2" t="inlineStr"/>
      <c r="K40" s="4" t="n">
        <v>30</v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>
        <is>
          <t>https://vivo.com.br/para-voce/produtos-e-servicos/para-o-celular/easy-lite</t>
        </is>
      </c>
      <c r="T40" s="2" t="inlineStr">
        <is>
          <t>data/raw/vivo_lite_SP.html</t>
        </is>
      </c>
    </row>
    <row r="41">
      <c r="A41" s="5" t="inlineStr">
        <is>
          <t>2026-06-22</t>
        </is>
      </c>
      <c r="B41" s="5" t="inlineStr">
        <is>
          <t>2026-06-22T18:35:49</t>
        </is>
      </c>
      <c r="C41" s="5" t="inlineStr">
        <is>
          <t>vivo</t>
        </is>
      </c>
      <c r="D41" s="5" t="inlineStr">
        <is>
          <t>lite</t>
        </is>
      </c>
      <c r="E41" s="5" t="inlineStr">
        <is>
          <t>SP</t>
        </is>
      </c>
      <c r="F41" s="5" t="inlineStr">
        <is>
          <t>Easy Lite</t>
        </is>
      </c>
      <c r="G41" s="5" t="inlineStr">
        <is>
          <t>vivo:VIV202600019129-40gb</t>
        </is>
      </c>
      <c r="H41" s="6" t="n">
        <v>50</v>
      </c>
      <c r="I41" s="6" t="inlineStr"/>
      <c r="J41" s="5" t="inlineStr"/>
      <c r="K41" s="7" t="n">
        <v>40</v>
      </c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>
        <is>
          <t>https://vivo.com.br/para-voce/produtos-e-servicos/para-o-celular/easy-lite</t>
        </is>
      </c>
      <c r="T41" s="5" t="inlineStr">
        <is>
          <t>data/raw/vivo_lite_SP.html</t>
        </is>
      </c>
    </row>
    <row r="42">
      <c r="A42" s="2" t="inlineStr">
        <is>
          <t>2026-06-22</t>
        </is>
      </c>
      <c r="B42" s="2" t="inlineStr">
        <is>
          <t>2026-06-22T18:35:49</t>
        </is>
      </c>
      <c r="C42" s="2" t="inlineStr">
        <is>
          <t>vivo</t>
        </is>
      </c>
      <c r="D42" s="2" t="inlineStr">
        <is>
          <t>postpaid</t>
        </is>
      </c>
      <c r="E42" s="2" t="inlineStr">
        <is>
          <t>SP</t>
        </is>
      </c>
      <c r="F42" s="2" t="inlineStr">
        <is>
          <t>Vivo Pós com Amazon</t>
        </is>
      </c>
      <c r="G42" s="2" t="inlineStr">
        <is>
          <t>vivo:VIV202600029255-60gb</t>
        </is>
      </c>
      <c r="H42" s="3" t="n">
        <v>150</v>
      </c>
      <c r="I42" s="3" t="inlineStr"/>
      <c r="J42" s="2" t="inlineStr"/>
      <c r="K42" s="4" t="n">
        <v>60</v>
      </c>
      <c r="L42" s="2" t="inlineStr">
        <is>
          <t>50 GB de franquia 10 GB de bônus</t>
        </is>
      </c>
      <c r="M42" s="2" t="inlineStr"/>
      <c r="N42" s="2" t="inlineStr"/>
      <c r="O42" s="2" t="inlineStr"/>
      <c r="P42" s="2" t="inlineStr"/>
      <c r="Q42" s="2" t="inlineStr"/>
      <c r="R42" s="2" t="inlineStr">
        <is>
          <t>Assinatura Amazon Prime inclusa</t>
        </is>
      </c>
      <c r="S42" s="2" t="inlineStr">
        <is>
          <t>https://vivo.com.br/para-voce/produtos-e-servicos/para-o-celular/planos-pos-pago</t>
        </is>
      </c>
      <c r="T42" s="2" t="inlineStr">
        <is>
          <t>data/raw/vivo_postpaid_SP.html</t>
        </is>
      </c>
    </row>
    <row r="43">
      <c r="A43" s="5" t="inlineStr">
        <is>
          <t>2026-06-22</t>
        </is>
      </c>
      <c r="B43" s="5" t="inlineStr">
        <is>
          <t>2026-06-22T18:35:49</t>
        </is>
      </c>
      <c r="C43" s="5" t="inlineStr">
        <is>
          <t>vivo</t>
        </is>
      </c>
      <c r="D43" s="5" t="inlineStr">
        <is>
          <t>postpaid</t>
        </is>
      </c>
      <c r="E43" s="5" t="inlineStr">
        <is>
          <t>SP</t>
        </is>
      </c>
      <c r="F43" s="5" t="inlineStr">
        <is>
          <t>Vivo Pós com Disney+</t>
        </is>
      </c>
      <c r="G43" s="5" t="inlineStr">
        <is>
          <t>vivo:VIV202600022115-60gb</t>
        </is>
      </c>
      <c r="H43" s="6" t="n">
        <v>180</v>
      </c>
      <c r="I43" s="6" t="inlineStr"/>
      <c r="J43" s="5" t="inlineStr"/>
      <c r="K43" s="7" t="n">
        <v>60</v>
      </c>
      <c r="L43" s="5" t="inlineStr">
        <is>
          <t>50 GB de franquia 10 GB de bônus</t>
        </is>
      </c>
      <c r="M43" s="5" t="inlineStr"/>
      <c r="N43" s="5" t="inlineStr"/>
      <c r="O43" s="5" t="inlineStr"/>
      <c r="P43" s="5" t="inlineStr">
        <is>
          <t>Disney+</t>
        </is>
      </c>
      <c r="Q43" s="5" t="inlineStr"/>
      <c r="R43" s="5" t="inlineStr">
        <is>
          <t>Assinatura Disney+ Padrão inclusa</t>
        </is>
      </c>
      <c r="S43" s="5" t="inlineStr">
        <is>
          <t>https://vivo.com.br/para-voce/produtos-e-servicos/para-o-celular/planos-pos-pago</t>
        </is>
      </c>
      <c r="T43" s="5" t="inlineStr">
        <is>
          <t>data/raw/vivo_postpaid_SP.html</t>
        </is>
      </c>
    </row>
    <row r="44">
      <c r="A44" s="2" t="inlineStr">
        <is>
          <t>2026-06-22</t>
        </is>
      </c>
      <c r="B44" s="2" t="inlineStr">
        <is>
          <t>2026-06-22T18:35:49</t>
        </is>
      </c>
      <c r="C44" s="2" t="inlineStr">
        <is>
          <t>vivo</t>
        </is>
      </c>
      <c r="D44" s="2" t="inlineStr">
        <is>
          <t>postpaid</t>
        </is>
      </c>
      <c r="E44" s="2" t="inlineStr">
        <is>
          <t>SP</t>
        </is>
      </c>
      <c r="F44" s="2" t="inlineStr">
        <is>
          <t>Vivo Pós com Globoplay</t>
        </is>
      </c>
      <c r="G44" s="2" t="inlineStr">
        <is>
          <t>vivo:VIV202600029246-60gb</t>
        </is>
      </c>
      <c r="H44" s="3" t="n">
        <v>165</v>
      </c>
      <c r="I44" s="3" t="inlineStr"/>
      <c r="J44" s="2" t="inlineStr"/>
      <c r="K44" s="4" t="n">
        <v>60</v>
      </c>
      <c r="L44" s="2" t="inlineStr">
        <is>
          <t>50 GB de franquia 10 GB de bônus</t>
        </is>
      </c>
      <c r="M44" s="2" t="inlineStr"/>
      <c r="N44" s="2" t="inlineStr"/>
      <c r="O44" s="2" t="inlineStr"/>
      <c r="P44" s="2" t="inlineStr">
        <is>
          <t>Globoplay</t>
        </is>
      </c>
      <c r="Q44" s="2" t="inlineStr"/>
      <c r="R44" s="2" t="inlineStr">
        <is>
          <t>Assinatura Globoplay inclusa</t>
        </is>
      </c>
      <c r="S44" s="2" t="inlineStr">
        <is>
          <t>https://vivo.com.br/para-voce/produtos-e-servicos/para-o-celular/planos-pos-pago</t>
        </is>
      </c>
      <c r="T44" s="2" t="inlineStr">
        <is>
          <t>data/raw/vivo_postpaid_SP.html</t>
        </is>
      </c>
    </row>
    <row r="45">
      <c r="A45" s="5" t="inlineStr">
        <is>
          <t>2026-06-22</t>
        </is>
      </c>
      <c r="B45" s="5" t="inlineStr">
        <is>
          <t>2026-06-22T18:35:49</t>
        </is>
      </c>
      <c r="C45" s="5" t="inlineStr">
        <is>
          <t>vivo</t>
        </is>
      </c>
      <c r="D45" s="5" t="inlineStr">
        <is>
          <t>postpaid</t>
        </is>
      </c>
      <c r="E45" s="5" t="inlineStr">
        <is>
          <t>SP</t>
        </is>
      </c>
      <c r="F45" s="5" t="inlineStr">
        <is>
          <t>Vivo Pós com Netflix</t>
        </is>
      </c>
      <c r="G45" s="5" t="inlineStr">
        <is>
          <t>vivo:VIV202600029234-60gb</t>
        </is>
      </c>
      <c r="H45" s="6" t="n">
        <v>180</v>
      </c>
      <c r="I45" s="6" t="inlineStr"/>
      <c r="J45" s="5" t="inlineStr"/>
      <c r="K45" s="7" t="n">
        <v>60</v>
      </c>
      <c r="L45" s="5" t="inlineStr">
        <is>
          <t>50 GB de franquia 10 GB de bônus</t>
        </is>
      </c>
      <c r="M45" s="5" t="inlineStr"/>
      <c r="N45" s="5" t="inlineStr"/>
      <c r="O45" s="5" t="inlineStr"/>
      <c r="P45" s="5" t="inlineStr">
        <is>
          <t>Netflix</t>
        </is>
      </c>
      <c r="Q45" s="5" t="inlineStr"/>
      <c r="R45" s="5" t="inlineStr">
        <is>
          <t>Assinatura Netflix Padrão inclusa</t>
        </is>
      </c>
      <c r="S45" s="5" t="inlineStr">
        <is>
          <t>https://vivo.com.br/para-voce/produtos-e-servicos/para-o-celular/planos-pos-pago</t>
        </is>
      </c>
      <c r="T45" s="5" t="inlineStr">
        <is>
          <t>data/raw/vivo_postpaid_SP.html</t>
        </is>
      </c>
    </row>
    <row r="46">
      <c r="A46" s="2" t="inlineStr">
        <is>
          <t>2026-06-22</t>
        </is>
      </c>
      <c r="B46" s="2" t="inlineStr">
        <is>
          <t>2026-06-22T18:35:49</t>
        </is>
      </c>
      <c r="C46" s="2" t="inlineStr">
        <is>
          <t>vivo</t>
        </is>
      </c>
      <c r="D46" s="2" t="inlineStr">
        <is>
          <t>postpaid</t>
        </is>
      </c>
      <c r="E46" s="2" t="inlineStr">
        <is>
          <t>SP</t>
        </is>
      </c>
      <c r="F46" s="2" t="inlineStr">
        <is>
          <t>Vivo Pós com Premiere</t>
        </is>
      </c>
      <c r="G46" s="2" t="inlineStr">
        <is>
          <t>vivo:VIV202600029249-60gb</t>
        </is>
      </c>
      <c r="H46" s="3" t="n">
        <v>180</v>
      </c>
      <c r="I46" s="3" t="inlineStr"/>
      <c r="J46" s="2" t="inlineStr"/>
      <c r="K46" s="4" t="n">
        <v>60</v>
      </c>
      <c r="L46" s="2" t="inlineStr">
        <is>
          <t>50 GB de franquia 10 GB de bônus</t>
        </is>
      </c>
      <c r="M46" s="2" t="inlineStr"/>
      <c r="N46" s="2" t="inlineStr"/>
      <c r="O46" s="2" t="inlineStr"/>
      <c r="P46" s="2" t="inlineStr">
        <is>
          <t>Premiere</t>
        </is>
      </c>
      <c r="Q46" s="2" t="inlineStr"/>
      <c r="R46" s="2" t="inlineStr">
        <is>
          <t>Assinatura Premiere inclusa</t>
        </is>
      </c>
      <c r="S46" s="2" t="inlineStr">
        <is>
          <t>https://vivo.com.br/para-voce/produtos-e-servicos/para-o-celular/planos-pos-pago</t>
        </is>
      </c>
      <c r="T46" s="2" t="inlineStr">
        <is>
          <t>data/raw/vivo_postpaid_SP.html</t>
        </is>
      </c>
    </row>
    <row r="47">
      <c r="A47" s="5" t="inlineStr">
        <is>
          <t>2026-06-22</t>
        </is>
      </c>
      <c r="B47" s="5" t="inlineStr">
        <is>
          <t>2026-06-22T18:35:49</t>
        </is>
      </c>
      <c r="C47" s="5" t="inlineStr">
        <is>
          <t>vivo</t>
        </is>
      </c>
      <c r="D47" s="5" t="inlineStr">
        <is>
          <t>postpaid</t>
        </is>
      </c>
      <c r="E47" s="5" t="inlineStr">
        <is>
          <t>SP</t>
        </is>
      </c>
      <c r="F47" s="5" t="inlineStr">
        <is>
          <t>Vivo Pós com Spotify</t>
        </is>
      </c>
      <c r="G47" s="5" t="inlineStr">
        <is>
          <t>vivo:VIV202600029229-60gb</t>
        </is>
      </c>
      <c r="H47" s="6" t="n">
        <v>165</v>
      </c>
      <c r="I47" s="6" t="inlineStr"/>
      <c r="J47" s="5" t="inlineStr"/>
      <c r="K47" s="7" t="n">
        <v>60</v>
      </c>
      <c r="L47" s="5" t="inlineStr">
        <is>
          <t>50 GB de franquia 10 GB de bônus</t>
        </is>
      </c>
      <c r="M47" s="5" t="inlineStr"/>
      <c r="N47" s="5" t="inlineStr"/>
      <c r="O47" s="5" t="inlineStr"/>
      <c r="P47" s="5" t="inlineStr">
        <is>
          <t>Spotify</t>
        </is>
      </c>
      <c r="Q47" s="5" t="inlineStr"/>
      <c r="R47" s="5" t="inlineStr">
        <is>
          <t>Assinatura Spotify Premium inclusa</t>
        </is>
      </c>
      <c r="S47" s="5" t="inlineStr">
        <is>
          <t>https://vivo.com.br/para-voce/produtos-e-servicos/para-o-celular/planos-pos-pago</t>
        </is>
      </c>
      <c r="T47" s="5" t="inlineStr">
        <is>
          <t>data/raw/vivo_postpaid_SP.html</t>
        </is>
      </c>
    </row>
    <row r="48">
      <c r="A48" s="2" t="inlineStr">
        <is>
          <t>2026-06-22</t>
        </is>
      </c>
      <c r="B48" s="2" t="inlineStr">
        <is>
          <t>2026-06-22T18:35:49</t>
        </is>
      </c>
      <c r="C48" s="2" t="inlineStr">
        <is>
          <t>vivo</t>
        </is>
      </c>
      <c r="D48" s="2" t="inlineStr">
        <is>
          <t>postpaid</t>
        </is>
      </c>
      <c r="E48" s="2" t="inlineStr">
        <is>
          <t>SP</t>
        </is>
      </c>
      <c r="F48" s="2" t="inlineStr">
        <is>
          <t>Vivo Pós com Travel</t>
        </is>
      </c>
      <c r="G48" s="2" t="inlineStr">
        <is>
          <t>vivo:VIV202600029244-70gb</t>
        </is>
      </c>
      <c r="H48" s="3" t="n">
        <v>215</v>
      </c>
      <c r="I48" s="3" t="inlineStr"/>
      <c r="J48" s="2" t="inlineStr"/>
      <c r="K48" s="4" t="n">
        <v>70</v>
      </c>
      <c r="L48" s="2" t="inlineStr">
        <is>
          <t>60 GB de franquia 10 GB de bônus</t>
        </is>
      </c>
      <c r="M48" s="2" t="inlineStr"/>
      <c r="N48" s="2" t="inlineStr"/>
      <c r="O48" s="2" t="inlineStr"/>
      <c r="P48" s="2" t="inlineStr"/>
      <c r="Q48" s="2" t="inlineStr"/>
      <c r="R48" s="2" t="inlineStr">
        <is>
          <t>6 meses grátis de Gemini com AI Plus</t>
        </is>
      </c>
      <c r="S48" s="2" t="inlineStr">
        <is>
          <t>https://vivo.com.br/para-voce/produtos-e-servicos/para-o-celular/planos-pos-pago</t>
        </is>
      </c>
      <c r="T48" s="2" t="inlineStr">
        <is>
          <t>data/raw/vivo_postpaid_SP.html</t>
        </is>
      </c>
    </row>
    <row r="49">
      <c r="A49" s="5" t="inlineStr">
        <is>
          <t>2026-06-22</t>
        </is>
      </c>
      <c r="B49" s="5" t="inlineStr">
        <is>
          <t>2026-06-22T18:35:49</t>
        </is>
      </c>
      <c r="C49" s="5" t="inlineStr">
        <is>
          <t>vivo</t>
        </is>
      </c>
      <c r="D49" s="5" t="inlineStr">
        <is>
          <t>prepaid</t>
        </is>
      </c>
      <c r="E49" s="5" t="inlineStr">
        <is>
          <t>SP</t>
        </is>
      </c>
      <c r="F49" s="5" t="inlineStr">
        <is>
          <t>Vivo Pré</t>
        </is>
      </c>
      <c r="G49" s="5" t="inlineStr">
        <is>
          <t>vivo:VIV202600022379-25gb</t>
        </is>
      </c>
      <c r="H49" s="6" t="n">
        <v>30</v>
      </c>
      <c r="I49" s="6" t="inlineStr"/>
      <c r="J49" s="5" t="inlineStr"/>
      <c r="K49" s="7" t="n">
        <v>25</v>
      </c>
      <c r="L49" s="5" t="inlineStr">
        <is>
          <t>15 GB para navegar como quiser 5 GB de bônus 5 GB para navegar no Youtube</t>
        </is>
      </c>
      <c r="M49" s="5" t="inlineStr"/>
      <c r="N49" s="5" t="inlineStr"/>
      <c r="O49" s="5" t="inlineStr"/>
      <c r="P49" s="5" t="inlineStr"/>
      <c r="Q49" s="5" t="inlineStr"/>
      <c r="R49" s="5" t="inlineStr"/>
      <c r="S49" s="5" t="inlineStr">
        <is>
          <t>https://vivo.com.br/para-voce/produtos-e-servicos/para-o-celular/pre-pago/vivo-pre</t>
        </is>
      </c>
      <c r="T49" s="5" t="inlineStr">
        <is>
          <t>data/raw/vivo_prepaid_SP.html</t>
        </is>
      </c>
    </row>
    <row r="50">
      <c r="A50" s="2" t="inlineStr">
        <is>
          <t>2026-06-22</t>
        </is>
      </c>
      <c r="B50" s="2" t="inlineStr">
        <is>
          <t>2026-06-22T18:35:49</t>
        </is>
      </c>
      <c r="C50" s="2" t="inlineStr">
        <is>
          <t>vivo</t>
        </is>
      </c>
      <c r="D50" s="2" t="inlineStr">
        <is>
          <t>prepaid</t>
        </is>
      </c>
      <c r="E50" s="2" t="inlineStr">
        <is>
          <t>SP</t>
        </is>
      </c>
      <c r="F50" s="2" t="inlineStr">
        <is>
          <t>Vivo Pré</t>
        </is>
      </c>
      <c r="G50" s="2" t="inlineStr">
        <is>
          <t>vivo:VIV202600022379-9gb</t>
        </is>
      </c>
      <c r="H50" s="3" t="n">
        <v>25</v>
      </c>
      <c r="I50" s="3" t="inlineStr"/>
      <c r="J50" s="2" t="inlineStr"/>
      <c r="K50" s="4" t="n">
        <v>9</v>
      </c>
      <c r="L50" s="2" t="inlineStr">
        <is>
          <t>6 GB para navegar como quiser 3 GB para navegar no YouTube</t>
        </is>
      </c>
      <c r="M50" s="2" t="inlineStr"/>
      <c r="N50" s="2" t="inlineStr"/>
      <c r="O50" s="2" t="inlineStr"/>
      <c r="P50" s="2" t="inlineStr"/>
      <c r="Q50" s="2" t="inlineStr"/>
      <c r="R50" s="2" t="inlineStr"/>
      <c r="S50" s="2" t="inlineStr">
        <is>
          <t>https://vivo.com.br/para-voce/produtos-e-servicos/para-o-celular/pre-pago/vivo-pre</t>
        </is>
      </c>
      <c r="T50" s="2" t="inlineStr">
        <is>
          <t>data/raw/vivo_prepaid_SP.html</t>
        </is>
      </c>
    </row>
    <row r="51">
      <c r="A51" s="5" t="inlineStr">
        <is>
          <t>2026-06-22</t>
        </is>
      </c>
      <c r="B51" s="5" t="inlineStr">
        <is>
          <t>2026-06-22T18:35:49</t>
        </is>
      </c>
      <c r="C51" s="5" t="inlineStr">
        <is>
          <t>vivo</t>
        </is>
      </c>
      <c r="D51" s="5" t="inlineStr">
        <is>
          <t>prepaid</t>
        </is>
      </c>
      <c r="E51" s="5" t="inlineStr">
        <is>
          <t>SP</t>
        </is>
      </c>
      <c r="F51" s="5" t="inlineStr">
        <is>
          <t>Vivo Pré</t>
        </is>
      </c>
      <c r="G51" s="5" t="inlineStr">
        <is>
          <t>vivo:VIV202600022379-5gb</t>
        </is>
      </c>
      <c r="H51" s="6" t="n">
        <v>20</v>
      </c>
      <c r="I51" s="6" t="inlineStr"/>
      <c r="J51" s="5" t="inlineStr"/>
      <c r="K51" s="7" t="n">
        <v>5</v>
      </c>
      <c r="L51" s="5" t="inlineStr">
        <is>
          <t>5 GB para navegar como quiser</t>
        </is>
      </c>
      <c r="M51" s="5" t="inlineStr"/>
      <c r="N51" s="5" t="inlineStr"/>
      <c r="O51" s="5" t="inlineStr"/>
      <c r="P51" s="5" t="inlineStr"/>
      <c r="Q51" s="5" t="inlineStr"/>
      <c r="R51" s="5" t="inlineStr"/>
      <c r="S51" s="5" t="inlineStr">
        <is>
          <t>https://vivo.com.br/para-voce/produtos-e-servicos/para-o-celular/pre-pago/vivo-pre</t>
        </is>
      </c>
      <c r="T51" s="5" t="inlineStr">
        <is>
          <t>data/raw/vivo_prepaid_SP.html</t>
        </is>
      </c>
    </row>
    <row r="52">
      <c r="A52" s="2" t="inlineStr">
        <is>
          <t>2026-06-22</t>
        </is>
      </c>
      <c r="B52" s="2" t="inlineStr">
        <is>
          <t>2026-06-22T18:35:49</t>
        </is>
      </c>
      <c r="C52" s="2" t="inlineStr">
        <is>
          <t>vivo</t>
        </is>
      </c>
      <c r="D52" s="2" t="inlineStr">
        <is>
          <t>prepaid</t>
        </is>
      </c>
      <c r="E52" s="2" t="inlineStr">
        <is>
          <t>SP</t>
        </is>
      </c>
      <c r="F52" s="2" t="inlineStr">
        <is>
          <t>Vivo Pré</t>
        </is>
      </c>
      <c r="G52" s="2" t="inlineStr">
        <is>
          <t>vivo:VIV202600022379-4gb</t>
        </is>
      </c>
      <c r="H52" s="3" t="n">
        <v>17</v>
      </c>
      <c r="I52" s="3" t="inlineStr"/>
      <c r="J52" s="2" t="inlineStr"/>
      <c r="K52" s="4" t="n">
        <v>4</v>
      </c>
      <c r="L52" s="2" t="inlineStr">
        <is>
          <t>4 GB para navegar como quiser</t>
        </is>
      </c>
      <c r="M52" s="2" t="inlineStr"/>
      <c r="N52" s="2" t="inlineStr"/>
      <c r="O52" s="2" t="inlineStr"/>
      <c r="P52" s="2" t="inlineStr"/>
      <c r="Q52" s="2" t="inlineStr"/>
      <c r="R52" s="2" t="inlineStr"/>
      <c r="S52" s="2" t="inlineStr">
        <is>
          <t>https://vivo.com.br/para-voce/produtos-e-servicos/para-o-celular/pre-pago/vivo-pre</t>
        </is>
      </c>
      <c r="T52" s="2" t="inlineStr">
        <is>
          <t>data/raw/vivo_prepaid_SP.html</t>
        </is>
      </c>
    </row>
  </sheetData>
  <autoFilter ref="A1:T52"/>
  <conditionalFormatting sqref="H2:H52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I2:I52">
    <cfRule type="expression" priority="2" dxfId="0">
      <formula>NOT(ISBLANK(I2))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A8A8A"/>
    <outlinePr summaryBelow="1" summaryRight="1"/>
    <pageSetUpPr/>
  </sheetPr>
  <dimension ref="A1:I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5" customWidth="1" min="7" max="7"/>
    <col width="15" customWidth="1" min="8" max="8"/>
    <col width="11" customWidth="1" min="9" max="9"/>
  </cols>
  <sheetData>
    <row r="1">
      <c r="A1" s="1" t="inlineStr">
        <is>
          <t>change_type</t>
        </is>
      </c>
      <c r="B1" s="1" t="inlineStr">
        <is>
          <t>carrier</t>
        </is>
      </c>
      <c r="C1" s="1" t="inlineStr">
        <is>
          <t>category</t>
        </is>
      </c>
      <c r="D1" s="1" t="inlineStr">
        <is>
          <t>state</t>
        </is>
      </c>
      <c r="E1" s="1" t="inlineStr">
        <is>
          <t>plan_id</t>
        </is>
      </c>
      <c r="F1" s="1" t="inlineStr">
        <is>
          <t>plan_name</t>
        </is>
      </c>
      <c r="G1" s="1" t="inlineStr">
        <is>
          <t>old_price_brl</t>
        </is>
      </c>
      <c r="H1" s="1" t="inlineStr">
        <is>
          <t>new_price_brl</t>
        </is>
      </c>
      <c r="I1" s="1" t="inlineStr">
        <is>
          <t>delta_brl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02A43"/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s="8" t="inlineStr">
        <is>
          <t>Mobile Price Tracker — Summary</t>
        </is>
      </c>
    </row>
    <row r="3">
      <c r="A3" s="9" t="inlineStr">
        <is>
          <t>Run timestamp</t>
        </is>
      </c>
      <c r="B3" s="2" t="inlineStr">
        <is>
          <t>2026-06-22T18:35:49</t>
        </is>
      </c>
    </row>
    <row r="4">
      <c r="A4" s="9" t="inlineStr">
        <is>
          <t>Latest snapshot</t>
        </is>
      </c>
      <c r="B4" s="2" t="inlineStr">
        <is>
          <t>2026-06-22</t>
        </is>
      </c>
    </row>
    <row r="5">
      <c r="A5" s="9" t="inlineStr">
        <is>
          <t>Plans in latest</t>
        </is>
      </c>
      <c r="B5" s="2" t="n">
        <v>51</v>
      </c>
    </row>
    <row r="6">
      <c r="A6" s="9" t="inlineStr">
        <is>
          <t>Snapshots in history</t>
        </is>
      </c>
      <c r="B6" s="2" t="n">
        <v>1</v>
      </c>
    </row>
    <row r="8">
      <c r="A8" s="1" t="inlineStr">
        <is>
          <t>carrier</t>
        </is>
      </c>
      <c r="B8" s="1" t="inlineStr">
        <is>
          <t># plans</t>
        </is>
      </c>
      <c r="C8" s="1" t="inlineStr">
        <is>
          <t>min price</t>
        </is>
      </c>
      <c r="D8" s="1" t="inlineStr">
        <is>
          <t>avg price</t>
        </is>
      </c>
      <c r="E8" s="1" t="inlineStr">
        <is>
          <t>max price</t>
        </is>
      </c>
    </row>
    <row r="9">
      <c r="A9" s="2" t="inlineStr">
        <is>
          <t>vivo</t>
        </is>
      </c>
      <c r="B9" s="2">
        <f>COUNTIF(latest!$C$2:$C$2000,$A$9)</f>
        <v/>
      </c>
      <c r="C9" s="10">
        <f>IFERROR(_xlfn.MINIFS(latest!$H$2:$H$2000,latest!$C$2:$C$2000,$A$9),"-")</f>
        <v/>
      </c>
      <c r="D9" s="10">
        <f>IFERROR(AVERAGEIFS(latest!$H$2:$H$2000,latest!$C$2:$C$2000,$A$9),"-")</f>
        <v/>
      </c>
      <c r="E9" s="10">
        <f>IFERROR(_xlfn.MAXIFS(latest!$H$2:$H$2000,latest!$C$2:$C$2000,$A$9),"-")</f>
        <v/>
      </c>
    </row>
    <row r="10">
      <c r="A10" s="2" t="inlineStr">
        <is>
          <t>claro</t>
        </is>
      </c>
      <c r="B10" s="2">
        <f>COUNTIF(latest!$C$2:$C$2000,$A$10)</f>
        <v/>
      </c>
      <c r="C10" s="10">
        <f>IFERROR(_xlfn.MINIFS(latest!$H$2:$H$2000,latest!$C$2:$C$2000,$A$10),"-")</f>
        <v/>
      </c>
      <c r="D10" s="10">
        <f>IFERROR(AVERAGEIFS(latest!$H$2:$H$2000,latest!$C$2:$C$2000,$A$10),"-")</f>
        <v/>
      </c>
      <c r="E10" s="10">
        <f>IFERROR(_xlfn.MAXIFS(latest!$H$2:$H$2000,latest!$C$2:$C$2000,$A$10),"-")</f>
        <v/>
      </c>
    </row>
    <row r="11">
      <c r="A11" s="2" t="inlineStr">
        <is>
          <t>tim</t>
        </is>
      </c>
      <c r="B11" s="2">
        <f>COUNTIF(latest!$C$2:$C$2000,$A$11)</f>
        <v/>
      </c>
      <c r="C11" s="10">
        <f>IFERROR(_xlfn.MINIFS(latest!$H$2:$H$2000,latest!$C$2:$C$2000,$A$11),"-")</f>
        <v/>
      </c>
      <c r="D11" s="10">
        <f>IFERROR(AVERAGEIFS(latest!$H$2:$H$2000,latest!$C$2:$C$2000,$A$11),"-")</f>
        <v/>
      </c>
      <c r="E11" s="10">
        <f>IFERROR(_xlfn.MAXIFS(latest!$H$2:$H$2000,latest!$C$2:$C$2000,$A$11),"-")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D32"/>
    <outlinePr summaryBelow="1" summaryRight="1"/>
    <pageSetUpPr/>
  </sheetPr>
  <dimension ref="A1:M39"/>
  <sheetViews>
    <sheetView showGridLines="0" workbookViewId="0">
      <pane xSplit="1" ySplit="36" topLeftCell="B3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8" t="inlineStr">
        <is>
          <t>Price evolution — cheapest R$ per carrier × category, by date</t>
        </is>
      </c>
    </row>
    <row r="35">
      <c r="A35" s="1" t="inlineStr">
        <is>
          <t>Date</t>
        </is>
      </c>
      <c r="B35" s="11" t="inlineStr">
        <is>
          <t>Control (R$/mo)</t>
        </is>
      </c>
      <c r="C35" s="11" t="n"/>
      <c r="D35" s="11" t="n"/>
      <c r="E35" s="11" t="inlineStr">
        <is>
          <t>Post (R$/mo)</t>
        </is>
      </c>
      <c r="F35" s="11" t="n"/>
      <c r="G35" s="11" t="n"/>
      <c r="H35" s="11" t="inlineStr">
        <is>
          <t>Pre (R$, recarga)</t>
        </is>
      </c>
      <c r="I35" s="11" t="n"/>
      <c r="J35" s="11" t="n"/>
      <c r="K35" s="11" t="inlineStr">
        <is>
          <t>Digital (R$/mo)</t>
        </is>
      </c>
      <c r="L35" s="11" t="n"/>
      <c r="M35" s="11" t="n"/>
    </row>
    <row r="36">
      <c r="A36" s="1" t="n"/>
      <c r="B36" s="11" t="inlineStr">
        <is>
          <t>TIM</t>
        </is>
      </c>
      <c r="C36" s="11" t="inlineStr">
        <is>
          <t>Vivo</t>
        </is>
      </c>
      <c r="D36" s="11" t="inlineStr">
        <is>
          <t>Claro</t>
        </is>
      </c>
      <c r="E36" s="11" t="inlineStr">
        <is>
          <t>TIM</t>
        </is>
      </c>
      <c r="F36" s="11" t="inlineStr">
        <is>
          <t>Vivo</t>
        </is>
      </c>
      <c r="G36" s="11" t="inlineStr">
        <is>
          <t>Claro</t>
        </is>
      </c>
      <c r="H36" s="11" t="inlineStr">
        <is>
          <t>TIM</t>
        </is>
      </c>
      <c r="I36" s="11" t="inlineStr">
        <is>
          <t>Vivo</t>
        </is>
      </c>
      <c r="J36" s="11" t="inlineStr">
        <is>
          <t>Claro</t>
        </is>
      </c>
      <c r="K36" s="11" t="inlineStr">
        <is>
          <t>TIM</t>
        </is>
      </c>
      <c r="L36" s="11" t="inlineStr">
        <is>
          <t>Vivo</t>
        </is>
      </c>
      <c r="M36" s="11" t="inlineStr">
        <is>
          <t>Claro</t>
        </is>
      </c>
    </row>
    <row r="37">
      <c r="A37" s="2" t="inlineStr">
        <is>
          <t>2026-06-22</t>
        </is>
      </c>
      <c r="B37" s="3">
        <f>IF(_xlfn.MINIFS(history!$H:$H,history!$C:$C,"tim",history!$D:$D,"control",history!$A:$A,$A37)=0,"",_xlfn.MINIFS(history!$H:$H,history!$C:$C,"tim",history!$D:$D,"control",history!$A:$A,$A37))</f>
        <v/>
      </c>
      <c r="C37" s="3">
        <f>IF(_xlfn.MINIFS(history!$H:$H,history!$C:$C,"vivo",history!$D:$D,"control",history!$A:$A,$A37)=0,"",_xlfn.MINIFS(history!$H:$H,history!$C:$C,"vivo",history!$D:$D,"control",history!$A:$A,$A37))</f>
        <v/>
      </c>
      <c r="D37" s="3">
        <f>IF(_xlfn.MINIFS(history!$H:$H,history!$C:$C,"claro",history!$D:$D,"control",history!$A:$A,$A37)=0,"",_xlfn.MINIFS(history!$H:$H,history!$C:$C,"claro",history!$D:$D,"control",history!$A:$A,$A37))</f>
        <v/>
      </c>
      <c r="E37" s="3">
        <f>IF(_xlfn.MINIFS(history!$H:$H,history!$C:$C,"tim",history!$D:$D,"postpaid",history!$A:$A,$A37)=0,"",_xlfn.MINIFS(history!$H:$H,history!$C:$C,"tim",history!$D:$D,"postpaid",history!$A:$A,$A37))</f>
        <v/>
      </c>
      <c r="F37" s="3">
        <f>IF(_xlfn.MINIFS(history!$H:$H,history!$C:$C,"vivo",history!$D:$D,"postpaid",history!$A:$A,$A37)=0,"",_xlfn.MINIFS(history!$H:$H,history!$C:$C,"vivo",history!$D:$D,"postpaid",history!$A:$A,$A37))</f>
        <v/>
      </c>
      <c r="G37" s="3">
        <f>IF(_xlfn.MINIFS(history!$H:$H,history!$C:$C,"claro",history!$D:$D,"postpaid",history!$A:$A,$A37)=0,"",_xlfn.MINIFS(history!$H:$H,history!$C:$C,"claro",history!$D:$D,"postpaid",history!$A:$A,$A37))</f>
        <v/>
      </c>
      <c r="H37" s="3">
        <f>IF(_xlfn.MINIFS(history!$H:$H,history!$C:$C,"tim",history!$D:$D,"prepaid",history!$A:$A,$A37)=0,"",_xlfn.MINIFS(history!$H:$H,history!$C:$C,"tim",history!$D:$D,"prepaid",history!$A:$A,$A37))</f>
        <v/>
      </c>
      <c r="I37" s="3">
        <f>IF(_xlfn.MINIFS(history!$H:$H,history!$C:$C,"vivo",history!$D:$D,"prepaid",history!$A:$A,$A37)=0,"",_xlfn.MINIFS(history!$H:$H,history!$C:$C,"vivo",history!$D:$D,"prepaid",history!$A:$A,$A37))</f>
        <v/>
      </c>
      <c r="J37" s="3">
        <f>IF(_xlfn.MINIFS(history!$H:$H,history!$C:$C,"claro",history!$D:$D,"prepaid",history!$A:$A,$A37)=0,"",_xlfn.MINIFS(history!$H:$H,history!$C:$C,"claro",history!$D:$D,"prepaid",history!$A:$A,$A37))</f>
        <v/>
      </c>
      <c r="K37" s="3">
        <f>IFERROR(1/MAX(IFERROR(1/_xlfn.MINIFS(history!$H:$H,history!$C:$C,"tim",history!$D:$D,"lite",history!$A:$A,$A37),0),IFERROR(1/_xlfn.MINIFS(history!$H:$H,history!$C:$C,"tim",history!$D:$D,"flex",history!$A:$A,$A37),0)),"")</f>
        <v/>
      </c>
      <c r="L37" s="3">
        <f>IFERROR(1/MAX(IFERROR(1/_xlfn.MINIFS(history!$H:$H,history!$C:$C,"vivo",history!$D:$D,"lite",history!$A:$A,$A37),0),IFERROR(1/_xlfn.MINIFS(history!$H:$H,history!$C:$C,"vivo",history!$D:$D,"flex",history!$A:$A,$A37),0)),"")</f>
        <v/>
      </c>
      <c r="M37" s="3">
        <f>IFERROR(1/MAX(IFERROR(1/_xlfn.MINIFS(history!$H:$H,history!$C:$C,"claro",history!$D:$D,"lite",history!$A:$A,$A37),0),IFERROR(1/_xlfn.MINIFS(history!$H:$H,history!$C:$C,"claro",history!$D:$D,"flex",history!$A:$A,$A37),0)),"")</f>
        <v/>
      </c>
    </row>
    <row r="39">
      <c r="A39" s="12" t="inlineStr">
        <is>
          <t>Pre = cheapest recharge amount captured (true R$/day needs validity-days we don't yet capture — CONTEXT §8). Digital = min of Vivo Lite / Claro Flex. Daily rows now; monthly roll-up is the planned next step.</t>
        </is>
      </c>
    </row>
  </sheetData>
  <mergeCells count="5">
    <mergeCell ref="A35:A36"/>
    <mergeCell ref="B35:D35"/>
    <mergeCell ref="E35:G35"/>
    <mergeCell ref="K35:M35"/>
    <mergeCell ref="H35:J35"/>
  </mergeCells>
  <conditionalFormatting sqref="B37:D37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37:G37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H37:J37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37:M37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1565C0"/>
    <outlinePr summaryBelow="1" summaryRight="1"/>
    <pageSetUpPr/>
  </sheetPr>
  <dimension ref="A1:G3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1" customWidth="1" min="4" max="4"/>
    <col width="32" customWidth="1" min="5" max="5"/>
    <col width="32" customWidth="1" min="6" max="6"/>
    <col width="32" customWidth="1" min="7" max="7"/>
  </cols>
  <sheetData>
    <row r="1">
      <c r="A1" s="8" t="inlineStr">
        <is>
          <t>Ranking (today) — within category, aligned by price rank</t>
        </is>
      </c>
    </row>
    <row r="3">
      <c r="A3" s="13" t="inlineStr">
        <is>
          <t>Pure Postpaid</t>
        </is>
      </c>
    </row>
    <row r="4">
      <c r="A4" s="1" t="inlineStr">
        <is>
          <t>Rank</t>
        </is>
      </c>
      <c r="B4" s="1" t="inlineStr">
        <is>
          <t>Vivo R$</t>
        </is>
      </c>
      <c r="C4" s="1" t="inlineStr">
        <is>
          <t>Claro R$</t>
        </is>
      </c>
      <c r="D4" s="1" t="inlineStr">
        <is>
          <t>TIM R$</t>
        </is>
      </c>
      <c r="E4" s="1" t="inlineStr">
        <is>
          <t>Vivo plan</t>
        </is>
      </c>
      <c r="F4" s="1" t="inlineStr">
        <is>
          <t>Claro plan</t>
        </is>
      </c>
      <c r="G4" s="1" t="inlineStr">
        <is>
          <t>TIM plan</t>
        </is>
      </c>
    </row>
    <row r="5">
      <c r="A5" s="2" t="n">
        <v>1</v>
      </c>
      <c r="B5" s="3" t="n">
        <v>150</v>
      </c>
      <c r="C5" s="3" t="n">
        <v>124.9</v>
      </c>
      <c r="D5" s="3" t="n">
        <v>119.99</v>
      </c>
      <c r="E5" s="2" t="inlineStr">
        <is>
          <t>Vivo Pós com Amazon (60GB)</t>
        </is>
      </c>
      <c r="F5" s="2" t="inlineStr">
        <is>
          <t>Pós 60GB (60GB)</t>
        </is>
      </c>
      <c r="G5" s="2" t="inlineStr">
        <is>
          <t>TIM Black A Express 67GB (67GB)</t>
        </is>
      </c>
    </row>
    <row r="6">
      <c r="A6" s="5" t="n">
        <v>2</v>
      </c>
      <c r="B6" s="6" t="n">
        <v>165</v>
      </c>
      <c r="C6" s="6" t="n">
        <v>164.9</v>
      </c>
      <c r="D6" s="6" t="n">
        <v>129.99</v>
      </c>
      <c r="E6" s="5" t="inlineStr">
        <is>
          <t>Vivo Pós com Globoplay (60GB)</t>
        </is>
      </c>
      <c r="F6" s="5" t="inlineStr">
        <is>
          <t>Pós 50GB com GeForce NOW (50GB)</t>
        </is>
      </c>
      <c r="G6" s="5" t="inlineStr">
        <is>
          <t>TIM Black 70GB (70GB)</t>
        </is>
      </c>
    </row>
    <row r="7">
      <c r="A7" s="2" t="n">
        <v>3</v>
      </c>
      <c r="B7" s="3" t="n">
        <v>165</v>
      </c>
      <c r="C7" s="3" t="n">
        <v>179.9</v>
      </c>
      <c r="D7" s="3" t="n">
        <v>144.99</v>
      </c>
      <c r="E7" s="2" t="inlineStr">
        <is>
          <t>Vivo Pós com Spotify (60GB)</t>
        </is>
      </c>
      <c r="F7" s="2" t="inlineStr">
        <is>
          <t>Pós 100GB (100GB)</t>
        </is>
      </c>
      <c r="G7" s="2" t="inlineStr">
        <is>
          <t>TIM Black B Express 82GB (82GB)</t>
        </is>
      </c>
    </row>
    <row r="8">
      <c r="A8" s="5" t="n">
        <v>4</v>
      </c>
      <c r="B8" s="6" t="n">
        <v>180</v>
      </c>
      <c r="C8" s="6" t="n">
        <v>239.9</v>
      </c>
      <c r="D8" s="6" t="n">
        <v>149.99</v>
      </c>
      <c r="E8" s="5" t="inlineStr">
        <is>
          <t>Vivo Pós com Disney+ (60GB)</t>
        </is>
      </c>
      <c r="F8" s="5" t="inlineStr">
        <is>
          <t>Pós 150GB (150GB)</t>
        </is>
      </c>
      <c r="G8" s="5" t="inlineStr">
        <is>
          <t>TIM Black Plus 80GB (80GB)</t>
        </is>
      </c>
    </row>
    <row r="9">
      <c r="A9" s="2" t="n">
        <v>5</v>
      </c>
      <c r="B9" s="3" t="n">
        <v>180</v>
      </c>
      <c r="C9" s="3" t="n">
        <v>339.9</v>
      </c>
      <c r="D9" s="3" t="n">
        <v>159.99</v>
      </c>
      <c r="E9" s="2" t="inlineStr">
        <is>
          <t>Vivo Pós com Netflix (60GB)</t>
        </is>
      </c>
      <c r="F9" s="2" t="inlineStr">
        <is>
          <t>Pós 200GB (200GB)</t>
        </is>
      </c>
      <c r="G9" s="2" t="inlineStr">
        <is>
          <t>TIM Black C Ultra 95GB (95GB)</t>
        </is>
      </c>
    </row>
    <row r="10">
      <c r="A10" s="5" t="n">
        <v>6</v>
      </c>
      <c r="B10" s="6" t="n">
        <v>180</v>
      </c>
      <c r="C10" s="14" t="n"/>
      <c r="D10" s="6" t="n">
        <v>159.99</v>
      </c>
      <c r="E10" s="5" t="inlineStr">
        <is>
          <t>Vivo Pós com Premiere (60GB)</t>
        </is>
      </c>
      <c r="F10" s="14" t="n"/>
      <c r="G10" s="5" t="inlineStr">
        <is>
          <t>TIM Black Premium 110GB (110GB)</t>
        </is>
      </c>
    </row>
    <row r="11">
      <c r="A11" s="2" t="n">
        <v>7</v>
      </c>
      <c r="B11" s="3" t="n">
        <v>215</v>
      </c>
      <c r="D11" s="3" t="n">
        <v>164.99</v>
      </c>
      <c r="E11" s="2" t="inlineStr">
        <is>
          <t>Vivo Pós com Travel (70GB)</t>
        </is>
      </c>
      <c r="G11" s="2" t="inlineStr">
        <is>
          <t>TIM Black C Express 107GB (107GB)</t>
        </is>
      </c>
    </row>
    <row r="13">
      <c r="A13" s="13" t="inlineStr">
        <is>
          <t>Control / Hybrid</t>
        </is>
      </c>
    </row>
    <row r="14">
      <c r="A14" s="1" t="inlineStr">
        <is>
          <t>Rank</t>
        </is>
      </c>
      <c r="B14" s="1" t="inlineStr">
        <is>
          <t>Vivo R$</t>
        </is>
      </c>
      <c r="C14" s="1" t="inlineStr">
        <is>
          <t>Claro R$</t>
        </is>
      </c>
      <c r="D14" s="1" t="inlineStr">
        <is>
          <t>TIM R$</t>
        </is>
      </c>
      <c r="E14" s="1" t="inlineStr">
        <is>
          <t>Vivo plan</t>
        </is>
      </c>
      <c r="F14" s="1" t="inlineStr">
        <is>
          <t>Claro plan</t>
        </is>
      </c>
      <c r="G14" s="1" t="inlineStr">
        <is>
          <t>TIM plan</t>
        </is>
      </c>
    </row>
    <row r="15">
      <c r="A15" s="2" t="n">
        <v>1</v>
      </c>
      <c r="B15" s="3" t="n">
        <v>59</v>
      </c>
      <c r="C15" s="3" t="n">
        <v>59.9</v>
      </c>
      <c r="D15" s="3" t="n">
        <v>58.99</v>
      </c>
      <c r="E15" s="2" t="inlineStr">
        <is>
          <t>Vivo Controle (46GB)</t>
        </is>
      </c>
      <c r="F15" s="2" t="inlineStr">
        <is>
          <t>Controle 25GB (25GB) · promo R$54.9</t>
        </is>
      </c>
      <c r="G15" s="2" t="inlineStr">
        <is>
          <t>TIM Controle 41GB (41GB)</t>
        </is>
      </c>
    </row>
    <row r="16">
      <c r="A16" s="5" t="n">
        <v>2</v>
      </c>
      <c r="B16" s="6" t="n">
        <v>80</v>
      </c>
      <c r="C16" s="6" t="n">
        <v>69.90000000000001</v>
      </c>
      <c r="D16" s="6" t="n">
        <v>60.99</v>
      </c>
      <c r="E16" s="5" t="inlineStr">
        <is>
          <t>Vivo Controle (61GB)</t>
        </is>
      </c>
      <c r="F16" s="5" t="inlineStr">
        <is>
          <t>Controle 30GB (30GB)</t>
        </is>
      </c>
      <c r="G16" s="5" t="inlineStr">
        <is>
          <t>TIM Controle Light Express 31GB (31GB)</t>
        </is>
      </c>
    </row>
    <row r="17">
      <c r="A17" s="2" t="n">
        <v>3</v>
      </c>
      <c r="B17" s="3" t="n">
        <v>90</v>
      </c>
      <c r="C17" s="3" t="n">
        <v>99.90000000000001</v>
      </c>
      <c r="D17" s="3" t="n">
        <v>64.98999999999999</v>
      </c>
      <c r="E17" s="2" t="inlineStr">
        <is>
          <t>Vivo Controle Educação (61GB)</t>
        </is>
      </c>
      <c r="F17" s="2" t="inlineStr">
        <is>
          <t>Controle 30GB (30GB)</t>
        </is>
      </c>
      <c r="G17" s="2" t="inlineStr">
        <is>
          <t>TIM Controle Plus 45GB (45GB)</t>
        </is>
      </c>
    </row>
    <row r="18">
      <c r="A18" s="5" t="n">
        <v>4</v>
      </c>
      <c r="B18" s="6" t="n">
        <v>90</v>
      </c>
      <c r="C18" s="14" t="n"/>
      <c r="D18" s="6" t="n">
        <v>64.98999999999999</v>
      </c>
      <c r="E18" s="5" t="inlineStr">
        <is>
          <t>Vivo Controle Saúde (61GB)</t>
        </is>
      </c>
      <c r="F18" s="14" t="n"/>
      <c r="G18" s="5" t="inlineStr">
        <is>
          <t>TIM Controle Pro Express</t>
        </is>
      </c>
    </row>
    <row r="19">
      <c r="A19" s="2" t="n">
        <v>5</v>
      </c>
      <c r="B19" s="3" t="n">
        <v>95</v>
      </c>
      <c r="D19" s="3" t="n">
        <v>84.98999999999999</v>
      </c>
      <c r="E19" s="2" t="inlineStr">
        <is>
          <t>Vivo Controle Música (61GB)</t>
        </is>
      </c>
      <c r="G19" s="2" t="inlineStr">
        <is>
          <t>TIM Controle Premium 53GB (53GB)</t>
        </is>
      </c>
    </row>
    <row r="20">
      <c r="A20" s="5" t="n">
        <v>6</v>
      </c>
      <c r="B20" s="6" t="n">
        <v>95</v>
      </c>
      <c r="C20" s="14" t="n"/>
      <c r="D20" s="14" t="n"/>
      <c r="E20" s="5" t="inlineStr">
        <is>
          <t>Vivo Controle Netflix (61GB)</t>
        </is>
      </c>
      <c r="F20" s="14" t="n"/>
      <c r="G20" s="14" t="n"/>
    </row>
    <row r="21">
      <c r="A21" s="2" t="n">
        <v>7</v>
      </c>
      <c r="B21" s="3" t="n">
        <v>110</v>
      </c>
      <c r="E21" s="2" t="inlineStr">
        <is>
          <t>Vivo Controle Entretenimento (61GB)</t>
        </is>
      </c>
    </row>
    <row r="23">
      <c r="A23" s="13" t="inlineStr">
        <is>
          <t>Prepaid</t>
        </is>
      </c>
    </row>
    <row r="24">
      <c r="A24" s="12" t="inlineStr">
        <is>
          <t>Note: prepaid is not a clean unit — Claro Prezão is a daily fee (R$1/dia) vs Vivo/TIM recharge amounts.</t>
        </is>
      </c>
    </row>
    <row r="25">
      <c r="A25" s="1" t="inlineStr">
        <is>
          <t>Rank</t>
        </is>
      </c>
      <c r="B25" s="1" t="inlineStr">
        <is>
          <t>Vivo R$</t>
        </is>
      </c>
      <c r="C25" s="1" t="inlineStr">
        <is>
          <t>Claro R$</t>
        </is>
      </c>
      <c r="D25" s="1" t="inlineStr">
        <is>
          <t>TIM R$</t>
        </is>
      </c>
      <c r="E25" s="1" t="inlineStr">
        <is>
          <t>Vivo plan</t>
        </is>
      </c>
      <c r="F25" s="1" t="inlineStr">
        <is>
          <t>Claro plan</t>
        </is>
      </c>
      <c r="G25" s="1" t="inlineStr">
        <is>
          <t>TIM plan</t>
        </is>
      </c>
    </row>
    <row r="26">
      <c r="A26" s="2" t="n">
        <v>1</v>
      </c>
      <c r="B26" s="3" t="n">
        <v>17</v>
      </c>
      <c r="C26" s="3" t="n">
        <v>1</v>
      </c>
      <c r="D26" s="3" t="n">
        <v>20</v>
      </c>
      <c r="E26" s="2" t="inlineStr">
        <is>
          <t>Vivo Pré (4GB)</t>
        </is>
      </c>
      <c r="F26" s="2" t="inlineStr">
        <is>
          <t>Prezão R$1 por dia (12GB)</t>
        </is>
      </c>
      <c r="G26" s="2" t="inlineStr">
        <is>
          <t>TIM Pré XIP Plus 6GB (6GB)</t>
        </is>
      </c>
    </row>
    <row r="27">
      <c r="A27" s="5" t="n">
        <v>2</v>
      </c>
      <c r="B27" s="6" t="n">
        <v>20</v>
      </c>
      <c r="C27" s="14" t="n"/>
      <c r="D27" s="6" t="n">
        <v>25</v>
      </c>
      <c r="E27" s="5" t="inlineStr">
        <is>
          <t>Vivo Pré (5GB)</t>
        </is>
      </c>
      <c r="F27" s="14" t="n"/>
      <c r="G27" s="5" t="inlineStr">
        <is>
          <t>TIM Pré XIP Plus 8GB (8GB)</t>
        </is>
      </c>
    </row>
    <row r="28">
      <c r="A28" s="2" t="n">
        <v>3</v>
      </c>
      <c r="B28" s="3" t="n">
        <v>25</v>
      </c>
      <c r="D28" s="3" t="n">
        <v>30</v>
      </c>
      <c r="E28" s="2" t="inlineStr">
        <is>
          <t>Vivo Pré (9GB)</t>
        </is>
      </c>
      <c r="G28" s="2" t="inlineStr">
        <is>
          <t>TIM Pré XIP Plus 16GB (16GB)</t>
        </is>
      </c>
    </row>
    <row r="29">
      <c r="A29" s="5" t="n">
        <v>4</v>
      </c>
      <c r="B29" s="6" t="n">
        <v>30</v>
      </c>
      <c r="C29" s="14" t="n"/>
      <c r="D29" s="14" t="n"/>
      <c r="E29" s="5" t="inlineStr">
        <is>
          <t>Vivo Pré (25GB)</t>
        </is>
      </c>
      <c r="F29" s="14" t="n"/>
      <c r="G29" s="14" t="n"/>
    </row>
    <row r="31">
      <c r="A31" s="13" t="inlineStr">
        <is>
          <t>Digital</t>
        </is>
      </c>
    </row>
    <row r="32">
      <c r="A32" s="12" t="inlineStr">
        <is>
          <t>Digital = Vivo Lite + Claro Flex (TIM has no digital line).</t>
        </is>
      </c>
    </row>
    <row r="33">
      <c r="A33" s="1" t="inlineStr">
        <is>
          <t>Rank</t>
        </is>
      </c>
      <c r="B33" s="1" t="inlineStr">
        <is>
          <t>Vivo R$</t>
        </is>
      </c>
      <c r="C33" s="1" t="inlineStr">
        <is>
          <t>Claro R$</t>
        </is>
      </c>
      <c r="D33" s="1" t="inlineStr">
        <is>
          <t>TIM R$</t>
        </is>
      </c>
      <c r="E33" s="1" t="inlineStr">
        <is>
          <t>Vivo plan</t>
        </is>
      </c>
      <c r="F33" s="1" t="inlineStr">
        <is>
          <t>Claro plan</t>
        </is>
      </c>
      <c r="G33" s="1" t="inlineStr">
        <is>
          <t>TIM plan</t>
        </is>
      </c>
    </row>
    <row r="34">
      <c r="A34" s="2" t="n">
        <v>1</v>
      </c>
      <c r="B34" s="3" t="n">
        <v>30</v>
      </c>
      <c r="C34" s="3" t="n">
        <v>44.9</v>
      </c>
      <c r="E34" s="2" t="inlineStr">
        <is>
          <t>Easy Lite (30GB)</t>
        </is>
      </c>
      <c r="F34" s="2" t="inlineStr">
        <is>
          <t>Flex 15GB (15GB)</t>
        </is>
      </c>
    </row>
    <row r="35">
      <c r="A35" s="5" t="n">
        <v>2</v>
      </c>
      <c r="B35" s="6" t="n">
        <v>35</v>
      </c>
      <c r="C35" s="6" t="n">
        <v>59.9</v>
      </c>
      <c r="D35" s="14" t="n"/>
      <c r="E35" s="5" t="inlineStr">
        <is>
          <t>Easy Lite (20GB)</t>
        </is>
      </c>
      <c r="F35" s="5" t="inlineStr">
        <is>
          <t>Flex 20GB (20GB)</t>
        </is>
      </c>
      <c r="G35" s="14" t="n"/>
    </row>
    <row r="36">
      <c r="A36" s="2" t="n">
        <v>3</v>
      </c>
      <c r="B36" s="3" t="n">
        <v>40</v>
      </c>
      <c r="C36" s="3" t="n">
        <v>69.90000000000001</v>
      </c>
      <c r="E36" s="2" t="inlineStr">
        <is>
          <t>Easy Lite (40GB)</t>
        </is>
      </c>
      <c r="F36" s="2" t="inlineStr">
        <is>
          <t>Flex 30GB (30GB)</t>
        </is>
      </c>
    </row>
    <row r="37">
      <c r="A37" s="5" t="n">
        <v>4</v>
      </c>
      <c r="B37" s="6" t="n">
        <v>40</v>
      </c>
      <c r="C37" s="6" t="n">
        <v>119.9</v>
      </c>
      <c r="D37" s="14" t="n"/>
      <c r="E37" s="5" t="inlineStr">
        <is>
          <t>Easy Lite (30GB)</t>
        </is>
      </c>
      <c r="F37" s="5" t="inlineStr">
        <is>
          <t>Flex 40GB (40GB)</t>
        </is>
      </c>
      <c r="G37" s="14" t="n"/>
    </row>
    <row r="38">
      <c r="A38" s="2" t="n">
        <v>5</v>
      </c>
      <c r="B38" s="3" t="n">
        <v>50</v>
      </c>
      <c r="E38" s="2" t="inlineStr">
        <is>
          <t>Easy Lite (40GB)</t>
        </is>
      </c>
    </row>
  </sheetData>
  <conditionalFormatting sqref="B5:D11">
    <cfRule type="expression" priority="1" dxfId="1" stopIfTrue="1">
      <formula>AND(B5&lt;&gt;"",B5=MIN($B5:$D5))</formula>
    </cfRule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5:D21">
    <cfRule type="expression" priority="3" dxfId="1" stopIfTrue="1">
      <formula>AND(B15&lt;&gt;"",B15=MIN($B15:$D15))</formula>
    </cfRule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6:D29">
    <cfRule type="expression" priority="5" dxfId="1" stopIfTrue="1">
      <formula>AND(B26&lt;&gt;"",B26=MIN($B26:$D26))</formula>
    </cfRule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34:D38">
    <cfRule type="expression" priority="7" dxfId="1" stopIfTrue="1">
      <formula>AND(B34&lt;&gt;"",B34=MIN($B34:$D34))</formula>
    </cfRule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60099"/>
    <outlinePr summaryBelow="1" summaryRight="1"/>
    <pageSetUpPr/>
  </sheetPr>
  <dimension ref="A1:H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22" customWidth="1" min="4" max="4"/>
    <col width="20" customWidth="1" min="5" max="5"/>
    <col width="18" customWidth="1" min="6" max="6"/>
    <col width="18" customWidth="1" min="7" max="7"/>
    <col width="40" customWidth="1" min="8" max="8"/>
  </cols>
  <sheetData>
    <row r="1">
      <c r="A1" s="1" t="inlineStr">
        <is>
          <t>Plan</t>
        </is>
      </c>
      <c r="B1" s="1" t="inlineStr">
        <is>
          <t>Price R$</t>
        </is>
      </c>
      <c r="C1" s="1" t="inlineStr">
        <is>
          <t>Promo R$</t>
        </is>
      </c>
      <c r="D1" s="1" t="inlineStr">
        <is>
          <t>Data</t>
        </is>
      </c>
      <c r="E1" s="1" t="inlineStr">
        <is>
          <t>Voice</t>
        </is>
      </c>
      <c r="F1" s="1" t="inlineStr">
        <is>
          <t>Unlimited apps</t>
        </is>
      </c>
      <c r="G1" s="1" t="inlineStr">
        <is>
          <t>Streaming</t>
        </is>
      </c>
      <c r="H1" s="1" t="inlineStr">
        <is>
          <t>Notes</t>
        </is>
      </c>
    </row>
    <row r="2">
      <c r="A2" s="15" t="inlineStr">
        <is>
          <t>Postpaid</t>
        </is>
      </c>
      <c r="B2" s="16" t="n"/>
      <c r="C2" s="16" t="n"/>
      <c r="D2" s="16" t="n"/>
      <c r="E2" s="16" t="n"/>
      <c r="F2" s="16" t="n"/>
      <c r="G2" s="16" t="n"/>
      <c r="H2" s="16" t="n"/>
    </row>
    <row r="3">
      <c r="A3" s="2" t="inlineStr">
        <is>
          <t>Vivo Pós com Amazon</t>
        </is>
      </c>
      <c r="B3" s="3" t="n">
        <v>150</v>
      </c>
      <c r="C3" s="3" t="n"/>
      <c r="D3" s="2" t="inlineStr">
        <is>
          <t>60 GB (50 GB de franquia 10 GB de bônus)</t>
        </is>
      </c>
      <c r="E3" s="2" t="n"/>
      <c r="F3" s="2" t="n"/>
      <c r="G3" s="2" t="n"/>
      <c r="H3" s="2" t="inlineStr">
        <is>
          <t>Assinatura Amazon Prime inclusa</t>
        </is>
      </c>
    </row>
    <row r="4">
      <c r="A4" s="5" t="inlineStr">
        <is>
          <t>Vivo Pós com Globoplay</t>
        </is>
      </c>
      <c r="B4" s="6" t="n">
        <v>165</v>
      </c>
      <c r="C4" s="6" t="n"/>
      <c r="D4" s="5" t="inlineStr">
        <is>
          <t>60 GB (50 GB de franquia 10 GB de bônus)</t>
        </is>
      </c>
      <c r="E4" s="5" t="n"/>
      <c r="F4" s="5" t="n"/>
      <c r="G4" s="5" t="inlineStr">
        <is>
          <t>Globoplay</t>
        </is>
      </c>
      <c r="H4" s="5" t="inlineStr">
        <is>
          <t>Assinatura Globoplay inclusa</t>
        </is>
      </c>
    </row>
    <row r="5">
      <c r="A5" s="2" t="inlineStr">
        <is>
          <t>Vivo Pós com Spotify</t>
        </is>
      </c>
      <c r="B5" s="3" t="n">
        <v>165</v>
      </c>
      <c r="C5" s="3" t="n"/>
      <c r="D5" s="2" t="inlineStr">
        <is>
          <t>60 GB (50 GB de franquia 10 GB de bônus)</t>
        </is>
      </c>
      <c r="E5" s="2" t="n"/>
      <c r="F5" s="2" t="n"/>
      <c r="G5" s="2" t="inlineStr">
        <is>
          <t>Spotify</t>
        </is>
      </c>
      <c r="H5" s="2" t="inlineStr">
        <is>
          <t>Assinatura Spotify Premium inclusa</t>
        </is>
      </c>
    </row>
    <row r="6">
      <c r="A6" s="5" t="inlineStr">
        <is>
          <t>Vivo Pós com Disney+</t>
        </is>
      </c>
      <c r="B6" s="6" t="n">
        <v>180</v>
      </c>
      <c r="C6" s="6" t="n"/>
      <c r="D6" s="5" t="inlineStr">
        <is>
          <t>60 GB (50 GB de franquia 10 GB de bônus)</t>
        </is>
      </c>
      <c r="E6" s="5" t="n"/>
      <c r="F6" s="5" t="n"/>
      <c r="G6" s="5" t="inlineStr">
        <is>
          <t>Disney+</t>
        </is>
      </c>
      <c r="H6" s="5" t="inlineStr">
        <is>
          <t>Assinatura Disney+ Padrão inclusa</t>
        </is>
      </c>
    </row>
    <row r="7">
      <c r="A7" s="2" t="inlineStr">
        <is>
          <t>Vivo Pós com Netflix</t>
        </is>
      </c>
      <c r="B7" s="3" t="n">
        <v>180</v>
      </c>
      <c r="C7" s="3" t="n"/>
      <c r="D7" s="2" t="inlineStr">
        <is>
          <t>60 GB (50 GB de franquia 10 GB de bônus)</t>
        </is>
      </c>
      <c r="E7" s="2" t="n"/>
      <c r="F7" s="2" t="n"/>
      <c r="G7" s="2" t="inlineStr">
        <is>
          <t>Netflix</t>
        </is>
      </c>
      <c r="H7" s="2" t="inlineStr">
        <is>
          <t>Assinatura Netflix Padrão inclusa</t>
        </is>
      </c>
    </row>
    <row r="8">
      <c r="A8" s="5" t="inlineStr">
        <is>
          <t>Vivo Pós com Premiere</t>
        </is>
      </c>
      <c r="B8" s="6" t="n">
        <v>180</v>
      </c>
      <c r="C8" s="6" t="n"/>
      <c r="D8" s="5" t="inlineStr">
        <is>
          <t>60 GB (50 GB de franquia 10 GB de bônus)</t>
        </is>
      </c>
      <c r="E8" s="5" t="n"/>
      <c r="F8" s="5" t="n"/>
      <c r="G8" s="5" t="inlineStr">
        <is>
          <t>Premiere</t>
        </is>
      </c>
      <c r="H8" s="5" t="inlineStr">
        <is>
          <t>Assinatura Premiere inclusa</t>
        </is>
      </c>
    </row>
    <row r="9">
      <c r="A9" s="2" t="inlineStr">
        <is>
          <t>Vivo Pós com Travel</t>
        </is>
      </c>
      <c r="B9" s="3" t="n">
        <v>215</v>
      </c>
      <c r="C9" s="3" t="n"/>
      <c r="D9" s="2" t="inlineStr">
        <is>
          <t>70 GB (60 GB de franquia 10 GB de bônus)</t>
        </is>
      </c>
      <c r="E9" s="2" t="n"/>
      <c r="F9" s="2" t="n"/>
      <c r="G9" s="2" t="n"/>
      <c r="H9" s="2" t="inlineStr">
        <is>
          <t>6 meses grátis de Gemini com AI Plus</t>
        </is>
      </c>
    </row>
    <row r="10">
      <c r="A10" s="15" t="inlineStr">
        <is>
          <t>Control</t>
        </is>
      </c>
      <c r="B10" s="16" t="n"/>
      <c r="C10" s="16" t="n"/>
      <c r="D10" s="16" t="n"/>
      <c r="E10" s="16" t="n"/>
      <c r="F10" s="16" t="n"/>
      <c r="G10" s="16" t="n"/>
      <c r="H10" s="16" t="n"/>
    </row>
    <row r="11">
      <c r="A11" s="2" t="inlineStr">
        <is>
          <t>Vivo Controle</t>
        </is>
      </c>
      <c r="B11" s="3" t="n">
        <v>59</v>
      </c>
      <c r="C11" s="3" t="n"/>
      <c r="D11" s="2" t="inlineStr">
        <is>
          <t>46 GB (15 GB de franquia 31 GB de bônus)</t>
        </is>
      </c>
      <c r="E11" s="2" t="n"/>
      <c r="F11" s="2" t="n"/>
      <c r="G11" s="2" t="n"/>
      <c r="H11" s="2" t="inlineStr">
        <is>
          <t>6 meses grátis de Gemini com AI Plus</t>
        </is>
      </c>
    </row>
    <row r="12">
      <c r="A12" s="5" t="inlineStr">
        <is>
          <t>Vivo Controle</t>
        </is>
      </c>
      <c r="B12" s="6" t="n">
        <v>80</v>
      </c>
      <c r="C12" s="6" t="n"/>
      <c r="D12" s="5" t="inlineStr">
        <is>
          <t>61 GB (20 GB de franquia 31 GB de bônus)</t>
        </is>
      </c>
      <c r="E12" s="5" t="n"/>
      <c r="F12" s="5" t="n"/>
      <c r="G12" s="5" t="n"/>
      <c r="H12" s="5" t="inlineStr">
        <is>
          <t>6 meses grátis de Gemini com AI Plus</t>
        </is>
      </c>
    </row>
    <row r="13">
      <c r="A13" s="2" t="inlineStr">
        <is>
          <t>Vivo Controle Educação</t>
        </is>
      </c>
      <c r="B13" s="3" t="n">
        <v>90</v>
      </c>
      <c r="C13" s="3" t="n"/>
      <c r="D13" s="2" t="inlineStr">
        <is>
          <t>61 GB (20 GB de franquia 31 GB de bônus)</t>
        </is>
      </c>
      <c r="E13" s="2" t="n"/>
      <c r="F13" s="2" t="n"/>
      <c r="G13" s="2" t="n"/>
      <c r="H13" s="2" t="inlineStr">
        <is>
          <t>Assinatura Vivae inclusa</t>
        </is>
      </c>
    </row>
    <row r="14">
      <c r="A14" s="5" t="inlineStr">
        <is>
          <t>Vivo Controle Saúde</t>
        </is>
      </c>
      <c r="B14" s="6" t="n">
        <v>90</v>
      </c>
      <c r="C14" s="6" t="n"/>
      <c r="D14" s="5" t="inlineStr">
        <is>
          <t>61 GB (20 GB de franquia 31 GB de bônus)</t>
        </is>
      </c>
      <c r="E14" s="5" t="n"/>
      <c r="F14" s="5" t="n"/>
      <c r="G14" s="5" t="n"/>
      <c r="H14" s="5" t="inlineStr">
        <is>
          <t>Assinatura Vale Saúde Sempre inclusa</t>
        </is>
      </c>
    </row>
    <row r="15">
      <c r="A15" s="2" t="inlineStr">
        <is>
          <t>Vivo Controle Música</t>
        </is>
      </c>
      <c r="B15" s="3" t="n">
        <v>95</v>
      </c>
      <c r="C15" s="3" t="n"/>
      <c r="D15" s="2" t="inlineStr">
        <is>
          <t>61 GB (20 GB de franquia 31 GB de bônus)</t>
        </is>
      </c>
      <c r="E15" s="2" t="n"/>
      <c r="F15" s="2" t="n"/>
      <c r="G15" s="2" t="n"/>
      <c r="H15" s="2" t="inlineStr">
        <is>
          <t>Apple Music Individual</t>
        </is>
      </c>
    </row>
    <row r="16">
      <c r="A16" s="5" t="inlineStr">
        <is>
          <t>Vivo Controle Netflix</t>
        </is>
      </c>
      <c r="B16" s="6" t="n">
        <v>95</v>
      </c>
      <c r="C16" s="6" t="n"/>
      <c r="D16" s="5" t="inlineStr">
        <is>
          <t>61 GB (20 GB de franquia 31 GB de bônus)</t>
        </is>
      </c>
      <c r="E16" s="5" t="n"/>
      <c r="F16" s="5" t="n"/>
      <c r="G16" s="5" t="n"/>
      <c r="H16" s="5" t="inlineStr">
        <is>
          <t>Assinatura Netflix Padrão com anúncios</t>
        </is>
      </c>
    </row>
    <row r="17">
      <c r="A17" s="2" t="inlineStr">
        <is>
          <t>Vivo Controle Entretenimento</t>
        </is>
      </c>
      <c r="B17" s="3" t="n">
        <v>110</v>
      </c>
      <c r="C17" s="3" t="n"/>
      <c r="D17" s="2" t="inlineStr">
        <is>
          <t>61 GB (20 GB de franquia 31 GB de bônus)</t>
        </is>
      </c>
      <c r="E17" s="2" t="n"/>
      <c r="F17" s="2" t="n"/>
      <c r="G17" s="2" t="n"/>
      <c r="H17" s="2" t="inlineStr">
        <is>
          <t>Assinatura Vivo TV Inicial inclusa</t>
        </is>
      </c>
    </row>
    <row r="18">
      <c r="A18" s="15" t="inlineStr">
        <is>
          <t>Digital</t>
        </is>
      </c>
      <c r="B18" s="16" t="n"/>
      <c r="C18" s="16" t="n"/>
      <c r="D18" s="16" t="n"/>
      <c r="E18" s="16" t="n"/>
      <c r="F18" s="16" t="n"/>
      <c r="G18" s="16" t="n"/>
      <c r="H18" s="16" t="n"/>
    </row>
    <row r="19">
      <c r="A19" s="2" t="inlineStr">
        <is>
          <t>Easy Lite</t>
        </is>
      </c>
      <c r="B19" s="3" t="n">
        <v>30</v>
      </c>
      <c r="C19" s="3" t="n"/>
      <c r="D19" s="2" t="inlineStr">
        <is>
          <t>30 GB (30 GB de franquia 2 Meses de YouTube ilimitado)</t>
        </is>
      </c>
      <c r="E19" s="2" t="n"/>
      <c r="F19" s="2" t="n"/>
      <c r="G19" s="2" t="n"/>
      <c r="H19" s="2" t="n"/>
    </row>
    <row r="20">
      <c r="A20" s="5" t="inlineStr">
        <is>
          <t>Easy Lite</t>
        </is>
      </c>
      <c r="B20" s="6" t="n">
        <v>35</v>
      </c>
      <c r="C20" s="6" t="n"/>
      <c r="D20" s="5" t="inlineStr">
        <is>
          <t>20 GB (20 GB de franquia 2 Meses de YouTube ilimitado)</t>
        </is>
      </c>
      <c r="E20" s="5" t="n"/>
      <c r="F20" s="5" t="n"/>
      <c r="G20" s="5" t="n"/>
      <c r="H20" s="5" t="n"/>
    </row>
    <row r="21">
      <c r="A21" s="2" t="inlineStr">
        <is>
          <t>Easy Lite</t>
        </is>
      </c>
      <c r="B21" s="3" t="n">
        <v>40</v>
      </c>
      <c r="C21" s="3" t="n"/>
      <c r="D21" s="2" t="inlineStr">
        <is>
          <t>40 GB (40 GB de franquia 2 Meses de YouTube ilimitado)</t>
        </is>
      </c>
      <c r="E21" s="2" t="n"/>
      <c r="F21" s="2" t="n"/>
      <c r="G21" s="2" t="n"/>
      <c r="H21" s="2" t="n"/>
    </row>
    <row r="22">
      <c r="A22" s="5" t="inlineStr">
        <is>
          <t>Easy Lite</t>
        </is>
      </c>
      <c r="B22" s="6" t="n">
        <v>40</v>
      </c>
      <c r="C22" s="6" t="n"/>
      <c r="D22" s="5" t="inlineStr">
        <is>
          <t>30 GB</t>
        </is>
      </c>
      <c r="E22" s="5" t="n"/>
      <c r="F22" s="5" t="n"/>
      <c r="G22" s="5" t="n"/>
      <c r="H22" s="5" t="n"/>
    </row>
    <row r="23">
      <c r="A23" s="2" t="inlineStr">
        <is>
          <t>Easy Lite</t>
        </is>
      </c>
      <c r="B23" s="3" t="n">
        <v>50</v>
      </c>
      <c r="C23" s="3" t="n"/>
      <c r="D23" s="2" t="inlineStr">
        <is>
          <t>40 GB</t>
        </is>
      </c>
      <c r="E23" s="2" t="n"/>
      <c r="F23" s="2" t="n"/>
      <c r="G23" s="2" t="n"/>
      <c r="H23" s="2" t="n"/>
    </row>
    <row r="24">
      <c r="A24" s="15" t="inlineStr">
        <is>
          <t>Prepaid</t>
        </is>
      </c>
      <c r="B24" s="16" t="n"/>
      <c r="C24" s="16" t="n"/>
      <c r="D24" s="16" t="n"/>
      <c r="E24" s="16" t="n"/>
      <c r="F24" s="16" t="n"/>
      <c r="G24" s="16" t="n"/>
      <c r="H24" s="16" t="n"/>
    </row>
    <row r="25">
      <c r="A25" s="2" t="inlineStr">
        <is>
          <t>Vivo Pré</t>
        </is>
      </c>
      <c r="B25" s="3" t="n">
        <v>17</v>
      </c>
      <c r="C25" s="3" t="n"/>
      <c r="D25" s="2" t="inlineStr">
        <is>
          <t>4 GB (4 GB para navegar como quiser)</t>
        </is>
      </c>
      <c r="E25" s="2" t="n"/>
      <c r="F25" s="2" t="n"/>
      <c r="G25" s="2" t="n"/>
      <c r="H25" s="2" t="n"/>
    </row>
    <row r="26">
      <c r="A26" s="5" t="inlineStr">
        <is>
          <t>Vivo Pré</t>
        </is>
      </c>
      <c r="B26" s="6" t="n">
        <v>20</v>
      </c>
      <c r="C26" s="6" t="n"/>
      <c r="D26" s="5" t="inlineStr">
        <is>
          <t>5 GB (5 GB para navegar como quiser)</t>
        </is>
      </c>
      <c r="E26" s="5" t="n"/>
      <c r="F26" s="5" t="n"/>
      <c r="G26" s="5" t="n"/>
      <c r="H26" s="5" t="n"/>
    </row>
    <row r="27">
      <c r="A27" s="2" t="inlineStr">
        <is>
          <t>Vivo Pré</t>
        </is>
      </c>
      <c r="B27" s="3" t="n">
        <v>25</v>
      </c>
      <c r="C27" s="3" t="n"/>
      <c r="D27" s="2" t="inlineStr">
        <is>
          <t>9 GB (6 GB para navegar como quiser 3 GB para navegar no YouTube)</t>
        </is>
      </c>
      <c r="E27" s="2" t="n"/>
      <c r="F27" s="2" t="n"/>
      <c r="G27" s="2" t="n"/>
      <c r="H27" s="2" t="n"/>
    </row>
    <row r="28">
      <c r="A28" s="5" t="inlineStr">
        <is>
          <t>Vivo Pré</t>
        </is>
      </c>
      <c r="B28" s="6" t="n">
        <v>30</v>
      </c>
      <c r="C28" s="6" t="n"/>
      <c r="D28" s="5" t="inlineStr">
        <is>
          <t>25 GB (15 GB para navegar como quiser 5 GB de bônus 5 GB para navegar no Youtube)</t>
        </is>
      </c>
      <c r="E28" s="5" t="n"/>
      <c r="F28" s="5" t="n"/>
      <c r="G28" s="5" t="n"/>
      <c r="H28" s="5" t="n"/>
    </row>
  </sheetData>
  <conditionalFormatting sqref="B3:B9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1:B17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9:B23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5:B28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DA291C"/>
    <outlinePr summaryBelow="1" summaryRight="1"/>
    <pageSetUpPr/>
  </sheetPr>
  <dimension ref="A1:H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22" customWidth="1" min="4" max="4"/>
    <col width="20" customWidth="1" min="5" max="5"/>
    <col width="18" customWidth="1" min="6" max="6"/>
    <col width="18" customWidth="1" min="7" max="7"/>
    <col width="40" customWidth="1" min="8" max="8"/>
  </cols>
  <sheetData>
    <row r="1">
      <c r="A1" s="1" t="inlineStr">
        <is>
          <t>Plan</t>
        </is>
      </c>
      <c r="B1" s="1" t="inlineStr">
        <is>
          <t>Price R$</t>
        </is>
      </c>
      <c r="C1" s="1" t="inlineStr">
        <is>
          <t>Promo R$</t>
        </is>
      </c>
      <c r="D1" s="1" t="inlineStr">
        <is>
          <t>Data</t>
        </is>
      </c>
      <c r="E1" s="1" t="inlineStr">
        <is>
          <t>Voice</t>
        </is>
      </c>
      <c r="F1" s="1" t="inlineStr">
        <is>
          <t>Unlimited apps</t>
        </is>
      </c>
      <c r="G1" s="1" t="inlineStr">
        <is>
          <t>Streaming</t>
        </is>
      </c>
      <c r="H1" s="1" t="inlineStr">
        <is>
          <t>Notes</t>
        </is>
      </c>
    </row>
    <row r="2">
      <c r="A2" s="15" t="inlineStr">
        <is>
          <t>Postpaid</t>
        </is>
      </c>
      <c r="B2" s="16" t="n"/>
      <c r="C2" s="16" t="n"/>
      <c r="D2" s="16" t="n"/>
      <c r="E2" s="16" t="n"/>
      <c r="F2" s="16" t="n"/>
      <c r="G2" s="16" t="n"/>
      <c r="H2" s="16" t="n"/>
    </row>
    <row r="3">
      <c r="A3" s="2" t="inlineStr">
        <is>
          <t>Pós 60GB</t>
        </is>
      </c>
      <c r="B3" s="3" t="n">
        <v>124.9</v>
      </c>
      <c r="C3" s="3" t="n"/>
      <c r="D3" s="2" t="inlineStr">
        <is>
          <t>60 GB</t>
        </is>
      </c>
      <c r="E3" s="2" t="n"/>
      <c r="F3" s="2" t="inlineStr">
        <is>
          <t>WhatsApp</t>
        </is>
      </c>
      <c r="G3" s="2" t="n"/>
      <c r="H3" s="2" t="inlineStr">
        <is>
          <t>Armazenamento na nuvem:; Google One ou iCloud+; WhatsApp ilimitado; Roaming: Passaporte Américas; Claro Sync: Smartwatch conectado</t>
        </is>
      </c>
    </row>
    <row r="4">
      <c r="A4" s="5" t="inlineStr">
        <is>
          <t>Pós 50GB com GeForce NOW</t>
        </is>
      </c>
      <c r="B4" s="6" t="n">
        <v>164.9</v>
      </c>
      <c r="C4" s="6" t="n"/>
      <c r="D4" s="5" t="inlineStr">
        <is>
          <t>50 GB</t>
        </is>
      </c>
      <c r="E4" s="5" t="n"/>
      <c r="F4" s="5" t="inlineStr">
        <is>
          <t>WhatsApp</t>
        </is>
      </c>
      <c r="G4" s="5" t="n"/>
      <c r="H4" s="5" t="inlineStr">
        <is>
          <t>Armazenamento na nuvem:; Google One ou iCloud+; WhatsApp ilimitado; Roaming: Passaporte Américas; Claro Sync: Smartwatch conectado; Inclusa assinatura GeForce NOW</t>
        </is>
      </c>
    </row>
    <row r="5">
      <c r="A5" s="2" t="inlineStr">
        <is>
          <t>Pós 100GB</t>
        </is>
      </c>
      <c r="B5" s="3" t="n">
        <v>179.9</v>
      </c>
      <c r="C5" s="3" t="n"/>
      <c r="D5" s="2" t="inlineStr">
        <is>
          <t>100 GB</t>
        </is>
      </c>
      <c r="E5" s="2" t="n"/>
      <c r="F5" s="2" t="inlineStr">
        <is>
          <t>WhatsApp</t>
        </is>
      </c>
      <c r="G5" s="2" t="n"/>
      <c r="H5" s="2" t="inlineStr">
        <is>
          <t>Armazenamento na nuvem:; Google One ou iCloud+; WhatsApp ilimitado; Roaming: Passaporte Américas; Claro Sync: Smartwatch conectado</t>
        </is>
      </c>
    </row>
    <row r="6">
      <c r="A6" s="5" t="inlineStr">
        <is>
          <t>Pós 150GB</t>
        </is>
      </c>
      <c r="B6" s="6" t="n">
        <v>239.9</v>
      </c>
      <c r="C6" s="6" t="n"/>
      <c r="D6" s="5" t="inlineStr">
        <is>
          <t>150 GB</t>
        </is>
      </c>
      <c r="E6" s="5" t="n"/>
      <c r="F6" s="5" t="inlineStr">
        <is>
          <t>WhatsApp</t>
        </is>
      </c>
      <c r="G6" s="5" t="n"/>
      <c r="H6" s="5" t="inlineStr">
        <is>
          <t>Armazenamento na nuvem:; Google One ou iCloud+; WhatsApp ilimitado; Roaming: Passaporte Américas e Europa; Claro Sync: Smartwatch conectado</t>
        </is>
      </c>
    </row>
    <row r="7">
      <c r="A7" s="2" t="inlineStr">
        <is>
          <t>Pós 200GB</t>
        </is>
      </c>
      <c r="B7" s="3" t="n">
        <v>339.9</v>
      </c>
      <c r="C7" s="3" t="n"/>
      <c r="D7" s="2" t="inlineStr">
        <is>
          <t>200 GB</t>
        </is>
      </c>
      <c r="E7" s="2" t="n"/>
      <c r="F7" s="2" t="inlineStr">
        <is>
          <t>WhatsApp</t>
        </is>
      </c>
      <c r="G7" s="2" t="n"/>
      <c r="H7" s="2" t="inlineStr">
        <is>
          <t>Armazenamento na nuvem:; Google One ou iCloud+; WhatsApp ilimitado; Roaming: Passaporte Mundo; Claro Sync: Smartwatch conectado</t>
        </is>
      </c>
    </row>
    <row r="8">
      <c r="A8" s="15" t="inlineStr">
        <is>
          <t>Control</t>
        </is>
      </c>
      <c r="B8" s="16" t="n"/>
      <c r="C8" s="16" t="n"/>
      <c r="D8" s="16" t="n"/>
      <c r="E8" s="16" t="n"/>
      <c r="F8" s="16" t="n"/>
      <c r="G8" s="16" t="n"/>
      <c r="H8" s="16" t="n"/>
    </row>
    <row r="9">
      <c r="A9" s="2" t="inlineStr">
        <is>
          <t>Controle 25GB</t>
        </is>
      </c>
      <c r="B9" s="3" t="n">
        <v>59.9</v>
      </c>
      <c r="C9" s="17" t="n">
        <v>54.9</v>
      </c>
      <c r="D9" s="2" t="inlineStr">
        <is>
          <t>25 GB</t>
        </is>
      </c>
      <c r="E9" s="2" t="n"/>
      <c r="F9" s="2" t="inlineStr">
        <is>
          <t>WhatsApp</t>
        </is>
      </c>
      <c r="G9" s="2" t="n"/>
      <c r="H9" s="2" t="inlineStr">
        <is>
          <t>Para uso livre; Para redes sociais e vídeos; Bônus exclusivo; Aproveite na sua franquia; WhatsApp e ligações ilimitadas · De R$ 59,90 Por:</t>
        </is>
      </c>
    </row>
    <row r="10">
      <c r="A10" s="5" t="inlineStr">
        <is>
          <t>Controle 30GB</t>
        </is>
      </c>
      <c r="B10" s="6" t="n">
        <v>69.90000000000001</v>
      </c>
      <c r="C10" s="6" t="n"/>
      <c r="D10" s="5" t="inlineStr">
        <is>
          <t>30 GB</t>
        </is>
      </c>
      <c r="E10" s="5" t="n"/>
      <c r="F10" s="5" t="inlineStr">
        <is>
          <t>WhatsApp</t>
        </is>
      </c>
      <c r="G10" s="5" t="n"/>
      <c r="H10" s="5" t="inlineStr">
        <is>
          <t>Para uso livre; Bônus do Hexa para uso livre; Bônus para redes sociais e apps; Redes sociais e apps; WhatsApp ilimitado</t>
        </is>
      </c>
    </row>
    <row r="11">
      <c r="A11" s="2" t="inlineStr">
        <is>
          <t>Controle 30GB</t>
        </is>
      </c>
      <c r="B11" s="3" t="n">
        <v>99.90000000000001</v>
      </c>
      <c r="C11" s="3" t="n"/>
      <c r="D11" s="2" t="inlineStr">
        <is>
          <t>30 GB</t>
        </is>
      </c>
      <c r="E11" s="2" t="n"/>
      <c r="F11" s="2" t="inlineStr">
        <is>
          <t>WhatsApp</t>
        </is>
      </c>
      <c r="G11" s="2" t="n"/>
      <c r="H11" s="2" t="inlineStr">
        <is>
          <t>Para uso livre; Bônus para redes sociais e apps; Bônus uso livre; Redes sociais e apps; WhatsApp ilimitado</t>
        </is>
      </c>
    </row>
    <row r="12">
      <c r="A12" s="15" t="inlineStr">
        <is>
          <t>Digital</t>
        </is>
      </c>
      <c r="B12" s="16" t="n"/>
      <c r="C12" s="16" t="n"/>
      <c r="D12" s="16" t="n"/>
      <c r="E12" s="16" t="n"/>
      <c r="F12" s="16" t="n"/>
      <c r="G12" s="16" t="n"/>
      <c r="H12" s="16" t="n"/>
    </row>
    <row r="13">
      <c r="A13" s="2" t="inlineStr">
        <is>
          <t>Flex 15GB</t>
        </is>
      </c>
      <c r="B13" s="3" t="n">
        <v>44.9</v>
      </c>
      <c r="C13" s="3" t="n"/>
      <c r="D13" s="2" t="inlineStr">
        <is>
          <t>15 GB</t>
        </is>
      </c>
      <c r="E13" s="2" t="n"/>
      <c r="F13" s="2" t="inlineStr">
        <is>
          <t>WhatsApp</t>
        </is>
      </c>
      <c r="G13" s="2" t="n"/>
      <c r="H13" s="2" t="inlineStr">
        <is>
          <t>Para uso livre; Bônus do Hexa para uso livre; Para redes sociais e apps; Bônus extra nos apps; WhatsApp ilimitado</t>
        </is>
      </c>
    </row>
    <row r="14">
      <c r="A14" s="5" t="inlineStr">
        <is>
          <t>Flex 20GB</t>
        </is>
      </c>
      <c r="B14" s="6" t="n">
        <v>59.9</v>
      </c>
      <c r="C14" s="6" t="n"/>
      <c r="D14" s="5" t="inlineStr">
        <is>
          <t>20 GB</t>
        </is>
      </c>
      <c r="E14" s="5" t="n"/>
      <c r="F14" s="5" t="inlineStr">
        <is>
          <t>WhatsApp</t>
        </is>
      </c>
      <c r="G14" s="5" t="n"/>
      <c r="H14" s="5" t="inlineStr">
        <is>
          <t>Para uso livre; Bônus do Hexa para uso livre; Para redes sociais e apps; Bônus extra nos apps; WhatsApp ilimitado</t>
        </is>
      </c>
    </row>
    <row r="15">
      <c r="A15" s="2" t="inlineStr">
        <is>
          <t>Flex 30GB</t>
        </is>
      </c>
      <c r="B15" s="3" t="n">
        <v>69.90000000000001</v>
      </c>
      <c r="C15" s="3" t="n"/>
      <c r="D15" s="2" t="inlineStr">
        <is>
          <t>30 GB</t>
        </is>
      </c>
      <c r="E15" s="2" t="n"/>
      <c r="F15" s="2" t="inlineStr">
        <is>
          <t>WhatsApp</t>
        </is>
      </c>
      <c r="G15" s="2" t="n"/>
      <c r="H15" s="2" t="inlineStr">
        <is>
          <t>Para uso livre; Bônus do Hexa para uso livre; Para redes sociais e apps; Bônus extra nos apps; WhatsApp ilimitado; Assinatura Claro musica inclusa</t>
        </is>
      </c>
    </row>
    <row r="16">
      <c r="A16" s="5" t="inlineStr">
        <is>
          <t>Flex 40GB</t>
        </is>
      </c>
      <c r="B16" s="6" t="n">
        <v>119.9</v>
      </c>
      <c r="C16" s="6" t="n"/>
      <c r="D16" s="5" t="inlineStr">
        <is>
          <t>40 GB</t>
        </is>
      </c>
      <c r="E16" s="5" t="n"/>
      <c r="F16" s="5" t="inlineStr">
        <is>
          <t>WhatsApp</t>
        </is>
      </c>
      <c r="G16" s="5" t="n"/>
      <c r="H16" s="5" t="inlineStr">
        <is>
          <t>Para uso livre; Para redes sociais e apps; Bônus uso livre; Bônus extra nos apps; WhatsApp ilimitado; Assinatura Claro musica inclusa</t>
        </is>
      </c>
    </row>
    <row r="17">
      <c r="A17" s="15" t="inlineStr">
        <is>
          <t>Prepaid</t>
        </is>
      </c>
      <c r="B17" s="16" t="n"/>
      <c r="C17" s="16" t="n"/>
      <c r="D17" s="16" t="n"/>
      <c r="E17" s="16" t="n"/>
      <c r="F17" s="16" t="n"/>
      <c r="G17" s="16" t="n"/>
      <c r="H17" s="16" t="n"/>
    </row>
    <row r="18">
      <c r="A18" s="2" t="inlineStr">
        <is>
          <t>Prezão R$1 por dia</t>
        </is>
      </c>
      <c r="B18" s="3" t="n">
        <v>1</v>
      </c>
      <c r="C18" s="3" t="n"/>
      <c r="D18" s="2" t="inlineStr">
        <is>
          <t>12 GB</t>
        </is>
      </c>
      <c r="E18" s="2" t="n"/>
      <c r="F18" s="2" t="n"/>
      <c r="G18" s="2" t="n"/>
      <c r="H18" s="2" t="inlineStr">
        <is>
          <t>prepaid Prezão — preço por dia; recargas a partir de R$15</t>
        </is>
      </c>
    </row>
  </sheetData>
  <conditionalFormatting sqref="B3:B7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9:B11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3:B16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8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033A0"/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22" customWidth="1" min="4" max="4"/>
    <col width="20" customWidth="1" min="5" max="5"/>
    <col width="18" customWidth="1" min="6" max="6"/>
    <col width="18" customWidth="1" min="7" max="7"/>
    <col width="40" customWidth="1" min="8" max="8"/>
  </cols>
  <sheetData>
    <row r="1">
      <c r="A1" s="1" t="inlineStr">
        <is>
          <t>Plan</t>
        </is>
      </c>
      <c r="B1" s="1" t="inlineStr">
        <is>
          <t>Price R$</t>
        </is>
      </c>
      <c r="C1" s="1" t="inlineStr">
        <is>
          <t>Promo R$</t>
        </is>
      </c>
      <c r="D1" s="1" t="inlineStr">
        <is>
          <t>Data</t>
        </is>
      </c>
      <c r="E1" s="1" t="inlineStr">
        <is>
          <t>Voice</t>
        </is>
      </c>
      <c r="F1" s="1" t="inlineStr">
        <is>
          <t>Unlimited apps</t>
        </is>
      </c>
      <c r="G1" s="1" t="inlineStr">
        <is>
          <t>Streaming</t>
        </is>
      </c>
      <c r="H1" s="1" t="inlineStr">
        <is>
          <t>Notes</t>
        </is>
      </c>
    </row>
    <row r="2">
      <c r="A2" s="15" t="inlineStr">
        <is>
          <t>Postpaid</t>
        </is>
      </c>
      <c r="B2" s="16" t="n"/>
      <c r="C2" s="16" t="n"/>
      <c r="D2" s="16" t="n"/>
      <c r="E2" s="16" t="n"/>
      <c r="F2" s="16" t="n"/>
      <c r="G2" s="16" t="n"/>
      <c r="H2" s="16" t="n"/>
    </row>
    <row r="3">
      <c r="A3" s="2" t="inlineStr">
        <is>
          <t>TIM Black A Express 67GB</t>
        </is>
      </c>
      <c r="B3" s="3" t="n">
        <v>119.99</v>
      </c>
      <c r="C3" s="3" t="n"/>
      <c r="D3" s="2" t="inlineStr">
        <is>
          <t>67 GB</t>
        </is>
      </c>
      <c r="E3" s="2" t="n"/>
      <c r="F3" s="2" t="n"/>
      <c r="G3" s="2" t="n"/>
      <c r="H3" s="2" t="n"/>
    </row>
    <row r="4">
      <c r="A4" s="5" t="inlineStr">
        <is>
          <t>TIM Black 70GB</t>
        </is>
      </c>
      <c r="B4" s="6" t="n">
        <v>129.99</v>
      </c>
      <c r="C4" s="6" t="n"/>
      <c r="D4" s="5" t="inlineStr">
        <is>
          <t>70 GB</t>
        </is>
      </c>
      <c r="E4" s="5" t="n"/>
      <c r="F4" s="5" t="n"/>
      <c r="G4" s="5" t="n"/>
      <c r="H4" s="5" t="n"/>
    </row>
    <row r="5">
      <c r="A5" s="2" t="inlineStr">
        <is>
          <t>TIM Black B Express 82GB</t>
        </is>
      </c>
      <c r="B5" s="3" t="n">
        <v>144.99</v>
      </c>
      <c r="C5" s="3" t="n"/>
      <c r="D5" s="2" t="inlineStr">
        <is>
          <t>82 GB</t>
        </is>
      </c>
      <c r="E5" s="2" t="n"/>
      <c r="F5" s="2" t="n"/>
      <c r="G5" s="2" t="n"/>
      <c r="H5" s="2" t="n"/>
    </row>
    <row r="6">
      <c r="A6" s="5" t="inlineStr">
        <is>
          <t>TIM Black Plus 80GB</t>
        </is>
      </c>
      <c r="B6" s="6" t="n">
        <v>149.99</v>
      </c>
      <c r="C6" s="6" t="n"/>
      <c r="D6" s="5" t="inlineStr">
        <is>
          <t>80 GB</t>
        </is>
      </c>
      <c r="E6" s="5" t="n"/>
      <c r="F6" s="5" t="n"/>
      <c r="G6" s="5" t="n"/>
      <c r="H6" s="5" t="n"/>
    </row>
    <row r="7">
      <c r="A7" s="2" t="inlineStr">
        <is>
          <t>TIM Black C Ultra 95GB</t>
        </is>
      </c>
      <c r="B7" s="3" t="n">
        <v>159.99</v>
      </c>
      <c r="C7" s="3" t="n"/>
      <c r="D7" s="2" t="inlineStr">
        <is>
          <t>95 GB</t>
        </is>
      </c>
      <c r="E7" s="2" t="n"/>
      <c r="F7" s="2" t="n"/>
      <c r="G7" s="2" t="n"/>
      <c r="H7" s="2" t="n"/>
    </row>
    <row r="8">
      <c r="A8" s="5" t="inlineStr">
        <is>
          <t>TIM Black Premium 110GB</t>
        </is>
      </c>
      <c r="B8" s="6" t="n">
        <v>159.99</v>
      </c>
      <c r="C8" s="6" t="n"/>
      <c r="D8" s="5" t="inlineStr">
        <is>
          <t>110 GB</t>
        </is>
      </c>
      <c r="E8" s="5" t="n"/>
      <c r="F8" s="5" t="n"/>
      <c r="G8" s="5" t="n"/>
      <c r="H8" s="5" t="n"/>
    </row>
    <row r="9">
      <c r="A9" s="2" t="inlineStr">
        <is>
          <t>TIM Black C Express 107GB</t>
        </is>
      </c>
      <c r="B9" s="3" t="n">
        <v>164.99</v>
      </c>
      <c r="C9" s="3" t="n"/>
      <c r="D9" s="2" t="inlineStr">
        <is>
          <t>107 GB</t>
        </is>
      </c>
      <c r="E9" s="2" t="n"/>
      <c r="F9" s="2" t="n"/>
      <c r="G9" s="2" t="n"/>
      <c r="H9" s="2" t="n"/>
    </row>
    <row r="10">
      <c r="A10" s="15" t="inlineStr">
        <is>
          <t>Control</t>
        </is>
      </c>
      <c r="B10" s="16" t="n"/>
      <c r="C10" s="16" t="n"/>
      <c r="D10" s="16" t="n"/>
      <c r="E10" s="16" t="n"/>
      <c r="F10" s="16" t="n"/>
      <c r="G10" s="16" t="n"/>
      <c r="H10" s="16" t="n"/>
    </row>
    <row r="11">
      <c r="A11" s="2" t="inlineStr">
        <is>
          <t>TIM Controle 41GB</t>
        </is>
      </c>
      <c r="B11" s="3" t="n">
        <v>58.99</v>
      </c>
      <c r="C11" s="3" t="n"/>
      <c r="D11" s="2" t="inlineStr">
        <is>
          <t>41 GB</t>
        </is>
      </c>
      <c r="E11" s="2" t="n"/>
      <c r="F11" s="2" t="n"/>
      <c r="G11" s="2" t="n"/>
      <c r="H11" s="2" t="n"/>
    </row>
    <row r="12">
      <c r="A12" s="5" t="inlineStr">
        <is>
          <t>TIM Controle Light Express 31GB</t>
        </is>
      </c>
      <c r="B12" s="6" t="n">
        <v>60.99</v>
      </c>
      <c r="C12" s="6" t="n"/>
      <c r="D12" s="5" t="inlineStr">
        <is>
          <t>31 GB</t>
        </is>
      </c>
      <c r="E12" s="5" t="n"/>
      <c r="F12" s="5" t="n"/>
      <c r="G12" s="5" t="n"/>
      <c r="H12" s="5" t="n"/>
    </row>
    <row r="13">
      <c r="A13" s="2" t="inlineStr">
        <is>
          <t>TIM Controle Plus 45GB</t>
        </is>
      </c>
      <c r="B13" s="3" t="n">
        <v>64.98999999999999</v>
      </c>
      <c r="C13" s="3" t="n"/>
      <c r="D13" s="2" t="inlineStr">
        <is>
          <t>45 GB</t>
        </is>
      </c>
      <c r="E13" s="2" t="n"/>
      <c r="F13" s="2" t="n"/>
      <c r="G13" s="2" t="n"/>
      <c r="H13" s="2" t="n"/>
    </row>
    <row r="14">
      <c r="A14" s="5" t="inlineStr">
        <is>
          <t>TIM Controle Pro Express</t>
        </is>
      </c>
      <c r="B14" s="6" t="n">
        <v>64.98999999999999</v>
      </c>
      <c r="C14" s="6" t="n"/>
      <c r="D14" s="5" t="n"/>
      <c r="E14" s="5" t="n"/>
      <c r="F14" s="5" t="n"/>
      <c r="G14" s="5" t="n"/>
      <c r="H14" s="5" t="n"/>
    </row>
    <row r="15">
      <c r="A15" s="2" t="inlineStr">
        <is>
          <t>TIM Controle Premium 53GB</t>
        </is>
      </c>
      <c r="B15" s="3" t="n">
        <v>84.98999999999999</v>
      </c>
      <c r="C15" s="3" t="n"/>
      <c r="D15" s="2" t="inlineStr">
        <is>
          <t>53 GB</t>
        </is>
      </c>
      <c r="E15" s="2" t="n"/>
      <c r="F15" s="2" t="n"/>
      <c r="G15" s="2" t="n"/>
      <c r="H15" s="2" t="n"/>
    </row>
    <row r="16">
      <c r="A16" s="15" t="inlineStr">
        <is>
          <t>Prepaid</t>
        </is>
      </c>
      <c r="B16" s="16" t="n"/>
      <c r="C16" s="16" t="n"/>
      <c r="D16" s="16" t="n"/>
      <c r="E16" s="16" t="n"/>
      <c r="F16" s="16" t="n"/>
      <c r="G16" s="16" t="n"/>
      <c r="H16" s="16" t="n"/>
    </row>
    <row r="17">
      <c r="A17" s="2" t="inlineStr">
        <is>
          <t>TIM Pré XIP Plus 6GB</t>
        </is>
      </c>
      <c r="B17" s="3" t="n">
        <v>20</v>
      </c>
      <c r="C17" s="3" t="n"/>
      <c r="D17" s="2" t="inlineStr">
        <is>
          <t>6 GB</t>
        </is>
      </c>
      <c r="E17" s="2" t="n"/>
      <c r="F17" s="2" t="n"/>
      <c r="G17" s="2" t="n"/>
      <c r="H17" s="2" t="n"/>
    </row>
    <row r="18">
      <c r="A18" s="5" t="inlineStr">
        <is>
          <t>TIM Pré XIP Plus 8GB</t>
        </is>
      </c>
      <c r="B18" s="6" t="n">
        <v>25</v>
      </c>
      <c r="C18" s="6" t="n"/>
      <c r="D18" s="5" t="inlineStr">
        <is>
          <t>8 GB</t>
        </is>
      </c>
      <c r="E18" s="5" t="n"/>
      <c r="F18" s="5" t="n"/>
      <c r="G18" s="5" t="n"/>
      <c r="H18" s="5" t="n"/>
    </row>
    <row r="19">
      <c r="A19" s="2" t="inlineStr">
        <is>
          <t>TIM Pré XIP Plus 16GB</t>
        </is>
      </c>
      <c r="B19" s="3" t="n">
        <v>30</v>
      </c>
      <c r="C19" s="3" t="n"/>
      <c r="D19" s="2" t="inlineStr">
        <is>
          <t>16 GB</t>
        </is>
      </c>
      <c r="E19" s="2" t="n"/>
      <c r="F19" s="2" t="n"/>
      <c r="G19" s="2" t="n"/>
      <c r="H19" s="2" t="n"/>
    </row>
  </sheetData>
  <conditionalFormatting sqref="B3:B9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1:B15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7:B19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2026-06-22T18:37:17Z</dcterms:created>
  <dcterms:modified xsi:type="dcterms:W3CDTF">2026-06-22T18:37:17Z</dcterms:modified>
</cp:coreProperties>
</file>