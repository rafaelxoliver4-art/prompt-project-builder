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'history'!$A$1:$V$4560</definedName>
    <definedName name="_xlnm._FilterDatabase" localSheetId="1" hidden="1">'latest'!$A$1:$V$64</definedName>
    <definedName name="_xlnm._FilterDatabase" localSheetId="10" hidden="1">'convergent_history'!$A$1:$Z$936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'comparison'!$B$3:$B$79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'comparison'!$C$3:$C$79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'comparison'!$D$3:$D$79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'comparison'!$E$3:$E$79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'comparison'!$F$3:$F$79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'comparison'!$G$3:$G$79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'comparison'!$H$3:$H$79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'comparison'!$I$3:$I$79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'comparison'!$J$3:$J$79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'comparison'!$K$3:$K$79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'comparison'!$L$3:$L$79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'comparison'!$M$3:$M$79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56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  <row r="4307">
      <c r="A4307" s="5" t="inlineStr">
        <is>
          <t>2026-09-06</t>
        </is>
      </c>
      <c r="B4307" s="5" t="inlineStr">
        <is>
          <t>2026-09-06T19:39:36</t>
        </is>
      </c>
      <c r="C4307" s="5" t="inlineStr">
        <is>
          <t>claro</t>
        </is>
      </c>
      <c r="D4307" s="5" t="inlineStr">
        <is>
          <t>control</t>
        </is>
      </c>
      <c r="E4307" s="5" t="inlineStr">
        <is>
          <t>SP</t>
        </is>
      </c>
      <c r="F4307" s="5" t="inlineStr">
        <is>
          <t>Controle 25GB</t>
        </is>
      </c>
      <c r="G4307" s="5" t="inlineStr">
        <is>
          <t>claro:plano-controle-25gb</t>
        </is>
      </c>
      <c r="H4307" s="6" t="n">
        <v>59.9</v>
      </c>
      <c r="I4307" s="6" t="n">
        <v>54.9</v>
      </c>
      <c r="J4307" s="5" t="inlineStr">
        <is>
          <t>De R$ 59,90 Por:</t>
        </is>
      </c>
      <c r="K4307" s="5" t="inlineStr"/>
      <c r="L4307" s="7" t="n">
        <v>25</v>
      </c>
      <c r="M4307" s="5" t="inlineStr"/>
      <c r="N4307" s="5" t="inlineStr"/>
      <c r="O4307" s="5" t="inlineStr">
        <is>
          <t>WhatsApp</t>
        </is>
      </c>
      <c r="P4307" s="5" t="inlineStr"/>
      <c r="Q4307" s="5" t="inlineStr"/>
      <c r="R4307" s="5" t="inlineStr"/>
      <c r="S4307" s="5" t="inlineStr"/>
      <c r="T4307" s="5" t="inlineStr">
        <is>
          <t>Para uso livre; Para redes sociais e vídeos; Bônus exclusivo; Aproveite na sua franquia; WhatsApp e ligações ilimitadas</t>
        </is>
      </c>
      <c r="U4307" s="5" t="inlineStr">
        <is>
          <t>https://www.claro.com.br/celular/controle</t>
        </is>
      </c>
      <c r="V4307" s="5" t="inlineStr">
        <is>
          <t>data/raw/claro_control_SP.json</t>
        </is>
      </c>
    </row>
    <row r="4308">
      <c r="A4308" s="2" t="inlineStr">
        <is>
          <t>2026-09-06</t>
        </is>
      </c>
      <c r="B4308" s="2" t="inlineStr">
        <is>
          <t>2026-09-06T19:39:36</t>
        </is>
      </c>
      <c r="C4308" s="2" t="inlineStr">
        <is>
          <t>claro</t>
        </is>
      </c>
      <c r="D4308" s="2" t="inlineStr">
        <is>
          <t>control</t>
        </is>
      </c>
      <c r="E4308" s="2" t="inlineStr">
        <is>
          <t>SP</t>
        </is>
      </c>
      <c r="F4308" s="2" t="inlineStr">
        <is>
          <t>Controle 30GB</t>
        </is>
      </c>
      <c r="G4308" s="2" t="inlineStr">
        <is>
          <t>claro:plano-controle-30gb</t>
        </is>
      </c>
      <c r="H4308" s="3" t="n">
        <v>69.90000000000001</v>
      </c>
      <c r="I4308" s="3" t="inlineStr"/>
      <c r="J4308" s="2" t="inlineStr"/>
      <c r="K4308" s="2" t="inlineStr"/>
      <c r="L4308" s="4" t="n">
        <v>30</v>
      </c>
      <c r="M4308" s="2" t="inlineStr"/>
      <c r="N4308" s="2" t="inlineStr"/>
      <c r="O4308" s="2" t="inlineStr">
        <is>
          <t>WhatsApp</t>
        </is>
      </c>
      <c r="P4308" s="2" t="inlineStr"/>
      <c r="Q4308" s="2" t="inlineStr"/>
      <c r="R4308" s="2" t="inlineStr"/>
      <c r="S4308" s="2" t="inlineStr"/>
      <c r="T4308" s="2" t="inlineStr">
        <is>
          <t>Para uso livre; Bônus para uso livre; Bônus para redes sociais e apps; Assinatura Amazon Prime por 3 meses; Redes sociais e apps; WhatsApp ilimitado</t>
        </is>
      </c>
      <c r="U4308" s="2" t="inlineStr">
        <is>
          <t>https://www.claro.com.br/celular/controle</t>
        </is>
      </c>
      <c r="V4308" s="2" t="inlineStr">
        <is>
          <t>data/raw/claro_control_SP.json</t>
        </is>
      </c>
    </row>
    <row r="4309">
      <c r="A4309" s="5" t="inlineStr">
        <is>
          <t>2026-09-06</t>
        </is>
      </c>
      <c r="B4309" s="5" t="inlineStr">
        <is>
          <t>2026-09-06T19:39:36</t>
        </is>
      </c>
      <c r="C4309" s="5" t="inlineStr">
        <is>
          <t>claro</t>
        </is>
      </c>
      <c r="D4309" s="5" t="inlineStr">
        <is>
          <t>control</t>
        </is>
      </c>
      <c r="E4309" s="5" t="inlineStr">
        <is>
          <t>SP</t>
        </is>
      </c>
      <c r="F4309" s="5" t="inlineStr">
        <is>
          <t>Controle 30GB</t>
        </is>
      </c>
      <c r="G4309" s="5" t="inlineStr">
        <is>
          <t>claro:plano-controle-30gb-gaming</t>
        </is>
      </c>
      <c r="H4309" s="6" t="n">
        <v>99.90000000000001</v>
      </c>
      <c r="I4309" s="6" t="inlineStr"/>
      <c r="J4309" s="5" t="inlineStr"/>
      <c r="K4309" s="5" t="inlineStr"/>
      <c r="L4309" s="7" t="n">
        <v>30</v>
      </c>
      <c r="M4309" s="5" t="inlineStr"/>
      <c r="N4309" s="5" t="inlineStr"/>
      <c r="O4309" s="5" t="inlineStr">
        <is>
          <t>WhatsApp</t>
        </is>
      </c>
      <c r="P4309" s="5" t="inlineStr"/>
      <c r="Q4309" s="5" t="inlineStr"/>
      <c r="R4309" s="5" t="inlineStr"/>
      <c r="S4309" s="5" t="inlineStr"/>
      <c r="T4309" s="5" t="inlineStr">
        <is>
          <t>Para uso livre; Bônus para redes sociais e apps; Bônus uso livre; Assinatura Amazon Prime por 3 meses; Redes sociais e apps; WhatsApp ilimitado</t>
        </is>
      </c>
      <c r="U4309" s="5" t="inlineStr">
        <is>
          <t>https://www.claro.com.br/celular/controle</t>
        </is>
      </c>
      <c r="V4309" s="5" t="inlineStr">
        <is>
          <t>data/raw/claro_control_SP.json</t>
        </is>
      </c>
    </row>
    <row r="4310">
      <c r="A4310" s="2" t="inlineStr">
        <is>
          <t>2026-09-06</t>
        </is>
      </c>
      <c r="B4310" s="2" t="inlineStr">
        <is>
          <t>2026-09-06T19:39:36</t>
        </is>
      </c>
      <c r="C4310" s="2" t="inlineStr">
        <is>
          <t>claro</t>
        </is>
      </c>
      <c r="D4310" s="2" t="inlineStr">
        <is>
          <t>flex</t>
        </is>
      </c>
      <c r="E4310" s="2" t="inlineStr">
        <is>
          <t>SP</t>
        </is>
      </c>
      <c r="F4310" s="2" t="inlineStr">
        <is>
          <t>Flex 15GB</t>
        </is>
      </c>
      <c r="G4310" s="2" t="inlineStr">
        <is>
          <t>claro:plano-flex-15gb</t>
        </is>
      </c>
      <c r="H4310" s="3" t="n">
        <v>44.9</v>
      </c>
      <c r="I4310" s="3" t="inlineStr"/>
      <c r="J4310" s="2" t="inlineStr"/>
      <c r="K4310" s="2" t="inlineStr"/>
      <c r="L4310" s="4" t="n">
        <v>15</v>
      </c>
      <c r="M4310" s="2" t="inlineStr"/>
      <c r="N4310" s="2" t="inlineStr"/>
      <c r="O4310" s="2" t="inlineStr">
        <is>
          <t>WhatsApp</t>
        </is>
      </c>
      <c r="P4310" s="2" t="inlineStr"/>
      <c r="Q4310" s="2" t="inlineStr"/>
      <c r="R4310" s="2" t="inlineStr"/>
      <c r="S4310" s="2" t="inlineStr"/>
      <c r="T4310" s="2" t="inlineStr">
        <is>
          <t>Para uso livre; Para redes sociais e apps; Bônus extra nos apps; WhatsApp ilimitado</t>
        </is>
      </c>
      <c r="U4310" s="2" t="inlineStr">
        <is>
          <t>https://www.claro.com.br/celular/flex</t>
        </is>
      </c>
      <c r="V4310" s="2" t="inlineStr">
        <is>
          <t>data/raw/claro_flex_SP.json</t>
        </is>
      </c>
    </row>
    <row r="4311">
      <c r="A4311" s="5" t="inlineStr">
        <is>
          <t>2026-09-06</t>
        </is>
      </c>
      <c r="B4311" s="5" t="inlineStr">
        <is>
          <t>2026-09-06T19:39:36</t>
        </is>
      </c>
      <c r="C4311" s="5" t="inlineStr">
        <is>
          <t>claro</t>
        </is>
      </c>
      <c r="D4311" s="5" t="inlineStr">
        <is>
          <t>flex</t>
        </is>
      </c>
      <c r="E4311" s="5" t="inlineStr">
        <is>
          <t>SP</t>
        </is>
      </c>
      <c r="F4311" s="5" t="inlineStr">
        <is>
          <t>Flex 20GB</t>
        </is>
      </c>
      <c r="G4311" s="5" t="inlineStr">
        <is>
          <t>claro:plano-flex-20gb</t>
        </is>
      </c>
      <c r="H4311" s="6" t="n">
        <v>59.9</v>
      </c>
      <c r="I4311" s="6" t="inlineStr"/>
      <c r="J4311" s="5" t="inlineStr"/>
      <c r="K4311" s="5" t="inlineStr"/>
      <c r="L4311" s="7" t="n">
        <v>20</v>
      </c>
      <c r="M4311" s="5" t="inlineStr"/>
      <c r="N4311" s="5" t="inlineStr"/>
      <c r="O4311" s="5" t="inlineStr">
        <is>
          <t>WhatsApp</t>
        </is>
      </c>
      <c r="P4311" s="5" t="inlineStr"/>
      <c r="Q4311" s="5" t="inlineStr"/>
      <c r="R4311" s="5" t="inlineStr"/>
      <c r="S4311" s="5" t="inlineStr"/>
      <c r="T4311" s="5" t="inlineStr">
        <is>
          <t>Para uso livre; Para redes sociais e apps; Bônus extra nos apps; WhatsApp ilimitado</t>
        </is>
      </c>
      <c r="U4311" s="5" t="inlineStr">
        <is>
          <t>https://www.claro.com.br/celular/flex</t>
        </is>
      </c>
      <c r="V4311" s="5" t="inlineStr">
        <is>
          <t>data/raw/claro_flex_SP.json</t>
        </is>
      </c>
    </row>
    <row r="4312">
      <c r="A4312" s="2" t="inlineStr">
        <is>
          <t>2026-09-06</t>
        </is>
      </c>
      <c r="B4312" s="2" t="inlineStr">
        <is>
          <t>2026-09-06T19:39:36</t>
        </is>
      </c>
      <c r="C4312" s="2" t="inlineStr">
        <is>
          <t>claro</t>
        </is>
      </c>
      <c r="D4312" s="2" t="inlineStr">
        <is>
          <t>flex</t>
        </is>
      </c>
      <c r="E4312" s="2" t="inlineStr">
        <is>
          <t>SP</t>
        </is>
      </c>
      <c r="F4312" s="2" t="inlineStr">
        <is>
          <t>Flex 30GB</t>
        </is>
      </c>
      <c r="G4312" s="2" t="inlineStr">
        <is>
          <t>claro:plano-flex-30gb</t>
        </is>
      </c>
      <c r="H4312" s="3" t="n">
        <v>69.90000000000001</v>
      </c>
      <c r="I4312" s="3" t="inlineStr"/>
      <c r="J4312" s="2" t="inlineStr"/>
      <c r="K4312" s="2" t="inlineStr"/>
      <c r="L4312" s="4" t="n">
        <v>30</v>
      </c>
      <c r="M4312" s="2" t="inlineStr"/>
      <c r="N4312" s="2" t="inlineStr"/>
      <c r="O4312" s="2" t="inlineStr">
        <is>
          <t>WhatsApp</t>
        </is>
      </c>
      <c r="P4312" s="2" t="inlineStr"/>
      <c r="Q4312" s="2" t="inlineStr"/>
      <c r="R4312" s="2" t="inlineStr"/>
      <c r="S4312" s="2" t="inlineStr"/>
      <c r="T4312" s="2" t="inlineStr">
        <is>
          <t>Para uso livre; Para redes sociais e apps; Bônus extra nos apps; WhatsApp ilimitado; Assinatura Claro musica inclusa</t>
        </is>
      </c>
      <c r="U4312" s="2" t="inlineStr">
        <is>
          <t>https://www.claro.com.br/celular/flex</t>
        </is>
      </c>
      <c r="V4312" s="2" t="inlineStr">
        <is>
          <t>data/raw/claro_flex_SP.json</t>
        </is>
      </c>
    </row>
    <row r="4313">
      <c r="A4313" s="5" t="inlineStr">
        <is>
          <t>2026-09-06</t>
        </is>
      </c>
      <c r="B4313" s="5" t="inlineStr">
        <is>
          <t>2026-09-06T19:39:36</t>
        </is>
      </c>
      <c r="C4313" s="5" t="inlineStr">
        <is>
          <t>claro</t>
        </is>
      </c>
      <c r="D4313" s="5" t="inlineStr">
        <is>
          <t>flex</t>
        </is>
      </c>
      <c r="E4313" s="5" t="inlineStr">
        <is>
          <t>SP</t>
        </is>
      </c>
      <c r="F4313" s="5" t="inlineStr">
        <is>
          <t>Flex 40GB</t>
        </is>
      </c>
      <c r="G4313" s="5" t="inlineStr">
        <is>
          <t>claro:plano-flex-40gb</t>
        </is>
      </c>
      <c r="H4313" s="6" t="n">
        <v>119.9</v>
      </c>
      <c r="I4313" s="6" t="inlineStr"/>
      <c r="J4313" s="5" t="inlineStr"/>
      <c r="K4313" s="5" t="inlineStr"/>
      <c r="L4313" s="7" t="n">
        <v>40</v>
      </c>
      <c r="M4313" s="5" t="inlineStr"/>
      <c r="N4313" s="5" t="inlineStr"/>
      <c r="O4313" s="5" t="inlineStr">
        <is>
          <t>WhatsApp</t>
        </is>
      </c>
      <c r="P4313" s="5" t="inlineStr"/>
      <c r="Q4313" s="5" t="inlineStr"/>
      <c r="R4313" s="5" t="inlineStr"/>
      <c r="S4313" s="5" t="inlineStr"/>
      <c r="T4313" s="5" t="inlineStr">
        <is>
          <t>Para uso livre; WhatsApp ilimitado; Assinatura Claro musica inclusa; Roaming: Passaporte Américas</t>
        </is>
      </c>
      <c r="U4313" s="5" t="inlineStr">
        <is>
          <t>https://www.claro.com.br/celular/flex</t>
        </is>
      </c>
      <c r="V4313" s="5" t="inlineStr">
        <is>
          <t>data/raw/claro_flex_SP.json</t>
        </is>
      </c>
    </row>
    <row r="4314">
      <c r="A4314" s="2" t="inlineStr">
        <is>
          <t>2026-09-06</t>
        </is>
      </c>
      <c r="B4314" s="2" t="inlineStr">
        <is>
          <t>2026-09-06T19:39:36</t>
        </is>
      </c>
      <c r="C4314" s="2" t="inlineStr">
        <is>
          <t>claro</t>
        </is>
      </c>
      <c r="D4314" s="2" t="inlineStr">
        <is>
          <t>postpaid</t>
        </is>
      </c>
      <c r="E4314" s="2" t="inlineStr">
        <is>
          <t>SP</t>
        </is>
      </c>
      <c r="F4314" s="2" t="inlineStr">
        <is>
          <t>Pós 100GB</t>
        </is>
      </c>
      <c r="G4314" s="2" t="inlineStr">
        <is>
          <t>claro:plano-pos-100gb</t>
        </is>
      </c>
      <c r="H4314" s="3" t="n">
        <v>179.9</v>
      </c>
      <c r="I4314" s="3" t="inlineStr"/>
      <c r="J4314" s="2" t="inlineStr"/>
      <c r="K4314" s="2" t="inlineStr"/>
      <c r="L4314" s="4" t="n">
        <v>100</v>
      </c>
      <c r="M4314" s="2" t="inlineStr"/>
      <c r="N4314" s="2" t="inlineStr"/>
      <c r="O4314" s="2" t="inlineStr">
        <is>
          <t>WhatsApp</t>
        </is>
      </c>
      <c r="P4314" s="2" t="inlineStr"/>
      <c r="Q4314" s="2" t="inlineStr"/>
      <c r="R4314" s="2" t="inlineStr"/>
      <c r="S4314" s="2" t="inlineStr"/>
      <c r="T4314" s="2" t="inlineStr">
        <is>
          <t>Armazenamento na nuvem:; Google One ou iCloud+; WhatsApp ilimitado; Assinatura Amazon Prime por 3 meses; Roaming: Passaporte Américas; Claro Sync: Smartwatch conectado</t>
        </is>
      </c>
      <c r="U4314" s="2" t="inlineStr">
        <is>
          <t>https://www.claro.com.br/celular/pos</t>
        </is>
      </c>
      <c r="V4314" s="2" t="inlineStr">
        <is>
          <t>data/raw/claro_postpaid_SP.json</t>
        </is>
      </c>
    </row>
    <row r="4315">
      <c r="A4315" s="5" t="inlineStr">
        <is>
          <t>2026-09-06</t>
        </is>
      </c>
      <c r="B4315" s="5" t="inlineStr">
        <is>
          <t>2026-09-06T19:39:36</t>
        </is>
      </c>
      <c r="C4315" s="5" t="inlineStr">
        <is>
          <t>claro</t>
        </is>
      </c>
      <c r="D4315" s="5" t="inlineStr">
        <is>
          <t>postpaid</t>
        </is>
      </c>
      <c r="E4315" s="5" t="inlineStr">
        <is>
          <t>SP</t>
        </is>
      </c>
      <c r="F4315" s="5" t="inlineStr">
        <is>
          <t>Pós 150GB</t>
        </is>
      </c>
      <c r="G4315" s="5" t="inlineStr">
        <is>
          <t>claro:plano-pos-150gb</t>
        </is>
      </c>
      <c r="H4315" s="6" t="n">
        <v>239.9</v>
      </c>
      <c r="I4315" s="6" t="inlineStr"/>
      <c r="J4315" s="5" t="inlineStr"/>
      <c r="K4315" s="5" t="inlineStr"/>
      <c r="L4315" s="7" t="n">
        <v>150</v>
      </c>
      <c r="M4315" s="5" t="inlineStr"/>
      <c r="N4315" s="5" t="inlineStr"/>
      <c r="O4315" s="5" t="inlineStr">
        <is>
          <t>WhatsApp</t>
        </is>
      </c>
      <c r="P4315" s="5" t="inlineStr"/>
      <c r="Q4315" s="5" t="inlineStr"/>
      <c r="R4315" s="5" t="inlineStr"/>
      <c r="S4315" s="5" t="inlineStr"/>
      <c r="T4315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15" s="5" t="inlineStr">
        <is>
          <t>https://www.claro.com.br/celular/pos</t>
        </is>
      </c>
      <c r="V4315" s="5" t="inlineStr">
        <is>
          <t>data/raw/claro_postpaid_SP.json</t>
        </is>
      </c>
    </row>
    <row r="4316">
      <c r="A4316" s="2" t="inlineStr">
        <is>
          <t>2026-09-06</t>
        </is>
      </c>
      <c r="B4316" s="2" t="inlineStr">
        <is>
          <t>2026-09-06T19:39:36</t>
        </is>
      </c>
      <c r="C4316" s="2" t="inlineStr">
        <is>
          <t>claro</t>
        </is>
      </c>
      <c r="D4316" s="2" t="inlineStr">
        <is>
          <t>postpaid</t>
        </is>
      </c>
      <c r="E4316" s="2" t="inlineStr">
        <is>
          <t>SP</t>
        </is>
      </c>
      <c r="F4316" s="2" t="inlineStr">
        <is>
          <t>Pós 200GB</t>
        </is>
      </c>
      <c r="G4316" s="2" t="inlineStr">
        <is>
          <t>claro:plano-pos-200gb</t>
        </is>
      </c>
      <c r="H4316" s="3" t="n">
        <v>339.9</v>
      </c>
      <c r="I4316" s="3" t="inlineStr"/>
      <c r="J4316" s="2" t="inlineStr"/>
      <c r="K4316" s="2" t="inlineStr"/>
      <c r="L4316" s="4" t="n">
        <v>200</v>
      </c>
      <c r="M4316" s="2" t="inlineStr"/>
      <c r="N4316" s="2" t="inlineStr"/>
      <c r="O4316" s="2" t="inlineStr">
        <is>
          <t>WhatsApp</t>
        </is>
      </c>
      <c r="P4316" s="2" t="inlineStr"/>
      <c r="Q4316" s="2" t="inlineStr"/>
      <c r="R4316" s="2" t="inlineStr"/>
      <c r="S4316" s="2" t="inlineStr"/>
      <c r="T4316" s="2" t="inlineStr">
        <is>
          <t>Armazenamento na nuvem:; Google One (AI Plus) ou iCloud+; WhatsApp ilimitado; Assinatura Amazon Prime por 3 meses; Roaming: Passaporte Mundo; Claro Sync: Smartwatch conectado</t>
        </is>
      </c>
      <c r="U4316" s="2" t="inlineStr">
        <is>
          <t>https://www.claro.com.br/celular/pos</t>
        </is>
      </c>
      <c r="V4316" s="2" t="inlineStr">
        <is>
          <t>data/raw/claro_postpaid_SP.json</t>
        </is>
      </c>
    </row>
    <row r="4317">
      <c r="A4317" s="5" t="inlineStr">
        <is>
          <t>2026-09-06</t>
        </is>
      </c>
      <c r="B4317" s="5" t="inlineStr">
        <is>
          <t>2026-09-06T19:39:36</t>
        </is>
      </c>
      <c r="C4317" s="5" t="inlineStr">
        <is>
          <t>claro</t>
        </is>
      </c>
      <c r="D4317" s="5" t="inlineStr">
        <is>
          <t>postpaid</t>
        </is>
      </c>
      <c r="E4317" s="5" t="inlineStr">
        <is>
          <t>SP</t>
        </is>
      </c>
      <c r="F4317" s="5" t="inlineStr">
        <is>
          <t>Pós 50GB com GeForce NOW</t>
        </is>
      </c>
      <c r="G4317" s="5" t="inlineStr">
        <is>
          <t>claro:plano-pos-60gb-geforce</t>
        </is>
      </c>
      <c r="H4317" s="6" t="n">
        <v>164.9</v>
      </c>
      <c r="I4317" s="6" t="inlineStr"/>
      <c r="J4317" s="5" t="inlineStr"/>
      <c r="K4317" s="5" t="inlineStr"/>
      <c r="L4317" s="7" t="n">
        <v>50</v>
      </c>
      <c r="M4317" s="5" t="inlineStr"/>
      <c r="N4317" s="5" t="inlineStr"/>
      <c r="O4317" s="5" t="inlineStr">
        <is>
          <t>WhatsApp</t>
        </is>
      </c>
      <c r="P4317" s="5" t="inlineStr"/>
      <c r="Q4317" s="5" t="inlineStr"/>
      <c r="R4317" s="5" t="inlineStr"/>
      <c r="S4317" s="5" t="inlineStr"/>
      <c r="T431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17" s="5" t="inlineStr">
        <is>
          <t>https://www.claro.com.br/celular/pos</t>
        </is>
      </c>
      <c r="V4317" s="5" t="inlineStr">
        <is>
          <t>data/raw/claro_postpaid_SP.json</t>
        </is>
      </c>
    </row>
    <row r="4318">
      <c r="A4318" s="2" t="inlineStr">
        <is>
          <t>2026-09-06</t>
        </is>
      </c>
      <c r="B4318" s="2" t="inlineStr">
        <is>
          <t>2026-09-06T19:39:36</t>
        </is>
      </c>
      <c r="C4318" s="2" t="inlineStr">
        <is>
          <t>claro</t>
        </is>
      </c>
      <c r="D4318" s="2" t="inlineStr">
        <is>
          <t>postpaid</t>
        </is>
      </c>
      <c r="E4318" s="2" t="inlineStr">
        <is>
          <t>SP</t>
        </is>
      </c>
      <c r="F4318" s="2" t="inlineStr">
        <is>
          <t>Pós 60GB</t>
        </is>
      </c>
      <c r="G4318" s="2" t="inlineStr">
        <is>
          <t>claro:plano-pos-60gb</t>
        </is>
      </c>
      <c r="H4318" s="3" t="n">
        <v>124.9</v>
      </c>
      <c r="I4318" s="3" t="inlineStr"/>
      <c r="J4318" s="2" t="inlineStr"/>
      <c r="K4318" s="2" t="inlineStr"/>
      <c r="L4318" s="4" t="n">
        <v>60</v>
      </c>
      <c r="M4318" s="2" t="inlineStr"/>
      <c r="N4318" s="2" t="inlineStr"/>
      <c r="O4318" s="2" t="inlineStr">
        <is>
          <t>WhatsApp</t>
        </is>
      </c>
      <c r="P4318" s="2" t="inlineStr"/>
      <c r="Q4318" s="2" t="inlineStr"/>
      <c r="R4318" s="2" t="inlineStr"/>
      <c r="S4318" s="2" t="inlineStr"/>
      <c r="T4318" s="2" t="inlineStr">
        <is>
          <t>Armazenamento na nuvem:; Google One ou iCloud+; WhatsApp ilimitado; Assinatura Amazon Prime por 3 meses; Roaming: Passaporte Américas; Claro Sync: Smartwatch conectado</t>
        </is>
      </c>
      <c r="U4318" s="2" t="inlineStr">
        <is>
          <t>https://www.claro.com.br/celular/pos</t>
        </is>
      </c>
      <c r="V4318" s="2" t="inlineStr">
        <is>
          <t>data/raw/claro_postpaid_SP.json</t>
        </is>
      </c>
    </row>
    <row r="4319">
      <c r="A4319" s="5" t="inlineStr">
        <is>
          <t>2026-09-06</t>
        </is>
      </c>
      <c r="B4319" s="5" t="inlineStr">
        <is>
          <t>2026-09-06T19:39:36</t>
        </is>
      </c>
      <c r="C4319" s="5" t="inlineStr">
        <is>
          <t>claro</t>
        </is>
      </c>
      <c r="D4319" s="5" t="inlineStr">
        <is>
          <t>prepaid</t>
        </is>
      </c>
      <c r="E4319" s="5" t="inlineStr">
        <is>
          <t>SP</t>
        </is>
      </c>
      <c r="F4319" s="5" t="inlineStr">
        <is>
          <t>Prezão 10GB (25 dias)</t>
        </is>
      </c>
      <c r="G4319" s="5" t="inlineStr">
        <is>
          <t>claro:prezao-25d-10gb</t>
        </is>
      </c>
      <c r="H4319" s="6" t="n">
        <v>25</v>
      </c>
      <c r="I4319" s="6" t="inlineStr"/>
      <c r="J4319" s="5" t="inlineStr">
        <is>
          <t>recarga Prezão R$25 — validade 25 dias</t>
        </is>
      </c>
      <c r="K4319" s="5" t="inlineStr"/>
      <c r="L4319" s="7" t="n">
        <v>10</v>
      </c>
      <c r="M4319" s="5" t="inlineStr"/>
      <c r="N4319" s="5" t="n">
        <v>25</v>
      </c>
      <c r="O4319" s="5" t="inlineStr"/>
      <c r="P4319" s="5" t="inlineStr"/>
      <c r="Q4319" s="5" t="inlineStr"/>
      <c r="R4319" s="5" t="inlineStr"/>
      <c r="S4319" s="5" t="inlineStr"/>
      <c r="T4319" s="5" t="inlineStr"/>
      <c r="U4319" s="5" t="inlineStr">
        <is>
          <t>https://www.claro.com.br/celular/planos-pre/prezao</t>
        </is>
      </c>
      <c r="V4319" s="5" t="inlineStr">
        <is>
          <t>data/raw/claro_prepaid_SP.json</t>
        </is>
      </c>
    </row>
    <row r="4320">
      <c r="A4320" s="2" t="inlineStr">
        <is>
          <t>2026-09-06</t>
        </is>
      </c>
      <c r="B4320" s="2" t="inlineStr">
        <is>
          <t>2026-09-06T19:39:36</t>
        </is>
      </c>
      <c r="C4320" s="2" t="inlineStr">
        <is>
          <t>claro</t>
        </is>
      </c>
      <c r="D4320" s="2" t="inlineStr">
        <is>
          <t>prepaid</t>
        </is>
      </c>
      <c r="E4320" s="2" t="inlineStr">
        <is>
          <t>SP</t>
        </is>
      </c>
      <c r="F4320" s="2" t="inlineStr">
        <is>
          <t>Prezão 12GB (30 dias)</t>
        </is>
      </c>
      <c r="G4320" s="2" t="inlineStr">
        <is>
          <t>claro:prezao-30d-12gb</t>
        </is>
      </c>
      <c r="H4320" s="3" t="n">
        <v>30</v>
      </c>
      <c r="I4320" s="3" t="inlineStr"/>
      <c r="J4320" s="2" t="inlineStr">
        <is>
          <t>recarga Prezão R$30 — validade 30 dias</t>
        </is>
      </c>
      <c r="K4320" s="2" t="inlineStr"/>
      <c r="L4320" s="4" t="n">
        <v>12</v>
      </c>
      <c r="M4320" s="2" t="inlineStr"/>
      <c r="N4320" s="2" t="n">
        <v>30</v>
      </c>
      <c r="O4320" s="2" t="inlineStr"/>
      <c r="P4320" s="2" t="inlineStr"/>
      <c r="Q4320" s="2" t="inlineStr"/>
      <c r="R4320" s="2" t="inlineStr"/>
      <c r="S4320" s="2" t="inlineStr"/>
      <c r="T4320" s="2" t="inlineStr"/>
      <c r="U4320" s="2" t="inlineStr">
        <is>
          <t>https://www.claro.com.br/celular/planos-pre/prezao</t>
        </is>
      </c>
      <c r="V4320" s="2" t="inlineStr">
        <is>
          <t>data/raw/claro_prepaid_SP.json</t>
        </is>
      </c>
    </row>
    <row r="4321">
      <c r="A4321" s="5" t="inlineStr">
        <is>
          <t>2026-09-06</t>
        </is>
      </c>
      <c r="B4321" s="5" t="inlineStr">
        <is>
          <t>2026-09-06T19:39:36</t>
        </is>
      </c>
      <c r="C4321" s="5" t="inlineStr">
        <is>
          <t>claro</t>
        </is>
      </c>
      <c r="D4321" s="5" t="inlineStr">
        <is>
          <t>prepaid</t>
        </is>
      </c>
      <c r="E4321" s="5" t="inlineStr">
        <is>
          <t>SP</t>
        </is>
      </c>
      <c r="F4321" s="5" t="inlineStr">
        <is>
          <t>Prezão 4GB (12 dias)</t>
        </is>
      </c>
      <c r="G4321" s="5" t="inlineStr">
        <is>
          <t>claro:prezao-12d-4gb</t>
        </is>
      </c>
      <c r="H4321" s="6" t="n">
        <v>15</v>
      </c>
      <c r="I4321" s="6" t="inlineStr"/>
      <c r="J4321" s="5" t="inlineStr">
        <is>
          <t>recarga Prezão R$15 — validade 12 dias</t>
        </is>
      </c>
      <c r="K4321" s="5" t="inlineStr"/>
      <c r="L4321" s="7" t="n">
        <v>4</v>
      </c>
      <c r="M4321" s="5" t="inlineStr"/>
      <c r="N4321" s="5" t="n">
        <v>12</v>
      </c>
      <c r="O4321" s="5" t="inlineStr"/>
      <c r="P4321" s="5" t="inlineStr"/>
      <c r="Q4321" s="5" t="inlineStr"/>
      <c r="R4321" s="5" t="inlineStr"/>
      <c r="S4321" s="5" t="inlineStr"/>
      <c r="T4321" s="5" t="inlineStr"/>
      <c r="U4321" s="5" t="inlineStr">
        <is>
          <t>https://www.claro.com.br/celular/planos-pre/prezao</t>
        </is>
      </c>
      <c r="V4321" s="5" t="inlineStr">
        <is>
          <t>data/raw/claro_prepaid_SP.json</t>
        </is>
      </c>
    </row>
    <row r="4322">
      <c r="A4322" s="2" t="inlineStr">
        <is>
          <t>2026-09-06</t>
        </is>
      </c>
      <c r="B4322" s="2" t="inlineStr">
        <is>
          <t>2026-09-06T19:39:36</t>
        </is>
      </c>
      <c r="C4322" s="2" t="inlineStr">
        <is>
          <t>claro</t>
        </is>
      </c>
      <c r="D4322" s="2" t="inlineStr">
        <is>
          <t>prepaid</t>
        </is>
      </c>
      <c r="E4322" s="2" t="inlineStr">
        <is>
          <t>SP</t>
        </is>
      </c>
      <c r="F4322" s="2" t="inlineStr">
        <is>
          <t>Prezão 5GB (15 dias)</t>
        </is>
      </c>
      <c r="G4322" s="2" t="inlineStr">
        <is>
          <t>claro:prezao-15d-5gb</t>
        </is>
      </c>
      <c r="H4322" s="3" t="n">
        <v>15</v>
      </c>
      <c r="I4322" s="3" t="inlineStr"/>
      <c r="J4322" s="2" t="inlineStr">
        <is>
          <t>recarga Prezão R$15 — validade 15 dias</t>
        </is>
      </c>
      <c r="K4322" s="2" t="inlineStr"/>
      <c r="L4322" s="4" t="n">
        <v>5</v>
      </c>
      <c r="M4322" s="2" t="inlineStr"/>
      <c r="N4322" s="2" t="n">
        <v>15</v>
      </c>
      <c r="O4322" s="2" t="inlineStr"/>
      <c r="P4322" s="2" t="inlineStr"/>
      <c r="Q4322" s="2" t="inlineStr"/>
      <c r="R4322" s="2" t="inlineStr"/>
      <c r="S4322" s="2" t="inlineStr"/>
      <c r="T4322" s="2" t="inlineStr"/>
      <c r="U4322" s="2" t="inlineStr">
        <is>
          <t>https://www.claro.com.br/celular/planos-pre/prezao</t>
        </is>
      </c>
      <c r="V4322" s="2" t="inlineStr">
        <is>
          <t>data/raw/claro_prepaid_SP.json</t>
        </is>
      </c>
    </row>
    <row r="4323">
      <c r="A4323" s="5" t="inlineStr">
        <is>
          <t>2026-09-06</t>
        </is>
      </c>
      <c r="B4323" s="5" t="inlineStr">
        <is>
          <t>2026-09-06T19:39:36</t>
        </is>
      </c>
      <c r="C4323" s="5" t="inlineStr">
        <is>
          <t>claro</t>
        </is>
      </c>
      <c r="D4323" s="5" t="inlineStr">
        <is>
          <t>prepaid</t>
        </is>
      </c>
      <c r="E4323" s="5" t="inlineStr">
        <is>
          <t>SP</t>
        </is>
      </c>
      <c r="F4323" s="5" t="inlineStr">
        <is>
          <t>Prezão 6GB (20 dias)</t>
        </is>
      </c>
      <c r="G4323" s="5" t="inlineStr">
        <is>
          <t>claro:prezao-20d-6gb</t>
        </is>
      </c>
      <c r="H4323" s="6" t="n">
        <v>20</v>
      </c>
      <c r="I4323" s="6" t="inlineStr"/>
      <c r="J4323" s="5" t="inlineStr">
        <is>
          <t>recarga Prezão R$20 — validade 20 dias</t>
        </is>
      </c>
      <c r="K4323" s="5" t="inlineStr"/>
      <c r="L4323" s="7" t="n">
        <v>6</v>
      </c>
      <c r="M4323" s="5" t="inlineStr"/>
      <c r="N4323" s="5" t="n">
        <v>20</v>
      </c>
      <c r="O4323" s="5" t="inlineStr"/>
      <c r="P4323" s="5" t="inlineStr"/>
      <c r="Q4323" s="5" t="inlineStr"/>
      <c r="R4323" s="5" t="inlineStr"/>
      <c r="S4323" s="5" t="inlineStr"/>
      <c r="T4323" s="5" t="inlineStr"/>
      <c r="U4323" s="5" t="inlineStr">
        <is>
          <t>https://www.claro.com.br/celular/planos-pre/prezao</t>
        </is>
      </c>
      <c r="V4323" s="5" t="inlineStr">
        <is>
          <t>data/raw/claro_prepaid_SP.json</t>
        </is>
      </c>
    </row>
    <row r="4324">
      <c r="A4324" s="2" t="inlineStr">
        <is>
          <t>2026-09-06</t>
        </is>
      </c>
      <c r="B4324" s="2" t="inlineStr">
        <is>
          <t>2026-09-06T19:39:36</t>
        </is>
      </c>
      <c r="C4324" s="2" t="inlineStr">
        <is>
          <t>claro</t>
        </is>
      </c>
      <c r="D4324" s="2" t="inlineStr">
        <is>
          <t>prepaid</t>
        </is>
      </c>
      <c r="E4324" s="2" t="inlineStr">
        <is>
          <t>SP</t>
        </is>
      </c>
      <c r="F4324" s="2" t="inlineStr">
        <is>
          <t>Prezão 8GB (20 dias)</t>
        </is>
      </c>
      <c r="G4324" s="2" t="inlineStr">
        <is>
          <t>claro:prezao-20d-8gb</t>
        </is>
      </c>
      <c r="H4324" s="3" t="n">
        <v>20</v>
      </c>
      <c r="I4324" s="3" t="inlineStr"/>
      <c r="J4324" s="2" t="inlineStr">
        <is>
          <t>recarga Prezão R$20 — validade 20 dias</t>
        </is>
      </c>
      <c r="K4324" s="2" t="inlineStr"/>
      <c r="L4324" s="4" t="n">
        <v>8</v>
      </c>
      <c r="M4324" s="2" t="inlineStr"/>
      <c r="N4324" s="2" t="n">
        <v>20</v>
      </c>
      <c r="O4324" s="2" t="inlineStr"/>
      <c r="P4324" s="2" t="inlineStr"/>
      <c r="Q4324" s="2" t="inlineStr"/>
      <c r="R4324" s="2" t="inlineStr"/>
      <c r="S4324" s="2" t="inlineStr"/>
      <c r="T4324" s="2" t="inlineStr"/>
      <c r="U4324" s="2" t="inlineStr">
        <is>
          <t>https://www.claro.com.br/celular/planos-pre/prezao</t>
        </is>
      </c>
      <c r="V4324" s="2" t="inlineStr">
        <is>
          <t>data/raw/claro_prepaid_SP.json</t>
        </is>
      </c>
    </row>
    <row r="4325">
      <c r="A4325" s="5" t="inlineStr">
        <is>
          <t>2026-09-06</t>
        </is>
      </c>
      <c r="B4325" s="5" t="inlineStr">
        <is>
          <t>2026-09-06T19:39:36</t>
        </is>
      </c>
      <c r="C4325" s="5" t="inlineStr">
        <is>
          <t>claro</t>
        </is>
      </c>
      <c r="D4325" s="5" t="inlineStr">
        <is>
          <t>prepaid</t>
        </is>
      </c>
      <c r="E4325" s="5" t="inlineStr">
        <is>
          <t>SP</t>
        </is>
      </c>
      <c r="F4325" s="5" t="inlineStr">
        <is>
          <t>Prezão 9GB (25 dias)</t>
        </is>
      </c>
      <c r="G4325" s="5" t="inlineStr">
        <is>
          <t>claro:prezao-25d-9gb</t>
        </is>
      </c>
      <c r="H4325" s="6" t="n">
        <v>25</v>
      </c>
      <c r="I4325" s="6" t="inlineStr"/>
      <c r="J4325" s="5" t="inlineStr">
        <is>
          <t>recarga Prezão R$25 — validade 25 dias</t>
        </is>
      </c>
      <c r="K4325" s="5" t="inlineStr"/>
      <c r="L4325" s="7" t="n">
        <v>9</v>
      </c>
      <c r="M4325" s="5" t="inlineStr"/>
      <c r="N4325" s="5" t="n">
        <v>25</v>
      </c>
      <c r="O4325" s="5" t="inlineStr"/>
      <c r="P4325" s="5" t="inlineStr"/>
      <c r="Q4325" s="5" t="inlineStr"/>
      <c r="R4325" s="5" t="inlineStr"/>
      <c r="S4325" s="5" t="inlineStr"/>
      <c r="T4325" s="5" t="inlineStr"/>
      <c r="U4325" s="5" t="inlineStr">
        <is>
          <t>https://www.claro.com.br/celular/planos-pre/prezao</t>
        </is>
      </c>
      <c r="V4325" s="5" t="inlineStr">
        <is>
          <t>data/raw/claro_prepaid_SP.json</t>
        </is>
      </c>
    </row>
    <row r="4326">
      <c r="A4326" s="2" t="inlineStr">
        <is>
          <t>2026-09-06</t>
        </is>
      </c>
      <c r="B4326" s="2" t="inlineStr">
        <is>
          <t>2026-09-06T19:39:36</t>
        </is>
      </c>
      <c r="C4326" s="2" t="inlineStr">
        <is>
          <t>tim</t>
        </is>
      </c>
      <c r="D4326" s="2" t="inlineStr">
        <is>
          <t>control</t>
        </is>
      </c>
      <c r="E4326" s="2" t="inlineStr">
        <is>
          <t>SP</t>
        </is>
      </c>
      <c r="F4326" s="2" t="inlineStr">
        <is>
          <t>TIM Controle 45GB</t>
        </is>
      </c>
      <c r="G4326" s="2" t="inlineStr">
        <is>
          <t>tim:182766</t>
        </is>
      </c>
      <c r="H4326" s="3" t="n">
        <v>49.99</v>
      </c>
      <c r="I4326" s="3" t="inlineStr"/>
      <c r="J4326" s="2" t="inlineStr"/>
      <c r="K4326" s="2" t="inlineStr"/>
      <c r="L4326" s="4" t="n">
        <v>45</v>
      </c>
      <c r="M4326" s="2" t="inlineStr"/>
      <c r="N4326" s="2" t="inlineStr"/>
      <c r="O4326" s="2" t="inlineStr"/>
      <c r="P4326" s="2" t="inlineStr"/>
      <c r="Q4326" s="2" t="inlineStr"/>
      <c r="R4326" s="2" t="inlineStr"/>
      <c r="S4326" s="2" t="inlineStr"/>
      <c r="T4326" s="2" t="inlineStr"/>
      <c r="U4326" s="2" t="inlineStr">
        <is>
          <t>https://www.tim.com.br/sp/para-voce/planos/controle</t>
        </is>
      </c>
      <c r="V4326" s="2" t="inlineStr">
        <is>
          <t>data/raw/tim_control_SP.html</t>
        </is>
      </c>
    </row>
    <row r="4327">
      <c r="A4327" s="5" t="inlineStr">
        <is>
          <t>2026-09-06</t>
        </is>
      </c>
      <c r="B4327" s="5" t="inlineStr">
        <is>
          <t>2026-09-06T19:39:36</t>
        </is>
      </c>
      <c r="C4327" s="5" t="inlineStr">
        <is>
          <t>tim</t>
        </is>
      </c>
      <c r="D4327" s="5" t="inlineStr">
        <is>
          <t>control</t>
        </is>
      </c>
      <c r="E4327" s="5" t="inlineStr">
        <is>
          <t>SP</t>
        </is>
      </c>
      <c r="F4327" s="5" t="inlineStr">
        <is>
          <t>TIM Controle Light Express 45GB</t>
        </is>
      </c>
      <c r="G4327" s="5" t="inlineStr">
        <is>
          <t>tim:167726</t>
        </is>
      </c>
      <c r="H4327" s="6" t="n">
        <v>60.99</v>
      </c>
      <c r="I4327" s="6" t="inlineStr"/>
      <c r="J4327" s="5" t="inlineStr"/>
      <c r="K4327" s="5" t="inlineStr"/>
      <c r="L4327" s="7" t="n">
        <v>45</v>
      </c>
      <c r="M4327" s="5" t="inlineStr"/>
      <c r="N4327" s="5" t="inlineStr"/>
      <c r="O4327" s="5" t="inlineStr"/>
      <c r="P4327" s="5" t="inlineStr"/>
      <c r="Q4327" s="5" t="inlineStr"/>
      <c r="R4327" s="5" t="inlineStr"/>
      <c r="S4327" s="5" t="inlineStr"/>
      <c r="T4327" s="5" t="inlineStr"/>
      <c r="U4327" s="5" t="inlineStr">
        <is>
          <t>https://www.tim.com.br/sp/para-voce/planos/controle</t>
        </is>
      </c>
      <c r="V4327" s="5" t="inlineStr">
        <is>
          <t>data/raw/tim_control_SP.html</t>
        </is>
      </c>
    </row>
    <row r="4328">
      <c r="A4328" s="2" t="inlineStr">
        <is>
          <t>2026-09-06</t>
        </is>
      </c>
      <c r="B4328" s="2" t="inlineStr">
        <is>
          <t>2026-09-06T19:39:36</t>
        </is>
      </c>
      <c r="C4328" s="2" t="inlineStr">
        <is>
          <t>tim</t>
        </is>
      </c>
      <c r="D4328" s="2" t="inlineStr">
        <is>
          <t>control</t>
        </is>
      </c>
      <c r="E4328" s="2" t="inlineStr">
        <is>
          <t>SP</t>
        </is>
      </c>
      <c r="F4328" s="2" t="inlineStr">
        <is>
          <t>TIM Controle Premium 55GB</t>
        </is>
      </c>
      <c r="G4328" s="2" t="inlineStr">
        <is>
          <t>tim:180756</t>
        </is>
      </c>
      <c r="H4328" s="3" t="n">
        <v>69.98999999999999</v>
      </c>
      <c r="I4328" s="3" t="inlineStr"/>
      <c r="J4328" s="2" t="inlineStr"/>
      <c r="K4328" s="2" t="inlineStr"/>
      <c r="L4328" s="4" t="n">
        <v>55</v>
      </c>
      <c r="M4328" s="2" t="inlineStr"/>
      <c r="N4328" s="2" t="inlineStr"/>
      <c r="O4328" s="2" t="inlineStr"/>
      <c r="P4328" s="2" t="inlineStr"/>
      <c r="Q4328" s="2" t="inlineStr"/>
      <c r="R4328" s="2" t="inlineStr"/>
      <c r="S4328" s="2" t="inlineStr"/>
      <c r="T4328" s="2" t="inlineStr"/>
      <c r="U4328" s="2" t="inlineStr">
        <is>
          <t>https://www.tim.com.br/sp/para-voce/planos/controle</t>
        </is>
      </c>
      <c r="V4328" s="2" t="inlineStr">
        <is>
          <t>data/raw/tim_control_SP.html</t>
        </is>
      </c>
    </row>
    <row r="4329">
      <c r="A4329" s="5" t="inlineStr">
        <is>
          <t>2026-09-06</t>
        </is>
      </c>
      <c r="B4329" s="5" t="inlineStr">
        <is>
          <t>2026-09-06T19:39:36</t>
        </is>
      </c>
      <c r="C4329" s="5" t="inlineStr">
        <is>
          <t>tim</t>
        </is>
      </c>
      <c r="D4329" s="5" t="inlineStr">
        <is>
          <t>control</t>
        </is>
      </c>
      <c r="E4329" s="5" t="inlineStr">
        <is>
          <t>SP</t>
        </is>
      </c>
      <c r="F4329" s="5" t="inlineStr">
        <is>
          <t>TIM Controle Pro Express 46GB</t>
        </is>
      </c>
      <c r="G4329" s="5" t="inlineStr">
        <is>
          <t>tim:167731</t>
        </is>
      </c>
      <c r="H4329" s="6" t="n">
        <v>64.98999999999999</v>
      </c>
      <c r="I4329" s="6" t="inlineStr"/>
      <c r="J4329" s="5" t="inlineStr"/>
      <c r="K4329" s="5" t="inlineStr"/>
      <c r="L4329" s="7" t="n">
        <v>46</v>
      </c>
      <c r="M4329" s="5" t="inlineStr"/>
      <c r="N4329" s="5" t="inlineStr"/>
      <c r="O4329" s="5" t="inlineStr"/>
      <c r="P4329" s="5" t="inlineStr"/>
      <c r="Q4329" s="5" t="inlineStr"/>
      <c r="R4329" s="5" t="inlineStr"/>
      <c r="S4329" s="5" t="inlineStr"/>
      <c r="T4329" s="5" t="inlineStr"/>
      <c r="U4329" s="5" t="inlineStr">
        <is>
          <t>https://www.tim.com.br/sp/para-voce/planos/controle</t>
        </is>
      </c>
      <c r="V4329" s="5" t="inlineStr">
        <is>
          <t>data/raw/tim_control_SP.html</t>
        </is>
      </c>
    </row>
    <row r="4330">
      <c r="A4330" s="2" t="inlineStr">
        <is>
          <t>2026-09-06</t>
        </is>
      </c>
      <c r="B4330" s="2" t="inlineStr">
        <is>
          <t>2026-09-06T19:39:36</t>
        </is>
      </c>
      <c r="C4330" s="2" t="inlineStr">
        <is>
          <t>tim</t>
        </is>
      </c>
      <c r="D4330" s="2" t="inlineStr">
        <is>
          <t>control</t>
        </is>
      </c>
      <c r="E4330" s="2" t="inlineStr">
        <is>
          <t>SP</t>
        </is>
      </c>
      <c r="F4330" s="2" t="inlineStr">
        <is>
          <t>TIM Controle Redes Sociais 46GB</t>
        </is>
      </c>
      <c r="G4330" s="2" t="inlineStr">
        <is>
          <t>tim:167031</t>
        </is>
      </c>
      <c r="H4330" s="3" t="n">
        <v>59.99</v>
      </c>
      <c r="I4330" s="3" t="inlineStr"/>
      <c r="J4330" s="2" t="inlineStr"/>
      <c r="K4330" s="2" t="inlineStr"/>
      <c r="L4330" s="4" t="n">
        <v>46</v>
      </c>
      <c r="M4330" s="2" t="inlineStr"/>
      <c r="N4330" s="2" t="inlineStr"/>
      <c r="O4330" s="2" t="inlineStr"/>
      <c r="P4330" s="2" t="inlineStr"/>
      <c r="Q4330" s="2" t="inlineStr"/>
      <c r="R4330" s="2" t="inlineStr"/>
      <c r="S4330" s="2" t="inlineStr"/>
      <c r="T4330" s="2" t="inlineStr"/>
      <c r="U4330" s="2" t="inlineStr">
        <is>
          <t>https://www.tim.com.br/sp/para-voce/planos/controle</t>
        </is>
      </c>
      <c r="V4330" s="2" t="inlineStr">
        <is>
          <t>data/raw/tim_control_SP.html</t>
        </is>
      </c>
    </row>
    <row r="4331">
      <c r="A4331" s="5" t="inlineStr">
        <is>
          <t>2026-09-06</t>
        </is>
      </c>
      <c r="B4331" s="5" t="inlineStr">
        <is>
          <t>2026-09-06T19:39:36</t>
        </is>
      </c>
      <c r="C4331" s="5" t="inlineStr">
        <is>
          <t>tim</t>
        </is>
      </c>
      <c r="D4331" s="5" t="inlineStr">
        <is>
          <t>fit</t>
        </is>
      </c>
      <c r="E4331" s="5" t="inlineStr">
        <is>
          <t>SP</t>
        </is>
      </c>
      <c r="F4331" s="5" t="inlineStr">
        <is>
          <t>TIM Controle Fit Anual 1.0</t>
        </is>
      </c>
      <c r="G4331" s="5" t="inlineStr">
        <is>
          <t>tim:TIM202600000306</t>
        </is>
      </c>
      <c r="H4331" s="6" t="n">
        <v>20</v>
      </c>
      <c r="I4331" s="6" t="inlineStr"/>
      <c r="J4331" s="5" t="inlineStr">
        <is>
          <t>plano anual 12x no cartão de crédito; a etiqueta TIM informa 'sem prazo de permanência'</t>
        </is>
      </c>
      <c r="K4331" s="5" t="inlineStr">
        <is>
          <t>credit_card</t>
        </is>
      </c>
      <c r="L4331" s="7" t="n">
        <v>25</v>
      </c>
      <c r="M4331" s="5" t="inlineStr"/>
      <c r="N4331" s="5" t="inlineStr"/>
      <c r="O4331" s="5" t="inlineStr"/>
      <c r="P4331" s="5" t="inlineStr"/>
      <c r="Q4331" s="5" t="inlineStr"/>
      <c r="R4331" s="5" t="inlineStr"/>
      <c r="S4331" s="5" t="n">
        <v>12</v>
      </c>
      <c r="T4331" s="5" t="inlineStr"/>
      <c r="U4331" s="5" t="inlineStr">
        <is>
          <t>https://www.tim.com.br/sp/para-voce/planos/controle</t>
        </is>
      </c>
      <c r="V4331" s="5" t="inlineStr">
        <is>
          <t>data/raw/tim_fit_SP.html</t>
        </is>
      </c>
    </row>
    <row r="4332">
      <c r="A4332" s="2" t="inlineStr">
        <is>
          <t>2026-09-06</t>
        </is>
      </c>
      <c r="B4332" s="2" t="inlineStr">
        <is>
          <t>2026-09-06T19:39:36</t>
        </is>
      </c>
      <c r="C4332" s="2" t="inlineStr">
        <is>
          <t>tim</t>
        </is>
      </c>
      <c r="D4332" s="2" t="inlineStr">
        <is>
          <t>fit</t>
        </is>
      </c>
      <c r="E4332" s="2" t="inlineStr">
        <is>
          <t>SP</t>
        </is>
      </c>
      <c r="F4332" s="2" t="inlineStr">
        <is>
          <t>TIM Controle Fit Anual 2.0</t>
        </is>
      </c>
      <c r="G4332" s="2" t="inlineStr">
        <is>
          <t>tim:TIM202600000271</t>
        </is>
      </c>
      <c r="H4332" s="3" t="n">
        <v>30</v>
      </c>
      <c r="I4332" s="3" t="inlineStr"/>
      <c r="J4332" s="2" t="inlineStr">
        <is>
          <t>plano anual 12x no cartão de crédito; a etiqueta TIM informa 'sem prazo de permanência'</t>
        </is>
      </c>
      <c r="K4332" s="2" t="inlineStr">
        <is>
          <t>credit_card</t>
        </is>
      </c>
      <c r="L4332" s="4" t="n">
        <v>35</v>
      </c>
      <c r="M4332" s="2" t="inlineStr"/>
      <c r="N4332" s="2" t="inlineStr"/>
      <c r="O4332" s="2" t="inlineStr"/>
      <c r="P4332" s="2" t="inlineStr"/>
      <c r="Q4332" s="2" t="inlineStr"/>
      <c r="R4332" s="2" t="inlineStr"/>
      <c r="S4332" s="2" t="n">
        <v>12</v>
      </c>
      <c r="T4332" s="2" t="inlineStr"/>
      <c r="U4332" s="2" t="inlineStr">
        <is>
          <t>https://www.tim.com.br/sp/para-voce/planos/controle</t>
        </is>
      </c>
      <c r="V4332" s="2" t="inlineStr">
        <is>
          <t>data/raw/tim_fit_SP.html</t>
        </is>
      </c>
    </row>
    <row r="4333">
      <c r="A4333" s="5" t="inlineStr">
        <is>
          <t>2026-09-06</t>
        </is>
      </c>
      <c r="B4333" s="5" t="inlineStr">
        <is>
          <t>2026-09-06T19:39:36</t>
        </is>
      </c>
      <c r="C4333" s="5" t="inlineStr">
        <is>
          <t>tim</t>
        </is>
      </c>
      <c r="D4333" s="5" t="inlineStr">
        <is>
          <t>fit</t>
        </is>
      </c>
      <c r="E4333" s="5" t="inlineStr">
        <is>
          <t>SP</t>
        </is>
      </c>
      <c r="F4333" s="5" t="inlineStr">
        <is>
          <t>TIM Controle Fit Mensal 1.0</t>
        </is>
      </c>
      <c r="G4333" s="5" t="inlineStr">
        <is>
          <t>tim:TIM202600000270</t>
        </is>
      </c>
      <c r="H4333" s="6" t="n">
        <v>20</v>
      </c>
      <c r="I4333" s="6" t="inlineStr"/>
      <c r="J433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33" s="5" t="inlineStr"/>
      <c r="L4333" s="7" t="n">
        <v>20</v>
      </c>
      <c r="M4333" s="5" t="inlineStr"/>
      <c r="N4333" s="5" t="inlineStr"/>
      <c r="O4333" s="5" t="inlineStr"/>
      <c r="P4333" s="5" t="inlineStr"/>
      <c r="Q4333" s="5" t="inlineStr"/>
      <c r="R4333" s="5" t="inlineStr"/>
      <c r="S4333" s="5" t="inlineStr"/>
      <c r="T4333" s="5" t="inlineStr"/>
      <c r="U4333" s="5" t="inlineStr">
        <is>
          <t>https://www.tim.com.br/sp/para-voce/planos/controle</t>
        </is>
      </c>
      <c r="V4333" s="5" t="inlineStr">
        <is>
          <t>data/raw/tim_fit_SP.html</t>
        </is>
      </c>
    </row>
    <row r="4334">
      <c r="A4334" s="2" t="inlineStr">
        <is>
          <t>2026-09-06</t>
        </is>
      </c>
      <c r="B4334" s="2" t="inlineStr">
        <is>
          <t>2026-09-06T19:39:36</t>
        </is>
      </c>
      <c r="C4334" s="2" t="inlineStr">
        <is>
          <t>tim</t>
        </is>
      </c>
      <c r="D4334" s="2" t="inlineStr">
        <is>
          <t>fit</t>
        </is>
      </c>
      <c r="E4334" s="2" t="inlineStr">
        <is>
          <t>SP</t>
        </is>
      </c>
      <c r="F4334" s="2" t="inlineStr">
        <is>
          <t>TIM Controle Fit Mensal 2.0</t>
        </is>
      </c>
      <c r="G4334" s="2" t="inlineStr">
        <is>
          <t>tim:TIM202600000305</t>
        </is>
      </c>
      <c r="H4334" s="3" t="n">
        <v>45</v>
      </c>
      <c r="I4334" s="3" t="inlineStr"/>
      <c r="J4334" s="2" t="inlineStr">
        <is>
          <t>plano mensal, sem prazo de permanência; a etiqueta TIM informa 'sem prazo de permanência'</t>
        </is>
      </c>
      <c r="K4334" s="2" t="inlineStr"/>
      <c r="L4334" s="4" t="n">
        <v>35</v>
      </c>
      <c r="M4334" s="2" t="inlineStr"/>
      <c r="N4334" s="2" t="inlineStr"/>
      <c r="O4334" s="2" t="inlineStr"/>
      <c r="P4334" s="2" t="inlineStr"/>
      <c r="Q4334" s="2" t="inlineStr"/>
      <c r="R4334" s="2" t="inlineStr"/>
      <c r="S4334" s="2" t="inlineStr"/>
      <c r="T4334" s="2" t="inlineStr"/>
      <c r="U4334" s="2" t="inlineStr">
        <is>
          <t>https://www.tim.com.br/sp/para-voce/planos/controle</t>
        </is>
      </c>
      <c r="V4334" s="2" t="inlineStr">
        <is>
          <t>data/raw/tim_fit_SP.html</t>
        </is>
      </c>
    </row>
    <row r="4335">
      <c r="A4335" s="5" t="inlineStr">
        <is>
          <t>2026-09-06</t>
        </is>
      </c>
      <c r="B4335" s="5" t="inlineStr">
        <is>
          <t>2026-09-06T19:39:36</t>
        </is>
      </c>
      <c r="C4335" s="5" t="inlineStr">
        <is>
          <t>tim</t>
        </is>
      </c>
      <c r="D4335" s="5" t="inlineStr">
        <is>
          <t>postpaid</t>
        </is>
      </c>
      <c r="E4335" s="5" t="inlineStr">
        <is>
          <t>SP</t>
        </is>
      </c>
      <c r="F4335" s="5" t="inlineStr">
        <is>
          <t>TIM Black 70GB</t>
        </is>
      </c>
      <c r="G4335" s="5" t="inlineStr">
        <is>
          <t>tim:54206</t>
        </is>
      </c>
      <c r="H4335" s="6" t="n">
        <v>129.99</v>
      </c>
      <c r="I4335" s="6" t="inlineStr"/>
      <c r="J4335" s="5" t="inlineStr"/>
      <c r="K4335" s="5" t="inlineStr">
        <is>
          <t>bill</t>
        </is>
      </c>
      <c r="L4335" s="7" t="n">
        <v>70</v>
      </c>
      <c r="M4335" s="5" t="inlineStr"/>
      <c r="N4335" s="5" t="inlineStr"/>
      <c r="O4335" s="5" t="inlineStr"/>
      <c r="P4335" s="5" t="inlineStr"/>
      <c r="Q4335" s="5" t="inlineStr"/>
      <c r="R4335" s="5" t="inlineStr"/>
      <c r="S4335" s="5" t="inlineStr"/>
      <c r="T4335" s="5" t="inlineStr"/>
      <c r="U4335" s="5" t="inlineStr">
        <is>
          <t>https://www.tim.com.br/sp/para-voce/planos/pos-pago/tim-black</t>
        </is>
      </c>
      <c r="V4335" s="5" t="inlineStr">
        <is>
          <t>data/raw/tim_postpaid_SP.html</t>
        </is>
      </c>
    </row>
    <row r="4336">
      <c r="A4336" s="2" t="inlineStr">
        <is>
          <t>2026-09-06</t>
        </is>
      </c>
      <c r="B4336" s="2" t="inlineStr">
        <is>
          <t>2026-09-06T19:39:36</t>
        </is>
      </c>
      <c r="C4336" s="2" t="inlineStr">
        <is>
          <t>tim</t>
        </is>
      </c>
      <c r="D4336" s="2" t="inlineStr">
        <is>
          <t>postpaid</t>
        </is>
      </c>
      <c r="E4336" s="2" t="inlineStr">
        <is>
          <t>SP</t>
        </is>
      </c>
      <c r="F4336" s="2" t="inlineStr">
        <is>
          <t>TIM Black A Express 67GB</t>
        </is>
      </c>
      <c r="G4336" s="2" t="inlineStr">
        <is>
          <t>tim:55121</t>
        </is>
      </c>
      <c r="H4336" s="3" t="n">
        <v>119.99</v>
      </c>
      <c r="I4336" s="3" t="inlineStr"/>
      <c r="J4336" s="2" t="inlineStr"/>
      <c r="K4336" s="2" t="inlineStr">
        <is>
          <t>credit_card</t>
        </is>
      </c>
      <c r="L4336" s="4" t="n">
        <v>67</v>
      </c>
      <c r="M4336" s="2" t="inlineStr"/>
      <c r="N4336" s="2" t="inlineStr"/>
      <c r="O4336" s="2" t="inlineStr"/>
      <c r="P4336" s="2" t="inlineStr"/>
      <c r="Q4336" s="2" t="inlineStr"/>
      <c r="R4336" s="2" t="inlineStr"/>
      <c r="S4336" s="2" t="inlineStr"/>
      <c r="T4336" s="2" t="inlineStr"/>
      <c r="U4336" s="2" t="inlineStr">
        <is>
          <t>https://www.tim.com.br/sp/para-voce/planos/pos-pago/tim-black</t>
        </is>
      </c>
      <c r="V4336" s="2" t="inlineStr">
        <is>
          <t>data/raw/tim_postpaid_SP.html</t>
        </is>
      </c>
    </row>
    <row r="4337">
      <c r="A4337" s="5" t="inlineStr">
        <is>
          <t>2026-09-06</t>
        </is>
      </c>
      <c r="B4337" s="5" t="inlineStr">
        <is>
          <t>2026-09-06T19:39:36</t>
        </is>
      </c>
      <c r="C4337" s="5" t="inlineStr">
        <is>
          <t>tim</t>
        </is>
      </c>
      <c r="D4337" s="5" t="inlineStr">
        <is>
          <t>postpaid</t>
        </is>
      </c>
      <c r="E4337" s="5" t="inlineStr">
        <is>
          <t>SP</t>
        </is>
      </c>
      <c r="F4337" s="5" t="inlineStr">
        <is>
          <t>TIM Black B Express 82GB</t>
        </is>
      </c>
      <c r="G4337" s="5" t="inlineStr">
        <is>
          <t>tim:52146</t>
        </is>
      </c>
      <c r="H4337" s="6" t="n">
        <v>144.99</v>
      </c>
      <c r="I4337" s="6" t="inlineStr"/>
      <c r="J4337" s="5" t="inlineStr"/>
      <c r="K4337" s="5" t="inlineStr">
        <is>
          <t>credit_card</t>
        </is>
      </c>
      <c r="L4337" s="7" t="n">
        <v>82</v>
      </c>
      <c r="M4337" s="5" t="inlineStr"/>
      <c r="N4337" s="5" t="inlineStr"/>
      <c r="O4337" s="5" t="inlineStr"/>
      <c r="P4337" s="5" t="inlineStr"/>
      <c r="Q4337" s="5" t="inlineStr"/>
      <c r="R4337" s="5" t="inlineStr"/>
      <c r="S4337" s="5" t="inlineStr"/>
      <c r="T4337" s="5" t="inlineStr"/>
      <c r="U4337" s="5" t="inlineStr">
        <is>
          <t>https://www.tim.com.br/sp/para-voce/planos/pos-pago/tim-black</t>
        </is>
      </c>
      <c r="V4337" s="5" t="inlineStr">
        <is>
          <t>data/raw/tim_postpaid_SP.html</t>
        </is>
      </c>
    </row>
    <row r="4338">
      <c r="A4338" s="2" t="inlineStr">
        <is>
          <t>2026-09-06</t>
        </is>
      </c>
      <c r="B4338" s="2" t="inlineStr">
        <is>
          <t>2026-09-06T19:39:36</t>
        </is>
      </c>
      <c r="C4338" s="2" t="inlineStr">
        <is>
          <t>tim</t>
        </is>
      </c>
      <c r="D4338" s="2" t="inlineStr">
        <is>
          <t>postpaid</t>
        </is>
      </c>
      <c r="E4338" s="2" t="inlineStr">
        <is>
          <t>SP</t>
        </is>
      </c>
      <c r="F4338" s="2" t="inlineStr">
        <is>
          <t>TIM Black C Express 107GB</t>
        </is>
      </c>
      <c r="G4338" s="2" t="inlineStr">
        <is>
          <t>tim:52151</t>
        </is>
      </c>
      <c r="H4338" s="3" t="n">
        <v>164.99</v>
      </c>
      <c r="I4338" s="3" t="inlineStr"/>
      <c r="J4338" s="2" t="inlineStr"/>
      <c r="K4338" s="2" t="inlineStr">
        <is>
          <t>credit_card</t>
        </is>
      </c>
      <c r="L4338" s="4" t="n">
        <v>107</v>
      </c>
      <c r="M4338" s="2" t="inlineStr"/>
      <c r="N4338" s="2" t="inlineStr"/>
      <c r="O4338" s="2" t="inlineStr"/>
      <c r="P4338" s="2" t="inlineStr"/>
      <c r="Q4338" s="2" t="inlineStr"/>
      <c r="R4338" s="2" t="inlineStr"/>
      <c r="S4338" s="2" t="inlineStr"/>
      <c r="T4338" s="2" t="inlineStr"/>
      <c r="U4338" s="2" t="inlineStr">
        <is>
          <t>https://www.tim.com.br/sp/para-voce/planos/pos-pago/tim-black</t>
        </is>
      </c>
      <c r="V4338" s="2" t="inlineStr">
        <is>
          <t>data/raw/tim_postpaid_SP.html</t>
        </is>
      </c>
    </row>
    <row r="4339">
      <c r="A4339" s="5" t="inlineStr">
        <is>
          <t>2026-09-06</t>
        </is>
      </c>
      <c r="B4339" s="5" t="inlineStr">
        <is>
          <t>2026-09-06T19:39:36</t>
        </is>
      </c>
      <c r="C4339" s="5" t="inlineStr">
        <is>
          <t>tim</t>
        </is>
      </c>
      <c r="D4339" s="5" t="inlineStr">
        <is>
          <t>postpaid</t>
        </is>
      </c>
      <c r="E4339" s="5" t="inlineStr">
        <is>
          <t>SP</t>
        </is>
      </c>
      <c r="F4339" s="5" t="inlineStr">
        <is>
          <t>TIM Black Plus 80GB</t>
        </is>
      </c>
      <c r="G4339" s="5" t="inlineStr">
        <is>
          <t>tim:54256</t>
        </is>
      </c>
      <c r="H4339" s="6" t="n">
        <v>149.99</v>
      </c>
      <c r="I4339" s="6" t="inlineStr"/>
      <c r="J4339" s="5" t="inlineStr"/>
      <c r="K4339" s="5" t="inlineStr">
        <is>
          <t>bill</t>
        </is>
      </c>
      <c r="L4339" s="7" t="n">
        <v>80</v>
      </c>
      <c r="M4339" s="5" t="inlineStr"/>
      <c r="N4339" s="5" t="inlineStr"/>
      <c r="O4339" s="5" t="inlineStr"/>
      <c r="P4339" s="5" t="inlineStr"/>
      <c r="Q4339" s="5" t="inlineStr"/>
      <c r="R4339" s="5" t="inlineStr"/>
      <c r="S4339" s="5" t="inlineStr"/>
      <c r="T4339" s="5" t="inlineStr"/>
      <c r="U4339" s="5" t="inlineStr">
        <is>
          <t>https://www.tim.com.br/sp/para-voce/planos/pos-pago/tim-black</t>
        </is>
      </c>
      <c r="V4339" s="5" t="inlineStr">
        <is>
          <t>data/raw/tim_postpaid_SP.html</t>
        </is>
      </c>
    </row>
    <row r="4340">
      <c r="A4340" s="2" t="inlineStr">
        <is>
          <t>2026-09-06</t>
        </is>
      </c>
      <c r="B4340" s="2" t="inlineStr">
        <is>
          <t>2026-09-06T19:39:36</t>
        </is>
      </c>
      <c r="C4340" s="2" t="inlineStr">
        <is>
          <t>tim</t>
        </is>
      </c>
      <c r="D4340" s="2" t="inlineStr">
        <is>
          <t>postpaid</t>
        </is>
      </c>
      <c r="E4340" s="2" t="inlineStr">
        <is>
          <t>SP</t>
        </is>
      </c>
      <c r="F4340" s="2" t="inlineStr">
        <is>
          <t>TIM Black Premium 110GB</t>
        </is>
      </c>
      <c r="G4340" s="2" t="inlineStr">
        <is>
          <t>tim:54261</t>
        </is>
      </c>
      <c r="H4340" s="3" t="n">
        <v>159.99</v>
      </c>
      <c r="I4340" s="3" t="inlineStr"/>
      <c r="J4340" s="2" t="inlineStr"/>
      <c r="K4340" s="2" t="inlineStr">
        <is>
          <t>bill</t>
        </is>
      </c>
      <c r="L4340" s="4" t="n">
        <v>110</v>
      </c>
      <c r="M4340" s="2" t="inlineStr"/>
      <c r="N4340" s="2" t="inlineStr"/>
      <c r="O4340" s="2" t="inlineStr"/>
      <c r="P4340" s="2" t="inlineStr"/>
      <c r="Q4340" s="2" t="inlineStr"/>
      <c r="R4340" s="2" t="inlineStr"/>
      <c r="S4340" s="2" t="inlineStr"/>
      <c r="T4340" s="2" t="inlineStr"/>
      <c r="U4340" s="2" t="inlineStr">
        <is>
          <t>https://www.tim.com.br/sp/para-voce/planos/pos-pago/tim-black</t>
        </is>
      </c>
      <c r="V4340" s="2" t="inlineStr">
        <is>
          <t>data/raw/tim_postpaid_SP.html</t>
        </is>
      </c>
    </row>
    <row r="4341">
      <c r="A4341" s="5" t="inlineStr">
        <is>
          <t>2026-09-06</t>
        </is>
      </c>
      <c r="B4341" s="5" t="inlineStr">
        <is>
          <t>2026-09-06T19:39:36</t>
        </is>
      </c>
      <c r="C4341" s="5" t="inlineStr">
        <is>
          <t>tim</t>
        </is>
      </c>
      <c r="D4341" s="5" t="inlineStr">
        <is>
          <t>prepaid</t>
        </is>
      </c>
      <c r="E4341" s="5" t="inlineStr">
        <is>
          <t>SP</t>
        </is>
      </c>
      <c r="F4341" s="5" t="inlineStr">
        <is>
          <t>TIM Pré XIP Plus 16GB</t>
        </is>
      </c>
      <c r="G4341" s="5" t="inlineStr">
        <is>
          <t>tim:106306</t>
        </is>
      </c>
      <c r="H4341" s="6" t="n">
        <v>30</v>
      </c>
      <c r="I4341" s="6" t="inlineStr"/>
      <c r="J4341" s="5" t="inlineStr"/>
      <c r="K4341" s="5" t="inlineStr"/>
      <c r="L4341" s="7" t="n">
        <v>16</v>
      </c>
      <c r="M4341" s="5" t="inlineStr"/>
      <c r="N4341" s="5" t="n">
        <v>30</v>
      </c>
      <c r="O4341" s="5" t="inlineStr"/>
      <c r="P4341" s="5" t="inlineStr"/>
      <c r="Q4341" s="5" t="inlineStr"/>
      <c r="R4341" s="5" t="inlineStr"/>
      <c r="S4341" s="5" t="inlineStr"/>
      <c r="T4341" s="5" t="inlineStr"/>
      <c r="U4341" s="5" t="inlineStr">
        <is>
          <t>https://www.tim.com.br/sp/para-voce/planos/pre-pago</t>
        </is>
      </c>
      <c r="V4341" s="5" t="inlineStr">
        <is>
          <t>data/raw/tim_prepaid_SP.html</t>
        </is>
      </c>
    </row>
    <row r="4342">
      <c r="A4342" s="2" t="inlineStr">
        <is>
          <t>2026-09-06</t>
        </is>
      </c>
      <c r="B4342" s="2" t="inlineStr">
        <is>
          <t>2026-09-06T19:39:36</t>
        </is>
      </c>
      <c r="C4342" s="2" t="inlineStr">
        <is>
          <t>tim</t>
        </is>
      </c>
      <c r="D4342" s="2" t="inlineStr">
        <is>
          <t>prepaid</t>
        </is>
      </c>
      <c r="E4342" s="2" t="inlineStr">
        <is>
          <t>SP</t>
        </is>
      </c>
      <c r="F4342" s="2" t="inlineStr">
        <is>
          <t>TIM Pré XIP Plus 6GB</t>
        </is>
      </c>
      <c r="G4342" s="2" t="inlineStr">
        <is>
          <t>tim:59906</t>
        </is>
      </c>
      <c r="H4342" s="3" t="n">
        <v>20</v>
      </c>
      <c r="I4342" s="3" t="inlineStr"/>
      <c r="J4342" s="2" t="inlineStr"/>
      <c r="K4342" s="2" t="inlineStr"/>
      <c r="L4342" s="4" t="n">
        <v>6</v>
      </c>
      <c r="M4342" s="2" t="inlineStr"/>
      <c r="N4342" s="2" t="n">
        <v>17</v>
      </c>
      <c r="O4342" s="2" t="inlineStr"/>
      <c r="P4342" s="2" t="inlineStr"/>
      <c r="Q4342" s="2" t="inlineStr"/>
      <c r="R4342" s="2" t="inlineStr"/>
      <c r="S4342" s="2" t="inlineStr"/>
      <c r="T4342" s="2" t="inlineStr"/>
      <c r="U4342" s="2" t="inlineStr">
        <is>
          <t>https://www.tim.com.br/sp/para-voce/planos/pre-pago</t>
        </is>
      </c>
      <c r="V4342" s="2" t="inlineStr">
        <is>
          <t>data/raw/tim_prepaid_SP.html</t>
        </is>
      </c>
    </row>
    <row r="4343">
      <c r="A4343" s="5" t="inlineStr">
        <is>
          <t>2026-09-06</t>
        </is>
      </c>
      <c r="B4343" s="5" t="inlineStr">
        <is>
          <t>2026-09-06T19:39:36</t>
        </is>
      </c>
      <c r="C4343" s="5" t="inlineStr">
        <is>
          <t>tim</t>
        </is>
      </c>
      <c r="D4343" s="5" t="inlineStr">
        <is>
          <t>prepaid</t>
        </is>
      </c>
      <c r="E4343" s="5" t="inlineStr">
        <is>
          <t>SP</t>
        </is>
      </c>
      <c r="F4343" s="5" t="inlineStr">
        <is>
          <t>TIM Pré XIP Plus 8GB</t>
        </is>
      </c>
      <c r="G4343" s="5" t="inlineStr">
        <is>
          <t>tim:59901</t>
        </is>
      </c>
      <c r="H4343" s="6" t="n">
        <v>25</v>
      </c>
      <c r="I4343" s="6" t="inlineStr"/>
      <c r="J4343" s="5" t="inlineStr"/>
      <c r="K4343" s="5" t="inlineStr"/>
      <c r="L4343" s="7" t="n">
        <v>8</v>
      </c>
      <c r="M4343" s="5" t="inlineStr"/>
      <c r="N4343" s="5" t="n">
        <v>22</v>
      </c>
      <c r="O4343" s="5" t="inlineStr"/>
      <c r="P4343" s="5" t="inlineStr"/>
      <c r="Q4343" s="5" t="inlineStr"/>
      <c r="R4343" s="5" t="inlineStr"/>
      <c r="S4343" s="5" t="inlineStr"/>
      <c r="T4343" s="5" t="inlineStr"/>
      <c r="U4343" s="5" t="inlineStr">
        <is>
          <t>https://www.tim.com.br/sp/para-voce/planos/pre-pago</t>
        </is>
      </c>
      <c r="V4343" s="5" t="inlineStr">
        <is>
          <t>data/raw/tim_prepaid_SP.html</t>
        </is>
      </c>
    </row>
    <row r="4344">
      <c r="A4344" s="2" t="inlineStr">
        <is>
          <t>2026-09-06</t>
        </is>
      </c>
      <c r="B4344" s="2" t="inlineStr">
        <is>
          <t>2026-09-06T19:39:36</t>
        </is>
      </c>
      <c r="C4344" s="2" t="inlineStr">
        <is>
          <t>vivo</t>
        </is>
      </c>
      <c r="D4344" s="2" t="inlineStr">
        <is>
          <t>control</t>
        </is>
      </c>
      <c r="E4344" s="2" t="inlineStr">
        <is>
          <t>SP</t>
        </is>
      </c>
      <c r="F4344" s="2" t="inlineStr">
        <is>
          <t>Vivo Controle</t>
        </is>
      </c>
      <c r="G4344" s="2" t="inlineStr">
        <is>
          <t>vivo:VIV202600034591</t>
        </is>
      </c>
      <c r="H4344" s="3" t="n">
        <v>59</v>
      </c>
      <c r="I4344" s="3" t="inlineStr"/>
      <c r="J4344" s="2" t="inlineStr"/>
      <c r="K4344" s="2" t="inlineStr"/>
      <c r="L4344" s="4" t="n">
        <v>45</v>
      </c>
      <c r="M4344" s="2" t="inlineStr">
        <is>
          <t>15 GB de franquia 30 GB de bônus</t>
        </is>
      </c>
      <c r="N4344" s="2" t="inlineStr"/>
      <c r="O4344" s="2" t="inlineStr"/>
      <c r="P4344" s="2" t="inlineStr"/>
      <c r="Q4344" s="2" t="inlineStr"/>
      <c r="R4344" s="2" t="inlineStr"/>
      <c r="S4344" s="2" t="inlineStr"/>
      <c r="T4344" s="2" t="inlineStr">
        <is>
          <t>6 meses grátis de Gemini com AI Plus</t>
        </is>
      </c>
      <c r="U4344" s="2" t="inlineStr">
        <is>
          <t>https://vivo.com.br/para-voce/produtos-e-servicos/para-o-celular/planos-controle</t>
        </is>
      </c>
      <c r="V4344" s="2" t="inlineStr">
        <is>
          <t>data/raw/vivo_control_SP.html</t>
        </is>
      </c>
    </row>
    <row r="4345">
      <c r="A4345" s="5" t="inlineStr">
        <is>
          <t>2026-09-06</t>
        </is>
      </c>
      <c r="B4345" s="5" t="inlineStr">
        <is>
          <t>2026-09-06T19:39:36</t>
        </is>
      </c>
      <c r="C4345" s="5" t="inlineStr">
        <is>
          <t>vivo</t>
        </is>
      </c>
      <c r="D4345" s="5" t="inlineStr">
        <is>
          <t>control</t>
        </is>
      </c>
      <c r="E4345" s="5" t="inlineStr">
        <is>
          <t>SP</t>
        </is>
      </c>
      <c r="F4345" s="5" t="inlineStr">
        <is>
          <t>Vivo Controle</t>
        </is>
      </c>
      <c r="G4345" s="5" t="inlineStr">
        <is>
          <t>vivo:VIV202600034599</t>
        </is>
      </c>
      <c r="H4345" s="6" t="n">
        <v>75</v>
      </c>
      <c r="I4345" s="6" t="inlineStr"/>
      <c r="J4345" s="5" t="inlineStr">
        <is>
          <t>preço-base do plano; a tela exibia R$ 80 com o adicional pré-selecionado (+R$ 5/mês, opcional); 60 GB na tela incluem +10 GB do adicional</t>
        </is>
      </c>
      <c r="K4345" s="5" t="inlineStr"/>
      <c r="L4345" s="7" t="n">
        <v>50</v>
      </c>
      <c r="M4345" s="5" t="inlineStr">
        <is>
          <t>20 GB de franquia 30 GB de bônus</t>
        </is>
      </c>
      <c r="N4345" s="5" t="inlineStr"/>
      <c r="O4345" s="5" t="inlineStr"/>
      <c r="P4345" s="5" t="inlineStr"/>
      <c r="Q4345" s="5" t="inlineStr"/>
      <c r="R4345" s="5" t="inlineStr"/>
      <c r="S4345" s="5" t="inlineStr"/>
      <c r="T4345" s="5" t="inlineStr">
        <is>
          <t>6 meses grátis de Gemini com AI Plus</t>
        </is>
      </c>
      <c r="U4345" s="5" t="inlineStr">
        <is>
          <t>https://vivo.com.br/para-voce/produtos-e-servicos/para-o-celular/planos-controle</t>
        </is>
      </c>
      <c r="V4345" s="5" t="inlineStr">
        <is>
          <t>data/raw/vivo_control_SP.html</t>
        </is>
      </c>
    </row>
    <row r="4346">
      <c r="A4346" s="2" t="inlineStr">
        <is>
          <t>2026-09-06</t>
        </is>
      </c>
      <c r="B4346" s="2" t="inlineStr">
        <is>
          <t>2026-09-06T19:39:36</t>
        </is>
      </c>
      <c r="C4346" s="2" t="inlineStr">
        <is>
          <t>vivo</t>
        </is>
      </c>
      <c r="D4346" s="2" t="inlineStr">
        <is>
          <t>control</t>
        </is>
      </c>
      <c r="E4346" s="2" t="inlineStr">
        <is>
          <t>SP</t>
        </is>
      </c>
      <c r="F4346" s="2" t="inlineStr">
        <is>
          <t>Vivo Controle Amazon</t>
        </is>
      </c>
      <c r="G4346" s="2" t="inlineStr">
        <is>
          <t>vivo:VIV202600038804</t>
        </is>
      </c>
      <c r="H4346" s="3" t="n">
        <v>70</v>
      </c>
      <c r="I4346" s="3" t="inlineStr"/>
      <c r="J4346" s="2" t="inlineStr">
        <is>
          <t>preço-base do plano; a tela exibia R$ 75 com o adicional pré-selecionado (+R$ 5/mês, opcional); 58 GB na tela incluem +10 GB do adicional</t>
        </is>
      </c>
      <c r="K4346" s="2" t="inlineStr"/>
      <c r="L4346" s="4" t="n">
        <v>48</v>
      </c>
      <c r="M4346" s="2" t="inlineStr">
        <is>
          <t>18 GB de franquia 30 GB de bônus</t>
        </is>
      </c>
      <c r="N4346" s="2" t="inlineStr"/>
      <c r="O4346" s="2" t="inlineStr"/>
      <c r="P4346" s="2" t="inlineStr"/>
      <c r="Q4346" s="2" t="inlineStr"/>
      <c r="R4346" s="2" t="inlineStr"/>
      <c r="S4346" s="2" t="inlineStr"/>
      <c r="T4346" s="2" t="inlineStr">
        <is>
          <t>Assinatura Amazon Prime inclusa</t>
        </is>
      </c>
      <c r="U4346" s="2" t="inlineStr">
        <is>
          <t>https://vivo.com.br/para-voce/produtos-e-servicos/para-o-celular/planos-controle</t>
        </is>
      </c>
      <c r="V4346" s="2" t="inlineStr">
        <is>
          <t>data/raw/vivo_control_SP.html</t>
        </is>
      </c>
    </row>
    <row r="4347">
      <c r="A4347" s="5" t="inlineStr">
        <is>
          <t>2026-09-06</t>
        </is>
      </c>
      <c r="B4347" s="5" t="inlineStr">
        <is>
          <t>2026-09-06T19:39:36</t>
        </is>
      </c>
      <c r="C4347" s="5" t="inlineStr">
        <is>
          <t>vivo</t>
        </is>
      </c>
      <c r="D4347" s="5" t="inlineStr">
        <is>
          <t>control</t>
        </is>
      </c>
      <c r="E4347" s="5" t="inlineStr">
        <is>
          <t>SP</t>
        </is>
      </c>
      <c r="F4347" s="5" t="inlineStr">
        <is>
          <t>Vivo Controle Educação</t>
        </is>
      </c>
      <c r="G4347" s="5" t="inlineStr">
        <is>
          <t>vivo:VIV202600034616</t>
        </is>
      </c>
      <c r="H4347" s="6" t="n">
        <v>85</v>
      </c>
      <c r="I4347" s="6" t="inlineStr"/>
      <c r="J4347" s="5" t="inlineStr">
        <is>
          <t>preço-base do plano; a tela exibia R$ 90 com o adicional pré-selecionado (+R$ 5/mês, opcional); 60 GB na tela incluem +10 GB do adicional</t>
        </is>
      </c>
      <c r="K4347" s="5" t="inlineStr"/>
      <c r="L4347" s="7" t="n">
        <v>50</v>
      </c>
      <c r="M4347" s="5" t="inlineStr">
        <is>
          <t>20 GB de franquia 30 GB de bônus</t>
        </is>
      </c>
      <c r="N4347" s="5" t="inlineStr"/>
      <c r="O4347" s="5" t="inlineStr"/>
      <c r="P4347" s="5" t="inlineStr"/>
      <c r="Q4347" s="5" t="inlineStr"/>
      <c r="R4347" s="5" t="inlineStr"/>
      <c r="S4347" s="5" t="inlineStr"/>
      <c r="T4347" s="5" t="inlineStr">
        <is>
          <t>Assinatura Vivae inclusa</t>
        </is>
      </c>
      <c r="U4347" s="5" t="inlineStr">
        <is>
          <t>https://vivo.com.br/para-voce/produtos-e-servicos/para-o-celular/planos-controle</t>
        </is>
      </c>
      <c r="V4347" s="5" t="inlineStr">
        <is>
          <t>data/raw/vivo_control_SP.html</t>
        </is>
      </c>
    </row>
    <row r="4348">
      <c r="A4348" s="2" t="inlineStr">
        <is>
          <t>2026-09-06</t>
        </is>
      </c>
      <c r="B4348" s="2" t="inlineStr">
        <is>
          <t>2026-09-06T19:39:36</t>
        </is>
      </c>
      <c r="C4348" s="2" t="inlineStr">
        <is>
          <t>vivo</t>
        </is>
      </c>
      <c r="D4348" s="2" t="inlineStr">
        <is>
          <t>control</t>
        </is>
      </c>
      <c r="E4348" s="2" t="inlineStr">
        <is>
          <t>SP</t>
        </is>
      </c>
      <c r="F4348" s="2" t="inlineStr">
        <is>
          <t>Vivo Controle Entretenimento</t>
        </is>
      </c>
      <c r="G4348" s="2" t="inlineStr">
        <is>
          <t>vivo:VIV202600034619</t>
        </is>
      </c>
      <c r="H4348" s="3" t="n">
        <v>105</v>
      </c>
      <c r="I4348" s="3" t="inlineStr"/>
      <c r="J4348" s="2" t="inlineStr">
        <is>
          <t>preço-base do plano; a tela exibia R$ 110 com o adicional pré-selecionado (+R$ 5/mês, opcional); 60 GB na tela incluem +10 GB do adicional</t>
        </is>
      </c>
      <c r="K4348" s="2" t="inlineStr"/>
      <c r="L4348" s="4" t="n">
        <v>50</v>
      </c>
      <c r="M4348" s="2" t="inlineStr">
        <is>
          <t>20 GB de franquia 30 GB de bônus</t>
        </is>
      </c>
      <c r="N4348" s="2" t="inlineStr"/>
      <c r="O4348" s="2" t="inlineStr"/>
      <c r="P4348" s="2" t="inlineStr"/>
      <c r="Q4348" s="2" t="inlineStr"/>
      <c r="R4348" s="2" t="inlineStr"/>
      <c r="S4348" s="2" t="inlineStr"/>
      <c r="T4348" s="2" t="inlineStr">
        <is>
          <t>Assinatura Vivo TV Inicial inclusa</t>
        </is>
      </c>
      <c r="U4348" s="2" t="inlineStr">
        <is>
          <t>https://vivo.com.br/para-voce/produtos-e-servicos/para-o-celular/planos-controle</t>
        </is>
      </c>
      <c r="V4348" s="2" t="inlineStr">
        <is>
          <t>data/raw/vivo_control_SP.html</t>
        </is>
      </c>
    </row>
    <row r="4349">
      <c r="A4349" s="5" t="inlineStr">
        <is>
          <t>2026-09-06</t>
        </is>
      </c>
      <c r="B4349" s="5" t="inlineStr">
        <is>
          <t>2026-09-06T19:39:36</t>
        </is>
      </c>
      <c r="C4349" s="5" t="inlineStr">
        <is>
          <t>vivo</t>
        </is>
      </c>
      <c r="D4349" s="5" t="inlineStr">
        <is>
          <t>control</t>
        </is>
      </c>
      <c r="E4349" s="5" t="inlineStr">
        <is>
          <t>SP</t>
        </is>
      </c>
      <c r="F4349" s="5" t="inlineStr">
        <is>
          <t>Vivo Controle Música</t>
        </is>
      </c>
      <c r="G4349" s="5" t="inlineStr">
        <is>
          <t>vivo:VIV202600034620</t>
        </is>
      </c>
      <c r="H4349" s="6" t="n">
        <v>85</v>
      </c>
      <c r="I4349" s="6" t="inlineStr"/>
      <c r="J4349" s="5" t="inlineStr">
        <is>
          <t>preço-base do plano; a tela exibia R$ 90 com o adicional pré-selecionado (+R$ 5/mês, opcional); 60 GB na tela incluem +10 GB do adicional</t>
        </is>
      </c>
      <c r="K4349" s="5" t="inlineStr"/>
      <c r="L4349" s="7" t="n">
        <v>50</v>
      </c>
      <c r="M4349" s="5" t="inlineStr">
        <is>
          <t>20 GB de franquia 30 GB de bônus</t>
        </is>
      </c>
      <c r="N4349" s="5" t="inlineStr"/>
      <c r="O4349" s="5" t="inlineStr"/>
      <c r="P4349" s="5" t="inlineStr"/>
      <c r="Q4349" s="5" t="inlineStr"/>
      <c r="R4349" s="5" t="inlineStr"/>
      <c r="S4349" s="5" t="inlineStr"/>
      <c r="T4349" s="5" t="inlineStr">
        <is>
          <t>Apple Music Individual</t>
        </is>
      </c>
      <c r="U4349" s="5" t="inlineStr">
        <is>
          <t>https://vivo.com.br/para-voce/produtos-e-servicos/para-o-celular/planos-controle</t>
        </is>
      </c>
      <c r="V4349" s="5" t="inlineStr">
        <is>
          <t>data/raw/vivo_control_SP.html</t>
        </is>
      </c>
    </row>
    <row r="4350">
      <c r="A4350" s="2" t="inlineStr">
        <is>
          <t>2026-09-06</t>
        </is>
      </c>
      <c r="B4350" s="2" t="inlineStr">
        <is>
          <t>2026-09-06T19:39:36</t>
        </is>
      </c>
      <c r="C4350" s="2" t="inlineStr">
        <is>
          <t>vivo</t>
        </is>
      </c>
      <c r="D4350" s="2" t="inlineStr">
        <is>
          <t>control</t>
        </is>
      </c>
      <c r="E4350" s="2" t="inlineStr">
        <is>
          <t>SP</t>
        </is>
      </c>
      <c r="F4350" s="2" t="inlineStr">
        <is>
          <t>Vivo Controle Netflix</t>
        </is>
      </c>
      <c r="G4350" s="2" t="inlineStr">
        <is>
          <t>vivo:VIV202600034623</t>
        </is>
      </c>
      <c r="H4350" s="3" t="n">
        <v>90</v>
      </c>
      <c r="I4350" s="3" t="inlineStr"/>
      <c r="J4350" s="2" t="inlineStr">
        <is>
          <t>preço-base do plano; a tela exibia R$ 95 com o adicional pré-selecionado (+R$ 5/mês, opcional); 60 GB na tela incluem +10 GB do adicional</t>
        </is>
      </c>
      <c r="K4350" s="2" t="inlineStr"/>
      <c r="L4350" s="4" t="n">
        <v>50</v>
      </c>
      <c r="M4350" s="2" t="inlineStr">
        <is>
          <t>20 GB de franquia 30 GB de bônus</t>
        </is>
      </c>
      <c r="N4350" s="2" t="inlineStr"/>
      <c r="O4350" s="2" t="inlineStr"/>
      <c r="P4350" s="2" t="inlineStr"/>
      <c r="Q4350" s="2" t="inlineStr"/>
      <c r="R4350" s="2" t="inlineStr"/>
      <c r="S4350" s="2" t="inlineStr"/>
      <c r="T4350" s="2" t="inlineStr">
        <is>
          <t>Assinatura Netflix Padrão com anúncios</t>
        </is>
      </c>
      <c r="U4350" s="2" t="inlineStr">
        <is>
          <t>https://vivo.com.br/para-voce/produtos-e-servicos/para-o-celular/planos-controle</t>
        </is>
      </c>
      <c r="V4350" s="2" t="inlineStr">
        <is>
          <t>data/raw/vivo_control_SP.html</t>
        </is>
      </c>
    </row>
    <row r="4351">
      <c r="A4351" s="5" t="inlineStr">
        <is>
          <t>2026-09-06</t>
        </is>
      </c>
      <c r="B4351" s="5" t="inlineStr">
        <is>
          <t>2026-09-06T19:39:36</t>
        </is>
      </c>
      <c r="C4351" s="5" t="inlineStr">
        <is>
          <t>vivo</t>
        </is>
      </c>
      <c r="D4351" s="5" t="inlineStr">
        <is>
          <t>control</t>
        </is>
      </c>
      <c r="E4351" s="5" t="inlineStr">
        <is>
          <t>SP</t>
        </is>
      </c>
      <c r="F4351" s="5" t="inlineStr">
        <is>
          <t>Vivo Controle Saúde</t>
        </is>
      </c>
      <c r="G4351" s="5" t="inlineStr">
        <is>
          <t>vivo:VIV202600034625</t>
        </is>
      </c>
      <c r="H4351" s="6" t="n">
        <v>85</v>
      </c>
      <c r="I4351" s="6" t="inlineStr"/>
      <c r="J4351" s="5" t="inlineStr">
        <is>
          <t>preço-base do plano; a tela exibia R$ 90 com o adicional pré-selecionado (+R$ 5/mês, opcional); 60 GB na tela incluem +10 GB do adicional</t>
        </is>
      </c>
      <c r="K4351" s="5" t="inlineStr"/>
      <c r="L4351" s="7" t="n">
        <v>50</v>
      </c>
      <c r="M4351" s="5" t="inlineStr">
        <is>
          <t>20 GB de franquia 30 GB de bônus</t>
        </is>
      </c>
      <c r="N4351" s="5" t="inlineStr"/>
      <c r="O4351" s="5" t="inlineStr"/>
      <c r="P4351" s="5" t="inlineStr"/>
      <c r="Q4351" s="5" t="inlineStr"/>
      <c r="R4351" s="5" t="inlineStr"/>
      <c r="S4351" s="5" t="inlineStr"/>
      <c r="T4351" s="5" t="inlineStr">
        <is>
          <t>Assinatura Vale Saúde Sempre inclusa</t>
        </is>
      </c>
      <c r="U4351" s="5" t="inlineStr">
        <is>
          <t>https://vivo.com.br/para-voce/produtos-e-servicos/para-o-celular/planos-controle</t>
        </is>
      </c>
      <c r="V4351" s="5" t="inlineStr">
        <is>
          <t>data/raw/vivo_control_SP.html</t>
        </is>
      </c>
    </row>
    <row r="4352">
      <c r="A4352" s="2" t="inlineStr">
        <is>
          <t>2026-09-06</t>
        </is>
      </c>
      <c r="B4352" s="2" t="inlineStr">
        <is>
          <t>2026-09-06T19:39:36</t>
        </is>
      </c>
      <c r="C4352" s="2" t="inlineStr">
        <is>
          <t>vivo</t>
        </is>
      </c>
      <c r="D4352" s="2" t="inlineStr">
        <is>
          <t>control</t>
        </is>
      </c>
      <c r="E4352" s="2" t="inlineStr">
        <is>
          <t>SP</t>
        </is>
      </c>
      <c r="F4352" s="2" t="inlineStr">
        <is>
          <t>Vivo Controle Youtube Lite</t>
        </is>
      </c>
      <c r="G4352" s="2" t="inlineStr">
        <is>
          <t>vivo:VIV202600034626</t>
        </is>
      </c>
      <c r="H4352" s="3" t="n">
        <v>85</v>
      </c>
      <c r="I4352" s="3" t="inlineStr"/>
      <c r="J4352" s="2" t="inlineStr">
        <is>
          <t>preço-base do plano; a tela exibia R$ 90 com o adicional pré-selecionado (+R$ 5/mês, opcional); 60 GB na tela incluem +10 GB do adicional</t>
        </is>
      </c>
      <c r="K4352" s="2" t="inlineStr"/>
      <c r="L4352" s="4" t="n">
        <v>50</v>
      </c>
      <c r="M4352" s="2" t="inlineStr">
        <is>
          <t>20 GB de franquia 30 GB de bônus</t>
        </is>
      </c>
      <c r="N4352" s="2" t="inlineStr"/>
      <c r="O4352" s="2" t="inlineStr"/>
      <c r="P4352" s="2" t="inlineStr"/>
      <c r="Q4352" s="2" t="inlineStr"/>
      <c r="R4352" s="2" t="inlineStr"/>
      <c r="S4352" s="2" t="inlineStr"/>
      <c r="T4352" s="2" t="inlineStr">
        <is>
          <t>Assinatura Youtube Premium Lite Inclusa</t>
        </is>
      </c>
      <c r="U4352" s="2" t="inlineStr">
        <is>
          <t>https://vivo.com.br/para-voce/produtos-e-servicos/para-o-celular/planos-controle</t>
        </is>
      </c>
      <c r="V4352" s="2" t="inlineStr">
        <is>
          <t>data/raw/vivo_control_SP.html</t>
        </is>
      </c>
    </row>
    <row r="4353">
      <c r="A4353" s="5" t="inlineStr">
        <is>
          <t>2026-09-06</t>
        </is>
      </c>
      <c r="B4353" s="5" t="inlineStr">
        <is>
          <t>2026-09-06T19:39:36</t>
        </is>
      </c>
      <c r="C4353" s="5" t="inlineStr">
        <is>
          <t>vivo</t>
        </is>
      </c>
      <c r="D4353" s="5" t="inlineStr">
        <is>
          <t>lite</t>
        </is>
      </c>
      <c r="E4353" s="5" t="inlineStr">
        <is>
          <t>SP</t>
        </is>
      </c>
      <c r="F4353" s="5" t="inlineStr">
        <is>
          <t>Vivo Lite</t>
        </is>
      </c>
      <c r="G4353" s="5" t="inlineStr">
        <is>
          <t>vivo:VIV202600038808</t>
        </is>
      </c>
      <c r="H4353" s="6" t="n">
        <v>45</v>
      </c>
      <c r="I4353" s="6" t="n">
        <v>30</v>
      </c>
      <c r="J4353" s="5" t="inlineStr">
        <is>
          <t>preço sem fidelidade; fidelidade 12m no promo</t>
        </is>
      </c>
      <c r="K4353" s="5" t="inlineStr"/>
      <c r="L4353" s="7" t="n">
        <v>30</v>
      </c>
      <c r="M4353" s="5" t="inlineStr">
        <is>
          <t>30 GB de franquia</t>
        </is>
      </c>
      <c r="N4353" s="5" t="inlineStr"/>
      <c r="O4353" s="5" t="inlineStr"/>
      <c r="P4353" s="5" t="inlineStr"/>
      <c r="Q4353" s="5" t="inlineStr"/>
      <c r="R4353" s="5" t="inlineStr"/>
      <c r="S4353" s="5" t="n">
        <v>12</v>
      </c>
      <c r="T4353" s="5" t="inlineStr"/>
      <c r="U4353" s="5" t="inlineStr">
        <is>
          <t>https://vivo.com.br/para-voce/produtos-e-servicos/para-o-celular/easy-lite</t>
        </is>
      </c>
      <c r="V4353" s="5" t="inlineStr">
        <is>
          <t>data/raw/vivo_lite_SP.html</t>
        </is>
      </c>
    </row>
    <row r="4354">
      <c r="A4354" s="2" t="inlineStr">
        <is>
          <t>2026-09-06</t>
        </is>
      </c>
      <c r="B4354" s="2" t="inlineStr">
        <is>
          <t>2026-09-06T19:39:36</t>
        </is>
      </c>
      <c r="C4354" s="2" t="inlineStr">
        <is>
          <t>vivo</t>
        </is>
      </c>
      <c r="D4354" s="2" t="inlineStr">
        <is>
          <t>lite</t>
        </is>
      </c>
      <c r="E4354" s="2" t="inlineStr">
        <is>
          <t>SP</t>
        </is>
      </c>
      <c r="F4354" s="2" t="inlineStr">
        <is>
          <t>Vivo Lite</t>
        </is>
      </c>
      <c r="G4354" s="2" t="inlineStr">
        <is>
          <t>vivo:VIV202600038810</t>
        </is>
      </c>
      <c r="H4354" s="3" t="n">
        <v>55</v>
      </c>
      <c r="I4354" s="3" t="n">
        <v>40</v>
      </c>
      <c r="J4354" s="2" t="inlineStr">
        <is>
          <t>preço sem fidelidade; fidelidade 12m no promo</t>
        </is>
      </c>
      <c r="K4354" s="2" t="inlineStr"/>
      <c r="L4354" s="4" t="n">
        <v>40</v>
      </c>
      <c r="M4354" s="2" t="inlineStr">
        <is>
          <t>40 GB de franquia</t>
        </is>
      </c>
      <c r="N4354" s="2" t="inlineStr"/>
      <c r="O4354" s="2" t="inlineStr"/>
      <c r="P4354" s="2" t="inlineStr"/>
      <c r="Q4354" s="2" t="inlineStr"/>
      <c r="R4354" s="2" t="inlineStr"/>
      <c r="S4354" s="2" t="n">
        <v>12</v>
      </c>
      <c r="T4354" s="2" t="inlineStr"/>
      <c r="U4354" s="2" t="inlineStr">
        <is>
          <t>https://vivo.com.br/para-voce/produtos-e-servicos/para-o-celular/easy-lite</t>
        </is>
      </c>
      <c r="V4354" s="2" t="inlineStr">
        <is>
          <t>data/raw/vivo_lite_SP.html</t>
        </is>
      </c>
    </row>
    <row r="4355">
      <c r="A4355" s="5" t="inlineStr">
        <is>
          <t>2026-09-06</t>
        </is>
      </c>
      <c r="B4355" s="5" t="inlineStr">
        <is>
          <t>2026-09-06T19:39:36</t>
        </is>
      </c>
      <c r="C4355" s="5" t="inlineStr">
        <is>
          <t>vivo</t>
        </is>
      </c>
      <c r="D4355" s="5" t="inlineStr">
        <is>
          <t>lite</t>
        </is>
      </c>
      <c r="E4355" s="5" t="inlineStr">
        <is>
          <t>SP</t>
        </is>
      </c>
      <c r="F4355" s="5" t="inlineStr">
        <is>
          <t>Vivo Lite</t>
        </is>
      </c>
      <c r="G4355" s="5" t="inlineStr">
        <is>
          <t>vivo:VIV202600038814</t>
        </is>
      </c>
      <c r="H4355" s="6" t="n">
        <v>35</v>
      </c>
      <c r="I4355" s="6" t="inlineStr"/>
      <c r="J4355" s="5" t="inlineStr"/>
      <c r="K4355" s="5" t="inlineStr"/>
      <c r="L4355" s="7" t="n">
        <v>20</v>
      </c>
      <c r="M4355" s="5" t="inlineStr">
        <is>
          <t>20 GB de franquia</t>
        </is>
      </c>
      <c r="N4355" s="5" t="inlineStr"/>
      <c r="O4355" s="5" t="inlineStr"/>
      <c r="P4355" s="5" t="inlineStr"/>
      <c r="Q4355" s="5" t="inlineStr"/>
      <c r="R4355" s="5" t="inlineStr"/>
      <c r="S4355" s="5" t="inlineStr"/>
      <c r="T4355" s="5" t="inlineStr"/>
      <c r="U4355" s="5" t="inlineStr">
        <is>
          <t>https://vivo.com.br/para-voce/produtos-e-servicos/para-o-celular/easy-lite</t>
        </is>
      </c>
      <c r="V4355" s="5" t="inlineStr">
        <is>
          <t>data/raw/vivo_lite_SP.html</t>
        </is>
      </c>
    </row>
    <row r="4356">
      <c r="A4356" s="2" t="inlineStr">
        <is>
          <t>2026-09-06</t>
        </is>
      </c>
      <c r="B4356" s="2" t="inlineStr">
        <is>
          <t>2026-09-06T19:39:36</t>
        </is>
      </c>
      <c r="C4356" s="2" t="inlineStr">
        <is>
          <t>vivo</t>
        </is>
      </c>
      <c r="D4356" s="2" t="inlineStr">
        <is>
          <t>postpaid</t>
        </is>
      </c>
      <c r="E4356" s="2" t="inlineStr">
        <is>
          <t>SP</t>
        </is>
      </c>
      <c r="F4356" s="2" t="inlineStr">
        <is>
          <t>Vivo Família 2</t>
        </is>
      </c>
      <c r="G4356" s="2" t="inlineStr">
        <is>
          <t>vivo:VIV202600034547</t>
        </is>
      </c>
      <c r="H4356" s="3" t="n">
        <v>270</v>
      </c>
      <c r="I4356" s="3" t="inlineStr"/>
      <c r="J4356" s="2" t="inlineStr"/>
      <c r="K4356" s="2" t="inlineStr"/>
      <c r="L4356" s="4" t="n">
        <v>120</v>
      </c>
      <c r="M4356" s="2" t="inlineStr">
        <is>
          <t>120 GB de franquia Você + 1 linha adicional Roaming Internacional com Vivo Travel Américas e Europa</t>
        </is>
      </c>
      <c r="N4356" s="2" t="inlineStr"/>
      <c r="O4356" s="2" t="inlineStr"/>
      <c r="P4356" s="2" t="inlineStr"/>
      <c r="Q4356" s="2" t="inlineStr"/>
      <c r="R4356" s="2" t="inlineStr"/>
      <c r="S4356" s="2" t="inlineStr"/>
      <c r="T4356" s="2" t="inlineStr">
        <is>
          <t>12 meses grátis de Gemini com AI Plus</t>
        </is>
      </c>
      <c r="U4356" s="2" t="inlineStr">
        <is>
          <t>https://vivo.com.br/para-voce/produtos-e-servicos/para-o-celular/planos-pos-pago</t>
        </is>
      </c>
      <c r="V4356" s="2" t="inlineStr">
        <is>
          <t>data/raw/vivo_postpaid_SP.html</t>
        </is>
      </c>
    </row>
    <row r="4357">
      <c r="A4357" s="5" t="inlineStr">
        <is>
          <t>2026-09-06</t>
        </is>
      </c>
      <c r="B4357" s="5" t="inlineStr">
        <is>
          <t>2026-09-06T19:39:36</t>
        </is>
      </c>
      <c r="C4357" s="5" t="inlineStr">
        <is>
          <t>vivo</t>
        </is>
      </c>
      <c r="D4357" s="5" t="inlineStr">
        <is>
          <t>postpaid</t>
        </is>
      </c>
      <c r="E4357" s="5" t="inlineStr">
        <is>
          <t>SP</t>
        </is>
      </c>
      <c r="F4357" s="5" t="inlineStr">
        <is>
          <t>Vivo Família 3</t>
        </is>
      </c>
      <c r="G4357" s="5" t="inlineStr">
        <is>
          <t>vivo:VIV202600034540</t>
        </is>
      </c>
      <c r="H4357" s="6" t="n">
        <v>340</v>
      </c>
      <c r="I4357" s="6" t="inlineStr"/>
      <c r="J4357" s="5" t="inlineStr"/>
      <c r="K4357" s="5" t="inlineStr"/>
      <c r="L4357" s="7" t="n">
        <v>180</v>
      </c>
      <c r="M4357" s="5" t="inlineStr">
        <is>
          <t>180 GB de franquia Você + 2 linhas adicionais Roaming Internacional com Vivo Travel Américas e Europa</t>
        </is>
      </c>
      <c r="N4357" s="5" t="inlineStr"/>
      <c r="O4357" s="5" t="inlineStr"/>
      <c r="P4357" s="5" t="inlineStr"/>
      <c r="Q4357" s="5" t="inlineStr"/>
      <c r="R4357" s="5" t="inlineStr"/>
      <c r="S4357" s="5" t="inlineStr"/>
      <c r="T4357" s="5" t="inlineStr">
        <is>
          <t>12 meses grátis de Gemini com AI Plus</t>
        </is>
      </c>
      <c r="U4357" s="5" t="inlineStr">
        <is>
          <t>https://vivo.com.br/para-voce/produtos-e-servicos/para-o-celular/planos-pos-pago</t>
        </is>
      </c>
      <c r="V4357" s="5" t="inlineStr">
        <is>
          <t>data/raw/vivo_postpaid_SP.html</t>
        </is>
      </c>
    </row>
    <row r="4358">
      <c r="A4358" s="2" t="inlineStr">
        <is>
          <t>2026-09-06</t>
        </is>
      </c>
      <c r="B4358" s="2" t="inlineStr">
        <is>
          <t>2026-09-06T19:39:36</t>
        </is>
      </c>
      <c r="C4358" s="2" t="inlineStr">
        <is>
          <t>vivo</t>
        </is>
      </c>
      <c r="D4358" s="2" t="inlineStr">
        <is>
          <t>postpaid</t>
        </is>
      </c>
      <c r="E4358" s="2" t="inlineStr">
        <is>
          <t>SP</t>
        </is>
      </c>
      <c r="F4358" s="2" t="inlineStr">
        <is>
          <t>Vivo Família 4</t>
        </is>
      </c>
      <c r="G4358" s="2" t="inlineStr">
        <is>
          <t>vivo:VIV202600034531</t>
        </is>
      </c>
      <c r="H4358" s="3" t="n">
        <v>430</v>
      </c>
      <c r="I4358" s="3" t="inlineStr"/>
      <c r="J4358" s="2" t="inlineStr"/>
      <c r="K4358" s="2" t="inlineStr"/>
      <c r="L4358" s="4" t="n">
        <v>240</v>
      </c>
      <c r="M4358" s="2" t="inlineStr">
        <is>
          <t>240 GB de franquia Você + 3 linhas adicionais Roaming Internacional com Vivo Travel Américas e Europa</t>
        </is>
      </c>
      <c r="N4358" s="2" t="inlineStr"/>
      <c r="O4358" s="2" t="inlineStr"/>
      <c r="P4358" s="2" t="inlineStr"/>
      <c r="Q4358" s="2" t="inlineStr"/>
      <c r="R4358" s="2" t="inlineStr"/>
      <c r="S4358" s="2" t="inlineStr"/>
      <c r="T4358" s="2" t="inlineStr">
        <is>
          <t>12 meses grátis de Gemini com AI Plus</t>
        </is>
      </c>
      <c r="U4358" s="2" t="inlineStr">
        <is>
          <t>https://vivo.com.br/para-voce/produtos-e-servicos/para-o-celular/planos-pos-pago</t>
        </is>
      </c>
      <c r="V4358" s="2" t="inlineStr">
        <is>
          <t>data/raw/vivo_postpaid_SP.html</t>
        </is>
      </c>
    </row>
    <row r="4359">
      <c r="A4359" s="5" t="inlineStr">
        <is>
          <t>2026-09-06</t>
        </is>
      </c>
      <c r="B4359" s="5" t="inlineStr">
        <is>
          <t>2026-09-06T19:39:36</t>
        </is>
      </c>
      <c r="C4359" s="5" t="inlineStr">
        <is>
          <t>vivo</t>
        </is>
      </c>
      <c r="D4359" s="5" t="inlineStr">
        <is>
          <t>postpaid</t>
        </is>
      </c>
      <c r="E4359" s="5" t="inlineStr">
        <is>
          <t>SP</t>
        </is>
      </c>
      <c r="F4359" s="5" t="inlineStr">
        <is>
          <t>Vivo Família 5</t>
        </is>
      </c>
      <c r="G4359" s="5" t="inlineStr">
        <is>
          <t>vivo:VIV202600034526</t>
        </is>
      </c>
      <c r="H4359" s="6" t="n">
        <v>530</v>
      </c>
      <c r="I4359" s="6" t="inlineStr"/>
      <c r="J4359" s="5" t="inlineStr"/>
      <c r="K4359" s="5" t="inlineStr"/>
      <c r="L4359" s="7" t="n">
        <v>300</v>
      </c>
      <c r="M4359" s="5" t="inlineStr">
        <is>
          <t>300 GB de franquia Você + 4 linhas adicionais Roaming Internacional com Vivo Travel Américas e Europa</t>
        </is>
      </c>
      <c r="N4359" s="5" t="inlineStr"/>
      <c r="O4359" s="5" t="inlineStr"/>
      <c r="P4359" s="5" t="inlineStr"/>
      <c r="Q4359" s="5" t="inlineStr"/>
      <c r="R4359" s="5" t="inlineStr"/>
      <c r="S4359" s="5" t="inlineStr"/>
      <c r="T4359" s="5" t="inlineStr">
        <is>
          <t>12 meses grátis de Gemini com AI Plus</t>
        </is>
      </c>
      <c r="U4359" s="5" t="inlineStr">
        <is>
          <t>https://vivo.com.br/para-voce/produtos-e-servicos/para-o-celular/planos-pos-pago</t>
        </is>
      </c>
      <c r="V4359" s="5" t="inlineStr">
        <is>
          <t>data/raw/vivo_postpaid_SP.html</t>
        </is>
      </c>
    </row>
    <row r="4360">
      <c r="A4360" s="2" t="inlineStr">
        <is>
          <t>2026-09-06</t>
        </is>
      </c>
      <c r="B4360" s="2" t="inlineStr">
        <is>
          <t>2026-09-06T19:39:36</t>
        </is>
      </c>
      <c r="C4360" s="2" t="inlineStr">
        <is>
          <t>vivo</t>
        </is>
      </c>
      <c r="D4360" s="2" t="inlineStr">
        <is>
          <t>postpaid</t>
        </is>
      </c>
      <c r="E4360" s="2" t="inlineStr">
        <is>
          <t>SP</t>
        </is>
      </c>
      <c r="F4360" s="2" t="inlineStr">
        <is>
          <t>Vivo Pós com Amazon</t>
        </is>
      </c>
      <c r="G4360" s="2" t="inlineStr">
        <is>
          <t>vivo:VIV202600034554</t>
        </is>
      </c>
      <c r="H4360" s="3" t="n">
        <v>150</v>
      </c>
      <c r="I4360" s="3" t="inlineStr"/>
      <c r="J4360" s="2" t="inlineStr"/>
      <c r="K4360" s="2" t="inlineStr"/>
      <c r="L4360" s="4" t="n">
        <v>60</v>
      </c>
      <c r="M4360" s="2" t="inlineStr">
        <is>
          <t>50 GB de franquia 10 GB de bônus</t>
        </is>
      </c>
      <c r="N4360" s="2" t="inlineStr"/>
      <c r="O4360" s="2" t="inlineStr"/>
      <c r="P4360" s="2" t="inlineStr"/>
      <c r="Q4360" s="2" t="inlineStr"/>
      <c r="R4360" s="2" t="inlineStr"/>
      <c r="S4360" s="2" t="inlineStr"/>
      <c r="T4360" s="2" t="inlineStr">
        <is>
          <t>Assinatura Amazon Prime inclusa</t>
        </is>
      </c>
      <c r="U4360" s="2" t="inlineStr">
        <is>
          <t>https://vivo.com.br/para-voce/produtos-e-servicos/para-o-celular/planos-pos-pago</t>
        </is>
      </c>
      <c r="V4360" s="2" t="inlineStr">
        <is>
          <t>data/raw/vivo_postpaid_SP.html</t>
        </is>
      </c>
    </row>
    <row r="4361">
      <c r="A4361" s="5" t="inlineStr">
        <is>
          <t>2026-09-06</t>
        </is>
      </c>
      <c r="B4361" s="5" t="inlineStr">
        <is>
          <t>2026-09-06T19:39:36</t>
        </is>
      </c>
      <c r="C4361" s="5" t="inlineStr">
        <is>
          <t>vivo</t>
        </is>
      </c>
      <c r="D4361" s="5" t="inlineStr">
        <is>
          <t>postpaid</t>
        </is>
      </c>
      <c r="E4361" s="5" t="inlineStr">
        <is>
          <t>SP</t>
        </is>
      </c>
      <c r="F4361" s="5" t="inlineStr">
        <is>
          <t>Vivo Pós com Disney+</t>
        </is>
      </c>
      <c r="G4361" s="5" t="inlineStr">
        <is>
          <t>vivo:VIV202600034532</t>
        </is>
      </c>
      <c r="H4361" s="6" t="n">
        <v>180</v>
      </c>
      <c r="I4361" s="6" t="inlineStr"/>
      <c r="J4361" s="5" t="inlineStr"/>
      <c r="K4361" s="5" t="inlineStr"/>
      <c r="L4361" s="7" t="n">
        <v>60</v>
      </c>
      <c r="M4361" s="5" t="inlineStr">
        <is>
          <t>50 GB de franquia 10 GB de bônus</t>
        </is>
      </c>
      <c r="N4361" s="5" t="inlineStr"/>
      <c r="O4361" s="5" t="inlineStr"/>
      <c r="P4361" s="5" t="inlineStr"/>
      <c r="Q4361" s="5" t="inlineStr"/>
      <c r="R4361" s="5" t="inlineStr">
        <is>
          <t>Disney+</t>
        </is>
      </c>
      <c r="S4361" s="5" t="inlineStr"/>
      <c r="T4361" s="5" t="inlineStr">
        <is>
          <t>Assinatura Disney+ Padrão inclusa</t>
        </is>
      </c>
      <c r="U4361" s="5" t="inlineStr">
        <is>
          <t>https://vivo.com.br/para-voce/produtos-e-servicos/para-o-celular/planos-pos-pago</t>
        </is>
      </c>
      <c r="V4361" s="5" t="inlineStr">
        <is>
          <t>data/raw/vivo_postpaid_SP.html</t>
        </is>
      </c>
    </row>
    <row r="4362">
      <c r="A4362" s="2" t="inlineStr">
        <is>
          <t>2026-09-06</t>
        </is>
      </c>
      <c r="B4362" s="2" t="inlineStr">
        <is>
          <t>2026-09-06T19:39:36</t>
        </is>
      </c>
      <c r="C4362" s="2" t="inlineStr">
        <is>
          <t>vivo</t>
        </is>
      </c>
      <c r="D4362" s="2" t="inlineStr">
        <is>
          <t>postpaid</t>
        </is>
      </c>
      <c r="E4362" s="2" t="inlineStr">
        <is>
          <t>SP</t>
        </is>
      </c>
      <c r="F4362" s="2" t="inlineStr">
        <is>
          <t>Vivo Pós com Globoplay</t>
        </is>
      </c>
      <c r="G4362" s="2" t="inlineStr">
        <is>
          <t>vivo:VIV202600034575</t>
        </is>
      </c>
      <c r="H4362" s="3" t="n">
        <v>165</v>
      </c>
      <c r="I4362" s="3" t="inlineStr"/>
      <c r="J4362" s="2" t="inlineStr"/>
      <c r="K4362" s="2" t="inlineStr"/>
      <c r="L4362" s="4" t="n">
        <v>60</v>
      </c>
      <c r="M4362" s="2" t="inlineStr">
        <is>
          <t>50 GB de franquia 10 GB de bônus</t>
        </is>
      </c>
      <c r="N4362" s="2" t="inlineStr"/>
      <c r="O4362" s="2" t="inlineStr"/>
      <c r="P4362" s="2" t="inlineStr"/>
      <c r="Q4362" s="2" t="inlineStr"/>
      <c r="R4362" s="2" t="inlineStr">
        <is>
          <t>Globoplay</t>
        </is>
      </c>
      <c r="S4362" s="2" t="inlineStr"/>
      <c r="T4362" s="2" t="inlineStr">
        <is>
          <t>Assinatura Globoplay inclusa</t>
        </is>
      </c>
      <c r="U4362" s="2" t="inlineStr">
        <is>
          <t>https://vivo.com.br/para-voce/produtos-e-servicos/para-o-celular/planos-pos-pago</t>
        </is>
      </c>
      <c r="V4362" s="2" t="inlineStr">
        <is>
          <t>data/raw/vivo_postpaid_SP.html</t>
        </is>
      </c>
    </row>
    <row r="4363">
      <c r="A4363" s="5" t="inlineStr">
        <is>
          <t>2026-09-06</t>
        </is>
      </c>
      <c r="B4363" s="5" t="inlineStr">
        <is>
          <t>2026-09-06T19:39:36</t>
        </is>
      </c>
      <c r="C4363" s="5" t="inlineStr">
        <is>
          <t>vivo</t>
        </is>
      </c>
      <c r="D4363" s="5" t="inlineStr">
        <is>
          <t>postpaid</t>
        </is>
      </c>
      <c r="E4363" s="5" t="inlineStr">
        <is>
          <t>SP</t>
        </is>
      </c>
      <c r="F4363" s="5" t="inlineStr">
        <is>
          <t>Vivo Pós com Netflix</t>
        </is>
      </c>
      <c r="G4363" s="5" t="inlineStr">
        <is>
          <t>vivo:VIV202600034562</t>
        </is>
      </c>
      <c r="H4363" s="6" t="n">
        <v>180</v>
      </c>
      <c r="I4363" s="6" t="inlineStr"/>
      <c r="J4363" s="5" t="inlineStr"/>
      <c r="K4363" s="5" t="inlineStr"/>
      <c r="L4363" s="7" t="n">
        <v>60</v>
      </c>
      <c r="M4363" s="5" t="inlineStr">
        <is>
          <t>50 GB de franquia 10 GB de bônus</t>
        </is>
      </c>
      <c r="N4363" s="5" t="inlineStr"/>
      <c r="O4363" s="5" t="inlineStr"/>
      <c r="P4363" s="5" t="inlineStr"/>
      <c r="Q4363" s="5" t="inlineStr"/>
      <c r="R4363" s="5" t="inlineStr">
        <is>
          <t>Netflix</t>
        </is>
      </c>
      <c r="S4363" s="5" t="inlineStr"/>
      <c r="T4363" s="5" t="inlineStr">
        <is>
          <t>Assinatura Netflix Padrão inclusa</t>
        </is>
      </c>
      <c r="U4363" s="5" t="inlineStr">
        <is>
          <t>https://vivo.com.br/para-voce/produtos-e-servicos/para-o-celular/planos-pos-pago</t>
        </is>
      </c>
      <c r="V4363" s="5" t="inlineStr">
        <is>
          <t>data/raw/vivo_postpaid_SP.html</t>
        </is>
      </c>
    </row>
    <row r="4364">
      <c r="A4364" s="2" t="inlineStr">
        <is>
          <t>2026-09-06</t>
        </is>
      </c>
      <c r="B4364" s="2" t="inlineStr">
        <is>
          <t>2026-09-06T19:39:36</t>
        </is>
      </c>
      <c r="C4364" s="2" t="inlineStr">
        <is>
          <t>vivo</t>
        </is>
      </c>
      <c r="D4364" s="2" t="inlineStr">
        <is>
          <t>postpaid</t>
        </is>
      </c>
      <c r="E4364" s="2" t="inlineStr">
        <is>
          <t>SP</t>
        </is>
      </c>
      <c r="F4364" s="2" t="inlineStr">
        <is>
          <t>Vivo Pós com Premiere</t>
        </is>
      </c>
      <c r="G4364" s="2" t="inlineStr">
        <is>
          <t>vivo:VIV202600034579</t>
        </is>
      </c>
      <c r="H4364" s="3" t="n">
        <v>180</v>
      </c>
      <c r="I4364" s="3" t="inlineStr"/>
      <c r="J4364" s="2" t="inlineStr"/>
      <c r="K4364" s="2" t="inlineStr"/>
      <c r="L4364" s="4" t="n">
        <v>60</v>
      </c>
      <c r="M4364" s="2" t="inlineStr">
        <is>
          <t>50 GB de franquia 10 GB de bônus</t>
        </is>
      </c>
      <c r="N4364" s="2" t="inlineStr"/>
      <c r="O4364" s="2" t="inlineStr"/>
      <c r="P4364" s="2" t="inlineStr"/>
      <c r="Q4364" s="2" t="inlineStr"/>
      <c r="R4364" s="2" t="inlineStr">
        <is>
          <t>Premiere</t>
        </is>
      </c>
      <c r="S4364" s="2" t="inlineStr"/>
      <c r="T4364" s="2" t="inlineStr">
        <is>
          <t>Assinatura Premiere inclusa</t>
        </is>
      </c>
      <c r="U4364" s="2" t="inlineStr">
        <is>
          <t>https://vivo.com.br/para-voce/produtos-e-servicos/para-o-celular/planos-pos-pago</t>
        </is>
      </c>
      <c r="V4364" s="2" t="inlineStr">
        <is>
          <t>data/raw/vivo_postpaid_SP.html</t>
        </is>
      </c>
    </row>
    <row r="4365">
      <c r="A4365" s="5" t="inlineStr">
        <is>
          <t>2026-09-06</t>
        </is>
      </c>
      <c r="B4365" s="5" t="inlineStr">
        <is>
          <t>2026-09-06T19:39:36</t>
        </is>
      </c>
      <c r="C4365" s="5" t="inlineStr">
        <is>
          <t>vivo</t>
        </is>
      </c>
      <c r="D4365" s="5" t="inlineStr">
        <is>
          <t>postpaid</t>
        </is>
      </c>
      <c r="E4365" s="5" t="inlineStr">
        <is>
          <t>SP</t>
        </is>
      </c>
      <c r="F4365" s="5" t="inlineStr">
        <is>
          <t>Vivo Pós com Spotify</t>
        </is>
      </c>
      <c r="G4365" s="5" t="inlineStr">
        <is>
          <t>vivo:VIV202600034556</t>
        </is>
      </c>
      <c r="H4365" s="6" t="n">
        <v>165</v>
      </c>
      <c r="I4365" s="6" t="inlineStr"/>
      <c r="J4365" s="5" t="inlineStr"/>
      <c r="K4365" s="5" t="inlineStr"/>
      <c r="L4365" s="7" t="n">
        <v>60</v>
      </c>
      <c r="M4365" s="5" t="inlineStr">
        <is>
          <t>50 GB de franquia 10 GB de bônus</t>
        </is>
      </c>
      <c r="N4365" s="5" t="inlineStr"/>
      <c r="O4365" s="5" t="inlineStr"/>
      <c r="P4365" s="5" t="inlineStr"/>
      <c r="Q4365" s="5" t="inlineStr"/>
      <c r="R4365" s="5" t="inlineStr">
        <is>
          <t>Spotify</t>
        </is>
      </c>
      <c r="S4365" s="5" t="inlineStr"/>
      <c r="T4365" s="5" t="inlineStr">
        <is>
          <t>Assinatura Spotify Premium inclusa</t>
        </is>
      </c>
      <c r="U4365" s="5" t="inlineStr">
        <is>
          <t>https://vivo.com.br/para-voce/produtos-e-servicos/para-o-celular/planos-pos-pago</t>
        </is>
      </c>
      <c r="V4365" s="5" t="inlineStr">
        <is>
          <t>data/raw/vivo_postpaid_SP.html</t>
        </is>
      </c>
    </row>
    <row r="4366">
      <c r="A4366" s="2" t="inlineStr">
        <is>
          <t>2026-09-06</t>
        </is>
      </c>
      <c r="B4366" s="2" t="inlineStr">
        <is>
          <t>2026-09-06T19:39:36</t>
        </is>
      </c>
      <c r="C4366" s="2" t="inlineStr">
        <is>
          <t>vivo</t>
        </is>
      </c>
      <c r="D4366" s="2" t="inlineStr">
        <is>
          <t>postpaid</t>
        </is>
      </c>
      <c r="E4366" s="2" t="inlineStr">
        <is>
          <t>SP</t>
        </is>
      </c>
      <c r="F4366" s="2" t="inlineStr">
        <is>
          <t>Vivo Pós com Travel</t>
        </is>
      </c>
      <c r="G4366" s="2" t="inlineStr">
        <is>
          <t>vivo:VIV202600034573</t>
        </is>
      </c>
      <c r="H4366" s="3" t="n">
        <v>215</v>
      </c>
      <c r="I4366" s="3" t="inlineStr"/>
      <c r="J4366" s="2" t="inlineStr"/>
      <c r="K4366" s="2" t="inlineStr"/>
      <c r="L4366" s="4" t="n">
        <v>70</v>
      </c>
      <c r="M4366" s="2" t="inlineStr">
        <is>
          <t>60 GB de franquia 10 GB de bônus</t>
        </is>
      </c>
      <c r="N4366" s="2" t="inlineStr"/>
      <c r="O4366" s="2" t="inlineStr"/>
      <c r="P4366" s="2" t="inlineStr"/>
      <c r="Q4366" s="2" t="inlineStr"/>
      <c r="R4366" s="2" t="inlineStr"/>
      <c r="S4366" s="2" t="inlineStr"/>
      <c r="T4366" s="2" t="inlineStr">
        <is>
          <t>6 meses grátis de Gemini com AI Plus</t>
        </is>
      </c>
      <c r="U4366" s="2" t="inlineStr">
        <is>
          <t>https://vivo.com.br/para-voce/produtos-e-servicos/para-o-celular/planos-pos-pago</t>
        </is>
      </c>
      <c r="V4366" s="2" t="inlineStr">
        <is>
          <t>data/raw/vivo_postpaid_SP.html</t>
        </is>
      </c>
    </row>
    <row r="4367">
      <c r="A4367" s="5" t="inlineStr">
        <is>
          <t>2026-09-06</t>
        </is>
      </c>
      <c r="B4367" s="5" t="inlineStr">
        <is>
          <t>2026-09-06T19:39:36</t>
        </is>
      </c>
      <c r="C4367" s="5" t="inlineStr">
        <is>
          <t>vivo</t>
        </is>
      </c>
      <c r="D4367" s="5" t="inlineStr">
        <is>
          <t>prepaid</t>
        </is>
      </c>
      <c r="E4367" s="5" t="inlineStr">
        <is>
          <t>SP</t>
        </is>
      </c>
      <c r="F4367" s="5" t="inlineStr">
        <is>
          <t>Vivo Pré</t>
        </is>
      </c>
      <c r="G4367" s="5" t="inlineStr">
        <is>
          <t>vivo:VIV202600029370-30d</t>
        </is>
      </c>
      <c r="H4367" s="6" t="n">
        <v>30</v>
      </c>
      <c r="I4367" s="6" t="inlineStr"/>
      <c r="J4367" s="5" t="inlineStr"/>
      <c r="K4367" s="5" t="inlineStr"/>
      <c r="L4367" s="7" t="n">
        <v>25</v>
      </c>
      <c r="M4367" s="5" t="inlineStr">
        <is>
          <t>15 GB para navegar como quiser 5 GB de bônus 5 GB para navegar no Youtube</t>
        </is>
      </c>
      <c r="N4367" s="5" t="n">
        <v>30</v>
      </c>
      <c r="O4367" s="5" t="inlineStr"/>
      <c r="P4367" s="5" t="inlineStr"/>
      <c r="Q4367" s="5" t="inlineStr"/>
      <c r="R4367" s="5" t="inlineStr"/>
      <c r="S4367" s="5" t="inlineStr"/>
      <c r="T4367" s="5" t="inlineStr"/>
      <c r="U4367" s="5" t="inlineStr">
        <is>
          <t>https://vivo.com.br/para-voce/produtos-e-servicos/para-o-celular/pre-pago/vivo-pre</t>
        </is>
      </c>
      <c r="V4367" s="5" t="inlineStr">
        <is>
          <t>data/raw/vivo_prepaid_SP.html</t>
        </is>
      </c>
    </row>
    <row r="4368">
      <c r="A4368" s="2" t="inlineStr">
        <is>
          <t>2026-09-06</t>
        </is>
      </c>
      <c r="B4368" s="2" t="inlineStr">
        <is>
          <t>2026-09-06T19:39:36</t>
        </is>
      </c>
      <c r="C4368" s="2" t="inlineStr">
        <is>
          <t>vivo</t>
        </is>
      </c>
      <c r="D4368" s="2" t="inlineStr">
        <is>
          <t>prepaid</t>
        </is>
      </c>
      <c r="E4368" s="2" t="inlineStr">
        <is>
          <t>SP</t>
        </is>
      </c>
      <c r="F4368" s="2" t="inlineStr">
        <is>
          <t>Vivo Pré</t>
        </is>
      </c>
      <c r="G4368" s="2" t="inlineStr">
        <is>
          <t>vivo:VIV202600029370-22d</t>
        </is>
      </c>
      <c r="H4368" s="3" t="n">
        <v>25</v>
      </c>
      <c r="I4368" s="3" t="inlineStr"/>
      <c r="J4368" s="2" t="inlineStr"/>
      <c r="K4368" s="2" t="inlineStr"/>
      <c r="L4368" s="4" t="n">
        <v>9</v>
      </c>
      <c r="M4368" s="2" t="inlineStr">
        <is>
          <t>6 GB para navegar como quiser 3 GB para navegar no YouTube</t>
        </is>
      </c>
      <c r="N4368" s="2" t="n">
        <v>22</v>
      </c>
      <c r="O4368" s="2" t="inlineStr"/>
      <c r="P4368" s="2" t="inlineStr"/>
      <c r="Q4368" s="2" t="inlineStr"/>
      <c r="R4368" s="2" t="inlineStr"/>
      <c r="S4368" s="2" t="inlineStr"/>
      <c r="T4368" s="2" t="inlineStr"/>
      <c r="U4368" s="2" t="inlineStr">
        <is>
          <t>https://vivo.com.br/para-voce/produtos-e-servicos/para-o-celular/pre-pago/vivo-pre</t>
        </is>
      </c>
      <c r="V4368" s="2" t="inlineStr">
        <is>
          <t>data/raw/vivo_prepaid_SP.html</t>
        </is>
      </c>
    </row>
    <row r="4369">
      <c r="A4369" s="5" t="inlineStr">
        <is>
          <t>2026-09-06</t>
        </is>
      </c>
      <c r="B4369" s="5" t="inlineStr">
        <is>
          <t>2026-09-06T19:39:36</t>
        </is>
      </c>
      <c r="C4369" s="5" t="inlineStr">
        <is>
          <t>vivo</t>
        </is>
      </c>
      <c r="D4369" s="5" t="inlineStr">
        <is>
          <t>prepaid</t>
        </is>
      </c>
      <c r="E4369" s="5" t="inlineStr">
        <is>
          <t>SP</t>
        </is>
      </c>
      <c r="F4369" s="5" t="inlineStr">
        <is>
          <t>Vivo Pré</t>
        </is>
      </c>
      <c r="G4369" s="5" t="inlineStr">
        <is>
          <t>vivo:VIV202600029370-17d</t>
        </is>
      </c>
      <c r="H4369" s="6" t="n">
        <v>20</v>
      </c>
      <c r="I4369" s="6" t="inlineStr"/>
      <c r="J4369" s="5" t="inlineStr"/>
      <c r="K4369" s="5" t="inlineStr"/>
      <c r="L4369" s="7" t="n">
        <v>5</v>
      </c>
      <c r="M4369" s="5" t="inlineStr">
        <is>
          <t>5 GB para navegar como quiser</t>
        </is>
      </c>
      <c r="N4369" s="5" t="n">
        <v>17</v>
      </c>
      <c r="O4369" s="5" t="inlineStr"/>
      <c r="P4369" s="5" t="inlineStr"/>
      <c r="Q4369" s="5" t="inlineStr"/>
      <c r="R4369" s="5" t="inlineStr"/>
      <c r="S4369" s="5" t="inlineStr"/>
      <c r="T4369" s="5" t="inlineStr"/>
      <c r="U4369" s="5" t="inlineStr">
        <is>
          <t>https://vivo.com.br/para-voce/produtos-e-servicos/para-o-celular/pre-pago/vivo-pre</t>
        </is>
      </c>
      <c r="V4369" s="5" t="inlineStr">
        <is>
          <t>data/raw/vivo_prepaid_SP.html</t>
        </is>
      </c>
    </row>
    <row r="4370">
      <c r="A4370" s="2" t="inlineStr">
        <is>
          <t>2026-09-06</t>
        </is>
      </c>
      <c r="B4370" s="2" t="inlineStr">
        <is>
          <t>2026-09-06T19:39:36</t>
        </is>
      </c>
      <c r="C4370" s="2" t="inlineStr">
        <is>
          <t>vivo</t>
        </is>
      </c>
      <c r="D4370" s="2" t="inlineStr">
        <is>
          <t>prepaid</t>
        </is>
      </c>
      <c r="E4370" s="2" t="inlineStr">
        <is>
          <t>SP</t>
        </is>
      </c>
      <c r="F4370" s="2" t="inlineStr">
        <is>
          <t>Vivo Pré</t>
        </is>
      </c>
      <c r="G4370" s="2" t="inlineStr">
        <is>
          <t>vivo:VIV202600029370-15d</t>
        </is>
      </c>
      <c r="H4370" s="3" t="n">
        <v>17</v>
      </c>
      <c r="I4370" s="3" t="inlineStr"/>
      <c r="J4370" s="2" t="inlineStr"/>
      <c r="K4370" s="2" t="inlineStr"/>
      <c r="L4370" s="4" t="n">
        <v>4</v>
      </c>
      <c r="M4370" s="2" t="inlineStr">
        <is>
          <t>4 GB para navegar como quiser</t>
        </is>
      </c>
      <c r="N4370" s="2" t="n">
        <v>15</v>
      </c>
      <c r="O4370" s="2" t="inlineStr"/>
      <c r="P4370" s="2" t="inlineStr"/>
      <c r="Q4370" s="2" t="inlineStr"/>
      <c r="R4370" s="2" t="inlineStr"/>
      <c r="S4370" s="2" t="inlineStr"/>
      <c r="T4370" s="2" t="inlineStr"/>
      <c r="U4370" s="2" t="inlineStr">
        <is>
          <t>https://vivo.com.br/para-voce/produtos-e-servicos/para-o-celular/pre-pago/vivo-pre</t>
        </is>
      </c>
      <c r="V4370" s="2" t="inlineStr">
        <is>
          <t>data/raw/vivo_prepaid_SP.html</t>
        </is>
      </c>
    </row>
    <row r="4371">
      <c r="A4371" s="5" t="inlineStr">
        <is>
          <t>2026-09-07</t>
        </is>
      </c>
      <c r="B4371" s="5" t="inlineStr">
        <is>
          <t>2026-09-07T20:15:39</t>
        </is>
      </c>
      <c r="C4371" s="5" t="inlineStr">
        <is>
          <t>claro</t>
        </is>
      </c>
      <c r="D4371" s="5" t="inlineStr">
        <is>
          <t>control</t>
        </is>
      </c>
      <c r="E4371" s="5" t="inlineStr">
        <is>
          <t>SP</t>
        </is>
      </c>
      <c r="F4371" s="5" t="inlineStr">
        <is>
          <t>Controle 25GB</t>
        </is>
      </c>
      <c r="G4371" s="5" t="inlineStr">
        <is>
          <t>claro:plano-controle-25gb</t>
        </is>
      </c>
      <c r="H4371" s="6" t="n">
        <v>59.9</v>
      </c>
      <c r="I4371" s="6" t="n">
        <v>54.9</v>
      </c>
      <c r="J4371" s="5" t="inlineStr">
        <is>
          <t>De R$ 59,90 Por:</t>
        </is>
      </c>
      <c r="K4371" s="5" t="inlineStr"/>
      <c r="L4371" s="7" t="n">
        <v>25</v>
      </c>
      <c r="M4371" s="5" t="inlineStr"/>
      <c r="N4371" s="5" t="inlineStr"/>
      <c r="O4371" s="5" t="inlineStr">
        <is>
          <t>WhatsApp</t>
        </is>
      </c>
      <c r="P4371" s="5" t="inlineStr"/>
      <c r="Q4371" s="5" t="inlineStr"/>
      <c r="R4371" s="5" t="inlineStr"/>
      <c r="S4371" s="5" t="inlineStr"/>
      <c r="T4371" s="5" t="inlineStr">
        <is>
          <t>Para uso livre; Para redes sociais e vídeos; Bônus exclusivo; Aproveite na sua franquia; WhatsApp e ligações ilimitadas</t>
        </is>
      </c>
      <c r="U4371" s="5" t="inlineStr">
        <is>
          <t>https://www.claro.com.br/celular/controle</t>
        </is>
      </c>
      <c r="V4371" s="5" t="inlineStr">
        <is>
          <t>data/raw/claro_control_SP.json</t>
        </is>
      </c>
    </row>
    <row r="4372">
      <c r="A4372" s="2" t="inlineStr">
        <is>
          <t>2026-09-07</t>
        </is>
      </c>
      <c r="B4372" s="2" t="inlineStr">
        <is>
          <t>2026-09-07T20:15:39</t>
        </is>
      </c>
      <c r="C4372" s="2" t="inlineStr">
        <is>
          <t>claro</t>
        </is>
      </c>
      <c r="D4372" s="2" t="inlineStr">
        <is>
          <t>control</t>
        </is>
      </c>
      <c r="E4372" s="2" t="inlineStr">
        <is>
          <t>SP</t>
        </is>
      </c>
      <c r="F4372" s="2" t="inlineStr">
        <is>
          <t>Controle 30GB</t>
        </is>
      </c>
      <c r="G4372" s="2" t="inlineStr">
        <is>
          <t>claro:plano-controle-30gb</t>
        </is>
      </c>
      <c r="H4372" s="3" t="n">
        <v>69.90000000000001</v>
      </c>
      <c r="I4372" s="3" t="inlineStr"/>
      <c r="J4372" s="2" t="inlineStr"/>
      <c r="K4372" s="2" t="inlineStr"/>
      <c r="L4372" s="4" t="n">
        <v>30</v>
      </c>
      <c r="M4372" s="2" t="inlineStr"/>
      <c r="N4372" s="2" t="inlineStr"/>
      <c r="O4372" s="2" t="inlineStr">
        <is>
          <t>WhatsApp</t>
        </is>
      </c>
      <c r="P4372" s="2" t="inlineStr"/>
      <c r="Q4372" s="2" t="inlineStr"/>
      <c r="R4372" s="2" t="inlineStr"/>
      <c r="S4372" s="2" t="inlineStr"/>
      <c r="T4372" s="2" t="inlineStr">
        <is>
          <t>Para uso livre; Bônus para uso livre; Bônus para redes sociais e apps; Assinatura Amazon Prime por 3 meses; Redes sociais e apps; WhatsApp ilimitado</t>
        </is>
      </c>
      <c r="U4372" s="2" t="inlineStr">
        <is>
          <t>https://www.claro.com.br/celular/controle</t>
        </is>
      </c>
      <c r="V4372" s="2" t="inlineStr">
        <is>
          <t>data/raw/claro_control_SP.json</t>
        </is>
      </c>
    </row>
    <row r="4373">
      <c r="A4373" s="5" t="inlineStr">
        <is>
          <t>2026-09-07</t>
        </is>
      </c>
      <c r="B4373" s="5" t="inlineStr">
        <is>
          <t>2026-09-07T20:15:39</t>
        </is>
      </c>
      <c r="C4373" s="5" t="inlineStr">
        <is>
          <t>claro</t>
        </is>
      </c>
      <c r="D4373" s="5" t="inlineStr">
        <is>
          <t>control</t>
        </is>
      </c>
      <c r="E4373" s="5" t="inlineStr">
        <is>
          <t>SP</t>
        </is>
      </c>
      <c r="F4373" s="5" t="inlineStr">
        <is>
          <t>Controle 30GB</t>
        </is>
      </c>
      <c r="G4373" s="5" t="inlineStr">
        <is>
          <t>claro:plano-controle-30gb-gaming</t>
        </is>
      </c>
      <c r="H4373" s="6" t="n">
        <v>99.90000000000001</v>
      </c>
      <c r="I4373" s="6" t="inlineStr"/>
      <c r="J4373" s="5" t="inlineStr"/>
      <c r="K4373" s="5" t="inlineStr"/>
      <c r="L4373" s="7" t="n">
        <v>30</v>
      </c>
      <c r="M4373" s="5" t="inlineStr"/>
      <c r="N4373" s="5" t="inlineStr"/>
      <c r="O4373" s="5" t="inlineStr">
        <is>
          <t>WhatsApp</t>
        </is>
      </c>
      <c r="P4373" s="5" t="inlineStr"/>
      <c r="Q4373" s="5" t="inlineStr"/>
      <c r="R4373" s="5" t="inlineStr"/>
      <c r="S4373" s="5" t="inlineStr"/>
      <c r="T4373" s="5" t="inlineStr">
        <is>
          <t>Para uso livre; Bônus para redes sociais e apps; Bônus uso livre; Assinatura Amazon Prime por 3 meses; Redes sociais e apps; WhatsApp ilimitado</t>
        </is>
      </c>
      <c r="U4373" s="5" t="inlineStr">
        <is>
          <t>https://www.claro.com.br/celular/controle</t>
        </is>
      </c>
      <c r="V4373" s="5" t="inlineStr">
        <is>
          <t>data/raw/claro_control_SP.json</t>
        </is>
      </c>
    </row>
    <row r="4374">
      <c r="A4374" s="2" t="inlineStr">
        <is>
          <t>2026-09-07</t>
        </is>
      </c>
      <c r="B4374" s="2" t="inlineStr">
        <is>
          <t>2026-09-07T20:15:39</t>
        </is>
      </c>
      <c r="C4374" s="2" t="inlineStr">
        <is>
          <t>claro</t>
        </is>
      </c>
      <c r="D4374" s="2" t="inlineStr">
        <is>
          <t>flex</t>
        </is>
      </c>
      <c r="E4374" s="2" t="inlineStr">
        <is>
          <t>SP</t>
        </is>
      </c>
      <c r="F4374" s="2" t="inlineStr">
        <is>
          <t>Flex 15GB</t>
        </is>
      </c>
      <c r="G4374" s="2" t="inlineStr">
        <is>
          <t>claro:plano-flex-15gb</t>
        </is>
      </c>
      <c r="H4374" s="3" t="n">
        <v>44.9</v>
      </c>
      <c r="I4374" s="3" t="inlineStr"/>
      <c r="J4374" s="2" t="inlineStr"/>
      <c r="K4374" s="2" t="inlineStr"/>
      <c r="L4374" s="4" t="n">
        <v>15</v>
      </c>
      <c r="M4374" s="2" t="inlineStr"/>
      <c r="N4374" s="2" t="inlineStr"/>
      <c r="O4374" s="2" t="inlineStr">
        <is>
          <t>WhatsApp</t>
        </is>
      </c>
      <c r="P4374" s="2" t="inlineStr"/>
      <c r="Q4374" s="2" t="inlineStr"/>
      <c r="R4374" s="2" t="inlineStr"/>
      <c r="S4374" s="2" t="inlineStr"/>
      <c r="T4374" s="2" t="inlineStr">
        <is>
          <t>Para uso livre; Para redes sociais e apps; Bônus extra nos apps; WhatsApp ilimitado</t>
        </is>
      </c>
      <c r="U4374" s="2" t="inlineStr">
        <is>
          <t>https://www.claro.com.br/celular/flex</t>
        </is>
      </c>
      <c r="V4374" s="2" t="inlineStr">
        <is>
          <t>data/raw/claro_flex_SP.json</t>
        </is>
      </c>
    </row>
    <row r="4375">
      <c r="A4375" s="5" t="inlineStr">
        <is>
          <t>2026-09-07</t>
        </is>
      </c>
      <c r="B4375" s="5" t="inlineStr">
        <is>
          <t>2026-09-07T20:15:39</t>
        </is>
      </c>
      <c r="C4375" s="5" t="inlineStr">
        <is>
          <t>claro</t>
        </is>
      </c>
      <c r="D4375" s="5" t="inlineStr">
        <is>
          <t>flex</t>
        </is>
      </c>
      <c r="E4375" s="5" t="inlineStr">
        <is>
          <t>SP</t>
        </is>
      </c>
      <c r="F4375" s="5" t="inlineStr">
        <is>
          <t>Flex 20GB</t>
        </is>
      </c>
      <c r="G4375" s="5" t="inlineStr">
        <is>
          <t>claro:plano-flex-20gb</t>
        </is>
      </c>
      <c r="H4375" s="6" t="n">
        <v>59.9</v>
      </c>
      <c r="I4375" s="6" t="inlineStr"/>
      <c r="J4375" s="5" t="inlineStr"/>
      <c r="K4375" s="5" t="inlineStr"/>
      <c r="L4375" s="7" t="n">
        <v>20</v>
      </c>
      <c r="M4375" s="5" t="inlineStr"/>
      <c r="N4375" s="5" t="inlineStr"/>
      <c r="O4375" s="5" t="inlineStr">
        <is>
          <t>WhatsApp</t>
        </is>
      </c>
      <c r="P4375" s="5" t="inlineStr"/>
      <c r="Q4375" s="5" t="inlineStr"/>
      <c r="R4375" s="5" t="inlineStr"/>
      <c r="S4375" s="5" t="inlineStr"/>
      <c r="T4375" s="5" t="inlineStr">
        <is>
          <t>Para uso livre; Para redes sociais e apps; Bônus extra nos apps; WhatsApp ilimitado</t>
        </is>
      </c>
      <c r="U4375" s="5" t="inlineStr">
        <is>
          <t>https://www.claro.com.br/celular/flex</t>
        </is>
      </c>
      <c r="V4375" s="5" t="inlineStr">
        <is>
          <t>data/raw/claro_flex_SP.json</t>
        </is>
      </c>
    </row>
    <row r="4376">
      <c r="A4376" s="2" t="inlineStr">
        <is>
          <t>2026-09-07</t>
        </is>
      </c>
      <c r="B4376" s="2" t="inlineStr">
        <is>
          <t>2026-09-07T20:15:39</t>
        </is>
      </c>
      <c r="C4376" s="2" t="inlineStr">
        <is>
          <t>claro</t>
        </is>
      </c>
      <c r="D4376" s="2" t="inlineStr">
        <is>
          <t>flex</t>
        </is>
      </c>
      <c r="E4376" s="2" t="inlineStr">
        <is>
          <t>SP</t>
        </is>
      </c>
      <c r="F4376" s="2" t="inlineStr">
        <is>
          <t>Flex 30GB</t>
        </is>
      </c>
      <c r="G4376" s="2" t="inlineStr">
        <is>
          <t>claro:plano-flex-30gb</t>
        </is>
      </c>
      <c r="H4376" s="3" t="n">
        <v>69.90000000000001</v>
      </c>
      <c r="I4376" s="3" t="inlineStr"/>
      <c r="J4376" s="2" t="inlineStr"/>
      <c r="K4376" s="2" t="inlineStr"/>
      <c r="L4376" s="4" t="n">
        <v>30</v>
      </c>
      <c r="M4376" s="2" t="inlineStr"/>
      <c r="N4376" s="2" t="inlineStr"/>
      <c r="O4376" s="2" t="inlineStr">
        <is>
          <t>WhatsApp</t>
        </is>
      </c>
      <c r="P4376" s="2" t="inlineStr"/>
      <c r="Q4376" s="2" t="inlineStr"/>
      <c r="R4376" s="2" t="inlineStr"/>
      <c r="S4376" s="2" t="inlineStr"/>
      <c r="T4376" s="2" t="inlineStr">
        <is>
          <t>Para uso livre; Para redes sociais e apps; Bônus extra nos apps; WhatsApp ilimitado; Assinatura Claro musica inclusa</t>
        </is>
      </c>
      <c r="U4376" s="2" t="inlineStr">
        <is>
          <t>https://www.claro.com.br/celular/flex</t>
        </is>
      </c>
      <c r="V4376" s="2" t="inlineStr">
        <is>
          <t>data/raw/claro_flex_SP.json</t>
        </is>
      </c>
    </row>
    <row r="4377">
      <c r="A4377" s="5" t="inlineStr">
        <is>
          <t>2026-09-07</t>
        </is>
      </c>
      <c r="B4377" s="5" t="inlineStr">
        <is>
          <t>2026-09-07T20:15:39</t>
        </is>
      </c>
      <c r="C4377" s="5" t="inlineStr">
        <is>
          <t>claro</t>
        </is>
      </c>
      <c r="D4377" s="5" t="inlineStr">
        <is>
          <t>flex</t>
        </is>
      </c>
      <c r="E4377" s="5" t="inlineStr">
        <is>
          <t>SP</t>
        </is>
      </c>
      <c r="F4377" s="5" t="inlineStr">
        <is>
          <t>Flex 40GB</t>
        </is>
      </c>
      <c r="G4377" s="5" t="inlineStr">
        <is>
          <t>claro:plano-flex-40gb</t>
        </is>
      </c>
      <c r="H4377" s="6" t="n">
        <v>119.9</v>
      </c>
      <c r="I4377" s="6" t="inlineStr"/>
      <c r="J4377" s="5" t="inlineStr"/>
      <c r="K4377" s="5" t="inlineStr"/>
      <c r="L4377" s="7" t="n">
        <v>40</v>
      </c>
      <c r="M4377" s="5" t="inlineStr"/>
      <c r="N4377" s="5" t="inlineStr"/>
      <c r="O4377" s="5" t="inlineStr">
        <is>
          <t>WhatsApp</t>
        </is>
      </c>
      <c r="P4377" s="5" t="inlineStr"/>
      <c r="Q4377" s="5" t="inlineStr"/>
      <c r="R4377" s="5" t="inlineStr"/>
      <c r="S4377" s="5" t="inlineStr"/>
      <c r="T4377" s="5" t="inlineStr">
        <is>
          <t>Para uso livre; WhatsApp ilimitado; Assinatura Claro musica inclusa; Roaming: Passaporte Américas</t>
        </is>
      </c>
      <c r="U4377" s="5" t="inlineStr">
        <is>
          <t>https://www.claro.com.br/celular/flex</t>
        </is>
      </c>
      <c r="V4377" s="5" t="inlineStr">
        <is>
          <t>data/raw/claro_flex_SP.json</t>
        </is>
      </c>
    </row>
    <row r="4378">
      <c r="A4378" s="2" t="inlineStr">
        <is>
          <t>2026-09-07</t>
        </is>
      </c>
      <c r="B4378" s="2" t="inlineStr">
        <is>
          <t>2026-09-07T20:15:39</t>
        </is>
      </c>
      <c r="C4378" s="2" t="inlineStr">
        <is>
          <t>claro</t>
        </is>
      </c>
      <c r="D4378" s="2" t="inlineStr">
        <is>
          <t>postpaid</t>
        </is>
      </c>
      <c r="E4378" s="2" t="inlineStr">
        <is>
          <t>SP</t>
        </is>
      </c>
      <c r="F4378" s="2" t="inlineStr">
        <is>
          <t>Pós 100GB</t>
        </is>
      </c>
      <c r="G4378" s="2" t="inlineStr">
        <is>
          <t>claro:plano-pos-100gb</t>
        </is>
      </c>
      <c r="H4378" s="3" t="n">
        <v>179.9</v>
      </c>
      <c r="I4378" s="3" t="inlineStr"/>
      <c r="J4378" s="2" t="inlineStr"/>
      <c r="K4378" s="2" t="inlineStr"/>
      <c r="L4378" s="4" t="n">
        <v>100</v>
      </c>
      <c r="M4378" s="2" t="inlineStr"/>
      <c r="N4378" s="2" t="inlineStr"/>
      <c r="O4378" s="2" t="inlineStr">
        <is>
          <t>WhatsApp</t>
        </is>
      </c>
      <c r="P4378" s="2" t="inlineStr"/>
      <c r="Q4378" s="2" t="inlineStr"/>
      <c r="R4378" s="2" t="inlineStr"/>
      <c r="S4378" s="2" t="inlineStr"/>
      <c r="T4378" s="2" t="inlineStr">
        <is>
          <t>Armazenamento na nuvem:; Google One ou iCloud+; WhatsApp ilimitado; Assinatura Amazon Prime por 3 meses; Roaming: Passaporte Américas; Claro Sync: Smartwatch conectado</t>
        </is>
      </c>
      <c r="U4378" s="2" t="inlineStr">
        <is>
          <t>https://www.claro.com.br/celular/pos</t>
        </is>
      </c>
      <c r="V4378" s="2" t="inlineStr">
        <is>
          <t>data/raw/claro_postpaid_SP.json</t>
        </is>
      </c>
    </row>
    <row r="4379">
      <c r="A4379" s="5" t="inlineStr">
        <is>
          <t>2026-09-07</t>
        </is>
      </c>
      <c r="B4379" s="5" t="inlineStr">
        <is>
          <t>2026-09-07T20:15:39</t>
        </is>
      </c>
      <c r="C4379" s="5" t="inlineStr">
        <is>
          <t>claro</t>
        </is>
      </c>
      <c r="D4379" s="5" t="inlineStr">
        <is>
          <t>postpaid</t>
        </is>
      </c>
      <c r="E4379" s="5" t="inlineStr">
        <is>
          <t>SP</t>
        </is>
      </c>
      <c r="F4379" s="5" t="inlineStr">
        <is>
          <t>Pós 150GB</t>
        </is>
      </c>
      <c r="G4379" s="5" t="inlineStr">
        <is>
          <t>claro:plano-pos-150gb</t>
        </is>
      </c>
      <c r="H4379" s="6" t="n">
        <v>239.9</v>
      </c>
      <c r="I4379" s="6" t="inlineStr"/>
      <c r="J4379" s="5" t="inlineStr"/>
      <c r="K4379" s="5" t="inlineStr"/>
      <c r="L4379" s="7" t="n">
        <v>150</v>
      </c>
      <c r="M4379" s="5" t="inlineStr"/>
      <c r="N4379" s="5" t="inlineStr"/>
      <c r="O4379" s="5" t="inlineStr">
        <is>
          <t>WhatsApp</t>
        </is>
      </c>
      <c r="P4379" s="5" t="inlineStr"/>
      <c r="Q4379" s="5" t="inlineStr"/>
      <c r="R4379" s="5" t="inlineStr"/>
      <c r="S4379" s="5" t="inlineStr"/>
      <c r="T4379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79" s="5" t="inlineStr">
        <is>
          <t>https://www.claro.com.br/celular/pos</t>
        </is>
      </c>
      <c r="V4379" s="5" t="inlineStr">
        <is>
          <t>data/raw/claro_postpaid_SP.json</t>
        </is>
      </c>
    </row>
    <row r="4380">
      <c r="A4380" s="2" t="inlineStr">
        <is>
          <t>2026-09-07</t>
        </is>
      </c>
      <c r="B4380" s="2" t="inlineStr">
        <is>
          <t>2026-09-07T20:15:39</t>
        </is>
      </c>
      <c r="C4380" s="2" t="inlineStr">
        <is>
          <t>claro</t>
        </is>
      </c>
      <c r="D4380" s="2" t="inlineStr">
        <is>
          <t>postpaid</t>
        </is>
      </c>
      <c r="E4380" s="2" t="inlineStr">
        <is>
          <t>SP</t>
        </is>
      </c>
      <c r="F4380" s="2" t="inlineStr">
        <is>
          <t>Pós 200GB</t>
        </is>
      </c>
      <c r="G4380" s="2" t="inlineStr">
        <is>
          <t>claro:plano-pos-200gb</t>
        </is>
      </c>
      <c r="H4380" s="3" t="n">
        <v>339.9</v>
      </c>
      <c r="I4380" s="3" t="inlineStr"/>
      <c r="J4380" s="2" t="inlineStr"/>
      <c r="K4380" s="2" t="inlineStr"/>
      <c r="L4380" s="4" t="n">
        <v>200</v>
      </c>
      <c r="M4380" s="2" t="inlineStr"/>
      <c r="N4380" s="2" t="inlineStr"/>
      <c r="O4380" s="2" t="inlineStr">
        <is>
          <t>WhatsApp</t>
        </is>
      </c>
      <c r="P4380" s="2" t="inlineStr"/>
      <c r="Q4380" s="2" t="inlineStr"/>
      <c r="R4380" s="2" t="inlineStr"/>
      <c r="S4380" s="2" t="inlineStr"/>
      <c r="T4380" s="2" t="inlineStr">
        <is>
          <t>Armazenamento na nuvem:; Google One (AI Plus) ou iCloud+; WhatsApp ilimitado; Assinatura Amazon Prime por 3 meses; Roaming: Passaporte Mundo; Claro Sync: Smartwatch conectado</t>
        </is>
      </c>
      <c r="U4380" s="2" t="inlineStr">
        <is>
          <t>https://www.claro.com.br/celular/pos</t>
        </is>
      </c>
      <c r="V4380" s="2" t="inlineStr">
        <is>
          <t>data/raw/claro_postpaid_SP.json</t>
        </is>
      </c>
    </row>
    <row r="4381">
      <c r="A4381" s="5" t="inlineStr">
        <is>
          <t>2026-09-07</t>
        </is>
      </c>
      <c r="B4381" s="5" t="inlineStr">
        <is>
          <t>2026-09-07T20:15:39</t>
        </is>
      </c>
      <c r="C4381" s="5" t="inlineStr">
        <is>
          <t>claro</t>
        </is>
      </c>
      <c r="D4381" s="5" t="inlineStr">
        <is>
          <t>postpaid</t>
        </is>
      </c>
      <c r="E4381" s="5" t="inlineStr">
        <is>
          <t>SP</t>
        </is>
      </c>
      <c r="F4381" s="5" t="inlineStr">
        <is>
          <t>Pós 50GB com GeForce NOW</t>
        </is>
      </c>
      <c r="G4381" s="5" t="inlineStr">
        <is>
          <t>claro:plano-pos-60gb-geforce</t>
        </is>
      </c>
      <c r="H4381" s="6" t="n">
        <v>164.9</v>
      </c>
      <c r="I4381" s="6" t="inlineStr"/>
      <c r="J4381" s="5" t="inlineStr"/>
      <c r="K4381" s="5" t="inlineStr"/>
      <c r="L4381" s="7" t="n">
        <v>50</v>
      </c>
      <c r="M4381" s="5" t="inlineStr"/>
      <c r="N4381" s="5" t="inlineStr"/>
      <c r="O4381" s="5" t="inlineStr">
        <is>
          <t>WhatsApp</t>
        </is>
      </c>
      <c r="P4381" s="5" t="inlineStr"/>
      <c r="Q4381" s="5" t="inlineStr"/>
      <c r="R4381" s="5" t="inlineStr"/>
      <c r="S4381" s="5" t="inlineStr"/>
      <c r="T438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81" s="5" t="inlineStr">
        <is>
          <t>https://www.claro.com.br/celular/pos</t>
        </is>
      </c>
      <c r="V4381" s="5" t="inlineStr">
        <is>
          <t>data/raw/claro_postpaid_SP.json</t>
        </is>
      </c>
    </row>
    <row r="4382">
      <c r="A4382" s="2" t="inlineStr">
        <is>
          <t>2026-09-07</t>
        </is>
      </c>
      <c r="B4382" s="2" t="inlineStr">
        <is>
          <t>2026-09-07T20:15:39</t>
        </is>
      </c>
      <c r="C4382" s="2" t="inlineStr">
        <is>
          <t>claro</t>
        </is>
      </c>
      <c r="D4382" s="2" t="inlineStr">
        <is>
          <t>postpaid</t>
        </is>
      </c>
      <c r="E4382" s="2" t="inlineStr">
        <is>
          <t>SP</t>
        </is>
      </c>
      <c r="F4382" s="2" t="inlineStr">
        <is>
          <t>Pós 60GB</t>
        </is>
      </c>
      <c r="G4382" s="2" t="inlineStr">
        <is>
          <t>claro:plano-pos-60gb</t>
        </is>
      </c>
      <c r="H4382" s="3" t="n">
        <v>124.9</v>
      </c>
      <c r="I4382" s="3" t="inlineStr"/>
      <c r="J4382" s="2" t="inlineStr"/>
      <c r="K4382" s="2" t="inlineStr"/>
      <c r="L4382" s="4" t="n">
        <v>60</v>
      </c>
      <c r="M4382" s="2" t="inlineStr"/>
      <c r="N4382" s="2" t="inlineStr"/>
      <c r="O4382" s="2" t="inlineStr">
        <is>
          <t>WhatsApp</t>
        </is>
      </c>
      <c r="P4382" s="2" t="inlineStr"/>
      <c r="Q4382" s="2" t="inlineStr"/>
      <c r="R4382" s="2" t="inlineStr"/>
      <c r="S4382" s="2" t="inlineStr"/>
      <c r="T4382" s="2" t="inlineStr">
        <is>
          <t>Armazenamento na nuvem:; Google One ou iCloud+; WhatsApp ilimitado; Assinatura Amazon Prime por 3 meses; Roaming: Passaporte Américas; Claro Sync: Smartwatch conectado</t>
        </is>
      </c>
      <c r="U4382" s="2" t="inlineStr">
        <is>
          <t>https://www.claro.com.br/celular/pos</t>
        </is>
      </c>
      <c r="V4382" s="2" t="inlineStr">
        <is>
          <t>data/raw/claro_postpaid_SP.json</t>
        </is>
      </c>
    </row>
    <row r="4383">
      <c r="A4383" s="5" t="inlineStr">
        <is>
          <t>2026-09-07</t>
        </is>
      </c>
      <c r="B4383" s="5" t="inlineStr">
        <is>
          <t>2026-09-07T20:15:39</t>
        </is>
      </c>
      <c r="C4383" s="5" t="inlineStr">
        <is>
          <t>claro</t>
        </is>
      </c>
      <c r="D4383" s="5" t="inlineStr">
        <is>
          <t>prepaid</t>
        </is>
      </c>
      <c r="E4383" s="5" t="inlineStr">
        <is>
          <t>SP</t>
        </is>
      </c>
      <c r="F4383" s="5" t="inlineStr">
        <is>
          <t>Prezão 10GB (25 dias)</t>
        </is>
      </c>
      <c r="G4383" s="5" t="inlineStr">
        <is>
          <t>claro:prezao-25d-10gb</t>
        </is>
      </c>
      <c r="H4383" s="6" t="n">
        <v>25</v>
      </c>
      <c r="I4383" s="6" t="inlineStr"/>
      <c r="J4383" s="5" t="inlineStr">
        <is>
          <t>recarga Prezão R$25 — validade 25 dias</t>
        </is>
      </c>
      <c r="K4383" s="5" t="inlineStr"/>
      <c r="L4383" s="7" t="n">
        <v>10</v>
      </c>
      <c r="M4383" s="5" t="inlineStr"/>
      <c r="N4383" s="5" t="n">
        <v>25</v>
      </c>
      <c r="O4383" s="5" t="inlineStr"/>
      <c r="P4383" s="5" t="inlineStr"/>
      <c r="Q4383" s="5" t="inlineStr"/>
      <c r="R4383" s="5" t="inlineStr"/>
      <c r="S4383" s="5" t="inlineStr"/>
      <c r="T4383" s="5" t="inlineStr"/>
      <c r="U4383" s="5" t="inlineStr">
        <is>
          <t>https://www.claro.com.br/celular/planos-pre/prezao</t>
        </is>
      </c>
      <c r="V4383" s="5" t="inlineStr">
        <is>
          <t>data/raw/claro_prepaid_SP.json</t>
        </is>
      </c>
    </row>
    <row r="4384">
      <c r="A4384" s="2" t="inlineStr">
        <is>
          <t>2026-09-07</t>
        </is>
      </c>
      <c r="B4384" s="2" t="inlineStr">
        <is>
          <t>2026-09-07T20:15:39</t>
        </is>
      </c>
      <c r="C4384" s="2" t="inlineStr">
        <is>
          <t>claro</t>
        </is>
      </c>
      <c r="D4384" s="2" t="inlineStr">
        <is>
          <t>prepaid</t>
        </is>
      </c>
      <c r="E4384" s="2" t="inlineStr">
        <is>
          <t>SP</t>
        </is>
      </c>
      <c r="F4384" s="2" t="inlineStr">
        <is>
          <t>Prezão 12GB (30 dias)</t>
        </is>
      </c>
      <c r="G4384" s="2" t="inlineStr">
        <is>
          <t>claro:prezao-30d-12gb</t>
        </is>
      </c>
      <c r="H4384" s="3" t="n">
        <v>30</v>
      </c>
      <c r="I4384" s="3" t="inlineStr"/>
      <c r="J4384" s="2" t="inlineStr">
        <is>
          <t>recarga Prezão R$30 — validade 30 dias</t>
        </is>
      </c>
      <c r="K4384" s="2" t="inlineStr"/>
      <c r="L4384" s="4" t="n">
        <v>12</v>
      </c>
      <c r="M4384" s="2" t="inlineStr"/>
      <c r="N4384" s="2" t="n">
        <v>30</v>
      </c>
      <c r="O4384" s="2" t="inlineStr"/>
      <c r="P4384" s="2" t="inlineStr"/>
      <c r="Q4384" s="2" t="inlineStr"/>
      <c r="R4384" s="2" t="inlineStr"/>
      <c r="S4384" s="2" t="inlineStr"/>
      <c r="T4384" s="2" t="inlineStr"/>
      <c r="U4384" s="2" t="inlineStr">
        <is>
          <t>https://www.claro.com.br/celular/planos-pre/prezao</t>
        </is>
      </c>
      <c r="V4384" s="2" t="inlineStr">
        <is>
          <t>data/raw/claro_prepaid_SP.json</t>
        </is>
      </c>
    </row>
    <row r="4385">
      <c r="A4385" s="5" t="inlineStr">
        <is>
          <t>2026-09-07</t>
        </is>
      </c>
      <c r="B4385" s="5" t="inlineStr">
        <is>
          <t>2026-09-07T20:15:39</t>
        </is>
      </c>
      <c r="C4385" s="5" t="inlineStr">
        <is>
          <t>claro</t>
        </is>
      </c>
      <c r="D4385" s="5" t="inlineStr">
        <is>
          <t>prepaid</t>
        </is>
      </c>
      <c r="E4385" s="5" t="inlineStr">
        <is>
          <t>SP</t>
        </is>
      </c>
      <c r="F4385" s="5" t="inlineStr">
        <is>
          <t>Prezão 4GB (12 dias)</t>
        </is>
      </c>
      <c r="G4385" s="5" t="inlineStr">
        <is>
          <t>claro:prezao-12d-4gb</t>
        </is>
      </c>
      <c r="H4385" s="6" t="n">
        <v>15</v>
      </c>
      <c r="I4385" s="6" t="inlineStr"/>
      <c r="J4385" s="5" t="inlineStr">
        <is>
          <t>recarga Prezão R$15 — validade 12 dias</t>
        </is>
      </c>
      <c r="K4385" s="5" t="inlineStr"/>
      <c r="L4385" s="7" t="n">
        <v>4</v>
      </c>
      <c r="M4385" s="5" t="inlineStr"/>
      <c r="N4385" s="5" t="n">
        <v>12</v>
      </c>
      <c r="O4385" s="5" t="inlineStr"/>
      <c r="P4385" s="5" t="inlineStr"/>
      <c r="Q4385" s="5" t="inlineStr"/>
      <c r="R4385" s="5" t="inlineStr"/>
      <c r="S4385" s="5" t="inlineStr"/>
      <c r="T4385" s="5" t="inlineStr"/>
      <c r="U4385" s="5" t="inlineStr">
        <is>
          <t>https://www.claro.com.br/celular/planos-pre/prezao</t>
        </is>
      </c>
      <c r="V4385" s="5" t="inlineStr">
        <is>
          <t>data/raw/claro_prepaid_SP.json</t>
        </is>
      </c>
    </row>
    <row r="4386">
      <c r="A4386" s="2" t="inlineStr">
        <is>
          <t>2026-09-07</t>
        </is>
      </c>
      <c r="B4386" s="2" t="inlineStr">
        <is>
          <t>2026-09-07T20:15:39</t>
        </is>
      </c>
      <c r="C4386" s="2" t="inlineStr">
        <is>
          <t>claro</t>
        </is>
      </c>
      <c r="D4386" s="2" t="inlineStr">
        <is>
          <t>prepaid</t>
        </is>
      </c>
      <c r="E4386" s="2" t="inlineStr">
        <is>
          <t>SP</t>
        </is>
      </c>
      <c r="F4386" s="2" t="inlineStr">
        <is>
          <t>Prezão 5GB (15 dias)</t>
        </is>
      </c>
      <c r="G4386" s="2" t="inlineStr">
        <is>
          <t>claro:prezao-15d-5gb</t>
        </is>
      </c>
      <c r="H4386" s="3" t="n">
        <v>15</v>
      </c>
      <c r="I4386" s="3" t="inlineStr"/>
      <c r="J4386" s="2" t="inlineStr">
        <is>
          <t>recarga Prezão R$15 — validade 15 dias</t>
        </is>
      </c>
      <c r="K4386" s="2" t="inlineStr"/>
      <c r="L4386" s="4" t="n">
        <v>5</v>
      </c>
      <c r="M4386" s="2" t="inlineStr"/>
      <c r="N4386" s="2" t="n">
        <v>15</v>
      </c>
      <c r="O4386" s="2" t="inlineStr"/>
      <c r="P4386" s="2" t="inlineStr"/>
      <c r="Q4386" s="2" t="inlineStr"/>
      <c r="R4386" s="2" t="inlineStr"/>
      <c r="S4386" s="2" t="inlineStr"/>
      <c r="T4386" s="2" t="inlineStr"/>
      <c r="U4386" s="2" t="inlineStr">
        <is>
          <t>https://www.claro.com.br/celular/planos-pre/prezao</t>
        </is>
      </c>
      <c r="V4386" s="2" t="inlineStr">
        <is>
          <t>data/raw/claro_prepaid_SP.json</t>
        </is>
      </c>
    </row>
    <row r="4387">
      <c r="A4387" s="5" t="inlineStr">
        <is>
          <t>2026-09-07</t>
        </is>
      </c>
      <c r="B4387" s="5" t="inlineStr">
        <is>
          <t>2026-09-07T20:15:39</t>
        </is>
      </c>
      <c r="C4387" s="5" t="inlineStr">
        <is>
          <t>claro</t>
        </is>
      </c>
      <c r="D4387" s="5" t="inlineStr">
        <is>
          <t>prepaid</t>
        </is>
      </c>
      <c r="E4387" s="5" t="inlineStr">
        <is>
          <t>SP</t>
        </is>
      </c>
      <c r="F4387" s="5" t="inlineStr">
        <is>
          <t>Prezão 6GB (20 dias)</t>
        </is>
      </c>
      <c r="G4387" s="5" t="inlineStr">
        <is>
          <t>claro:prezao-20d-6gb</t>
        </is>
      </c>
      <c r="H4387" s="6" t="n">
        <v>20</v>
      </c>
      <c r="I4387" s="6" t="inlineStr"/>
      <c r="J4387" s="5" t="inlineStr">
        <is>
          <t>recarga Prezão R$20 — validade 20 dias</t>
        </is>
      </c>
      <c r="K4387" s="5" t="inlineStr"/>
      <c r="L4387" s="7" t="n">
        <v>6</v>
      </c>
      <c r="M4387" s="5" t="inlineStr"/>
      <c r="N4387" s="5" t="n">
        <v>20</v>
      </c>
      <c r="O4387" s="5" t="inlineStr"/>
      <c r="P4387" s="5" t="inlineStr"/>
      <c r="Q4387" s="5" t="inlineStr"/>
      <c r="R4387" s="5" t="inlineStr"/>
      <c r="S4387" s="5" t="inlineStr"/>
      <c r="T4387" s="5" t="inlineStr"/>
      <c r="U4387" s="5" t="inlineStr">
        <is>
          <t>https://www.claro.com.br/celular/planos-pre/prezao</t>
        </is>
      </c>
      <c r="V4387" s="5" t="inlineStr">
        <is>
          <t>data/raw/claro_prepaid_SP.json</t>
        </is>
      </c>
    </row>
    <row r="4388">
      <c r="A4388" s="2" t="inlineStr">
        <is>
          <t>2026-09-07</t>
        </is>
      </c>
      <c r="B4388" s="2" t="inlineStr">
        <is>
          <t>2026-09-07T20:15:39</t>
        </is>
      </c>
      <c r="C4388" s="2" t="inlineStr">
        <is>
          <t>claro</t>
        </is>
      </c>
      <c r="D4388" s="2" t="inlineStr">
        <is>
          <t>prepaid</t>
        </is>
      </c>
      <c r="E4388" s="2" t="inlineStr">
        <is>
          <t>SP</t>
        </is>
      </c>
      <c r="F4388" s="2" t="inlineStr">
        <is>
          <t>Prezão 8GB (20 dias)</t>
        </is>
      </c>
      <c r="G4388" s="2" t="inlineStr">
        <is>
          <t>claro:prezao-20d-8gb</t>
        </is>
      </c>
      <c r="H4388" s="3" t="n">
        <v>20</v>
      </c>
      <c r="I4388" s="3" t="inlineStr"/>
      <c r="J4388" s="2" t="inlineStr">
        <is>
          <t>recarga Prezão R$20 — validade 20 dias</t>
        </is>
      </c>
      <c r="K4388" s="2" t="inlineStr"/>
      <c r="L4388" s="4" t="n">
        <v>8</v>
      </c>
      <c r="M4388" s="2" t="inlineStr"/>
      <c r="N4388" s="2" t="n">
        <v>20</v>
      </c>
      <c r="O4388" s="2" t="inlineStr"/>
      <c r="P4388" s="2" t="inlineStr"/>
      <c r="Q4388" s="2" t="inlineStr"/>
      <c r="R4388" s="2" t="inlineStr"/>
      <c r="S4388" s="2" t="inlineStr"/>
      <c r="T4388" s="2" t="inlineStr"/>
      <c r="U4388" s="2" t="inlineStr">
        <is>
          <t>https://www.claro.com.br/celular/planos-pre/prezao</t>
        </is>
      </c>
      <c r="V4388" s="2" t="inlineStr">
        <is>
          <t>data/raw/claro_prepaid_SP.json</t>
        </is>
      </c>
    </row>
    <row r="4389">
      <c r="A4389" s="5" t="inlineStr">
        <is>
          <t>2026-09-07</t>
        </is>
      </c>
      <c r="B4389" s="5" t="inlineStr">
        <is>
          <t>2026-09-07T20:15:39</t>
        </is>
      </c>
      <c r="C4389" s="5" t="inlineStr">
        <is>
          <t>claro</t>
        </is>
      </c>
      <c r="D4389" s="5" t="inlineStr">
        <is>
          <t>prepaid</t>
        </is>
      </c>
      <c r="E4389" s="5" t="inlineStr">
        <is>
          <t>SP</t>
        </is>
      </c>
      <c r="F4389" s="5" t="inlineStr">
        <is>
          <t>Prezão 9GB (25 dias)</t>
        </is>
      </c>
      <c r="G4389" s="5" t="inlineStr">
        <is>
          <t>claro:prezao-25d-9gb</t>
        </is>
      </c>
      <c r="H4389" s="6" t="n">
        <v>25</v>
      </c>
      <c r="I4389" s="6" t="inlineStr"/>
      <c r="J4389" s="5" t="inlineStr">
        <is>
          <t>recarga Prezão R$25 — validade 25 dias</t>
        </is>
      </c>
      <c r="K4389" s="5" t="inlineStr"/>
      <c r="L4389" s="7" t="n">
        <v>9</v>
      </c>
      <c r="M4389" s="5" t="inlineStr"/>
      <c r="N4389" s="5" t="n">
        <v>25</v>
      </c>
      <c r="O4389" s="5" t="inlineStr"/>
      <c r="P4389" s="5" t="inlineStr"/>
      <c r="Q4389" s="5" t="inlineStr"/>
      <c r="R4389" s="5" t="inlineStr"/>
      <c r="S4389" s="5" t="inlineStr"/>
      <c r="T4389" s="5" t="inlineStr"/>
      <c r="U4389" s="5" t="inlineStr">
        <is>
          <t>https://www.claro.com.br/celular/planos-pre/prezao</t>
        </is>
      </c>
      <c r="V4389" s="5" t="inlineStr">
        <is>
          <t>data/raw/claro_prepaid_SP.json</t>
        </is>
      </c>
    </row>
    <row r="4390">
      <c r="A4390" s="2" t="inlineStr">
        <is>
          <t>2026-09-07</t>
        </is>
      </c>
      <c r="B4390" s="2" t="inlineStr">
        <is>
          <t>2026-09-07T20:15:39</t>
        </is>
      </c>
      <c r="C4390" s="2" t="inlineStr">
        <is>
          <t>tim</t>
        </is>
      </c>
      <c r="D4390" s="2" t="inlineStr">
        <is>
          <t>control</t>
        </is>
      </c>
      <c r="E4390" s="2" t="inlineStr">
        <is>
          <t>SP</t>
        </is>
      </c>
      <c r="F4390" s="2" t="inlineStr">
        <is>
          <t>TIM Controle 45GB</t>
        </is>
      </c>
      <c r="G4390" s="2" t="inlineStr">
        <is>
          <t>tim:182766</t>
        </is>
      </c>
      <c r="H4390" s="3" t="n">
        <v>49.99</v>
      </c>
      <c r="I4390" s="3" t="inlineStr"/>
      <c r="J4390" s="2" t="inlineStr"/>
      <c r="K4390" s="2" t="inlineStr"/>
      <c r="L4390" s="4" t="n">
        <v>45</v>
      </c>
      <c r="M4390" s="2" t="inlineStr"/>
      <c r="N4390" s="2" t="inlineStr"/>
      <c r="O4390" s="2" t="inlineStr"/>
      <c r="P4390" s="2" t="inlineStr"/>
      <c r="Q4390" s="2" t="inlineStr"/>
      <c r="R4390" s="2" t="inlineStr"/>
      <c r="S4390" s="2" t="inlineStr"/>
      <c r="T4390" s="2" t="inlineStr"/>
      <c r="U4390" s="2" t="inlineStr">
        <is>
          <t>https://www.tim.com.br/sp/para-voce/planos/controle</t>
        </is>
      </c>
      <c r="V4390" s="2" t="inlineStr">
        <is>
          <t>data/raw/tim_control_SP.html</t>
        </is>
      </c>
    </row>
    <row r="4391">
      <c r="A4391" s="5" t="inlineStr">
        <is>
          <t>2026-09-07</t>
        </is>
      </c>
      <c r="B4391" s="5" t="inlineStr">
        <is>
          <t>2026-09-07T20:15:39</t>
        </is>
      </c>
      <c r="C4391" s="5" t="inlineStr">
        <is>
          <t>tim</t>
        </is>
      </c>
      <c r="D4391" s="5" t="inlineStr">
        <is>
          <t>control</t>
        </is>
      </c>
      <c r="E4391" s="5" t="inlineStr">
        <is>
          <t>SP</t>
        </is>
      </c>
      <c r="F4391" s="5" t="inlineStr">
        <is>
          <t>TIM Controle Light Express 45GB</t>
        </is>
      </c>
      <c r="G4391" s="5" t="inlineStr">
        <is>
          <t>tim:167726</t>
        </is>
      </c>
      <c r="H4391" s="6" t="n">
        <v>60.99</v>
      </c>
      <c r="I4391" s="6" t="inlineStr"/>
      <c r="J4391" s="5" t="inlineStr"/>
      <c r="K4391" s="5" t="inlineStr"/>
      <c r="L4391" s="7" t="n">
        <v>45</v>
      </c>
      <c r="M4391" s="5" t="inlineStr"/>
      <c r="N4391" s="5" t="inlineStr"/>
      <c r="O4391" s="5" t="inlineStr"/>
      <c r="P4391" s="5" t="inlineStr"/>
      <c r="Q4391" s="5" t="inlineStr"/>
      <c r="R4391" s="5" t="inlineStr"/>
      <c r="S4391" s="5" t="inlineStr"/>
      <c r="T4391" s="5" t="inlineStr"/>
      <c r="U4391" s="5" t="inlineStr">
        <is>
          <t>https://www.tim.com.br/sp/para-voce/planos/controle</t>
        </is>
      </c>
      <c r="V4391" s="5" t="inlineStr">
        <is>
          <t>data/raw/tim_control_SP.html</t>
        </is>
      </c>
    </row>
    <row r="4392">
      <c r="A4392" s="2" t="inlineStr">
        <is>
          <t>2026-09-07</t>
        </is>
      </c>
      <c r="B4392" s="2" t="inlineStr">
        <is>
          <t>2026-09-07T20:15:39</t>
        </is>
      </c>
      <c r="C4392" s="2" t="inlineStr">
        <is>
          <t>tim</t>
        </is>
      </c>
      <c r="D4392" s="2" t="inlineStr">
        <is>
          <t>control</t>
        </is>
      </c>
      <c r="E4392" s="2" t="inlineStr">
        <is>
          <t>SP</t>
        </is>
      </c>
      <c r="F4392" s="2" t="inlineStr">
        <is>
          <t>TIM Controle Premium 55GB</t>
        </is>
      </c>
      <c r="G4392" s="2" t="inlineStr">
        <is>
          <t>tim:180756</t>
        </is>
      </c>
      <c r="H4392" s="3" t="n">
        <v>69.98999999999999</v>
      </c>
      <c r="I4392" s="3" t="inlineStr"/>
      <c r="J4392" s="2" t="inlineStr"/>
      <c r="K4392" s="2" t="inlineStr"/>
      <c r="L4392" s="4" t="n">
        <v>55</v>
      </c>
      <c r="M4392" s="2" t="inlineStr"/>
      <c r="N4392" s="2" t="inlineStr"/>
      <c r="O4392" s="2" t="inlineStr"/>
      <c r="P4392" s="2" t="inlineStr"/>
      <c r="Q4392" s="2" t="inlineStr"/>
      <c r="R4392" s="2" t="inlineStr"/>
      <c r="S4392" s="2" t="inlineStr"/>
      <c r="T4392" s="2" t="inlineStr"/>
      <c r="U4392" s="2" t="inlineStr">
        <is>
          <t>https://www.tim.com.br/sp/para-voce/planos/controle</t>
        </is>
      </c>
      <c r="V4392" s="2" t="inlineStr">
        <is>
          <t>data/raw/tim_control_SP.html</t>
        </is>
      </c>
    </row>
    <row r="4393">
      <c r="A4393" s="5" t="inlineStr">
        <is>
          <t>2026-09-07</t>
        </is>
      </c>
      <c r="B4393" s="5" t="inlineStr">
        <is>
          <t>2026-09-07T20:15:39</t>
        </is>
      </c>
      <c r="C4393" s="5" t="inlineStr">
        <is>
          <t>tim</t>
        </is>
      </c>
      <c r="D4393" s="5" t="inlineStr">
        <is>
          <t>control</t>
        </is>
      </c>
      <c r="E4393" s="5" t="inlineStr">
        <is>
          <t>SP</t>
        </is>
      </c>
      <c r="F4393" s="5" t="inlineStr">
        <is>
          <t>TIM Controle Pro Express 46GB</t>
        </is>
      </c>
      <c r="G4393" s="5" t="inlineStr">
        <is>
          <t>tim:167731</t>
        </is>
      </c>
      <c r="H4393" s="6" t="n">
        <v>64.98999999999999</v>
      </c>
      <c r="I4393" s="6" t="inlineStr"/>
      <c r="J4393" s="5" t="inlineStr"/>
      <c r="K4393" s="5" t="inlineStr"/>
      <c r="L4393" s="7" t="n">
        <v>46</v>
      </c>
      <c r="M4393" s="5" t="inlineStr"/>
      <c r="N4393" s="5" t="inlineStr"/>
      <c r="O4393" s="5" t="inlineStr"/>
      <c r="P4393" s="5" t="inlineStr"/>
      <c r="Q4393" s="5" t="inlineStr"/>
      <c r="R4393" s="5" t="inlineStr"/>
      <c r="S4393" s="5" t="inlineStr"/>
      <c r="T4393" s="5" t="inlineStr"/>
      <c r="U4393" s="5" t="inlineStr">
        <is>
          <t>https://www.tim.com.br/sp/para-voce/planos/controle</t>
        </is>
      </c>
      <c r="V4393" s="5" t="inlineStr">
        <is>
          <t>data/raw/tim_control_SP.html</t>
        </is>
      </c>
    </row>
    <row r="4394">
      <c r="A4394" s="2" t="inlineStr">
        <is>
          <t>2026-09-07</t>
        </is>
      </c>
      <c r="B4394" s="2" t="inlineStr">
        <is>
          <t>2026-09-07T20:15:39</t>
        </is>
      </c>
      <c r="C4394" s="2" t="inlineStr">
        <is>
          <t>tim</t>
        </is>
      </c>
      <c r="D4394" s="2" t="inlineStr">
        <is>
          <t>control</t>
        </is>
      </c>
      <c r="E4394" s="2" t="inlineStr">
        <is>
          <t>SP</t>
        </is>
      </c>
      <c r="F4394" s="2" t="inlineStr">
        <is>
          <t>TIM Controle Redes Sociais 46GB</t>
        </is>
      </c>
      <c r="G4394" s="2" t="inlineStr">
        <is>
          <t>tim:167031</t>
        </is>
      </c>
      <c r="H4394" s="3" t="n">
        <v>59.99</v>
      </c>
      <c r="I4394" s="3" t="inlineStr"/>
      <c r="J4394" s="2" t="inlineStr"/>
      <c r="K4394" s="2" t="inlineStr"/>
      <c r="L4394" s="4" t="n">
        <v>46</v>
      </c>
      <c r="M4394" s="2" t="inlineStr"/>
      <c r="N4394" s="2" t="inlineStr"/>
      <c r="O4394" s="2" t="inlineStr"/>
      <c r="P4394" s="2" t="inlineStr"/>
      <c r="Q4394" s="2" t="inlineStr"/>
      <c r="R4394" s="2" t="inlineStr"/>
      <c r="S4394" s="2" t="inlineStr"/>
      <c r="T4394" s="2" t="inlineStr"/>
      <c r="U4394" s="2" t="inlineStr">
        <is>
          <t>https://www.tim.com.br/sp/para-voce/planos/controle</t>
        </is>
      </c>
      <c r="V4394" s="2" t="inlineStr">
        <is>
          <t>data/raw/tim_control_SP.html</t>
        </is>
      </c>
    </row>
    <row r="4395">
      <c r="A4395" s="5" t="inlineStr">
        <is>
          <t>2026-09-07</t>
        </is>
      </c>
      <c r="B4395" s="5" t="inlineStr">
        <is>
          <t>2026-09-07T20:15:39</t>
        </is>
      </c>
      <c r="C4395" s="5" t="inlineStr">
        <is>
          <t>tim</t>
        </is>
      </c>
      <c r="D4395" s="5" t="inlineStr">
        <is>
          <t>fit</t>
        </is>
      </c>
      <c r="E4395" s="5" t="inlineStr">
        <is>
          <t>SP</t>
        </is>
      </c>
      <c r="F4395" s="5" t="inlineStr">
        <is>
          <t>TIM Controle Fit Anual 1.0</t>
        </is>
      </c>
      <c r="G4395" s="5" t="inlineStr">
        <is>
          <t>tim:TIM202600000306</t>
        </is>
      </c>
      <c r="H4395" s="6" t="n">
        <v>20</v>
      </c>
      <c r="I4395" s="6" t="inlineStr"/>
      <c r="J4395" s="5" t="inlineStr">
        <is>
          <t>plano anual 12x no cartão de crédito; a etiqueta TIM informa 'sem prazo de permanência'</t>
        </is>
      </c>
      <c r="K4395" s="5" t="inlineStr">
        <is>
          <t>credit_card</t>
        </is>
      </c>
      <c r="L4395" s="7" t="n">
        <v>25</v>
      </c>
      <c r="M4395" s="5" t="inlineStr"/>
      <c r="N4395" s="5" t="inlineStr"/>
      <c r="O4395" s="5" t="inlineStr"/>
      <c r="P4395" s="5" t="inlineStr"/>
      <c r="Q4395" s="5" t="inlineStr"/>
      <c r="R4395" s="5" t="inlineStr"/>
      <c r="S4395" s="5" t="n">
        <v>12</v>
      </c>
      <c r="T4395" s="5" t="inlineStr"/>
      <c r="U4395" s="5" t="inlineStr">
        <is>
          <t>https://www.tim.com.br/sp/para-voce/planos/controle</t>
        </is>
      </c>
      <c r="V4395" s="5" t="inlineStr">
        <is>
          <t>data/raw/tim_fit_SP.html</t>
        </is>
      </c>
    </row>
    <row r="4396">
      <c r="A4396" s="2" t="inlineStr">
        <is>
          <t>2026-09-07</t>
        </is>
      </c>
      <c r="B4396" s="2" t="inlineStr">
        <is>
          <t>2026-09-07T20:15:39</t>
        </is>
      </c>
      <c r="C4396" s="2" t="inlineStr">
        <is>
          <t>tim</t>
        </is>
      </c>
      <c r="D4396" s="2" t="inlineStr">
        <is>
          <t>fit</t>
        </is>
      </c>
      <c r="E4396" s="2" t="inlineStr">
        <is>
          <t>SP</t>
        </is>
      </c>
      <c r="F4396" s="2" t="inlineStr">
        <is>
          <t>TIM Controle Fit Anual 2.0</t>
        </is>
      </c>
      <c r="G4396" s="2" t="inlineStr">
        <is>
          <t>tim:TIM202600000271</t>
        </is>
      </c>
      <c r="H4396" s="3" t="n">
        <v>30</v>
      </c>
      <c r="I4396" s="3" t="inlineStr"/>
      <c r="J4396" s="2" t="inlineStr">
        <is>
          <t>plano anual 12x no cartão de crédito; a etiqueta TIM informa 'sem prazo de permanência'</t>
        </is>
      </c>
      <c r="K4396" s="2" t="inlineStr">
        <is>
          <t>credit_card</t>
        </is>
      </c>
      <c r="L4396" s="4" t="n">
        <v>35</v>
      </c>
      <c r="M4396" s="2" t="inlineStr"/>
      <c r="N4396" s="2" t="inlineStr"/>
      <c r="O4396" s="2" t="inlineStr"/>
      <c r="P4396" s="2" t="inlineStr"/>
      <c r="Q4396" s="2" t="inlineStr"/>
      <c r="R4396" s="2" t="inlineStr"/>
      <c r="S4396" s="2" t="n">
        <v>12</v>
      </c>
      <c r="T4396" s="2" t="inlineStr"/>
      <c r="U4396" s="2" t="inlineStr">
        <is>
          <t>https://www.tim.com.br/sp/para-voce/planos/controle</t>
        </is>
      </c>
      <c r="V4396" s="2" t="inlineStr">
        <is>
          <t>data/raw/tim_fit_SP.html</t>
        </is>
      </c>
    </row>
    <row r="4397">
      <c r="A4397" s="5" t="inlineStr">
        <is>
          <t>2026-09-07</t>
        </is>
      </c>
      <c r="B4397" s="5" t="inlineStr">
        <is>
          <t>2026-09-07T20:15:39</t>
        </is>
      </c>
      <c r="C4397" s="5" t="inlineStr">
        <is>
          <t>tim</t>
        </is>
      </c>
      <c r="D4397" s="5" t="inlineStr">
        <is>
          <t>fit</t>
        </is>
      </c>
      <c r="E4397" s="5" t="inlineStr">
        <is>
          <t>SP</t>
        </is>
      </c>
      <c r="F4397" s="5" t="inlineStr">
        <is>
          <t>TIM Controle Fit Mensal 1.0</t>
        </is>
      </c>
      <c r="G4397" s="5" t="inlineStr">
        <is>
          <t>tim:TIM202600000270</t>
        </is>
      </c>
      <c r="H4397" s="6" t="n">
        <v>20</v>
      </c>
      <c r="I4397" s="6" t="inlineStr"/>
      <c r="J439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97" s="5" t="inlineStr"/>
      <c r="L4397" s="7" t="n">
        <v>20</v>
      </c>
      <c r="M4397" s="5" t="inlineStr"/>
      <c r="N4397" s="5" t="inlineStr"/>
      <c r="O4397" s="5" t="inlineStr"/>
      <c r="P4397" s="5" t="inlineStr"/>
      <c r="Q4397" s="5" t="inlineStr"/>
      <c r="R4397" s="5" t="inlineStr"/>
      <c r="S4397" s="5" t="inlineStr"/>
      <c r="T4397" s="5" t="inlineStr"/>
      <c r="U4397" s="5" t="inlineStr">
        <is>
          <t>https://www.tim.com.br/sp/para-voce/planos/controle</t>
        </is>
      </c>
      <c r="V4397" s="5" t="inlineStr">
        <is>
          <t>data/raw/tim_fit_SP.html</t>
        </is>
      </c>
    </row>
    <row r="4398">
      <c r="A4398" s="2" t="inlineStr">
        <is>
          <t>2026-09-07</t>
        </is>
      </c>
      <c r="B4398" s="2" t="inlineStr">
        <is>
          <t>2026-09-07T20:15:39</t>
        </is>
      </c>
      <c r="C4398" s="2" t="inlineStr">
        <is>
          <t>tim</t>
        </is>
      </c>
      <c r="D4398" s="2" t="inlineStr">
        <is>
          <t>fit</t>
        </is>
      </c>
      <c r="E4398" s="2" t="inlineStr">
        <is>
          <t>SP</t>
        </is>
      </c>
      <c r="F4398" s="2" t="inlineStr">
        <is>
          <t>TIM Controle Fit Mensal 2.0</t>
        </is>
      </c>
      <c r="G4398" s="2" t="inlineStr">
        <is>
          <t>tim:TIM202600000305</t>
        </is>
      </c>
      <c r="H4398" s="3" t="n">
        <v>45</v>
      </c>
      <c r="I4398" s="3" t="inlineStr"/>
      <c r="J4398" s="2" t="inlineStr">
        <is>
          <t>plano mensal, sem prazo de permanência; a etiqueta TIM informa 'sem prazo de permanência'</t>
        </is>
      </c>
      <c r="K4398" s="2" t="inlineStr"/>
      <c r="L4398" s="4" t="n">
        <v>35</v>
      </c>
      <c r="M4398" s="2" t="inlineStr"/>
      <c r="N4398" s="2" t="inlineStr"/>
      <c r="O4398" s="2" t="inlineStr"/>
      <c r="P4398" s="2" t="inlineStr"/>
      <c r="Q4398" s="2" t="inlineStr"/>
      <c r="R4398" s="2" t="inlineStr"/>
      <c r="S4398" s="2" t="inlineStr"/>
      <c r="T4398" s="2" t="inlineStr"/>
      <c r="U4398" s="2" t="inlineStr">
        <is>
          <t>https://www.tim.com.br/sp/para-voce/planos/controle</t>
        </is>
      </c>
      <c r="V4398" s="2" t="inlineStr">
        <is>
          <t>data/raw/tim_fit_SP.html</t>
        </is>
      </c>
    </row>
    <row r="4399">
      <c r="A4399" s="5" t="inlineStr">
        <is>
          <t>2026-09-07</t>
        </is>
      </c>
      <c r="B4399" s="5" t="inlineStr">
        <is>
          <t>2026-09-07T20:15:39</t>
        </is>
      </c>
      <c r="C4399" s="5" t="inlineStr">
        <is>
          <t>tim</t>
        </is>
      </c>
      <c r="D4399" s="5" t="inlineStr">
        <is>
          <t>postpaid</t>
        </is>
      </c>
      <c r="E4399" s="5" t="inlineStr">
        <is>
          <t>SP</t>
        </is>
      </c>
      <c r="F4399" s="5" t="inlineStr">
        <is>
          <t>TIM Black 70GB</t>
        </is>
      </c>
      <c r="G4399" s="5" t="inlineStr">
        <is>
          <t>tim:54206</t>
        </is>
      </c>
      <c r="H4399" s="6" t="n">
        <v>129.99</v>
      </c>
      <c r="I4399" s="6" t="inlineStr"/>
      <c r="J4399" s="5" t="inlineStr"/>
      <c r="K4399" s="5" t="inlineStr">
        <is>
          <t>bill</t>
        </is>
      </c>
      <c r="L4399" s="7" t="n">
        <v>70</v>
      </c>
      <c r="M4399" s="5" t="inlineStr"/>
      <c r="N4399" s="5" t="inlineStr"/>
      <c r="O4399" s="5" t="inlineStr"/>
      <c r="P4399" s="5" t="inlineStr"/>
      <c r="Q4399" s="5" t="inlineStr"/>
      <c r="R4399" s="5" t="inlineStr"/>
      <c r="S4399" s="5" t="inlineStr"/>
      <c r="T4399" s="5" t="inlineStr"/>
      <c r="U4399" s="5" t="inlineStr">
        <is>
          <t>https://www.tim.com.br/sp/para-voce/planos/pos-pago/tim-black</t>
        </is>
      </c>
      <c r="V4399" s="5" t="inlineStr">
        <is>
          <t>data/raw/tim_postpaid_SP.html</t>
        </is>
      </c>
    </row>
    <row r="4400">
      <c r="A4400" s="2" t="inlineStr">
        <is>
          <t>2026-09-07</t>
        </is>
      </c>
      <c r="B4400" s="2" t="inlineStr">
        <is>
          <t>2026-09-07T20:15:39</t>
        </is>
      </c>
      <c r="C4400" s="2" t="inlineStr">
        <is>
          <t>tim</t>
        </is>
      </c>
      <c r="D4400" s="2" t="inlineStr">
        <is>
          <t>postpaid</t>
        </is>
      </c>
      <c r="E4400" s="2" t="inlineStr">
        <is>
          <t>SP</t>
        </is>
      </c>
      <c r="F4400" s="2" t="inlineStr">
        <is>
          <t>TIM Black A Express 67GB</t>
        </is>
      </c>
      <c r="G4400" s="2" t="inlineStr">
        <is>
          <t>tim:55121</t>
        </is>
      </c>
      <c r="H4400" s="3" t="n">
        <v>119.99</v>
      </c>
      <c r="I4400" s="3" t="inlineStr"/>
      <c r="J4400" s="2" t="inlineStr"/>
      <c r="K4400" s="2" t="inlineStr">
        <is>
          <t>credit_card</t>
        </is>
      </c>
      <c r="L4400" s="4" t="n">
        <v>67</v>
      </c>
      <c r="M4400" s="2" t="inlineStr"/>
      <c r="N4400" s="2" t="inlineStr"/>
      <c r="O4400" s="2" t="inlineStr"/>
      <c r="P4400" s="2" t="inlineStr"/>
      <c r="Q4400" s="2" t="inlineStr"/>
      <c r="R4400" s="2" t="inlineStr"/>
      <c r="S4400" s="2" t="inlineStr"/>
      <c r="T4400" s="2" t="inlineStr"/>
      <c r="U4400" s="2" t="inlineStr">
        <is>
          <t>https://www.tim.com.br/sp/para-voce/planos/pos-pago/tim-black</t>
        </is>
      </c>
      <c r="V4400" s="2" t="inlineStr">
        <is>
          <t>data/raw/tim_postpaid_SP.html</t>
        </is>
      </c>
    </row>
    <row r="4401">
      <c r="A4401" s="5" t="inlineStr">
        <is>
          <t>2026-09-07</t>
        </is>
      </c>
      <c r="B4401" s="5" t="inlineStr">
        <is>
          <t>2026-09-07T20:15:39</t>
        </is>
      </c>
      <c r="C4401" s="5" t="inlineStr">
        <is>
          <t>tim</t>
        </is>
      </c>
      <c r="D4401" s="5" t="inlineStr">
        <is>
          <t>postpaid</t>
        </is>
      </c>
      <c r="E4401" s="5" t="inlineStr">
        <is>
          <t>SP</t>
        </is>
      </c>
      <c r="F4401" s="5" t="inlineStr">
        <is>
          <t>TIM Black B Express 82GB</t>
        </is>
      </c>
      <c r="G4401" s="5" t="inlineStr">
        <is>
          <t>tim:52146</t>
        </is>
      </c>
      <c r="H4401" s="6" t="n">
        <v>144.99</v>
      </c>
      <c r="I4401" s="6" t="inlineStr"/>
      <c r="J4401" s="5" t="inlineStr"/>
      <c r="K4401" s="5" t="inlineStr">
        <is>
          <t>credit_card</t>
        </is>
      </c>
      <c r="L4401" s="7" t="n">
        <v>82</v>
      </c>
      <c r="M4401" s="5" t="inlineStr"/>
      <c r="N4401" s="5" t="inlineStr"/>
      <c r="O4401" s="5" t="inlineStr"/>
      <c r="P4401" s="5" t="inlineStr"/>
      <c r="Q4401" s="5" t="inlineStr"/>
      <c r="R4401" s="5" t="inlineStr"/>
      <c r="S4401" s="5" t="inlineStr"/>
      <c r="T4401" s="5" t="inlineStr"/>
      <c r="U4401" s="5" t="inlineStr">
        <is>
          <t>https://www.tim.com.br/sp/para-voce/planos/pos-pago/tim-black</t>
        </is>
      </c>
      <c r="V4401" s="5" t="inlineStr">
        <is>
          <t>data/raw/tim_postpaid_SP.html</t>
        </is>
      </c>
    </row>
    <row r="4402">
      <c r="A4402" s="2" t="inlineStr">
        <is>
          <t>2026-09-07</t>
        </is>
      </c>
      <c r="B4402" s="2" t="inlineStr">
        <is>
          <t>2026-09-07T20:15:39</t>
        </is>
      </c>
      <c r="C4402" s="2" t="inlineStr">
        <is>
          <t>tim</t>
        </is>
      </c>
      <c r="D4402" s="2" t="inlineStr">
        <is>
          <t>postpaid</t>
        </is>
      </c>
      <c r="E4402" s="2" t="inlineStr">
        <is>
          <t>SP</t>
        </is>
      </c>
      <c r="F4402" s="2" t="inlineStr">
        <is>
          <t>TIM Black C Express 107GB</t>
        </is>
      </c>
      <c r="G4402" s="2" t="inlineStr">
        <is>
          <t>tim:52151</t>
        </is>
      </c>
      <c r="H4402" s="3" t="n">
        <v>164.99</v>
      </c>
      <c r="I4402" s="3" t="inlineStr"/>
      <c r="J4402" s="2" t="inlineStr"/>
      <c r="K4402" s="2" t="inlineStr">
        <is>
          <t>credit_card</t>
        </is>
      </c>
      <c r="L4402" s="4" t="n">
        <v>107</v>
      </c>
      <c r="M4402" s="2" t="inlineStr"/>
      <c r="N4402" s="2" t="inlineStr"/>
      <c r="O4402" s="2" t="inlineStr"/>
      <c r="P4402" s="2" t="inlineStr"/>
      <c r="Q4402" s="2" t="inlineStr"/>
      <c r="R4402" s="2" t="inlineStr"/>
      <c r="S4402" s="2" t="inlineStr"/>
      <c r="T4402" s="2" t="inlineStr"/>
      <c r="U4402" s="2" t="inlineStr">
        <is>
          <t>https://www.tim.com.br/sp/para-voce/planos/pos-pago/tim-black</t>
        </is>
      </c>
      <c r="V4402" s="2" t="inlineStr">
        <is>
          <t>data/raw/tim_postpaid_SP.html</t>
        </is>
      </c>
    </row>
    <row r="4403">
      <c r="A4403" s="5" t="inlineStr">
        <is>
          <t>2026-09-07</t>
        </is>
      </c>
      <c r="B4403" s="5" t="inlineStr">
        <is>
          <t>2026-09-07T20:15:39</t>
        </is>
      </c>
      <c r="C4403" s="5" t="inlineStr">
        <is>
          <t>tim</t>
        </is>
      </c>
      <c r="D4403" s="5" t="inlineStr">
        <is>
          <t>postpaid</t>
        </is>
      </c>
      <c r="E4403" s="5" t="inlineStr">
        <is>
          <t>SP</t>
        </is>
      </c>
      <c r="F4403" s="5" t="inlineStr">
        <is>
          <t>TIM Black Plus 80GB</t>
        </is>
      </c>
      <c r="G4403" s="5" t="inlineStr">
        <is>
          <t>tim:54256</t>
        </is>
      </c>
      <c r="H4403" s="6" t="n">
        <v>149.99</v>
      </c>
      <c r="I4403" s="6" t="inlineStr"/>
      <c r="J4403" s="5" t="inlineStr"/>
      <c r="K4403" s="5" t="inlineStr">
        <is>
          <t>bill</t>
        </is>
      </c>
      <c r="L4403" s="7" t="n">
        <v>80</v>
      </c>
      <c r="M4403" s="5" t="inlineStr"/>
      <c r="N4403" s="5" t="inlineStr"/>
      <c r="O4403" s="5" t="inlineStr"/>
      <c r="P4403" s="5" t="inlineStr"/>
      <c r="Q4403" s="5" t="inlineStr"/>
      <c r="R4403" s="5" t="inlineStr"/>
      <c r="S4403" s="5" t="inlineStr"/>
      <c r="T4403" s="5" t="inlineStr"/>
      <c r="U4403" s="5" t="inlineStr">
        <is>
          <t>https://www.tim.com.br/sp/para-voce/planos/pos-pago/tim-black</t>
        </is>
      </c>
      <c r="V4403" s="5" t="inlineStr">
        <is>
          <t>data/raw/tim_postpaid_SP.html</t>
        </is>
      </c>
    </row>
    <row r="4404">
      <c r="A4404" s="2" t="inlineStr">
        <is>
          <t>2026-09-07</t>
        </is>
      </c>
      <c r="B4404" s="2" t="inlineStr">
        <is>
          <t>2026-09-07T20:15:39</t>
        </is>
      </c>
      <c r="C4404" s="2" t="inlineStr">
        <is>
          <t>tim</t>
        </is>
      </c>
      <c r="D4404" s="2" t="inlineStr">
        <is>
          <t>postpaid</t>
        </is>
      </c>
      <c r="E4404" s="2" t="inlineStr">
        <is>
          <t>SP</t>
        </is>
      </c>
      <c r="F4404" s="2" t="inlineStr">
        <is>
          <t>TIM Black Premium 110GB</t>
        </is>
      </c>
      <c r="G4404" s="2" t="inlineStr">
        <is>
          <t>tim:54261</t>
        </is>
      </c>
      <c r="H4404" s="3" t="n">
        <v>159.99</v>
      </c>
      <c r="I4404" s="3" t="inlineStr"/>
      <c r="J4404" s="2" t="inlineStr"/>
      <c r="K4404" s="2" t="inlineStr">
        <is>
          <t>bill</t>
        </is>
      </c>
      <c r="L4404" s="4" t="n">
        <v>110</v>
      </c>
      <c r="M4404" s="2" t="inlineStr"/>
      <c r="N4404" s="2" t="inlineStr"/>
      <c r="O4404" s="2" t="inlineStr"/>
      <c r="P4404" s="2" t="inlineStr"/>
      <c r="Q4404" s="2" t="inlineStr"/>
      <c r="R4404" s="2" t="inlineStr"/>
      <c r="S4404" s="2" t="inlineStr"/>
      <c r="T4404" s="2" t="inlineStr"/>
      <c r="U4404" s="2" t="inlineStr">
        <is>
          <t>https://www.tim.com.br/sp/para-voce/planos/pos-pago/tim-black</t>
        </is>
      </c>
      <c r="V4404" s="2" t="inlineStr">
        <is>
          <t>data/raw/tim_postpaid_SP.html</t>
        </is>
      </c>
    </row>
    <row r="4405">
      <c r="A4405" s="5" t="inlineStr">
        <is>
          <t>2026-09-07</t>
        </is>
      </c>
      <c r="B4405" s="5" t="inlineStr">
        <is>
          <t>2026-09-07T20:15:39</t>
        </is>
      </c>
      <c r="C4405" s="5" t="inlineStr">
        <is>
          <t>tim</t>
        </is>
      </c>
      <c r="D4405" s="5" t="inlineStr">
        <is>
          <t>prepaid</t>
        </is>
      </c>
      <c r="E4405" s="5" t="inlineStr">
        <is>
          <t>SP</t>
        </is>
      </c>
      <c r="F4405" s="5" t="inlineStr">
        <is>
          <t>TIM Pré XIP Plus 16GB</t>
        </is>
      </c>
      <c r="G4405" s="5" t="inlineStr">
        <is>
          <t>tim:106306</t>
        </is>
      </c>
      <c r="H4405" s="6" t="n">
        <v>30</v>
      </c>
      <c r="I4405" s="6" t="inlineStr"/>
      <c r="J4405" s="5" t="inlineStr"/>
      <c r="K4405" s="5" t="inlineStr"/>
      <c r="L4405" s="7" t="n">
        <v>16</v>
      </c>
      <c r="M4405" s="5" t="inlineStr"/>
      <c r="N4405" s="5" t="n">
        <v>30</v>
      </c>
      <c r="O4405" s="5" t="inlineStr"/>
      <c r="P4405" s="5" t="inlineStr"/>
      <c r="Q4405" s="5" t="inlineStr"/>
      <c r="R4405" s="5" t="inlineStr"/>
      <c r="S4405" s="5" t="inlineStr"/>
      <c r="T4405" s="5" t="inlineStr"/>
      <c r="U4405" s="5" t="inlineStr">
        <is>
          <t>https://www.tim.com.br/sp/para-voce/planos/pre-pago</t>
        </is>
      </c>
      <c r="V4405" s="5" t="inlineStr">
        <is>
          <t>data/raw/tim_prepaid_SP.html</t>
        </is>
      </c>
    </row>
    <row r="4406">
      <c r="A4406" s="2" t="inlineStr">
        <is>
          <t>2026-09-07</t>
        </is>
      </c>
      <c r="B4406" s="2" t="inlineStr">
        <is>
          <t>2026-09-07T20:15:39</t>
        </is>
      </c>
      <c r="C4406" s="2" t="inlineStr">
        <is>
          <t>tim</t>
        </is>
      </c>
      <c r="D4406" s="2" t="inlineStr">
        <is>
          <t>prepaid</t>
        </is>
      </c>
      <c r="E4406" s="2" t="inlineStr">
        <is>
          <t>SP</t>
        </is>
      </c>
      <c r="F4406" s="2" t="inlineStr">
        <is>
          <t>TIM Pré XIP Plus 6GB</t>
        </is>
      </c>
      <c r="G4406" s="2" t="inlineStr">
        <is>
          <t>tim:59906</t>
        </is>
      </c>
      <c r="H4406" s="3" t="n">
        <v>20</v>
      </c>
      <c r="I4406" s="3" t="inlineStr"/>
      <c r="J4406" s="2" t="inlineStr"/>
      <c r="K4406" s="2" t="inlineStr"/>
      <c r="L4406" s="4" t="n">
        <v>6</v>
      </c>
      <c r="M4406" s="2" t="inlineStr"/>
      <c r="N4406" s="2" t="n">
        <v>17</v>
      </c>
      <c r="O4406" s="2" t="inlineStr"/>
      <c r="P4406" s="2" t="inlineStr"/>
      <c r="Q4406" s="2" t="inlineStr"/>
      <c r="R4406" s="2" t="inlineStr"/>
      <c r="S4406" s="2" t="inlineStr"/>
      <c r="T4406" s="2" t="inlineStr"/>
      <c r="U4406" s="2" t="inlineStr">
        <is>
          <t>https://www.tim.com.br/sp/para-voce/planos/pre-pago</t>
        </is>
      </c>
      <c r="V4406" s="2" t="inlineStr">
        <is>
          <t>data/raw/tim_prepaid_SP.html</t>
        </is>
      </c>
    </row>
    <row r="4407">
      <c r="A4407" s="5" t="inlineStr">
        <is>
          <t>2026-09-07</t>
        </is>
      </c>
      <c r="B4407" s="5" t="inlineStr">
        <is>
          <t>2026-09-07T20:15:39</t>
        </is>
      </c>
      <c r="C4407" s="5" t="inlineStr">
        <is>
          <t>tim</t>
        </is>
      </c>
      <c r="D4407" s="5" t="inlineStr">
        <is>
          <t>prepaid</t>
        </is>
      </c>
      <c r="E4407" s="5" t="inlineStr">
        <is>
          <t>SP</t>
        </is>
      </c>
      <c r="F4407" s="5" t="inlineStr">
        <is>
          <t>TIM Pré XIP Plus 8GB</t>
        </is>
      </c>
      <c r="G4407" s="5" t="inlineStr">
        <is>
          <t>tim:59901</t>
        </is>
      </c>
      <c r="H4407" s="6" t="n">
        <v>25</v>
      </c>
      <c r="I4407" s="6" t="inlineStr"/>
      <c r="J4407" s="5" t="inlineStr"/>
      <c r="K4407" s="5" t="inlineStr"/>
      <c r="L4407" s="7" t="n">
        <v>8</v>
      </c>
      <c r="M4407" s="5" t="inlineStr"/>
      <c r="N4407" s="5" t="n">
        <v>22</v>
      </c>
      <c r="O4407" s="5" t="inlineStr"/>
      <c r="P4407" s="5" t="inlineStr"/>
      <c r="Q4407" s="5" t="inlineStr"/>
      <c r="R4407" s="5" t="inlineStr"/>
      <c r="S4407" s="5" t="inlineStr"/>
      <c r="T4407" s="5" t="inlineStr"/>
      <c r="U4407" s="5" t="inlineStr">
        <is>
          <t>https://www.tim.com.br/sp/para-voce/planos/pre-pago</t>
        </is>
      </c>
      <c r="V4407" s="5" t="inlineStr">
        <is>
          <t>data/raw/tim_prepaid_SP.html</t>
        </is>
      </c>
    </row>
    <row r="4408">
      <c r="A4408" s="2" t="inlineStr">
        <is>
          <t>2026-09-07</t>
        </is>
      </c>
      <c r="B4408" s="2" t="inlineStr">
        <is>
          <t>2026-09-07T20:15:39</t>
        </is>
      </c>
      <c r="C4408" s="2" t="inlineStr">
        <is>
          <t>vivo</t>
        </is>
      </c>
      <c r="D4408" s="2" t="inlineStr">
        <is>
          <t>control</t>
        </is>
      </c>
      <c r="E4408" s="2" t="inlineStr">
        <is>
          <t>SP</t>
        </is>
      </c>
      <c r="F4408" s="2" t="inlineStr">
        <is>
          <t>Vivo Controle</t>
        </is>
      </c>
      <c r="G4408" s="2" t="inlineStr">
        <is>
          <t>vivo:VIV202600034591</t>
        </is>
      </c>
      <c r="H4408" s="3" t="n">
        <v>59</v>
      </c>
      <c r="I4408" s="3" t="inlineStr"/>
      <c r="J4408" s="2" t="inlineStr"/>
      <c r="K4408" s="2" t="inlineStr"/>
      <c r="L4408" s="4" t="n">
        <v>45</v>
      </c>
      <c r="M4408" s="2" t="inlineStr">
        <is>
          <t>15 GB de franquia 30 GB de bônus</t>
        </is>
      </c>
      <c r="N4408" s="2" t="inlineStr"/>
      <c r="O4408" s="2" t="inlineStr"/>
      <c r="P4408" s="2" t="inlineStr"/>
      <c r="Q4408" s="2" t="inlineStr"/>
      <c r="R4408" s="2" t="inlineStr"/>
      <c r="S4408" s="2" t="inlineStr"/>
      <c r="T4408" s="2" t="inlineStr">
        <is>
          <t>6 meses grátis de Gemini com AI Plus</t>
        </is>
      </c>
      <c r="U4408" s="2" t="inlineStr">
        <is>
          <t>https://vivo.com.br/para-voce/produtos-e-servicos/para-o-celular/planos-controle</t>
        </is>
      </c>
      <c r="V4408" s="2" t="inlineStr">
        <is>
          <t>data/raw/vivo_control_SP.html</t>
        </is>
      </c>
    </row>
    <row r="4409">
      <c r="A4409" s="5" t="inlineStr">
        <is>
          <t>2026-09-07</t>
        </is>
      </c>
      <c r="B4409" s="5" t="inlineStr">
        <is>
          <t>2026-09-07T20:15:39</t>
        </is>
      </c>
      <c r="C4409" s="5" t="inlineStr">
        <is>
          <t>vivo</t>
        </is>
      </c>
      <c r="D4409" s="5" t="inlineStr">
        <is>
          <t>control</t>
        </is>
      </c>
      <c r="E4409" s="5" t="inlineStr">
        <is>
          <t>SP</t>
        </is>
      </c>
      <c r="F4409" s="5" t="inlineStr">
        <is>
          <t>Vivo Controle</t>
        </is>
      </c>
      <c r="G4409" s="5" t="inlineStr">
        <is>
          <t>vivo:VIV202600034599</t>
        </is>
      </c>
      <c r="H4409" s="6" t="n">
        <v>75</v>
      </c>
      <c r="I4409" s="6" t="inlineStr"/>
      <c r="J4409" s="5" t="inlineStr">
        <is>
          <t>preço-base do plano; a tela exibia R$ 80 com o adicional pré-selecionado (+R$ 5/mês, opcional); 60 GB na tela incluem +10 GB do adicional</t>
        </is>
      </c>
      <c r="K4409" s="5" t="inlineStr"/>
      <c r="L4409" s="7" t="n">
        <v>50</v>
      </c>
      <c r="M4409" s="5" t="inlineStr">
        <is>
          <t>20 GB de franquia 30 GB de bônus</t>
        </is>
      </c>
      <c r="N4409" s="5" t="inlineStr"/>
      <c r="O4409" s="5" t="inlineStr"/>
      <c r="P4409" s="5" t="inlineStr"/>
      <c r="Q4409" s="5" t="inlineStr"/>
      <c r="R4409" s="5" t="inlineStr"/>
      <c r="S4409" s="5" t="inlineStr"/>
      <c r="T4409" s="5" t="inlineStr">
        <is>
          <t>6 meses grátis de Gemini com AI Plus</t>
        </is>
      </c>
      <c r="U4409" s="5" t="inlineStr">
        <is>
          <t>https://vivo.com.br/para-voce/produtos-e-servicos/para-o-celular/planos-controle</t>
        </is>
      </c>
      <c r="V4409" s="5" t="inlineStr">
        <is>
          <t>data/raw/vivo_control_SP.html</t>
        </is>
      </c>
    </row>
    <row r="4410">
      <c r="A4410" s="2" t="inlineStr">
        <is>
          <t>2026-09-07</t>
        </is>
      </c>
      <c r="B4410" s="2" t="inlineStr">
        <is>
          <t>2026-09-07T20:15:39</t>
        </is>
      </c>
      <c r="C4410" s="2" t="inlineStr">
        <is>
          <t>vivo</t>
        </is>
      </c>
      <c r="D4410" s="2" t="inlineStr">
        <is>
          <t>control</t>
        </is>
      </c>
      <c r="E4410" s="2" t="inlineStr">
        <is>
          <t>SP</t>
        </is>
      </c>
      <c r="F4410" s="2" t="inlineStr">
        <is>
          <t>Vivo Controle Amazon</t>
        </is>
      </c>
      <c r="G4410" s="2" t="inlineStr">
        <is>
          <t>vivo:VIV202600038804</t>
        </is>
      </c>
      <c r="H4410" s="3" t="n">
        <v>70</v>
      </c>
      <c r="I4410" s="3" t="inlineStr"/>
      <c r="J4410" s="2" t="inlineStr">
        <is>
          <t>preço-base do plano; a tela exibia R$ 75 com o adicional pré-selecionado (+R$ 5/mês, opcional); 58 GB na tela incluem +10 GB do adicional</t>
        </is>
      </c>
      <c r="K4410" s="2" t="inlineStr"/>
      <c r="L4410" s="4" t="n">
        <v>48</v>
      </c>
      <c r="M4410" s="2" t="inlineStr">
        <is>
          <t>18 GB de franquia 30 GB de bônus</t>
        </is>
      </c>
      <c r="N4410" s="2" t="inlineStr"/>
      <c r="O4410" s="2" t="inlineStr"/>
      <c r="P4410" s="2" t="inlineStr"/>
      <c r="Q4410" s="2" t="inlineStr"/>
      <c r="R4410" s="2" t="inlineStr"/>
      <c r="S4410" s="2" t="inlineStr"/>
      <c r="T4410" s="2" t="inlineStr">
        <is>
          <t>Assinatura Amazon Prime inclusa</t>
        </is>
      </c>
      <c r="U4410" s="2" t="inlineStr">
        <is>
          <t>https://vivo.com.br/para-voce/produtos-e-servicos/para-o-celular/planos-controle</t>
        </is>
      </c>
      <c r="V4410" s="2" t="inlineStr">
        <is>
          <t>data/raw/vivo_control_SP.html</t>
        </is>
      </c>
    </row>
    <row r="4411">
      <c r="A4411" s="5" t="inlineStr">
        <is>
          <t>2026-09-07</t>
        </is>
      </c>
      <c r="B4411" s="5" t="inlineStr">
        <is>
          <t>2026-09-07T20:15:39</t>
        </is>
      </c>
      <c r="C4411" s="5" t="inlineStr">
        <is>
          <t>vivo</t>
        </is>
      </c>
      <c r="D4411" s="5" t="inlineStr">
        <is>
          <t>control</t>
        </is>
      </c>
      <c r="E4411" s="5" t="inlineStr">
        <is>
          <t>SP</t>
        </is>
      </c>
      <c r="F4411" s="5" t="inlineStr">
        <is>
          <t>Vivo Controle Educação</t>
        </is>
      </c>
      <c r="G4411" s="5" t="inlineStr">
        <is>
          <t>vivo:VIV202600034616</t>
        </is>
      </c>
      <c r="H4411" s="6" t="n">
        <v>85</v>
      </c>
      <c r="I4411" s="6" t="inlineStr"/>
      <c r="J4411" s="5" t="inlineStr">
        <is>
          <t>preço-base do plano; a tela exibia R$ 90 com o adicional pré-selecionado (+R$ 5/mês, opcional); 60 GB na tela incluem +10 GB do adicional</t>
        </is>
      </c>
      <c r="K4411" s="5" t="inlineStr"/>
      <c r="L4411" s="7" t="n">
        <v>50</v>
      </c>
      <c r="M4411" s="5" t="inlineStr">
        <is>
          <t>20 GB de franquia 30 GB de bônus</t>
        </is>
      </c>
      <c r="N4411" s="5" t="inlineStr"/>
      <c r="O4411" s="5" t="inlineStr"/>
      <c r="P4411" s="5" t="inlineStr"/>
      <c r="Q4411" s="5" t="inlineStr"/>
      <c r="R4411" s="5" t="inlineStr"/>
      <c r="S4411" s="5" t="inlineStr"/>
      <c r="T4411" s="5" t="inlineStr">
        <is>
          <t>Assinatura Vivae inclusa</t>
        </is>
      </c>
      <c r="U4411" s="5" t="inlineStr">
        <is>
          <t>https://vivo.com.br/para-voce/produtos-e-servicos/para-o-celular/planos-controle</t>
        </is>
      </c>
      <c r="V4411" s="5" t="inlineStr">
        <is>
          <t>data/raw/vivo_control_SP.html</t>
        </is>
      </c>
    </row>
    <row r="4412">
      <c r="A4412" s="2" t="inlineStr">
        <is>
          <t>2026-09-07</t>
        </is>
      </c>
      <c r="B4412" s="2" t="inlineStr">
        <is>
          <t>2026-09-07T20:15:39</t>
        </is>
      </c>
      <c r="C4412" s="2" t="inlineStr">
        <is>
          <t>vivo</t>
        </is>
      </c>
      <c r="D4412" s="2" t="inlineStr">
        <is>
          <t>control</t>
        </is>
      </c>
      <c r="E4412" s="2" t="inlineStr">
        <is>
          <t>SP</t>
        </is>
      </c>
      <c r="F4412" s="2" t="inlineStr">
        <is>
          <t>Vivo Controle Entretenimento</t>
        </is>
      </c>
      <c r="G4412" s="2" t="inlineStr">
        <is>
          <t>vivo:VIV202600034619</t>
        </is>
      </c>
      <c r="H4412" s="3" t="n">
        <v>105</v>
      </c>
      <c r="I4412" s="3" t="inlineStr"/>
      <c r="J4412" s="2" t="inlineStr">
        <is>
          <t>preço-base do plano; a tela exibia R$ 110 com o adicional pré-selecionado (+R$ 5/mês, opcional); 60 GB na tela incluem +10 GB do adicional</t>
        </is>
      </c>
      <c r="K4412" s="2" t="inlineStr"/>
      <c r="L4412" s="4" t="n">
        <v>50</v>
      </c>
      <c r="M4412" s="2" t="inlineStr">
        <is>
          <t>20 GB de franquia 30 GB de bônus</t>
        </is>
      </c>
      <c r="N4412" s="2" t="inlineStr"/>
      <c r="O4412" s="2" t="inlineStr"/>
      <c r="P4412" s="2" t="inlineStr"/>
      <c r="Q4412" s="2" t="inlineStr"/>
      <c r="R4412" s="2" t="inlineStr"/>
      <c r="S4412" s="2" t="inlineStr"/>
      <c r="T4412" s="2" t="inlineStr">
        <is>
          <t>Assinatura Vivo TV Inicial inclusa</t>
        </is>
      </c>
      <c r="U4412" s="2" t="inlineStr">
        <is>
          <t>https://vivo.com.br/para-voce/produtos-e-servicos/para-o-celular/planos-controle</t>
        </is>
      </c>
      <c r="V4412" s="2" t="inlineStr">
        <is>
          <t>data/raw/vivo_control_SP.html</t>
        </is>
      </c>
    </row>
    <row r="4413">
      <c r="A4413" s="5" t="inlineStr">
        <is>
          <t>2026-09-07</t>
        </is>
      </c>
      <c r="B4413" s="5" t="inlineStr">
        <is>
          <t>2026-09-07T20:15:39</t>
        </is>
      </c>
      <c r="C4413" s="5" t="inlineStr">
        <is>
          <t>vivo</t>
        </is>
      </c>
      <c r="D4413" s="5" t="inlineStr">
        <is>
          <t>control</t>
        </is>
      </c>
      <c r="E4413" s="5" t="inlineStr">
        <is>
          <t>SP</t>
        </is>
      </c>
      <c r="F4413" s="5" t="inlineStr">
        <is>
          <t>Vivo Controle Música</t>
        </is>
      </c>
      <c r="G4413" s="5" t="inlineStr">
        <is>
          <t>vivo:VIV202600034620</t>
        </is>
      </c>
      <c r="H4413" s="6" t="n">
        <v>85</v>
      </c>
      <c r="I4413" s="6" t="inlineStr"/>
      <c r="J4413" s="5" t="inlineStr">
        <is>
          <t>preço-base do plano; a tela exibia R$ 90 com o adicional pré-selecionado (+R$ 5/mês, opcional); 60 GB na tela incluem +10 GB do adicional</t>
        </is>
      </c>
      <c r="K4413" s="5" t="inlineStr"/>
      <c r="L4413" s="7" t="n">
        <v>50</v>
      </c>
      <c r="M4413" s="5" t="inlineStr">
        <is>
          <t>20 GB de franquia 30 GB de bônus</t>
        </is>
      </c>
      <c r="N4413" s="5" t="inlineStr"/>
      <c r="O4413" s="5" t="inlineStr"/>
      <c r="P4413" s="5" t="inlineStr"/>
      <c r="Q4413" s="5" t="inlineStr"/>
      <c r="R4413" s="5" t="inlineStr"/>
      <c r="S4413" s="5" t="inlineStr"/>
      <c r="T4413" s="5" t="inlineStr">
        <is>
          <t>Apple Music Individual</t>
        </is>
      </c>
      <c r="U4413" s="5" t="inlineStr">
        <is>
          <t>https://vivo.com.br/para-voce/produtos-e-servicos/para-o-celular/planos-controle</t>
        </is>
      </c>
      <c r="V4413" s="5" t="inlineStr">
        <is>
          <t>data/raw/vivo_control_SP.html</t>
        </is>
      </c>
    </row>
    <row r="4414">
      <c r="A4414" s="2" t="inlineStr">
        <is>
          <t>2026-09-07</t>
        </is>
      </c>
      <c r="B4414" s="2" t="inlineStr">
        <is>
          <t>2026-09-07T20:15:39</t>
        </is>
      </c>
      <c r="C4414" s="2" t="inlineStr">
        <is>
          <t>vivo</t>
        </is>
      </c>
      <c r="D4414" s="2" t="inlineStr">
        <is>
          <t>control</t>
        </is>
      </c>
      <c r="E4414" s="2" t="inlineStr">
        <is>
          <t>SP</t>
        </is>
      </c>
      <c r="F4414" s="2" t="inlineStr">
        <is>
          <t>Vivo Controle Netflix</t>
        </is>
      </c>
      <c r="G4414" s="2" t="inlineStr">
        <is>
          <t>vivo:VIV202600034623</t>
        </is>
      </c>
      <c r="H4414" s="3" t="n">
        <v>90</v>
      </c>
      <c r="I4414" s="3" t="inlineStr"/>
      <c r="J4414" s="2" t="inlineStr">
        <is>
          <t>preço-base do plano; a tela exibia R$ 95 com o adicional pré-selecionado (+R$ 5/mês, opcional); 60 GB na tela incluem +10 GB do adicional</t>
        </is>
      </c>
      <c r="K4414" s="2" t="inlineStr"/>
      <c r="L4414" s="4" t="n">
        <v>50</v>
      </c>
      <c r="M4414" s="2" t="inlineStr">
        <is>
          <t>20 GB de franquia 30 GB de bônus</t>
        </is>
      </c>
      <c r="N4414" s="2" t="inlineStr"/>
      <c r="O4414" s="2" t="inlineStr"/>
      <c r="P4414" s="2" t="inlineStr"/>
      <c r="Q4414" s="2" t="inlineStr"/>
      <c r="R4414" s="2" t="inlineStr"/>
      <c r="S4414" s="2" t="inlineStr"/>
      <c r="T4414" s="2" t="inlineStr">
        <is>
          <t>Assinatura Netflix Padrão com anúncios</t>
        </is>
      </c>
      <c r="U4414" s="2" t="inlineStr">
        <is>
          <t>https://vivo.com.br/para-voce/produtos-e-servicos/para-o-celular/planos-controle</t>
        </is>
      </c>
      <c r="V4414" s="2" t="inlineStr">
        <is>
          <t>data/raw/vivo_control_SP.html</t>
        </is>
      </c>
    </row>
    <row r="4415">
      <c r="A4415" s="5" t="inlineStr">
        <is>
          <t>2026-09-07</t>
        </is>
      </c>
      <c r="B4415" s="5" t="inlineStr">
        <is>
          <t>2026-09-07T20:15:39</t>
        </is>
      </c>
      <c r="C4415" s="5" t="inlineStr">
        <is>
          <t>vivo</t>
        </is>
      </c>
      <c r="D4415" s="5" t="inlineStr">
        <is>
          <t>control</t>
        </is>
      </c>
      <c r="E4415" s="5" t="inlineStr">
        <is>
          <t>SP</t>
        </is>
      </c>
      <c r="F4415" s="5" t="inlineStr">
        <is>
          <t>Vivo Controle Saúde</t>
        </is>
      </c>
      <c r="G4415" s="5" t="inlineStr">
        <is>
          <t>vivo:VIV202600034625</t>
        </is>
      </c>
      <c r="H4415" s="6" t="n">
        <v>85</v>
      </c>
      <c r="I4415" s="6" t="inlineStr"/>
      <c r="J4415" s="5" t="inlineStr">
        <is>
          <t>preço-base do plano; a tela exibia R$ 90 com o adicional pré-selecionado (+R$ 5/mês, opcional); 60 GB na tela incluem +10 GB do adicional</t>
        </is>
      </c>
      <c r="K4415" s="5" t="inlineStr"/>
      <c r="L4415" s="7" t="n">
        <v>50</v>
      </c>
      <c r="M4415" s="5" t="inlineStr">
        <is>
          <t>20 GB de franquia 30 GB de bônus</t>
        </is>
      </c>
      <c r="N4415" s="5" t="inlineStr"/>
      <c r="O4415" s="5" t="inlineStr"/>
      <c r="P4415" s="5" t="inlineStr"/>
      <c r="Q4415" s="5" t="inlineStr"/>
      <c r="R4415" s="5" t="inlineStr"/>
      <c r="S4415" s="5" t="inlineStr"/>
      <c r="T4415" s="5" t="inlineStr">
        <is>
          <t>Assinatura Vale Saúde Sempre inclusa</t>
        </is>
      </c>
      <c r="U4415" s="5" t="inlineStr">
        <is>
          <t>https://vivo.com.br/para-voce/produtos-e-servicos/para-o-celular/planos-controle</t>
        </is>
      </c>
      <c r="V4415" s="5" t="inlineStr">
        <is>
          <t>data/raw/vivo_control_SP.html</t>
        </is>
      </c>
    </row>
    <row r="4416">
      <c r="A4416" s="2" t="inlineStr">
        <is>
          <t>2026-09-07</t>
        </is>
      </c>
      <c r="B4416" s="2" t="inlineStr">
        <is>
          <t>2026-09-07T20:15:39</t>
        </is>
      </c>
      <c r="C4416" s="2" t="inlineStr">
        <is>
          <t>vivo</t>
        </is>
      </c>
      <c r="D4416" s="2" t="inlineStr">
        <is>
          <t>control</t>
        </is>
      </c>
      <c r="E4416" s="2" t="inlineStr">
        <is>
          <t>SP</t>
        </is>
      </c>
      <c r="F4416" s="2" t="inlineStr">
        <is>
          <t>Vivo Controle Youtube Lite</t>
        </is>
      </c>
      <c r="G4416" s="2" t="inlineStr">
        <is>
          <t>vivo:VIV202600034626</t>
        </is>
      </c>
      <c r="H4416" s="3" t="n">
        <v>85</v>
      </c>
      <c r="I4416" s="3" t="inlineStr"/>
      <c r="J4416" s="2" t="inlineStr">
        <is>
          <t>preço-base do plano; a tela exibia R$ 90 com o adicional pré-selecionado (+R$ 5/mês, opcional); 60 GB na tela incluem +10 GB do adicional</t>
        </is>
      </c>
      <c r="K4416" s="2" t="inlineStr"/>
      <c r="L4416" s="4" t="n">
        <v>50</v>
      </c>
      <c r="M4416" s="2" t="inlineStr">
        <is>
          <t>20 GB de franquia 30 GB de bônus</t>
        </is>
      </c>
      <c r="N4416" s="2" t="inlineStr"/>
      <c r="O4416" s="2" t="inlineStr"/>
      <c r="P4416" s="2" t="inlineStr"/>
      <c r="Q4416" s="2" t="inlineStr"/>
      <c r="R4416" s="2" t="inlineStr"/>
      <c r="S4416" s="2" t="inlineStr"/>
      <c r="T4416" s="2" t="inlineStr">
        <is>
          <t>Assinatura Youtube Premium Lite Inclusa</t>
        </is>
      </c>
      <c r="U4416" s="2" t="inlineStr">
        <is>
          <t>https://vivo.com.br/para-voce/produtos-e-servicos/para-o-celular/planos-controle</t>
        </is>
      </c>
      <c r="V4416" s="2" t="inlineStr">
        <is>
          <t>data/raw/vivo_control_SP.html</t>
        </is>
      </c>
    </row>
    <row r="4417">
      <c r="A4417" s="5" t="inlineStr">
        <is>
          <t>2026-09-07</t>
        </is>
      </c>
      <c r="B4417" s="5" t="inlineStr">
        <is>
          <t>2026-09-07T20:15:39</t>
        </is>
      </c>
      <c r="C4417" s="5" t="inlineStr">
        <is>
          <t>vivo</t>
        </is>
      </c>
      <c r="D4417" s="5" t="inlineStr">
        <is>
          <t>lite</t>
        </is>
      </c>
      <c r="E4417" s="5" t="inlineStr">
        <is>
          <t>SP</t>
        </is>
      </c>
      <c r="F4417" s="5" t="inlineStr">
        <is>
          <t>Vivo Lite</t>
        </is>
      </c>
      <c r="G4417" s="5" t="inlineStr">
        <is>
          <t>vivo:VIV202600038808</t>
        </is>
      </c>
      <c r="H4417" s="6" t="n">
        <v>45</v>
      </c>
      <c r="I4417" s="6" t="n">
        <v>30</v>
      </c>
      <c r="J4417" s="5" t="inlineStr">
        <is>
          <t>preço sem fidelidade; fidelidade 12m no promo</t>
        </is>
      </c>
      <c r="K4417" s="5" t="inlineStr"/>
      <c r="L4417" s="7" t="n">
        <v>30</v>
      </c>
      <c r="M4417" s="5" t="inlineStr">
        <is>
          <t>30 GB de franquia</t>
        </is>
      </c>
      <c r="N4417" s="5" t="inlineStr"/>
      <c r="O4417" s="5" t="inlineStr"/>
      <c r="P4417" s="5" t="inlineStr"/>
      <c r="Q4417" s="5" t="inlineStr"/>
      <c r="R4417" s="5" t="inlineStr"/>
      <c r="S4417" s="5" t="n">
        <v>12</v>
      </c>
      <c r="T4417" s="5" t="inlineStr"/>
      <c r="U4417" s="5" t="inlineStr">
        <is>
          <t>https://vivo.com.br/para-voce/produtos-e-servicos/para-o-celular/easy-lite</t>
        </is>
      </c>
      <c r="V4417" s="5" t="inlineStr">
        <is>
          <t>data/raw/vivo_lite_SP.html</t>
        </is>
      </c>
    </row>
    <row r="4418">
      <c r="A4418" s="2" t="inlineStr">
        <is>
          <t>2026-09-07</t>
        </is>
      </c>
      <c r="B4418" s="2" t="inlineStr">
        <is>
          <t>2026-09-07T20:15:39</t>
        </is>
      </c>
      <c r="C4418" s="2" t="inlineStr">
        <is>
          <t>vivo</t>
        </is>
      </c>
      <c r="D4418" s="2" t="inlineStr">
        <is>
          <t>lite</t>
        </is>
      </c>
      <c r="E4418" s="2" t="inlineStr">
        <is>
          <t>SP</t>
        </is>
      </c>
      <c r="F4418" s="2" t="inlineStr">
        <is>
          <t>Vivo Lite</t>
        </is>
      </c>
      <c r="G4418" s="2" t="inlineStr">
        <is>
          <t>vivo:VIV202600038810</t>
        </is>
      </c>
      <c r="H4418" s="3" t="n">
        <v>55</v>
      </c>
      <c r="I4418" s="3" t="n">
        <v>40</v>
      </c>
      <c r="J4418" s="2" t="inlineStr">
        <is>
          <t>preço sem fidelidade; fidelidade 12m no promo</t>
        </is>
      </c>
      <c r="K4418" s="2" t="inlineStr"/>
      <c r="L4418" s="4" t="n">
        <v>40</v>
      </c>
      <c r="M4418" s="2" t="inlineStr">
        <is>
          <t>40 GB de franquia</t>
        </is>
      </c>
      <c r="N4418" s="2" t="inlineStr"/>
      <c r="O4418" s="2" t="inlineStr"/>
      <c r="P4418" s="2" t="inlineStr"/>
      <c r="Q4418" s="2" t="inlineStr"/>
      <c r="R4418" s="2" t="inlineStr"/>
      <c r="S4418" s="2" t="n">
        <v>12</v>
      </c>
      <c r="T4418" s="2" t="inlineStr"/>
      <c r="U4418" s="2" t="inlineStr">
        <is>
          <t>https://vivo.com.br/para-voce/produtos-e-servicos/para-o-celular/easy-lite</t>
        </is>
      </c>
      <c r="V4418" s="2" t="inlineStr">
        <is>
          <t>data/raw/vivo_lite_SP.html</t>
        </is>
      </c>
    </row>
    <row r="4419">
      <c r="A4419" s="5" t="inlineStr">
        <is>
          <t>2026-09-07</t>
        </is>
      </c>
      <c r="B4419" s="5" t="inlineStr">
        <is>
          <t>2026-09-07T20:15:39</t>
        </is>
      </c>
      <c r="C4419" s="5" t="inlineStr">
        <is>
          <t>vivo</t>
        </is>
      </c>
      <c r="D4419" s="5" t="inlineStr">
        <is>
          <t>lite</t>
        </is>
      </c>
      <c r="E4419" s="5" t="inlineStr">
        <is>
          <t>SP</t>
        </is>
      </c>
      <c r="F4419" s="5" t="inlineStr">
        <is>
          <t>Vivo Lite</t>
        </is>
      </c>
      <c r="G4419" s="5" t="inlineStr">
        <is>
          <t>vivo:VIV202600038814</t>
        </is>
      </c>
      <c r="H4419" s="6" t="n">
        <v>35</v>
      </c>
      <c r="I4419" s="6" t="inlineStr"/>
      <c r="J4419" s="5" t="inlineStr"/>
      <c r="K4419" s="5" t="inlineStr"/>
      <c r="L4419" s="7" t="n">
        <v>20</v>
      </c>
      <c r="M4419" s="5" t="inlineStr">
        <is>
          <t>20 GB de franquia</t>
        </is>
      </c>
      <c r="N4419" s="5" t="inlineStr"/>
      <c r="O4419" s="5" t="inlineStr"/>
      <c r="P4419" s="5" t="inlineStr"/>
      <c r="Q4419" s="5" t="inlineStr"/>
      <c r="R4419" s="5" t="inlineStr"/>
      <c r="S4419" s="5" t="inlineStr"/>
      <c r="T4419" s="5" t="inlineStr"/>
      <c r="U4419" s="5" t="inlineStr">
        <is>
          <t>https://vivo.com.br/para-voce/produtos-e-servicos/para-o-celular/easy-lite</t>
        </is>
      </c>
      <c r="V4419" s="5" t="inlineStr">
        <is>
          <t>data/raw/vivo_lite_SP.html</t>
        </is>
      </c>
    </row>
    <row r="4420">
      <c r="A4420" s="2" t="inlineStr">
        <is>
          <t>2026-09-07</t>
        </is>
      </c>
      <c r="B4420" s="2" t="inlineStr">
        <is>
          <t>2026-09-07T20:15:39</t>
        </is>
      </c>
      <c r="C4420" s="2" t="inlineStr">
        <is>
          <t>vivo</t>
        </is>
      </c>
      <c r="D4420" s="2" t="inlineStr">
        <is>
          <t>postpaid</t>
        </is>
      </c>
      <c r="E4420" s="2" t="inlineStr">
        <is>
          <t>SP</t>
        </is>
      </c>
      <c r="F4420" s="2" t="inlineStr">
        <is>
          <t>Vivo Família 2</t>
        </is>
      </c>
      <c r="G4420" s="2" t="inlineStr">
        <is>
          <t>vivo:VIV202600034547</t>
        </is>
      </c>
      <c r="H4420" s="3" t="n">
        <v>270</v>
      </c>
      <c r="I4420" s="3" t="inlineStr"/>
      <c r="J4420" s="2" t="inlineStr"/>
      <c r="K4420" s="2" t="inlineStr"/>
      <c r="L4420" s="4" t="n">
        <v>120</v>
      </c>
      <c r="M4420" s="2" t="inlineStr">
        <is>
          <t>120 GB de franquia Você + 1 linha adicional Roaming Internacional com Vivo Travel Américas e Europa</t>
        </is>
      </c>
      <c r="N4420" s="2" t="inlineStr"/>
      <c r="O4420" s="2" t="inlineStr"/>
      <c r="P4420" s="2" t="inlineStr"/>
      <c r="Q4420" s="2" t="inlineStr"/>
      <c r="R4420" s="2" t="inlineStr"/>
      <c r="S4420" s="2" t="inlineStr"/>
      <c r="T4420" s="2" t="inlineStr">
        <is>
          <t>12 meses grátis de Gemini com AI Plus</t>
        </is>
      </c>
      <c r="U4420" s="2" t="inlineStr">
        <is>
          <t>https://vivo.com.br/para-voce/produtos-e-servicos/para-o-celular/planos-pos-pago</t>
        </is>
      </c>
      <c r="V4420" s="2" t="inlineStr">
        <is>
          <t>data/raw/vivo_postpaid_SP.html</t>
        </is>
      </c>
    </row>
    <row r="4421">
      <c r="A4421" s="5" t="inlineStr">
        <is>
          <t>2026-09-07</t>
        </is>
      </c>
      <c r="B4421" s="5" t="inlineStr">
        <is>
          <t>2026-09-07T20:15:39</t>
        </is>
      </c>
      <c r="C4421" s="5" t="inlineStr">
        <is>
          <t>vivo</t>
        </is>
      </c>
      <c r="D4421" s="5" t="inlineStr">
        <is>
          <t>postpaid</t>
        </is>
      </c>
      <c r="E4421" s="5" t="inlineStr">
        <is>
          <t>SP</t>
        </is>
      </c>
      <c r="F4421" s="5" t="inlineStr">
        <is>
          <t>Vivo Família 3</t>
        </is>
      </c>
      <c r="G4421" s="5" t="inlineStr">
        <is>
          <t>vivo:VIV202600034540</t>
        </is>
      </c>
      <c r="H4421" s="6" t="n">
        <v>340</v>
      </c>
      <c r="I4421" s="6" t="inlineStr"/>
      <c r="J4421" s="5" t="inlineStr"/>
      <c r="K4421" s="5" t="inlineStr"/>
      <c r="L4421" s="7" t="n">
        <v>180</v>
      </c>
      <c r="M4421" s="5" t="inlineStr">
        <is>
          <t>180 GB de franquia Você + 2 linhas adicionais Roaming Internacional com Vivo Travel Américas e Europa</t>
        </is>
      </c>
      <c r="N4421" s="5" t="inlineStr"/>
      <c r="O4421" s="5" t="inlineStr"/>
      <c r="P4421" s="5" t="inlineStr"/>
      <c r="Q4421" s="5" t="inlineStr"/>
      <c r="R4421" s="5" t="inlineStr"/>
      <c r="S4421" s="5" t="inlineStr"/>
      <c r="T4421" s="5" t="inlineStr">
        <is>
          <t>12 meses grátis de Gemini com AI Plus</t>
        </is>
      </c>
      <c r="U4421" s="5" t="inlineStr">
        <is>
          <t>https://vivo.com.br/para-voce/produtos-e-servicos/para-o-celular/planos-pos-pago</t>
        </is>
      </c>
      <c r="V4421" s="5" t="inlineStr">
        <is>
          <t>data/raw/vivo_postpaid_SP.html</t>
        </is>
      </c>
    </row>
    <row r="4422">
      <c r="A4422" s="2" t="inlineStr">
        <is>
          <t>2026-09-07</t>
        </is>
      </c>
      <c r="B4422" s="2" t="inlineStr">
        <is>
          <t>2026-09-07T20:15:39</t>
        </is>
      </c>
      <c r="C4422" s="2" t="inlineStr">
        <is>
          <t>vivo</t>
        </is>
      </c>
      <c r="D4422" s="2" t="inlineStr">
        <is>
          <t>postpaid</t>
        </is>
      </c>
      <c r="E4422" s="2" t="inlineStr">
        <is>
          <t>SP</t>
        </is>
      </c>
      <c r="F4422" s="2" t="inlineStr">
        <is>
          <t>Vivo Família 4</t>
        </is>
      </c>
      <c r="G4422" s="2" t="inlineStr">
        <is>
          <t>vivo:VIV202600034531</t>
        </is>
      </c>
      <c r="H4422" s="3" t="n">
        <v>430</v>
      </c>
      <c r="I4422" s="3" t="inlineStr"/>
      <c r="J4422" s="2" t="inlineStr"/>
      <c r="K4422" s="2" t="inlineStr"/>
      <c r="L4422" s="4" t="n">
        <v>240</v>
      </c>
      <c r="M4422" s="2" t="inlineStr">
        <is>
          <t>240 GB de franquia Você + 3 linhas adicionais Roaming Internacional com Vivo Travel Américas e Europa</t>
        </is>
      </c>
      <c r="N4422" s="2" t="inlineStr"/>
      <c r="O4422" s="2" t="inlineStr"/>
      <c r="P4422" s="2" t="inlineStr"/>
      <c r="Q4422" s="2" t="inlineStr"/>
      <c r="R4422" s="2" t="inlineStr"/>
      <c r="S4422" s="2" t="inlineStr"/>
      <c r="T4422" s="2" t="inlineStr">
        <is>
          <t>12 meses grátis de Gemini com AI Plus</t>
        </is>
      </c>
      <c r="U4422" s="2" t="inlineStr">
        <is>
          <t>https://vivo.com.br/para-voce/produtos-e-servicos/para-o-celular/planos-pos-pago</t>
        </is>
      </c>
      <c r="V4422" s="2" t="inlineStr">
        <is>
          <t>data/raw/vivo_postpaid_SP.html</t>
        </is>
      </c>
    </row>
    <row r="4423">
      <c r="A4423" s="5" t="inlineStr">
        <is>
          <t>2026-09-07</t>
        </is>
      </c>
      <c r="B4423" s="5" t="inlineStr">
        <is>
          <t>2026-09-07T20:15:39</t>
        </is>
      </c>
      <c r="C4423" s="5" t="inlineStr">
        <is>
          <t>vivo</t>
        </is>
      </c>
      <c r="D4423" s="5" t="inlineStr">
        <is>
          <t>postpaid</t>
        </is>
      </c>
      <c r="E4423" s="5" t="inlineStr">
        <is>
          <t>SP</t>
        </is>
      </c>
      <c r="F4423" s="5" t="inlineStr">
        <is>
          <t>Vivo Família 5</t>
        </is>
      </c>
      <c r="G4423" s="5" t="inlineStr">
        <is>
          <t>vivo:VIV202600034526</t>
        </is>
      </c>
      <c r="H4423" s="6" t="n">
        <v>530</v>
      </c>
      <c r="I4423" s="6" t="inlineStr"/>
      <c r="J4423" s="5" t="inlineStr"/>
      <c r="K4423" s="5" t="inlineStr"/>
      <c r="L4423" s="7" t="n">
        <v>300</v>
      </c>
      <c r="M4423" s="5" t="inlineStr">
        <is>
          <t>300 GB de franquia Você + 4 linhas adicionais Roaming Internacional com Vivo Travel Américas e Europa</t>
        </is>
      </c>
      <c r="N4423" s="5" t="inlineStr"/>
      <c r="O4423" s="5" t="inlineStr"/>
      <c r="P4423" s="5" t="inlineStr"/>
      <c r="Q4423" s="5" t="inlineStr"/>
      <c r="R4423" s="5" t="inlineStr"/>
      <c r="S4423" s="5" t="inlineStr"/>
      <c r="T4423" s="5" t="inlineStr">
        <is>
          <t>12 meses grátis de Gemini com AI Plus</t>
        </is>
      </c>
      <c r="U4423" s="5" t="inlineStr">
        <is>
          <t>https://vivo.com.br/para-voce/produtos-e-servicos/para-o-celular/planos-pos-pago</t>
        </is>
      </c>
      <c r="V4423" s="5" t="inlineStr">
        <is>
          <t>data/raw/vivo_postpaid_SP.html</t>
        </is>
      </c>
    </row>
    <row r="4424">
      <c r="A4424" s="2" t="inlineStr">
        <is>
          <t>2026-09-07</t>
        </is>
      </c>
      <c r="B4424" s="2" t="inlineStr">
        <is>
          <t>2026-09-07T20:15:39</t>
        </is>
      </c>
      <c r="C4424" s="2" t="inlineStr">
        <is>
          <t>vivo</t>
        </is>
      </c>
      <c r="D4424" s="2" t="inlineStr">
        <is>
          <t>postpaid</t>
        </is>
      </c>
      <c r="E4424" s="2" t="inlineStr">
        <is>
          <t>SP</t>
        </is>
      </c>
      <c r="F4424" s="2" t="inlineStr">
        <is>
          <t>Vivo Pós com Amazon</t>
        </is>
      </c>
      <c r="G4424" s="2" t="inlineStr">
        <is>
          <t>vivo:VIV202600034554</t>
        </is>
      </c>
      <c r="H4424" s="3" t="n">
        <v>150</v>
      </c>
      <c r="I4424" s="3" t="inlineStr"/>
      <c r="J4424" s="2" t="inlineStr"/>
      <c r="K4424" s="2" t="inlineStr"/>
      <c r="L4424" s="4" t="n">
        <v>60</v>
      </c>
      <c r="M4424" s="2" t="inlineStr">
        <is>
          <t>50 GB de franquia 10 GB de bônus</t>
        </is>
      </c>
      <c r="N4424" s="2" t="inlineStr"/>
      <c r="O4424" s="2" t="inlineStr"/>
      <c r="P4424" s="2" t="inlineStr"/>
      <c r="Q4424" s="2" t="inlineStr"/>
      <c r="R4424" s="2" t="inlineStr"/>
      <c r="S4424" s="2" t="inlineStr"/>
      <c r="T4424" s="2" t="inlineStr">
        <is>
          <t>Assinatura Amazon Prime inclusa</t>
        </is>
      </c>
      <c r="U4424" s="2" t="inlineStr">
        <is>
          <t>https://vivo.com.br/para-voce/produtos-e-servicos/para-o-celular/planos-pos-pago</t>
        </is>
      </c>
      <c r="V4424" s="2" t="inlineStr">
        <is>
          <t>data/raw/vivo_postpaid_SP.html</t>
        </is>
      </c>
    </row>
    <row r="4425">
      <c r="A4425" s="5" t="inlineStr">
        <is>
          <t>2026-09-07</t>
        </is>
      </c>
      <c r="B4425" s="5" t="inlineStr">
        <is>
          <t>2026-09-07T20:15:39</t>
        </is>
      </c>
      <c r="C4425" s="5" t="inlineStr">
        <is>
          <t>vivo</t>
        </is>
      </c>
      <c r="D4425" s="5" t="inlineStr">
        <is>
          <t>postpaid</t>
        </is>
      </c>
      <c r="E4425" s="5" t="inlineStr">
        <is>
          <t>SP</t>
        </is>
      </c>
      <c r="F4425" s="5" t="inlineStr">
        <is>
          <t>Vivo Pós com Disney+</t>
        </is>
      </c>
      <c r="G4425" s="5" t="inlineStr">
        <is>
          <t>vivo:VIV202600034532</t>
        </is>
      </c>
      <c r="H4425" s="6" t="n">
        <v>180</v>
      </c>
      <c r="I4425" s="6" t="inlineStr"/>
      <c r="J4425" s="5" t="inlineStr"/>
      <c r="K4425" s="5" t="inlineStr"/>
      <c r="L4425" s="7" t="n">
        <v>60</v>
      </c>
      <c r="M4425" s="5" t="inlineStr">
        <is>
          <t>50 GB de franquia 10 GB de bônus</t>
        </is>
      </c>
      <c r="N4425" s="5" t="inlineStr"/>
      <c r="O4425" s="5" t="inlineStr"/>
      <c r="P4425" s="5" t="inlineStr"/>
      <c r="Q4425" s="5" t="inlineStr"/>
      <c r="R4425" s="5" t="inlineStr">
        <is>
          <t>Disney+</t>
        </is>
      </c>
      <c r="S4425" s="5" t="inlineStr"/>
      <c r="T4425" s="5" t="inlineStr">
        <is>
          <t>Assinatura Disney+ Padrão inclusa</t>
        </is>
      </c>
      <c r="U4425" s="5" t="inlineStr">
        <is>
          <t>https://vivo.com.br/para-voce/produtos-e-servicos/para-o-celular/planos-pos-pago</t>
        </is>
      </c>
      <c r="V4425" s="5" t="inlineStr">
        <is>
          <t>data/raw/vivo_postpaid_SP.html</t>
        </is>
      </c>
    </row>
    <row r="4426">
      <c r="A4426" s="2" t="inlineStr">
        <is>
          <t>2026-09-07</t>
        </is>
      </c>
      <c r="B4426" s="2" t="inlineStr">
        <is>
          <t>2026-09-07T20:15:39</t>
        </is>
      </c>
      <c r="C4426" s="2" t="inlineStr">
        <is>
          <t>vivo</t>
        </is>
      </c>
      <c r="D4426" s="2" t="inlineStr">
        <is>
          <t>postpaid</t>
        </is>
      </c>
      <c r="E4426" s="2" t="inlineStr">
        <is>
          <t>SP</t>
        </is>
      </c>
      <c r="F4426" s="2" t="inlineStr">
        <is>
          <t>Vivo Pós com Globoplay</t>
        </is>
      </c>
      <c r="G4426" s="2" t="inlineStr">
        <is>
          <t>vivo:VIV202600034575</t>
        </is>
      </c>
      <c r="H4426" s="3" t="n">
        <v>165</v>
      </c>
      <c r="I4426" s="3" t="inlineStr"/>
      <c r="J4426" s="2" t="inlineStr"/>
      <c r="K4426" s="2" t="inlineStr"/>
      <c r="L4426" s="4" t="n">
        <v>60</v>
      </c>
      <c r="M4426" s="2" t="inlineStr">
        <is>
          <t>50 GB de franquia 10 GB de bônus</t>
        </is>
      </c>
      <c r="N4426" s="2" t="inlineStr"/>
      <c r="O4426" s="2" t="inlineStr"/>
      <c r="P4426" s="2" t="inlineStr"/>
      <c r="Q4426" s="2" t="inlineStr"/>
      <c r="R4426" s="2" t="inlineStr">
        <is>
          <t>Globoplay</t>
        </is>
      </c>
      <c r="S4426" s="2" t="inlineStr"/>
      <c r="T4426" s="2" t="inlineStr">
        <is>
          <t>Assinatura Globoplay inclusa</t>
        </is>
      </c>
      <c r="U4426" s="2" t="inlineStr">
        <is>
          <t>https://vivo.com.br/para-voce/produtos-e-servicos/para-o-celular/planos-pos-pago</t>
        </is>
      </c>
      <c r="V4426" s="2" t="inlineStr">
        <is>
          <t>data/raw/vivo_postpaid_SP.html</t>
        </is>
      </c>
    </row>
    <row r="4427">
      <c r="A4427" s="5" t="inlineStr">
        <is>
          <t>2026-09-07</t>
        </is>
      </c>
      <c r="B4427" s="5" t="inlineStr">
        <is>
          <t>2026-09-07T20:15:39</t>
        </is>
      </c>
      <c r="C4427" s="5" t="inlineStr">
        <is>
          <t>vivo</t>
        </is>
      </c>
      <c r="D4427" s="5" t="inlineStr">
        <is>
          <t>postpaid</t>
        </is>
      </c>
      <c r="E4427" s="5" t="inlineStr">
        <is>
          <t>SP</t>
        </is>
      </c>
      <c r="F4427" s="5" t="inlineStr">
        <is>
          <t>Vivo Pós com Netflix</t>
        </is>
      </c>
      <c r="G4427" s="5" t="inlineStr">
        <is>
          <t>vivo:VIV202600034562</t>
        </is>
      </c>
      <c r="H4427" s="6" t="n">
        <v>180</v>
      </c>
      <c r="I4427" s="6" t="inlineStr"/>
      <c r="J4427" s="5" t="inlineStr"/>
      <c r="K4427" s="5" t="inlineStr"/>
      <c r="L4427" s="7" t="n">
        <v>60</v>
      </c>
      <c r="M4427" s="5" t="inlineStr">
        <is>
          <t>50 GB de franquia 10 GB de bônus</t>
        </is>
      </c>
      <c r="N4427" s="5" t="inlineStr"/>
      <c r="O4427" s="5" t="inlineStr"/>
      <c r="P4427" s="5" t="inlineStr"/>
      <c r="Q4427" s="5" t="inlineStr"/>
      <c r="R4427" s="5" t="inlineStr">
        <is>
          <t>Netflix</t>
        </is>
      </c>
      <c r="S4427" s="5" t="inlineStr"/>
      <c r="T4427" s="5" t="inlineStr">
        <is>
          <t>Assinatura Netflix Padrão inclusa</t>
        </is>
      </c>
      <c r="U4427" s="5" t="inlineStr">
        <is>
          <t>https://vivo.com.br/para-voce/produtos-e-servicos/para-o-celular/planos-pos-pago</t>
        </is>
      </c>
      <c r="V4427" s="5" t="inlineStr">
        <is>
          <t>data/raw/vivo_postpaid_SP.html</t>
        </is>
      </c>
    </row>
    <row r="4428">
      <c r="A4428" s="2" t="inlineStr">
        <is>
          <t>2026-09-07</t>
        </is>
      </c>
      <c r="B4428" s="2" t="inlineStr">
        <is>
          <t>2026-09-07T20:15:39</t>
        </is>
      </c>
      <c r="C4428" s="2" t="inlineStr">
        <is>
          <t>vivo</t>
        </is>
      </c>
      <c r="D4428" s="2" t="inlineStr">
        <is>
          <t>postpaid</t>
        </is>
      </c>
      <c r="E4428" s="2" t="inlineStr">
        <is>
          <t>SP</t>
        </is>
      </c>
      <c r="F4428" s="2" t="inlineStr">
        <is>
          <t>Vivo Pós com Premiere</t>
        </is>
      </c>
      <c r="G4428" s="2" t="inlineStr">
        <is>
          <t>vivo:VIV202600034579</t>
        </is>
      </c>
      <c r="H4428" s="3" t="n">
        <v>180</v>
      </c>
      <c r="I4428" s="3" t="inlineStr"/>
      <c r="J4428" s="2" t="inlineStr"/>
      <c r="K4428" s="2" t="inlineStr"/>
      <c r="L4428" s="4" t="n">
        <v>60</v>
      </c>
      <c r="M4428" s="2" t="inlineStr">
        <is>
          <t>50 GB de franquia 10 GB de bônus</t>
        </is>
      </c>
      <c r="N4428" s="2" t="inlineStr"/>
      <c r="O4428" s="2" t="inlineStr"/>
      <c r="P4428" s="2" t="inlineStr"/>
      <c r="Q4428" s="2" t="inlineStr"/>
      <c r="R4428" s="2" t="inlineStr">
        <is>
          <t>Premiere</t>
        </is>
      </c>
      <c r="S4428" s="2" t="inlineStr"/>
      <c r="T4428" s="2" t="inlineStr">
        <is>
          <t>Assinatura Premiere inclusa</t>
        </is>
      </c>
      <c r="U4428" s="2" t="inlineStr">
        <is>
          <t>https://vivo.com.br/para-voce/produtos-e-servicos/para-o-celular/planos-pos-pago</t>
        </is>
      </c>
      <c r="V4428" s="2" t="inlineStr">
        <is>
          <t>data/raw/vivo_postpaid_SP.html</t>
        </is>
      </c>
    </row>
    <row r="4429">
      <c r="A4429" s="5" t="inlineStr">
        <is>
          <t>2026-09-07</t>
        </is>
      </c>
      <c r="B4429" s="5" t="inlineStr">
        <is>
          <t>2026-09-07T20:15:39</t>
        </is>
      </c>
      <c r="C4429" s="5" t="inlineStr">
        <is>
          <t>vivo</t>
        </is>
      </c>
      <c r="D4429" s="5" t="inlineStr">
        <is>
          <t>postpaid</t>
        </is>
      </c>
      <c r="E4429" s="5" t="inlineStr">
        <is>
          <t>SP</t>
        </is>
      </c>
      <c r="F4429" s="5" t="inlineStr">
        <is>
          <t>Vivo Pós com Spotify</t>
        </is>
      </c>
      <c r="G4429" s="5" t="inlineStr">
        <is>
          <t>vivo:VIV202600034556</t>
        </is>
      </c>
      <c r="H4429" s="6" t="n">
        <v>165</v>
      </c>
      <c r="I4429" s="6" t="inlineStr"/>
      <c r="J4429" s="5" t="inlineStr"/>
      <c r="K4429" s="5" t="inlineStr"/>
      <c r="L4429" s="7" t="n">
        <v>60</v>
      </c>
      <c r="M4429" s="5" t="inlineStr">
        <is>
          <t>50 GB de franquia 10 GB de bônus</t>
        </is>
      </c>
      <c r="N4429" s="5" t="inlineStr"/>
      <c r="O4429" s="5" t="inlineStr"/>
      <c r="P4429" s="5" t="inlineStr"/>
      <c r="Q4429" s="5" t="inlineStr"/>
      <c r="R4429" s="5" t="inlineStr">
        <is>
          <t>Spotify</t>
        </is>
      </c>
      <c r="S4429" s="5" t="inlineStr"/>
      <c r="T4429" s="5" t="inlineStr">
        <is>
          <t>Assinatura Spotify Premium inclusa</t>
        </is>
      </c>
      <c r="U4429" s="5" t="inlineStr">
        <is>
          <t>https://vivo.com.br/para-voce/produtos-e-servicos/para-o-celular/planos-pos-pago</t>
        </is>
      </c>
      <c r="V4429" s="5" t="inlineStr">
        <is>
          <t>data/raw/vivo_postpaid_SP.html</t>
        </is>
      </c>
    </row>
    <row r="4430">
      <c r="A4430" s="2" t="inlineStr">
        <is>
          <t>2026-09-07</t>
        </is>
      </c>
      <c r="B4430" s="2" t="inlineStr">
        <is>
          <t>2026-09-07T20:15:39</t>
        </is>
      </c>
      <c r="C4430" s="2" t="inlineStr">
        <is>
          <t>vivo</t>
        </is>
      </c>
      <c r="D4430" s="2" t="inlineStr">
        <is>
          <t>postpaid</t>
        </is>
      </c>
      <c r="E4430" s="2" t="inlineStr">
        <is>
          <t>SP</t>
        </is>
      </c>
      <c r="F4430" s="2" t="inlineStr">
        <is>
          <t>Vivo Pós com Travel</t>
        </is>
      </c>
      <c r="G4430" s="2" t="inlineStr">
        <is>
          <t>vivo:VIV202600034573</t>
        </is>
      </c>
      <c r="H4430" s="3" t="n">
        <v>215</v>
      </c>
      <c r="I4430" s="3" t="inlineStr"/>
      <c r="J4430" s="2" t="inlineStr"/>
      <c r="K4430" s="2" t="inlineStr"/>
      <c r="L4430" s="4" t="n">
        <v>70</v>
      </c>
      <c r="M4430" s="2" t="inlineStr">
        <is>
          <t>60 GB de franquia 10 GB de bônus</t>
        </is>
      </c>
      <c r="N4430" s="2" t="inlineStr"/>
      <c r="O4430" s="2" t="inlineStr"/>
      <c r="P4430" s="2" t="inlineStr"/>
      <c r="Q4430" s="2" t="inlineStr"/>
      <c r="R4430" s="2" t="inlineStr"/>
      <c r="S4430" s="2" t="inlineStr"/>
      <c r="T4430" s="2" t="inlineStr">
        <is>
          <t>6 meses grátis de Gemini com AI Plus</t>
        </is>
      </c>
      <c r="U4430" s="2" t="inlineStr">
        <is>
          <t>https://vivo.com.br/para-voce/produtos-e-servicos/para-o-celular/planos-pos-pago</t>
        </is>
      </c>
      <c r="V4430" s="2" t="inlineStr">
        <is>
          <t>data/raw/vivo_postpaid_SP.html</t>
        </is>
      </c>
    </row>
    <row r="4431">
      <c r="A4431" s="5" t="inlineStr">
        <is>
          <t>2026-09-07</t>
        </is>
      </c>
      <c r="B4431" s="5" t="inlineStr">
        <is>
          <t>2026-09-07T20:15:39</t>
        </is>
      </c>
      <c r="C4431" s="5" t="inlineStr">
        <is>
          <t>vivo</t>
        </is>
      </c>
      <c r="D4431" s="5" t="inlineStr">
        <is>
          <t>prepaid</t>
        </is>
      </c>
      <c r="E4431" s="5" t="inlineStr">
        <is>
          <t>SP</t>
        </is>
      </c>
      <c r="F4431" s="5" t="inlineStr">
        <is>
          <t>Vivo Pré</t>
        </is>
      </c>
      <c r="G4431" s="5" t="inlineStr">
        <is>
          <t>vivo:VIV202600029370-30d</t>
        </is>
      </c>
      <c r="H4431" s="6" t="n">
        <v>30</v>
      </c>
      <c r="I4431" s="6" t="inlineStr"/>
      <c r="J4431" s="5" t="inlineStr"/>
      <c r="K4431" s="5" t="inlineStr"/>
      <c r="L4431" s="7" t="n">
        <v>25</v>
      </c>
      <c r="M4431" s="5" t="inlineStr">
        <is>
          <t>15 GB para navegar como quiser 5 GB de bônus 5 GB para navegar no Youtube</t>
        </is>
      </c>
      <c r="N4431" s="5" t="n">
        <v>30</v>
      </c>
      <c r="O4431" s="5" t="inlineStr"/>
      <c r="P4431" s="5" t="inlineStr"/>
      <c r="Q4431" s="5" t="inlineStr"/>
      <c r="R4431" s="5" t="inlineStr"/>
      <c r="S4431" s="5" t="inlineStr"/>
      <c r="T4431" s="5" t="inlineStr"/>
      <c r="U4431" s="5" t="inlineStr">
        <is>
          <t>https://vivo.com.br/para-voce/produtos-e-servicos/para-o-celular/pre-pago/vivo-pre</t>
        </is>
      </c>
      <c r="V4431" s="5" t="inlineStr">
        <is>
          <t>data/raw/vivo_prepaid_SP.html</t>
        </is>
      </c>
    </row>
    <row r="4432">
      <c r="A4432" s="2" t="inlineStr">
        <is>
          <t>2026-09-07</t>
        </is>
      </c>
      <c r="B4432" s="2" t="inlineStr">
        <is>
          <t>2026-09-07T20:15:39</t>
        </is>
      </c>
      <c r="C4432" s="2" t="inlineStr">
        <is>
          <t>vivo</t>
        </is>
      </c>
      <c r="D4432" s="2" t="inlineStr">
        <is>
          <t>prepaid</t>
        </is>
      </c>
      <c r="E4432" s="2" t="inlineStr">
        <is>
          <t>SP</t>
        </is>
      </c>
      <c r="F4432" s="2" t="inlineStr">
        <is>
          <t>Vivo Pré</t>
        </is>
      </c>
      <c r="G4432" s="2" t="inlineStr">
        <is>
          <t>vivo:VIV202600029370-22d</t>
        </is>
      </c>
      <c r="H4432" s="3" t="n">
        <v>25</v>
      </c>
      <c r="I4432" s="3" t="inlineStr"/>
      <c r="J4432" s="2" t="inlineStr"/>
      <c r="K4432" s="2" t="inlineStr"/>
      <c r="L4432" s="4" t="n">
        <v>9</v>
      </c>
      <c r="M4432" s="2" t="inlineStr">
        <is>
          <t>6 GB para navegar como quiser 3 GB para navegar no YouTube</t>
        </is>
      </c>
      <c r="N4432" s="2" t="n">
        <v>22</v>
      </c>
      <c r="O4432" s="2" t="inlineStr"/>
      <c r="P4432" s="2" t="inlineStr"/>
      <c r="Q4432" s="2" t="inlineStr"/>
      <c r="R4432" s="2" t="inlineStr"/>
      <c r="S4432" s="2" t="inlineStr"/>
      <c r="T4432" s="2" t="inlineStr"/>
      <c r="U4432" s="2" t="inlineStr">
        <is>
          <t>https://vivo.com.br/para-voce/produtos-e-servicos/para-o-celular/pre-pago/vivo-pre</t>
        </is>
      </c>
      <c r="V4432" s="2" t="inlineStr">
        <is>
          <t>data/raw/vivo_prepaid_SP.html</t>
        </is>
      </c>
    </row>
    <row r="4433">
      <c r="A4433" s="5" t="inlineStr">
        <is>
          <t>2026-09-07</t>
        </is>
      </c>
      <c r="B4433" s="5" t="inlineStr">
        <is>
          <t>2026-09-07T20:15:39</t>
        </is>
      </c>
      <c r="C4433" s="5" t="inlineStr">
        <is>
          <t>vivo</t>
        </is>
      </c>
      <c r="D4433" s="5" t="inlineStr">
        <is>
          <t>prepaid</t>
        </is>
      </c>
      <c r="E4433" s="5" t="inlineStr">
        <is>
          <t>SP</t>
        </is>
      </c>
      <c r="F4433" s="5" t="inlineStr">
        <is>
          <t>Vivo Pré</t>
        </is>
      </c>
      <c r="G4433" s="5" t="inlineStr">
        <is>
          <t>vivo:VIV202600029370-17d</t>
        </is>
      </c>
      <c r="H4433" s="6" t="n">
        <v>20</v>
      </c>
      <c r="I4433" s="6" t="inlineStr"/>
      <c r="J4433" s="5" t="inlineStr"/>
      <c r="K4433" s="5" t="inlineStr"/>
      <c r="L4433" s="7" t="n">
        <v>5</v>
      </c>
      <c r="M4433" s="5" t="inlineStr">
        <is>
          <t>5 GB para navegar como quiser</t>
        </is>
      </c>
      <c r="N4433" s="5" t="n">
        <v>17</v>
      </c>
      <c r="O4433" s="5" t="inlineStr"/>
      <c r="P4433" s="5" t="inlineStr"/>
      <c r="Q4433" s="5" t="inlineStr"/>
      <c r="R4433" s="5" t="inlineStr"/>
      <c r="S4433" s="5" t="inlineStr"/>
      <c r="T4433" s="5" t="inlineStr"/>
      <c r="U4433" s="5" t="inlineStr">
        <is>
          <t>https://vivo.com.br/para-voce/produtos-e-servicos/para-o-celular/pre-pago/vivo-pre</t>
        </is>
      </c>
      <c r="V4433" s="5" t="inlineStr">
        <is>
          <t>data/raw/vivo_prepaid_SP.html</t>
        </is>
      </c>
    </row>
    <row r="4434">
      <c r="A4434" s="2" t="inlineStr">
        <is>
          <t>2026-09-07</t>
        </is>
      </c>
      <c r="B4434" s="2" t="inlineStr">
        <is>
          <t>2026-09-07T20:15:39</t>
        </is>
      </c>
      <c r="C4434" s="2" t="inlineStr">
        <is>
          <t>vivo</t>
        </is>
      </c>
      <c r="D4434" s="2" t="inlineStr">
        <is>
          <t>prepaid</t>
        </is>
      </c>
      <c r="E4434" s="2" t="inlineStr">
        <is>
          <t>SP</t>
        </is>
      </c>
      <c r="F4434" s="2" t="inlineStr">
        <is>
          <t>Vivo Pré</t>
        </is>
      </c>
      <c r="G4434" s="2" t="inlineStr">
        <is>
          <t>vivo:VIV202600029370-15d</t>
        </is>
      </c>
      <c r="H4434" s="3" t="n">
        <v>17</v>
      </c>
      <c r="I4434" s="3" t="inlineStr"/>
      <c r="J4434" s="2" t="inlineStr"/>
      <c r="K4434" s="2" t="inlineStr"/>
      <c r="L4434" s="4" t="n">
        <v>4</v>
      </c>
      <c r="M4434" s="2" t="inlineStr">
        <is>
          <t>4 GB para navegar como quiser</t>
        </is>
      </c>
      <c r="N4434" s="2" t="n">
        <v>15</v>
      </c>
      <c r="O4434" s="2" t="inlineStr"/>
      <c r="P4434" s="2" t="inlineStr"/>
      <c r="Q4434" s="2" t="inlineStr"/>
      <c r="R4434" s="2" t="inlineStr"/>
      <c r="S4434" s="2" t="inlineStr"/>
      <c r="T4434" s="2" t="inlineStr"/>
      <c r="U4434" s="2" t="inlineStr">
        <is>
          <t>https://vivo.com.br/para-voce/produtos-e-servicos/para-o-celular/pre-pago/vivo-pre</t>
        </is>
      </c>
      <c r="V4434" s="2" t="inlineStr">
        <is>
          <t>data/raw/vivo_prepaid_SP.html</t>
        </is>
      </c>
    </row>
    <row r="4435">
      <c r="A4435" s="5" t="inlineStr">
        <is>
          <t>2026-09-08</t>
        </is>
      </c>
      <c r="B4435" s="5" t="inlineStr">
        <is>
          <t>2026-09-08T20:09:02</t>
        </is>
      </c>
      <c r="C4435" s="5" t="inlineStr">
        <is>
          <t>claro</t>
        </is>
      </c>
      <c r="D4435" s="5" t="inlineStr">
        <is>
          <t>control</t>
        </is>
      </c>
      <c r="E4435" s="5" t="inlineStr">
        <is>
          <t>SP</t>
        </is>
      </c>
      <c r="F4435" s="5" t="inlineStr">
        <is>
          <t>Controle 25GB</t>
        </is>
      </c>
      <c r="G4435" s="5" t="inlineStr">
        <is>
          <t>claro:plano-controle-25gb</t>
        </is>
      </c>
      <c r="H4435" s="6" t="n">
        <v>59.9</v>
      </c>
      <c r="I4435" s="6" t="n">
        <v>54.9</v>
      </c>
      <c r="J4435" s="5" t="inlineStr">
        <is>
          <t>De R$ 59,90 Por:</t>
        </is>
      </c>
      <c r="K4435" s="5" t="inlineStr"/>
      <c r="L4435" s="7" t="n">
        <v>25</v>
      </c>
      <c r="M4435" s="5" t="inlineStr"/>
      <c r="N4435" s="5" t="inlineStr"/>
      <c r="O4435" s="5" t="inlineStr">
        <is>
          <t>WhatsApp</t>
        </is>
      </c>
      <c r="P4435" s="5" t="inlineStr"/>
      <c r="Q4435" s="5" t="inlineStr"/>
      <c r="R4435" s="5" t="inlineStr"/>
      <c r="S4435" s="5" t="inlineStr"/>
      <c r="T4435" s="5" t="inlineStr">
        <is>
          <t>Para uso livre; Para redes sociais e vídeos; Bônus exclusivo; Aproveite na sua franquia; WhatsApp e ligações ilimitadas</t>
        </is>
      </c>
      <c r="U4435" s="5" t="inlineStr">
        <is>
          <t>https://www.claro.com.br/celular/controle</t>
        </is>
      </c>
      <c r="V4435" s="5" t="inlineStr">
        <is>
          <t>data/raw/claro_control_SP.json</t>
        </is>
      </c>
    </row>
    <row r="4436">
      <c r="A4436" s="2" t="inlineStr">
        <is>
          <t>2026-09-08</t>
        </is>
      </c>
      <c r="B4436" s="2" t="inlineStr">
        <is>
          <t>2026-09-08T20:09:02</t>
        </is>
      </c>
      <c r="C4436" s="2" t="inlineStr">
        <is>
          <t>claro</t>
        </is>
      </c>
      <c r="D4436" s="2" t="inlineStr">
        <is>
          <t>control</t>
        </is>
      </c>
      <c r="E4436" s="2" t="inlineStr">
        <is>
          <t>SP</t>
        </is>
      </c>
      <c r="F4436" s="2" t="inlineStr">
        <is>
          <t>Controle 30GB</t>
        </is>
      </c>
      <c r="G4436" s="2" t="inlineStr">
        <is>
          <t>claro:plano-controle-30gb</t>
        </is>
      </c>
      <c r="H4436" s="3" t="n">
        <v>69.90000000000001</v>
      </c>
      <c r="I4436" s="3" t="inlineStr"/>
      <c r="J4436" s="2" t="inlineStr"/>
      <c r="K4436" s="2" t="inlineStr"/>
      <c r="L4436" s="4" t="n">
        <v>30</v>
      </c>
      <c r="M4436" s="2" t="inlineStr"/>
      <c r="N4436" s="2" t="inlineStr"/>
      <c r="O4436" s="2" t="inlineStr">
        <is>
          <t>WhatsApp</t>
        </is>
      </c>
      <c r="P4436" s="2" t="inlineStr"/>
      <c r="Q4436" s="2" t="inlineStr"/>
      <c r="R4436" s="2" t="inlineStr"/>
      <c r="S4436" s="2" t="inlineStr"/>
      <c r="T4436" s="2" t="inlineStr">
        <is>
          <t>Para uso livre; Bônus para uso livre; Bônus para redes sociais e apps; Assinatura Amazon Prime por 3 meses; Redes sociais e apps; WhatsApp ilimitado</t>
        </is>
      </c>
      <c r="U4436" s="2" t="inlineStr">
        <is>
          <t>https://www.claro.com.br/celular/controle</t>
        </is>
      </c>
      <c r="V4436" s="2" t="inlineStr">
        <is>
          <t>data/raw/claro_control_SP.json</t>
        </is>
      </c>
    </row>
    <row r="4437">
      <c r="A4437" s="5" t="inlineStr">
        <is>
          <t>2026-09-08</t>
        </is>
      </c>
      <c r="B4437" s="5" t="inlineStr">
        <is>
          <t>2026-09-08T20:09:02</t>
        </is>
      </c>
      <c r="C4437" s="5" t="inlineStr">
        <is>
          <t>claro</t>
        </is>
      </c>
      <c r="D4437" s="5" t="inlineStr">
        <is>
          <t>control</t>
        </is>
      </c>
      <c r="E4437" s="5" t="inlineStr">
        <is>
          <t>SP</t>
        </is>
      </c>
      <c r="F4437" s="5" t="inlineStr">
        <is>
          <t>Controle 30GB</t>
        </is>
      </c>
      <c r="G4437" s="5" t="inlineStr">
        <is>
          <t>claro:plano-controle-30gb-gaming</t>
        </is>
      </c>
      <c r="H4437" s="6" t="n">
        <v>99.90000000000001</v>
      </c>
      <c r="I4437" s="6" t="inlineStr"/>
      <c r="J4437" s="5" t="inlineStr"/>
      <c r="K4437" s="5" t="inlineStr"/>
      <c r="L4437" s="7" t="n">
        <v>30</v>
      </c>
      <c r="M4437" s="5" t="inlineStr"/>
      <c r="N4437" s="5" t="inlineStr"/>
      <c r="O4437" s="5" t="inlineStr">
        <is>
          <t>WhatsApp</t>
        </is>
      </c>
      <c r="P4437" s="5" t="inlineStr"/>
      <c r="Q4437" s="5" t="inlineStr"/>
      <c r="R4437" s="5" t="inlineStr"/>
      <c r="S4437" s="5" t="inlineStr"/>
      <c r="T4437" s="5" t="inlineStr">
        <is>
          <t>Para uso livre; Bônus para redes sociais e apps; Bônus uso livre; Assinatura Amazon Prime por 3 meses; Redes sociais e apps; WhatsApp ilimitado</t>
        </is>
      </c>
      <c r="U4437" s="5" t="inlineStr">
        <is>
          <t>https://www.claro.com.br/celular/controle</t>
        </is>
      </c>
      <c r="V4437" s="5" t="inlineStr">
        <is>
          <t>data/raw/claro_control_SP.json</t>
        </is>
      </c>
    </row>
    <row r="4438">
      <c r="A4438" s="2" t="inlineStr">
        <is>
          <t>2026-09-08</t>
        </is>
      </c>
      <c r="B4438" s="2" t="inlineStr">
        <is>
          <t>2026-09-08T20:09:02</t>
        </is>
      </c>
      <c r="C4438" s="2" t="inlineStr">
        <is>
          <t>claro</t>
        </is>
      </c>
      <c r="D4438" s="2" t="inlineStr">
        <is>
          <t>flex</t>
        </is>
      </c>
      <c r="E4438" s="2" t="inlineStr">
        <is>
          <t>SP</t>
        </is>
      </c>
      <c r="F4438" s="2" t="inlineStr">
        <is>
          <t>Flex 15GB</t>
        </is>
      </c>
      <c r="G4438" s="2" t="inlineStr">
        <is>
          <t>claro:plano-flex-15gb</t>
        </is>
      </c>
      <c r="H4438" s="3" t="n">
        <v>44.9</v>
      </c>
      <c r="I4438" s="3" t="inlineStr"/>
      <c r="J4438" s="2" t="inlineStr"/>
      <c r="K4438" s="2" t="inlineStr"/>
      <c r="L4438" s="4" t="n">
        <v>15</v>
      </c>
      <c r="M4438" s="2" t="inlineStr"/>
      <c r="N4438" s="2" t="inlineStr"/>
      <c r="O4438" s="2" t="inlineStr">
        <is>
          <t>WhatsApp</t>
        </is>
      </c>
      <c r="P4438" s="2" t="inlineStr"/>
      <c r="Q4438" s="2" t="inlineStr"/>
      <c r="R4438" s="2" t="inlineStr"/>
      <c r="S4438" s="2" t="inlineStr"/>
      <c r="T4438" s="2" t="inlineStr">
        <is>
          <t>Para uso livre; Para redes sociais e apps; Bônus extra nos apps; WhatsApp ilimitado</t>
        </is>
      </c>
      <c r="U4438" s="2" t="inlineStr">
        <is>
          <t>https://www.claro.com.br/celular/flex</t>
        </is>
      </c>
      <c r="V4438" s="2" t="inlineStr">
        <is>
          <t>data/raw/claro_flex_SP.json</t>
        </is>
      </c>
    </row>
    <row r="4439">
      <c r="A4439" s="5" t="inlineStr">
        <is>
          <t>2026-09-08</t>
        </is>
      </c>
      <c r="B4439" s="5" t="inlineStr">
        <is>
          <t>2026-09-08T20:09:02</t>
        </is>
      </c>
      <c r="C4439" s="5" t="inlineStr">
        <is>
          <t>claro</t>
        </is>
      </c>
      <c r="D4439" s="5" t="inlineStr">
        <is>
          <t>flex</t>
        </is>
      </c>
      <c r="E4439" s="5" t="inlineStr">
        <is>
          <t>SP</t>
        </is>
      </c>
      <c r="F4439" s="5" t="inlineStr">
        <is>
          <t>Flex 20GB</t>
        </is>
      </c>
      <c r="G4439" s="5" t="inlineStr">
        <is>
          <t>claro:plano-flex-20gb</t>
        </is>
      </c>
      <c r="H4439" s="6" t="n">
        <v>59.9</v>
      </c>
      <c r="I4439" s="6" t="inlineStr"/>
      <c r="J4439" s="5" t="inlineStr"/>
      <c r="K4439" s="5" t="inlineStr"/>
      <c r="L4439" s="7" t="n">
        <v>20</v>
      </c>
      <c r="M4439" s="5" t="inlineStr"/>
      <c r="N4439" s="5" t="inlineStr"/>
      <c r="O4439" s="5" t="inlineStr">
        <is>
          <t>WhatsApp</t>
        </is>
      </c>
      <c r="P4439" s="5" t="inlineStr"/>
      <c r="Q4439" s="5" t="inlineStr"/>
      <c r="R4439" s="5" t="inlineStr"/>
      <c r="S4439" s="5" t="inlineStr"/>
      <c r="T4439" s="5" t="inlineStr">
        <is>
          <t>Para uso livre; Para redes sociais e apps; Bônus extra nos apps; WhatsApp ilimitado</t>
        </is>
      </c>
      <c r="U4439" s="5" t="inlineStr">
        <is>
          <t>https://www.claro.com.br/celular/flex</t>
        </is>
      </c>
      <c r="V4439" s="5" t="inlineStr">
        <is>
          <t>data/raw/claro_flex_SP.json</t>
        </is>
      </c>
    </row>
    <row r="4440">
      <c r="A4440" s="2" t="inlineStr">
        <is>
          <t>2026-09-08</t>
        </is>
      </c>
      <c r="B4440" s="2" t="inlineStr">
        <is>
          <t>2026-09-08T20:09:02</t>
        </is>
      </c>
      <c r="C4440" s="2" t="inlineStr">
        <is>
          <t>claro</t>
        </is>
      </c>
      <c r="D4440" s="2" t="inlineStr">
        <is>
          <t>flex</t>
        </is>
      </c>
      <c r="E4440" s="2" t="inlineStr">
        <is>
          <t>SP</t>
        </is>
      </c>
      <c r="F4440" s="2" t="inlineStr">
        <is>
          <t>Flex 30GB</t>
        </is>
      </c>
      <c r="G4440" s="2" t="inlineStr">
        <is>
          <t>claro:plano-flex-30gb</t>
        </is>
      </c>
      <c r="H4440" s="3" t="n">
        <v>69.90000000000001</v>
      </c>
      <c r="I4440" s="3" t="inlineStr"/>
      <c r="J4440" s="2" t="inlineStr"/>
      <c r="K4440" s="2" t="inlineStr"/>
      <c r="L4440" s="4" t="n">
        <v>30</v>
      </c>
      <c r="M4440" s="2" t="inlineStr"/>
      <c r="N4440" s="2" t="inlineStr"/>
      <c r="O4440" s="2" t="inlineStr">
        <is>
          <t>WhatsApp</t>
        </is>
      </c>
      <c r="P4440" s="2" t="inlineStr"/>
      <c r="Q4440" s="2" t="inlineStr"/>
      <c r="R4440" s="2" t="inlineStr"/>
      <c r="S4440" s="2" t="inlineStr"/>
      <c r="T4440" s="2" t="inlineStr">
        <is>
          <t>Para uso livre; Para redes sociais e apps; Bônus extra nos apps; WhatsApp ilimitado; Assinatura Claro musica inclusa</t>
        </is>
      </c>
      <c r="U4440" s="2" t="inlineStr">
        <is>
          <t>https://www.claro.com.br/celular/flex</t>
        </is>
      </c>
      <c r="V4440" s="2" t="inlineStr">
        <is>
          <t>data/raw/claro_flex_SP.json</t>
        </is>
      </c>
    </row>
    <row r="4441">
      <c r="A4441" s="5" t="inlineStr">
        <is>
          <t>2026-09-08</t>
        </is>
      </c>
      <c r="B4441" s="5" t="inlineStr">
        <is>
          <t>2026-09-08T20:09:02</t>
        </is>
      </c>
      <c r="C4441" s="5" t="inlineStr">
        <is>
          <t>claro</t>
        </is>
      </c>
      <c r="D4441" s="5" t="inlineStr">
        <is>
          <t>flex</t>
        </is>
      </c>
      <c r="E4441" s="5" t="inlineStr">
        <is>
          <t>SP</t>
        </is>
      </c>
      <c r="F4441" s="5" t="inlineStr">
        <is>
          <t>Flex 40GB</t>
        </is>
      </c>
      <c r="G4441" s="5" t="inlineStr">
        <is>
          <t>claro:plano-flex-40gb</t>
        </is>
      </c>
      <c r="H4441" s="6" t="n">
        <v>119.9</v>
      </c>
      <c r="I4441" s="6" t="inlineStr"/>
      <c r="J4441" s="5" t="inlineStr"/>
      <c r="K4441" s="5" t="inlineStr"/>
      <c r="L4441" s="7" t="n">
        <v>40</v>
      </c>
      <c r="M4441" s="5" t="inlineStr"/>
      <c r="N4441" s="5" t="inlineStr"/>
      <c r="O4441" s="5" t="inlineStr">
        <is>
          <t>WhatsApp</t>
        </is>
      </c>
      <c r="P4441" s="5" t="inlineStr"/>
      <c r="Q4441" s="5" t="inlineStr"/>
      <c r="R4441" s="5" t="inlineStr"/>
      <c r="S4441" s="5" t="inlineStr"/>
      <c r="T4441" s="5" t="inlineStr">
        <is>
          <t>Para uso livre; WhatsApp ilimitado; Assinatura Claro musica inclusa; Roaming: Passaporte Américas</t>
        </is>
      </c>
      <c r="U4441" s="5" t="inlineStr">
        <is>
          <t>https://www.claro.com.br/celular/flex</t>
        </is>
      </c>
      <c r="V4441" s="5" t="inlineStr">
        <is>
          <t>data/raw/claro_flex_SP.json</t>
        </is>
      </c>
    </row>
    <row r="4442">
      <c r="A4442" s="2" t="inlineStr">
        <is>
          <t>2026-09-08</t>
        </is>
      </c>
      <c r="B4442" s="2" t="inlineStr">
        <is>
          <t>2026-09-08T20:09:02</t>
        </is>
      </c>
      <c r="C4442" s="2" t="inlineStr">
        <is>
          <t>claro</t>
        </is>
      </c>
      <c r="D4442" s="2" t="inlineStr">
        <is>
          <t>postpaid</t>
        </is>
      </c>
      <c r="E4442" s="2" t="inlineStr">
        <is>
          <t>SP</t>
        </is>
      </c>
      <c r="F4442" s="2" t="inlineStr">
        <is>
          <t>Pós 100GB</t>
        </is>
      </c>
      <c r="G4442" s="2" t="inlineStr">
        <is>
          <t>claro:plano-pos-100gb</t>
        </is>
      </c>
      <c r="H4442" s="3" t="n">
        <v>179.9</v>
      </c>
      <c r="I4442" s="3" t="inlineStr"/>
      <c r="J4442" s="2" t="inlineStr"/>
      <c r="K4442" s="2" t="inlineStr"/>
      <c r="L4442" s="4" t="n">
        <v>100</v>
      </c>
      <c r="M4442" s="2" t="inlineStr"/>
      <c r="N4442" s="2" t="inlineStr"/>
      <c r="O4442" s="2" t="inlineStr">
        <is>
          <t>WhatsApp</t>
        </is>
      </c>
      <c r="P4442" s="2" t="inlineStr"/>
      <c r="Q4442" s="2" t="inlineStr"/>
      <c r="R4442" s="2" t="inlineStr"/>
      <c r="S4442" s="2" t="inlineStr"/>
      <c r="T4442" s="2" t="inlineStr">
        <is>
          <t>Armazenamento na nuvem:; Google One ou iCloud+; WhatsApp ilimitado; Assinatura Amazon Prime por 3 meses; Roaming: Passaporte Américas; Claro Sync: Smartwatch conectado</t>
        </is>
      </c>
      <c r="U4442" s="2" t="inlineStr">
        <is>
          <t>https://www.claro.com.br/celular/pos</t>
        </is>
      </c>
      <c r="V4442" s="2" t="inlineStr">
        <is>
          <t>data/raw/claro_postpaid_SP.json</t>
        </is>
      </c>
    </row>
    <row r="4443">
      <c r="A4443" s="5" t="inlineStr">
        <is>
          <t>2026-09-08</t>
        </is>
      </c>
      <c r="B4443" s="5" t="inlineStr">
        <is>
          <t>2026-09-08T20:09:02</t>
        </is>
      </c>
      <c r="C4443" s="5" t="inlineStr">
        <is>
          <t>claro</t>
        </is>
      </c>
      <c r="D4443" s="5" t="inlineStr">
        <is>
          <t>postpaid</t>
        </is>
      </c>
      <c r="E4443" s="5" t="inlineStr">
        <is>
          <t>SP</t>
        </is>
      </c>
      <c r="F4443" s="5" t="inlineStr">
        <is>
          <t>Pós 150GB</t>
        </is>
      </c>
      <c r="G4443" s="5" t="inlineStr">
        <is>
          <t>claro:plano-pos-150gb</t>
        </is>
      </c>
      <c r="H4443" s="6" t="n">
        <v>239.9</v>
      </c>
      <c r="I4443" s="6" t="inlineStr"/>
      <c r="J4443" s="5" t="inlineStr"/>
      <c r="K4443" s="5" t="inlineStr"/>
      <c r="L4443" s="7" t="n">
        <v>150</v>
      </c>
      <c r="M4443" s="5" t="inlineStr"/>
      <c r="N4443" s="5" t="inlineStr"/>
      <c r="O4443" s="5" t="inlineStr">
        <is>
          <t>WhatsApp</t>
        </is>
      </c>
      <c r="P4443" s="5" t="inlineStr"/>
      <c r="Q4443" s="5" t="inlineStr"/>
      <c r="R4443" s="5" t="inlineStr"/>
      <c r="S4443" s="5" t="inlineStr"/>
      <c r="T4443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443" s="5" t="inlineStr">
        <is>
          <t>https://www.claro.com.br/celular/pos</t>
        </is>
      </c>
      <c r="V4443" s="5" t="inlineStr">
        <is>
          <t>data/raw/claro_postpaid_SP.json</t>
        </is>
      </c>
    </row>
    <row r="4444">
      <c r="A4444" s="2" t="inlineStr">
        <is>
          <t>2026-09-08</t>
        </is>
      </c>
      <c r="B4444" s="2" t="inlineStr">
        <is>
          <t>2026-09-08T20:09:02</t>
        </is>
      </c>
      <c r="C4444" s="2" t="inlineStr">
        <is>
          <t>claro</t>
        </is>
      </c>
      <c r="D4444" s="2" t="inlineStr">
        <is>
          <t>postpaid</t>
        </is>
      </c>
      <c r="E4444" s="2" t="inlineStr">
        <is>
          <t>SP</t>
        </is>
      </c>
      <c r="F4444" s="2" t="inlineStr">
        <is>
          <t>Pós 200GB</t>
        </is>
      </c>
      <c r="G4444" s="2" t="inlineStr">
        <is>
          <t>claro:plano-pos-200gb</t>
        </is>
      </c>
      <c r="H4444" s="3" t="n">
        <v>339.9</v>
      </c>
      <c r="I4444" s="3" t="inlineStr"/>
      <c r="J4444" s="2" t="inlineStr"/>
      <c r="K4444" s="2" t="inlineStr"/>
      <c r="L4444" s="4" t="n">
        <v>200</v>
      </c>
      <c r="M4444" s="2" t="inlineStr"/>
      <c r="N4444" s="2" t="inlineStr"/>
      <c r="O4444" s="2" t="inlineStr">
        <is>
          <t>WhatsApp</t>
        </is>
      </c>
      <c r="P4444" s="2" t="inlineStr"/>
      <c r="Q4444" s="2" t="inlineStr"/>
      <c r="R4444" s="2" t="inlineStr"/>
      <c r="S4444" s="2" t="inlineStr"/>
      <c r="T4444" s="2" t="inlineStr">
        <is>
          <t>Armazenamento na nuvem:; Google One (AI Plus) ou iCloud+; WhatsApp ilimitado; Assinatura Amazon Prime por 3 meses; Roaming: Passaporte Mundo; Claro Sync: Smartwatch conectado</t>
        </is>
      </c>
      <c r="U4444" s="2" t="inlineStr">
        <is>
          <t>https://www.claro.com.br/celular/pos</t>
        </is>
      </c>
      <c r="V4444" s="2" t="inlineStr">
        <is>
          <t>data/raw/claro_postpaid_SP.json</t>
        </is>
      </c>
    </row>
    <row r="4445">
      <c r="A4445" s="5" t="inlineStr">
        <is>
          <t>2026-09-08</t>
        </is>
      </c>
      <c r="B4445" s="5" t="inlineStr">
        <is>
          <t>2026-09-08T20:09:02</t>
        </is>
      </c>
      <c r="C4445" s="5" t="inlineStr">
        <is>
          <t>claro</t>
        </is>
      </c>
      <c r="D4445" s="5" t="inlineStr">
        <is>
          <t>postpaid</t>
        </is>
      </c>
      <c r="E4445" s="5" t="inlineStr">
        <is>
          <t>SP</t>
        </is>
      </c>
      <c r="F4445" s="5" t="inlineStr">
        <is>
          <t>Pós 50GB com GeForce NOW</t>
        </is>
      </c>
      <c r="G4445" s="5" t="inlineStr">
        <is>
          <t>claro:plano-pos-60gb-geforce</t>
        </is>
      </c>
      <c r="H4445" s="6" t="n">
        <v>164.9</v>
      </c>
      <c r="I4445" s="6" t="inlineStr"/>
      <c r="J4445" s="5" t="inlineStr"/>
      <c r="K4445" s="5" t="inlineStr"/>
      <c r="L4445" s="7" t="n">
        <v>50</v>
      </c>
      <c r="M4445" s="5" t="inlineStr"/>
      <c r="N4445" s="5" t="inlineStr"/>
      <c r="O4445" s="5" t="inlineStr">
        <is>
          <t>WhatsApp</t>
        </is>
      </c>
      <c r="P4445" s="5" t="inlineStr"/>
      <c r="Q4445" s="5" t="inlineStr"/>
      <c r="R4445" s="5" t="inlineStr"/>
      <c r="S4445" s="5" t="inlineStr"/>
      <c r="T444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445" s="5" t="inlineStr">
        <is>
          <t>https://www.claro.com.br/celular/pos</t>
        </is>
      </c>
      <c r="V4445" s="5" t="inlineStr">
        <is>
          <t>data/raw/claro_postpaid_SP.json</t>
        </is>
      </c>
    </row>
    <row r="4446">
      <c r="A4446" s="2" t="inlineStr">
        <is>
          <t>2026-09-08</t>
        </is>
      </c>
      <c r="B4446" s="2" t="inlineStr">
        <is>
          <t>2026-09-08T20:09:02</t>
        </is>
      </c>
      <c r="C4446" s="2" t="inlineStr">
        <is>
          <t>claro</t>
        </is>
      </c>
      <c r="D4446" s="2" t="inlineStr">
        <is>
          <t>postpaid</t>
        </is>
      </c>
      <c r="E4446" s="2" t="inlineStr">
        <is>
          <t>SP</t>
        </is>
      </c>
      <c r="F4446" s="2" t="inlineStr">
        <is>
          <t>Pós 60GB</t>
        </is>
      </c>
      <c r="G4446" s="2" t="inlineStr">
        <is>
          <t>claro:plano-pos-60gb</t>
        </is>
      </c>
      <c r="H4446" s="3" t="n">
        <v>124.9</v>
      </c>
      <c r="I4446" s="3" t="inlineStr"/>
      <c r="J4446" s="2" t="inlineStr"/>
      <c r="K4446" s="2" t="inlineStr"/>
      <c r="L4446" s="4" t="n">
        <v>60</v>
      </c>
      <c r="M4446" s="2" t="inlineStr"/>
      <c r="N4446" s="2" t="inlineStr"/>
      <c r="O4446" s="2" t="inlineStr">
        <is>
          <t>WhatsApp</t>
        </is>
      </c>
      <c r="P4446" s="2" t="inlineStr"/>
      <c r="Q4446" s="2" t="inlineStr"/>
      <c r="R4446" s="2" t="inlineStr"/>
      <c r="S4446" s="2" t="inlineStr"/>
      <c r="T4446" s="2" t="inlineStr">
        <is>
          <t>Armazenamento na nuvem:; Google One ou iCloud+; WhatsApp ilimitado; Assinatura Amazon Prime por 3 meses; Roaming: Passaporte Américas; Claro Sync: Smartwatch conectado</t>
        </is>
      </c>
      <c r="U4446" s="2" t="inlineStr">
        <is>
          <t>https://www.claro.com.br/celular/pos</t>
        </is>
      </c>
      <c r="V4446" s="2" t="inlineStr">
        <is>
          <t>data/raw/claro_postpaid_SP.json</t>
        </is>
      </c>
    </row>
    <row r="4447">
      <c r="A4447" s="5" t="inlineStr">
        <is>
          <t>2026-09-08</t>
        </is>
      </c>
      <c r="B4447" s="5" t="inlineStr">
        <is>
          <t>2026-09-08T20:09:02</t>
        </is>
      </c>
      <c r="C4447" s="5" t="inlineStr">
        <is>
          <t>claro</t>
        </is>
      </c>
      <c r="D4447" s="5" t="inlineStr">
        <is>
          <t>prepaid</t>
        </is>
      </c>
      <c r="E4447" s="5" t="inlineStr">
        <is>
          <t>SP</t>
        </is>
      </c>
      <c r="F4447" s="5" t="inlineStr">
        <is>
          <t>Prezão 10GB (25 dias)</t>
        </is>
      </c>
      <c r="G4447" s="5" t="inlineStr">
        <is>
          <t>claro:prezao-25d-10gb</t>
        </is>
      </c>
      <c r="H4447" s="6" t="n">
        <v>25</v>
      </c>
      <c r="I4447" s="6" t="inlineStr"/>
      <c r="J4447" s="5" t="inlineStr">
        <is>
          <t>recarga Prezão R$25 — validade 25 dias</t>
        </is>
      </c>
      <c r="K4447" s="5" t="inlineStr"/>
      <c r="L4447" s="7" t="n">
        <v>10</v>
      </c>
      <c r="M4447" s="5" t="inlineStr"/>
      <c r="N4447" s="5" t="n">
        <v>25</v>
      </c>
      <c r="O4447" s="5" t="inlineStr"/>
      <c r="P4447" s="5" t="inlineStr"/>
      <c r="Q4447" s="5" t="inlineStr"/>
      <c r="R4447" s="5" t="inlineStr"/>
      <c r="S4447" s="5" t="inlineStr"/>
      <c r="T4447" s="5" t="inlineStr"/>
      <c r="U4447" s="5" t="inlineStr">
        <is>
          <t>https://www.claro.com.br/celular/planos-pre/prezao</t>
        </is>
      </c>
      <c r="V4447" s="5" t="inlineStr">
        <is>
          <t>data/raw/claro_prepaid_SP.json</t>
        </is>
      </c>
    </row>
    <row r="4448">
      <c r="A4448" s="2" t="inlineStr">
        <is>
          <t>2026-09-08</t>
        </is>
      </c>
      <c r="B4448" s="2" t="inlineStr">
        <is>
          <t>2026-09-08T20:09:02</t>
        </is>
      </c>
      <c r="C4448" s="2" t="inlineStr">
        <is>
          <t>claro</t>
        </is>
      </c>
      <c r="D4448" s="2" t="inlineStr">
        <is>
          <t>prepaid</t>
        </is>
      </c>
      <c r="E4448" s="2" t="inlineStr">
        <is>
          <t>SP</t>
        </is>
      </c>
      <c r="F4448" s="2" t="inlineStr">
        <is>
          <t>Prezão 12GB (30 dias)</t>
        </is>
      </c>
      <c r="G4448" s="2" t="inlineStr">
        <is>
          <t>claro:prezao-30d-12gb</t>
        </is>
      </c>
      <c r="H4448" s="3" t="n">
        <v>30</v>
      </c>
      <c r="I4448" s="3" t="inlineStr"/>
      <c r="J4448" s="2" t="inlineStr">
        <is>
          <t>recarga Prezão R$30 — validade 30 dias</t>
        </is>
      </c>
      <c r="K4448" s="2" t="inlineStr"/>
      <c r="L4448" s="4" t="n">
        <v>12</v>
      </c>
      <c r="M4448" s="2" t="inlineStr"/>
      <c r="N4448" s="2" t="n">
        <v>30</v>
      </c>
      <c r="O4448" s="2" t="inlineStr"/>
      <c r="P4448" s="2" t="inlineStr"/>
      <c r="Q4448" s="2" t="inlineStr"/>
      <c r="R4448" s="2" t="inlineStr"/>
      <c r="S4448" s="2" t="inlineStr"/>
      <c r="T4448" s="2" t="inlineStr"/>
      <c r="U4448" s="2" t="inlineStr">
        <is>
          <t>https://www.claro.com.br/celular/planos-pre/prezao</t>
        </is>
      </c>
      <c r="V4448" s="2" t="inlineStr">
        <is>
          <t>data/raw/claro_prepaid_SP.json</t>
        </is>
      </c>
    </row>
    <row r="4449">
      <c r="A4449" s="5" t="inlineStr">
        <is>
          <t>2026-09-08</t>
        </is>
      </c>
      <c r="B4449" s="5" t="inlineStr">
        <is>
          <t>2026-09-08T20:09:02</t>
        </is>
      </c>
      <c r="C4449" s="5" t="inlineStr">
        <is>
          <t>claro</t>
        </is>
      </c>
      <c r="D4449" s="5" t="inlineStr">
        <is>
          <t>prepaid</t>
        </is>
      </c>
      <c r="E4449" s="5" t="inlineStr">
        <is>
          <t>SP</t>
        </is>
      </c>
      <c r="F4449" s="5" t="inlineStr">
        <is>
          <t>Prezão 4GB (12 dias)</t>
        </is>
      </c>
      <c r="G4449" s="5" t="inlineStr">
        <is>
          <t>claro:prezao-12d-4gb</t>
        </is>
      </c>
      <c r="H4449" s="6" t="n">
        <v>15</v>
      </c>
      <c r="I4449" s="6" t="inlineStr"/>
      <c r="J4449" s="5" t="inlineStr">
        <is>
          <t>recarga Prezão R$15 — validade 12 dias</t>
        </is>
      </c>
      <c r="K4449" s="5" t="inlineStr"/>
      <c r="L4449" s="7" t="n">
        <v>4</v>
      </c>
      <c r="M4449" s="5" t="inlineStr"/>
      <c r="N4449" s="5" t="n">
        <v>12</v>
      </c>
      <c r="O4449" s="5" t="inlineStr"/>
      <c r="P4449" s="5" t="inlineStr"/>
      <c r="Q4449" s="5" t="inlineStr"/>
      <c r="R4449" s="5" t="inlineStr"/>
      <c r="S4449" s="5" t="inlineStr"/>
      <c r="T4449" s="5" t="inlineStr"/>
      <c r="U4449" s="5" t="inlineStr">
        <is>
          <t>https://www.claro.com.br/celular/planos-pre/prezao</t>
        </is>
      </c>
      <c r="V4449" s="5" t="inlineStr">
        <is>
          <t>data/raw/claro_prepaid_SP.json</t>
        </is>
      </c>
    </row>
    <row r="4450">
      <c r="A4450" s="2" t="inlineStr">
        <is>
          <t>2026-09-08</t>
        </is>
      </c>
      <c r="B4450" s="2" t="inlineStr">
        <is>
          <t>2026-09-08T20:09:02</t>
        </is>
      </c>
      <c r="C4450" s="2" t="inlineStr">
        <is>
          <t>claro</t>
        </is>
      </c>
      <c r="D4450" s="2" t="inlineStr">
        <is>
          <t>prepaid</t>
        </is>
      </c>
      <c r="E4450" s="2" t="inlineStr">
        <is>
          <t>SP</t>
        </is>
      </c>
      <c r="F4450" s="2" t="inlineStr">
        <is>
          <t>Prezão 5GB (15 dias)</t>
        </is>
      </c>
      <c r="G4450" s="2" t="inlineStr">
        <is>
          <t>claro:prezao-15d-5gb</t>
        </is>
      </c>
      <c r="H4450" s="3" t="n">
        <v>15</v>
      </c>
      <c r="I4450" s="3" t="inlineStr"/>
      <c r="J4450" s="2" t="inlineStr">
        <is>
          <t>recarga Prezão R$15 — validade 15 dias</t>
        </is>
      </c>
      <c r="K4450" s="2" t="inlineStr"/>
      <c r="L4450" s="4" t="n">
        <v>5</v>
      </c>
      <c r="M4450" s="2" t="inlineStr"/>
      <c r="N4450" s="2" t="n">
        <v>15</v>
      </c>
      <c r="O4450" s="2" t="inlineStr"/>
      <c r="P4450" s="2" t="inlineStr"/>
      <c r="Q4450" s="2" t="inlineStr"/>
      <c r="R4450" s="2" t="inlineStr"/>
      <c r="S4450" s="2" t="inlineStr"/>
      <c r="T4450" s="2" t="inlineStr"/>
      <c r="U4450" s="2" t="inlineStr">
        <is>
          <t>https://www.claro.com.br/celular/planos-pre/prezao</t>
        </is>
      </c>
      <c r="V4450" s="2" t="inlineStr">
        <is>
          <t>data/raw/claro_prepaid_SP.json</t>
        </is>
      </c>
    </row>
    <row r="4451">
      <c r="A4451" s="5" t="inlineStr">
        <is>
          <t>2026-09-08</t>
        </is>
      </c>
      <c r="B4451" s="5" t="inlineStr">
        <is>
          <t>2026-09-08T20:09:02</t>
        </is>
      </c>
      <c r="C4451" s="5" t="inlineStr">
        <is>
          <t>claro</t>
        </is>
      </c>
      <c r="D4451" s="5" t="inlineStr">
        <is>
          <t>prepaid</t>
        </is>
      </c>
      <c r="E4451" s="5" t="inlineStr">
        <is>
          <t>SP</t>
        </is>
      </c>
      <c r="F4451" s="5" t="inlineStr">
        <is>
          <t>Prezão 6GB (20 dias)</t>
        </is>
      </c>
      <c r="G4451" s="5" t="inlineStr">
        <is>
          <t>claro:prezao-20d-6gb</t>
        </is>
      </c>
      <c r="H4451" s="6" t="n">
        <v>20</v>
      </c>
      <c r="I4451" s="6" t="inlineStr"/>
      <c r="J4451" s="5" t="inlineStr">
        <is>
          <t>recarga Prezão R$20 — validade 20 dias</t>
        </is>
      </c>
      <c r="K4451" s="5" t="inlineStr"/>
      <c r="L4451" s="7" t="n">
        <v>6</v>
      </c>
      <c r="M4451" s="5" t="inlineStr"/>
      <c r="N4451" s="5" t="n">
        <v>20</v>
      </c>
      <c r="O4451" s="5" t="inlineStr"/>
      <c r="P4451" s="5" t="inlineStr"/>
      <c r="Q4451" s="5" t="inlineStr"/>
      <c r="R4451" s="5" t="inlineStr"/>
      <c r="S4451" s="5" t="inlineStr"/>
      <c r="T4451" s="5" t="inlineStr"/>
      <c r="U4451" s="5" t="inlineStr">
        <is>
          <t>https://www.claro.com.br/celular/planos-pre/prezao</t>
        </is>
      </c>
      <c r="V4451" s="5" t="inlineStr">
        <is>
          <t>data/raw/claro_prepaid_SP.json</t>
        </is>
      </c>
    </row>
    <row r="4452">
      <c r="A4452" s="2" t="inlineStr">
        <is>
          <t>2026-09-08</t>
        </is>
      </c>
      <c r="B4452" s="2" t="inlineStr">
        <is>
          <t>2026-09-08T20:09:02</t>
        </is>
      </c>
      <c r="C4452" s="2" t="inlineStr">
        <is>
          <t>claro</t>
        </is>
      </c>
      <c r="D4452" s="2" t="inlineStr">
        <is>
          <t>prepaid</t>
        </is>
      </c>
      <c r="E4452" s="2" t="inlineStr">
        <is>
          <t>SP</t>
        </is>
      </c>
      <c r="F4452" s="2" t="inlineStr">
        <is>
          <t>Prezão 8GB (20 dias)</t>
        </is>
      </c>
      <c r="G4452" s="2" t="inlineStr">
        <is>
          <t>claro:prezao-20d-8gb</t>
        </is>
      </c>
      <c r="H4452" s="3" t="n">
        <v>20</v>
      </c>
      <c r="I4452" s="3" t="inlineStr"/>
      <c r="J4452" s="2" t="inlineStr">
        <is>
          <t>recarga Prezão R$20 — validade 20 dias</t>
        </is>
      </c>
      <c r="K4452" s="2" t="inlineStr"/>
      <c r="L4452" s="4" t="n">
        <v>8</v>
      </c>
      <c r="M4452" s="2" t="inlineStr"/>
      <c r="N4452" s="2" t="n">
        <v>20</v>
      </c>
      <c r="O4452" s="2" t="inlineStr"/>
      <c r="P4452" s="2" t="inlineStr"/>
      <c r="Q4452" s="2" t="inlineStr"/>
      <c r="R4452" s="2" t="inlineStr"/>
      <c r="S4452" s="2" t="inlineStr"/>
      <c r="T4452" s="2" t="inlineStr"/>
      <c r="U4452" s="2" t="inlineStr">
        <is>
          <t>https://www.claro.com.br/celular/planos-pre/prezao</t>
        </is>
      </c>
      <c r="V4452" s="2" t="inlineStr">
        <is>
          <t>data/raw/claro_prepaid_SP.json</t>
        </is>
      </c>
    </row>
    <row r="4453">
      <c r="A4453" s="5" t="inlineStr">
        <is>
          <t>2026-09-08</t>
        </is>
      </c>
      <c r="B4453" s="5" t="inlineStr">
        <is>
          <t>2026-09-08T20:09:02</t>
        </is>
      </c>
      <c r="C4453" s="5" t="inlineStr">
        <is>
          <t>claro</t>
        </is>
      </c>
      <c r="D4453" s="5" t="inlineStr">
        <is>
          <t>prepaid</t>
        </is>
      </c>
      <c r="E4453" s="5" t="inlineStr">
        <is>
          <t>SP</t>
        </is>
      </c>
      <c r="F4453" s="5" t="inlineStr">
        <is>
          <t>Prezão 9GB (25 dias)</t>
        </is>
      </c>
      <c r="G4453" s="5" t="inlineStr">
        <is>
          <t>claro:prezao-25d-9gb</t>
        </is>
      </c>
      <c r="H4453" s="6" t="n">
        <v>25</v>
      </c>
      <c r="I4453" s="6" t="inlineStr"/>
      <c r="J4453" s="5" t="inlineStr">
        <is>
          <t>recarga Prezão R$25 — validade 25 dias</t>
        </is>
      </c>
      <c r="K4453" s="5" t="inlineStr"/>
      <c r="L4453" s="7" t="n">
        <v>9</v>
      </c>
      <c r="M4453" s="5" t="inlineStr"/>
      <c r="N4453" s="5" t="n">
        <v>25</v>
      </c>
      <c r="O4453" s="5" t="inlineStr"/>
      <c r="P4453" s="5" t="inlineStr"/>
      <c r="Q4453" s="5" t="inlineStr"/>
      <c r="R4453" s="5" t="inlineStr"/>
      <c r="S4453" s="5" t="inlineStr"/>
      <c r="T4453" s="5" t="inlineStr"/>
      <c r="U4453" s="5" t="inlineStr">
        <is>
          <t>https://www.claro.com.br/celular/planos-pre/prezao</t>
        </is>
      </c>
      <c r="V4453" s="5" t="inlineStr">
        <is>
          <t>data/raw/claro_prepaid_SP.json</t>
        </is>
      </c>
    </row>
    <row r="4454">
      <c r="A4454" s="2" t="inlineStr">
        <is>
          <t>2026-09-08</t>
        </is>
      </c>
      <c r="B4454" s="2" t="inlineStr">
        <is>
          <t>2026-09-08T20:09:02</t>
        </is>
      </c>
      <c r="C4454" s="2" t="inlineStr">
        <is>
          <t>tim</t>
        </is>
      </c>
      <c r="D4454" s="2" t="inlineStr">
        <is>
          <t>control</t>
        </is>
      </c>
      <c r="E4454" s="2" t="inlineStr">
        <is>
          <t>SP</t>
        </is>
      </c>
      <c r="F4454" s="2" t="inlineStr">
        <is>
          <t>TIM Controle 45GB</t>
        </is>
      </c>
      <c r="G4454" s="2" t="inlineStr">
        <is>
          <t>tim:182766</t>
        </is>
      </c>
      <c r="H4454" s="3" t="n">
        <v>49.99</v>
      </c>
      <c r="I4454" s="3" t="inlineStr"/>
      <c r="J4454" s="2" t="inlineStr"/>
      <c r="K4454" s="2" t="inlineStr"/>
      <c r="L4454" s="4" t="n">
        <v>45</v>
      </c>
      <c r="M4454" s="2" t="inlineStr"/>
      <c r="N4454" s="2" t="inlineStr"/>
      <c r="O4454" s="2" t="inlineStr"/>
      <c r="P4454" s="2" t="inlineStr"/>
      <c r="Q4454" s="2" t="inlineStr"/>
      <c r="R4454" s="2" t="inlineStr"/>
      <c r="S4454" s="2" t="inlineStr"/>
      <c r="T4454" s="2" t="inlineStr"/>
      <c r="U4454" s="2" t="inlineStr">
        <is>
          <t>https://www.tim.com.br/sp/para-voce/planos/controle</t>
        </is>
      </c>
      <c r="V4454" s="2" t="inlineStr">
        <is>
          <t>data/raw/tim_control_SP.html</t>
        </is>
      </c>
    </row>
    <row r="4455">
      <c r="A4455" s="5" t="inlineStr">
        <is>
          <t>2026-09-08</t>
        </is>
      </c>
      <c r="B4455" s="5" t="inlineStr">
        <is>
          <t>2026-09-08T20:09:02</t>
        </is>
      </c>
      <c r="C4455" s="5" t="inlineStr">
        <is>
          <t>tim</t>
        </is>
      </c>
      <c r="D4455" s="5" t="inlineStr">
        <is>
          <t>control</t>
        </is>
      </c>
      <c r="E4455" s="5" t="inlineStr">
        <is>
          <t>SP</t>
        </is>
      </c>
      <c r="F4455" s="5" t="inlineStr">
        <is>
          <t>TIM Controle Light Express 45GB</t>
        </is>
      </c>
      <c r="G4455" s="5" t="inlineStr">
        <is>
          <t>tim:167726</t>
        </is>
      </c>
      <c r="H4455" s="6" t="n">
        <v>60.99</v>
      </c>
      <c r="I4455" s="6" t="inlineStr"/>
      <c r="J4455" s="5" t="inlineStr"/>
      <c r="K4455" s="5" t="inlineStr"/>
      <c r="L4455" s="7" t="n">
        <v>45</v>
      </c>
      <c r="M4455" s="5" t="inlineStr"/>
      <c r="N4455" s="5" t="inlineStr"/>
      <c r="O4455" s="5" t="inlineStr"/>
      <c r="P4455" s="5" t="inlineStr"/>
      <c r="Q4455" s="5" t="inlineStr"/>
      <c r="R4455" s="5" t="inlineStr"/>
      <c r="S4455" s="5" t="inlineStr"/>
      <c r="T4455" s="5" t="inlineStr"/>
      <c r="U4455" s="5" t="inlineStr">
        <is>
          <t>https://www.tim.com.br/sp/para-voce/planos/controle</t>
        </is>
      </c>
      <c r="V4455" s="5" t="inlineStr">
        <is>
          <t>data/raw/tim_control_SP.html</t>
        </is>
      </c>
    </row>
    <row r="4456">
      <c r="A4456" s="2" t="inlineStr">
        <is>
          <t>2026-09-08</t>
        </is>
      </c>
      <c r="B4456" s="2" t="inlineStr">
        <is>
          <t>2026-09-08T20:09:02</t>
        </is>
      </c>
      <c r="C4456" s="2" t="inlineStr">
        <is>
          <t>tim</t>
        </is>
      </c>
      <c r="D4456" s="2" t="inlineStr">
        <is>
          <t>control</t>
        </is>
      </c>
      <c r="E4456" s="2" t="inlineStr">
        <is>
          <t>SP</t>
        </is>
      </c>
      <c r="F4456" s="2" t="inlineStr">
        <is>
          <t>TIM Controle Premium 55GB</t>
        </is>
      </c>
      <c r="G4456" s="2" t="inlineStr">
        <is>
          <t>tim:180756</t>
        </is>
      </c>
      <c r="H4456" s="3" t="n">
        <v>69.98999999999999</v>
      </c>
      <c r="I4456" s="3" t="inlineStr"/>
      <c r="J4456" s="2" t="inlineStr"/>
      <c r="K4456" s="2" t="inlineStr"/>
      <c r="L4456" s="4" t="n">
        <v>55</v>
      </c>
      <c r="M4456" s="2" t="inlineStr"/>
      <c r="N4456" s="2" t="inlineStr"/>
      <c r="O4456" s="2" t="inlineStr"/>
      <c r="P4456" s="2" t="inlineStr"/>
      <c r="Q4456" s="2" t="inlineStr"/>
      <c r="R4456" s="2" t="inlineStr"/>
      <c r="S4456" s="2" t="inlineStr"/>
      <c r="T4456" s="2" t="inlineStr"/>
      <c r="U4456" s="2" t="inlineStr">
        <is>
          <t>https://www.tim.com.br/sp/para-voce/planos/controle</t>
        </is>
      </c>
      <c r="V4456" s="2" t="inlineStr">
        <is>
          <t>data/raw/tim_control_SP.html</t>
        </is>
      </c>
    </row>
    <row r="4457">
      <c r="A4457" s="5" t="inlineStr">
        <is>
          <t>2026-09-08</t>
        </is>
      </c>
      <c r="B4457" s="5" t="inlineStr">
        <is>
          <t>2026-09-08T20:09:02</t>
        </is>
      </c>
      <c r="C4457" s="5" t="inlineStr">
        <is>
          <t>tim</t>
        </is>
      </c>
      <c r="D4457" s="5" t="inlineStr">
        <is>
          <t>control</t>
        </is>
      </c>
      <c r="E4457" s="5" t="inlineStr">
        <is>
          <t>SP</t>
        </is>
      </c>
      <c r="F4457" s="5" t="inlineStr">
        <is>
          <t>TIM Controle Pro Express 46GB</t>
        </is>
      </c>
      <c r="G4457" s="5" t="inlineStr">
        <is>
          <t>tim:167731</t>
        </is>
      </c>
      <c r="H4457" s="6" t="n">
        <v>64.98999999999999</v>
      </c>
      <c r="I4457" s="6" t="inlineStr"/>
      <c r="J4457" s="5" t="inlineStr"/>
      <c r="K4457" s="5" t="inlineStr"/>
      <c r="L4457" s="7" t="n">
        <v>46</v>
      </c>
      <c r="M4457" s="5" t="inlineStr"/>
      <c r="N4457" s="5" t="inlineStr"/>
      <c r="O4457" s="5" t="inlineStr"/>
      <c r="P4457" s="5" t="inlineStr"/>
      <c r="Q4457" s="5" t="inlineStr"/>
      <c r="R4457" s="5" t="inlineStr"/>
      <c r="S4457" s="5" t="inlineStr"/>
      <c r="T4457" s="5" t="inlineStr"/>
      <c r="U4457" s="5" t="inlineStr">
        <is>
          <t>https://www.tim.com.br/sp/para-voce/planos/controle</t>
        </is>
      </c>
      <c r="V4457" s="5" t="inlineStr">
        <is>
          <t>data/raw/tim_control_SP.html</t>
        </is>
      </c>
    </row>
    <row r="4458">
      <c r="A4458" s="2" t="inlineStr">
        <is>
          <t>2026-09-08</t>
        </is>
      </c>
      <c r="B4458" s="2" t="inlineStr">
        <is>
          <t>2026-09-08T20:09:02</t>
        </is>
      </c>
      <c r="C4458" s="2" t="inlineStr">
        <is>
          <t>tim</t>
        </is>
      </c>
      <c r="D4458" s="2" t="inlineStr">
        <is>
          <t>control</t>
        </is>
      </c>
      <c r="E4458" s="2" t="inlineStr">
        <is>
          <t>SP</t>
        </is>
      </c>
      <c r="F4458" s="2" t="inlineStr">
        <is>
          <t>TIM Controle Redes Sociais 46GB</t>
        </is>
      </c>
      <c r="G4458" s="2" t="inlineStr">
        <is>
          <t>tim:167031</t>
        </is>
      </c>
      <c r="H4458" s="3" t="n">
        <v>59.99</v>
      </c>
      <c r="I4458" s="3" t="inlineStr"/>
      <c r="J4458" s="2" t="inlineStr"/>
      <c r="K4458" s="2" t="inlineStr"/>
      <c r="L4458" s="4" t="n">
        <v>46</v>
      </c>
      <c r="M4458" s="2" t="inlineStr"/>
      <c r="N4458" s="2" t="inlineStr"/>
      <c r="O4458" s="2" t="inlineStr"/>
      <c r="P4458" s="2" t="inlineStr"/>
      <c r="Q4458" s="2" t="inlineStr"/>
      <c r="R4458" s="2" t="inlineStr"/>
      <c r="S4458" s="2" t="inlineStr"/>
      <c r="T4458" s="2" t="inlineStr"/>
      <c r="U4458" s="2" t="inlineStr">
        <is>
          <t>https://www.tim.com.br/sp/para-voce/planos/controle</t>
        </is>
      </c>
      <c r="V4458" s="2" t="inlineStr">
        <is>
          <t>data/raw/tim_control_SP.html</t>
        </is>
      </c>
    </row>
    <row r="4459">
      <c r="A4459" s="5" t="inlineStr">
        <is>
          <t>2026-09-08</t>
        </is>
      </c>
      <c r="B4459" s="5" t="inlineStr">
        <is>
          <t>2026-09-08T20:09:02</t>
        </is>
      </c>
      <c r="C4459" s="5" t="inlineStr">
        <is>
          <t>tim</t>
        </is>
      </c>
      <c r="D4459" s="5" t="inlineStr">
        <is>
          <t>fit</t>
        </is>
      </c>
      <c r="E4459" s="5" t="inlineStr">
        <is>
          <t>SP</t>
        </is>
      </c>
      <c r="F4459" s="5" t="inlineStr">
        <is>
          <t>TIM Controle Fit Anual 2.0</t>
        </is>
      </c>
      <c r="G4459" s="5" t="inlineStr">
        <is>
          <t>tim:TIM202600000271</t>
        </is>
      </c>
      <c r="H4459" s="6" t="n">
        <v>30</v>
      </c>
      <c r="I4459" s="6" t="inlineStr"/>
      <c r="J4459" s="5" t="inlineStr">
        <is>
          <t>plano anual 12x no cartão de crédito; a etiqueta TIM informa 'sem prazo de permanência'</t>
        </is>
      </c>
      <c r="K4459" s="5" t="inlineStr">
        <is>
          <t>credit_card</t>
        </is>
      </c>
      <c r="L4459" s="7" t="n">
        <v>35</v>
      </c>
      <c r="M4459" s="5" t="inlineStr"/>
      <c r="N4459" s="5" t="inlineStr"/>
      <c r="O4459" s="5" t="inlineStr"/>
      <c r="P4459" s="5" t="inlineStr"/>
      <c r="Q4459" s="5" t="inlineStr"/>
      <c r="R4459" s="5" t="inlineStr"/>
      <c r="S4459" s="5" t="n">
        <v>12</v>
      </c>
      <c r="T4459" s="5" t="inlineStr"/>
      <c r="U4459" s="5" t="inlineStr">
        <is>
          <t>https://www.tim.com.br/sp/para-voce/planos/controle</t>
        </is>
      </c>
      <c r="V4459" s="5" t="inlineStr">
        <is>
          <t>data/raw/tim_fit_SP.html</t>
        </is>
      </c>
    </row>
    <row r="4460">
      <c r="A4460" s="2" t="inlineStr">
        <is>
          <t>2026-09-08</t>
        </is>
      </c>
      <c r="B4460" s="2" t="inlineStr">
        <is>
          <t>2026-09-08T20:09:02</t>
        </is>
      </c>
      <c r="C4460" s="2" t="inlineStr">
        <is>
          <t>tim</t>
        </is>
      </c>
      <c r="D4460" s="2" t="inlineStr">
        <is>
          <t>fit</t>
        </is>
      </c>
      <c r="E4460" s="2" t="inlineStr">
        <is>
          <t>SP</t>
        </is>
      </c>
      <c r="F4460" s="2" t="inlineStr">
        <is>
          <t>TIM Controle Fit Mensal 1.0</t>
        </is>
      </c>
      <c r="G4460" s="2" t="inlineStr">
        <is>
          <t>tim:TIM202600000270</t>
        </is>
      </c>
      <c r="H4460" s="3" t="n">
        <v>20</v>
      </c>
      <c r="I4460" s="3" t="inlineStr"/>
      <c r="J446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460" s="2" t="inlineStr"/>
      <c r="L4460" s="4" t="n">
        <v>20</v>
      </c>
      <c r="M4460" s="2" t="inlineStr"/>
      <c r="N4460" s="2" t="inlineStr"/>
      <c r="O4460" s="2" t="inlineStr"/>
      <c r="P4460" s="2" t="inlineStr"/>
      <c r="Q4460" s="2" t="inlineStr"/>
      <c r="R4460" s="2" t="inlineStr"/>
      <c r="S4460" s="2" t="inlineStr"/>
      <c r="T4460" s="2" t="inlineStr"/>
      <c r="U4460" s="2" t="inlineStr">
        <is>
          <t>https://www.tim.com.br/sp/para-voce/planos/controle</t>
        </is>
      </c>
      <c r="V4460" s="2" t="inlineStr">
        <is>
          <t>data/raw/tim_fit_SP.html</t>
        </is>
      </c>
    </row>
    <row r="4461">
      <c r="A4461" s="5" t="inlineStr">
        <is>
          <t>2026-09-08</t>
        </is>
      </c>
      <c r="B4461" s="5" t="inlineStr">
        <is>
          <t>2026-09-08T20:09:02</t>
        </is>
      </c>
      <c r="C4461" s="5" t="inlineStr">
        <is>
          <t>tim</t>
        </is>
      </c>
      <c r="D4461" s="5" t="inlineStr">
        <is>
          <t>fit</t>
        </is>
      </c>
      <c r="E4461" s="5" t="inlineStr">
        <is>
          <t>SP</t>
        </is>
      </c>
      <c r="F4461" s="5" t="inlineStr">
        <is>
          <t>TIM Controle Fit Mensal 2.0</t>
        </is>
      </c>
      <c r="G4461" s="5" t="inlineStr">
        <is>
          <t>tim:TIM202600000305</t>
        </is>
      </c>
      <c r="H4461" s="6" t="n">
        <v>45</v>
      </c>
      <c r="I4461" s="6" t="inlineStr"/>
      <c r="J4461" s="5" t="inlineStr">
        <is>
          <t>plano mensal, sem prazo de permanência; a etiqueta TIM informa 'sem prazo de permanência'</t>
        </is>
      </c>
      <c r="K4461" s="5" t="inlineStr"/>
      <c r="L4461" s="7" t="n">
        <v>35</v>
      </c>
      <c r="M4461" s="5" t="inlineStr"/>
      <c r="N4461" s="5" t="inlineStr"/>
      <c r="O4461" s="5" t="inlineStr"/>
      <c r="P4461" s="5" t="inlineStr"/>
      <c r="Q4461" s="5" t="inlineStr"/>
      <c r="R4461" s="5" t="inlineStr"/>
      <c r="S4461" s="5" t="inlineStr"/>
      <c r="T4461" s="5" t="inlineStr"/>
      <c r="U4461" s="5" t="inlineStr">
        <is>
          <t>https://www.tim.com.br/sp/para-voce/planos/controle</t>
        </is>
      </c>
      <c r="V4461" s="5" t="inlineStr">
        <is>
          <t>data/raw/tim_fit_SP.html</t>
        </is>
      </c>
    </row>
    <row r="4462">
      <c r="A4462" s="2" t="inlineStr">
        <is>
          <t>2026-09-08</t>
        </is>
      </c>
      <c r="B4462" s="2" t="inlineStr">
        <is>
          <t>2026-09-08T20:09:02</t>
        </is>
      </c>
      <c r="C4462" s="2" t="inlineStr">
        <is>
          <t>tim</t>
        </is>
      </c>
      <c r="D4462" s="2" t="inlineStr">
        <is>
          <t>postpaid</t>
        </is>
      </c>
      <c r="E4462" s="2" t="inlineStr">
        <is>
          <t>SP</t>
        </is>
      </c>
      <c r="F4462" s="2" t="inlineStr">
        <is>
          <t>TIM Black 70GB</t>
        </is>
      </c>
      <c r="G4462" s="2" t="inlineStr">
        <is>
          <t>tim:54206</t>
        </is>
      </c>
      <c r="H4462" s="3" t="n">
        <v>129.99</v>
      </c>
      <c r="I4462" s="3" t="inlineStr"/>
      <c r="J4462" s="2" t="inlineStr"/>
      <c r="K4462" s="2" t="inlineStr">
        <is>
          <t>bill</t>
        </is>
      </c>
      <c r="L4462" s="4" t="n">
        <v>70</v>
      </c>
      <c r="M4462" s="2" t="inlineStr"/>
      <c r="N4462" s="2" t="inlineStr"/>
      <c r="O4462" s="2" t="inlineStr"/>
      <c r="P4462" s="2" t="inlineStr"/>
      <c r="Q4462" s="2" t="inlineStr"/>
      <c r="R4462" s="2" t="inlineStr"/>
      <c r="S4462" s="2" t="inlineStr"/>
      <c r="T4462" s="2" t="inlineStr"/>
      <c r="U4462" s="2" t="inlineStr">
        <is>
          <t>https://www.tim.com.br/sp/para-voce/planos/pos-pago/tim-black</t>
        </is>
      </c>
      <c r="V4462" s="2" t="inlineStr">
        <is>
          <t>data/raw/tim_postpaid_SP.html</t>
        </is>
      </c>
    </row>
    <row r="4463">
      <c r="A4463" s="5" t="inlineStr">
        <is>
          <t>2026-09-08</t>
        </is>
      </c>
      <c r="B4463" s="5" t="inlineStr">
        <is>
          <t>2026-09-08T20:09:02</t>
        </is>
      </c>
      <c r="C4463" s="5" t="inlineStr">
        <is>
          <t>tim</t>
        </is>
      </c>
      <c r="D4463" s="5" t="inlineStr">
        <is>
          <t>postpaid</t>
        </is>
      </c>
      <c r="E4463" s="5" t="inlineStr">
        <is>
          <t>SP</t>
        </is>
      </c>
      <c r="F4463" s="5" t="inlineStr">
        <is>
          <t>TIM Black A Express 67GB</t>
        </is>
      </c>
      <c r="G4463" s="5" t="inlineStr">
        <is>
          <t>tim:55121</t>
        </is>
      </c>
      <c r="H4463" s="6" t="n">
        <v>119.99</v>
      </c>
      <c r="I4463" s="6" t="inlineStr"/>
      <c r="J4463" s="5" t="inlineStr"/>
      <c r="K4463" s="5" t="inlineStr">
        <is>
          <t>credit_card</t>
        </is>
      </c>
      <c r="L4463" s="7" t="n">
        <v>67</v>
      </c>
      <c r="M4463" s="5" t="inlineStr"/>
      <c r="N4463" s="5" t="inlineStr"/>
      <c r="O4463" s="5" t="inlineStr"/>
      <c r="P4463" s="5" t="inlineStr"/>
      <c r="Q4463" s="5" t="inlineStr"/>
      <c r="R4463" s="5" t="inlineStr"/>
      <c r="S4463" s="5" t="inlineStr"/>
      <c r="T4463" s="5" t="inlineStr"/>
      <c r="U4463" s="5" t="inlineStr">
        <is>
          <t>https://www.tim.com.br/sp/para-voce/planos/pos-pago/tim-black</t>
        </is>
      </c>
      <c r="V4463" s="5" t="inlineStr">
        <is>
          <t>data/raw/tim_postpaid_SP.html</t>
        </is>
      </c>
    </row>
    <row r="4464">
      <c r="A4464" s="2" t="inlineStr">
        <is>
          <t>2026-09-08</t>
        </is>
      </c>
      <c r="B4464" s="2" t="inlineStr">
        <is>
          <t>2026-09-08T20:09:02</t>
        </is>
      </c>
      <c r="C4464" s="2" t="inlineStr">
        <is>
          <t>tim</t>
        </is>
      </c>
      <c r="D4464" s="2" t="inlineStr">
        <is>
          <t>postpaid</t>
        </is>
      </c>
      <c r="E4464" s="2" t="inlineStr">
        <is>
          <t>SP</t>
        </is>
      </c>
      <c r="F4464" s="2" t="inlineStr">
        <is>
          <t>TIM Black B Express 82GB</t>
        </is>
      </c>
      <c r="G4464" s="2" t="inlineStr">
        <is>
          <t>tim:52146</t>
        </is>
      </c>
      <c r="H4464" s="3" t="n">
        <v>144.99</v>
      </c>
      <c r="I4464" s="3" t="inlineStr"/>
      <c r="J4464" s="2" t="inlineStr"/>
      <c r="K4464" s="2" t="inlineStr">
        <is>
          <t>credit_card</t>
        </is>
      </c>
      <c r="L4464" s="4" t="n">
        <v>82</v>
      </c>
      <c r="M4464" s="2" t="inlineStr"/>
      <c r="N4464" s="2" t="inlineStr"/>
      <c r="O4464" s="2" t="inlineStr"/>
      <c r="P4464" s="2" t="inlineStr"/>
      <c r="Q4464" s="2" t="inlineStr"/>
      <c r="R4464" s="2" t="inlineStr"/>
      <c r="S4464" s="2" t="inlineStr"/>
      <c r="T4464" s="2" t="inlineStr"/>
      <c r="U4464" s="2" t="inlineStr">
        <is>
          <t>https://www.tim.com.br/sp/para-voce/planos/pos-pago/tim-black</t>
        </is>
      </c>
      <c r="V4464" s="2" t="inlineStr">
        <is>
          <t>data/raw/tim_postpaid_SP.html</t>
        </is>
      </c>
    </row>
    <row r="4465">
      <c r="A4465" s="5" t="inlineStr">
        <is>
          <t>2026-09-08</t>
        </is>
      </c>
      <c r="B4465" s="5" t="inlineStr">
        <is>
          <t>2026-09-08T20:09:02</t>
        </is>
      </c>
      <c r="C4465" s="5" t="inlineStr">
        <is>
          <t>tim</t>
        </is>
      </c>
      <c r="D4465" s="5" t="inlineStr">
        <is>
          <t>postpaid</t>
        </is>
      </c>
      <c r="E4465" s="5" t="inlineStr">
        <is>
          <t>SP</t>
        </is>
      </c>
      <c r="F4465" s="5" t="inlineStr">
        <is>
          <t>TIM Black C Express 107GB</t>
        </is>
      </c>
      <c r="G4465" s="5" t="inlineStr">
        <is>
          <t>tim:52151</t>
        </is>
      </c>
      <c r="H4465" s="6" t="n">
        <v>164.99</v>
      </c>
      <c r="I4465" s="6" t="inlineStr"/>
      <c r="J4465" s="5" t="inlineStr"/>
      <c r="K4465" s="5" t="inlineStr">
        <is>
          <t>credit_card</t>
        </is>
      </c>
      <c r="L4465" s="7" t="n">
        <v>107</v>
      </c>
      <c r="M4465" s="5" t="inlineStr"/>
      <c r="N4465" s="5" t="inlineStr"/>
      <c r="O4465" s="5" t="inlineStr"/>
      <c r="P4465" s="5" t="inlineStr"/>
      <c r="Q4465" s="5" t="inlineStr"/>
      <c r="R4465" s="5" t="inlineStr"/>
      <c r="S4465" s="5" t="inlineStr"/>
      <c r="T4465" s="5" t="inlineStr"/>
      <c r="U4465" s="5" t="inlineStr">
        <is>
          <t>https://www.tim.com.br/sp/para-voce/planos/pos-pago/tim-black</t>
        </is>
      </c>
      <c r="V4465" s="5" t="inlineStr">
        <is>
          <t>data/raw/tim_postpaid_SP.html</t>
        </is>
      </c>
    </row>
    <row r="4466">
      <c r="A4466" s="2" t="inlineStr">
        <is>
          <t>2026-09-08</t>
        </is>
      </c>
      <c r="B4466" s="2" t="inlineStr">
        <is>
          <t>2026-09-08T20:09:02</t>
        </is>
      </c>
      <c r="C4466" s="2" t="inlineStr">
        <is>
          <t>tim</t>
        </is>
      </c>
      <c r="D4466" s="2" t="inlineStr">
        <is>
          <t>postpaid</t>
        </is>
      </c>
      <c r="E4466" s="2" t="inlineStr">
        <is>
          <t>SP</t>
        </is>
      </c>
      <c r="F4466" s="2" t="inlineStr">
        <is>
          <t>TIM Black Plus 80GB</t>
        </is>
      </c>
      <c r="G4466" s="2" t="inlineStr">
        <is>
          <t>tim:54256</t>
        </is>
      </c>
      <c r="H4466" s="3" t="n">
        <v>149.99</v>
      </c>
      <c r="I4466" s="3" t="inlineStr"/>
      <c r="J4466" s="2" t="inlineStr"/>
      <c r="K4466" s="2" t="inlineStr">
        <is>
          <t>bill</t>
        </is>
      </c>
      <c r="L4466" s="4" t="n">
        <v>80</v>
      </c>
      <c r="M4466" s="2" t="inlineStr"/>
      <c r="N4466" s="2" t="inlineStr"/>
      <c r="O4466" s="2" t="inlineStr"/>
      <c r="P4466" s="2" t="inlineStr"/>
      <c r="Q4466" s="2" t="inlineStr"/>
      <c r="R4466" s="2" t="inlineStr"/>
      <c r="S4466" s="2" t="inlineStr"/>
      <c r="T4466" s="2" t="inlineStr"/>
      <c r="U4466" s="2" t="inlineStr">
        <is>
          <t>https://www.tim.com.br/sp/para-voce/planos/pos-pago/tim-black</t>
        </is>
      </c>
      <c r="V4466" s="2" t="inlineStr">
        <is>
          <t>data/raw/tim_postpaid_SP.html</t>
        </is>
      </c>
    </row>
    <row r="4467">
      <c r="A4467" s="5" t="inlineStr">
        <is>
          <t>2026-09-08</t>
        </is>
      </c>
      <c r="B4467" s="5" t="inlineStr">
        <is>
          <t>2026-09-08T20:09:02</t>
        </is>
      </c>
      <c r="C4467" s="5" t="inlineStr">
        <is>
          <t>tim</t>
        </is>
      </c>
      <c r="D4467" s="5" t="inlineStr">
        <is>
          <t>postpaid</t>
        </is>
      </c>
      <c r="E4467" s="5" t="inlineStr">
        <is>
          <t>SP</t>
        </is>
      </c>
      <c r="F4467" s="5" t="inlineStr">
        <is>
          <t>TIM Black Premium 110GB</t>
        </is>
      </c>
      <c r="G4467" s="5" t="inlineStr">
        <is>
          <t>tim:54261</t>
        </is>
      </c>
      <c r="H4467" s="6" t="n">
        <v>159.99</v>
      </c>
      <c r="I4467" s="6" t="inlineStr"/>
      <c r="J4467" s="5" t="inlineStr"/>
      <c r="K4467" s="5" t="inlineStr">
        <is>
          <t>bill</t>
        </is>
      </c>
      <c r="L4467" s="7" t="n">
        <v>110</v>
      </c>
      <c r="M4467" s="5" t="inlineStr"/>
      <c r="N4467" s="5" t="inlineStr"/>
      <c r="O4467" s="5" t="inlineStr"/>
      <c r="P4467" s="5" t="inlineStr"/>
      <c r="Q4467" s="5" t="inlineStr"/>
      <c r="R4467" s="5" t="inlineStr"/>
      <c r="S4467" s="5" t="inlineStr"/>
      <c r="T4467" s="5" t="inlineStr"/>
      <c r="U4467" s="5" t="inlineStr">
        <is>
          <t>https://www.tim.com.br/sp/para-voce/planos/pos-pago/tim-black</t>
        </is>
      </c>
      <c r="V4467" s="5" t="inlineStr">
        <is>
          <t>data/raw/tim_postpaid_SP.html</t>
        </is>
      </c>
    </row>
    <row r="4468">
      <c r="A4468" s="2" t="inlineStr">
        <is>
          <t>2026-09-08</t>
        </is>
      </c>
      <c r="B4468" s="2" t="inlineStr">
        <is>
          <t>2026-09-08T20:09:02</t>
        </is>
      </c>
      <c r="C4468" s="2" t="inlineStr">
        <is>
          <t>tim</t>
        </is>
      </c>
      <c r="D4468" s="2" t="inlineStr">
        <is>
          <t>prepaid</t>
        </is>
      </c>
      <c r="E4468" s="2" t="inlineStr">
        <is>
          <t>SP</t>
        </is>
      </c>
      <c r="F4468" s="2" t="inlineStr">
        <is>
          <t>TIM Pré XIP Plus 16GB</t>
        </is>
      </c>
      <c r="G4468" s="2" t="inlineStr">
        <is>
          <t>tim:106306</t>
        </is>
      </c>
      <c r="H4468" s="3" t="n">
        <v>30</v>
      </c>
      <c r="I4468" s="3" t="inlineStr"/>
      <c r="J4468" s="2" t="inlineStr"/>
      <c r="K4468" s="2" t="inlineStr"/>
      <c r="L4468" s="4" t="n">
        <v>16</v>
      </c>
      <c r="M4468" s="2" t="inlineStr"/>
      <c r="N4468" s="2" t="n">
        <v>30</v>
      </c>
      <c r="O4468" s="2" t="inlineStr"/>
      <c r="P4468" s="2" t="inlineStr"/>
      <c r="Q4468" s="2" t="inlineStr"/>
      <c r="R4468" s="2" t="inlineStr"/>
      <c r="S4468" s="2" t="inlineStr"/>
      <c r="T4468" s="2" t="inlineStr"/>
      <c r="U4468" s="2" t="inlineStr">
        <is>
          <t>https://www.tim.com.br/sp/para-voce/planos/pre-pago</t>
        </is>
      </c>
      <c r="V4468" s="2" t="inlineStr">
        <is>
          <t>data/raw/tim_prepaid_SP.html</t>
        </is>
      </c>
    </row>
    <row r="4469">
      <c r="A4469" s="5" t="inlineStr">
        <is>
          <t>2026-09-08</t>
        </is>
      </c>
      <c r="B4469" s="5" t="inlineStr">
        <is>
          <t>2026-09-08T20:09:02</t>
        </is>
      </c>
      <c r="C4469" s="5" t="inlineStr">
        <is>
          <t>tim</t>
        </is>
      </c>
      <c r="D4469" s="5" t="inlineStr">
        <is>
          <t>prepaid</t>
        </is>
      </c>
      <c r="E4469" s="5" t="inlineStr">
        <is>
          <t>SP</t>
        </is>
      </c>
      <c r="F4469" s="5" t="inlineStr">
        <is>
          <t>TIM Pré XIP Plus 6GB</t>
        </is>
      </c>
      <c r="G4469" s="5" t="inlineStr">
        <is>
          <t>tim:59906</t>
        </is>
      </c>
      <c r="H4469" s="6" t="n">
        <v>20</v>
      </c>
      <c r="I4469" s="6" t="inlineStr"/>
      <c r="J4469" s="5" t="inlineStr"/>
      <c r="K4469" s="5" t="inlineStr"/>
      <c r="L4469" s="7" t="n">
        <v>6</v>
      </c>
      <c r="M4469" s="5" t="inlineStr"/>
      <c r="N4469" s="5" t="n">
        <v>17</v>
      </c>
      <c r="O4469" s="5" t="inlineStr"/>
      <c r="P4469" s="5" t="inlineStr"/>
      <c r="Q4469" s="5" t="inlineStr"/>
      <c r="R4469" s="5" t="inlineStr"/>
      <c r="S4469" s="5" t="inlineStr"/>
      <c r="T4469" s="5" t="inlineStr"/>
      <c r="U4469" s="5" t="inlineStr">
        <is>
          <t>https://www.tim.com.br/sp/para-voce/planos/pre-pago</t>
        </is>
      </c>
      <c r="V4469" s="5" t="inlineStr">
        <is>
          <t>data/raw/tim_prepaid_SP.html</t>
        </is>
      </c>
    </row>
    <row r="4470">
      <c r="A4470" s="2" t="inlineStr">
        <is>
          <t>2026-09-08</t>
        </is>
      </c>
      <c r="B4470" s="2" t="inlineStr">
        <is>
          <t>2026-09-08T20:09:02</t>
        </is>
      </c>
      <c r="C4470" s="2" t="inlineStr">
        <is>
          <t>tim</t>
        </is>
      </c>
      <c r="D4470" s="2" t="inlineStr">
        <is>
          <t>prepaid</t>
        </is>
      </c>
      <c r="E4470" s="2" t="inlineStr">
        <is>
          <t>SP</t>
        </is>
      </c>
      <c r="F4470" s="2" t="inlineStr">
        <is>
          <t>TIM Pré XIP Plus 8GB</t>
        </is>
      </c>
      <c r="G4470" s="2" t="inlineStr">
        <is>
          <t>tim:59901</t>
        </is>
      </c>
      <c r="H4470" s="3" t="n">
        <v>25</v>
      </c>
      <c r="I4470" s="3" t="inlineStr"/>
      <c r="J4470" s="2" t="inlineStr"/>
      <c r="K4470" s="2" t="inlineStr"/>
      <c r="L4470" s="4" t="n">
        <v>8</v>
      </c>
      <c r="M4470" s="2" t="inlineStr"/>
      <c r="N4470" s="2" t="n">
        <v>22</v>
      </c>
      <c r="O4470" s="2" t="inlineStr"/>
      <c r="P4470" s="2" t="inlineStr"/>
      <c r="Q4470" s="2" t="inlineStr"/>
      <c r="R4470" s="2" t="inlineStr"/>
      <c r="S4470" s="2" t="inlineStr"/>
      <c r="T4470" s="2" t="inlineStr"/>
      <c r="U4470" s="2" t="inlineStr">
        <is>
          <t>https://www.tim.com.br/sp/para-voce/planos/pre-pago</t>
        </is>
      </c>
      <c r="V4470" s="2" t="inlineStr">
        <is>
          <t>data/raw/tim_prepaid_SP.html</t>
        </is>
      </c>
    </row>
    <row r="4471">
      <c r="A4471" s="5" t="inlineStr">
        <is>
          <t>2026-09-08</t>
        </is>
      </c>
      <c r="B4471" s="5" t="inlineStr">
        <is>
          <t>2026-09-08T20:09:02</t>
        </is>
      </c>
      <c r="C4471" s="5" t="inlineStr">
        <is>
          <t>vivo</t>
        </is>
      </c>
      <c r="D4471" s="5" t="inlineStr">
        <is>
          <t>control</t>
        </is>
      </c>
      <c r="E4471" s="5" t="inlineStr">
        <is>
          <t>SP</t>
        </is>
      </c>
      <c r="F4471" s="5" t="inlineStr">
        <is>
          <t>Vivo Controle</t>
        </is>
      </c>
      <c r="G4471" s="5" t="inlineStr">
        <is>
          <t>vivo:VIV202600034591</t>
        </is>
      </c>
      <c r="H4471" s="6" t="n">
        <v>59</v>
      </c>
      <c r="I4471" s="6" t="inlineStr"/>
      <c r="J4471" s="5" t="inlineStr"/>
      <c r="K4471" s="5" t="inlineStr"/>
      <c r="L4471" s="7" t="n">
        <v>45</v>
      </c>
      <c r="M4471" s="5" t="inlineStr">
        <is>
          <t>15 GB de franquia 30 GB de bônus</t>
        </is>
      </c>
      <c r="N4471" s="5" t="inlineStr"/>
      <c r="O4471" s="5" t="inlineStr"/>
      <c r="P4471" s="5" t="inlineStr"/>
      <c r="Q4471" s="5" t="inlineStr"/>
      <c r="R4471" s="5" t="inlineStr"/>
      <c r="S4471" s="5" t="inlineStr"/>
      <c r="T4471" s="5" t="inlineStr">
        <is>
          <t>6 meses grátis de Gemini com AI Plus</t>
        </is>
      </c>
      <c r="U4471" s="5" t="inlineStr">
        <is>
          <t>https://vivo.com.br/para-voce/produtos-e-servicos/para-o-celular/planos-controle</t>
        </is>
      </c>
      <c r="V4471" s="5" t="inlineStr">
        <is>
          <t>data/raw/vivo_control_SP.html</t>
        </is>
      </c>
    </row>
    <row r="4472">
      <c r="A4472" s="2" t="inlineStr">
        <is>
          <t>2026-09-08</t>
        </is>
      </c>
      <c r="B4472" s="2" t="inlineStr">
        <is>
          <t>2026-09-08T20:09:02</t>
        </is>
      </c>
      <c r="C4472" s="2" t="inlineStr">
        <is>
          <t>vivo</t>
        </is>
      </c>
      <c r="D4472" s="2" t="inlineStr">
        <is>
          <t>control</t>
        </is>
      </c>
      <c r="E4472" s="2" t="inlineStr">
        <is>
          <t>SP</t>
        </is>
      </c>
      <c r="F4472" s="2" t="inlineStr">
        <is>
          <t>Vivo Controle</t>
        </is>
      </c>
      <c r="G4472" s="2" t="inlineStr">
        <is>
          <t>vivo:VIV202600034599</t>
        </is>
      </c>
      <c r="H4472" s="3" t="n">
        <v>75</v>
      </c>
      <c r="I4472" s="3" t="inlineStr"/>
      <c r="J4472" s="2" t="inlineStr"/>
      <c r="K4472" s="2" t="inlineStr"/>
      <c r="L4472" s="4" t="n">
        <v>50</v>
      </c>
      <c r="M4472" s="2" t="inlineStr">
        <is>
          <t>20 GB de franquia 30 GB de bônus</t>
        </is>
      </c>
      <c r="N4472" s="2" t="inlineStr"/>
      <c r="O4472" s="2" t="inlineStr"/>
      <c r="P4472" s="2" t="inlineStr"/>
      <c r="Q4472" s="2" t="inlineStr"/>
      <c r="R4472" s="2" t="inlineStr"/>
      <c r="S4472" s="2" t="inlineStr"/>
      <c r="T4472" s="2" t="inlineStr">
        <is>
          <t>6 meses grátis de Gemini com AI Plus</t>
        </is>
      </c>
      <c r="U4472" s="2" t="inlineStr">
        <is>
          <t>https://vivo.com.br/para-voce/produtos-e-servicos/para-o-celular/planos-controle</t>
        </is>
      </c>
      <c r="V4472" s="2" t="inlineStr">
        <is>
          <t>data/raw/vivo_control_SP.html</t>
        </is>
      </c>
    </row>
    <row r="4473">
      <c r="A4473" s="5" t="inlineStr">
        <is>
          <t>2026-09-08</t>
        </is>
      </c>
      <c r="B4473" s="5" t="inlineStr">
        <is>
          <t>2026-09-08T20:09:02</t>
        </is>
      </c>
      <c r="C4473" s="5" t="inlineStr">
        <is>
          <t>vivo</t>
        </is>
      </c>
      <c r="D4473" s="5" t="inlineStr">
        <is>
          <t>control</t>
        </is>
      </c>
      <c r="E4473" s="5" t="inlineStr">
        <is>
          <t>SP</t>
        </is>
      </c>
      <c r="F4473" s="5" t="inlineStr">
        <is>
          <t>Vivo Controle Amazon</t>
        </is>
      </c>
      <c r="G4473" s="5" t="inlineStr">
        <is>
          <t>vivo:VIV202600038804</t>
        </is>
      </c>
      <c r="H4473" s="6" t="n">
        <v>70</v>
      </c>
      <c r="I4473" s="6" t="inlineStr"/>
      <c r="J4473" s="5" t="inlineStr"/>
      <c r="K4473" s="5" t="inlineStr"/>
      <c r="L4473" s="7" t="n">
        <v>48</v>
      </c>
      <c r="M4473" s="5" t="inlineStr">
        <is>
          <t>18 GB de franquia 30 GB de bônus</t>
        </is>
      </c>
      <c r="N4473" s="5" t="inlineStr"/>
      <c r="O4473" s="5" t="inlineStr"/>
      <c r="P4473" s="5" t="inlineStr"/>
      <c r="Q4473" s="5" t="inlineStr"/>
      <c r="R4473" s="5" t="inlineStr"/>
      <c r="S4473" s="5" t="inlineStr"/>
      <c r="T4473" s="5" t="inlineStr">
        <is>
          <t>Assinatura Amazon Prime inclusa</t>
        </is>
      </c>
      <c r="U4473" s="5" t="inlineStr">
        <is>
          <t>https://vivo.com.br/para-voce/produtos-e-servicos/para-o-celular/planos-controle</t>
        </is>
      </c>
      <c r="V4473" s="5" t="inlineStr">
        <is>
          <t>data/raw/vivo_control_SP.html</t>
        </is>
      </c>
    </row>
    <row r="4474">
      <c r="A4474" s="2" t="inlineStr">
        <is>
          <t>2026-09-08</t>
        </is>
      </c>
      <c r="B4474" s="2" t="inlineStr">
        <is>
          <t>2026-09-08T20:09:02</t>
        </is>
      </c>
      <c r="C4474" s="2" t="inlineStr">
        <is>
          <t>vivo</t>
        </is>
      </c>
      <c r="D4474" s="2" t="inlineStr">
        <is>
          <t>control</t>
        </is>
      </c>
      <c r="E4474" s="2" t="inlineStr">
        <is>
          <t>SP</t>
        </is>
      </c>
      <c r="F4474" s="2" t="inlineStr">
        <is>
          <t>Vivo Controle Educação</t>
        </is>
      </c>
      <c r="G4474" s="2" t="inlineStr">
        <is>
          <t>vivo:VIV202600034616</t>
        </is>
      </c>
      <c r="H4474" s="3" t="n">
        <v>85</v>
      </c>
      <c r="I4474" s="3" t="inlineStr"/>
      <c r="J4474" s="2" t="inlineStr"/>
      <c r="K4474" s="2" t="inlineStr"/>
      <c r="L4474" s="4" t="n">
        <v>50</v>
      </c>
      <c r="M4474" s="2" t="inlineStr">
        <is>
          <t>20 GB de franquia 30 GB de bônus</t>
        </is>
      </c>
      <c r="N4474" s="2" t="inlineStr"/>
      <c r="O4474" s="2" t="inlineStr"/>
      <c r="P4474" s="2" t="inlineStr"/>
      <c r="Q4474" s="2" t="inlineStr"/>
      <c r="R4474" s="2" t="inlineStr"/>
      <c r="S4474" s="2" t="inlineStr"/>
      <c r="T4474" s="2" t="inlineStr">
        <is>
          <t>Assinatura Vivae inclusa</t>
        </is>
      </c>
      <c r="U4474" s="2" t="inlineStr">
        <is>
          <t>https://vivo.com.br/para-voce/produtos-e-servicos/para-o-celular/planos-controle</t>
        </is>
      </c>
      <c r="V4474" s="2" t="inlineStr">
        <is>
          <t>data/raw/vivo_control_SP.html</t>
        </is>
      </c>
    </row>
    <row r="4475">
      <c r="A4475" s="5" t="inlineStr">
        <is>
          <t>2026-09-08</t>
        </is>
      </c>
      <c r="B4475" s="5" t="inlineStr">
        <is>
          <t>2026-09-08T20:09:02</t>
        </is>
      </c>
      <c r="C4475" s="5" t="inlineStr">
        <is>
          <t>vivo</t>
        </is>
      </c>
      <c r="D4475" s="5" t="inlineStr">
        <is>
          <t>control</t>
        </is>
      </c>
      <c r="E4475" s="5" t="inlineStr">
        <is>
          <t>SP</t>
        </is>
      </c>
      <c r="F4475" s="5" t="inlineStr">
        <is>
          <t>Vivo Controle Entretenimento</t>
        </is>
      </c>
      <c r="G4475" s="5" t="inlineStr">
        <is>
          <t>vivo:VIV202600034619</t>
        </is>
      </c>
      <c r="H4475" s="6" t="n">
        <v>105</v>
      </c>
      <c r="I4475" s="6" t="inlineStr"/>
      <c r="J4475" s="5" t="inlineStr"/>
      <c r="K4475" s="5" t="inlineStr"/>
      <c r="L4475" s="7" t="n">
        <v>50</v>
      </c>
      <c r="M4475" s="5" t="inlineStr">
        <is>
          <t>20 GB de franquia 30 GB de bônus</t>
        </is>
      </c>
      <c r="N4475" s="5" t="inlineStr"/>
      <c r="O4475" s="5" t="inlineStr"/>
      <c r="P4475" s="5" t="inlineStr"/>
      <c r="Q4475" s="5" t="inlineStr"/>
      <c r="R4475" s="5" t="inlineStr"/>
      <c r="S4475" s="5" t="inlineStr"/>
      <c r="T4475" s="5" t="inlineStr">
        <is>
          <t>Assinatura Vivo TV Inicial inclusa</t>
        </is>
      </c>
      <c r="U4475" s="5" t="inlineStr">
        <is>
          <t>https://vivo.com.br/para-voce/produtos-e-servicos/para-o-celular/planos-controle</t>
        </is>
      </c>
      <c r="V4475" s="5" t="inlineStr">
        <is>
          <t>data/raw/vivo_control_SP.html</t>
        </is>
      </c>
    </row>
    <row r="4476">
      <c r="A4476" s="2" t="inlineStr">
        <is>
          <t>2026-09-08</t>
        </is>
      </c>
      <c r="B4476" s="2" t="inlineStr">
        <is>
          <t>2026-09-08T20:09:02</t>
        </is>
      </c>
      <c r="C4476" s="2" t="inlineStr">
        <is>
          <t>vivo</t>
        </is>
      </c>
      <c r="D4476" s="2" t="inlineStr">
        <is>
          <t>control</t>
        </is>
      </c>
      <c r="E4476" s="2" t="inlineStr">
        <is>
          <t>SP</t>
        </is>
      </c>
      <c r="F4476" s="2" t="inlineStr">
        <is>
          <t>Vivo Controle Música</t>
        </is>
      </c>
      <c r="G4476" s="2" t="inlineStr">
        <is>
          <t>vivo:VIV202600034620</t>
        </is>
      </c>
      <c r="H4476" s="3" t="n">
        <v>85</v>
      </c>
      <c r="I4476" s="3" t="inlineStr"/>
      <c r="J4476" s="2" t="inlineStr"/>
      <c r="K4476" s="2" t="inlineStr"/>
      <c r="L4476" s="4" t="n">
        <v>50</v>
      </c>
      <c r="M4476" s="2" t="inlineStr">
        <is>
          <t>20 GB de franquia 30 GB de bônus</t>
        </is>
      </c>
      <c r="N4476" s="2" t="inlineStr"/>
      <c r="O4476" s="2" t="inlineStr"/>
      <c r="P4476" s="2" t="inlineStr"/>
      <c r="Q4476" s="2" t="inlineStr"/>
      <c r="R4476" s="2" t="inlineStr"/>
      <c r="S4476" s="2" t="inlineStr"/>
      <c r="T4476" s="2" t="inlineStr">
        <is>
          <t>Apple Music Individual</t>
        </is>
      </c>
      <c r="U4476" s="2" t="inlineStr">
        <is>
          <t>https://vivo.com.br/para-voce/produtos-e-servicos/para-o-celular/planos-controle</t>
        </is>
      </c>
      <c r="V4476" s="2" t="inlineStr">
        <is>
          <t>data/raw/vivo_control_SP.html</t>
        </is>
      </c>
    </row>
    <row r="4477">
      <c r="A4477" s="5" t="inlineStr">
        <is>
          <t>2026-09-08</t>
        </is>
      </c>
      <c r="B4477" s="5" t="inlineStr">
        <is>
          <t>2026-09-08T20:09:02</t>
        </is>
      </c>
      <c r="C4477" s="5" t="inlineStr">
        <is>
          <t>vivo</t>
        </is>
      </c>
      <c r="D4477" s="5" t="inlineStr">
        <is>
          <t>control</t>
        </is>
      </c>
      <c r="E4477" s="5" t="inlineStr">
        <is>
          <t>SP</t>
        </is>
      </c>
      <c r="F4477" s="5" t="inlineStr">
        <is>
          <t>Vivo Controle Netflix</t>
        </is>
      </c>
      <c r="G4477" s="5" t="inlineStr">
        <is>
          <t>vivo:VIV202600034623</t>
        </is>
      </c>
      <c r="H4477" s="6" t="n">
        <v>90</v>
      </c>
      <c r="I4477" s="6" t="inlineStr"/>
      <c r="J4477" s="5" t="inlineStr"/>
      <c r="K4477" s="5" t="inlineStr"/>
      <c r="L4477" s="7" t="n">
        <v>50</v>
      </c>
      <c r="M4477" s="5" t="inlineStr">
        <is>
          <t>20 GB de franquia 30 GB de bônus</t>
        </is>
      </c>
      <c r="N4477" s="5" t="inlineStr"/>
      <c r="O4477" s="5" t="inlineStr"/>
      <c r="P4477" s="5" t="inlineStr"/>
      <c r="Q4477" s="5" t="inlineStr"/>
      <c r="R4477" s="5" t="inlineStr"/>
      <c r="S4477" s="5" t="inlineStr"/>
      <c r="T4477" s="5" t="inlineStr">
        <is>
          <t>Assinatura Netflix Padrão com anúncios</t>
        </is>
      </c>
      <c r="U4477" s="5" t="inlineStr">
        <is>
          <t>https://vivo.com.br/para-voce/produtos-e-servicos/para-o-celular/planos-controle</t>
        </is>
      </c>
      <c r="V4477" s="5" t="inlineStr">
        <is>
          <t>data/raw/vivo_control_SP.html</t>
        </is>
      </c>
    </row>
    <row r="4478">
      <c r="A4478" s="2" t="inlineStr">
        <is>
          <t>2026-09-08</t>
        </is>
      </c>
      <c r="B4478" s="2" t="inlineStr">
        <is>
          <t>2026-09-08T20:09:02</t>
        </is>
      </c>
      <c r="C4478" s="2" t="inlineStr">
        <is>
          <t>vivo</t>
        </is>
      </c>
      <c r="D4478" s="2" t="inlineStr">
        <is>
          <t>control</t>
        </is>
      </c>
      <c r="E4478" s="2" t="inlineStr">
        <is>
          <t>SP</t>
        </is>
      </c>
      <c r="F4478" s="2" t="inlineStr">
        <is>
          <t>Vivo Controle Saúde</t>
        </is>
      </c>
      <c r="G4478" s="2" t="inlineStr">
        <is>
          <t>vivo:VIV202600034625</t>
        </is>
      </c>
      <c r="H4478" s="3" t="n">
        <v>85</v>
      </c>
      <c r="I4478" s="3" t="inlineStr"/>
      <c r="J4478" s="2" t="inlineStr"/>
      <c r="K4478" s="2" t="inlineStr"/>
      <c r="L4478" s="4" t="n">
        <v>50</v>
      </c>
      <c r="M4478" s="2" t="inlineStr">
        <is>
          <t>20 GB de franquia 30 GB de bônus</t>
        </is>
      </c>
      <c r="N4478" s="2" t="inlineStr"/>
      <c r="O4478" s="2" t="inlineStr"/>
      <c r="P4478" s="2" t="inlineStr"/>
      <c r="Q4478" s="2" t="inlineStr"/>
      <c r="R4478" s="2" t="inlineStr"/>
      <c r="S4478" s="2" t="inlineStr"/>
      <c r="T4478" s="2" t="inlineStr">
        <is>
          <t>Assinatura Vale Saúde Sempre inclusa</t>
        </is>
      </c>
      <c r="U4478" s="2" t="inlineStr">
        <is>
          <t>https://vivo.com.br/para-voce/produtos-e-servicos/para-o-celular/planos-controle</t>
        </is>
      </c>
      <c r="V4478" s="2" t="inlineStr">
        <is>
          <t>data/raw/vivo_control_SP.html</t>
        </is>
      </c>
    </row>
    <row r="4479">
      <c r="A4479" s="5" t="inlineStr">
        <is>
          <t>2026-09-08</t>
        </is>
      </c>
      <c r="B4479" s="5" t="inlineStr">
        <is>
          <t>2026-09-08T20:09:02</t>
        </is>
      </c>
      <c r="C4479" s="5" t="inlineStr">
        <is>
          <t>vivo</t>
        </is>
      </c>
      <c r="D4479" s="5" t="inlineStr">
        <is>
          <t>control</t>
        </is>
      </c>
      <c r="E4479" s="5" t="inlineStr">
        <is>
          <t>SP</t>
        </is>
      </c>
      <c r="F4479" s="5" t="inlineStr">
        <is>
          <t>Vivo Controle Youtube Lite</t>
        </is>
      </c>
      <c r="G4479" s="5" t="inlineStr">
        <is>
          <t>vivo:VIV202600034626</t>
        </is>
      </c>
      <c r="H4479" s="6" t="n">
        <v>85</v>
      </c>
      <c r="I4479" s="6" t="inlineStr"/>
      <c r="J4479" s="5" t="inlineStr"/>
      <c r="K4479" s="5" t="inlineStr"/>
      <c r="L4479" s="7" t="n">
        <v>50</v>
      </c>
      <c r="M4479" s="5" t="inlineStr">
        <is>
          <t>20 GB de franquia 30 GB de bônus</t>
        </is>
      </c>
      <c r="N4479" s="5" t="inlineStr"/>
      <c r="O4479" s="5" t="inlineStr"/>
      <c r="P4479" s="5" t="inlineStr"/>
      <c r="Q4479" s="5" t="inlineStr"/>
      <c r="R4479" s="5" t="inlineStr"/>
      <c r="S4479" s="5" t="inlineStr"/>
      <c r="T4479" s="5" t="inlineStr">
        <is>
          <t>Assinatura Youtube Premium Lite Inclusa</t>
        </is>
      </c>
      <c r="U4479" s="5" t="inlineStr">
        <is>
          <t>https://vivo.com.br/para-voce/produtos-e-servicos/para-o-celular/planos-controle</t>
        </is>
      </c>
      <c r="V4479" s="5" t="inlineStr">
        <is>
          <t>data/raw/vivo_control_SP.html</t>
        </is>
      </c>
    </row>
    <row r="4480">
      <c r="A4480" s="2" t="inlineStr">
        <is>
          <t>2026-09-08</t>
        </is>
      </c>
      <c r="B4480" s="2" t="inlineStr">
        <is>
          <t>2026-09-08T20:09:02</t>
        </is>
      </c>
      <c r="C4480" s="2" t="inlineStr">
        <is>
          <t>vivo</t>
        </is>
      </c>
      <c r="D4480" s="2" t="inlineStr">
        <is>
          <t>lite</t>
        </is>
      </c>
      <c r="E4480" s="2" t="inlineStr">
        <is>
          <t>SP</t>
        </is>
      </c>
      <c r="F4480" s="2" t="inlineStr">
        <is>
          <t>Vivo Lite</t>
        </is>
      </c>
      <c r="G4480" s="2" t="inlineStr">
        <is>
          <t>vivo:VIV202600038808</t>
        </is>
      </c>
      <c r="H4480" s="3" t="n">
        <v>45</v>
      </c>
      <c r="I4480" s="3" t="n">
        <v>30</v>
      </c>
      <c r="J4480" s="2" t="inlineStr">
        <is>
          <t>preço sem fidelidade; fidelidade 12m no promo</t>
        </is>
      </c>
      <c r="K4480" s="2" t="inlineStr"/>
      <c r="L4480" s="4" t="n">
        <v>30</v>
      </c>
      <c r="M4480" s="2" t="inlineStr">
        <is>
          <t>30 GB de franquia</t>
        </is>
      </c>
      <c r="N4480" s="2" t="inlineStr"/>
      <c r="O4480" s="2" t="inlineStr"/>
      <c r="P4480" s="2" t="inlineStr"/>
      <c r="Q4480" s="2" t="inlineStr"/>
      <c r="R4480" s="2" t="inlineStr"/>
      <c r="S4480" s="2" t="n">
        <v>12</v>
      </c>
      <c r="T4480" s="2" t="inlineStr"/>
      <c r="U4480" s="2" t="inlineStr">
        <is>
          <t>https://vivo.com.br/para-voce/produtos-e-servicos/para-o-celular/easy-lite</t>
        </is>
      </c>
      <c r="V4480" s="2" t="inlineStr">
        <is>
          <t>data/raw/vivo_lite_SP.html</t>
        </is>
      </c>
    </row>
    <row r="4481">
      <c r="A4481" s="5" t="inlineStr">
        <is>
          <t>2026-09-08</t>
        </is>
      </c>
      <c r="B4481" s="5" t="inlineStr">
        <is>
          <t>2026-09-08T20:09:02</t>
        </is>
      </c>
      <c r="C4481" s="5" t="inlineStr">
        <is>
          <t>vivo</t>
        </is>
      </c>
      <c r="D4481" s="5" t="inlineStr">
        <is>
          <t>lite</t>
        </is>
      </c>
      <c r="E4481" s="5" t="inlineStr">
        <is>
          <t>SP</t>
        </is>
      </c>
      <c r="F4481" s="5" t="inlineStr">
        <is>
          <t>Vivo Lite</t>
        </is>
      </c>
      <c r="G4481" s="5" t="inlineStr">
        <is>
          <t>vivo:VIV202600038810</t>
        </is>
      </c>
      <c r="H4481" s="6" t="n">
        <v>55</v>
      </c>
      <c r="I4481" s="6" t="n">
        <v>40</v>
      </c>
      <c r="J4481" s="5" t="inlineStr">
        <is>
          <t>preço sem fidelidade; fidelidade 12m no promo</t>
        </is>
      </c>
      <c r="K4481" s="5" t="inlineStr"/>
      <c r="L4481" s="7" t="n">
        <v>40</v>
      </c>
      <c r="M4481" s="5" t="inlineStr">
        <is>
          <t>40 GB de franquia</t>
        </is>
      </c>
      <c r="N4481" s="5" t="inlineStr"/>
      <c r="O4481" s="5" t="inlineStr"/>
      <c r="P4481" s="5" t="inlineStr"/>
      <c r="Q4481" s="5" t="inlineStr"/>
      <c r="R4481" s="5" t="inlineStr"/>
      <c r="S4481" s="5" t="n">
        <v>12</v>
      </c>
      <c r="T4481" s="5" t="inlineStr"/>
      <c r="U4481" s="5" t="inlineStr">
        <is>
          <t>https://vivo.com.br/para-voce/produtos-e-servicos/para-o-celular/easy-lite</t>
        </is>
      </c>
      <c r="V4481" s="5" t="inlineStr">
        <is>
          <t>data/raw/vivo_lite_SP.html</t>
        </is>
      </c>
    </row>
    <row r="4482">
      <c r="A4482" s="2" t="inlineStr">
        <is>
          <t>2026-09-08</t>
        </is>
      </c>
      <c r="B4482" s="2" t="inlineStr">
        <is>
          <t>2026-09-08T20:09:02</t>
        </is>
      </c>
      <c r="C4482" s="2" t="inlineStr">
        <is>
          <t>vivo</t>
        </is>
      </c>
      <c r="D4482" s="2" t="inlineStr">
        <is>
          <t>lite</t>
        </is>
      </c>
      <c r="E4482" s="2" t="inlineStr">
        <is>
          <t>SP</t>
        </is>
      </c>
      <c r="F4482" s="2" t="inlineStr">
        <is>
          <t>Vivo Lite</t>
        </is>
      </c>
      <c r="G4482" s="2" t="inlineStr">
        <is>
          <t>vivo:VIV202600038814</t>
        </is>
      </c>
      <c r="H4482" s="3" t="n">
        <v>35</v>
      </c>
      <c r="I4482" s="3" t="inlineStr"/>
      <c r="J4482" s="2" t="inlineStr"/>
      <c r="K4482" s="2" t="inlineStr"/>
      <c r="L4482" s="4" t="n">
        <v>20</v>
      </c>
      <c r="M4482" s="2" t="inlineStr">
        <is>
          <t>20 GB de franquia</t>
        </is>
      </c>
      <c r="N4482" s="2" t="inlineStr"/>
      <c r="O4482" s="2" t="inlineStr"/>
      <c r="P4482" s="2" t="inlineStr"/>
      <c r="Q4482" s="2" t="inlineStr"/>
      <c r="R4482" s="2" t="inlineStr"/>
      <c r="S4482" s="2" t="inlineStr"/>
      <c r="T4482" s="2" t="inlineStr"/>
      <c r="U4482" s="2" t="inlineStr">
        <is>
          <t>https://vivo.com.br/para-voce/produtos-e-servicos/para-o-celular/easy-lite</t>
        </is>
      </c>
      <c r="V4482" s="2" t="inlineStr">
        <is>
          <t>data/raw/vivo_lite_SP.html</t>
        </is>
      </c>
    </row>
    <row r="4483">
      <c r="A4483" s="5" t="inlineStr">
        <is>
          <t>2026-09-08</t>
        </is>
      </c>
      <c r="B4483" s="5" t="inlineStr">
        <is>
          <t>2026-09-08T20:09:02</t>
        </is>
      </c>
      <c r="C4483" s="5" t="inlineStr">
        <is>
          <t>vivo</t>
        </is>
      </c>
      <c r="D4483" s="5" t="inlineStr">
        <is>
          <t>postpaid</t>
        </is>
      </c>
      <c r="E4483" s="5" t="inlineStr">
        <is>
          <t>SP</t>
        </is>
      </c>
      <c r="F4483" s="5" t="inlineStr">
        <is>
          <t>Vivo Família 2</t>
        </is>
      </c>
      <c r="G4483" s="5" t="inlineStr">
        <is>
          <t>vivo:VIV202600034547</t>
        </is>
      </c>
      <c r="H4483" s="6" t="n">
        <v>270</v>
      </c>
      <c r="I4483" s="6" t="inlineStr"/>
      <c r="J4483" s="5" t="inlineStr"/>
      <c r="K4483" s="5" t="inlineStr"/>
      <c r="L4483" s="7" t="n">
        <v>120</v>
      </c>
      <c r="M4483" s="5" t="inlineStr">
        <is>
          <t>120 GB de franquia Você + 1 linha adicional Roaming Internacional com Vivo Travel Américas e Europa</t>
        </is>
      </c>
      <c r="N4483" s="5" t="inlineStr"/>
      <c r="O4483" s="5" t="inlineStr"/>
      <c r="P4483" s="5" t="inlineStr"/>
      <c r="Q4483" s="5" t="inlineStr"/>
      <c r="R4483" s="5" t="inlineStr"/>
      <c r="S4483" s="5" t="inlineStr"/>
      <c r="T4483" s="5" t="inlineStr">
        <is>
          <t>12 meses grátis de Gemini com AI Plus</t>
        </is>
      </c>
      <c r="U4483" s="5" t="inlineStr">
        <is>
          <t>https://vivo.com.br/para-voce/produtos-e-servicos/para-o-celular/planos-pos-pago</t>
        </is>
      </c>
      <c r="V4483" s="5" t="inlineStr">
        <is>
          <t>data/raw/vivo_postpaid_SP.html</t>
        </is>
      </c>
    </row>
    <row r="4484">
      <c r="A4484" s="2" t="inlineStr">
        <is>
          <t>2026-09-08</t>
        </is>
      </c>
      <c r="B4484" s="2" t="inlineStr">
        <is>
          <t>2026-09-08T20:09:02</t>
        </is>
      </c>
      <c r="C4484" s="2" t="inlineStr">
        <is>
          <t>vivo</t>
        </is>
      </c>
      <c r="D4484" s="2" t="inlineStr">
        <is>
          <t>postpaid</t>
        </is>
      </c>
      <c r="E4484" s="2" t="inlineStr">
        <is>
          <t>SP</t>
        </is>
      </c>
      <c r="F4484" s="2" t="inlineStr">
        <is>
          <t>Vivo Família 3</t>
        </is>
      </c>
      <c r="G4484" s="2" t="inlineStr">
        <is>
          <t>vivo:VIV202600034540</t>
        </is>
      </c>
      <c r="H4484" s="3" t="n">
        <v>340</v>
      </c>
      <c r="I4484" s="3" t="inlineStr"/>
      <c r="J4484" s="2" t="inlineStr"/>
      <c r="K4484" s="2" t="inlineStr"/>
      <c r="L4484" s="4" t="n">
        <v>180</v>
      </c>
      <c r="M4484" s="2" t="inlineStr">
        <is>
          <t>180 GB de franquia Você + 2 linhas adicionais Roaming Internacional com Vivo Travel Américas e Europa</t>
        </is>
      </c>
      <c r="N4484" s="2" t="inlineStr"/>
      <c r="O4484" s="2" t="inlineStr"/>
      <c r="P4484" s="2" t="inlineStr"/>
      <c r="Q4484" s="2" t="inlineStr"/>
      <c r="R4484" s="2" t="inlineStr"/>
      <c r="S4484" s="2" t="inlineStr"/>
      <c r="T4484" s="2" t="inlineStr">
        <is>
          <t>12 meses grátis de Gemini com AI Plus</t>
        </is>
      </c>
      <c r="U4484" s="2" t="inlineStr">
        <is>
          <t>https://vivo.com.br/para-voce/produtos-e-servicos/para-o-celular/planos-pos-pago</t>
        </is>
      </c>
      <c r="V4484" s="2" t="inlineStr">
        <is>
          <t>data/raw/vivo_postpaid_SP.html</t>
        </is>
      </c>
    </row>
    <row r="4485">
      <c r="A4485" s="5" t="inlineStr">
        <is>
          <t>2026-09-08</t>
        </is>
      </c>
      <c r="B4485" s="5" t="inlineStr">
        <is>
          <t>2026-09-08T20:09:02</t>
        </is>
      </c>
      <c r="C4485" s="5" t="inlineStr">
        <is>
          <t>vivo</t>
        </is>
      </c>
      <c r="D4485" s="5" t="inlineStr">
        <is>
          <t>postpaid</t>
        </is>
      </c>
      <c r="E4485" s="5" t="inlineStr">
        <is>
          <t>SP</t>
        </is>
      </c>
      <c r="F4485" s="5" t="inlineStr">
        <is>
          <t>Vivo Família 4</t>
        </is>
      </c>
      <c r="G4485" s="5" t="inlineStr">
        <is>
          <t>vivo:VIV202600034531</t>
        </is>
      </c>
      <c r="H4485" s="6" t="n">
        <v>430</v>
      </c>
      <c r="I4485" s="6" t="inlineStr"/>
      <c r="J4485" s="5" t="inlineStr"/>
      <c r="K4485" s="5" t="inlineStr"/>
      <c r="L4485" s="7" t="n">
        <v>240</v>
      </c>
      <c r="M4485" s="5" t="inlineStr">
        <is>
          <t>240 GB de franquia Você + 3 linhas adicionais Roaming Internacional com Vivo Travel Américas e Europa</t>
        </is>
      </c>
      <c r="N4485" s="5" t="inlineStr"/>
      <c r="O4485" s="5" t="inlineStr"/>
      <c r="P4485" s="5" t="inlineStr"/>
      <c r="Q4485" s="5" t="inlineStr"/>
      <c r="R4485" s="5" t="inlineStr"/>
      <c r="S4485" s="5" t="inlineStr"/>
      <c r="T4485" s="5" t="inlineStr">
        <is>
          <t>12 meses grátis de Gemini com AI Plus</t>
        </is>
      </c>
      <c r="U4485" s="5" t="inlineStr">
        <is>
          <t>https://vivo.com.br/para-voce/produtos-e-servicos/para-o-celular/planos-pos-pago</t>
        </is>
      </c>
      <c r="V4485" s="5" t="inlineStr">
        <is>
          <t>data/raw/vivo_postpaid_SP.html</t>
        </is>
      </c>
    </row>
    <row r="4486">
      <c r="A4486" s="2" t="inlineStr">
        <is>
          <t>2026-09-08</t>
        </is>
      </c>
      <c r="B4486" s="2" t="inlineStr">
        <is>
          <t>2026-09-08T20:09:02</t>
        </is>
      </c>
      <c r="C4486" s="2" t="inlineStr">
        <is>
          <t>vivo</t>
        </is>
      </c>
      <c r="D4486" s="2" t="inlineStr">
        <is>
          <t>postpaid</t>
        </is>
      </c>
      <c r="E4486" s="2" t="inlineStr">
        <is>
          <t>SP</t>
        </is>
      </c>
      <c r="F4486" s="2" t="inlineStr">
        <is>
          <t>Vivo Família 5</t>
        </is>
      </c>
      <c r="G4486" s="2" t="inlineStr">
        <is>
          <t>vivo:VIV202600034526</t>
        </is>
      </c>
      <c r="H4486" s="3" t="n">
        <v>530</v>
      </c>
      <c r="I4486" s="3" t="inlineStr"/>
      <c r="J4486" s="2" t="inlineStr"/>
      <c r="K4486" s="2" t="inlineStr"/>
      <c r="L4486" s="4" t="n">
        <v>300</v>
      </c>
      <c r="M4486" s="2" t="inlineStr">
        <is>
          <t>300 GB de franquia Você + 4 linhas adicionais Roaming Internacional com Vivo Travel Américas e Europa</t>
        </is>
      </c>
      <c r="N4486" s="2" t="inlineStr"/>
      <c r="O4486" s="2" t="inlineStr"/>
      <c r="P4486" s="2" t="inlineStr"/>
      <c r="Q4486" s="2" t="inlineStr"/>
      <c r="R4486" s="2" t="inlineStr"/>
      <c r="S4486" s="2" t="inlineStr"/>
      <c r="T4486" s="2" t="inlineStr">
        <is>
          <t>12 meses grátis de Gemini com AI Plus</t>
        </is>
      </c>
      <c r="U4486" s="2" t="inlineStr">
        <is>
          <t>https://vivo.com.br/para-voce/produtos-e-servicos/para-o-celular/planos-pos-pago</t>
        </is>
      </c>
      <c r="V4486" s="2" t="inlineStr">
        <is>
          <t>data/raw/vivo_postpaid_SP.html</t>
        </is>
      </c>
    </row>
    <row r="4487">
      <c r="A4487" s="5" t="inlineStr">
        <is>
          <t>2026-09-08</t>
        </is>
      </c>
      <c r="B4487" s="5" t="inlineStr">
        <is>
          <t>2026-09-08T20:09:02</t>
        </is>
      </c>
      <c r="C4487" s="5" t="inlineStr">
        <is>
          <t>vivo</t>
        </is>
      </c>
      <c r="D4487" s="5" t="inlineStr">
        <is>
          <t>postpaid</t>
        </is>
      </c>
      <c r="E4487" s="5" t="inlineStr">
        <is>
          <t>SP</t>
        </is>
      </c>
      <c r="F4487" s="5" t="inlineStr">
        <is>
          <t>Vivo Pós com Amazon</t>
        </is>
      </c>
      <c r="G4487" s="5" t="inlineStr">
        <is>
          <t>vivo:VIV202600034554</t>
        </is>
      </c>
      <c r="H4487" s="6" t="n">
        <v>150</v>
      </c>
      <c r="I4487" s="6" t="inlineStr"/>
      <c r="J4487" s="5" t="inlineStr"/>
      <c r="K4487" s="5" t="inlineStr"/>
      <c r="L4487" s="7" t="n">
        <v>60</v>
      </c>
      <c r="M4487" s="5" t="inlineStr">
        <is>
          <t>50 GB de franquia 10 GB de bônus</t>
        </is>
      </c>
      <c r="N4487" s="5" t="inlineStr"/>
      <c r="O4487" s="5" t="inlineStr"/>
      <c r="P4487" s="5" t="inlineStr"/>
      <c r="Q4487" s="5" t="inlineStr"/>
      <c r="R4487" s="5" t="inlineStr"/>
      <c r="S4487" s="5" t="inlineStr"/>
      <c r="T4487" s="5" t="inlineStr">
        <is>
          <t>Assinatura Amazon Prime inclusa</t>
        </is>
      </c>
      <c r="U4487" s="5" t="inlineStr">
        <is>
          <t>https://vivo.com.br/para-voce/produtos-e-servicos/para-o-celular/planos-pos-pago</t>
        </is>
      </c>
      <c r="V4487" s="5" t="inlineStr">
        <is>
          <t>data/raw/vivo_postpaid_SP.html</t>
        </is>
      </c>
    </row>
    <row r="4488">
      <c r="A4488" s="2" t="inlineStr">
        <is>
          <t>2026-09-08</t>
        </is>
      </c>
      <c r="B4488" s="2" t="inlineStr">
        <is>
          <t>2026-09-08T20:09:02</t>
        </is>
      </c>
      <c r="C4488" s="2" t="inlineStr">
        <is>
          <t>vivo</t>
        </is>
      </c>
      <c r="D4488" s="2" t="inlineStr">
        <is>
          <t>postpaid</t>
        </is>
      </c>
      <c r="E4488" s="2" t="inlineStr">
        <is>
          <t>SP</t>
        </is>
      </c>
      <c r="F4488" s="2" t="inlineStr">
        <is>
          <t>Vivo Pós com Disney+</t>
        </is>
      </c>
      <c r="G4488" s="2" t="inlineStr">
        <is>
          <t>vivo:VIV202600034532</t>
        </is>
      </c>
      <c r="H4488" s="3" t="n">
        <v>180</v>
      </c>
      <c r="I4488" s="3" t="inlineStr"/>
      <c r="J4488" s="2" t="inlineStr"/>
      <c r="K4488" s="2" t="inlineStr"/>
      <c r="L4488" s="4" t="n">
        <v>60</v>
      </c>
      <c r="M4488" s="2" t="inlineStr">
        <is>
          <t>50 GB de franquia 10 GB de bônus</t>
        </is>
      </c>
      <c r="N4488" s="2" t="inlineStr"/>
      <c r="O4488" s="2" t="inlineStr"/>
      <c r="P4488" s="2" t="inlineStr"/>
      <c r="Q4488" s="2" t="inlineStr"/>
      <c r="R4488" s="2" t="inlineStr">
        <is>
          <t>Disney+</t>
        </is>
      </c>
      <c r="S4488" s="2" t="inlineStr"/>
      <c r="T4488" s="2" t="inlineStr">
        <is>
          <t>Assinatura Disney+ Padrão inclusa</t>
        </is>
      </c>
      <c r="U4488" s="2" t="inlineStr">
        <is>
          <t>https://vivo.com.br/para-voce/produtos-e-servicos/para-o-celular/planos-pos-pago</t>
        </is>
      </c>
      <c r="V4488" s="2" t="inlineStr">
        <is>
          <t>data/raw/vivo_postpaid_SP.html</t>
        </is>
      </c>
    </row>
    <row r="4489">
      <c r="A4489" s="5" t="inlineStr">
        <is>
          <t>2026-09-08</t>
        </is>
      </c>
      <c r="B4489" s="5" t="inlineStr">
        <is>
          <t>2026-09-08T20:09:02</t>
        </is>
      </c>
      <c r="C4489" s="5" t="inlineStr">
        <is>
          <t>vivo</t>
        </is>
      </c>
      <c r="D4489" s="5" t="inlineStr">
        <is>
          <t>postpaid</t>
        </is>
      </c>
      <c r="E4489" s="5" t="inlineStr">
        <is>
          <t>SP</t>
        </is>
      </c>
      <c r="F4489" s="5" t="inlineStr">
        <is>
          <t>Vivo Pós com Globoplay</t>
        </is>
      </c>
      <c r="G4489" s="5" t="inlineStr">
        <is>
          <t>vivo:VIV202600034575</t>
        </is>
      </c>
      <c r="H4489" s="6" t="n">
        <v>165</v>
      </c>
      <c r="I4489" s="6" t="inlineStr"/>
      <c r="J4489" s="5" t="inlineStr"/>
      <c r="K4489" s="5" t="inlineStr"/>
      <c r="L4489" s="7" t="n">
        <v>60</v>
      </c>
      <c r="M4489" s="5" t="inlineStr">
        <is>
          <t>50 GB de franquia 10 GB de bônus</t>
        </is>
      </c>
      <c r="N4489" s="5" t="inlineStr"/>
      <c r="O4489" s="5" t="inlineStr"/>
      <c r="P4489" s="5" t="inlineStr"/>
      <c r="Q4489" s="5" t="inlineStr"/>
      <c r="R4489" s="5" t="inlineStr">
        <is>
          <t>Globoplay</t>
        </is>
      </c>
      <c r="S4489" s="5" t="inlineStr"/>
      <c r="T4489" s="5" t="inlineStr">
        <is>
          <t>Assinatura Globoplay inclusa</t>
        </is>
      </c>
      <c r="U4489" s="5" t="inlineStr">
        <is>
          <t>https://vivo.com.br/para-voce/produtos-e-servicos/para-o-celular/planos-pos-pago</t>
        </is>
      </c>
      <c r="V4489" s="5" t="inlineStr">
        <is>
          <t>data/raw/vivo_postpaid_SP.html</t>
        </is>
      </c>
    </row>
    <row r="4490">
      <c r="A4490" s="2" t="inlineStr">
        <is>
          <t>2026-09-08</t>
        </is>
      </c>
      <c r="B4490" s="2" t="inlineStr">
        <is>
          <t>2026-09-08T20:09:02</t>
        </is>
      </c>
      <c r="C4490" s="2" t="inlineStr">
        <is>
          <t>vivo</t>
        </is>
      </c>
      <c r="D4490" s="2" t="inlineStr">
        <is>
          <t>postpaid</t>
        </is>
      </c>
      <c r="E4490" s="2" t="inlineStr">
        <is>
          <t>SP</t>
        </is>
      </c>
      <c r="F4490" s="2" t="inlineStr">
        <is>
          <t>Vivo Pós com Netflix</t>
        </is>
      </c>
      <c r="G4490" s="2" t="inlineStr">
        <is>
          <t>vivo:VIV202600034562</t>
        </is>
      </c>
      <c r="H4490" s="3" t="n">
        <v>180</v>
      </c>
      <c r="I4490" s="3" t="inlineStr"/>
      <c r="J4490" s="2" t="inlineStr"/>
      <c r="K4490" s="2" t="inlineStr"/>
      <c r="L4490" s="4" t="n">
        <v>60</v>
      </c>
      <c r="M4490" s="2" t="inlineStr">
        <is>
          <t>50 GB de franquia 10 GB de bônus</t>
        </is>
      </c>
      <c r="N4490" s="2" t="inlineStr"/>
      <c r="O4490" s="2" t="inlineStr"/>
      <c r="P4490" s="2" t="inlineStr"/>
      <c r="Q4490" s="2" t="inlineStr"/>
      <c r="R4490" s="2" t="inlineStr">
        <is>
          <t>Netflix</t>
        </is>
      </c>
      <c r="S4490" s="2" t="inlineStr"/>
      <c r="T4490" s="2" t="inlineStr">
        <is>
          <t>Assinatura Netflix Padrão inclusa</t>
        </is>
      </c>
      <c r="U4490" s="2" t="inlineStr">
        <is>
          <t>https://vivo.com.br/para-voce/produtos-e-servicos/para-o-celular/planos-pos-pago</t>
        </is>
      </c>
      <c r="V4490" s="2" t="inlineStr">
        <is>
          <t>data/raw/vivo_postpaid_SP.html</t>
        </is>
      </c>
    </row>
    <row r="4491">
      <c r="A4491" s="5" t="inlineStr">
        <is>
          <t>2026-09-08</t>
        </is>
      </c>
      <c r="B4491" s="5" t="inlineStr">
        <is>
          <t>2026-09-08T20:09:02</t>
        </is>
      </c>
      <c r="C4491" s="5" t="inlineStr">
        <is>
          <t>vivo</t>
        </is>
      </c>
      <c r="D4491" s="5" t="inlineStr">
        <is>
          <t>postpaid</t>
        </is>
      </c>
      <c r="E4491" s="5" t="inlineStr">
        <is>
          <t>SP</t>
        </is>
      </c>
      <c r="F4491" s="5" t="inlineStr">
        <is>
          <t>Vivo Pós com Premiere</t>
        </is>
      </c>
      <c r="G4491" s="5" t="inlineStr">
        <is>
          <t>vivo:VIV202600034579</t>
        </is>
      </c>
      <c r="H4491" s="6" t="n">
        <v>180</v>
      </c>
      <c r="I4491" s="6" t="inlineStr"/>
      <c r="J4491" s="5" t="inlineStr"/>
      <c r="K4491" s="5" t="inlineStr"/>
      <c r="L4491" s="7" t="n">
        <v>60</v>
      </c>
      <c r="M4491" s="5" t="inlineStr">
        <is>
          <t>50 GB de franquia 10 GB de bônus</t>
        </is>
      </c>
      <c r="N4491" s="5" t="inlineStr"/>
      <c r="O4491" s="5" t="inlineStr"/>
      <c r="P4491" s="5" t="inlineStr"/>
      <c r="Q4491" s="5" t="inlineStr"/>
      <c r="R4491" s="5" t="inlineStr">
        <is>
          <t>Premiere</t>
        </is>
      </c>
      <c r="S4491" s="5" t="inlineStr"/>
      <c r="T4491" s="5" t="inlineStr">
        <is>
          <t>Assinatura Premiere inclusa</t>
        </is>
      </c>
      <c r="U4491" s="5" t="inlineStr">
        <is>
          <t>https://vivo.com.br/para-voce/produtos-e-servicos/para-o-celular/planos-pos-pago</t>
        </is>
      </c>
      <c r="V4491" s="5" t="inlineStr">
        <is>
          <t>data/raw/vivo_postpaid_SP.html</t>
        </is>
      </c>
    </row>
    <row r="4492">
      <c r="A4492" s="2" t="inlineStr">
        <is>
          <t>2026-09-08</t>
        </is>
      </c>
      <c r="B4492" s="2" t="inlineStr">
        <is>
          <t>2026-09-08T20:09:02</t>
        </is>
      </c>
      <c r="C4492" s="2" t="inlineStr">
        <is>
          <t>vivo</t>
        </is>
      </c>
      <c r="D4492" s="2" t="inlineStr">
        <is>
          <t>postpaid</t>
        </is>
      </c>
      <c r="E4492" s="2" t="inlineStr">
        <is>
          <t>SP</t>
        </is>
      </c>
      <c r="F4492" s="2" t="inlineStr">
        <is>
          <t>Vivo Pós com Spotify</t>
        </is>
      </c>
      <c r="G4492" s="2" t="inlineStr">
        <is>
          <t>vivo:VIV202600034556</t>
        </is>
      </c>
      <c r="H4492" s="3" t="n">
        <v>165</v>
      </c>
      <c r="I4492" s="3" t="inlineStr"/>
      <c r="J4492" s="2" t="inlineStr"/>
      <c r="K4492" s="2" t="inlineStr"/>
      <c r="L4492" s="4" t="n">
        <v>60</v>
      </c>
      <c r="M4492" s="2" t="inlineStr">
        <is>
          <t>50 GB de franquia 10 GB de bônus</t>
        </is>
      </c>
      <c r="N4492" s="2" t="inlineStr"/>
      <c r="O4492" s="2" t="inlineStr"/>
      <c r="P4492" s="2" t="inlineStr"/>
      <c r="Q4492" s="2" t="inlineStr"/>
      <c r="R4492" s="2" t="inlineStr">
        <is>
          <t>Spotify</t>
        </is>
      </c>
      <c r="S4492" s="2" t="inlineStr"/>
      <c r="T4492" s="2" t="inlineStr">
        <is>
          <t>Assinatura Spotify Premium inclusa</t>
        </is>
      </c>
      <c r="U4492" s="2" t="inlineStr">
        <is>
          <t>https://vivo.com.br/para-voce/produtos-e-servicos/para-o-celular/planos-pos-pago</t>
        </is>
      </c>
      <c r="V4492" s="2" t="inlineStr">
        <is>
          <t>data/raw/vivo_postpaid_SP.html</t>
        </is>
      </c>
    </row>
    <row r="4493">
      <c r="A4493" s="5" t="inlineStr">
        <is>
          <t>2026-09-08</t>
        </is>
      </c>
      <c r="B4493" s="5" t="inlineStr">
        <is>
          <t>2026-09-08T20:09:02</t>
        </is>
      </c>
      <c r="C4493" s="5" t="inlineStr">
        <is>
          <t>vivo</t>
        </is>
      </c>
      <c r="D4493" s="5" t="inlineStr">
        <is>
          <t>postpaid</t>
        </is>
      </c>
      <c r="E4493" s="5" t="inlineStr">
        <is>
          <t>SP</t>
        </is>
      </c>
      <c r="F4493" s="5" t="inlineStr">
        <is>
          <t>Vivo Pós com Travel</t>
        </is>
      </c>
      <c r="G4493" s="5" t="inlineStr">
        <is>
          <t>vivo:VIV202600034573</t>
        </is>
      </c>
      <c r="H4493" s="6" t="n">
        <v>215</v>
      </c>
      <c r="I4493" s="6" t="inlineStr"/>
      <c r="J4493" s="5" t="inlineStr"/>
      <c r="K4493" s="5" t="inlineStr"/>
      <c r="L4493" s="7" t="n">
        <v>70</v>
      </c>
      <c r="M4493" s="5" t="inlineStr">
        <is>
          <t>60 GB de franquia 10 GB de bônus</t>
        </is>
      </c>
      <c r="N4493" s="5" t="inlineStr"/>
      <c r="O4493" s="5" t="inlineStr"/>
      <c r="P4493" s="5" t="inlineStr"/>
      <c r="Q4493" s="5" t="inlineStr"/>
      <c r="R4493" s="5" t="inlineStr"/>
      <c r="S4493" s="5" t="inlineStr"/>
      <c r="T4493" s="5" t="inlineStr">
        <is>
          <t>6 meses grátis de Gemini com AI Plus</t>
        </is>
      </c>
      <c r="U4493" s="5" t="inlineStr">
        <is>
          <t>https://vivo.com.br/para-voce/produtos-e-servicos/para-o-celular/planos-pos-pago</t>
        </is>
      </c>
      <c r="V4493" s="5" t="inlineStr">
        <is>
          <t>data/raw/vivo_postpaid_SP.html</t>
        </is>
      </c>
    </row>
    <row r="4494">
      <c r="A4494" s="2" t="inlineStr">
        <is>
          <t>2026-09-08</t>
        </is>
      </c>
      <c r="B4494" s="2" t="inlineStr">
        <is>
          <t>2026-09-08T20:09:02</t>
        </is>
      </c>
      <c r="C4494" s="2" t="inlineStr">
        <is>
          <t>vivo</t>
        </is>
      </c>
      <c r="D4494" s="2" t="inlineStr">
        <is>
          <t>prepaid</t>
        </is>
      </c>
      <c r="E4494" s="2" t="inlineStr">
        <is>
          <t>SP</t>
        </is>
      </c>
      <c r="F4494" s="2" t="inlineStr">
        <is>
          <t>Vivo Pré</t>
        </is>
      </c>
      <c r="G4494" s="2" t="inlineStr">
        <is>
          <t>vivo:VIV202600029370-30d</t>
        </is>
      </c>
      <c r="H4494" s="3" t="n">
        <v>30</v>
      </c>
      <c r="I4494" s="3" t="inlineStr"/>
      <c r="J4494" s="2" t="inlineStr"/>
      <c r="K4494" s="2" t="inlineStr"/>
      <c r="L4494" s="4" t="n">
        <v>25</v>
      </c>
      <c r="M4494" s="2" t="inlineStr">
        <is>
          <t>15 GB para navegar como quiser 5 GB de bônus 5 GB para navegar no Youtube</t>
        </is>
      </c>
      <c r="N4494" s="2" t="n">
        <v>30</v>
      </c>
      <c r="O4494" s="2" t="inlineStr"/>
      <c r="P4494" s="2" t="inlineStr"/>
      <c r="Q4494" s="2" t="inlineStr"/>
      <c r="R4494" s="2" t="inlineStr"/>
      <c r="S4494" s="2" t="inlineStr"/>
      <c r="T4494" s="2" t="inlineStr"/>
      <c r="U4494" s="2" t="inlineStr">
        <is>
          <t>https://vivo.com.br/para-voce/produtos-e-servicos/para-o-celular/pre-pago/vivo-pre</t>
        </is>
      </c>
      <c r="V4494" s="2" t="inlineStr">
        <is>
          <t>data/raw/vivo_prepaid_SP.html</t>
        </is>
      </c>
    </row>
    <row r="4495">
      <c r="A4495" s="5" t="inlineStr">
        <is>
          <t>2026-09-08</t>
        </is>
      </c>
      <c r="B4495" s="5" t="inlineStr">
        <is>
          <t>2026-09-08T20:09:02</t>
        </is>
      </c>
      <c r="C4495" s="5" t="inlineStr">
        <is>
          <t>vivo</t>
        </is>
      </c>
      <c r="D4495" s="5" t="inlineStr">
        <is>
          <t>prepaid</t>
        </is>
      </c>
      <c r="E4495" s="5" t="inlineStr">
        <is>
          <t>SP</t>
        </is>
      </c>
      <c r="F4495" s="5" t="inlineStr">
        <is>
          <t>Vivo Pré</t>
        </is>
      </c>
      <c r="G4495" s="5" t="inlineStr">
        <is>
          <t>vivo:VIV202600029370-22d</t>
        </is>
      </c>
      <c r="H4495" s="6" t="n">
        <v>25</v>
      </c>
      <c r="I4495" s="6" t="inlineStr"/>
      <c r="J4495" s="5" t="inlineStr"/>
      <c r="K4495" s="5" t="inlineStr"/>
      <c r="L4495" s="7" t="n">
        <v>9</v>
      </c>
      <c r="M4495" s="5" t="inlineStr">
        <is>
          <t>6 GB para navegar como quiser 3 GB para navegar no YouTube</t>
        </is>
      </c>
      <c r="N4495" s="5" t="n">
        <v>22</v>
      </c>
      <c r="O4495" s="5" t="inlineStr"/>
      <c r="P4495" s="5" t="inlineStr"/>
      <c r="Q4495" s="5" t="inlineStr"/>
      <c r="R4495" s="5" t="inlineStr"/>
      <c r="S4495" s="5" t="inlineStr"/>
      <c r="T4495" s="5" t="inlineStr"/>
      <c r="U4495" s="5" t="inlineStr">
        <is>
          <t>https://vivo.com.br/para-voce/produtos-e-servicos/para-o-celular/pre-pago/vivo-pre</t>
        </is>
      </c>
      <c r="V4495" s="5" t="inlineStr">
        <is>
          <t>data/raw/vivo_prepaid_SP.html</t>
        </is>
      </c>
    </row>
    <row r="4496">
      <c r="A4496" s="2" t="inlineStr">
        <is>
          <t>2026-09-08</t>
        </is>
      </c>
      <c r="B4496" s="2" t="inlineStr">
        <is>
          <t>2026-09-08T20:09:02</t>
        </is>
      </c>
      <c r="C4496" s="2" t="inlineStr">
        <is>
          <t>vivo</t>
        </is>
      </c>
      <c r="D4496" s="2" t="inlineStr">
        <is>
          <t>prepaid</t>
        </is>
      </c>
      <c r="E4496" s="2" t="inlineStr">
        <is>
          <t>SP</t>
        </is>
      </c>
      <c r="F4496" s="2" t="inlineStr">
        <is>
          <t>Vivo Pré</t>
        </is>
      </c>
      <c r="G4496" s="2" t="inlineStr">
        <is>
          <t>vivo:VIV202600029370-17d</t>
        </is>
      </c>
      <c r="H4496" s="3" t="n">
        <v>20</v>
      </c>
      <c r="I4496" s="3" t="inlineStr"/>
      <c r="J4496" s="2" t="inlineStr"/>
      <c r="K4496" s="2" t="inlineStr"/>
      <c r="L4496" s="4" t="n">
        <v>5</v>
      </c>
      <c r="M4496" s="2" t="inlineStr">
        <is>
          <t>5 GB para navegar como quiser</t>
        </is>
      </c>
      <c r="N4496" s="2" t="n">
        <v>17</v>
      </c>
      <c r="O4496" s="2" t="inlineStr"/>
      <c r="P4496" s="2" t="inlineStr"/>
      <c r="Q4496" s="2" t="inlineStr"/>
      <c r="R4496" s="2" t="inlineStr"/>
      <c r="S4496" s="2" t="inlineStr"/>
      <c r="T4496" s="2" t="inlineStr"/>
      <c r="U4496" s="2" t="inlineStr">
        <is>
          <t>https://vivo.com.br/para-voce/produtos-e-servicos/para-o-celular/pre-pago/vivo-pre</t>
        </is>
      </c>
      <c r="V4496" s="2" t="inlineStr">
        <is>
          <t>data/raw/vivo_prepaid_SP.html</t>
        </is>
      </c>
    </row>
    <row r="4497">
      <c r="A4497" s="5" t="inlineStr">
        <is>
          <t>2026-09-08</t>
        </is>
      </c>
      <c r="B4497" s="5" t="inlineStr">
        <is>
          <t>2026-09-08T20:09:02</t>
        </is>
      </c>
      <c r="C4497" s="5" t="inlineStr">
        <is>
          <t>vivo</t>
        </is>
      </c>
      <c r="D4497" s="5" t="inlineStr">
        <is>
          <t>prepaid</t>
        </is>
      </c>
      <c r="E4497" s="5" t="inlineStr">
        <is>
          <t>SP</t>
        </is>
      </c>
      <c r="F4497" s="5" t="inlineStr">
        <is>
          <t>Vivo Pré</t>
        </is>
      </c>
      <c r="G4497" s="5" t="inlineStr">
        <is>
          <t>vivo:VIV202600029370-15d</t>
        </is>
      </c>
      <c r="H4497" s="6" t="n">
        <v>17</v>
      </c>
      <c r="I4497" s="6" t="inlineStr"/>
      <c r="J4497" s="5" t="inlineStr"/>
      <c r="K4497" s="5" t="inlineStr"/>
      <c r="L4497" s="7" t="n">
        <v>4</v>
      </c>
      <c r="M4497" s="5" t="inlineStr">
        <is>
          <t>4 GB para navegar como quiser</t>
        </is>
      </c>
      <c r="N4497" s="5" t="n">
        <v>15</v>
      </c>
      <c r="O4497" s="5" t="inlineStr"/>
      <c r="P4497" s="5" t="inlineStr"/>
      <c r="Q4497" s="5" t="inlineStr"/>
      <c r="R4497" s="5" t="inlineStr"/>
      <c r="S4497" s="5" t="inlineStr"/>
      <c r="T4497" s="5" t="inlineStr"/>
      <c r="U4497" s="5" t="inlineStr">
        <is>
          <t>https://vivo.com.br/para-voce/produtos-e-servicos/para-o-celular/pre-pago/vivo-pre</t>
        </is>
      </c>
      <c r="V4497" s="5" t="inlineStr">
        <is>
          <t>data/raw/vivo_prepaid_SP.html</t>
        </is>
      </c>
    </row>
    <row r="4498">
      <c r="A4498" s="2" t="inlineStr">
        <is>
          <t>2026-09-09</t>
        </is>
      </c>
      <c r="B4498" s="2" t="inlineStr">
        <is>
          <t>2026-09-09T02:52:30</t>
        </is>
      </c>
      <c r="C4498" s="2" t="inlineStr">
        <is>
          <t>claro</t>
        </is>
      </c>
      <c r="D4498" s="2" t="inlineStr">
        <is>
          <t>control</t>
        </is>
      </c>
      <c r="E4498" s="2" t="inlineStr">
        <is>
          <t>SP</t>
        </is>
      </c>
      <c r="F4498" s="2" t="inlineStr">
        <is>
          <t>Controle 25GB</t>
        </is>
      </c>
      <c r="G4498" s="2" t="inlineStr">
        <is>
          <t>claro:plano-controle-25gb</t>
        </is>
      </c>
      <c r="H4498" s="3" t="n">
        <v>59.9</v>
      </c>
      <c r="I4498" s="3" t="n">
        <v>54.9</v>
      </c>
      <c r="J4498" s="2" t="inlineStr">
        <is>
          <t>De R$ 59,90 Por:</t>
        </is>
      </c>
      <c r="K4498" s="2" t="inlineStr"/>
      <c r="L4498" s="4" t="n">
        <v>25</v>
      </c>
      <c r="M4498" s="2" t="inlineStr"/>
      <c r="N4498" s="2" t="inlineStr"/>
      <c r="O4498" s="2" t="inlineStr">
        <is>
          <t>WhatsApp</t>
        </is>
      </c>
      <c r="P4498" s="2" t="inlineStr"/>
      <c r="Q4498" s="2" t="inlineStr"/>
      <c r="R4498" s="2" t="inlineStr"/>
      <c r="S4498" s="2" t="inlineStr"/>
      <c r="T4498" s="2" t="inlineStr">
        <is>
          <t>Para uso livre; Para redes sociais e vídeos; Bônus exclusivo; Aproveite na sua franquia; WhatsApp e ligações ilimitadas</t>
        </is>
      </c>
      <c r="U4498" s="2" t="inlineStr">
        <is>
          <t>https://www.claro.com.br/celular/controle</t>
        </is>
      </c>
      <c r="V4498" s="2" t="inlineStr">
        <is>
          <t>data/raw/claro_control_SP.json</t>
        </is>
      </c>
    </row>
    <row r="4499">
      <c r="A4499" s="5" t="inlineStr">
        <is>
          <t>2026-09-09</t>
        </is>
      </c>
      <c r="B4499" s="5" t="inlineStr">
        <is>
          <t>2026-09-09T02:52:30</t>
        </is>
      </c>
      <c r="C4499" s="5" t="inlineStr">
        <is>
          <t>claro</t>
        </is>
      </c>
      <c r="D4499" s="5" t="inlineStr">
        <is>
          <t>control</t>
        </is>
      </c>
      <c r="E4499" s="5" t="inlineStr">
        <is>
          <t>SP</t>
        </is>
      </c>
      <c r="F4499" s="5" t="inlineStr">
        <is>
          <t>Controle 30GB</t>
        </is>
      </c>
      <c r="G4499" s="5" t="inlineStr">
        <is>
          <t>claro:plano-controle-30gb</t>
        </is>
      </c>
      <c r="H4499" s="6" t="n">
        <v>69.90000000000001</v>
      </c>
      <c r="I4499" s="6" t="inlineStr"/>
      <c r="J4499" s="5" t="inlineStr"/>
      <c r="K4499" s="5" t="inlineStr"/>
      <c r="L4499" s="7" t="n">
        <v>30</v>
      </c>
      <c r="M4499" s="5" t="inlineStr"/>
      <c r="N4499" s="5" t="inlineStr"/>
      <c r="O4499" s="5" t="inlineStr">
        <is>
          <t>WhatsApp</t>
        </is>
      </c>
      <c r="P4499" s="5" t="inlineStr"/>
      <c r="Q4499" s="5" t="inlineStr"/>
      <c r="R4499" s="5" t="inlineStr"/>
      <c r="S4499" s="5" t="inlineStr"/>
      <c r="T4499" s="5" t="inlineStr">
        <is>
          <t>Para uso livre; Bônus para uso livre; Bônus para redes sociais e apps; Assinatura Amazon Prime por 3 meses; Redes sociais e apps; WhatsApp ilimitado</t>
        </is>
      </c>
      <c r="U4499" s="5" t="inlineStr">
        <is>
          <t>https://www.claro.com.br/celular/controle</t>
        </is>
      </c>
      <c r="V4499" s="5" t="inlineStr">
        <is>
          <t>data/raw/claro_control_SP.json</t>
        </is>
      </c>
    </row>
    <row r="4500">
      <c r="A4500" s="2" t="inlineStr">
        <is>
          <t>2026-09-09</t>
        </is>
      </c>
      <c r="B4500" s="2" t="inlineStr">
        <is>
          <t>2026-09-09T02:52:30</t>
        </is>
      </c>
      <c r="C4500" s="2" t="inlineStr">
        <is>
          <t>claro</t>
        </is>
      </c>
      <c r="D4500" s="2" t="inlineStr">
        <is>
          <t>control</t>
        </is>
      </c>
      <c r="E4500" s="2" t="inlineStr">
        <is>
          <t>SP</t>
        </is>
      </c>
      <c r="F4500" s="2" t="inlineStr">
        <is>
          <t>Controle 30GB</t>
        </is>
      </c>
      <c r="G4500" s="2" t="inlineStr">
        <is>
          <t>claro:plano-controle-30gb-gaming</t>
        </is>
      </c>
      <c r="H4500" s="3" t="n">
        <v>99.90000000000001</v>
      </c>
      <c r="I4500" s="3" t="inlineStr"/>
      <c r="J4500" s="2" t="inlineStr"/>
      <c r="K4500" s="2" t="inlineStr"/>
      <c r="L4500" s="4" t="n">
        <v>30</v>
      </c>
      <c r="M4500" s="2" t="inlineStr"/>
      <c r="N4500" s="2" t="inlineStr"/>
      <c r="O4500" s="2" t="inlineStr">
        <is>
          <t>WhatsApp</t>
        </is>
      </c>
      <c r="P4500" s="2" t="inlineStr"/>
      <c r="Q4500" s="2" t="inlineStr"/>
      <c r="R4500" s="2" t="inlineStr"/>
      <c r="S4500" s="2" t="inlineStr"/>
      <c r="T4500" s="2" t="inlineStr">
        <is>
          <t>Para uso livre; Bônus para redes sociais e apps; Bônus uso livre; Assinatura Amazon Prime por 3 meses; Redes sociais e apps; WhatsApp ilimitado</t>
        </is>
      </c>
      <c r="U4500" s="2" t="inlineStr">
        <is>
          <t>https://www.claro.com.br/celular/controle</t>
        </is>
      </c>
      <c r="V4500" s="2" t="inlineStr">
        <is>
          <t>data/raw/claro_control_SP.json</t>
        </is>
      </c>
    </row>
    <row r="4501">
      <c r="A4501" s="5" t="inlineStr">
        <is>
          <t>2026-09-09</t>
        </is>
      </c>
      <c r="B4501" s="5" t="inlineStr">
        <is>
          <t>2026-09-09T02:52:30</t>
        </is>
      </c>
      <c r="C4501" s="5" t="inlineStr">
        <is>
          <t>claro</t>
        </is>
      </c>
      <c r="D4501" s="5" t="inlineStr">
        <is>
          <t>flex</t>
        </is>
      </c>
      <c r="E4501" s="5" t="inlineStr">
        <is>
          <t>SP</t>
        </is>
      </c>
      <c r="F4501" s="5" t="inlineStr">
        <is>
          <t>Flex 15GB</t>
        </is>
      </c>
      <c r="G4501" s="5" t="inlineStr">
        <is>
          <t>claro:plano-flex-15gb</t>
        </is>
      </c>
      <c r="H4501" s="6" t="n">
        <v>44.9</v>
      </c>
      <c r="I4501" s="6" t="inlineStr"/>
      <c r="J4501" s="5" t="inlineStr"/>
      <c r="K4501" s="5" t="inlineStr"/>
      <c r="L4501" s="7" t="n">
        <v>15</v>
      </c>
      <c r="M4501" s="5" t="inlineStr"/>
      <c r="N4501" s="5" t="inlineStr"/>
      <c r="O4501" s="5" t="inlineStr">
        <is>
          <t>WhatsApp</t>
        </is>
      </c>
      <c r="P4501" s="5" t="inlineStr"/>
      <c r="Q4501" s="5" t="inlineStr"/>
      <c r="R4501" s="5" t="inlineStr"/>
      <c r="S4501" s="5" t="inlineStr"/>
      <c r="T4501" s="5" t="inlineStr">
        <is>
          <t>Para uso livre; Para redes sociais e apps; Bônus extra nos apps; WhatsApp ilimitado</t>
        </is>
      </c>
      <c r="U4501" s="5" t="inlineStr">
        <is>
          <t>https://www.claro.com.br/celular/flex</t>
        </is>
      </c>
      <c r="V4501" s="5" t="inlineStr">
        <is>
          <t>data/raw/claro_flex_SP.json</t>
        </is>
      </c>
    </row>
    <row r="4502">
      <c r="A4502" s="2" t="inlineStr">
        <is>
          <t>2026-09-09</t>
        </is>
      </c>
      <c r="B4502" s="2" t="inlineStr">
        <is>
          <t>2026-09-09T02:52:30</t>
        </is>
      </c>
      <c r="C4502" s="2" t="inlineStr">
        <is>
          <t>claro</t>
        </is>
      </c>
      <c r="D4502" s="2" t="inlineStr">
        <is>
          <t>flex</t>
        </is>
      </c>
      <c r="E4502" s="2" t="inlineStr">
        <is>
          <t>SP</t>
        </is>
      </c>
      <c r="F4502" s="2" t="inlineStr">
        <is>
          <t>Flex 20GB</t>
        </is>
      </c>
      <c r="G4502" s="2" t="inlineStr">
        <is>
          <t>claro:plano-flex-20gb</t>
        </is>
      </c>
      <c r="H4502" s="3" t="n">
        <v>59.9</v>
      </c>
      <c r="I4502" s="3" t="inlineStr"/>
      <c r="J4502" s="2" t="inlineStr"/>
      <c r="K4502" s="2" t="inlineStr"/>
      <c r="L4502" s="4" t="n">
        <v>20</v>
      </c>
      <c r="M4502" s="2" t="inlineStr"/>
      <c r="N4502" s="2" t="inlineStr"/>
      <c r="O4502" s="2" t="inlineStr">
        <is>
          <t>WhatsApp</t>
        </is>
      </c>
      <c r="P4502" s="2" t="inlineStr"/>
      <c r="Q4502" s="2" t="inlineStr"/>
      <c r="R4502" s="2" t="inlineStr"/>
      <c r="S4502" s="2" t="inlineStr"/>
      <c r="T4502" s="2" t="inlineStr">
        <is>
          <t>Para uso livre; Para redes sociais e apps; Bônus extra nos apps; WhatsApp ilimitado</t>
        </is>
      </c>
      <c r="U4502" s="2" t="inlineStr">
        <is>
          <t>https://www.claro.com.br/celular/flex</t>
        </is>
      </c>
      <c r="V4502" s="2" t="inlineStr">
        <is>
          <t>data/raw/claro_flex_SP.json</t>
        </is>
      </c>
    </row>
    <row r="4503">
      <c r="A4503" s="5" t="inlineStr">
        <is>
          <t>2026-09-09</t>
        </is>
      </c>
      <c r="B4503" s="5" t="inlineStr">
        <is>
          <t>2026-09-09T02:52:30</t>
        </is>
      </c>
      <c r="C4503" s="5" t="inlineStr">
        <is>
          <t>claro</t>
        </is>
      </c>
      <c r="D4503" s="5" t="inlineStr">
        <is>
          <t>flex</t>
        </is>
      </c>
      <c r="E4503" s="5" t="inlineStr">
        <is>
          <t>SP</t>
        </is>
      </c>
      <c r="F4503" s="5" t="inlineStr">
        <is>
          <t>Flex 30GB</t>
        </is>
      </c>
      <c r="G4503" s="5" t="inlineStr">
        <is>
          <t>claro:plano-flex-30gb</t>
        </is>
      </c>
      <c r="H4503" s="6" t="n">
        <v>69.90000000000001</v>
      </c>
      <c r="I4503" s="6" t="inlineStr"/>
      <c r="J4503" s="5" t="inlineStr"/>
      <c r="K4503" s="5" t="inlineStr"/>
      <c r="L4503" s="7" t="n">
        <v>30</v>
      </c>
      <c r="M4503" s="5" t="inlineStr"/>
      <c r="N4503" s="5" t="inlineStr"/>
      <c r="O4503" s="5" t="inlineStr">
        <is>
          <t>WhatsApp</t>
        </is>
      </c>
      <c r="P4503" s="5" t="inlineStr"/>
      <c r="Q4503" s="5" t="inlineStr"/>
      <c r="R4503" s="5" t="inlineStr"/>
      <c r="S4503" s="5" t="inlineStr"/>
      <c r="T4503" s="5" t="inlineStr">
        <is>
          <t>Para uso livre; Para redes sociais e apps; Bônus extra nos apps; WhatsApp ilimitado; Assinatura Claro musica inclusa</t>
        </is>
      </c>
      <c r="U4503" s="5" t="inlineStr">
        <is>
          <t>https://www.claro.com.br/celular/flex</t>
        </is>
      </c>
      <c r="V4503" s="5" t="inlineStr">
        <is>
          <t>data/raw/claro_flex_SP.json</t>
        </is>
      </c>
    </row>
    <row r="4504">
      <c r="A4504" s="2" t="inlineStr">
        <is>
          <t>2026-09-09</t>
        </is>
      </c>
      <c r="B4504" s="2" t="inlineStr">
        <is>
          <t>2026-09-09T02:52:30</t>
        </is>
      </c>
      <c r="C4504" s="2" t="inlineStr">
        <is>
          <t>claro</t>
        </is>
      </c>
      <c r="D4504" s="2" t="inlineStr">
        <is>
          <t>flex</t>
        </is>
      </c>
      <c r="E4504" s="2" t="inlineStr">
        <is>
          <t>SP</t>
        </is>
      </c>
      <c r="F4504" s="2" t="inlineStr">
        <is>
          <t>Flex 40GB</t>
        </is>
      </c>
      <c r="G4504" s="2" t="inlineStr">
        <is>
          <t>claro:plano-flex-40gb</t>
        </is>
      </c>
      <c r="H4504" s="3" t="n">
        <v>119.9</v>
      </c>
      <c r="I4504" s="3" t="inlineStr"/>
      <c r="J4504" s="2" t="inlineStr"/>
      <c r="K4504" s="2" t="inlineStr"/>
      <c r="L4504" s="4" t="n">
        <v>40</v>
      </c>
      <c r="M4504" s="2" t="inlineStr"/>
      <c r="N4504" s="2" t="inlineStr"/>
      <c r="O4504" s="2" t="inlineStr">
        <is>
          <t>WhatsApp</t>
        </is>
      </c>
      <c r="P4504" s="2" t="inlineStr"/>
      <c r="Q4504" s="2" t="inlineStr"/>
      <c r="R4504" s="2" t="inlineStr"/>
      <c r="S4504" s="2" t="inlineStr"/>
      <c r="T4504" s="2" t="inlineStr">
        <is>
          <t>Para uso livre; WhatsApp ilimitado; Assinatura Claro musica inclusa; Roaming: Passaporte Américas</t>
        </is>
      </c>
      <c r="U4504" s="2" t="inlineStr">
        <is>
          <t>https://www.claro.com.br/celular/flex</t>
        </is>
      </c>
      <c r="V4504" s="2" t="inlineStr">
        <is>
          <t>data/raw/claro_flex_SP.json</t>
        </is>
      </c>
    </row>
    <row r="4505">
      <c r="A4505" s="5" t="inlineStr">
        <is>
          <t>2026-09-09</t>
        </is>
      </c>
      <c r="B4505" s="5" t="inlineStr">
        <is>
          <t>2026-09-09T02:52:30</t>
        </is>
      </c>
      <c r="C4505" s="5" t="inlineStr">
        <is>
          <t>claro</t>
        </is>
      </c>
      <c r="D4505" s="5" t="inlineStr">
        <is>
          <t>postpaid</t>
        </is>
      </c>
      <c r="E4505" s="5" t="inlineStr">
        <is>
          <t>SP</t>
        </is>
      </c>
      <c r="F4505" s="5" t="inlineStr">
        <is>
          <t>Pós 100GB</t>
        </is>
      </c>
      <c r="G4505" s="5" t="inlineStr">
        <is>
          <t>claro:plano-pos-100gb</t>
        </is>
      </c>
      <c r="H4505" s="6" t="n">
        <v>179.9</v>
      </c>
      <c r="I4505" s="6" t="inlineStr"/>
      <c r="J4505" s="5" t="inlineStr"/>
      <c r="K4505" s="5" t="inlineStr"/>
      <c r="L4505" s="7" t="n">
        <v>100</v>
      </c>
      <c r="M4505" s="5" t="inlineStr"/>
      <c r="N4505" s="5" t="inlineStr"/>
      <c r="O4505" s="5" t="inlineStr">
        <is>
          <t>WhatsApp</t>
        </is>
      </c>
      <c r="P4505" s="5" t="inlineStr"/>
      <c r="Q4505" s="5" t="inlineStr"/>
      <c r="R4505" s="5" t="inlineStr"/>
      <c r="S4505" s="5" t="inlineStr"/>
      <c r="T4505" s="5" t="inlineStr">
        <is>
          <t>Armazenamento na nuvem:; Google One ou iCloud+; WhatsApp ilimitado; Assinatura Amazon Prime por 3 meses; Roaming: Passaporte Américas; Claro Sync: Smartwatch conectado</t>
        </is>
      </c>
      <c r="U4505" s="5" t="inlineStr">
        <is>
          <t>https://www.claro.com.br/celular/pos</t>
        </is>
      </c>
      <c r="V4505" s="5" t="inlineStr">
        <is>
          <t>data/raw/claro_postpaid_SP.json</t>
        </is>
      </c>
    </row>
    <row r="4506">
      <c r="A4506" s="2" t="inlineStr">
        <is>
          <t>2026-09-09</t>
        </is>
      </c>
      <c r="B4506" s="2" t="inlineStr">
        <is>
          <t>2026-09-09T02:52:30</t>
        </is>
      </c>
      <c r="C4506" s="2" t="inlineStr">
        <is>
          <t>claro</t>
        </is>
      </c>
      <c r="D4506" s="2" t="inlineStr">
        <is>
          <t>postpaid</t>
        </is>
      </c>
      <c r="E4506" s="2" t="inlineStr">
        <is>
          <t>SP</t>
        </is>
      </c>
      <c r="F4506" s="2" t="inlineStr">
        <is>
          <t>Pós 150GB</t>
        </is>
      </c>
      <c r="G4506" s="2" t="inlineStr">
        <is>
          <t>claro:plano-pos-150gb</t>
        </is>
      </c>
      <c r="H4506" s="3" t="n">
        <v>239.9</v>
      </c>
      <c r="I4506" s="3" t="inlineStr"/>
      <c r="J4506" s="2" t="inlineStr"/>
      <c r="K4506" s="2" t="inlineStr"/>
      <c r="L4506" s="4" t="n">
        <v>150</v>
      </c>
      <c r="M4506" s="2" t="inlineStr"/>
      <c r="N4506" s="2" t="inlineStr"/>
      <c r="O4506" s="2" t="inlineStr">
        <is>
          <t>WhatsApp</t>
        </is>
      </c>
      <c r="P4506" s="2" t="inlineStr"/>
      <c r="Q4506" s="2" t="inlineStr"/>
      <c r="R4506" s="2" t="inlineStr"/>
      <c r="S4506" s="2" t="inlineStr"/>
      <c r="T450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506" s="2" t="inlineStr">
        <is>
          <t>https://www.claro.com.br/celular/pos</t>
        </is>
      </c>
      <c r="V4506" s="2" t="inlineStr">
        <is>
          <t>data/raw/claro_postpaid_SP.json</t>
        </is>
      </c>
    </row>
    <row r="4507">
      <c r="A4507" s="5" t="inlineStr">
        <is>
          <t>2026-09-09</t>
        </is>
      </c>
      <c r="B4507" s="5" t="inlineStr">
        <is>
          <t>2026-09-09T02:52:30</t>
        </is>
      </c>
      <c r="C4507" s="5" t="inlineStr">
        <is>
          <t>claro</t>
        </is>
      </c>
      <c r="D4507" s="5" t="inlineStr">
        <is>
          <t>postpaid</t>
        </is>
      </c>
      <c r="E4507" s="5" t="inlineStr">
        <is>
          <t>SP</t>
        </is>
      </c>
      <c r="F4507" s="5" t="inlineStr">
        <is>
          <t>Pós 200GB</t>
        </is>
      </c>
      <c r="G4507" s="5" t="inlineStr">
        <is>
          <t>claro:plano-pos-200gb</t>
        </is>
      </c>
      <c r="H4507" s="6" t="n">
        <v>339.9</v>
      </c>
      <c r="I4507" s="6" t="inlineStr"/>
      <c r="J4507" s="5" t="inlineStr"/>
      <c r="K4507" s="5" t="inlineStr"/>
      <c r="L4507" s="7" t="n">
        <v>200</v>
      </c>
      <c r="M4507" s="5" t="inlineStr"/>
      <c r="N4507" s="5" t="inlineStr"/>
      <c r="O4507" s="5" t="inlineStr">
        <is>
          <t>WhatsApp</t>
        </is>
      </c>
      <c r="P4507" s="5" t="inlineStr"/>
      <c r="Q4507" s="5" t="inlineStr"/>
      <c r="R4507" s="5" t="inlineStr"/>
      <c r="S4507" s="5" t="inlineStr"/>
      <c r="T4507" s="5" t="inlineStr">
        <is>
          <t>Armazenamento na nuvem:; Google One (AI Plus) ou iCloud+; WhatsApp ilimitado; Assinatura Amazon Prime por 3 meses; Roaming: Passaporte Mundo; Claro Sync: Smartwatch conectado</t>
        </is>
      </c>
      <c r="U4507" s="5" t="inlineStr">
        <is>
          <t>https://www.claro.com.br/celular/pos</t>
        </is>
      </c>
      <c r="V4507" s="5" t="inlineStr">
        <is>
          <t>data/raw/claro_postpaid_SP.json</t>
        </is>
      </c>
    </row>
    <row r="4508">
      <c r="A4508" s="2" t="inlineStr">
        <is>
          <t>2026-09-09</t>
        </is>
      </c>
      <c r="B4508" s="2" t="inlineStr">
        <is>
          <t>2026-09-09T02:52:30</t>
        </is>
      </c>
      <c r="C4508" s="2" t="inlineStr">
        <is>
          <t>claro</t>
        </is>
      </c>
      <c r="D4508" s="2" t="inlineStr">
        <is>
          <t>postpaid</t>
        </is>
      </c>
      <c r="E4508" s="2" t="inlineStr">
        <is>
          <t>SP</t>
        </is>
      </c>
      <c r="F4508" s="2" t="inlineStr">
        <is>
          <t>Pós 50GB com GeForce NOW</t>
        </is>
      </c>
      <c r="G4508" s="2" t="inlineStr">
        <is>
          <t>claro:plano-pos-60gb-geforce</t>
        </is>
      </c>
      <c r="H4508" s="3" t="n">
        <v>164.9</v>
      </c>
      <c r="I4508" s="3" t="inlineStr"/>
      <c r="J4508" s="2" t="inlineStr"/>
      <c r="K4508" s="2" t="inlineStr"/>
      <c r="L4508" s="4" t="n">
        <v>50</v>
      </c>
      <c r="M4508" s="2" t="inlineStr"/>
      <c r="N4508" s="2" t="inlineStr"/>
      <c r="O4508" s="2" t="inlineStr">
        <is>
          <t>WhatsApp</t>
        </is>
      </c>
      <c r="P4508" s="2" t="inlineStr"/>
      <c r="Q4508" s="2" t="inlineStr"/>
      <c r="R4508" s="2" t="inlineStr"/>
      <c r="S4508" s="2" t="inlineStr"/>
      <c r="T450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508" s="2" t="inlineStr">
        <is>
          <t>https://www.claro.com.br/celular/pos</t>
        </is>
      </c>
      <c r="V4508" s="2" t="inlineStr">
        <is>
          <t>data/raw/claro_postpaid_SP.json</t>
        </is>
      </c>
    </row>
    <row r="4509">
      <c r="A4509" s="5" t="inlineStr">
        <is>
          <t>2026-09-09</t>
        </is>
      </c>
      <c r="B4509" s="5" t="inlineStr">
        <is>
          <t>2026-09-09T02:52:30</t>
        </is>
      </c>
      <c r="C4509" s="5" t="inlineStr">
        <is>
          <t>claro</t>
        </is>
      </c>
      <c r="D4509" s="5" t="inlineStr">
        <is>
          <t>postpaid</t>
        </is>
      </c>
      <c r="E4509" s="5" t="inlineStr">
        <is>
          <t>SP</t>
        </is>
      </c>
      <c r="F4509" s="5" t="inlineStr">
        <is>
          <t>Pós 60GB</t>
        </is>
      </c>
      <c r="G4509" s="5" t="inlineStr">
        <is>
          <t>claro:plano-pos-60gb</t>
        </is>
      </c>
      <c r="H4509" s="6" t="n">
        <v>124.9</v>
      </c>
      <c r="I4509" s="6" t="inlineStr"/>
      <c r="J4509" s="5" t="inlineStr"/>
      <c r="K4509" s="5" t="inlineStr"/>
      <c r="L4509" s="7" t="n">
        <v>60</v>
      </c>
      <c r="M4509" s="5" t="inlineStr"/>
      <c r="N4509" s="5" t="inlineStr"/>
      <c r="O4509" s="5" t="inlineStr">
        <is>
          <t>WhatsApp</t>
        </is>
      </c>
      <c r="P4509" s="5" t="inlineStr"/>
      <c r="Q4509" s="5" t="inlineStr"/>
      <c r="R4509" s="5" t="inlineStr"/>
      <c r="S4509" s="5" t="inlineStr"/>
      <c r="T4509" s="5" t="inlineStr">
        <is>
          <t>Armazenamento na nuvem:; Google One ou iCloud+; WhatsApp ilimitado; Assinatura Amazon Prime por 3 meses; Roaming: Passaporte Américas; Claro Sync: Smartwatch conectado</t>
        </is>
      </c>
      <c r="U4509" s="5" t="inlineStr">
        <is>
          <t>https://www.claro.com.br/celular/pos</t>
        </is>
      </c>
      <c r="V4509" s="5" t="inlineStr">
        <is>
          <t>data/raw/claro_postpaid_SP.json</t>
        </is>
      </c>
    </row>
    <row r="4510">
      <c r="A4510" s="2" t="inlineStr">
        <is>
          <t>2026-09-09</t>
        </is>
      </c>
      <c r="B4510" s="2" t="inlineStr">
        <is>
          <t>2026-09-09T02:52:30</t>
        </is>
      </c>
      <c r="C4510" s="2" t="inlineStr">
        <is>
          <t>claro</t>
        </is>
      </c>
      <c r="D4510" s="2" t="inlineStr">
        <is>
          <t>prepaid</t>
        </is>
      </c>
      <c r="E4510" s="2" t="inlineStr">
        <is>
          <t>SP</t>
        </is>
      </c>
      <c r="F4510" s="2" t="inlineStr">
        <is>
          <t>Prezão 10GB (25 dias)</t>
        </is>
      </c>
      <c r="G4510" s="2" t="inlineStr">
        <is>
          <t>claro:prezao-25d-10gb</t>
        </is>
      </c>
      <c r="H4510" s="3" t="n">
        <v>25</v>
      </c>
      <c r="I4510" s="3" t="inlineStr"/>
      <c r="J4510" s="2" t="inlineStr">
        <is>
          <t>recarga Prezão R$25 — validade 25 dias</t>
        </is>
      </c>
      <c r="K4510" s="2" t="inlineStr"/>
      <c r="L4510" s="4" t="n">
        <v>10</v>
      </c>
      <c r="M4510" s="2" t="inlineStr"/>
      <c r="N4510" s="2" t="n">
        <v>25</v>
      </c>
      <c r="O4510" s="2" t="inlineStr"/>
      <c r="P4510" s="2" t="inlineStr"/>
      <c r="Q4510" s="2" t="inlineStr"/>
      <c r="R4510" s="2" t="inlineStr"/>
      <c r="S4510" s="2" t="inlineStr"/>
      <c r="T4510" s="2" t="inlineStr"/>
      <c r="U4510" s="2" t="inlineStr">
        <is>
          <t>https://www.claro.com.br/celular/planos-pre/prezao</t>
        </is>
      </c>
      <c r="V4510" s="2" t="inlineStr">
        <is>
          <t>data/raw/claro_prepaid_SP.json</t>
        </is>
      </c>
    </row>
    <row r="4511">
      <c r="A4511" s="5" t="inlineStr">
        <is>
          <t>2026-09-09</t>
        </is>
      </c>
      <c r="B4511" s="5" t="inlineStr">
        <is>
          <t>2026-09-09T02:52:30</t>
        </is>
      </c>
      <c r="C4511" s="5" t="inlineStr">
        <is>
          <t>claro</t>
        </is>
      </c>
      <c r="D4511" s="5" t="inlineStr">
        <is>
          <t>prepaid</t>
        </is>
      </c>
      <c r="E4511" s="5" t="inlineStr">
        <is>
          <t>SP</t>
        </is>
      </c>
      <c r="F4511" s="5" t="inlineStr">
        <is>
          <t>Prezão 12GB (30 dias)</t>
        </is>
      </c>
      <c r="G4511" s="5" t="inlineStr">
        <is>
          <t>claro:prezao-30d-12gb</t>
        </is>
      </c>
      <c r="H4511" s="6" t="n">
        <v>30</v>
      </c>
      <c r="I4511" s="6" t="inlineStr"/>
      <c r="J4511" s="5" t="inlineStr">
        <is>
          <t>recarga Prezão R$30 — validade 30 dias</t>
        </is>
      </c>
      <c r="K4511" s="5" t="inlineStr"/>
      <c r="L4511" s="7" t="n">
        <v>12</v>
      </c>
      <c r="M4511" s="5" t="inlineStr"/>
      <c r="N4511" s="5" t="n">
        <v>30</v>
      </c>
      <c r="O4511" s="5" t="inlineStr"/>
      <c r="P4511" s="5" t="inlineStr"/>
      <c r="Q4511" s="5" t="inlineStr"/>
      <c r="R4511" s="5" t="inlineStr"/>
      <c r="S4511" s="5" t="inlineStr"/>
      <c r="T4511" s="5" t="inlineStr"/>
      <c r="U4511" s="5" t="inlineStr">
        <is>
          <t>https://www.claro.com.br/celular/planos-pre/prezao</t>
        </is>
      </c>
      <c r="V4511" s="5" t="inlineStr">
        <is>
          <t>data/raw/claro_prepaid_SP.json</t>
        </is>
      </c>
    </row>
    <row r="4512">
      <c r="A4512" s="2" t="inlineStr">
        <is>
          <t>2026-09-09</t>
        </is>
      </c>
      <c r="B4512" s="2" t="inlineStr">
        <is>
          <t>2026-09-09T02:52:30</t>
        </is>
      </c>
      <c r="C4512" s="2" t="inlineStr">
        <is>
          <t>claro</t>
        </is>
      </c>
      <c r="D4512" s="2" t="inlineStr">
        <is>
          <t>prepaid</t>
        </is>
      </c>
      <c r="E4512" s="2" t="inlineStr">
        <is>
          <t>SP</t>
        </is>
      </c>
      <c r="F4512" s="2" t="inlineStr">
        <is>
          <t>Prezão 4GB (12 dias)</t>
        </is>
      </c>
      <c r="G4512" s="2" t="inlineStr">
        <is>
          <t>claro:prezao-12d-4gb</t>
        </is>
      </c>
      <c r="H4512" s="3" t="n">
        <v>15</v>
      </c>
      <c r="I4512" s="3" t="inlineStr"/>
      <c r="J4512" s="2" t="inlineStr">
        <is>
          <t>recarga Prezão R$15 — validade 12 dias</t>
        </is>
      </c>
      <c r="K4512" s="2" t="inlineStr"/>
      <c r="L4512" s="4" t="n">
        <v>4</v>
      </c>
      <c r="M4512" s="2" t="inlineStr"/>
      <c r="N4512" s="2" t="n">
        <v>12</v>
      </c>
      <c r="O4512" s="2" t="inlineStr"/>
      <c r="P4512" s="2" t="inlineStr"/>
      <c r="Q4512" s="2" t="inlineStr"/>
      <c r="R4512" s="2" t="inlineStr"/>
      <c r="S4512" s="2" t="inlineStr"/>
      <c r="T4512" s="2" t="inlineStr"/>
      <c r="U4512" s="2" t="inlineStr">
        <is>
          <t>https://www.claro.com.br/celular/planos-pre/prezao</t>
        </is>
      </c>
      <c r="V4512" s="2" t="inlineStr">
        <is>
          <t>data/raw/claro_prepaid_SP.json</t>
        </is>
      </c>
    </row>
    <row r="4513">
      <c r="A4513" s="5" t="inlineStr">
        <is>
          <t>2026-09-09</t>
        </is>
      </c>
      <c r="B4513" s="5" t="inlineStr">
        <is>
          <t>2026-09-09T02:52:30</t>
        </is>
      </c>
      <c r="C4513" s="5" t="inlineStr">
        <is>
          <t>claro</t>
        </is>
      </c>
      <c r="D4513" s="5" t="inlineStr">
        <is>
          <t>prepaid</t>
        </is>
      </c>
      <c r="E4513" s="5" t="inlineStr">
        <is>
          <t>SP</t>
        </is>
      </c>
      <c r="F4513" s="5" t="inlineStr">
        <is>
          <t>Prezão 5GB (15 dias)</t>
        </is>
      </c>
      <c r="G4513" s="5" t="inlineStr">
        <is>
          <t>claro:prezao-15d-5gb</t>
        </is>
      </c>
      <c r="H4513" s="6" t="n">
        <v>15</v>
      </c>
      <c r="I4513" s="6" t="inlineStr"/>
      <c r="J4513" s="5" t="inlineStr">
        <is>
          <t>recarga Prezão R$15 — validade 15 dias</t>
        </is>
      </c>
      <c r="K4513" s="5" t="inlineStr"/>
      <c r="L4513" s="7" t="n">
        <v>5</v>
      </c>
      <c r="M4513" s="5" t="inlineStr"/>
      <c r="N4513" s="5" t="n">
        <v>15</v>
      </c>
      <c r="O4513" s="5" t="inlineStr"/>
      <c r="P4513" s="5" t="inlineStr"/>
      <c r="Q4513" s="5" t="inlineStr"/>
      <c r="R4513" s="5" t="inlineStr"/>
      <c r="S4513" s="5" t="inlineStr"/>
      <c r="T4513" s="5" t="inlineStr"/>
      <c r="U4513" s="5" t="inlineStr">
        <is>
          <t>https://www.claro.com.br/celular/planos-pre/prezao</t>
        </is>
      </c>
      <c r="V4513" s="5" t="inlineStr">
        <is>
          <t>data/raw/claro_prepaid_SP.json</t>
        </is>
      </c>
    </row>
    <row r="4514">
      <c r="A4514" s="2" t="inlineStr">
        <is>
          <t>2026-09-09</t>
        </is>
      </c>
      <c r="B4514" s="2" t="inlineStr">
        <is>
          <t>2026-09-09T02:52:30</t>
        </is>
      </c>
      <c r="C4514" s="2" t="inlineStr">
        <is>
          <t>claro</t>
        </is>
      </c>
      <c r="D4514" s="2" t="inlineStr">
        <is>
          <t>prepaid</t>
        </is>
      </c>
      <c r="E4514" s="2" t="inlineStr">
        <is>
          <t>SP</t>
        </is>
      </c>
      <c r="F4514" s="2" t="inlineStr">
        <is>
          <t>Prezão 6GB (20 dias)</t>
        </is>
      </c>
      <c r="G4514" s="2" t="inlineStr">
        <is>
          <t>claro:prezao-20d-6gb</t>
        </is>
      </c>
      <c r="H4514" s="3" t="n">
        <v>20</v>
      </c>
      <c r="I4514" s="3" t="inlineStr"/>
      <c r="J4514" s="2" t="inlineStr">
        <is>
          <t>recarga Prezão R$20 — validade 20 dias</t>
        </is>
      </c>
      <c r="K4514" s="2" t="inlineStr"/>
      <c r="L4514" s="4" t="n">
        <v>6</v>
      </c>
      <c r="M4514" s="2" t="inlineStr"/>
      <c r="N4514" s="2" t="n">
        <v>20</v>
      </c>
      <c r="O4514" s="2" t="inlineStr"/>
      <c r="P4514" s="2" t="inlineStr"/>
      <c r="Q4514" s="2" t="inlineStr"/>
      <c r="R4514" s="2" t="inlineStr"/>
      <c r="S4514" s="2" t="inlineStr"/>
      <c r="T4514" s="2" t="inlineStr"/>
      <c r="U4514" s="2" t="inlineStr">
        <is>
          <t>https://www.claro.com.br/celular/planos-pre/prezao</t>
        </is>
      </c>
      <c r="V4514" s="2" t="inlineStr">
        <is>
          <t>data/raw/claro_prepaid_SP.json</t>
        </is>
      </c>
    </row>
    <row r="4515">
      <c r="A4515" s="5" t="inlineStr">
        <is>
          <t>2026-09-09</t>
        </is>
      </c>
      <c r="B4515" s="5" t="inlineStr">
        <is>
          <t>2026-09-09T02:52:30</t>
        </is>
      </c>
      <c r="C4515" s="5" t="inlineStr">
        <is>
          <t>claro</t>
        </is>
      </c>
      <c r="D4515" s="5" t="inlineStr">
        <is>
          <t>prepaid</t>
        </is>
      </c>
      <c r="E4515" s="5" t="inlineStr">
        <is>
          <t>SP</t>
        </is>
      </c>
      <c r="F4515" s="5" t="inlineStr">
        <is>
          <t>Prezão 8GB (20 dias)</t>
        </is>
      </c>
      <c r="G4515" s="5" t="inlineStr">
        <is>
          <t>claro:prezao-20d-8gb</t>
        </is>
      </c>
      <c r="H4515" s="6" t="n">
        <v>20</v>
      </c>
      <c r="I4515" s="6" t="inlineStr"/>
      <c r="J4515" s="5" t="inlineStr">
        <is>
          <t>recarga Prezão R$20 — validade 20 dias</t>
        </is>
      </c>
      <c r="K4515" s="5" t="inlineStr"/>
      <c r="L4515" s="7" t="n">
        <v>8</v>
      </c>
      <c r="M4515" s="5" t="inlineStr"/>
      <c r="N4515" s="5" t="n">
        <v>20</v>
      </c>
      <c r="O4515" s="5" t="inlineStr"/>
      <c r="P4515" s="5" t="inlineStr"/>
      <c r="Q4515" s="5" t="inlineStr"/>
      <c r="R4515" s="5" t="inlineStr"/>
      <c r="S4515" s="5" t="inlineStr"/>
      <c r="T4515" s="5" t="inlineStr"/>
      <c r="U4515" s="5" t="inlineStr">
        <is>
          <t>https://www.claro.com.br/celular/planos-pre/prezao</t>
        </is>
      </c>
      <c r="V4515" s="5" t="inlineStr">
        <is>
          <t>data/raw/claro_prepaid_SP.json</t>
        </is>
      </c>
    </row>
    <row r="4516">
      <c r="A4516" s="2" t="inlineStr">
        <is>
          <t>2026-09-09</t>
        </is>
      </c>
      <c r="B4516" s="2" t="inlineStr">
        <is>
          <t>2026-09-09T02:52:30</t>
        </is>
      </c>
      <c r="C4516" s="2" t="inlineStr">
        <is>
          <t>claro</t>
        </is>
      </c>
      <c r="D4516" s="2" t="inlineStr">
        <is>
          <t>prepaid</t>
        </is>
      </c>
      <c r="E4516" s="2" t="inlineStr">
        <is>
          <t>SP</t>
        </is>
      </c>
      <c r="F4516" s="2" t="inlineStr">
        <is>
          <t>Prezão 9GB (25 dias)</t>
        </is>
      </c>
      <c r="G4516" s="2" t="inlineStr">
        <is>
          <t>claro:prezao-25d-9gb</t>
        </is>
      </c>
      <c r="H4516" s="3" t="n">
        <v>25</v>
      </c>
      <c r="I4516" s="3" t="inlineStr"/>
      <c r="J4516" s="2" t="inlineStr">
        <is>
          <t>recarga Prezão R$25 — validade 25 dias</t>
        </is>
      </c>
      <c r="K4516" s="2" t="inlineStr"/>
      <c r="L4516" s="4" t="n">
        <v>9</v>
      </c>
      <c r="M4516" s="2" t="inlineStr"/>
      <c r="N4516" s="2" t="n">
        <v>25</v>
      </c>
      <c r="O4516" s="2" t="inlineStr"/>
      <c r="P4516" s="2" t="inlineStr"/>
      <c r="Q4516" s="2" t="inlineStr"/>
      <c r="R4516" s="2" t="inlineStr"/>
      <c r="S4516" s="2" t="inlineStr"/>
      <c r="T4516" s="2" t="inlineStr"/>
      <c r="U4516" s="2" t="inlineStr">
        <is>
          <t>https://www.claro.com.br/celular/planos-pre/prezao</t>
        </is>
      </c>
      <c r="V4516" s="2" t="inlineStr">
        <is>
          <t>data/raw/claro_prepaid_SP.json</t>
        </is>
      </c>
    </row>
    <row r="4517">
      <c r="A4517" s="5" t="inlineStr">
        <is>
          <t>2026-09-09</t>
        </is>
      </c>
      <c r="B4517" s="5" t="inlineStr">
        <is>
          <t>2026-09-09T02:52:30</t>
        </is>
      </c>
      <c r="C4517" s="5" t="inlineStr">
        <is>
          <t>tim</t>
        </is>
      </c>
      <c r="D4517" s="5" t="inlineStr">
        <is>
          <t>control</t>
        </is>
      </c>
      <c r="E4517" s="5" t="inlineStr">
        <is>
          <t>SP</t>
        </is>
      </c>
      <c r="F4517" s="5" t="inlineStr">
        <is>
          <t>TIM Controle 45GB</t>
        </is>
      </c>
      <c r="G4517" s="5" t="inlineStr">
        <is>
          <t>tim:182766</t>
        </is>
      </c>
      <c r="H4517" s="6" t="n">
        <v>49.99</v>
      </c>
      <c r="I4517" s="6" t="inlineStr"/>
      <c r="J4517" s="5" t="inlineStr"/>
      <c r="K4517" s="5" t="inlineStr"/>
      <c r="L4517" s="7" t="n">
        <v>45</v>
      </c>
      <c r="M4517" s="5" t="inlineStr"/>
      <c r="N4517" s="5" t="inlineStr"/>
      <c r="O4517" s="5" t="inlineStr"/>
      <c r="P4517" s="5" t="inlineStr"/>
      <c r="Q4517" s="5" t="inlineStr"/>
      <c r="R4517" s="5" t="inlineStr"/>
      <c r="S4517" s="5" t="inlineStr"/>
      <c r="T4517" s="5" t="inlineStr"/>
      <c r="U4517" s="5" t="inlineStr">
        <is>
          <t>https://www.tim.com.br/sp/para-voce/planos/controle</t>
        </is>
      </c>
      <c r="V4517" s="5" t="inlineStr">
        <is>
          <t>data/raw/tim_control_SP.html</t>
        </is>
      </c>
    </row>
    <row r="4518">
      <c r="A4518" s="2" t="inlineStr">
        <is>
          <t>2026-09-09</t>
        </is>
      </c>
      <c r="B4518" s="2" t="inlineStr">
        <is>
          <t>2026-09-09T02:52:30</t>
        </is>
      </c>
      <c r="C4518" s="2" t="inlineStr">
        <is>
          <t>tim</t>
        </is>
      </c>
      <c r="D4518" s="2" t="inlineStr">
        <is>
          <t>control</t>
        </is>
      </c>
      <c r="E4518" s="2" t="inlineStr">
        <is>
          <t>SP</t>
        </is>
      </c>
      <c r="F4518" s="2" t="inlineStr">
        <is>
          <t>TIM Controle Light Express 45GB</t>
        </is>
      </c>
      <c r="G4518" s="2" t="inlineStr">
        <is>
          <t>tim:167726</t>
        </is>
      </c>
      <c r="H4518" s="3" t="n">
        <v>60.99</v>
      </c>
      <c r="I4518" s="3" t="inlineStr"/>
      <c r="J4518" s="2" t="inlineStr"/>
      <c r="K4518" s="2" t="inlineStr"/>
      <c r="L4518" s="4" t="n">
        <v>45</v>
      </c>
      <c r="M4518" s="2" t="inlineStr"/>
      <c r="N4518" s="2" t="inlineStr"/>
      <c r="O4518" s="2" t="inlineStr"/>
      <c r="P4518" s="2" t="inlineStr"/>
      <c r="Q4518" s="2" t="inlineStr"/>
      <c r="R4518" s="2" t="inlineStr"/>
      <c r="S4518" s="2" t="inlineStr"/>
      <c r="T4518" s="2" t="inlineStr"/>
      <c r="U4518" s="2" t="inlineStr">
        <is>
          <t>https://www.tim.com.br/sp/para-voce/planos/controle</t>
        </is>
      </c>
      <c r="V4518" s="2" t="inlineStr">
        <is>
          <t>data/raw/tim_control_SP.html</t>
        </is>
      </c>
    </row>
    <row r="4519">
      <c r="A4519" s="5" t="inlineStr">
        <is>
          <t>2026-09-09</t>
        </is>
      </c>
      <c r="B4519" s="5" t="inlineStr">
        <is>
          <t>2026-09-09T02:52:30</t>
        </is>
      </c>
      <c r="C4519" s="5" t="inlineStr">
        <is>
          <t>tim</t>
        </is>
      </c>
      <c r="D4519" s="5" t="inlineStr">
        <is>
          <t>control</t>
        </is>
      </c>
      <c r="E4519" s="5" t="inlineStr">
        <is>
          <t>SP</t>
        </is>
      </c>
      <c r="F4519" s="5" t="inlineStr">
        <is>
          <t>TIM Controle Premium 55GB</t>
        </is>
      </c>
      <c r="G4519" s="5" t="inlineStr">
        <is>
          <t>tim:180756</t>
        </is>
      </c>
      <c r="H4519" s="6" t="n">
        <v>69.98999999999999</v>
      </c>
      <c r="I4519" s="6" t="inlineStr"/>
      <c r="J4519" s="5" t="inlineStr"/>
      <c r="K4519" s="5" t="inlineStr"/>
      <c r="L4519" s="7" t="n">
        <v>55</v>
      </c>
      <c r="M4519" s="5" t="inlineStr"/>
      <c r="N4519" s="5" t="inlineStr"/>
      <c r="O4519" s="5" t="inlineStr"/>
      <c r="P4519" s="5" t="inlineStr"/>
      <c r="Q4519" s="5" t="inlineStr"/>
      <c r="R4519" s="5" t="inlineStr"/>
      <c r="S4519" s="5" t="inlineStr"/>
      <c r="T4519" s="5" t="inlineStr"/>
      <c r="U4519" s="5" t="inlineStr">
        <is>
          <t>https://www.tim.com.br/sp/para-voce/planos/controle</t>
        </is>
      </c>
      <c r="V4519" s="5" t="inlineStr">
        <is>
          <t>data/raw/tim_control_SP.html</t>
        </is>
      </c>
    </row>
    <row r="4520">
      <c r="A4520" s="2" t="inlineStr">
        <is>
          <t>2026-09-09</t>
        </is>
      </c>
      <c r="B4520" s="2" t="inlineStr">
        <is>
          <t>2026-09-09T02:52:30</t>
        </is>
      </c>
      <c r="C4520" s="2" t="inlineStr">
        <is>
          <t>tim</t>
        </is>
      </c>
      <c r="D4520" s="2" t="inlineStr">
        <is>
          <t>control</t>
        </is>
      </c>
      <c r="E4520" s="2" t="inlineStr">
        <is>
          <t>SP</t>
        </is>
      </c>
      <c r="F4520" s="2" t="inlineStr">
        <is>
          <t>TIM Controle Pro Express 46GB</t>
        </is>
      </c>
      <c r="G4520" s="2" t="inlineStr">
        <is>
          <t>tim:167731</t>
        </is>
      </c>
      <c r="H4520" s="3" t="n">
        <v>64.98999999999999</v>
      </c>
      <c r="I4520" s="3" t="inlineStr"/>
      <c r="J4520" s="2" t="inlineStr"/>
      <c r="K4520" s="2" t="inlineStr"/>
      <c r="L4520" s="4" t="n">
        <v>46</v>
      </c>
      <c r="M4520" s="2" t="inlineStr"/>
      <c r="N4520" s="2" t="inlineStr"/>
      <c r="O4520" s="2" t="inlineStr"/>
      <c r="P4520" s="2" t="inlineStr"/>
      <c r="Q4520" s="2" t="inlineStr"/>
      <c r="R4520" s="2" t="inlineStr"/>
      <c r="S4520" s="2" t="inlineStr"/>
      <c r="T4520" s="2" t="inlineStr"/>
      <c r="U4520" s="2" t="inlineStr">
        <is>
          <t>https://www.tim.com.br/sp/para-voce/planos/controle</t>
        </is>
      </c>
      <c r="V4520" s="2" t="inlineStr">
        <is>
          <t>data/raw/tim_control_SP.html</t>
        </is>
      </c>
    </row>
    <row r="4521">
      <c r="A4521" s="5" t="inlineStr">
        <is>
          <t>2026-09-09</t>
        </is>
      </c>
      <c r="B4521" s="5" t="inlineStr">
        <is>
          <t>2026-09-09T02:52:30</t>
        </is>
      </c>
      <c r="C4521" s="5" t="inlineStr">
        <is>
          <t>tim</t>
        </is>
      </c>
      <c r="D4521" s="5" t="inlineStr">
        <is>
          <t>control</t>
        </is>
      </c>
      <c r="E4521" s="5" t="inlineStr">
        <is>
          <t>SP</t>
        </is>
      </c>
      <c r="F4521" s="5" t="inlineStr">
        <is>
          <t>TIM Controle Redes Sociais 46GB</t>
        </is>
      </c>
      <c r="G4521" s="5" t="inlineStr">
        <is>
          <t>tim:167031</t>
        </is>
      </c>
      <c r="H4521" s="6" t="n">
        <v>59.99</v>
      </c>
      <c r="I4521" s="6" t="inlineStr"/>
      <c r="J4521" s="5" t="inlineStr"/>
      <c r="K4521" s="5" t="inlineStr"/>
      <c r="L4521" s="7" t="n">
        <v>46</v>
      </c>
      <c r="M4521" s="5" t="inlineStr"/>
      <c r="N4521" s="5" t="inlineStr"/>
      <c r="O4521" s="5" t="inlineStr"/>
      <c r="P4521" s="5" t="inlineStr"/>
      <c r="Q4521" s="5" t="inlineStr"/>
      <c r="R4521" s="5" t="inlineStr"/>
      <c r="S4521" s="5" t="inlineStr"/>
      <c r="T4521" s="5" t="inlineStr"/>
      <c r="U4521" s="5" t="inlineStr">
        <is>
          <t>https://www.tim.com.br/sp/para-voce/planos/controle</t>
        </is>
      </c>
      <c r="V4521" s="5" t="inlineStr">
        <is>
          <t>data/raw/tim_control_SP.html</t>
        </is>
      </c>
    </row>
    <row r="4522">
      <c r="A4522" s="2" t="inlineStr">
        <is>
          <t>2026-09-09</t>
        </is>
      </c>
      <c r="B4522" s="2" t="inlineStr">
        <is>
          <t>2026-09-09T02:52:30</t>
        </is>
      </c>
      <c r="C4522" s="2" t="inlineStr">
        <is>
          <t>tim</t>
        </is>
      </c>
      <c r="D4522" s="2" t="inlineStr">
        <is>
          <t>fit</t>
        </is>
      </c>
      <c r="E4522" s="2" t="inlineStr">
        <is>
          <t>SP</t>
        </is>
      </c>
      <c r="F4522" s="2" t="inlineStr">
        <is>
          <t>TIM Controle Fit Anual 2.0</t>
        </is>
      </c>
      <c r="G4522" s="2" t="inlineStr">
        <is>
          <t>tim:TIM202600000271</t>
        </is>
      </c>
      <c r="H4522" s="3" t="n">
        <v>30</v>
      </c>
      <c r="I4522" s="3" t="inlineStr"/>
      <c r="J4522" s="2" t="inlineStr">
        <is>
          <t>plano anual 12x no cartão de crédito; a etiqueta TIM informa 'sem prazo de permanência'</t>
        </is>
      </c>
      <c r="K4522" s="2" t="inlineStr">
        <is>
          <t>credit_card</t>
        </is>
      </c>
      <c r="L4522" s="4" t="n">
        <v>35</v>
      </c>
      <c r="M4522" s="2" t="inlineStr"/>
      <c r="N4522" s="2" t="inlineStr"/>
      <c r="O4522" s="2" t="inlineStr"/>
      <c r="P4522" s="2" t="inlineStr"/>
      <c r="Q4522" s="2" t="inlineStr"/>
      <c r="R4522" s="2" t="inlineStr"/>
      <c r="S4522" s="2" t="n">
        <v>12</v>
      </c>
      <c r="T4522" s="2" t="inlineStr"/>
      <c r="U4522" s="2" t="inlineStr">
        <is>
          <t>https://www.tim.com.br/sp/para-voce/planos/controle</t>
        </is>
      </c>
      <c r="V4522" s="2" t="inlineStr">
        <is>
          <t>data/raw/tim_fit_SP.html</t>
        </is>
      </c>
    </row>
    <row r="4523">
      <c r="A4523" s="5" t="inlineStr">
        <is>
          <t>2026-09-09</t>
        </is>
      </c>
      <c r="B4523" s="5" t="inlineStr">
        <is>
          <t>2026-09-09T02:52:30</t>
        </is>
      </c>
      <c r="C4523" s="5" t="inlineStr">
        <is>
          <t>tim</t>
        </is>
      </c>
      <c r="D4523" s="5" t="inlineStr">
        <is>
          <t>fit</t>
        </is>
      </c>
      <c r="E4523" s="5" t="inlineStr">
        <is>
          <t>SP</t>
        </is>
      </c>
      <c r="F4523" s="5" t="inlineStr">
        <is>
          <t>TIM Controle Fit Mensal 1.0</t>
        </is>
      </c>
      <c r="G4523" s="5" t="inlineStr">
        <is>
          <t>tim:TIM202600000270</t>
        </is>
      </c>
      <c r="H4523" s="6" t="n">
        <v>20</v>
      </c>
      <c r="I4523" s="6" t="inlineStr"/>
      <c r="J45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523" s="5" t="inlineStr"/>
      <c r="L4523" s="7" t="n">
        <v>20</v>
      </c>
      <c r="M4523" s="5" t="inlineStr"/>
      <c r="N4523" s="5" t="inlineStr"/>
      <c r="O4523" s="5" t="inlineStr"/>
      <c r="P4523" s="5" t="inlineStr"/>
      <c r="Q4523" s="5" t="inlineStr"/>
      <c r="R4523" s="5" t="inlineStr"/>
      <c r="S4523" s="5" t="inlineStr"/>
      <c r="T4523" s="5" t="inlineStr"/>
      <c r="U4523" s="5" t="inlineStr">
        <is>
          <t>https://www.tim.com.br/sp/para-voce/planos/controle</t>
        </is>
      </c>
      <c r="V4523" s="5" t="inlineStr">
        <is>
          <t>data/raw/tim_fit_SP.html</t>
        </is>
      </c>
    </row>
    <row r="4524">
      <c r="A4524" s="2" t="inlineStr">
        <is>
          <t>2026-09-09</t>
        </is>
      </c>
      <c r="B4524" s="2" t="inlineStr">
        <is>
          <t>2026-09-09T02:52:30</t>
        </is>
      </c>
      <c r="C4524" s="2" t="inlineStr">
        <is>
          <t>tim</t>
        </is>
      </c>
      <c r="D4524" s="2" t="inlineStr">
        <is>
          <t>fit</t>
        </is>
      </c>
      <c r="E4524" s="2" t="inlineStr">
        <is>
          <t>SP</t>
        </is>
      </c>
      <c r="F4524" s="2" t="inlineStr">
        <is>
          <t>TIM Controle Fit Mensal 2.0</t>
        </is>
      </c>
      <c r="G4524" s="2" t="inlineStr">
        <is>
          <t>tim:TIM202600000305</t>
        </is>
      </c>
      <c r="H4524" s="3" t="n">
        <v>45</v>
      </c>
      <c r="I4524" s="3" t="inlineStr"/>
      <c r="J4524" s="2" t="inlineStr">
        <is>
          <t>plano mensal, sem prazo de permanência; a etiqueta TIM informa 'sem prazo de permanência'</t>
        </is>
      </c>
      <c r="K4524" s="2" t="inlineStr"/>
      <c r="L4524" s="4" t="n">
        <v>35</v>
      </c>
      <c r="M4524" s="2" t="inlineStr"/>
      <c r="N4524" s="2" t="inlineStr"/>
      <c r="O4524" s="2" t="inlineStr"/>
      <c r="P4524" s="2" t="inlineStr"/>
      <c r="Q4524" s="2" t="inlineStr"/>
      <c r="R4524" s="2" t="inlineStr"/>
      <c r="S4524" s="2" t="inlineStr"/>
      <c r="T4524" s="2" t="inlineStr"/>
      <c r="U4524" s="2" t="inlineStr">
        <is>
          <t>https://www.tim.com.br/sp/para-voce/planos/controle</t>
        </is>
      </c>
      <c r="V4524" s="2" t="inlineStr">
        <is>
          <t>data/raw/tim_fit_SP.html</t>
        </is>
      </c>
    </row>
    <row r="4525">
      <c r="A4525" s="5" t="inlineStr">
        <is>
          <t>2026-09-09</t>
        </is>
      </c>
      <c r="B4525" s="5" t="inlineStr">
        <is>
          <t>2026-09-09T02:52:30</t>
        </is>
      </c>
      <c r="C4525" s="5" t="inlineStr">
        <is>
          <t>tim</t>
        </is>
      </c>
      <c r="D4525" s="5" t="inlineStr">
        <is>
          <t>postpaid</t>
        </is>
      </c>
      <c r="E4525" s="5" t="inlineStr">
        <is>
          <t>SP</t>
        </is>
      </c>
      <c r="F4525" s="5" t="inlineStr">
        <is>
          <t>TIM Black 70GB</t>
        </is>
      </c>
      <c r="G4525" s="5" t="inlineStr">
        <is>
          <t>tim:54206</t>
        </is>
      </c>
      <c r="H4525" s="6" t="n">
        <v>129.99</v>
      </c>
      <c r="I4525" s="6" t="inlineStr"/>
      <c r="J4525" s="5" t="inlineStr"/>
      <c r="K4525" s="5" t="inlineStr">
        <is>
          <t>bill</t>
        </is>
      </c>
      <c r="L4525" s="7" t="n">
        <v>70</v>
      </c>
      <c r="M4525" s="5" t="inlineStr"/>
      <c r="N4525" s="5" t="inlineStr"/>
      <c r="O4525" s="5" t="inlineStr"/>
      <c r="P4525" s="5" t="inlineStr"/>
      <c r="Q4525" s="5" t="inlineStr"/>
      <c r="R4525" s="5" t="inlineStr"/>
      <c r="S4525" s="5" t="inlineStr"/>
      <c r="T4525" s="5" t="inlineStr"/>
      <c r="U4525" s="5" t="inlineStr">
        <is>
          <t>https://www.tim.com.br/sp/para-voce/planos/pos-pago/tim-black</t>
        </is>
      </c>
      <c r="V4525" s="5" t="inlineStr">
        <is>
          <t>data/raw/tim_postpaid_SP.html</t>
        </is>
      </c>
    </row>
    <row r="4526">
      <c r="A4526" s="2" t="inlineStr">
        <is>
          <t>2026-09-09</t>
        </is>
      </c>
      <c r="B4526" s="2" t="inlineStr">
        <is>
          <t>2026-09-09T02:52:30</t>
        </is>
      </c>
      <c r="C4526" s="2" t="inlineStr">
        <is>
          <t>tim</t>
        </is>
      </c>
      <c r="D4526" s="2" t="inlineStr">
        <is>
          <t>postpaid</t>
        </is>
      </c>
      <c r="E4526" s="2" t="inlineStr">
        <is>
          <t>SP</t>
        </is>
      </c>
      <c r="F4526" s="2" t="inlineStr">
        <is>
          <t>TIM Black A Express 67GB</t>
        </is>
      </c>
      <c r="G4526" s="2" t="inlineStr">
        <is>
          <t>tim:55121</t>
        </is>
      </c>
      <c r="H4526" s="3" t="n">
        <v>119.99</v>
      </c>
      <c r="I4526" s="3" t="inlineStr"/>
      <c r="J4526" s="2" t="inlineStr"/>
      <c r="K4526" s="2" t="inlineStr">
        <is>
          <t>credit_card</t>
        </is>
      </c>
      <c r="L4526" s="4" t="n">
        <v>67</v>
      </c>
      <c r="M4526" s="2" t="inlineStr"/>
      <c r="N4526" s="2" t="inlineStr"/>
      <c r="O4526" s="2" t="inlineStr"/>
      <c r="P4526" s="2" t="inlineStr"/>
      <c r="Q4526" s="2" t="inlineStr"/>
      <c r="R4526" s="2" t="inlineStr"/>
      <c r="S4526" s="2" t="inlineStr"/>
      <c r="T4526" s="2" t="inlineStr"/>
      <c r="U4526" s="2" t="inlineStr">
        <is>
          <t>https://www.tim.com.br/sp/para-voce/planos/pos-pago/tim-black</t>
        </is>
      </c>
      <c r="V4526" s="2" t="inlineStr">
        <is>
          <t>data/raw/tim_postpaid_SP.html</t>
        </is>
      </c>
    </row>
    <row r="4527">
      <c r="A4527" s="5" t="inlineStr">
        <is>
          <t>2026-09-09</t>
        </is>
      </c>
      <c r="B4527" s="5" t="inlineStr">
        <is>
          <t>2026-09-09T02:52:30</t>
        </is>
      </c>
      <c r="C4527" s="5" t="inlineStr">
        <is>
          <t>tim</t>
        </is>
      </c>
      <c r="D4527" s="5" t="inlineStr">
        <is>
          <t>postpaid</t>
        </is>
      </c>
      <c r="E4527" s="5" t="inlineStr">
        <is>
          <t>SP</t>
        </is>
      </c>
      <c r="F4527" s="5" t="inlineStr">
        <is>
          <t>TIM Black B Express 82GB</t>
        </is>
      </c>
      <c r="G4527" s="5" t="inlineStr">
        <is>
          <t>tim:52146</t>
        </is>
      </c>
      <c r="H4527" s="6" t="n">
        <v>144.99</v>
      </c>
      <c r="I4527" s="6" t="inlineStr"/>
      <c r="J4527" s="5" t="inlineStr"/>
      <c r="K4527" s="5" t="inlineStr">
        <is>
          <t>credit_card</t>
        </is>
      </c>
      <c r="L4527" s="7" t="n">
        <v>82</v>
      </c>
      <c r="M4527" s="5" t="inlineStr"/>
      <c r="N4527" s="5" t="inlineStr"/>
      <c r="O4527" s="5" t="inlineStr"/>
      <c r="P4527" s="5" t="inlineStr"/>
      <c r="Q4527" s="5" t="inlineStr"/>
      <c r="R4527" s="5" t="inlineStr"/>
      <c r="S4527" s="5" t="inlineStr"/>
      <c r="T4527" s="5" t="inlineStr"/>
      <c r="U4527" s="5" t="inlineStr">
        <is>
          <t>https://www.tim.com.br/sp/para-voce/planos/pos-pago/tim-black</t>
        </is>
      </c>
      <c r="V4527" s="5" t="inlineStr">
        <is>
          <t>data/raw/tim_postpaid_SP.html</t>
        </is>
      </c>
    </row>
    <row r="4528">
      <c r="A4528" s="2" t="inlineStr">
        <is>
          <t>2026-09-09</t>
        </is>
      </c>
      <c r="B4528" s="2" t="inlineStr">
        <is>
          <t>2026-09-09T02:52:30</t>
        </is>
      </c>
      <c r="C4528" s="2" t="inlineStr">
        <is>
          <t>tim</t>
        </is>
      </c>
      <c r="D4528" s="2" t="inlineStr">
        <is>
          <t>postpaid</t>
        </is>
      </c>
      <c r="E4528" s="2" t="inlineStr">
        <is>
          <t>SP</t>
        </is>
      </c>
      <c r="F4528" s="2" t="inlineStr">
        <is>
          <t>TIM Black C Express 107GB</t>
        </is>
      </c>
      <c r="G4528" s="2" t="inlineStr">
        <is>
          <t>tim:52151</t>
        </is>
      </c>
      <c r="H4528" s="3" t="n">
        <v>164.99</v>
      </c>
      <c r="I4528" s="3" t="inlineStr"/>
      <c r="J4528" s="2" t="inlineStr"/>
      <c r="K4528" s="2" t="inlineStr">
        <is>
          <t>credit_card</t>
        </is>
      </c>
      <c r="L4528" s="4" t="n">
        <v>107</v>
      </c>
      <c r="M4528" s="2" t="inlineStr"/>
      <c r="N4528" s="2" t="inlineStr"/>
      <c r="O4528" s="2" t="inlineStr"/>
      <c r="P4528" s="2" t="inlineStr"/>
      <c r="Q4528" s="2" t="inlineStr"/>
      <c r="R4528" s="2" t="inlineStr"/>
      <c r="S4528" s="2" t="inlineStr"/>
      <c r="T4528" s="2" t="inlineStr"/>
      <c r="U4528" s="2" t="inlineStr">
        <is>
          <t>https://www.tim.com.br/sp/para-voce/planos/pos-pago/tim-black</t>
        </is>
      </c>
      <c r="V4528" s="2" t="inlineStr">
        <is>
          <t>data/raw/tim_postpaid_SP.html</t>
        </is>
      </c>
    </row>
    <row r="4529">
      <c r="A4529" s="5" t="inlineStr">
        <is>
          <t>2026-09-09</t>
        </is>
      </c>
      <c r="B4529" s="5" t="inlineStr">
        <is>
          <t>2026-09-09T02:52:30</t>
        </is>
      </c>
      <c r="C4529" s="5" t="inlineStr">
        <is>
          <t>tim</t>
        </is>
      </c>
      <c r="D4529" s="5" t="inlineStr">
        <is>
          <t>postpaid</t>
        </is>
      </c>
      <c r="E4529" s="5" t="inlineStr">
        <is>
          <t>SP</t>
        </is>
      </c>
      <c r="F4529" s="5" t="inlineStr">
        <is>
          <t>TIM Black Plus 80GB</t>
        </is>
      </c>
      <c r="G4529" s="5" t="inlineStr">
        <is>
          <t>tim:54256</t>
        </is>
      </c>
      <c r="H4529" s="6" t="n">
        <v>149.99</v>
      </c>
      <c r="I4529" s="6" t="inlineStr"/>
      <c r="J4529" s="5" t="inlineStr"/>
      <c r="K4529" s="5" t="inlineStr">
        <is>
          <t>bill</t>
        </is>
      </c>
      <c r="L4529" s="7" t="n">
        <v>80</v>
      </c>
      <c r="M4529" s="5" t="inlineStr"/>
      <c r="N4529" s="5" t="inlineStr"/>
      <c r="O4529" s="5" t="inlineStr"/>
      <c r="P4529" s="5" t="inlineStr"/>
      <c r="Q4529" s="5" t="inlineStr"/>
      <c r="R4529" s="5" t="inlineStr"/>
      <c r="S4529" s="5" t="inlineStr"/>
      <c r="T4529" s="5" t="inlineStr"/>
      <c r="U4529" s="5" t="inlineStr">
        <is>
          <t>https://www.tim.com.br/sp/para-voce/planos/pos-pago/tim-black</t>
        </is>
      </c>
      <c r="V4529" s="5" t="inlineStr">
        <is>
          <t>data/raw/tim_postpaid_SP.html</t>
        </is>
      </c>
    </row>
    <row r="4530">
      <c r="A4530" s="2" t="inlineStr">
        <is>
          <t>2026-09-09</t>
        </is>
      </c>
      <c r="B4530" s="2" t="inlineStr">
        <is>
          <t>2026-09-09T02:52:30</t>
        </is>
      </c>
      <c r="C4530" s="2" t="inlineStr">
        <is>
          <t>tim</t>
        </is>
      </c>
      <c r="D4530" s="2" t="inlineStr">
        <is>
          <t>postpaid</t>
        </is>
      </c>
      <c r="E4530" s="2" t="inlineStr">
        <is>
          <t>SP</t>
        </is>
      </c>
      <c r="F4530" s="2" t="inlineStr">
        <is>
          <t>TIM Black Premium 110GB</t>
        </is>
      </c>
      <c r="G4530" s="2" t="inlineStr">
        <is>
          <t>tim:54261</t>
        </is>
      </c>
      <c r="H4530" s="3" t="n">
        <v>159.99</v>
      </c>
      <c r="I4530" s="3" t="inlineStr"/>
      <c r="J4530" s="2" t="inlineStr"/>
      <c r="K4530" s="2" t="inlineStr">
        <is>
          <t>bill</t>
        </is>
      </c>
      <c r="L4530" s="4" t="n">
        <v>110</v>
      </c>
      <c r="M4530" s="2" t="inlineStr"/>
      <c r="N4530" s="2" t="inlineStr"/>
      <c r="O4530" s="2" t="inlineStr"/>
      <c r="P4530" s="2" t="inlineStr"/>
      <c r="Q4530" s="2" t="inlineStr"/>
      <c r="R4530" s="2" t="inlineStr"/>
      <c r="S4530" s="2" t="inlineStr"/>
      <c r="T4530" s="2" t="inlineStr"/>
      <c r="U4530" s="2" t="inlineStr">
        <is>
          <t>https://www.tim.com.br/sp/para-voce/planos/pos-pago/tim-black</t>
        </is>
      </c>
      <c r="V4530" s="2" t="inlineStr">
        <is>
          <t>data/raw/tim_postpaid_SP.html</t>
        </is>
      </c>
    </row>
    <row r="4531">
      <c r="A4531" s="5" t="inlineStr">
        <is>
          <t>2026-09-09</t>
        </is>
      </c>
      <c r="B4531" s="5" t="inlineStr">
        <is>
          <t>2026-09-09T02:52:30</t>
        </is>
      </c>
      <c r="C4531" s="5" t="inlineStr">
        <is>
          <t>tim</t>
        </is>
      </c>
      <c r="D4531" s="5" t="inlineStr">
        <is>
          <t>prepaid</t>
        </is>
      </c>
      <c r="E4531" s="5" t="inlineStr">
        <is>
          <t>SP</t>
        </is>
      </c>
      <c r="F4531" s="5" t="inlineStr">
        <is>
          <t>TIM Pré XIP Plus 16GB</t>
        </is>
      </c>
      <c r="G4531" s="5" t="inlineStr">
        <is>
          <t>tim:106306</t>
        </is>
      </c>
      <c r="H4531" s="6" t="n">
        <v>30</v>
      </c>
      <c r="I4531" s="6" t="inlineStr"/>
      <c r="J4531" s="5" t="inlineStr"/>
      <c r="K4531" s="5" t="inlineStr"/>
      <c r="L4531" s="7" t="n">
        <v>16</v>
      </c>
      <c r="M4531" s="5" t="inlineStr"/>
      <c r="N4531" s="5" t="n">
        <v>30</v>
      </c>
      <c r="O4531" s="5" t="inlineStr"/>
      <c r="P4531" s="5" t="inlineStr"/>
      <c r="Q4531" s="5" t="inlineStr"/>
      <c r="R4531" s="5" t="inlineStr"/>
      <c r="S4531" s="5" t="inlineStr"/>
      <c r="T4531" s="5" t="inlineStr"/>
      <c r="U4531" s="5" t="inlineStr">
        <is>
          <t>https://www.tim.com.br/sp/para-voce/planos/pre-pago</t>
        </is>
      </c>
      <c r="V4531" s="5" t="inlineStr">
        <is>
          <t>data/raw/tim_prepaid_SP.html</t>
        </is>
      </c>
    </row>
    <row r="4532">
      <c r="A4532" s="2" t="inlineStr">
        <is>
          <t>2026-09-09</t>
        </is>
      </c>
      <c r="B4532" s="2" t="inlineStr">
        <is>
          <t>2026-09-09T02:52:30</t>
        </is>
      </c>
      <c r="C4532" s="2" t="inlineStr">
        <is>
          <t>tim</t>
        </is>
      </c>
      <c r="D4532" s="2" t="inlineStr">
        <is>
          <t>prepaid</t>
        </is>
      </c>
      <c r="E4532" s="2" t="inlineStr">
        <is>
          <t>SP</t>
        </is>
      </c>
      <c r="F4532" s="2" t="inlineStr">
        <is>
          <t>TIM Pré XIP Plus 6GB</t>
        </is>
      </c>
      <c r="G4532" s="2" t="inlineStr">
        <is>
          <t>tim:59906</t>
        </is>
      </c>
      <c r="H4532" s="3" t="n">
        <v>20</v>
      </c>
      <c r="I4532" s="3" t="inlineStr"/>
      <c r="J4532" s="2" t="inlineStr"/>
      <c r="K4532" s="2" t="inlineStr"/>
      <c r="L4532" s="4" t="n">
        <v>6</v>
      </c>
      <c r="M4532" s="2" t="inlineStr"/>
      <c r="N4532" s="2" t="n">
        <v>17</v>
      </c>
      <c r="O4532" s="2" t="inlineStr"/>
      <c r="P4532" s="2" t="inlineStr"/>
      <c r="Q4532" s="2" t="inlineStr"/>
      <c r="R4532" s="2" t="inlineStr"/>
      <c r="S4532" s="2" t="inlineStr"/>
      <c r="T4532" s="2" t="inlineStr"/>
      <c r="U4532" s="2" t="inlineStr">
        <is>
          <t>https://www.tim.com.br/sp/para-voce/planos/pre-pago</t>
        </is>
      </c>
      <c r="V4532" s="2" t="inlineStr">
        <is>
          <t>data/raw/tim_prepaid_SP.html</t>
        </is>
      </c>
    </row>
    <row r="4533">
      <c r="A4533" s="5" t="inlineStr">
        <is>
          <t>2026-09-09</t>
        </is>
      </c>
      <c r="B4533" s="5" t="inlineStr">
        <is>
          <t>2026-09-09T02:52:30</t>
        </is>
      </c>
      <c r="C4533" s="5" t="inlineStr">
        <is>
          <t>tim</t>
        </is>
      </c>
      <c r="D4533" s="5" t="inlineStr">
        <is>
          <t>prepaid</t>
        </is>
      </c>
      <c r="E4533" s="5" t="inlineStr">
        <is>
          <t>SP</t>
        </is>
      </c>
      <c r="F4533" s="5" t="inlineStr">
        <is>
          <t>TIM Pré XIP Plus 8GB</t>
        </is>
      </c>
      <c r="G4533" s="5" t="inlineStr">
        <is>
          <t>tim:59901</t>
        </is>
      </c>
      <c r="H4533" s="6" t="n">
        <v>25</v>
      </c>
      <c r="I4533" s="6" t="inlineStr"/>
      <c r="J4533" s="5" t="inlineStr"/>
      <c r="K4533" s="5" t="inlineStr"/>
      <c r="L4533" s="7" t="n">
        <v>8</v>
      </c>
      <c r="M4533" s="5" t="inlineStr"/>
      <c r="N4533" s="5" t="n">
        <v>22</v>
      </c>
      <c r="O4533" s="5" t="inlineStr"/>
      <c r="P4533" s="5" t="inlineStr"/>
      <c r="Q4533" s="5" t="inlineStr"/>
      <c r="R4533" s="5" t="inlineStr"/>
      <c r="S4533" s="5" t="inlineStr"/>
      <c r="T4533" s="5" t="inlineStr"/>
      <c r="U4533" s="5" t="inlineStr">
        <is>
          <t>https://www.tim.com.br/sp/para-voce/planos/pre-pago</t>
        </is>
      </c>
      <c r="V4533" s="5" t="inlineStr">
        <is>
          <t>data/raw/tim_prepaid_SP.html</t>
        </is>
      </c>
    </row>
    <row r="4534">
      <c r="A4534" s="2" t="inlineStr">
        <is>
          <t>2026-09-09</t>
        </is>
      </c>
      <c r="B4534" s="2" t="inlineStr">
        <is>
          <t>2026-09-09T02:52:30</t>
        </is>
      </c>
      <c r="C4534" s="2" t="inlineStr">
        <is>
          <t>vivo</t>
        </is>
      </c>
      <c r="D4534" s="2" t="inlineStr">
        <is>
          <t>control</t>
        </is>
      </c>
      <c r="E4534" s="2" t="inlineStr">
        <is>
          <t>SP</t>
        </is>
      </c>
      <c r="F4534" s="2" t="inlineStr">
        <is>
          <t>Vivo Controle</t>
        </is>
      </c>
      <c r="G4534" s="2" t="inlineStr">
        <is>
          <t>vivo:VIV202600034591</t>
        </is>
      </c>
      <c r="H4534" s="3" t="n">
        <v>59</v>
      </c>
      <c r="I4534" s="3" t="inlineStr"/>
      <c r="J4534" s="2" t="inlineStr"/>
      <c r="K4534" s="2" t="inlineStr"/>
      <c r="L4534" s="4" t="n">
        <v>45</v>
      </c>
      <c r="M4534" s="2" t="inlineStr">
        <is>
          <t>15 GB de franquia 30 GB de bônus</t>
        </is>
      </c>
      <c r="N4534" s="2" t="inlineStr"/>
      <c r="O4534" s="2" t="inlineStr"/>
      <c r="P4534" s="2" t="inlineStr"/>
      <c r="Q4534" s="2" t="inlineStr"/>
      <c r="R4534" s="2" t="inlineStr"/>
      <c r="S4534" s="2" t="inlineStr"/>
      <c r="T4534" s="2" t="inlineStr">
        <is>
          <t>6 meses grátis de Gemini com AI Plus</t>
        </is>
      </c>
      <c r="U4534" s="2" t="inlineStr">
        <is>
          <t>https://vivo.com.br/para-voce/produtos-e-servicos/para-o-celular/planos-controle</t>
        </is>
      </c>
      <c r="V4534" s="2" t="inlineStr">
        <is>
          <t>data/raw/vivo_control_SP.html</t>
        </is>
      </c>
    </row>
    <row r="4535">
      <c r="A4535" s="5" t="inlineStr">
        <is>
          <t>2026-09-09</t>
        </is>
      </c>
      <c r="B4535" s="5" t="inlineStr">
        <is>
          <t>2026-09-09T02:52:30</t>
        </is>
      </c>
      <c r="C4535" s="5" t="inlineStr">
        <is>
          <t>vivo</t>
        </is>
      </c>
      <c r="D4535" s="5" t="inlineStr">
        <is>
          <t>control</t>
        </is>
      </c>
      <c r="E4535" s="5" t="inlineStr">
        <is>
          <t>SP</t>
        </is>
      </c>
      <c r="F4535" s="5" t="inlineStr">
        <is>
          <t>Vivo Controle</t>
        </is>
      </c>
      <c r="G4535" s="5" t="inlineStr">
        <is>
          <t>vivo:VIV202600034599</t>
        </is>
      </c>
      <c r="H4535" s="6" t="n">
        <v>75</v>
      </c>
      <c r="I4535" s="6" t="inlineStr"/>
      <c r="J4535" s="5" t="inlineStr">
        <is>
          <t>preço-base do plano; a tela exibia R$ 80 com o adicional pré-selecionado (+R$ 5/mês, opcional); 60 GB na tela incluem +10 GB do adicional</t>
        </is>
      </c>
      <c r="K4535" s="5" t="inlineStr"/>
      <c r="L4535" s="7" t="n">
        <v>50</v>
      </c>
      <c r="M4535" s="5" t="inlineStr">
        <is>
          <t>20 GB de franquia 30 GB de bônus</t>
        </is>
      </c>
      <c r="N4535" s="5" t="inlineStr"/>
      <c r="O4535" s="5" t="inlineStr"/>
      <c r="P4535" s="5" t="inlineStr"/>
      <c r="Q4535" s="5" t="inlineStr"/>
      <c r="R4535" s="5" t="inlineStr"/>
      <c r="S4535" s="5" t="inlineStr"/>
      <c r="T4535" s="5" t="inlineStr">
        <is>
          <t>6 meses grátis de Gemini com AI Plus</t>
        </is>
      </c>
      <c r="U4535" s="5" t="inlineStr">
        <is>
          <t>https://vivo.com.br/para-voce/produtos-e-servicos/para-o-celular/planos-controle</t>
        </is>
      </c>
      <c r="V4535" s="5" t="inlineStr">
        <is>
          <t>data/raw/vivo_control_SP.html</t>
        </is>
      </c>
    </row>
    <row r="4536">
      <c r="A4536" s="2" t="inlineStr">
        <is>
          <t>2026-09-09</t>
        </is>
      </c>
      <c r="B4536" s="2" t="inlineStr">
        <is>
          <t>2026-09-09T02:52:30</t>
        </is>
      </c>
      <c r="C4536" s="2" t="inlineStr">
        <is>
          <t>vivo</t>
        </is>
      </c>
      <c r="D4536" s="2" t="inlineStr">
        <is>
          <t>control</t>
        </is>
      </c>
      <c r="E4536" s="2" t="inlineStr">
        <is>
          <t>SP</t>
        </is>
      </c>
      <c r="F4536" s="2" t="inlineStr">
        <is>
          <t>Vivo Controle Amazon</t>
        </is>
      </c>
      <c r="G4536" s="2" t="inlineStr">
        <is>
          <t>vivo:VIV202600038804</t>
        </is>
      </c>
      <c r="H4536" s="3" t="n">
        <v>70</v>
      </c>
      <c r="I4536" s="3" t="inlineStr"/>
      <c r="J4536" s="2" t="inlineStr">
        <is>
          <t>preço-base do plano; a tela exibia R$ 75 com o adicional pré-selecionado (+R$ 5/mês, opcional); 58 GB na tela incluem +10 GB do adicional</t>
        </is>
      </c>
      <c r="K4536" s="2" t="inlineStr"/>
      <c r="L4536" s="4" t="n">
        <v>48</v>
      </c>
      <c r="M4536" s="2" t="inlineStr">
        <is>
          <t>18 GB de franquia 30 GB de bônus</t>
        </is>
      </c>
      <c r="N4536" s="2" t="inlineStr"/>
      <c r="O4536" s="2" t="inlineStr"/>
      <c r="P4536" s="2" t="inlineStr"/>
      <c r="Q4536" s="2" t="inlineStr"/>
      <c r="R4536" s="2" t="inlineStr"/>
      <c r="S4536" s="2" t="inlineStr"/>
      <c r="T4536" s="2" t="inlineStr">
        <is>
          <t>Assinatura Amazon Prime inclusa</t>
        </is>
      </c>
      <c r="U4536" s="2" t="inlineStr">
        <is>
          <t>https://vivo.com.br/para-voce/produtos-e-servicos/para-o-celular/planos-controle</t>
        </is>
      </c>
      <c r="V4536" s="2" t="inlineStr">
        <is>
          <t>data/raw/vivo_control_SP.html</t>
        </is>
      </c>
    </row>
    <row r="4537">
      <c r="A4537" s="5" t="inlineStr">
        <is>
          <t>2026-09-09</t>
        </is>
      </c>
      <c r="B4537" s="5" t="inlineStr">
        <is>
          <t>2026-09-09T02:52:30</t>
        </is>
      </c>
      <c r="C4537" s="5" t="inlineStr">
        <is>
          <t>vivo</t>
        </is>
      </c>
      <c r="D4537" s="5" t="inlineStr">
        <is>
          <t>control</t>
        </is>
      </c>
      <c r="E4537" s="5" t="inlineStr">
        <is>
          <t>SP</t>
        </is>
      </c>
      <c r="F4537" s="5" t="inlineStr">
        <is>
          <t>Vivo Controle Educação</t>
        </is>
      </c>
      <c r="G4537" s="5" t="inlineStr">
        <is>
          <t>vivo:VIV202600034616</t>
        </is>
      </c>
      <c r="H4537" s="6" t="n">
        <v>85</v>
      </c>
      <c r="I4537" s="6" t="inlineStr"/>
      <c r="J4537" s="5" t="inlineStr">
        <is>
          <t>preço-base do plano; a tela exibia R$ 90 com o adicional pré-selecionado (+R$ 5/mês, opcional); 60 GB na tela incluem +10 GB do adicional</t>
        </is>
      </c>
      <c r="K4537" s="5" t="inlineStr"/>
      <c r="L4537" s="7" t="n">
        <v>50</v>
      </c>
      <c r="M4537" s="5" t="inlineStr">
        <is>
          <t>20 GB de franquia 30 GB de bônus</t>
        </is>
      </c>
      <c r="N4537" s="5" t="inlineStr"/>
      <c r="O4537" s="5" t="inlineStr"/>
      <c r="P4537" s="5" t="inlineStr"/>
      <c r="Q4537" s="5" t="inlineStr"/>
      <c r="R4537" s="5" t="inlineStr"/>
      <c r="S4537" s="5" t="inlineStr"/>
      <c r="T4537" s="5" t="inlineStr">
        <is>
          <t>Assinatura Vivae inclusa</t>
        </is>
      </c>
      <c r="U4537" s="5" t="inlineStr">
        <is>
          <t>https://vivo.com.br/para-voce/produtos-e-servicos/para-o-celular/planos-controle</t>
        </is>
      </c>
      <c r="V4537" s="5" t="inlineStr">
        <is>
          <t>data/raw/vivo_control_SP.html</t>
        </is>
      </c>
    </row>
    <row r="4538">
      <c r="A4538" s="2" t="inlineStr">
        <is>
          <t>2026-09-09</t>
        </is>
      </c>
      <c r="B4538" s="2" t="inlineStr">
        <is>
          <t>2026-09-09T02:52:30</t>
        </is>
      </c>
      <c r="C4538" s="2" t="inlineStr">
        <is>
          <t>vivo</t>
        </is>
      </c>
      <c r="D4538" s="2" t="inlineStr">
        <is>
          <t>control</t>
        </is>
      </c>
      <c r="E4538" s="2" t="inlineStr">
        <is>
          <t>SP</t>
        </is>
      </c>
      <c r="F4538" s="2" t="inlineStr">
        <is>
          <t>Vivo Controle Entretenimento</t>
        </is>
      </c>
      <c r="G4538" s="2" t="inlineStr">
        <is>
          <t>vivo:VIV202600034619</t>
        </is>
      </c>
      <c r="H4538" s="3" t="n">
        <v>105</v>
      </c>
      <c r="I4538" s="3" t="inlineStr"/>
      <c r="J4538" s="2" t="inlineStr">
        <is>
          <t>preço-base do plano; a tela exibia R$ 110 com o adicional pré-selecionado (+R$ 5/mês, opcional); 60 GB na tela incluem +10 GB do adicional</t>
        </is>
      </c>
      <c r="K4538" s="2" t="inlineStr"/>
      <c r="L4538" s="4" t="n">
        <v>50</v>
      </c>
      <c r="M4538" s="2" t="inlineStr">
        <is>
          <t>20 GB de franquia 30 GB de bônus</t>
        </is>
      </c>
      <c r="N4538" s="2" t="inlineStr"/>
      <c r="O4538" s="2" t="inlineStr"/>
      <c r="P4538" s="2" t="inlineStr"/>
      <c r="Q4538" s="2" t="inlineStr"/>
      <c r="R4538" s="2" t="inlineStr"/>
      <c r="S4538" s="2" t="inlineStr"/>
      <c r="T4538" s="2" t="inlineStr">
        <is>
          <t>Assinatura Vivo TV Inicial inclusa</t>
        </is>
      </c>
      <c r="U4538" s="2" t="inlineStr">
        <is>
          <t>https://vivo.com.br/para-voce/produtos-e-servicos/para-o-celular/planos-controle</t>
        </is>
      </c>
      <c r="V4538" s="2" t="inlineStr">
        <is>
          <t>data/raw/vivo_control_SP.html</t>
        </is>
      </c>
    </row>
    <row r="4539">
      <c r="A4539" s="5" t="inlineStr">
        <is>
          <t>2026-09-09</t>
        </is>
      </c>
      <c r="B4539" s="5" t="inlineStr">
        <is>
          <t>2026-09-09T02:52:30</t>
        </is>
      </c>
      <c r="C4539" s="5" t="inlineStr">
        <is>
          <t>vivo</t>
        </is>
      </c>
      <c r="D4539" s="5" t="inlineStr">
        <is>
          <t>control</t>
        </is>
      </c>
      <c r="E4539" s="5" t="inlineStr">
        <is>
          <t>SP</t>
        </is>
      </c>
      <c r="F4539" s="5" t="inlineStr">
        <is>
          <t>Vivo Controle Música</t>
        </is>
      </c>
      <c r="G4539" s="5" t="inlineStr">
        <is>
          <t>vivo:VIV202600034620</t>
        </is>
      </c>
      <c r="H4539" s="6" t="n">
        <v>85</v>
      </c>
      <c r="I4539" s="6" t="inlineStr"/>
      <c r="J4539" s="5" t="inlineStr">
        <is>
          <t>preço-base do plano; a tela exibia R$ 90 com o adicional pré-selecionado (+R$ 5/mês, opcional); 60 GB na tela incluem +10 GB do adicional</t>
        </is>
      </c>
      <c r="K4539" s="5" t="inlineStr"/>
      <c r="L4539" s="7" t="n">
        <v>50</v>
      </c>
      <c r="M4539" s="5" t="inlineStr">
        <is>
          <t>20 GB de franquia 30 GB de bônus</t>
        </is>
      </c>
      <c r="N4539" s="5" t="inlineStr"/>
      <c r="O4539" s="5" t="inlineStr"/>
      <c r="P4539" s="5" t="inlineStr"/>
      <c r="Q4539" s="5" t="inlineStr"/>
      <c r="R4539" s="5" t="inlineStr"/>
      <c r="S4539" s="5" t="inlineStr"/>
      <c r="T4539" s="5" t="inlineStr">
        <is>
          <t>Apple Music Individual</t>
        </is>
      </c>
      <c r="U4539" s="5" t="inlineStr">
        <is>
          <t>https://vivo.com.br/para-voce/produtos-e-servicos/para-o-celular/planos-controle</t>
        </is>
      </c>
      <c r="V4539" s="5" t="inlineStr">
        <is>
          <t>data/raw/vivo_control_SP.html</t>
        </is>
      </c>
    </row>
    <row r="4540">
      <c r="A4540" s="2" t="inlineStr">
        <is>
          <t>2026-09-09</t>
        </is>
      </c>
      <c r="B4540" s="2" t="inlineStr">
        <is>
          <t>2026-09-09T02:52:30</t>
        </is>
      </c>
      <c r="C4540" s="2" t="inlineStr">
        <is>
          <t>vivo</t>
        </is>
      </c>
      <c r="D4540" s="2" t="inlineStr">
        <is>
          <t>control</t>
        </is>
      </c>
      <c r="E4540" s="2" t="inlineStr">
        <is>
          <t>SP</t>
        </is>
      </c>
      <c r="F4540" s="2" t="inlineStr">
        <is>
          <t>Vivo Controle Netflix</t>
        </is>
      </c>
      <c r="G4540" s="2" t="inlineStr">
        <is>
          <t>vivo:VIV202600034623</t>
        </is>
      </c>
      <c r="H4540" s="3" t="n">
        <v>90</v>
      </c>
      <c r="I4540" s="3" t="inlineStr"/>
      <c r="J4540" s="2" t="inlineStr">
        <is>
          <t>preço-base do plano; a tela exibia R$ 95 com o adicional pré-selecionado (+R$ 5/mês, opcional); 60 GB na tela incluem +10 GB do adicional</t>
        </is>
      </c>
      <c r="K4540" s="2" t="inlineStr"/>
      <c r="L4540" s="4" t="n">
        <v>50</v>
      </c>
      <c r="M4540" s="2" t="inlineStr">
        <is>
          <t>20 GB de franquia 30 GB de bônus</t>
        </is>
      </c>
      <c r="N4540" s="2" t="inlineStr"/>
      <c r="O4540" s="2" t="inlineStr"/>
      <c r="P4540" s="2" t="inlineStr"/>
      <c r="Q4540" s="2" t="inlineStr"/>
      <c r="R4540" s="2" t="inlineStr"/>
      <c r="S4540" s="2" t="inlineStr"/>
      <c r="T4540" s="2" t="inlineStr">
        <is>
          <t>Assinatura Netflix Padrão com anúncios</t>
        </is>
      </c>
      <c r="U4540" s="2" t="inlineStr">
        <is>
          <t>https://vivo.com.br/para-voce/produtos-e-servicos/para-o-celular/planos-controle</t>
        </is>
      </c>
      <c r="V4540" s="2" t="inlineStr">
        <is>
          <t>data/raw/vivo_control_SP.html</t>
        </is>
      </c>
    </row>
    <row r="4541">
      <c r="A4541" s="5" t="inlineStr">
        <is>
          <t>2026-09-09</t>
        </is>
      </c>
      <c r="B4541" s="5" t="inlineStr">
        <is>
          <t>2026-09-09T02:52:30</t>
        </is>
      </c>
      <c r="C4541" s="5" t="inlineStr">
        <is>
          <t>vivo</t>
        </is>
      </c>
      <c r="D4541" s="5" t="inlineStr">
        <is>
          <t>control</t>
        </is>
      </c>
      <c r="E4541" s="5" t="inlineStr">
        <is>
          <t>SP</t>
        </is>
      </c>
      <c r="F4541" s="5" t="inlineStr">
        <is>
          <t>Vivo Controle Saúde</t>
        </is>
      </c>
      <c r="G4541" s="5" t="inlineStr">
        <is>
          <t>vivo:VIV202600034625</t>
        </is>
      </c>
      <c r="H4541" s="6" t="n">
        <v>85</v>
      </c>
      <c r="I4541" s="6" t="inlineStr"/>
      <c r="J4541" s="5" t="inlineStr">
        <is>
          <t>preço-base do plano; a tela exibia R$ 90 com o adicional pré-selecionado (+R$ 5/mês, opcional); 60 GB na tela incluem +10 GB do adicional</t>
        </is>
      </c>
      <c r="K4541" s="5" t="inlineStr"/>
      <c r="L4541" s="7" t="n">
        <v>50</v>
      </c>
      <c r="M4541" s="5" t="inlineStr">
        <is>
          <t>20 GB de franquia 30 GB de bônus</t>
        </is>
      </c>
      <c r="N4541" s="5" t="inlineStr"/>
      <c r="O4541" s="5" t="inlineStr"/>
      <c r="P4541" s="5" t="inlineStr"/>
      <c r="Q4541" s="5" t="inlineStr"/>
      <c r="R4541" s="5" t="inlineStr"/>
      <c r="S4541" s="5" t="inlineStr"/>
      <c r="T4541" s="5" t="inlineStr">
        <is>
          <t>Assinatura Vale Saúde Sempre inclusa</t>
        </is>
      </c>
      <c r="U4541" s="5" t="inlineStr">
        <is>
          <t>https://vivo.com.br/para-voce/produtos-e-servicos/para-o-celular/planos-controle</t>
        </is>
      </c>
      <c r="V4541" s="5" t="inlineStr">
        <is>
          <t>data/raw/vivo_control_SP.html</t>
        </is>
      </c>
    </row>
    <row r="4542">
      <c r="A4542" s="2" t="inlineStr">
        <is>
          <t>2026-09-09</t>
        </is>
      </c>
      <c r="B4542" s="2" t="inlineStr">
        <is>
          <t>2026-09-09T02:52:30</t>
        </is>
      </c>
      <c r="C4542" s="2" t="inlineStr">
        <is>
          <t>vivo</t>
        </is>
      </c>
      <c r="D4542" s="2" t="inlineStr">
        <is>
          <t>control</t>
        </is>
      </c>
      <c r="E4542" s="2" t="inlineStr">
        <is>
          <t>SP</t>
        </is>
      </c>
      <c r="F4542" s="2" t="inlineStr">
        <is>
          <t>Vivo Controle Youtube Lite</t>
        </is>
      </c>
      <c r="G4542" s="2" t="inlineStr">
        <is>
          <t>vivo:VIV202600034626</t>
        </is>
      </c>
      <c r="H4542" s="3" t="n">
        <v>85</v>
      </c>
      <c r="I4542" s="3" t="inlineStr"/>
      <c r="J4542" s="2" t="inlineStr">
        <is>
          <t>preço-base do plano; a tela exibia R$ 90 com o adicional pré-selecionado (+R$ 5/mês, opcional); 60 GB na tela incluem +10 GB do adicional</t>
        </is>
      </c>
      <c r="K4542" s="2" t="inlineStr"/>
      <c r="L4542" s="4" t="n">
        <v>50</v>
      </c>
      <c r="M4542" s="2" t="inlineStr">
        <is>
          <t>20 GB de franquia 30 GB de bônus</t>
        </is>
      </c>
      <c r="N4542" s="2" t="inlineStr"/>
      <c r="O4542" s="2" t="inlineStr"/>
      <c r="P4542" s="2" t="inlineStr"/>
      <c r="Q4542" s="2" t="inlineStr"/>
      <c r="R4542" s="2" t="inlineStr"/>
      <c r="S4542" s="2" t="inlineStr"/>
      <c r="T4542" s="2" t="inlineStr">
        <is>
          <t>Assinatura Youtube Premium Lite Inclusa</t>
        </is>
      </c>
      <c r="U4542" s="2" t="inlineStr">
        <is>
          <t>https://vivo.com.br/para-voce/produtos-e-servicos/para-o-celular/planos-controle</t>
        </is>
      </c>
      <c r="V4542" s="2" t="inlineStr">
        <is>
          <t>data/raw/vivo_control_SP.html</t>
        </is>
      </c>
    </row>
    <row r="4543">
      <c r="A4543" s="5" t="inlineStr">
        <is>
          <t>2026-09-09</t>
        </is>
      </c>
      <c r="B4543" s="5" t="inlineStr">
        <is>
          <t>2026-09-09T02:52:30</t>
        </is>
      </c>
      <c r="C4543" s="5" t="inlineStr">
        <is>
          <t>vivo</t>
        </is>
      </c>
      <c r="D4543" s="5" t="inlineStr">
        <is>
          <t>lite</t>
        </is>
      </c>
      <c r="E4543" s="5" t="inlineStr">
        <is>
          <t>SP</t>
        </is>
      </c>
      <c r="F4543" s="5" t="inlineStr">
        <is>
          <t>Vivo Lite</t>
        </is>
      </c>
      <c r="G4543" s="5" t="inlineStr">
        <is>
          <t>vivo:VIV202600038808</t>
        </is>
      </c>
      <c r="H4543" s="6" t="n">
        <v>45</v>
      </c>
      <c r="I4543" s="6" t="n">
        <v>30</v>
      </c>
      <c r="J4543" s="5" t="inlineStr">
        <is>
          <t>preço sem fidelidade; fidelidade 12m no promo</t>
        </is>
      </c>
      <c r="K4543" s="5" t="inlineStr"/>
      <c r="L4543" s="7" t="n">
        <v>30</v>
      </c>
      <c r="M4543" s="5" t="inlineStr">
        <is>
          <t>30 GB de franquia</t>
        </is>
      </c>
      <c r="N4543" s="5" t="inlineStr"/>
      <c r="O4543" s="5" t="inlineStr"/>
      <c r="P4543" s="5" t="inlineStr"/>
      <c r="Q4543" s="5" t="inlineStr"/>
      <c r="R4543" s="5" t="inlineStr"/>
      <c r="S4543" s="5" t="n">
        <v>12</v>
      </c>
      <c r="T4543" s="5" t="inlineStr"/>
      <c r="U4543" s="5" t="inlineStr">
        <is>
          <t>https://vivo.com.br/para-voce/produtos-e-servicos/para-o-celular/easy-lite</t>
        </is>
      </c>
      <c r="V4543" s="5" t="inlineStr">
        <is>
          <t>data/raw/vivo_lite_SP.html</t>
        </is>
      </c>
    </row>
    <row r="4544">
      <c r="A4544" s="2" t="inlineStr">
        <is>
          <t>2026-09-09</t>
        </is>
      </c>
      <c r="B4544" s="2" t="inlineStr">
        <is>
          <t>2026-09-09T02:52:30</t>
        </is>
      </c>
      <c r="C4544" s="2" t="inlineStr">
        <is>
          <t>vivo</t>
        </is>
      </c>
      <c r="D4544" s="2" t="inlineStr">
        <is>
          <t>lite</t>
        </is>
      </c>
      <c r="E4544" s="2" t="inlineStr">
        <is>
          <t>SP</t>
        </is>
      </c>
      <c r="F4544" s="2" t="inlineStr">
        <is>
          <t>Vivo Lite</t>
        </is>
      </c>
      <c r="G4544" s="2" t="inlineStr">
        <is>
          <t>vivo:VIV202600038810</t>
        </is>
      </c>
      <c r="H4544" s="3" t="n">
        <v>55</v>
      </c>
      <c r="I4544" s="3" t="n">
        <v>40</v>
      </c>
      <c r="J4544" s="2" t="inlineStr">
        <is>
          <t>preço sem fidelidade; fidelidade 12m no promo</t>
        </is>
      </c>
      <c r="K4544" s="2" t="inlineStr"/>
      <c r="L4544" s="4" t="n">
        <v>40</v>
      </c>
      <c r="M4544" s="2" t="inlineStr">
        <is>
          <t>40 GB de franquia</t>
        </is>
      </c>
      <c r="N4544" s="2" t="inlineStr"/>
      <c r="O4544" s="2" t="inlineStr"/>
      <c r="P4544" s="2" t="inlineStr"/>
      <c r="Q4544" s="2" t="inlineStr"/>
      <c r="R4544" s="2" t="inlineStr"/>
      <c r="S4544" s="2" t="n">
        <v>12</v>
      </c>
      <c r="T4544" s="2" t="inlineStr"/>
      <c r="U4544" s="2" t="inlineStr">
        <is>
          <t>https://vivo.com.br/para-voce/produtos-e-servicos/para-o-celular/easy-lite</t>
        </is>
      </c>
      <c r="V4544" s="2" t="inlineStr">
        <is>
          <t>data/raw/vivo_lite_SP.html</t>
        </is>
      </c>
    </row>
    <row r="4545">
      <c r="A4545" s="5" t="inlineStr">
        <is>
          <t>2026-09-09</t>
        </is>
      </c>
      <c r="B4545" s="5" t="inlineStr">
        <is>
          <t>2026-09-09T02:52:30</t>
        </is>
      </c>
      <c r="C4545" s="5" t="inlineStr">
        <is>
          <t>vivo</t>
        </is>
      </c>
      <c r="D4545" s="5" t="inlineStr">
        <is>
          <t>lite</t>
        </is>
      </c>
      <c r="E4545" s="5" t="inlineStr">
        <is>
          <t>SP</t>
        </is>
      </c>
      <c r="F4545" s="5" t="inlineStr">
        <is>
          <t>Vivo Lite</t>
        </is>
      </c>
      <c r="G4545" s="5" t="inlineStr">
        <is>
          <t>vivo:VIV202600038814</t>
        </is>
      </c>
      <c r="H4545" s="6" t="n">
        <v>35</v>
      </c>
      <c r="I4545" s="6" t="inlineStr"/>
      <c r="J4545" s="5" t="inlineStr"/>
      <c r="K4545" s="5" t="inlineStr"/>
      <c r="L4545" s="7" t="n">
        <v>20</v>
      </c>
      <c r="M4545" s="5" t="inlineStr">
        <is>
          <t>20 GB de franquia</t>
        </is>
      </c>
      <c r="N4545" s="5" t="inlineStr"/>
      <c r="O4545" s="5" t="inlineStr"/>
      <c r="P4545" s="5" t="inlineStr"/>
      <c r="Q4545" s="5" t="inlineStr"/>
      <c r="R4545" s="5" t="inlineStr"/>
      <c r="S4545" s="5" t="inlineStr"/>
      <c r="T4545" s="5" t="inlineStr"/>
      <c r="U4545" s="5" t="inlineStr">
        <is>
          <t>https://vivo.com.br/para-voce/produtos-e-servicos/para-o-celular/easy-lite</t>
        </is>
      </c>
      <c r="V4545" s="5" t="inlineStr">
        <is>
          <t>data/raw/vivo_lite_SP.html</t>
        </is>
      </c>
    </row>
    <row r="4546">
      <c r="A4546" s="2" t="inlineStr">
        <is>
          <t>2026-09-09</t>
        </is>
      </c>
      <c r="B4546" s="2" t="inlineStr">
        <is>
          <t>2026-09-09T02:52:30</t>
        </is>
      </c>
      <c r="C4546" s="2" t="inlineStr">
        <is>
          <t>vivo</t>
        </is>
      </c>
      <c r="D4546" s="2" t="inlineStr">
        <is>
          <t>postpaid</t>
        </is>
      </c>
      <c r="E4546" s="2" t="inlineStr">
        <is>
          <t>SP</t>
        </is>
      </c>
      <c r="F4546" s="2" t="inlineStr">
        <is>
          <t>Vivo Família 2</t>
        </is>
      </c>
      <c r="G4546" s="2" t="inlineStr">
        <is>
          <t>vivo:VIV202600034547</t>
        </is>
      </c>
      <c r="H4546" s="3" t="n">
        <v>270</v>
      </c>
      <c r="I4546" s="3" t="inlineStr"/>
      <c r="J4546" s="2" t="inlineStr"/>
      <c r="K4546" s="2" t="inlineStr"/>
      <c r="L4546" s="4" t="n">
        <v>120</v>
      </c>
      <c r="M4546" s="2" t="inlineStr">
        <is>
          <t>120 GB de franquia Você + 1 linha adicional Roaming Internacional com Vivo Travel Américas e Europa</t>
        </is>
      </c>
      <c r="N4546" s="2" t="inlineStr"/>
      <c r="O4546" s="2" t="inlineStr"/>
      <c r="P4546" s="2" t="inlineStr"/>
      <c r="Q4546" s="2" t="inlineStr"/>
      <c r="R4546" s="2" t="inlineStr"/>
      <c r="S4546" s="2" t="inlineStr"/>
      <c r="T4546" s="2" t="inlineStr">
        <is>
          <t>12 meses grátis de Gemini com AI Plus</t>
        </is>
      </c>
      <c r="U4546" s="2" t="inlineStr">
        <is>
          <t>https://vivo.com.br/para-voce/produtos-e-servicos/para-o-celular/planos-pos-pago</t>
        </is>
      </c>
      <c r="V4546" s="2" t="inlineStr">
        <is>
          <t>data/raw/vivo_postpaid_SP.html</t>
        </is>
      </c>
    </row>
    <row r="4547">
      <c r="A4547" s="5" t="inlineStr">
        <is>
          <t>2026-09-09</t>
        </is>
      </c>
      <c r="B4547" s="5" t="inlineStr">
        <is>
          <t>2026-09-09T02:52:30</t>
        </is>
      </c>
      <c r="C4547" s="5" t="inlineStr">
        <is>
          <t>vivo</t>
        </is>
      </c>
      <c r="D4547" s="5" t="inlineStr">
        <is>
          <t>postpaid</t>
        </is>
      </c>
      <c r="E4547" s="5" t="inlineStr">
        <is>
          <t>SP</t>
        </is>
      </c>
      <c r="F4547" s="5" t="inlineStr">
        <is>
          <t>Vivo Família 3</t>
        </is>
      </c>
      <c r="G4547" s="5" t="inlineStr">
        <is>
          <t>vivo:VIV202600034540</t>
        </is>
      </c>
      <c r="H4547" s="6" t="n">
        <v>340</v>
      </c>
      <c r="I4547" s="6" t="inlineStr"/>
      <c r="J4547" s="5" t="inlineStr"/>
      <c r="K4547" s="5" t="inlineStr"/>
      <c r="L4547" s="7" t="n">
        <v>180</v>
      </c>
      <c r="M4547" s="5" t="inlineStr">
        <is>
          <t>180 GB de franquia Você + 2 linhas adicionais Roaming Internacional com Vivo Travel Américas e Europa</t>
        </is>
      </c>
      <c r="N4547" s="5" t="inlineStr"/>
      <c r="O4547" s="5" t="inlineStr"/>
      <c r="P4547" s="5" t="inlineStr"/>
      <c r="Q4547" s="5" t="inlineStr"/>
      <c r="R4547" s="5" t="inlineStr"/>
      <c r="S4547" s="5" t="inlineStr"/>
      <c r="T4547" s="5" t="inlineStr">
        <is>
          <t>12 meses grátis de Gemini com AI Plus</t>
        </is>
      </c>
      <c r="U4547" s="5" t="inlineStr">
        <is>
          <t>https://vivo.com.br/para-voce/produtos-e-servicos/para-o-celular/planos-pos-pago</t>
        </is>
      </c>
      <c r="V4547" s="5" t="inlineStr">
        <is>
          <t>data/raw/vivo_postpaid_SP.html</t>
        </is>
      </c>
    </row>
    <row r="4548">
      <c r="A4548" s="2" t="inlineStr">
        <is>
          <t>2026-09-09</t>
        </is>
      </c>
      <c r="B4548" s="2" t="inlineStr">
        <is>
          <t>2026-09-09T02:52:30</t>
        </is>
      </c>
      <c r="C4548" s="2" t="inlineStr">
        <is>
          <t>vivo</t>
        </is>
      </c>
      <c r="D4548" s="2" t="inlineStr">
        <is>
          <t>postpaid</t>
        </is>
      </c>
      <c r="E4548" s="2" t="inlineStr">
        <is>
          <t>SP</t>
        </is>
      </c>
      <c r="F4548" s="2" t="inlineStr">
        <is>
          <t>Vivo Família 4</t>
        </is>
      </c>
      <c r="G4548" s="2" t="inlineStr">
        <is>
          <t>vivo:VIV202600034531</t>
        </is>
      </c>
      <c r="H4548" s="3" t="n">
        <v>430</v>
      </c>
      <c r="I4548" s="3" t="inlineStr"/>
      <c r="J4548" s="2" t="inlineStr"/>
      <c r="K4548" s="2" t="inlineStr"/>
      <c r="L4548" s="4" t="n">
        <v>240</v>
      </c>
      <c r="M4548" s="2" t="inlineStr">
        <is>
          <t>240 GB de franquia Você + 3 linhas adicionais Roaming Internacional com Vivo Travel Américas e Europa</t>
        </is>
      </c>
      <c r="N4548" s="2" t="inlineStr"/>
      <c r="O4548" s="2" t="inlineStr"/>
      <c r="P4548" s="2" t="inlineStr"/>
      <c r="Q4548" s="2" t="inlineStr"/>
      <c r="R4548" s="2" t="inlineStr"/>
      <c r="S4548" s="2" t="inlineStr"/>
      <c r="T4548" s="2" t="inlineStr">
        <is>
          <t>12 meses grátis de Gemini com AI Plus</t>
        </is>
      </c>
      <c r="U4548" s="2" t="inlineStr">
        <is>
          <t>https://vivo.com.br/para-voce/produtos-e-servicos/para-o-celular/planos-pos-pago</t>
        </is>
      </c>
      <c r="V4548" s="2" t="inlineStr">
        <is>
          <t>data/raw/vivo_postpaid_SP.html</t>
        </is>
      </c>
    </row>
    <row r="4549">
      <c r="A4549" s="5" t="inlineStr">
        <is>
          <t>2026-09-09</t>
        </is>
      </c>
      <c r="B4549" s="5" t="inlineStr">
        <is>
          <t>2026-09-09T02:52:30</t>
        </is>
      </c>
      <c r="C4549" s="5" t="inlineStr">
        <is>
          <t>vivo</t>
        </is>
      </c>
      <c r="D4549" s="5" t="inlineStr">
        <is>
          <t>postpaid</t>
        </is>
      </c>
      <c r="E4549" s="5" t="inlineStr">
        <is>
          <t>SP</t>
        </is>
      </c>
      <c r="F4549" s="5" t="inlineStr">
        <is>
          <t>Vivo Família 5</t>
        </is>
      </c>
      <c r="G4549" s="5" t="inlineStr">
        <is>
          <t>vivo:VIV202600034526</t>
        </is>
      </c>
      <c r="H4549" s="6" t="n">
        <v>530</v>
      </c>
      <c r="I4549" s="6" t="inlineStr"/>
      <c r="J4549" s="5" t="inlineStr"/>
      <c r="K4549" s="5" t="inlineStr"/>
      <c r="L4549" s="7" t="n">
        <v>300</v>
      </c>
      <c r="M4549" s="5" t="inlineStr">
        <is>
          <t>300 GB de franquia Você + 4 linhas adicionais Roaming Internacional com Vivo Travel Américas e Europa</t>
        </is>
      </c>
      <c r="N4549" s="5" t="inlineStr"/>
      <c r="O4549" s="5" t="inlineStr"/>
      <c r="P4549" s="5" t="inlineStr"/>
      <c r="Q4549" s="5" t="inlineStr"/>
      <c r="R4549" s="5" t="inlineStr"/>
      <c r="S4549" s="5" t="inlineStr"/>
      <c r="T4549" s="5" t="inlineStr">
        <is>
          <t>12 meses grátis de Gemini com AI Plus</t>
        </is>
      </c>
      <c r="U4549" s="5" t="inlineStr">
        <is>
          <t>https://vivo.com.br/para-voce/produtos-e-servicos/para-o-celular/planos-pos-pago</t>
        </is>
      </c>
      <c r="V4549" s="5" t="inlineStr">
        <is>
          <t>data/raw/vivo_postpaid_SP.html</t>
        </is>
      </c>
    </row>
    <row r="4550">
      <c r="A4550" s="2" t="inlineStr">
        <is>
          <t>2026-09-09</t>
        </is>
      </c>
      <c r="B4550" s="2" t="inlineStr">
        <is>
          <t>2026-09-09T02:52:30</t>
        </is>
      </c>
      <c r="C4550" s="2" t="inlineStr">
        <is>
          <t>vivo</t>
        </is>
      </c>
      <c r="D4550" s="2" t="inlineStr">
        <is>
          <t>postpaid</t>
        </is>
      </c>
      <c r="E4550" s="2" t="inlineStr">
        <is>
          <t>SP</t>
        </is>
      </c>
      <c r="F4550" s="2" t="inlineStr">
        <is>
          <t>Vivo Pós com Amazon</t>
        </is>
      </c>
      <c r="G4550" s="2" t="inlineStr">
        <is>
          <t>vivo:VIV202600034554</t>
        </is>
      </c>
      <c r="H4550" s="3" t="n">
        <v>150</v>
      </c>
      <c r="I4550" s="3" t="inlineStr"/>
      <c r="J4550" s="2" t="inlineStr"/>
      <c r="K4550" s="2" t="inlineStr"/>
      <c r="L4550" s="4" t="n">
        <v>60</v>
      </c>
      <c r="M4550" s="2" t="inlineStr">
        <is>
          <t>50 GB de franquia 10 GB de bônus</t>
        </is>
      </c>
      <c r="N4550" s="2" t="inlineStr"/>
      <c r="O4550" s="2" t="inlineStr"/>
      <c r="P4550" s="2" t="inlineStr"/>
      <c r="Q4550" s="2" t="inlineStr"/>
      <c r="R4550" s="2" t="inlineStr"/>
      <c r="S4550" s="2" t="inlineStr"/>
      <c r="T4550" s="2" t="inlineStr">
        <is>
          <t>Assinatura Amazon Prime inclusa</t>
        </is>
      </c>
      <c r="U4550" s="2" t="inlineStr">
        <is>
          <t>https://vivo.com.br/para-voce/produtos-e-servicos/para-o-celular/planos-pos-pago</t>
        </is>
      </c>
      <c r="V4550" s="2" t="inlineStr">
        <is>
          <t>data/raw/vivo_postpaid_SP.html</t>
        </is>
      </c>
    </row>
    <row r="4551">
      <c r="A4551" s="5" t="inlineStr">
        <is>
          <t>2026-09-09</t>
        </is>
      </c>
      <c r="B4551" s="5" t="inlineStr">
        <is>
          <t>2026-09-09T02:52:30</t>
        </is>
      </c>
      <c r="C4551" s="5" t="inlineStr">
        <is>
          <t>vivo</t>
        </is>
      </c>
      <c r="D4551" s="5" t="inlineStr">
        <is>
          <t>postpaid</t>
        </is>
      </c>
      <c r="E4551" s="5" t="inlineStr">
        <is>
          <t>SP</t>
        </is>
      </c>
      <c r="F4551" s="5" t="inlineStr">
        <is>
          <t>Vivo Pós com Disney+</t>
        </is>
      </c>
      <c r="G4551" s="5" t="inlineStr">
        <is>
          <t>vivo:VIV202600034532</t>
        </is>
      </c>
      <c r="H4551" s="6" t="n">
        <v>180</v>
      </c>
      <c r="I4551" s="6" t="inlineStr"/>
      <c r="J4551" s="5" t="inlineStr"/>
      <c r="K4551" s="5" t="inlineStr"/>
      <c r="L4551" s="7" t="n">
        <v>60</v>
      </c>
      <c r="M4551" s="5" t="inlineStr">
        <is>
          <t>50 GB de franquia 10 GB de bônus</t>
        </is>
      </c>
      <c r="N4551" s="5" t="inlineStr"/>
      <c r="O4551" s="5" t="inlineStr"/>
      <c r="P4551" s="5" t="inlineStr"/>
      <c r="Q4551" s="5" t="inlineStr"/>
      <c r="R4551" s="5" t="inlineStr">
        <is>
          <t>Disney+</t>
        </is>
      </c>
      <c r="S4551" s="5" t="inlineStr"/>
      <c r="T4551" s="5" t="inlineStr">
        <is>
          <t>Assinatura Disney+ Padrão inclusa</t>
        </is>
      </c>
      <c r="U4551" s="5" t="inlineStr">
        <is>
          <t>https://vivo.com.br/para-voce/produtos-e-servicos/para-o-celular/planos-pos-pago</t>
        </is>
      </c>
      <c r="V4551" s="5" t="inlineStr">
        <is>
          <t>data/raw/vivo_postpaid_SP.html</t>
        </is>
      </c>
    </row>
    <row r="4552">
      <c r="A4552" s="2" t="inlineStr">
        <is>
          <t>2026-09-09</t>
        </is>
      </c>
      <c r="B4552" s="2" t="inlineStr">
        <is>
          <t>2026-09-09T02:52:30</t>
        </is>
      </c>
      <c r="C4552" s="2" t="inlineStr">
        <is>
          <t>vivo</t>
        </is>
      </c>
      <c r="D4552" s="2" t="inlineStr">
        <is>
          <t>postpaid</t>
        </is>
      </c>
      <c r="E4552" s="2" t="inlineStr">
        <is>
          <t>SP</t>
        </is>
      </c>
      <c r="F4552" s="2" t="inlineStr">
        <is>
          <t>Vivo Pós com Globoplay</t>
        </is>
      </c>
      <c r="G4552" s="2" t="inlineStr">
        <is>
          <t>vivo:VIV202600034575</t>
        </is>
      </c>
      <c r="H4552" s="3" t="n">
        <v>165</v>
      </c>
      <c r="I4552" s="3" t="inlineStr"/>
      <c r="J4552" s="2" t="inlineStr"/>
      <c r="K4552" s="2" t="inlineStr"/>
      <c r="L4552" s="4" t="n">
        <v>60</v>
      </c>
      <c r="M4552" s="2" t="inlineStr">
        <is>
          <t>50 GB de franquia 10 GB de bônus</t>
        </is>
      </c>
      <c r="N4552" s="2" t="inlineStr"/>
      <c r="O4552" s="2" t="inlineStr"/>
      <c r="P4552" s="2" t="inlineStr"/>
      <c r="Q4552" s="2" t="inlineStr"/>
      <c r="R4552" s="2" t="inlineStr">
        <is>
          <t>Globoplay</t>
        </is>
      </c>
      <c r="S4552" s="2" t="inlineStr"/>
      <c r="T4552" s="2" t="inlineStr">
        <is>
          <t>Assinatura Globoplay inclusa</t>
        </is>
      </c>
      <c r="U4552" s="2" t="inlineStr">
        <is>
          <t>https://vivo.com.br/para-voce/produtos-e-servicos/para-o-celular/planos-pos-pago</t>
        </is>
      </c>
      <c r="V4552" s="2" t="inlineStr">
        <is>
          <t>data/raw/vivo_postpaid_SP.html</t>
        </is>
      </c>
    </row>
    <row r="4553">
      <c r="A4553" s="5" t="inlineStr">
        <is>
          <t>2026-09-09</t>
        </is>
      </c>
      <c r="B4553" s="5" t="inlineStr">
        <is>
          <t>2026-09-09T02:52:30</t>
        </is>
      </c>
      <c r="C4553" s="5" t="inlineStr">
        <is>
          <t>vivo</t>
        </is>
      </c>
      <c r="D4553" s="5" t="inlineStr">
        <is>
          <t>postpaid</t>
        </is>
      </c>
      <c r="E4553" s="5" t="inlineStr">
        <is>
          <t>SP</t>
        </is>
      </c>
      <c r="F4553" s="5" t="inlineStr">
        <is>
          <t>Vivo Pós com Netflix</t>
        </is>
      </c>
      <c r="G4553" s="5" t="inlineStr">
        <is>
          <t>vivo:VIV202600034562</t>
        </is>
      </c>
      <c r="H4553" s="6" t="n">
        <v>180</v>
      </c>
      <c r="I4553" s="6" t="inlineStr"/>
      <c r="J4553" s="5" t="inlineStr"/>
      <c r="K4553" s="5" t="inlineStr"/>
      <c r="L4553" s="7" t="n">
        <v>60</v>
      </c>
      <c r="M4553" s="5" t="inlineStr">
        <is>
          <t>50 GB de franquia 10 GB de bônus</t>
        </is>
      </c>
      <c r="N4553" s="5" t="inlineStr"/>
      <c r="O4553" s="5" t="inlineStr"/>
      <c r="P4553" s="5" t="inlineStr"/>
      <c r="Q4553" s="5" t="inlineStr"/>
      <c r="R4553" s="5" t="inlineStr">
        <is>
          <t>Netflix</t>
        </is>
      </c>
      <c r="S4553" s="5" t="inlineStr"/>
      <c r="T4553" s="5" t="inlineStr">
        <is>
          <t>Assinatura Netflix Padrão inclusa</t>
        </is>
      </c>
      <c r="U4553" s="5" t="inlineStr">
        <is>
          <t>https://vivo.com.br/para-voce/produtos-e-servicos/para-o-celular/planos-pos-pago</t>
        </is>
      </c>
      <c r="V4553" s="5" t="inlineStr">
        <is>
          <t>data/raw/vivo_postpaid_SP.html</t>
        </is>
      </c>
    </row>
    <row r="4554">
      <c r="A4554" s="2" t="inlineStr">
        <is>
          <t>2026-09-09</t>
        </is>
      </c>
      <c r="B4554" s="2" t="inlineStr">
        <is>
          <t>2026-09-09T02:52:30</t>
        </is>
      </c>
      <c r="C4554" s="2" t="inlineStr">
        <is>
          <t>vivo</t>
        </is>
      </c>
      <c r="D4554" s="2" t="inlineStr">
        <is>
          <t>postpaid</t>
        </is>
      </c>
      <c r="E4554" s="2" t="inlineStr">
        <is>
          <t>SP</t>
        </is>
      </c>
      <c r="F4554" s="2" t="inlineStr">
        <is>
          <t>Vivo Pós com Premiere</t>
        </is>
      </c>
      <c r="G4554" s="2" t="inlineStr">
        <is>
          <t>vivo:VIV202600034579</t>
        </is>
      </c>
      <c r="H4554" s="3" t="n">
        <v>180</v>
      </c>
      <c r="I4554" s="3" t="inlineStr"/>
      <c r="J4554" s="2" t="inlineStr"/>
      <c r="K4554" s="2" t="inlineStr"/>
      <c r="L4554" s="4" t="n">
        <v>60</v>
      </c>
      <c r="M4554" s="2" t="inlineStr">
        <is>
          <t>50 GB de franquia 10 GB de bônus</t>
        </is>
      </c>
      <c r="N4554" s="2" t="inlineStr"/>
      <c r="O4554" s="2" t="inlineStr"/>
      <c r="P4554" s="2" t="inlineStr"/>
      <c r="Q4554" s="2" t="inlineStr"/>
      <c r="R4554" s="2" t="inlineStr">
        <is>
          <t>Premiere</t>
        </is>
      </c>
      <c r="S4554" s="2" t="inlineStr"/>
      <c r="T4554" s="2" t="inlineStr">
        <is>
          <t>Assinatura Premiere inclusa</t>
        </is>
      </c>
      <c r="U4554" s="2" t="inlineStr">
        <is>
          <t>https://vivo.com.br/para-voce/produtos-e-servicos/para-o-celular/planos-pos-pago</t>
        </is>
      </c>
      <c r="V4554" s="2" t="inlineStr">
        <is>
          <t>data/raw/vivo_postpaid_SP.html</t>
        </is>
      </c>
    </row>
    <row r="4555">
      <c r="A4555" s="5" t="inlineStr">
        <is>
          <t>2026-09-09</t>
        </is>
      </c>
      <c r="B4555" s="5" t="inlineStr">
        <is>
          <t>2026-09-09T02:52:30</t>
        </is>
      </c>
      <c r="C4555" s="5" t="inlineStr">
        <is>
          <t>vivo</t>
        </is>
      </c>
      <c r="D4555" s="5" t="inlineStr">
        <is>
          <t>postpaid</t>
        </is>
      </c>
      <c r="E4555" s="5" t="inlineStr">
        <is>
          <t>SP</t>
        </is>
      </c>
      <c r="F4555" s="5" t="inlineStr">
        <is>
          <t>Vivo Pós com Spotify</t>
        </is>
      </c>
      <c r="G4555" s="5" t="inlineStr">
        <is>
          <t>vivo:VIV202600034556</t>
        </is>
      </c>
      <c r="H4555" s="6" t="n">
        <v>165</v>
      </c>
      <c r="I4555" s="6" t="inlineStr"/>
      <c r="J4555" s="5" t="inlineStr"/>
      <c r="K4555" s="5" t="inlineStr"/>
      <c r="L4555" s="7" t="n">
        <v>60</v>
      </c>
      <c r="M4555" s="5" t="inlineStr">
        <is>
          <t>50 GB de franquia 10 GB de bônus</t>
        </is>
      </c>
      <c r="N4555" s="5" t="inlineStr"/>
      <c r="O4555" s="5" t="inlineStr"/>
      <c r="P4555" s="5" t="inlineStr"/>
      <c r="Q4555" s="5" t="inlineStr"/>
      <c r="R4555" s="5" t="inlineStr">
        <is>
          <t>Spotify</t>
        </is>
      </c>
      <c r="S4555" s="5" t="inlineStr"/>
      <c r="T4555" s="5" t="inlineStr">
        <is>
          <t>Assinatura Spotify Premium inclusa</t>
        </is>
      </c>
      <c r="U4555" s="5" t="inlineStr">
        <is>
          <t>https://vivo.com.br/para-voce/produtos-e-servicos/para-o-celular/planos-pos-pago</t>
        </is>
      </c>
      <c r="V4555" s="5" t="inlineStr">
        <is>
          <t>data/raw/vivo_postpaid_SP.html</t>
        </is>
      </c>
    </row>
    <row r="4556">
      <c r="A4556" s="2" t="inlineStr">
        <is>
          <t>2026-09-09</t>
        </is>
      </c>
      <c r="B4556" s="2" t="inlineStr">
        <is>
          <t>2026-09-09T02:52:30</t>
        </is>
      </c>
      <c r="C4556" s="2" t="inlineStr">
        <is>
          <t>vivo</t>
        </is>
      </c>
      <c r="D4556" s="2" t="inlineStr">
        <is>
          <t>postpaid</t>
        </is>
      </c>
      <c r="E4556" s="2" t="inlineStr">
        <is>
          <t>SP</t>
        </is>
      </c>
      <c r="F4556" s="2" t="inlineStr">
        <is>
          <t>Vivo Pós com Travel</t>
        </is>
      </c>
      <c r="G4556" s="2" t="inlineStr">
        <is>
          <t>vivo:VIV202600034573</t>
        </is>
      </c>
      <c r="H4556" s="3" t="n">
        <v>215</v>
      </c>
      <c r="I4556" s="3" t="inlineStr"/>
      <c r="J4556" s="2" t="inlineStr"/>
      <c r="K4556" s="2" t="inlineStr"/>
      <c r="L4556" s="4" t="n">
        <v>70</v>
      </c>
      <c r="M4556" s="2" t="inlineStr">
        <is>
          <t>60 GB de franquia 10 GB de bônus</t>
        </is>
      </c>
      <c r="N4556" s="2" t="inlineStr"/>
      <c r="O4556" s="2" t="inlineStr"/>
      <c r="P4556" s="2" t="inlineStr"/>
      <c r="Q4556" s="2" t="inlineStr"/>
      <c r="R4556" s="2" t="inlineStr"/>
      <c r="S4556" s="2" t="inlineStr"/>
      <c r="T4556" s="2" t="inlineStr">
        <is>
          <t>6 meses grátis de Gemini com AI Plus</t>
        </is>
      </c>
      <c r="U4556" s="2" t="inlineStr">
        <is>
          <t>https://vivo.com.br/para-voce/produtos-e-servicos/para-o-celular/planos-pos-pago</t>
        </is>
      </c>
      <c r="V4556" s="2" t="inlineStr">
        <is>
          <t>data/raw/vivo_postpaid_SP.html</t>
        </is>
      </c>
    </row>
    <row r="4557">
      <c r="A4557" s="5" t="inlineStr">
        <is>
          <t>2026-09-09</t>
        </is>
      </c>
      <c r="B4557" s="5" t="inlineStr">
        <is>
          <t>2026-09-09T02:52:30</t>
        </is>
      </c>
      <c r="C4557" s="5" t="inlineStr">
        <is>
          <t>vivo</t>
        </is>
      </c>
      <c r="D4557" s="5" t="inlineStr">
        <is>
          <t>prepaid</t>
        </is>
      </c>
      <c r="E4557" s="5" t="inlineStr">
        <is>
          <t>SP</t>
        </is>
      </c>
      <c r="F4557" s="5" t="inlineStr">
        <is>
          <t>Vivo Pré</t>
        </is>
      </c>
      <c r="G4557" s="5" t="inlineStr">
        <is>
          <t>vivo:VIV202600029370-30d</t>
        </is>
      </c>
      <c r="H4557" s="6" t="n">
        <v>30</v>
      </c>
      <c r="I4557" s="6" t="inlineStr"/>
      <c r="J4557" s="5" t="inlineStr"/>
      <c r="K4557" s="5" t="inlineStr"/>
      <c r="L4557" s="7" t="n">
        <v>25</v>
      </c>
      <c r="M4557" s="5" t="inlineStr">
        <is>
          <t>15 GB para navegar como quiser 5 GB de bônus 5 GB para navegar no Youtube</t>
        </is>
      </c>
      <c r="N4557" s="5" t="n">
        <v>30</v>
      </c>
      <c r="O4557" s="5" t="inlineStr"/>
      <c r="P4557" s="5" t="inlineStr"/>
      <c r="Q4557" s="5" t="inlineStr"/>
      <c r="R4557" s="5" t="inlineStr"/>
      <c r="S4557" s="5" t="inlineStr"/>
      <c r="T4557" s="5" t="inlineStr"/>
      <c r="U4557" s="5" t="inlineStr">
        <is>
          <t>https://vivo.com.br/para-voce/produtos-e-servicos/para-o-celular/pre-pago/vivo-pre</t>
        </is>
      </c>
      <c r="V4557" s="5" t="inlineStr">
        <is>
          <t>data/raw/vivo_prepaid_SP.html</t>
        </is>
      </c>
    </row>
    <row r="4558">
      <c r="A4558" s="2" t="inlineStr">
        <is>
          <t>2026-09-09</t>
        </is>
      </c>
      <c r="B4558" s="2" t="inlineStr">
        <is>
          <t>2026-09-09T02:52:30</t>
        </is>
      </c>
      <c r="C4558" s="2" t="inlineStr">
        <is>
          <t>vivo</t>
        </is>
      </c>
      <c r="D4558" s="2" t="inlineStr">
        <is>
          <t>prepaid</t>
        </is>
      </c>
      <c r="E4558" s="2" t="inlineStr">
        <is>
          <t>SP</t>
        </is>
      </c>
      <c r="F4558" s="2" t="inlineStr">
        <is>
          <t>Vivo Pré</t>
        </is>
      </c>
      <c r="G4558" s="2" t="inlineStr">
        <is>
          <t>vivo:VIV202600029370-22d</t>
        </is>
      </c>
      <c r="H4558" s="3" t="n">
        <v>25</v>
      </c>
      <c r="I4558" s="3" t="inlineStr"/>
      <c r="J4558" s="2" t="inlineStr"/>
      <c r="K4558" s="2" t="inlineStr"/>
      <c r="L4558" s="4" t="n">
        <v>9</v>
      </c>
      <c r="M4558" s="2" t="inlineStr">
        <is>
          <t>6 GB para navegar como quiser 3 GB para navegar no YouTube</t>
        </is>
      </c>
      <c r="N4558" s="2" t="n">
        <v>22</v>
      </c>
      <c r="O4558" s="2" t="inlineStr"/>
      <c r="P4558" s="2" t="inlineStr"/>
      <c r="Q4558" s="2" t="inlineStr"/>
      <c r="R4558" s="2" t="inlineStr"/>
      <c r="S4558" s="2" t="inlineStr"/>
      <c r="T4558" s="2" t="inlineStr"/>
      <c r="U4558" s="2" t="inlineStr">
        <is>
          <t>https://vivo.com.br/para-voce/produtos-e-servicos/para-o-celular/pre-pago/vivo-pre</t>
        </is>
      </c>
      <c r="V4558" s="2" t="inlineStr">
        <is>
          <t>data/raw/vivo_prepaid_SP.html</t>
        </is>
      </c>
    </row>
    <row r="4559">
      <c r="A4559" s="5" t="inlineStr">
        <is>
          <t>2026-09-09</t>
        </is>
      </c>
      <c r="B4559" s="5" t="inlineStr">
        <is>
          <t>2026-09-09T02:52:30</t>
        </is>
      </c>
      <c r="C4559" s="5" t="inlineStr">
        <is>
          <t>vivo</t>
        </is>
      </c>
      <c r="D4559" s="5" t="inlineStr">
        <is>
          <t>prepaid</t>
        </is>
      </c>
      <c r="E4559" s="5" t="inlineStr">
        <is>
          <t>SP</t>
        </is>
      </c>
      <c r="F4559" s="5" t="inlineStr">
        <is>
          <t>Vivo Pré</t>
        </is>
      </c>
      <c r="G4559" s="5" t="inlineStr">
        <is>
          <t>vivo:VIV202600029370-17d</t>
        </is>
      </c>
      <c r="H4559" s="6" t="n">
        <v>20</v>
      </c>
      <c r="I4559" s="6" t="inlineStr"/>
      <c r="J4559" s="5" t="inlineStr"/>
      <c r="K4559" s="5" t="inlineStr"/>
      <c r="L4559" s="7" t="n">
        <v>5</v>
      </c>
      <c r="M4559" s="5" t="inlineStr">
        <is>
          <t>5 GB para navegar como quiser</t>
        </is>
      </c>
      <c r="N4559" s="5" t="n">
        <v>17</v>
      </c>
      <c r="O4559" s="5" t="inlineStr"/>
      <c r="P4559" s="5" t="inlineStr"/>
      <c r="Q4559" s="5" t="inlineStr"/>
      <c r="R4559" s="5" t="inlineStr"/>
      <c r="S4559" s="5" t="inlineStr"/>
      <c r="T4559" s="5" t="inlineStr"/>
      <c r="U4559" s="5" t="inlineStr">
        <is>
          <t>https://vivo.com.br/para-voce/produtos-e-servicos/para-o-celular/pre-pago/vivo-pre</t>
        </is>
      </c>
      <c r="V4559" s="5" t="inlineStr">
        <is>
          <t>data/raw/vivo_prepaid_SP.html</t>
        </is>
      </c>
    </row>
    <row r="4560">
      <c r="A4560" s="2" t="inlineStr">
        <is>
          <t>2026-09-09</t>
        </is>
      </c>
      <c r="B4560" s="2" t="inlineStr">
        <is>
          <t>2026-09-09T02:52:30</t>
        </is>
      </c>
      <c r="C4560" s="2" t="inlineStr">
        <is>
          <t>vivo</t>
        </is>
      </c>
      <c r="D4560" s="2" t="inlineStr">
        <is>
          <t>prepaid</t>
        </is>
      </c>
      <c r="E4560" s="2" t="inlineStr">
        <is>
          <t>SP</t>
        </is>
      </c>
      <c r="F4560" s="2" t="inlineStr">
        <is>
          <t>Vivo Pré</t>
        </is>
      </c>
      <c r="G4560" s="2" t="inlineStr">
        <is>
          <t>vivo:VIV202600029370-15d</t>
        </is>
      </c>
      <c r="H4560" s="3" t="n">
        <v>17</v>
      </c>
      <c r="I4560" s="3" t="inlineStr"/>
      <c r="J4560" s="2" t="inlineStr"/>
      <c r="K4560" s="2" t="inlineStr"/>
      <c r="L4560" s="4" t="n">
        <v>4</v>
      </c>
      <c r="M4560" s="2" t="inlineStr">
        <is>
          <t>4 GB para navegar como quiser</t>
        </is>
      </c>
      <c r="N4560" s="2" t="n">
        <v>15</v>
      </c>
      <c r="O4560" s="2" t="inlineStr"/>
      <c r="P4560" s="2" t="inlineStr"/>
      <c r="Q4560" s="2" t="inlineStr"/>
      <c r="R4560" s="2" t="inlineStr"/>
      <c r="S4560" s="2" t="inlineStr"/>
      <c r="T4560" s="2" t="inlineStr"/>
      <c r="U4560" s="2" t="inlineStr">
        <is>
          <t>https://vivo.com.br/para-voce/produtos-e-servicos/para-o-celular/pre-pago/vivo-pre</t>
        </is>
      </c>
      <c r="V4560" s="2" t="inlineStr">
        <is>
          <t>data/raw/vivo_prepaid_SP.html</t>
        </is>
      </c>
    </row>
  </sheetData>
  <autoFilter ref="A1:V45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2026-09-09</t>
        </is>
      </c>
      <c r="B2" s="2" t="inlineStr">
        <is>
          <t>2026-09-09T02:52:30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2026-09-09</t>
        </is>
      </c>
      <c r="B3" s="5" t="inlineStr">
        <is>
          <t>2026-09-09T02:52:30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2026-09-09</t>
        </is>
      </c>
      <c r="B4" s="2" t="inlineStr">
        <is>
          <t>2026-09-09T02:52:30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2026-09-09</t>
        </is>
      </c>
      <c r="B5" s="5" t="inlineStr">
        <is>
          <t>2026-09-09T02:52:30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2026-09-09</t>
        </is>
      </c>
      <c r="B6" s="2" t="inlineStr">
        <is>
          <t>2026-09-09T02:52:30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2026-09-09</t>
        </is>
      </c>
      <c r="B7" s="5" t="inlineStr">
        <is>
          <t>2026-09-09T02:52:30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2026-09-09</t>
        </is>
      </c>
      <c r="B8" s="2" t="inlineStr">
        <is>
          <t>2026-09-09T02:52:30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2026-09-09</t>
        </is>
      </c>
      <c r="B9" s="5" t="inlineStr">
        <is>
          <t>2026-09-09T02:52:30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2026-09-09</t>
        </is>
      </c>
      <c r="B10" s="2" t="inlineStr">
        <is>
          <t>2026-09-09T02:52:30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2026-09-09</t>
        </is>
      </c>
      <c r="B11" s="5" t="inlineStr">
        <is>
          <t>2026-09-09T02:52:30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2026-09-09</t>
        </is>
      </c>
      <c r="B12" s="2" t="inlineStr">
        <is>
          <t>2026-09-09T02:52:30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2026-09-09</t>
        </is>
      </c>
      <c r="B13" s="5" t="inlineStr">
        <is>
          <t>2026-09-09T02:52:30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2026-09-09</t>
        </is>
      </c>
      <c r="B14" s="2" t="inlineStr">
        <is>
          <t>2026-09-09T02:52:30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2026-09-09</t>
        </is>
      </c>
      <c r="B15" s="5" t="inlineStr">
        <is>
          <t>2026-09-09T02:52:30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2026-09-09</t>
        </is>
      </c>
      <c r="B16" s="2" t="inlineStr">
        <is>
          <t>2026-09-09T02:52:30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2026-09-09</t>
        </is>
      </c>
      <c r="B17" s="5" t="inlineStr">
        <is>
          <t>2026-09-09T02:52:30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2026-09-09</t>
        </is>
      </c>
      <c r="B18" s="2" t="inlineStr">
        <is>
          <t>2026-09-09T02:52:30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2026-09-09</t>
        </is>
      </c>
      <c r="B19" s="5" t="inlineStr">
        <is>
          <t>2026-09-09T02:52:30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2026-09-09</t>
        </is>
      </c>
      <c r="B20" s="2" t="inlineStr">
        <is>
          <t>2026-09-09T02:52:30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2026-09-09</t>
        </is>
      </c>
      <c r="B21" s="5" t="inlineStr">
        <is>
          <t>2026-09-09T02:52:30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2026-09-09</t>
        </is>
      </c>
      <c r="B22" s="2" t="inlineStr">
        <is>
          <t>2026-09-09T02:52:30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2026-09-09</t>
        </is>
      </c>
      <c r="B23" s="5" t="inlineStr">
        <is>
          <t>2026-09-09T02:52:30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2026-09-09</t>
        </is>
      </c>
      <c r="B24" s="2" t="inlineStr">
        <is>
          <t>2026-09-09T02:52:30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2026-09-09</t>
        </is>
      </c>
      <c r="B25" s="5" t="inlineStr">
        <is>
          <t>2026-09-09T02:52:30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2026-09-09</t>
        </is>
      </c>
      <c r="B26" s="2" t="inlineStr">
        <is>
          <t>2026-09-09T02:52:30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2.0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35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2026-09-09</t>
        </is>
      </c>
      <c r="B27" s="5" t="inlineStr">
        <is>
          <t>2026-09-09T02:52:30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 1.0</t>
        </is>
      </c>
      <c r="G27" s="5" t="inlineStr">
        <is>
          <t>tim:TIM202600000270</t>
        </is>
      </c>
      <c r="H27" s="6" t="n">
        <v>20</v>
      </c>
      <c r="I27" s="6" t="inlineStr"/>
      <c r="J2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2026-09-09</t>
        </is>
      </c>
      <c r="B28" s="2" t="inlineStr">
        <is>
          <t>2026-09-09T02:52:30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2.0</t>
        </is>
      </c>
      <c r="G28" s="2" t="inlineStr">
        <is>
          <t>tim:TIM202600000305</t>
        </is>
      </c>
      <c r="H28" s="3" t="n">
        <v>45</v>
      </c>
      <c r="I28" s="3" t="inlineStr"/>
      <c r="J28" s="2" t="inlineStr">
        <is>
          <t>plano mensal, sem prazo de permanência; a etiqueta TIM informa 'sem prazo de permanência'</t>
        </is>
      </c>
      <c r="K28" s="2" t="inlineStr"/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2026-09-09</t>
        </is>
      </c>
      <c r="B29" s="5" t="inlineStr">
        <is>
          <t>2026-09-09T02:52:30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70GB</t>
        </is>
      </c>
      <c r="G29" s="5" t="inlineStr">
        <is>
          <t>tim:54206</t>
        </is>
      </c>
      <c r="H29" s="6" t="n">
        <v>129.99</v>
      </c>
      <c r="I29" s="6" t="inlineStr"/>
      <c r="J29" s="5" t="inlineStr"/>
      <c r="K29" s="5" t="inlineStr">
        <is>
          <t>bill</t>
        </is>
      </c>
      <c r="L29" s="7" t="n">
        <v>70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2026-09-09</t>
        </is>
      </c>
      <c r="B30" s="2" t="inlineStr">
        <is>
          <t>2026-09-09T02:52:30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A Express 67GB</t>
        </is>
      </c>
      <c r="G30" s="2" t="inlineStr">
        <is>
          <t>tim:55121</t>
        </is>
      </c>
      <c r="H30" s="3" t="n">
        <v>119.99</v>
      </c>
      <c r="I30" s="3" t="inlineStr"/>
      <c r="J30" s="2" t="inlineStr"/>
      <c r="K30" s="2" t="inlineStr">
        <is>
          <t>credit_card</t>
        </is>
      </c>
      <c r="L30" s="4" t="n">
        <v>67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2026-09-09</t>
        </is>
      </c>
      <c r="B31" s="5" t="inlineStr">
        <is>
          <t>2026-09-09T02:52:30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2026-09-09</t>
        </is>
      </c>
      <c r="B32" s="2" t="inlineStr">
        <is>
          <t>2026-09-09T02:52:30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2026-09-09</t>
        </is>
      </c>
      <c r="B33" s="5" t="inlineStr">
        <is>
          <t>2026-09-09T02:52:30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2026-09-09</t>
        </is>
      </c>
      <c r="B34" s="2" t="inlineStr">
        <is>
          <t>2026-09-09T02:52:30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2026-09-09</t>
        </is>
      </c>
      <c r="B35" s="5" t="inlineStr">
        <is>
          <t>2026-09-09T02:52:30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2026-09-09</t>
        </is>
      </c>
      <c r="B36" s="2" t="inlineStr">
        <is>
          <t>2026-09-09T02:52:30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2026-09-09</t>
        </is>
      </c>
      <c r="B37" s="5" t="inlineStr">
        <is>
          <t>2026-09-09T02:52:30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2026-09-09</t>
        </is>
      </c>
      <c r="B38" s="2" t="inlineStr">
        <is>
          <t>2026-09-09T02:52:30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2026-09-09</t>
        </is>
      </c>
      <c r="B39" s="5" t="inlineStr">
        <is>
          <t>2026-09-09T02:52:30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2026-09-09</t>
        </is>
      </c>
      <c r="B40" s="2" t="inlineStr">
        <is>
          <t>2026-09-09T02:52:30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2026-09-09</t>
        </is>
      </c>
      <c r="B41" s="5" t="inlineStr">
        <is>
          <t>2026-09-09T02:52:30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2026-09-09</t>
        </is>
      </c>
      <c r="B42" s="2" t="inlineStr">
        <is>
          <t>2026-09-09T02:52:30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2026-09-09</t>
        </is>
      </c>
      <c r="B43" s="5" t="inlineStr">
        <is>
          <t>2026-09-09T02:52:30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2026-09-09</t>
        </is>
      </c>
      <c r="B44" s="2" t="inlineStr">
        <is>
          <t>2026-09-09T02:52:30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2026-09-09</t>
        </is>
      </c>
      <c r="B45" s="5" t="inlineStr">
        <is>
          <t>2026-09-09T02:52:30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2026-09-09</t>
        </is>
      </c>
      <c r="B46" s="2" t="inlineStr">
        <is>
          <t>2026-09-09T02:52:30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2026-09-09</t>
        </is>
      </c>
      <c r="B47" s="5" t="inlineStr">
        <is>
          <t>2026-09-09T02:52:30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2026-09-09</t>
        </is>
      </c>
      <c r="B48" s="2" t="inlineStr">
        <is>
          <t>2026-09-09T02:52:30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2026-09-09</t>
        </is>
      </c>
      <c r="B49" s="5" t="inlineStr">
        <is>
          <t>2026-09-09T02:52:30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2026-09-09</t>
        </is>
      </c>
      <c r="B50" s="2" t="inlineStr">
        <is>
          <t>2026-09-09T02:52:30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2026-09-09</t>
        </is>
      </c>
      <c r="B51" s="5" t="inlineStr">
        <is>
          <t>2026-09-09T02:52:30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2026-09-09</t>
        </is>
      </c>
      <c r="B52" s="2" t="inlineStr">
        <is>
          <t>2026-09-09T02:52:30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2026-09-09</t>
        </is>
      </c>
      <c r="B53" s="5" t="inlineStr">
        <is>
          <t>2026-09-09T02:52:30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2026-09-09</t>
        </is>
      </c>
      <c r="B54" s="2" t="inlineStr">
        <is>
          <t>2026-09-09T02:52:30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2026-09-09</t>
        </is>
      </c>
      <c r="B55" s="5" t="inlineStr">
        <is>
          <t>2026-09-09T02:52:30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2026-09-09</t>
        </is>
      </c>
      <c r="B56" s="2" t="inlineStr">
        <is>
          <t>2026-09-09T02:52:30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2026-09-09</t>
        </is>
      </c>
      <c r="B57" s="5" t="inlineStr">
        <is>
          <t>2026-09-09T02:52:30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2026-09-09</t>
        </is>
      </c>
      <c r="B58" s="2" t="inlineStr">
        <is>
          <t>2026-09-09T02:52:30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2026-09-09</t>
        </is>
      </c>
      <c r="B59" s="5" t="inlineStr">
        <is>
          <t>2026-09-09T02:52:30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2026-09-09</t>
        </is>
      </c>
      <c r="B60" s="2" t="inlineStr">
        <is>
          <t>2026-09-09T02:52:30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2026-09-09</t>
        </is>
      </c>
      <c r="B61" s="5" t="inlineStr">
        <is>
          <t>2026-09-09T02:52:30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2026-09-09</t>
        </is>
      </c>
      <c r="B62" s="2" t="inlineStr">
        <is>
          <t>2026-09-09T02:52:30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2026-09-09</t>
        </is>
      </c>
      <c r="B63" s="5" t="inlineStr">
        <is>
          <t>2026-09-09T02:52:30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2026-09-09</t>
        </is>
      </c>
      <c r="B64" s="2" t="inlineStr">
        <is>
          <t>2026-09-09T02:52:30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2026-09-09T02:52:30</t>
        </is>
      </c>
    </row>
    <row r="4">
      <c r="A4" s="9" t="inlineStr">
        <is>
          <t>Latest snapshot</t>
        </is>
      </c>
      <c r="B4" s="2" t="inlineStr">
        <is>
          <t>2026-09-09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79.17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8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6">
      <c r="A76" s="12" t="n">
        <v>46271</v>
      </c>
      <c r="B76" s="3">
        <f>IFERROR(IF(_xlfn.MINIFS(history!$H:$H,history!$C:$C,"tim",history!$D:$D,"control",history!$A:$A,YEAR($A76)&amp;"-"&amp;TEXT(MONTH($A76),"00")&amp;"-"&amp;TEXT(DAY($A76),"00"))=0,"",_xlfn.MINIFS(history!$H:$H,history!$C:$C,"tim",history!$D:$D,"control",history!$A:$A,YEAR($A76)&amp;"-"&amp;TEXT(MONTH($A76),"00")&amp;"-"&amp;TEXT(DAY($A76),"00"))),"")</f>
        <v>49.99</v>
      </c>
      <c r="C76" s="3">
        <f>IFERROR(IF(_xlfn.MINIFS(history!$H:$H,history!$C:$C,"vivo",history!$D:$D,"control",history!$A:$A,YEAR($A76)&amp;"-"&amp;TEXT(MONTH($A76),"00")&amp;"-"&amp;TEXT(DAY($A76),"00"))=0,"",_xlfn.MINIFS(history!$H:$H,history!$C:$C,"vivo",history!$D:$D,"control",history!$A:$A,YEAR($A76)&amp;"-"&amp;TEXT(MONTH($A76),"00")&amp;"-"&amp;TEXT(DAY($A76),"00"))),"")</f>
        <v>59</v>
      </c>
      <c r="D76" s="3">
        <f>IFERROR(IF(_xlfn.MINIFS(history!$H:$H,history!$C:$C,"claro",history!$D:$D,"control",history!$A:$A,YEAR($A76)&amp;"-"&amp;TEXT(MONTH($A76),"00")&amp;"-"&amp;TEXT(DAY($A76),"00"))=0,"",_xlfn.MINIFS(history!$H:$H,history!$C:$C,"claro",history!$D:$D,"control",history!$A:$A,YEAR($A76)&amp;"-"&amp;TEXT(MONTH($A76),"00")&amp;"-"&amp;TEXT(DAY($A76),"00"))),"")</f>
        <v>59.9</v>
      </c>
      <c r="E76" s="3">
        <f>IFERROR(IF(_xlfn.MINIFS(history!$H:$H,history!$C:$C,"tim",history!$D:$D,"postpaid",history!$A:$A,YEAR($A76)&amp;"-"&amp;TEXT(MONTH($A76),"00")&amp;"-"&amp;TEXT(DAY($A76),"00"))=0,"",_xlfn.MINIFS(history!$H:$H,history!$C:$C,"tim",history!$D:$D,"postpaid",history!$A:$A,YEAR($A76)&amp;"-"&amp;TEXT(MONTH($A76),"00")&amp;"-"&amp;TEXT(DAY($A76),"00"))),"")</f>
        <v>119.99</v>
      </c>
      <c r="F76" s="3">
        <f>IFERROR(IF(_xlfn.MINIFS(history!$H:$H,history!$C:$C,"vivo",history!$D:$D,"postpaid",history!$A:$A,YEAR($A76)&amp;"-"&amp;TEXT(MONTH($A76),"00")&amp;"-"&amp;TEXT(DAY($A76),"00"))=0,"",_xlfn.MINIFS(history!$H:$H,history!$C:$C,"vivo",history!$D:$D,"postpaid",history!$A:$A,YEAR($A76)&amp;"-"&amp;TEXT(MONTH($A76),"00")&amp;"-"&amp;TEXT(DAY($A76),"00"))),"")</f>
        <v>150</v>
      </c>
      <c r="G76" s="3">
        <f>IFERROR(IF(_xlfn.MINIFS(history!$H:$H,history!$C:$C,"claro",history!$D:$D,"postpaid",history!$A:$A,YEAR($A76)&amp;"-"&amp;TEXT(MONTH($A76),"00")&amp;"-"&amp;TEXT(DAY($A76),"00"))=0,"",_xlfn.MINIFS(history!$H:$H,history!$C:$C,"claro",history!$D:$D,"postpaid",history!$A:$A,YEAR($A76)&amp;"-"&amp;TEXT(MONTH($A76),"00")&amp;"-"&amp;TEXT(DAY($A76),"00"))),"")</f>
        <v>124.9</v>
      </c>
      <c r="H76" s="3">
        <f>IFERROR(IF(_xlfn.MINIFS(history!$H:$H,history!$C:$C,"tim",history!$D:$D,"prepaid",history!$A:$A,YEAR($A76)&amp;"-"&amp;TEXT(MONTH($A76),"00")&amp;"-"&amp;TEXT(DAY($A76),"00"),history!$N:$N,"&gt;=28")=0,"",_xlfn.MINIFS(history!$H:$H,history!$C:$C,"tim",history!$D:$D,"prepaid",history!$A:$A,YEAR($A76)&amp;"-"&amp;TEXT(MONTH($A76),"00")&amp;"-"&amp;TEXT(DAY($A76),"00"),history!$N:$N,"&gt;=28")),"")</f>
        <v>30</v>
      </c>
      <c r="I76" s="3">
        <f>IFERROR(IF(_xlfn.MINIFS(history!$H:$H,history!$C:$C,"vivo",history!$D:$D,"prepaid",history!$A:$A,YEAR($A76)&amp;"-"&amp;TEXT(MONTH($A76),"00")&amp;"-"&amp;TEXT(DAY($A76),"00"),history!$N:$N,"&gt;=28")=0,"",_xlfn.MINIFS(history!$H:$H,history!$C:$C,"vivo",history!$D:$D,"prepaid",history!$A:$A,YEAR($A76)&amp;"-"&amp;TEXT(MONTH($A76),"00")&amp;"-"&amp;TEXT(DAY($A76),"00"),history!$N:$N,"&gt;=28")),"")</f>
        <v>30</v>
      </c>
      <c r="J76" s="3">
        <f>IFERROR(IF(_xlfn.MINIFS(history!$H:$H,history!$C:$C,"claro",history!$D:$D,"prepaid",history!$A:$A,YEAR($A76)&amp;"-"&amp;TEXT(MONTH($A76),"00")&amp;"-"&amp;TEXT(DAY($A76),"00"),history!$N:$N,"&gt;=28")=0,"",_xlfn.MINIFS(history!$H:$H,history!$C:$C,"claro",history!$D:$D,"prepaid",history!$A:$A,YEAR($A76)&amp;"-"&amp;TEXT(MONTH($A76),"00")&amp;"-"&amp;TEXT(DAY($A76),"00"),history!$N:$N,"&gt;=28")),"")</f>
        <v>30</v>
      </c>
      <c r="K76" s="3">
        <f>IFERROR(1/MAX(IFERROR(1/_xlfn.MINIFS(history!$H:$H,history!$C:$C,"tim",history!$D:$D,"lite",history!$A:$A,YEAR($A76)&amp;"-"&amp;TEXT(MONTH($A76),"00")&amp;"-"&amp;TEXT(DAY($A76),"00"),history!$S:$S,"&gt;0"),0),IFERROR(1/_xlfn.MINIFS(history!$H:$H,history!$C:$C,"tim",history!$D:$D,"flex",history!$A:$A,YEAR($A76)&amp;"-"&amp;TEXT(MONTH($A76),"00")&amp;"-"&amp;TEXT(DAY($A76),"00")),0),IFERROR(1/_xlfn.MINIFS(history!$H:$H,history!$C:$C,"tim",history!$D:$D,"fit",history!$A:$A,YEAR($A76)&amp;"-"&amp;TEXT(MONTH($A76),"00")&amp;"-"&amp;TEXT(DAY($A76),"00"),history!$S:$S,"="),0)),"")</f>
        <v>20</v>
      </c>
      <c r="L76" s="3">
        <f>IFERROR(1/MAX(IFERROR(1/_xlfn.MINIFS(history!$H:$H,history!$C:$C,"vivo",history!$D:$D,"lite",history!$A:$A,YEAR($A76)&amp;"-"&amp;TEXT(MONTH($A76),"00")&amp;"-"&amp;TEXT(DAY($A76),"00"),history!$S:$S,"&gt;0"),0),IFERROR(1/_xlfn.MINIFS(history!$H:$H,history!$C:$C,"vivo",history!$D:$D,"flex",history!$A:$A,YEAR($A76)&amp;"-"&amp;TEXT(MONTH($A76),"00")&amp;"-"&amp;TEXT(DAY($A76),"00")),0),IFERROR(1/_xlfn.MINIFS(history!$H:$H,history!$C:$C,"vivo",history!$D:$D,"fit",history!$A:$A,YEAR($A76)&amp;"-"&amp;TEXT(MONTH($A76),"00")&amp;"-"&amp;TEXT(DAY($A76),"00"),history!$S:$S,"="),0)),"")</f>
        <v>45</v>
      </c>
      <c r="M76" s="3">
        <f>IFERROR(1/MAX(IFERROR(1/_xlfn.MINIFS(history!$H:$H,history!$C:$C,"claro",history!$D:$D,"lite",history!$A:$A,YEAR($A76)&amp;"-"&amp;TEXT(MONTH($A76),"00")&amp;"-"&amp;TEXT(DAY($A76),"00"),history!$S:$S,"&gt;0"),0),IFERROR(1/_xlfn.MINIFS(history!$H:$H,history!$C:$C,"claro",history!$D:$D,"flex",history!$A:$A,YEAR($A76)&amp;"-"&amp;TEXT(MONTH($A76),"00")&amp;"-"&amp;TEXT(DAY($A76),"00")),0),IFERROR(1/_xlfn.MINIFS(history!$H:$H,history!$C:$C,"claro",history!$D:$D,"fit",history!$A:$A,YEAR($A76)&amp;"-"&amp;TEXT(MONTH($A76),"00")&amp;"-"&amp;TEXT(DAY($A76),"00"),history!$S:$S,"="),0)),"")</f>
        <v>44.9</v>
      </c>
    </row>
    <row r="77">
      <c r="A77" s="12" t="n">
        <v>46272</v>
      </c>
      <c r="B77" s="3">
        <f>IFERROR(IF(_xlfn.MINIFS(history!$H:$H,history!$C:$C,"tim",history!$D:$D,"control",history!$A:$A,YEAR($A77)&amp;"-"&amp;TEXT(MONTH($A77),"00")&amp;"-"&amp;TEXT(DAY($A77),"00"))=0,"",_xlfn.MINIFS(history!$H:$H,history!$C:$C,"tim",history!$D:$D,"control",history!$A:$A,YEAR($A77)&amp;"-"&amp;TEXT(MONTH($A77),"00")&amp;"-"&amp;TEXT(DAY($A77),"00"))),"")</f>
        <v>49.99</v>
      </c>
      <c r="C77" s="3">
        <f>IFERROR(IF(_xlfn.MINIFS(history!$H:$H,history!$C:$C,"vivo",history!$D:$D,"control",history!$A:$A,YEAR($A77)&amp;"-"&amp;TEXT(MONTH($A77),"00")&amp;"-"&amp;TEXT(DAY($A77),"00"))=0,"",_xlfn.MINIFS(history!$H:$H,history!$C:$C,"vivo",history!$D:$D,"control",history!$A:$A,YEAR($A77)&amp;"-"&amp;TEXT(MONTH($A77),"00")&amp;"-"&amp;TEXT(DAY($A77),"00"))),"")</f>
        <v>59</v>
      </c>
      <c r="D77" s="3">
        <f>IFERROR(IF(_xlfn.MINIFS(history!$H:$H,history!$C:$C,"claro",history!$D:$D,"control",history!$A:$A,YEAR($A77)&amp;"-"&amp;TEXT(MONTH($A77),"00")&amp;"-"&amp;TEXT(DAY($A77),"00"))=0,"",_xlfn.MINIFS(history!$H:$H,history!$C:$C,"claro",history!$D:$D,"control",history!$A:$A,YEAR($A77)&amp;"-"&amp;TEXT(MONTH($A77),"00")&amp;"-"&amp;TEXT(DAY($A77),"00"))),"")</f>
        <v>59.9</v>
      </c>
      <c r="E77" s="3">
        <f>IFERROR(IF(_xlfn.MINIFS(history!$H:$H,history!$C:$C,"tim",history!$D:$D,"postpaid",history!$A:$A,YEAR($A77)&amp;"-"&amp;TEXT(MONTH($A77),"00")&amp;"-"&amp;TEXT(DAY($A77),"00"))=0,"",_xlfn.MINIFS(history!$H:$H,history!$C:$C,"tim",history!$D:$D,"postpaid",history!$A:$A,YEAR($A77)&amp;"-"&amp;TEXT(MONTH($A77),"00")&amp;"-"&amp;TEXT(DAY($A77),"00"))),"")</f>
        <v>119.99</v>
      </c>
      <c r="F77" s="3">
        <f>IFERROR(IF(_xlfn.MINIFS(history!$H:$H,history!$C:$C,"vivo",history!$D:$D,"postpaid",history!$A:$A,YEAR($A77)&amp;"-"&amp;TEXT(MONTH($A77),"00")&amp;"-"&amp;TEXT(DAY($A77),"00"))=0,"",_xlfn.MINIFS(history!$H:$H,history!$C:$C,"vivo",history!$D:$D,"postpaid",history!$A:$A,YEAR($A77)&amp;"-"&amp;TEXT(MONTH($A77),"00")&amp;"-"&amp;TEXT(DAY($A77),"00"))),"")</f>
        <v>150</v>
      </c>
      <c r="G77" s="3">
        <f>IFERROR(IF(_xlfn.MINIFS(history!$H:$H,history!$C:$C,"claro",history!$D:$D,"postpaid",history!$A:$A,YEAR($A77)&amp;"-"&amp;TEXT(MONTH($A77),"00")&amp;"-"&amp;TEXT(DAY($A77),"00"))=0,"",_xlfn.MINIFS(history!$H:$H,history!$C:$C,"claro",history!$D:$D,"postpaid",history!$A:$A,YEAR($A77)&amp;"-"&amp;TEXT(MONTH($A77),"00")&amp;"-"&amp;TEXT(DAY($A77),"00"))),"")</f>
        <v>124.9</v>
      </c>
      <c r="H77" s="3">
        <f>IFERROR(IF(_xlfn.MINIFS(history!$H:$H,history!$C:$C,"tim",history!$D:$D,"prepaid",history!$A:$A,YEAR($A77)&amp;"-"&amp;TEXT(MONTH($A77),"00")&amp;"-"&amp;TEXT(DAY($A77),"00"),history!$N:$N,"&gt;=28")=0,"",_xlfn.MINIFS(history!$H:$H,history!$C:$C,"tim",history!$D:$D,"prepaid",history!$A:$A,YEAR($A77)&amp;"-"&amp;TEXT(MONTH($A77),"00")&amp;"-"&amp;TEXT(DAY($A77),"00"),history!$N:$N,"&gt;=28")),"")</f>
        <v>30</v>
      </c>
      <c r="I77" s="3">
        <f>IFERROR(IF(_xlfn.MINIFS(history!$H:$H,history!$C:$C,"vivo",history!$D:$D,"prepaid",history!$A:$A,YEAR($A77)&amp;"-"&amp;TEXT(MONTH($A77),"00")&amp;"-"&amp;TEXT(DAY($A77),"00"),history!$N:$N,"&gt;=28")=0,"",_xlfn.MINIFS(history!$H:$H,history!$C:$C,"vivo",history!$D:$D,"prepaid",history!$A:$A,YEAR($A77)&amp;"-"&amp;TEXT(MONTH($A77),"00")&amp;"-"&amp;TEXT(DAY($A77),"00"),history!$N:$N,"&gt;=28")),"")</f>
        <v>30</v>
      </c>
      <c r="J77" s="3">
        <f>IFERROR(IF(_xlfn.MINIFS(history!$H:$H,history!$C:$C,"claro",history!$D:$D,"prepaid",history!$A:$A,YEAR($A77)&amp;"-"&amp;TEXT(MONTH($A77),"00")&amp;"-"&amp;TEXT(DAY($A77),"00"),history!$N:$N,"&gt;=28")=0,"",_xlfn.MINIFS(history!$H:$H,history!$C:$C,"claro",history!$D:$D,"prepaid",history!$A:$A,YEAR($A77)&amp;"-"&amp;TEXT(MONTH($A77),"00")&amp;"-"&amp;TEXT(DAY($A77),"00"),history!$N:$N,"&gt;=28")),"")</f>
        <v>30</v>
      </c>
      <c r="K77" s="3">
        <f>IFERROR(1/MAX(IFERROR(1/_xlfn.MINIFS(history!$H:$H,history!$C:$C,"tim",history!$D:$D,"lite",history!$A:$A,YEAR($A77)&amp;"-"&amp;TEXT(MONTH($A77),"00")&amp;"-"&amp;TEXT(DAY($A77),"00"),history!$S:$S,"&gt;0"),0),IFERROR(1/_xlfn.MINIFS(history!$H:$H,history!$C:$C,"tim",history!$D:$D,"flex",history!$A:$A,YEAR($A77)&amp;"-"&amp;TEXT(MONTH($A77),"00")&amp;"-"&amp;TEXT(DAY($A77),"00")),0),IFERROR(1/_xlfn.MINIFS(history!$H:$H,history!$C:$C,"tim",history!$D:$D,"fit",history!$A:$A,YEAR($A77)&amp;"-"&amp;TEXT(MONTH($A77),"00")&amp;"-"&amp;TEXT(DAY($A77),"00"),history!$S:$S,"="),0)),"")</f>
        <v>20</v>
      </c>
      <c r="L77" s="3">
        <f>IFERROR(1/MAX(IFERROR(1/_xlfn.MINIFS(history!$H:$H,history!$C:$C,"vivo",history!$D:$D,"lite",history!$A:$A,YEAR($A77)&amp;"-"&amp;TEXT(MONTH($A77),"00")&amp;"-"&amp;TEXT(DAY($A77),"00"),history!$S:$S,"&gt;0"),0),IFERROR(1/_xlfn.MINIFS(history!$H:$H,history!$C:$C,"vivo",history!$D:$D,"flex",history!$A:$A,YEAR($A77)&amp;"-"&amp;TEXT(MONTH($A77),"00")&amp;"-"&amp;TEXT(DAY($A77),"00")),0),IFERROR(1/_xlfn.MINIFS(history!$H:$H,history!$C:$C,"vivo",history!$D:$D,"fit",history!$A:$A,YEAR($A77)&amp;"-"&amp;TEXT(MONTH($A77),"00")&amp;"-"&amp;TEXT(DAY($A77),"00"),history!$S:$S,"="),0)),"")</f>
        <v>45</v>
      </c>
      <c r="M77" s="3">
        <f>IFERROR(1/MAX(IFERROR(1/_xlfn.MINIFS(history!$H:$H,history!$C:$C,"claro",history!$D:$D,"lite",history!$A:$A,YEAR($A77)&amp;"-"&amp;TEXT(MONTH($A77),"00")&amp;"-"&amp;TEXT(DAY($A77),"00"),history!$S:$S,"&gt;0"),0),IFERROR(1/_xlfn.MINIFS(history!$H:$H,history!$C:$C,"claro",history!$D:$D,"flex",history!$A:$A,YEAR($A77)&amp;"-"&amp;TEXT(MONTH($A77),"00")&amp;"-"&amp;TEXT(DAY($A77),"00")),0),IFERROR(1/_xlfn.MINIFS(history!$H:$H,history!$C:$C,"claro",history!$D:$D,"fit",history!$A:$A,YEAR($A77)&amp;"-"&amp;TEXT(MONTH($A77),"00")&amp;"-"&amp;TEXT(DAY($A77),"00"),history!$S:$S,"="),0)),"")</f>
        <v>44.9</v>
      </c>
    </row>
    <row r="78">
      <c r="A78" s="12" t="n">
        <v>46273</v>
      </c>
      <c r="B78" s="3">
        <f>IFERROR(IF(_xlfn.MINIFS(history!$H:$H,history!$C:$C,"tim",history!$D:$D,"control",history!$A:$A,YEAR($A78)&amp;"-"&amp;TEXT(MONTH($A78),"00")&amp;"-"&amp;TEXT(DAY($A78),"00"))=0,"",_xlfn.MINIFS(history!$H:$H,history!$C:$C,"tim",history!$D:$D,"control",history!$A:$A,YEAR($A78)&amp;"-"&amp;TEXT(MONTH($A78),"00")&amp;"-"&amp;TEXT(DAY($A78),"00"))),"")</f>
        <v>49.99</v>
      </c>
      <c r="C78" s="3">
        <f>IFERROR(IF(_xlfn.MINIFS(history!$H:$H,history!$C:$C,"vivo",history!$D:$D,"control",history!$A:$A,YEAR($A78)&amp;"-"&amp;TEXT(MONTH($A78),"00")&amp;"-"&amp;TEXT(DAY($A78),"00"))=0,"",_xlfn.MINIFS(history!$H:$H,history!$C:$C,"vivo",history!$D:$D,"control",history!$A:$A,YEAR($A78)&amp;"-"&amp;TEXT(MONTH($A78),"00")&amp;"-"&amp;TEXT(DAY($A78),"00"))),"")</f>
        <v>59</v>
      </c>
      <c r="D78" s="3">
        <f>IFERROR(IF(_xlfn.MINIFS(history!$H:$H,history!$C:$C,"claro",history!$D:$D,"control",history!$A:$A,YEAR($A78)&amp;"-"&amp;TEXT(MONTH($A78),"00")&amp;"-"&amp;TEXT(DAY($A78),"00"))=0,"",_xlfn.MINIFS(history!$H:$H,history!$C:$C,"claro",history!$D:$D,"control",history!$A:$A,YEAR($A78)&amp;"-"&amp;TEXT(MONTH($A78),"00")&amp;"-"&amp;TEXT(DAY($A78),"00"))),"")</f>
        <v>59.9</v>
      </c>
      <c r="E78" s="3">
        <f>IFERROR(IF(_xlfn.MINIFS(history!$H:$H,history!$C:$C,"tim",history!$D:$D,"postpaid",history!$A:$A,YEAR($A78)&amp;"-"&amp;TEXT(MONTH($A78),"00")&amp;"-"&amp;TEXT(DAY($A78),"00"))=0,"",_xlfn.MINIFS(history!$H:$H,history!$C:$C,"tim",history!$D:$D,"postpaid",history!$A:$A,YEAR($A78)&amp;"-"&amp;TEXT(MONTH($A78),"00")&amp;"-"&amp;TEXT(DAY($A78),"00"))),"")</f>
        <v>119.99</v>
      </c>
      <c r="F78" s="3">
        <f>IFERROR(IF(_xlfn.MINIFS(history!$H:$H,history!$C:$C,"vivo",history!$D:$D,"postpaid",history!$A:$A,YEAR($A78)&amp;"-"&amp;TEXT(MONTH($A78),"00")&amp;"-"&amp;TEXT(DAY($A78),"00"))=0,"",_xlfn.MINIFS(history!$H:$H,history!$C:$C,"vivo",history!$D:$D,"postpaid",history!$A:$A,YEAR($A78)&amp;"-"&amp;TEXT(MONTH($A78),"00")&amp;"-"&amp;TEXT(DAY($A78),"00"))),"")</f>
        <v>150</v>
      </c>
      <c r="G78" s="3">
        <f>IFERROR(IF(_xlfn.MINIFS(history!$H:$H,history!$C:$C,"claro",history!$D:$D,"postpaid",history!$A:$A,YEAR($A78)&amp;"-"&amp;TEXT(MONTH($A78),"00")&amp;"-"&amp;TEXT(DAY($A78),"00"))=0,"",_xlfn.MINIFS(history!$H:$H,history!$C:$C,"claro",history!$D:$D,"postpaid",history!$A:$A,YEAR($A78)&amp;"-"&amp;TEXT(MONTH($A78),"00")&amp;"-"&amp;TEXT(DAY($A78),"00"))),"")</f>
        <v>124.9</v>
      </c>
      <c r="H78" s="3">
        <f>IFERROR(IF(_xlfn.MINIFS(history!$H:$H,history!$C:$C,"tim",history!$D:$D,"prepaid",history!$A:$A,YEAR($A78)&amp;"-"&amp;TEXT(MONTH($A78),"00")&amp;"-"&amp;TEXT(DAY($A78),"00"),history!$N:$N,"&gt;=28")=0,"",_xlfn.MINIFS(history!$H:$H,history!$C:$C,"tim",history!$D:$D,"prepaid",history!$A:$A,YEAR($A78)&amp;"-"&amp;TEXT(MONTH($A78),"00")&amp;"-"&amp;TEXT(DAY($A78),"00"),history!$N:$N,"&gt;=28")),"")</f>
        <v>30</v>
      </c>
      <c r="I78" s="3">
        <f>IFERROR(IF(_xlfn.MINIFS(history!$H:$H,history!$C:$C,"vivo",history!$D:$D,"prepaid",history!$A:$A,YEAR($A78)&amp;"-"&amp;TEXT(MONTH($A78),"00")&amp;"-"&amp;TEXT(DAY($A78),"00"),history!$N:$N,"&gt;=28")=0,"",_xlfn.MINIFS(history!$H:$H,history!$C:$C,"vivo",history!$D:$D,"prepaid",history!$A:$A,YEAR($A78)&amp;"-"&amp;TEXT(MONTH($A78),"00")&amp;"-"&amp;TEXT(DAY($A78),"00"),history!$N:$N,"&gt;=28")),"")</f>
        <v>30</v>
      </c>
      <c r="J78" s="3">
        <f>IFERROR(IF(_xlfn.MINIFS(history!$H:$H,history!$C:$C,"claro",history!$D:$D,"prepaid",history!$A:$A,YEAR($A78)&amp;"-"&amp;TEXT(MONTH($A78),"00")&amp;"-"&amp;TEXT(DAY($A78),"00"),history!$N:$N,"&gt;=28")=0,"",_xlfn.MINIFS(history!$H:$H,history!$C:$C,"claro",history!$D:$D,"prepaid",history!$A:$A,YEAR($A78)&amp;"-"&amp;TEXT(MONTH($A78),"00")&amp;"-"&amp;TEXT(DAY($A78),"00"),history!$N:$N,"&gt;=28")),"")</f>
        <v>30</v>
      </c>
      <c r="K78" s="3">
        <f>IFERROR(1/MAX(IFERROR(1/_xlfn.MINIFS(history!$H:$H,history!$C:$C,"tim",history!$D:$D,"lite",history!$A:$A,YEAR($A78)&amp;"-"&amp;TEXT(MONTH($A78),"00")&amp;"-"&amp;TEXT(DAY($A78),"00"),history!$S:$S,"&gt;0"),0),IFERROR(1/_xlfn.MINIFS(history!$H:$H,history!$C:$C,"tim",history!$D:$D,"flex",history!$A:$A,YEAR($A78)&amp;"-"&amp;TEXT(MONTH($A78),"00")&amp;"-"&amp;TEXT(DAY($A78),"00")),0),IFERROR(1/_xlfn.MINIFS(history!$H:$H,history!$C:$C,"tim",history!$D:$D,"fit",history!$A:$A,YEAR($A78)&amp;"-"&amp;TEXT(MONTH($A78),"00")&amp;"-"&amp;TEXT(DAY($A78),"00"),history!$S:$S,"="),0)),"")</f>
        <v>20</v>
      </c>
      <c r="L78" s="3">
        <f>IFERROR(1/MAX(IFERROR(1/_xlfn.MINIFS(history!$H:$H,history!$C:$C,"vivo",history!$D:$D,"lite",history!$A:$A,YEAR($A78)&amp;"-"&amp;TEXT(MONTH($A78),"00")&amp;"-"&amp;TEXT(DAY($A78),"00"),history!$S:$S,"&gt;0"),0),IFERROR(1/_xlfn.MINIFS(history!$H:$H,history!$C:$C,"vivo",history!$D:$D,"flex",history!$A:$A,YEAR($A78)&amp;"-"&amp;TEXT(MONTH($A78),"00")&amp;"-"&amp;TEXT(DAY($A78),"00")),0),IFERROR(1/_xlfn.MINIFS(history!$H:$H,history!$C:$C,"vivo",history!$D:$D,"fit",history!$A:$A,YEAR($A78)&amp;"-"&amp;TEXT(MONTH($A78),"00")&amp;"-"&amp;TEXT(DAY($A78),"00"),history!$S:$S,"="),0)),"")</f>
        <v>45</v>
      </c>
      <c r="M78" s="3">
        <f>IFERROR(1/MAX(IFERROR(1/_xlfn.MINIFS(history!$H:$H,history!$C:$C,"claro",history!$D:$D,"lite",history!$A:$A,YEAR($A78)&amp;"-"&amp;TEXT(MONTH($A78),"00")&amp;"-"&amp;TEXT(DAY($A78),"00"),history!$S:$S,"&gt;0"),0),IFERROR(1/_xlfn.MINIFS(history!$H:$H,history!$C:$C,"claro",history!$D:$D,"flex",history!$A:$A,YEAR($A78)&amp;"-"&amp;TEXT(MONTH($A78),"00")&amp;"-"&amp;TEXT(DAY($A78),"00")),0),IFERROR(1/_xlfn.MINIFS(history!$H:$H,history!$C:$C,"claro",history!$D:$D,"fit",history!$A:$A,YEAR($A78)&amp;"-"&amp;TEXT(MONTH($A78),"00")&amp;"-"&amp;TEXT(DAY($A78),"00"),history!$S:$S,"="),0)),"")</f>
        <v>44.9</v>
      </c>
    </row>
    <row r="79">
      <c r="A79" s="12" t="n">
        <v>46274</v>
      </c>
      <c r="B79" s="3">
        <f>IFERROR(IF(_xlfn.MINIFS(history!$H:$H,history!$C:$C,"tim",history!$D:$D,"control",history!$A:$A,YEAR($A79)&amp;"-"&amp;TEXT(MONTH($A79),"00")&amp;"-"&amp;TEXT(DAY($A79),"00"))=0,"",_xlfn.MINIFS(history!$H:$H,history!$C:$C,"tim",history!$D:$D,"control",history!$A:$A,YEAR($A79)&amp;"-"&amp;TEXT(MONTH($A79),"00")&amp;"-"&amp;TEXT(DAY($A79),"00"))),"")</f>
        <v>49.99</v>
      </c>
      <c r="C79" s="3">
        <f>IFERROR(IF(_xlfn.MINIFS(history!$H:$H,history!$C:$C,"vivo",history!$D:$D,"control",history!$A:$A,YEAR($A79)&amp;"-"&amp;TEXT(MONTH($A79),"00")&amp;"-"&amp;TEXT(DAY($A79),"00"))=0,"",_xlfn.MINIFS(history!$H:$H,history!$C:$C,"vivo",history!$D:$D,"control",history!$A:$A,YEAR($A79)&amp;"-"&amp;TEXT(MONTH($A79),"00")&amp;"-"&amp;TEXT(DAY($A79),"00"))),"")</f>
        <v>59</v>
      </c>
      <c r="D79" s="3">
        <f>IFERROR(IF(_xlfn.MINIFS(history!$H:$H,history!$C:$C,"claro",history!$D:$D,"control",history!$A:$A,YEAR($A79)&amp;"-"&amp;TEXT(MONTH($A79),"00")&amp;"-"&amp;TEXT(DAY($A79),"00"))=0,"",_xlfn.MINIFS(history!$H:$H,history!$C:$C,"claro",history!$D:$D,"control",history!$A:$A,YEAR($A79)&amp;"-"&amp;TEXT(MONTH($A79),"00")&amp;"-"&amp;TEXT(DAY($A79),"00"))),"")</f>
        <v>59.9</v>
      </c>
      <c r="E79" s="3">
        <f>IFERROR(IF(_xlfn.MINIFS(history!$H:$H,history!$C:$C,"tim",history!$D:$D,"postpaid",history!$A:$A,YEAR($A79)&amp;"-"&amp;TEXT(MONTH($A79),"00")&amp;"-"&amp;TEXT(DAY($A79),"00"))=0,"",_xlfn.MINIFS(history!$H:$H,history!$C:$C,"tim",history!$D:$D,"postpaid",history!$A:$A,YEAR($A79)&amp;"-"&amp;TEXT(MONTH($A79),"00")&amp;"-"&amp;TEXT(DAY($A79),"00"))),"")</f>
        <v>119.99</v>
      </c>
      <c r="F79" s="3">
        <f>IFERROR(IF(_xlfn.MINIFS(history!$H:$H,history!$C:$C,"vivo",history!$D:$D,"postpaid",history!$A:$A,YEAR($A79)&amp;"-"&amp;TEXT(MONTH($A79),"00")&amp;"-"&amp;TEXT(DAY($A79),"00"))=0,"",_xlfn.MINIFS(history!$H:$H,history!$C:$C,"vivo",history!$D:$D,"postpaid",history!$A:$A,YEAR($A79)&amp;"-"&amp;TEXT(MONTH($A79),"00")&amp;"-"&amp;TEXT(DAY($A79),"00"))),"")</f>
        <v>150</v>
      </c>
      <c r="G79" s="3">
        <f>IFERROR(IF(_xlfn.MINIFS(history!$H:$H,history!$C:$C,"claro",history!$D:$D,"postpaid",history!$A:$A,YEAR($A79)&amp;"-"&amp;TEXT(MONTH($A79),"00")&amp;"-"&amp;TEXT(DAY($A79),"00"))=0,"",_xlfn.MINIFS(history!$H:$H,history!$C:$C,"claro",history!$D:$D,"postpaid",history!$A:$A,YEAR($A79)&amp;"-"&amp;TEXT(MONTH($A79),"00")&amp;"-"&amp;TEXT(DAY($A79),"00"))),"")</f>
        <v>124.9</v>
      </c>
      <c r="H79" s="3">
        <f>IFERROR(IF(_xlfn.MINIFS(history!$H:$H,history!$C:$C,"tim",history!$D:$D,"prepaid",history!$A:$A,YEAR($A79)&amp;"-"&amp;TEXT(MONTH($A79),"00")&amp;"-"&amp;TEXT(DAY($A79),"00"),history!$N:$N,"&gt;=28")=0,"",_xlfn.MINIFS(history!$H:$H,history!$C:$C,"tim",history!$D:$D,"prepaid",history!$A:$A,YEAR($A79)&amp;"-"&amp;TEXT(MONTH($A79),"00")&amp;"-"&amp;TEXT(DAY($A79),"00"),history!$N:$N,"&gt;=28")),"")</f>
        <v>30</v>
      </c>
      <c r="I79" s="3">
        <f>IFERROR(IF(_xlfn.MINIFS(history!$H:$H,history!$C:$C,"vivo",history!$D:$D,"prepaid",history!$A:$A,YEAR($A79)&amp;"-"&amp;TEXT(MONTH($A79),"00")&amp;"-"&amp;TEXT(DAY($A79),"00"),history!$N:$N,"&gt;=28")=0,"",_xlfn.MINIFS(history!$H:$H,history!$C:$C,"vivo",history!$D:$D,"prepaid",history!$A:$A,YEAR($A79)&amp;"-"&amp;TEXT(MONTH($A79),"00")&amp;"-"&amp;TEXT(DAY($A79),"00"),history!$N:$N,"&gt;=28")),"")</f>
        <v>30</v>
      </c>
      <c r="J79" s="3">
        <f>IFERROR(IF(_xlfn.MINIFS(history!$H:$H,history!$C:$C,"claro",history!$D:$D,"prepaid",history!$A:$A,YEAR($A79)&amp;"-"&amp;TEXT(MONTH($A79),"00")&amp;"-"&amp;TEXT(DAY($A79),"00"),history!$N:$N,"&gt;=28")=0,"",_xlfn.MINIFS(history!$H:$H,history!$C:$C,"claro",history!$D:$D,"prepaid",history!$A:$A,YEAR($A79)&amp;"-"&amp;TEXT(MONTH($A79),"00")&amp;"-"&amp;TEXT(DAY($A79),"00"),history!$N:$N,"&gt;=28")),"")</f>
        <v>30</v>
      </c>
      <c r="K79" s="3">
        <f>IFERROR(1/MAX(IFERROR(1/_xlfn.MINIFS(history!$H:$H,history!$C:$C,"tim",history!$D:$D,"lite",history!$A:$A,YEAR($A79)&amp;"-"&amp;TEXT(MONTH($A79),"00")&amp;"-"&amp;TEXT(DAY($A79),"00"),history!$S:$S,"&gt;0"),0),IFERROR(1/_xlfn.MINIFS(history!$H:$H,history!$C:$C,"tim",history!$D:$D,"flex",history!$A:$A,YEAR($A79)&amp;"-"&amp;TEXT(MONTH($A79),"00")&amp;"-"&amp;TEXT(DAY($A79),"00")),0),IFERROR(1/_xlfn.MINIFS(history!$H:$H,history!$C:$C,"tim",history!$D:$D,"fit",history!$A:$A,YEAR($A79)&amp;"-"&amp;TEXT(MONTH($A79),"00")&amp;"-"&amp;TEXT(DAY($A79),"00"),history!$S:$S,"="),0)),"")</f>
        <v>20</v>
      </c>
      <c r="L79" s="3">
        <f>IFERROR(1/MAX(IFERROR(1/_xlfn.MINIFS(history!$H:$H,history!$C:$C,"vivo",history!$D:$D,"lite",history!$A:$A,YEAR($A79)&amp;"-"&amp;TEXT(MONTH($A79),"00")&amp;"-"&amp;TEXT(DAY($A79),"00"),history!$S:$S,"&gt;0"),0),IFERROR(1/_xlfn.MINIFS(history!$H:$H,history!$C:$C,"vivo",history!$D:$D,"flex",history!$A:$A,YEAR($A79)&amp;"-"&amp;TEXT(MONTH($A79),"00")&amp;"-"&amp;TEXT(DAY($A79),"00")),0),IFERROR(1/_xlfn.MINIFS(history!$H:$H,history!$C:$C,"vivo",history!$D:$D,"fit",history!$A:$A,YEAR($A79)&amp;"-"&amp;TEXT(MONTH($A79),"00")&amp;"-"&amp;TEXT(DAY($A79),"00"),history!$S:$S,"="),0)),"")</f>
        <v>45</v>
      </c>
      <c r="M79" s="3">
        <f>IFERROR(1/MAX(IFERROR(1/_xlfn.MINIFS(history!$H:$H,history!$C:$C,"claro",history!$D:$D,"lite",history!$A:$A,YEAR($A79)&amp;"-"&amp;TEXT(MONTH($A79),"00")&amp;"-"&amp;TEXT(DAY($A79),"00"),history!$S:$S,"&gt;0"),0),IFERROR(1/_xlfn.MINIFS(history!$H:$H,history!$C:$C,"claro",history!$D:$D,"flex",history!$A:$A,YEAR($A79)&amp;"-"&amp;TEXT(MONTH($A79),"00")&amp;"-"&amp;TEXT(DAY($A79),"00")),0),IFERROR(1/_xlfn.MINIFS(history!$H:$H,history!$C:$C,"claro",history!$D:$D,"fit",history!$A:$A,YEAR($A79)&amp;"-"&amp;TEXT(MONTH($A79),"00")&amp;"-"&amp;TEXT(DAY($A79),"00"),history!$S:$S,"="),0)),"")</f>
        <v>44.9</v>
      </c>
    </row>
    <row r="81">
      <c r="A8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82">
      <c r="A8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IF('comparison'!B79="",NA(),'comparison'!B79)</f>
        <v/>
      </c>
      <c r="R38" s="10">
        <f>IF('comparison'!C79="",NA(),'comparison'!C79)</f>
        <v/>
      </c>
      <c r="S38" s="10">
        <f>IF('comparison'!D79="",NA(),'comparison'!D79)</f>
        <v/>
      </c>
    </row>
    <row r="39">
      <c r="P39" s="2" t="inlineStr">
        <is>
          <t>Post</t>
        </is>
      </c>
      <c r="Q39" s="10">
        <f>IF('comparison'!E79="",NA(),'comparison'!E79)</f>
        <v/>
      </c>
      <c r="R39" s="10">
        <f>IF('comparison'!F79="",NA(),'comparison'!F79)</f>
        <v/>
      </c>
      <c r="S39" s="10">
        <f>IF('comparison'!G79="",NA(),'comparison'!G79)</f>
        <v/>
      </c>
    </row>
    <row r="40">
      <c r="P40" s="2" t="inlineStr">
        <is>
          <t>Pre</t>
        </is>
      </c>
      <c r="Q40" s="10">
        <f>IF('comparison'!H79="",NA(),'comparison'!H79)</f>
        <v/>
      </c>
      <c r="R40" s="10">
        <f>IF('comparison'!I79="",NA(),'comparison'!I79)</f>
        <v/>
      </c>
      <c r="S40" s="10">
        <f>IF('comparison'!J79="",NA(),'comparison'!J79)</f>
        <v/>
      </c>
    </row>
    <row r="41">
      <c r="P41" s="2" t="inlineStr">
        <is>
          <t>Digital</t>
        </is>
      </c>
      <c r="Q41" s="10">
        <f>IF('comparison'!K79="",NA(),'comparison'!K79)</f>
        <v/>
      </c>
      <c r="R41" s="10">
        <f>IF('comparison'!L79="",NA(),'comparison'!L79)</f>
        <v/>
      </c>
      <c r="S41" s="10">
        <f>IF('comparison'!M79="",NA(),'comparison'!M79)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Mensal 1.0</t>
        </is>
      </c>
      <c r="B16" s="3" t="n">
        <v>20</v>
      </c>
      <c r="C16" s="3" t="n"/>
      <c r="D16" s="2" t="inlineStr">
        <is>
          <t>20 GB</t>
        </is>
      </c>
      <c r="E16" s="2" t="n"/>
      <c r="F16" s="2" t="n"/>
      <c r="G16" s="2" t="n"/>
      <c r="H16" s="2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5" t="inlineStr">
        <is>
          <t>TIM Controle Fit Anual 2.0</t>
        </is>
      </c>
      <c r="B17" s="6" t="n">
        <v>30</v>
      </c>
      <c r="C17" s="6" t="n"/>
      <c r="D17" s="5" t="inlineStr">
        <is>
          <t>35 GB</t>
        </is>
      </c>
      <c r="E17" s="5" t="n"/>
      <c r="F17" s="5" t="n"/>
      <c r="G17" s="5" t="n"/>
      <c r="H17" s="5" t="inlineStr">
        <is>
          <t>plano anual 12x no cartão de crédito; a etiqueta TIM informa 'sem prazo de permanência'</t>
        </is>
      </c>
    </row>
    <row r="18">
      <c r="A18" s="2" t="inlineStr">
        <is>
          <t>TIM Controle Fit Mensal 2.0</t>
        </is>
      </c>
      <c r="B18" s="3" t="n">
        <v>45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93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  <row r="839">
      <c r="A839" s="5" t="inlineStr">
        <is>
          <t>2026-09-06</t>
        </is>
      </c>
      <c r="B839" s="5" t="inlineStr">
        <is>
          <t>2026-09-06T19:39:36</t>
        </is>
      </c>
      <c r="C839" s="5" t="inlineStr">
        <is>
          <t>tim</t>
        </is>
      </c>
      <c r="D839" s="5" t="inlineStr">
        <is>
          <t>SP</t>
        </is>
      </c>
      <c r="E839" s="5" t="inlineStr">
        <is>
          <t>TIM Ultracombo 5</t>
        </is>
      </c>
      <c r="F839" s="5" t="inlineStr">
        <is>
          <t>tim:167756</t>
        </is>
      </c>
      <c r="G839" s="6" t="n">
        <v>169.99</v>
      </c>
      <c r="H839" s="6" t="inlineStr"/>
      <c r="I839" s="5" t="inlineStr"/>
      <c r="J839" s="5" t="inlineStr">
        <is>
          <t>debit_auto</t>
        </is>
      </c>
      <c r="K839" s="5" t="inlineStr">
        <is>
          <t>preço em débito automático; R$ 179,99/mês no pagamento por fatura</t>
        </is>
      </c>
      <c r="L839" s="5" t="inlineStr">
        <is>
          <t>mobile+broadband</t>
        </is>
      </c>
      <c r="M839" s="5" t="inlineStr">
        <is>
          <t>Fiber + Mobile</t>
        </is>
      </c>
      <c r="N839" s="5" t="b">
        <v>1</v>
      </c>
      <c r="O839" s="5" t="b">
        <v>1</v>
      </c>
      <c r="P839" s="5" t="b">
        <v>0</v>
      </c>
      <c r="Q839" s="5" t="b">
        <v>0</v>
      </c>
      <c r="R839" s="7" t="n">
        <v>1000</v>
      </c>
      <c r="S839" s="7" t="n">
        <v>115</v>
      </c>
      <c r="T839" s="7" t="n">
        <v>1</v>
      </c>
      <c r="U839" s="5" t="inlineStr"/>
      <c r="V839" s="5" t="inlineStr">
        <is>
          <t>Paramount+, Deezer</t>
        </is>
      </c>
      <c r="W839" s="5" t="inlineStr"/>
      <c r="X839" s="5" t="inlineStr">
        <is>
          <t>1GIGA de Ultrafibra para casa + 115GB de TIM Black C Hero para móvel: (25GB do plano + 40GB promo + 50GB bônus especial)</t>
        </is>
      </c>
      <c r="Y839" s="5" t="inlineStr">
        <is>
          <t>https://www.tim.com.br/sp/internet/tim-ultracombo</t>
        </is>
      </c>
      <c r="Z839" s="5" t="inlineStr">
        <is>
          <t>data/raw/tim_convergent_ultracombo_SP.html</t>
        </is>
      </c>
    </row>
    <row r="840">
      <c r="A840" s="2" t="inlineStr">
        <is>
          <t>2026-09-06</t>
        </is>
      </c>
      <c r="B840" s="2" t="inlineStr">
        <is>
          <t>2026-09-06T19:39:36</t>
        </is>
      </c>
      <c r="C840" s="2" t="inlineStr">
        <is>
          <t>tim</t>
        </is>
      </c>
      <c r="D840" s="2" t="inlineStr">
        <is>
          <t>SP</t>
        </is>
      </c>
      <c r="E840" s="2" t="inlineStr">
        <is>
          <t>TIM Ultracombo 6</t>
        </is>
      </c>
      <c r="F840" s="2" t="inlineStr">
        <is>
          <t>tim:167751</t>
        </is>
      </c>
      <c r="G840" s="3" t="n">
        <v>139.99</v>
      </c>
      <c r="H840" s="3" t="inlineStr"/>
      <c r="I840" s="2" t="inlineStr"/>
      <c r="J840" s="2" t="inlineStr">
        <is>
          <t>debit_auto</t>
        </is>
      </c>
      <c r="K840" s="2" t="inlineStr">
        <is>
          <t>preço em débito automático; R$ 149,99/mês no pagamento por fatura</t>
        </is>
      </c>
      <c r="L840" s="2" t="inlineStr">
        <is>
          <t>mobile+broadband</t>
        </is>
      </c>
      <c r="M840" s="2" t="inlineStr">
        <is>
          <t>Fiber + Mobile</t>
        </is>
      </c>
      <c r="N840" s="2" t="b">
        <v>1</v>
      </c>
      <c r="O840" s="2" t="b">
        <v>1</v>
      </c>
      <c r="P840" s="2" t="b">
        <v>0</v>
      </c>
      <c r="Q840" s="2" t="b">
        <v>0</v>
      </c>
      <c r="R840" s="4" t="n">
        <v>1000</v>
      </c>
      <c r="S840" s="4" t="n">
        <v>70</v>
      </c>
      <c r="T840" s="4" t="n">
        <v>1</v>
      </c>
      <c r="U840" s="2" t="inlineStr"/>
      <c r="V840" s="2" t="inlineStr">
        <is>
          <t>Paramount+, Deezer</t>
        </is>
      </c>
      <c r="W840" s="2" t="inlineStr"/>
      <c r="X840" s="2" t="inlineStr">
        <is>
          <t>1GIGA de Ultrafibra para casa + 70GB de TIM Black A para móvel: (15GB do plano + 50GB promo + 5GB bônus especial)</t>
        </is>
      </c>
      <c r="Y840" s="2" t="inlineStr">
        <is>
          <t>https://www.tim.com.br/sp/internet/tim-ultracombo</t>
        </is>
      </c>
      <c r="Z840" s="2" t="inlineStr">
        <is>
          <t>data/raw/tim_convergent_ultracombo_SP.html</t>
        </is>
      </c>
    </row>
    <row r="841">
      <c r="A841" s="5" t="inlineStr">
        <is>
          <t>2026-09-06</t>
        </is>
      </c>
      <c r="B841" s="5" t="inlineStr">
        <is>
          <t>2026-09-06T19:39:36</t>
        </is>
      </c>
      <c r="C841" s="5" t="inlineStr">
        <is>
          <t>tim</t>
        </is>
      </c>
      <c r="D841" s="5" t="inlineStr">
        <is>
          <t>SP</t>
        </is>
      </c>
      <c r="E841" s="5" t="inlineStr">
        <is>
          <t>TIM Ultracombo 7</t>
        </is>
      </c>
      <c r="F841" s="5" t="inlineStr">
        <is>
          <t>tim:167761</t>
        </is>
      </c>
      <c r="G841" s="6" t="n">
        <v>89.98999999999999</v>
      </c>
      <c r="H841" s="6" t="inlineStr"/>
      <c r="I841" s="5" t="inlineStr"/>
      <c r="J841" s="5" t="inlineStr">
        <is>
          <t>debit_auto</t>
        </is>
      </c>
      <c r="K841" s="5" t="inlineStr">
        <is>
          <t>preço em débito automático; R$ 99,99/mês no pagamento por fatura</t>
        </is>
      </c>
      <c r="L841" s="5" t="inlineStr">
        <is>
          <t>mobile+broadband</t>
        </is>
      </c>
      <c r="M841" s="5" t="inlineStr">
        <is>
          <t>Fiber + Mobile</t>
        </is>
      </c>
      <c r="N841" s="5" t="b">
        <v>1</v>
      </c>
      <c r="O841" s="5" t="b">
        <v>1</v>
      </c>
      <c r="P841" s="5" t="b">
        <v>0</v>
      </c>
      <c r="Q841" s="5" t="b">
        <v>0</v>
      </c>
      <c r="R841" s="7" t="n">
        <v>500</v>
      </c>
      <c r="S841" s="7" t="n">
        <v>65</v>
      </c>
      <c r="T841" s="7" t="n">
        <v>1</v>
      </c>
      <c r="U841" s="5" t="inlineStr"/>
      <c r="V841" s="5" t="inlineStr"/>
      <c r="W841" s="5" t="inlineStr"/>
      <c r="X841" s="5" t="inlineStr">
        <is>
          <t>500MEGA de Ultrafibra para casa + 65GB de TIM Black A Light para móvel: (10GB do plano + 50GB promo)</t>
        </is>
      </c>
      <c r="Y841" s="5" t="inlineStr">
        <is>
          <t>https://www.tim.com.br/sp/internet/tim-ultracombo</t>
        </is>
      </c>
      <c r="Z841" s="5" t="inlineStr">
        <is>
          <t>data/raw/tim_convergent_ultracombo_SP.html</t>
        </is>
      </c>
    </row>
    <row r="842">
      <c r="A842" s="2" t="inlineStr">
        <is>
          <t>2026-09-06</t>
        </is>
      </c>
      <c r="B842" s="2" t="inlineStr">
        <is>
          <t>2026-09-06T19:39:36</t>
        </is>
      </c>
      <c r="C842" s="2" t="inlineStr">
        <is>
          <t>vivo</t>
        </is>
      </c>
      <c r="D842" s="2" t="inlineStr">
        <is>
          <t>SP</t>
        </is>
      </c>
      <c r="E842" s="2" t="inlineStr">
        <is>
          <t>Vivo Família 2 + TV</t>
        </is>
      </c>
      <c r="F842" s="2" t="inlineStr">
        <is>
          <t>vivo:VIV202604032132-3-305-316-336-408-411-426-430-442</t>
        </is>
      </c>
      <c r="G842" s="3" t="n">
        <v>290</v>
      </c>
      <c r="H842" s="3" t="inlineStr"/>
      <c r="I842" s="2" t="inlineStr"/>
      <c r="J842" s="2" t="inlineStr"/>
      <c r="K842" s="2" t="inlineStr">
        <is>
          <t>instalação grátis mediante fidelização (não afeta a mensalidade)</t>
        </is>
      </c>
      <c r="L842" s="2" t="inlineStr">
        <is>
          <t>mobile+broadband+tv</t>
        </is>
      </c>
      <c r="M842" s="2" t="inlineStr">
        <is>
          <t>Fiber + Mobile + TV</t>
        </is>
      </c>
      <c r="N842" s="2" t="b">
        <v>1</v>
      </c>
      <c r="O842" s="2" t="b">
        <v>1</v>
      </c>
      <c r="P842" s="2" t="b">
        <v>1</v>
      </c>
      <c r="Q842" s="2" t="b">
        <v>0</v>
      </c>
      <c r="R842" s="4" t="n">
        <v>700</v>
      </c>
      <c r="S842" s="4" t="n">
        <v>120</v>
      </c>
      <c r="T842" s="4" t="n">
        <v>2</v>
      </c>
      <c r="U842" s="2" t="inlineStr">
        <is>
          <t>80 canais de Vivo Estendido</t>
        </is>
      </c>
      <c r="V842" s="2" t="inlineStr"/>
      <c r="W842" s="2" t="inlineStr">
        <is>
          <t>Vivo Travel Américas e Europa; 1 linha adicional inclusa</t>
        </is>
      </c>
      <c r="X842" s="2" t="inlineStr">
        <is>
          <t>700 Mega de Vivo Fibra</t>
        </is>
      </c>
      <c r="Y842" s="2" t="inlineStr">
        <is>
          <t>https://vivo.com.br/para-voce/produtos-e-servicos/combos/vivo-total</t>
        </is>
      </c>
      <c r="Z842" s="2" t="inlineStr">
        <is>
          <t>data/raw/vivo_convergent_total_SP.html</t>
        </is>
      </c>
    </row>
    <row r="843">
      <c r="A843" s="5" t="inlineStr">
        <is>
          <t>2026-09-06</t>
        </is>
      </c>
      <c r="B843" s="5" t="inlineStr">
        <is>
          <t>2026-09-06T19:39:36</t>
        </is>
      </c>
      <c r="C843" s="5" t="inlineStr">
        <is>
          <t>vivo</t>
        </is>
      </c>
      <c r="D843" s="5" t="inlineStr">
        <is>
          <t>SP</t>
        </is>
      </c>
      <c r="E843" s="5" t="inlineStr">
        <is>
          <t>Vivo Família 2 + TV</t>
        </is>
      </c>
      <c r="F843" s="5" t="inlineStr">
        <is>
          <t>vivo:VIV202604032112-3-9-305-316-408-411-426-430-442</t>
        </is>
      </c>
      <c r="G843" s="6" t="n">
        <v>390</v>
      </c>
      <c r="H843" s="6" t="inlineStr"/>
      <c r="I843" s="5" t="inlineStr"/>
      <c r="J843" s="5" t="inlineStr"/>
      <c r="K843" s="5" t="inlineStr">
        <is>
          <t>instalação grátis mediante fidelização (não afeta a mensalidade)</t>
        </is>
      </c>
      <c r="L843" s="5" t="inlineStr">
        <is>
          <t>mobile+broadband+tv</t>
        </is>
      </c>
      <c r="M843" s="5" t="inlineStr">
        <is>
          <t>Fiber + Mobile + TV</t>
        </is>
      </c>
      <c r="N843" s="5" t="b">
        <v>1</v>
      </c>
      <c r="O843" s="5" t="b">
        <v>1</v>
      </c>
      <c r="P843" s="5" t="b">
        <v>1</v>
      </c>
      <c r="Q843" s="5" t="b">
        <v>0</v>
      </c>
      <c r="R843" s="7" t="n">
        <v>700</v>
      </c>
      <c r="S843" s="7" t="n">
        <v>120</v>
      </c>
      <c r="T843" s="7" t="n">
        <v>2</v>
      </c>
      <c r="U843" s="5" t="inlineStr">
        <is>
          <t>120 canais de Vivo TV Avançado + 1 ponto adicional</t>
        </is>
      </c>
      <c r="V843" s="5" t="inlineStr"/>
      <c r="W843" s="5" t="inlineStr">
        <is>
          <t>Vivo Travel Américas e Europa; 1 linha adicional inclusa</t>
        </is>
      </c>
      <c r="X843" s="5" t="inlineStr">
        <is>
          <t>700 Mega de Vivo Fibra</t>
        </is>
      </c>
      <c r="Y843" s="5" t="inlineStr">
        <is>
          <t>https://vivo.com.br/para-voce/produtos-e-servicos/combos/vivo-total</t>
        </is>
      </c>
      <c r="Z843" s="5" t="inlineStr">
        <is>
          <t>data/raw/vivo_convergent_total_SP.html</t>
        </is>
      </c>
    </row>
    <row r="844">
      <c r="A844" s="2" t="inlineStr">
        <is>
          <t>2026-09-06</t>
        </is>
      </c>
      <c r="B844" s="2" t="inlineStr">
        <is>
          <t>2026-09-06T19:39:36</t>
        </is>
      </c>
      <c r="C844" s="2" t="inlineStr">
        <is>
          <t>vivo</t>
        </is>
      </c>
      <c r="D844" s="2" t="inlineStr">
        <is>
          <t>SP</t>
        </is>
      </c>
      <c r="E844" s="2" t="inlineStr">
        <is>
          <t>Vivo Total Família 2</t>
        </is>
      </c>
      <c r="F844" s="2" t="inlineStr">
        <is>
          <t>vivo:VIV202604032132-3-305-316-408-411-426-430-442</t>
        </is>
      </c>
      <c r="G844" s="3" t="n">
        <v>270</v>
      </c>
      <c r="H844" s="3" t="inlineStr"/>
      <c r="I844" s="2" t="inlineStr"/>
      <c r="J844" s="2" t="inlineStr"/>
      <c r="K844" s="2" t="inlineStr">
        <is>
          <t>instalação grátis mediante fidelização (não afeta a mensalidade)</t>
        </is>
      </c>
      <c r="L844" s="2" t="inlineStr">
        <is>
          <t>mobile+broadband</t>
        </is>
      </c>
      <c r="M844" s="2" t="inlineStr">
        <is>
          <t>Fiber + Mobile</t>
        </is>
      </c>
      <c r="N844" s="2" t="b">
        <v>1</v>
      </c>
      <c r="O844" s="2" t="b">
        <v>1</v>
      </c>
      <c r="P844" s="2" t="b">
        <v>0</v>
      </c>
      <c r="Q844" s="2" t="b">
        <v>0</v>
      </c>
      <c r="R844" s="4" t="n">
        <v>700</v>
      </c>
      <c r="S844" s="4" t="n">
        <v>120</v>
      </c>
      <c r="T844" s="4" t="n">
        <v>2</v>
      </c>
      <c r="U844" s="2" t="inlineStr"/>
      <c r="V844" s="2" t="inlineStr"/>
      <c r="W844" s="2" t="inlineStr">
        <is>
          <t>Vivo Travel Américas e Europa; 1 linha adicional inclusa</t>
        </is>
      </c>
      <c r="X844" s="2" t="inlineStr">
        <is>
          <t>700 Mega de Vivo Fibra</t>
        </is>
      </c>
      <c r="Y844" s="2" t="inlineStr">
        <is>
          <t>https://vivo.com.br/para-voce/produtos-e-servicos/combos/vivo-total</t>
        </is>
      </c>
      <c r="Z844" s="2" t="inlineStr">
        <is>
          <t>data/raw/vivo_convergent_total_SP.html</t>
        </is>
      </c>
    </row>
    <row r="845">
      <c r="A845" s="5" t="inlineStr">
        <is>
          <t>2026-09-06</t>
        </is>
      </c>
      <c r="B845" s="5" t="inlineStr">
        <is>
          <t>2026-09-06T19:39:36</t>
        </is>
      </c>
      <c r="C845" s="5" t="inlineStr">
        <is>
          <t>vivo</t>
        </is>
      </c>
      <c r="D845" s="5" t="inlineStr">
        <is>
          <t>SP</t>
        </is>
      </c>
      <c r="E845" s="5" t="inlineStr">
        <is>
          <t>Vivo Total Família 3</t>
        </is>
      </c>
      <c r="F845" s="5" t="inlineStr">
        <is>
          <t>vivo:VIV202604032212-4-305-316-408-411-426-430-442</t>
        </is>
      </c>
      <c r="G845" s="6" t="n">
        <v>330</v>
      </c>
      <c r="H845" s="6" t="inlineStr"/>
      <c r="I845" s="5" t="inlineStr"/>
      <c r="J845" s="5" t="inlineStr"/>
      <c r="K845" s="5" t="inlineStr">
        <is>
          <t>instalação grátis mediante fidelização (não afeta a mensalidade)</t>
        </is>
      </c>
      <c r="L845" s="5" t="inlineStr">
        <is>
          <t>mobile+broadband</t>
        </is>
      </c>
      <c r="M845" s="5" t="inlineStr">
        <is>
          <t>Fiber + Mobile</t>
        </is>
      </c>
      <c r="N845" s="5" t="b">
        <v>1</v>
      </c>
      <c r="O845" s="5" t="b">
        <v>1</v>
      </c>
      <c r="P845" s="5" t="b">
        <v>0</v>
      </c>
      <c r="Q845" s="5" t="b">
        <v>0</v>
      </c>
      <c r="R845" s="7" t="n">
        <v>700</v>
      </c>
      <c r="S845" s="7" t="n">
        <v>180</v>
      </c>
      <c r="T845" s="7" t="n">
        <v>3</v>
      </c>
      <c r="U845" s="5" t="inlineStr"/>
      <c r="V845" s="5" t="inlineStr"/>
      <c r="W845" s="5" t="inlineStr">
        <is>
          <t>Vivo Travel Américas e Europa; 2 linhas adicionais inclusas</t>
        </is>
      </c>
      <c r="X845" s="5" t="inlineStr">
        <is>
          <t>700 Mega de Vivo Fibra</t>
        </is>
      </c>
      <c r="Y845" s="5" t="inlineStr">
        <is>
          <t>https://vivo.com.br/para-voce/produtos-e-servicos/combos/vivo-total</t>
        </is>
      </c>
      <c r="Z845" s="5" t="inlineStr">
        <is>
          <t>data/raw/vivo_convergent_total_SP.html</t>
        </is>
      </c>
    </row>
    <row r="846">
      <c r="A846" s="2" t="inlineStr">
        <is>
          <t>2026-09-06</t>
        </is>
      </c>
      <c r="B846" s="2" t="inlineStr">
        <is>
          <t>2026-09-06T19:39:36</t>
        </is>
      </c>
      <c r="C846" s="2" t="inlineStr">
        <is>
          <t>vivo</t>
        </is>
      </c>
      <c r="D846" s="2" t="inlineStr">
        <is>
          <t>SP</t>
        </is>
      </c>
      <c r="E846" s="2" t="inlineStr">
        <is>
          <t>Vivo Total Família 4</t>
        </is>
      </c>
      <c r="F846" s="2" t="inlineStr">
        <is>
          <t>vivo:VIV202604032292-237-305-316-408-411-426-430-442</t>
        </is>
      </c>
      <c r="G846" s="3" t="n">
        <v>420</v>
      </c>
      <c r="H846" s="3" t="inlineStr"/>
      <c r="I846" s="2" t="inlineStr"/>
      <c r="J846" s="2" t="inlineStr"/>
      <c r="K846" s="2" t="inlineStr">
        <is>
          <t>instalação grátis mediante fidelização (não afeta a mensalidade)</t>
        </is>
      </c>
      <c r="L846" s="2" t="inlineStr">
        <is>
          <t>mobile+broadband</t>
        </is>
      </c>
      <c r="M846" s="2" t="inlineStr">
        <is>
          <t>Fiber + Mobile</t>
        </is>
      </c>
      <c r="N846" s="2" t="b">
        <v>1</v>
      </c>
      <c r="O846" s="2" t="b">
        <v>1</v>
      </c>
      <c r="P846" s="2" t="b">
        <v>0</v>
      </c>
      <c r="Q846" s="2" t="b">
        <v>0</v>
      </c>
      <c r="R846" s="4" t="n">
        <v>700</v>
      </c>
      <c r="S846" s="4" t="n">
        <v>240</v>
      </c>
      <c r="T846" s="4" t="n">
        <v>4</v>
      </c>
      <c r="U846" s="2" t="inlineStr"/>
      <c r="V846" s="2" t="inlineStr"/>
      <c r="W846" s="2" t="inlineStr">
        <is>
          <t>Vivo Travel Américas e Europa; 3 linhas adicionais inclusas</t>
        </is>
      </c>
      <c r="X846" s="2" t="inlineStr">
        <is>
          <t>700 Mega de Vivo Fibra</t>
        </is>
      </c>
      <c r="Y846" s="2" t="inlineStr">
        <is>
          <t>https://vivo.com.br/para-voce/produtos-e-servicos/combos/vivo-total</t>
        </is>
      </c>
      <c r="Z846" s="2" t="inlineStr">
        <is>
          <t>data/raw/vivo_convergent_total_SP.html</t>
        </is>
      </c>
    </row>
    <row r="847">
      <c r="A847" s="5" t="inlineStr">
        <is>
          <t>2026-09-06</t>
        </is>
      </c>
      <c r="B847" s="5" t="inlineStr">
        <is>
          <t>2026-09-06T19:39:36</t>
        </is>
      </c>
      <c r="C847" s="5" t="inlineStr">
        <is>
          <t>vivo</t>
        </is>
      </c>
      <c r="D847" s="5" t="inlineStr">
        <is>
          <t>SP</t>
        </is>
      </c>
      <c r="E847" s="5" t="inlineStr">
        <is>
          <t>Vivo Total Família 5</t>
        </is>
      </c>
      <c r="F847" s="5" t="inlineStr">
        <is>
          <t>vivo:VIV202604032372-5-305-316-408-411-426-430-442</t>
        </is>
      </c>
      <c r="G847" s="6" t="n">
        <v>520</v>
      </c>
      <c r="H847" s="6" t="inlineStr"/>
      <c r="I847" s="5" t="inlineStr"/>
      <c r="J847" s="5" t="inlineStr"/>
      <c r="K847" s="5" t="inlineStr">
        <is>
          <t>instalação grátis mediante fidelização (não afeta a mensalidade)</t>
        </is>
      </c>
      <c r="L847" s="5" t="inlineStr">
        <is>
          <t>mobile+broadband</t>
        </is>
      </c>
      <c r="M847" s="5" t="inlineStr">
        <is>
          <t>Fiber + Mobile</t>
        </is>
      </c>
      <c r="N847" s="5" t="b">
        <v>1</v>
      </c>
      <c r="O847" s="5" t="b">
        <v>1</v>
      </c>
      <c r="P847" s="5" t="b">
        <v>0</v>
      </c>
      <c r="Q847" s="5" t="b">
        <v>0</v>
      </c>
      <c r="R847" s="7" t="n">
        <v>700</v>
      </c>
      <c r="S847" s="7" t="n">
        <v>300</v>
      </c>
      <c r="T847" s="7" t="n">
        <v>5</v>
      </c>
      <c r="U847" s="5" t="inlineStr"/>
      <c r="V847" s="5" t="inlineStr"/>
      <c r="W847" s="5" t="inlineStr">
        <is>
          <t>Vivo Travel Américas e Europa; 4 linhas adicionais inclusas</t>
        </is>
      </c>
      <c r="X847" s="5" t="inlineStr">
        <is>
          <t>700 Mega de Vivo Fibra</t>
        </is>
      </c>
      <c r="Y847" s="5" t="inlineStr">
        <is>
          <t>https://vivo.com.br/para-voce/produtos-e-servicos/combos/vivo-total</t>
        </is>
      </c>
      <c r="Z847" s="5" t="inlineStr">
        <is>
          <t>data/raw/vivo_convergent_total_SP.html</t>
        </is>
      </c>
    </row>
    <row r="848">
      <c r="A848" s="2" t="inlineStr">
        <is>
          <t>2026-09-06</t>
        </is>
      </c>
      <c r="B848" s="2" t="inlineStr">
        <is>
          <t>2026-09-06T19:39:36</t>
        </is>
      </c>
      <c r="C848" s="2" t="inlineStr">
        <is>
          <t>vivo</t>
        </is>
      </c>
      <c r="D848" s="2" t="inlineStr">
        <is>
          <t>SP</t>
        </is>
      </c>
      <c r="E848" s="2" t="inlineStr">
        <is>
          <t>Vivo Total Pro</t>
        </is>
      </c>
      <c r="F848" s="2" t="inlineStr">
        <is>
          <t>vivo:VIV202604031772-2-305-308-316-326-342-411-430</t>
        </is>
      </c>
      <c r="G848" s="3" t="n">
        <v>160</v>
      </c>
      <c r="H848" s="3" t="inlineStr"/>
      <c r="I848" s="2" t="inlineStr"/>
      <c r="J848" s="2" t="inlineStr"/>
      <c r="K848" s="2" t="inlineStr">
        <is>
          <t>instalação grátis mediante fidelização (não afeta a mensalidade)</t>
        </is>
      </c>
      <c r="L848" s="2" t="inlineStr">
        <is>
          <t>mobile+broadband</t>
        </is>
      </c>
      <c r="M848" s="2" t="inlineStr">
        <is>
          <t>Fiber + Mobile</t>
        </is>
      </c>
      <c r="N848" s="2" t="b">
        <v>1</v>
      </c>
      <c r="O848" s="2" t="b">
        <v>1</v>
      </c>
      <c r="P848" s="2" t="b">
        <v>0</v>
      </c>
      <c r="Q848" s="2" t="b">
        <v>0</v>
      </c>
      <c r="R848" s="4" t="n">
        <v>500</v>
      </c>
      <c r="S848" s="4" t="n">
        <v>70</v>
      </c>
      <c r="T848" s="4" t="n">
        <v>1</v>
      </c>
      <c r="U848" s="2" t="inlineStr"/>
      <c r="V848" s="2" t="inlineStr"/>
      <c r="W848" s="2" t="inlineStr">
        <is>
          <t>Vivo Travel Américas; 50 GB de franquia + 20 GB de bônus</t>
        </is>
      </c>
      <c r="X848" s="2" t="inlineStr">
        <is>
          <t>500 Mega de Vivo Fibra</t>
        </is>
      </c>
      <c r="Y848" s="2" t="inlineStr">
        <is>
          <t>https://vivo.com.br/para-voce/produtos-e-servicos/combos/vivo-total</t>
        </is>
      </c>
      <c r="Z848" s="2" t="inlineStr">
        <is>
          <t>data/raw/vivo_convergent_total_SP.html</t>
        </is>
      </c>
    </row>
    <row r="849">
      <c r="A849" s="5" t="inlineStr">
        <is>
          <t>2026-09-06</t>
        </is>
      </c>
      <c r="B849" s="5" t="inlineStr">
        <is>
          <t>2026-09-06T19:39:36</t>
        </is>
      </c>
      <c r="C849" s="5" t="inlineStr">
        <is>
          <t>vivo</t>
        </is>
      </c>
      <c r="D849" s="5" t="inlineStr">
        <is>
          <t>SP</t>
        </is>
      </c>
      <c r="E849" s="5" t="inlineStr">
        <is>
          <t>Vivo Total Ultra</t>
        </is>
      </c>
      <c r="F849" s="5" t="inlineStr">
        <is>
          <t>vivo:VIV202604032034-305-313-316-408-411-426-430-442</t>
        </is>
      </c>
      <c r="G849" s="6" t="n">
        <v>190</v>
      </c>
      <c r="H849" s="6" t="inlineStr"/>
      <c r="I849" s="5" t="inlineStr"/>
      <c r="J849" s="5" t="inlineStr"/>
      <c r="K849" s="5" t="inlineStr">
        <is>
          <t>instalação grátis mediante fidelização (não afeta a mensalidade)</t>
        </is>
      </c>
      <c r="L849" s="5" t="inlineStr">
        <is>
          <t>mobile+broadband</t>
        </is>
      </c>
      <c r="M849" s="5" t="inlineStr">
        <is>
          <t>Fiber + Mobile</t>
        </is>
      </c>
      <c r="N849" s="5" t="b">
        <v>1</v>
      </c>
      <c r="O849" s="5" t="b">
        <v>1</v>
      </c>
      <c r="P849" s="5" t="b">
        <v>0</v>
      </c>
      <c r="Q849" s="5" t="b">
        <v>0</v>
      </c>
      <c r="R849" s="7" t="n">
        <v>700</v>
      </c>
      <c r="S849" s="7" t="n">
        <v>80</v>
      </c>
      <c r="T849" s="7" t="n">
        <v>1</v>
      </c>
      <c r="U849" s="5" t="inlineStr"/>
      <c r="V849" s="5" t="inlineStr"/>
      <c r="W849" s="5" t="inlineStr">
        <is>
          <t>Vivo Travel Américas; 70 GB de franquia + 10 GB de bônus</t>
        </is>
      </c>
      <c r="X849" s="5" t="inlineStr">
        <is>
          <t>700 Mega de Vivo Fibra</t>
        </is>
      </c>
      <c r="Y849" s="5" t="inlineStr">
        <is>
          <t>https://vivo.com.br/para-voce/produtos-e-servicos/combos/vivo-total</t>
        </is>
      </c>
      <c r="Z849" s="5" t="inlineStr">
        <is>
          <t>data/raw/vivo_convergent_total_SP.html</t>
        </is>
      </c>
    </row>
    <row r="850">
      <c r="A850" s="2" t="inlineStr">
        <is>
          <t>2026-09-06</t>
        </is>
      </c>
      <c r="B850" s="2" t="inlineStr">
        <is>
          <t>2026-09-06T19:39:36</t>
        </is>
      </c>
      <c r="C850" s="2" t="inlineStr">
        <is>
          <t>vivo</t>
        </is>
      </c>
      <c r="D850" s="2" t="inlineStr">
        <is>
          <t>SP</t>
        </is>
      </c>
      <c r="E850" s="2" t="inlineStr">
        <is>
          <t>Vivo Total Ultra + TV</t>
        </is>
      </c>
      <c r="F850" s="2" t="inlineStr">
        <is>
          <t>vivo:VIV202604031882-9-305-313-316-408-411-426-430-442</t>
        </is>
      </c>
      <c r="G850" s="3" t="n">
        <v>310</v>
      </c>
      <c r="H850" s="3" t="inlineStr"/>
      <c r="I850" s="2" t="inlineStr"/>
      <c r="J850" s="2" t="inlineStr"/>
      <c r="K850" s="2" t="inlineStr">
        <is>
          <t>instalação grátis mediante fidelização (não afeta a mensalidade)</t>
        </is>
      </c>
      <c r="L850" s="2" t="inlineStr">
        <is>
          <t>mobile+broadband+tv</t>
        </is>
      </c>
      <c r="M850" s="2" t="inlineStr">
        <is>
          <t>Fiber + Mobile + TV</t>
        </is>
      </c>
      <c r="N850" s="2" t="b">
        <v>1</v>
      </c>
      <c r="O850" s="2" t="b">
        <v>1</v>
      </c>
      <c r="P850" s="2" t="b">
        <v>1</v>
      </c>
      <c r="Q850" s="2" t="b">
        <v>0</v>
      </c>
      <c r="R850" s="4" t="n">
        <v>700</v>
      </c>
      <c r="S850" s="4" t="n">
        <v>80</v>
      </c>
      <c r="T850" s="4" t="n">
        <v>1</v>
      </c>
      <c r="U850" s="2" t="inlineStr">
        <is>
          <t>120 canais de Vivo TV Avançado + 1 ponto adicional</t>
        </is>
      </c>
      <c r="V850" s="2" t="inlineStr"/>
      <c r="W850" s="2" t="inlineStr">
        <is>
          <t>Vivo Travel Américas; 70 GB de franquia + 10 GB de bônus</t>
        </is>
      </c>
      <c r="X850" s="2" t="inlineStr">
        <is>
          <t>700 Mega de Vivo Fibra</t>
        </is>
      </c>
      <c r="Y850" s="2" t="inlineStr">
        <is>
          <t>https://vivo.com.br/para-voce/produtos-e-servicos/combos/vivo-total</t>
        </is>
      </c>
      <c r="Z850" s="2" t="inlineStr">
        <is>
          <t>data/raw/vivo_convergent_total_SP.html</t>
        </is>
      </c>
    </row>
    <row r="851">
      <c r="A851" s="5" t="inlineStr">
        <is>
          <t>2026-09-06</t>
        </is>
      </c>
      <c r="B851" s="5" t="inlineStr">
        <is>
          <t>2026-09-06T19:39:36</t>
        </is>
      </c>
      <c r="C851" s="5" t="inlineStr">
        <is>
          <t>vivo</t>
        </is>
      </c>
      <c r="D851" s="5" t="inlineStr">
        <is>
          <t>SP</t>
        </is>
      </c>
      <c r="E851" s="5" t="inlineStr">
        <is>
          <t>Vivo Total Ultra + TV online</t>
        </is>
      </c>
      <c r="F851" s="5" t="inlineStr">
        <is>
          <t>vivo:VIV202604032034-305-313-316-336-408-411-426-430-442</t>
        </is>
      </c>
      <c r="G851" s="6" t="n">
        <v>210</v>
      </c>
      <c r="H851" s="6" t="inlineStr"/>
      <c r="I851" s="5" t="inlineStr"/>
      <c r="J851" s="5" t="inlineStr"/>
      <c r="K851" s="5" t="inlineStr">
        <is>
          <t>instalação grátis mediante fidelização (não afeta a mensalidade)</t>
        </is>
      </c>
      <c r="L851" s="5" t="inlineStr">
        <is>
          <t>mobile+broadband+tv</t>
        </is>
      </c>
      <c r="M851" s="5" t="inlineStr">
        <is>
          <t>Fiber + Mobile + TV</t>
        </is>
      </c>
      <c r="N851" s="5" t="b">
        <v>1</v>
      </c>
      <c r="O851" s="5" t="b">
        <v>1</v>
      </c>
      <c r="P851" s="5" t="b">
        <v>1</v>
      </c>
      <c r="Q851" s="5" t="b">
        <v>0</v>
      </c>
      <c r="R851" s="7" t="n">
        <v>700</v>
      </c>
      <c r="S851" s="7" t="n">
        <v>80</v>
      </c>
      <c r="T851" s="7" t="n">
        <v>1</v>
      </c>
      <c r="U851" s="5" t="inlineStr">
        <is>
          <t>80 canais de Vivo Estendido</t>
        </is>
      </c>
      <c r="V851" s="5" t="inlineStr"/>
      <c r="W851" s="5" t="inlineStr">
        <is>
          <t>Vivo Travel Américas; 70 GB de franquia + 10 GB de bônus</t>
        </is>
      </c>
      <c r="X851" s="5" t="inlineStr">
        <is>
          <t>700 Mega de Vivo Fibra</t>
        </is>
      </c>
      <c r="Y851" s="5" t="inlineStr">
        <is>
          <t>https://vivo.com.br/para-voce/produtos-e-servicos/combos/vivo-total</t>
        </is>
      </c>
      <c r="Z851" s="5" t="inlineStr">
        <is>
          <t>data/raw/vivo_convergent_total_SP.html</t>
        </is>
      </c>
    </row>
    <row r="852">
      <c r="A852" s="2" t="inlineStr">
        <is>
          <t>2026-09-06</t>
        </is>
      </c>
      <c r="B852" s="2" t="inlineStr">
        <is>
          <t>2026-09-06T19:39:36</t>
        </is>
      </c>
      <c r="C852" s="2" t="inlineStr">
        <is>
          <t>vivo</t>
        </is>
      </c>
      <c r="D852" s="2" t="inlineStr">
        <is>
          <t>SP</t>
        </is>
      </c>
      <c r="E852" s="2" t="inlineStr">
        <is>
          <t>Vivo Total V 1 Giga</t>
        </is>
      </c>
      <c r="F852" s="2" t="inlineStr">
        <is>
          <t>vivo:VIV202604032532-2-305-316-408-426-430-442</t>
        </is>
      </c>
      <c r="G852" s="3" t="n">
        <v>1200</v>
      </c>
      <c r="H852" s="3" t="inlineStr"/>
      <c r="I852" s="2" t="inlineStr"/>
      <c r="J852" s="2" t="inlineStr"/>
      <c r="K852" s="2" t="inlineStr">
        <is>
          <t>instalação grátis mediante fidelização (não afeta a mensalidade)</t>
        </is>
      </c>
      <c r="L852" s="2" t="inlineStr">
        <is>
          <t>mobile+broadband+tv</t>
        </is>
      </c>
      <c r="M852" s="2" t="inlineStr">
        <is>
          <t>Fiber + Mobile + TV</t>
        </is>
      </c>
      <c r="N852" s="2" t="b">
        <v>1</v>
      </c>
      <c r="O852" s="2" t="b">
        <v>1</v>
      </c>
      <c r="P852" s="2" t="b">
        <v>1</v>
      </c>
      <c r="Q852" s="2" t="b">
        <v>0</v>
      </c>
      <c r="R852" s="4" t="n">
        <v>1000</v>
      </c>
      <c r="S852" s="4" t="n">
        <v>600</v>
      </c>
      <c r="T852" s="4" t="n">
        <v>11</v>
      </c>
      <c r="U852" s="2" t="inlineStr">
        <is>
          <t>Vivo TV Completo com HBO Max e Telecine</t>
        </is>
      </c>
      <c r="V852" s="2" t="inlineStr"/>
      <c r="W852" s="2" t="inlineStr">
        <is>
          <t>Vivo Travel Mundo; 10 linhas adicionais inclusas; Vivo TV Completo com HBO Max e Telecine</t>
        </is>
      </c>
      <c r="X852" s="2" t="inlineStr">
        <is>
          <t>1Giga de Vivo Fibra</t>
        </is>
      </c>
      <c r="Y852" s="2" t="inlineStr">
        <is>
          <t>https://vivo.com.br/para-voce/produtos-e-servicos/combos/vivo-total</t>
        </is>
      </c>
      <c r="Z852" s="2" t="inlineStr">
        <is>
          <t>data/raw/vivo_convergent_total_SP.html</t>
        </is>
      </c>
    </row>
    <row r="853">
      <c r="A853" s="5" t="inlineStr">
        <is>
          <t>2026-09-07</t>
        </is>
      </c>
      <c r="B853" s="5" t="inlineStr">
        <is>
          <t>2026-09-07T20:15:39</t>
        </is>
      </c>
      <c r="C853" s="5" t="inlineStr">
        <is>
          <t>claro</t>
        </is>
      </c>
      <c r="D853" s="5" t="inlineStr">
        <is>
          <t>SP</t>
        </is>
      </c>
      <c r="E853" s="5" t="inlineStr">
        <is>
          <t>1 Giga com Globoplay incluso + Claro tv+ Box + Disney+ Amazon Prime + Netflix + HBO Max + Apple TV + Globoplay</t>
        </is>
      </c>
      <c r="F853" s="5" t="inlineStr">
        <is>
          <t>claro:af8152be-4aa7-4aa8-819a-a79687a3a9a0</t>
        </is>
      </c>
      <c r="G853" s="6" t="n">
        <v>319.8</v>
      </c>
      <c r="H853" s="6" t="inlineStr"/>
      <c r="I853" s="5" t="inlineStr"/>
      <c r="J853" s="5" t="inlineStr"/>
      <c r="K853" s="5" t="inlineStr">
        <is>
          <t>tab: Fibra + TV</t>
        </is>
      </c>
      <c r="L853" s="5" t="inlineStr">
        <is>
          <t>broadband+tv</t>
        </is>
      </c>
      <c r="M853" s="5" t="inlineStr">
        <is>
          <t>Fiber + TV</t>
        </is>
      </c>
      <c r="N853" s="5" t="b">
        <v>0</v>
      </c>
      <c r="O853" s="5" t="b">
        <v>1</v>
      </c>
      <c r="P853" s="5" t="b">
        <v>1</v>
      </c>
      <c r="Q853" s="5" t="b">
        <v>0</v>
      </c>
      <c r="R853" s="7" t="n">
        <v>1000</v>
      </c>
      <c r="S853" s="7" t="inlineStr"/>
      <c r="T853" s="7" t="inlineStr"/>
      <c r="U853" s="5" t="inlineStr">
        <is>
          <t>Claro tv+ Box + Disney+ Amazon Prime + Netflix + HBO Max + Apple TV + Globoplay</t>
        </is>
      </c>
      <c r="V853" s="5" t="inlineStr"/>
      <c r="W853" s="5" t="inlineStr"/>
      <c r="X853" s="5" t="inlineStr"/>
      <c r="Y853" s="5" t="inlineStr">
        <is>
          <t>https://www.claro.com.br/multi</t>
        </is>
      </c>
      <c r="Z853" s="5" t="inlineStr">
        <is>
          <t>data/raw/claro_convergent_multi_SP.html</t>
        </is>
      </c>
    </row>
    <row r="854">
      <c r="A854" s="2" t="inlineStr">
        <is>
          <t>2026-09-07</t>
        </is>
      </c>
      <c r="B854" s="2" t="inlineStr">
        <is>
          <t>2026-09-07T20:15:39</t>
        </is>
      </c>
      <c r="C854" s="2" t="inlineStr">
        <is>
          <t>claro</t>
        </is>
      </c>
      <c r="D854" s="2" t="inlineStr">
        <is>
          <t>SP</t>
        </is>
      </c>
      <c r="E854" s="2" t="inlineStr">
        <is>
          <t>1 Giga com Globoplay incluso + Claro tv+ Soundbox + Disney+ Amazon Prime + Netflix + HBO Max + Apple TV + Globoplay</t>
        </is>
      </c>
      <c r="F854" s="2" t="inlineStr">
        <is>
          <t>claro:ceb9fd87-0897-4dd2-a2f2-e7f09e714e49</t>
        </is>
      </c>
      <c r="G854" s="3" t="n">
        <v>429.8</v>
      </c>
      <c r="H854" s="3" t="inlineStr"/>
      <c r="I854" s="2" t="inlineStr"/>
      <c r="J854" s="2" t="inlineStr"/>
      <c r="K854" s="2" t="inlineStr">
        <is>
          <t>tab: Fibra + TV</t>
        </is>
      </c>
      <c r="L854" s="2" t="inlineStr">
        <is>
          <t>broadband+tv</t>
        </is>
      </c>
      <c r="M854" s="2" t="inlineStr">
        <is>
          <t>Fiber + TV</t>
        </is>
      </c>
      <c r="N854" s="2" t="b">
        <v>0</v>
      </c>
      <c r="O854" s="2" t="b">
        <v>1</v>
      </c>
      <c r="P854" s="2" t="b">
        <v>1</v>
      </c>
      <c r="Q854" s="2" t="b">
        <v>0</v>
      </c>
      <c r="R854" s="4" t="n">
        <v>1000</v>
      </c>
      <c r="S854" s="4" t="inlineStr"/>
      <c r="T854" s="4" t="inlineStr"/>
      <c r="U854" s="2" t="inlineStr">
        <is>
          <t>Claro tv+ Soundbox + Disney+ Amazon Prime + Netflix + HBO Max + Apple TV + Globoplay</t>
        </is>
      </c>
      <c r="V854" s="2" t="inlineStr"/>
      <c r="W854" s="2" t="inlineStr"/>
      <c r="X854" s="2" t="inlineStr"/>
      <c r="Y854" s="2" t="inlineStr">
        <is>
          <t>https://www.claro.com.br/multi</t>
        </is>
      </c>
      <c r="Z854" s="2" t="inlineStr">
        <is>
          <t>data/raw/claro_convergent_multi_SP.html</t>
        </is>
      </c>
    </row>
    <row r="855">
      <c r="A855" s="5" t="inlineStr">
        <is>
          <t>2026-09-07</t>
        </is>
      </c>
      <c r="B855" s="5" t="inlineStr">
        <is>
          <t>2026-09-07T20:15:39</t>
        </is>
      </c>
      <c r="C855" s="5" t="inlineStr">
        <is>
          <t>claro</t>
        </is>
      </c>
      <c r="D855" s="5" t="inlineStr">
        <is>
          <t>SP</t>
        </is>
      </c>
      <c r="E855" s="5" t="inlineStr">
        <is>
          <t>1 Giga com Globoplay incluso + Pós 100GB</t>
        </is>
      </c>
      <c r="F855" s="5" t="inlineStr">
        <is>
          <t>claro:a1de0ac1-61bb-4e97-a744-1ae4c3541673</t>
        </is>
      </c>
      <c r="G855" s="6" t="n">
        <v>179.9</v>
      </c>
      <c r="H855" s="6" t="inlineStr"/>
      <c r="I855" s="5" t="inlineStr"/>
      <c r="J855" s="5" t="inlineStr"/>
      <c r="K855" s="5" t="inlineStr">
        <is>
          <t>tab: Fibra + Móvel</t>
        </is>
      </c>
      <c r="L855" s="5" t="inlineStr">
        <is>
          <t>mobile+broadband</t>
        </is>
      </c>
      <c r="M855" s="5" t="inlineStr">
        <is>
          <t>Fiber + Mobile</t>
        </is>
      </c>
      <c r="N855" s="5" t="b">
        <v>1</v>
      </c>
      <c r="O855" s="5" t="b">
        <v>1</v>
      </c>
      <c r="P855" s="5" t="b">
        <v>0</v>
      </c>
      <c r="Q855" s="5" t="b">
        <v>0</v>
      </c>
      <c r="R855" s="7" t="n">
        <v>1000</v>
      </c>
      <c r="S855" s="7" t="n">
        <v>100</v>
      </c>
      <c r="T855" s="7" t="n">
        <v>1</v>
      </c>
      <c r="U855" s="5" t="inlineStr"/>
      <c r="V855" s="5" t="inlineStr"/>
      <c r="W855" s="5" t="inlineStr"/>
      <c r="X855" s="5" t="inlineStr">
        <is>
          <t>Pós 100GB</t>
        </is>
      </c>
      <c r="Y855" s="5" t="inlineStr">
        <is>
          <t>https://www.claro.com.br/multi</t>
        </is>
      </c>
      <c r="Z855" s="5" t="inlineStr">
        <is>
          <t>data/raw/claro_convergent_multi_SP.html</t>
        </is>
      </c>
    </row>
    <row r="856">
      <c r="A856" s="2" t="inlineStr">
        <is>
          <t>2026-09-07</t>
        </is>
      </c>
      <c r="B856" s="2" t="inlineStr">
        <is>
          <t>2026-09-07T20:15:39</t>
        </is>
      </c>
      <c r="C856" s="2" t="inlineStr">
        <is>
          <t>claro</t>
        </is>
      </c>
      <c r="D856" s="2" t="inlineStr">
        <is>
          <t>SP</t>
        </is>
      </c>
      <c r="E856" s="2" t="inlineStr">
        <is>
          <t>1 Giga com Globoplay incluso + Pós 100GB + Claro tv+ Box + Disney+ Amazon Prime + Netflix + HBO Max + Apple TV + Globoplay</t>
        </is>
      </c>
      <c r="F856" s="2" t="inlineStr">
        <is>
          <t>claro:548c4bad-7857-4c0c-94d5-45d33d66c57f</t>
        </is>
      </c>
      <c r="G856" s="3" t="n">
        <v>289.8</v>
      </c>
      <c r="H856" s="3" t="inlineStr"/>
      <c r="I856" s="2" t="inlineStr"/>
      <c r="J856" s="2" t="inlineStr"/>
      <c r="K856" s="2" t="inlineStr">
        <is>
          <t>tab: Fibra + Móvel + TV</t>
        </is>
      </c>
      <c r="L856" s="2" t="inlineStr">
        <is>
          <t>mobile+broadband+tv</t>
        </is>
      </c>
      <c r="M856" s="2" t="inlineStr">
        <is>
          <t>Fiber + Mobile + TV</t>
        </is>
      </c>
      <c r="N856" s="2" t="b">
        <v>1</v>
      </c>
      <c r="O856" s="2" t="b">
        <v>1</v>
      </c>
      <c r="P856" s="2" t="b">
        <v>1</v>
      </c>
      <c r="Q856" s="2" t="b">
        <v>0</v>
      </c>
      <c r="R856" s="4" t="n">
        <v>1000</v>
      </c>
      <c r="S856" s="4" t="n">
        <v>100</v>
      </c>
      <c r="T856" s="4" t="n">
        <v>1</v>
      </c>
      <c r="U856" s="2" t="inlineStr">
        <is>
          <t>Claro tv+ Box + Disney+ Amazon Prime + Netflix + HBO Max + Apple TV + Globoplay</t>
        </is>
      </c>
      <c r="V856" s="2" t="inlineStr"/>
      <c r="W856" s="2" t="inlineStr"/>
      <c r="X856" s="2" t="inlineStr">
        <is>
          <t>Pós 100GB</t>
        </is>
      </c>
      <c r="Y856" s="2" t="inlineStr">
        <is>
          <t>https://www.claro.com.br/multi</t>
        </is>
      </c>
      <c r="Z856" s="2" t="inlineStr">
        <is>
          <t>data/raw/claro_convergent_multi_SP.html</t>
        </is>
      </c>
    </row>
    <row r="857">
      <c r="A857" s="5" t="inlineStr">
        <is>
          <t>2026-09-07</t>
        </is>
      </c>
      <c r="B857" s="5" t="inlineStr">
        <is>
          <t>2026-09-07T20:15:39</t>
        </is>
      </c>
      <c r="C857" s="5" t="inlineStr">
        <is>
          <t>claro</t>
        </is>
      </c>
      <c r="D857" s="5" t="inlineStr">
        <is>
          <t>SP</t>
        </is>
      </c>
      <c r="E857" s="5" t="inlineStr">
        <is>
          <t>1 Giga com Globoplay incluso + Pós 150GB</t>
        </is>
      </c>
      <c r="F857" s="5" t="inlineStr">
        <is>
          <t>claro:d47e2a3b-dfd0-410e-9c24-d07a334d01d4</t>
        </is>
      </c>
      <c r="G857" s="6" t="n">
        <v>299.9</v>
      </c>
      <c r="H857" s="6" t="inlineStr"/>
      <c r="I857" s="5" t="inlineStr"/>
      <c r="J857" s="5" t="inlineStr"/>
      <c r="K857" s="5" t="inlineStr">
        <is>
          <t>tab: Fibra + Móvel</t>
        </is>
      </c>
      <c r="L857" s="5" t="inlineStr">
        <is>
          <t>mobile+broadband</t>
        </is>
      </c>
      <c r="M857" s="5" t="inlineStr">
        <is>
          <t>Fiber + Mobile</t>
        </is>
      </c>
      <c r="N857" s="5" t="b">
        <v>1</v>
      </c>
      <c r="O857" s="5" t="b">
        <v>1</v>
      </c>
      <c r="P857" s="5" t="b">
        <v>0</v>
      </c>
      <c r="Q857" s="5" t="b">
        <v>0</v>
      </c>
      <c r="R857" s="7" t="n">
        <v>1000</v>
      </c>
      <c r="S857" s="7" t="n">
        <v>150</v>
      </c>
      <c r="T857" s="7" t="n">
        <v>2</v>
      </c>
      <c r="U857" s="5" t="inlineStr"/>
      <c r="V857" s="5" t="inlineStr"/>
      <c r="W857" s="5" t="inlineStr"/>
      <c r="X857" s="5" t="inlineStr">
        <is>
          <t>Pós 150GB</t>
        </is>
      </c>
      <c r="Y857" s="5" t="inlineStr">
        <is>
          <t>https://www.claro.com.br/multi</t>
        </is>
      </c>
      <c r="Z857" s="5" t="inlineStr">
        <is>
          <t>data/raw/claro_convergent_multi_SP.html</t>
        </is>
      </c>
    </row>
    <row r="858">
      <c r="A858" s="2" t="inlineStr">
        <is>
          <t>2026-09-07</t>
        </is>
      </c>
      <c r="B858" s="2" t="inlineStr">
        <is>
          <t>2026-09-07T20:15:39</t>
        </is>
      </c>
      <c r="C858" s="2" t="inlineStr">
        <is>
          <t>claro</t>
        </is>
      </c>
      <c r="D858" s="2" t="inlineStr">
        <is>
          <t>SP</t>
        </is>
      </c>
      <c r="E858" s="2" t="inlineStr">
        <is>
          <t>1 Giga com Globoplay incluso + Pós 150GB + Claro tv+ Box + Disney+ Amazon Prime + Netflix + HBO Max + Apple TV + Globoplay</t>
        </is>
      </c>
      <c r="F858" s="2" t="inlineStr">
        <is>
          <t>claro:7785b449-69f2-4234-9e24-8837e32a55c0</t>
        </is>
      </c>
      <c r="G858" s="3" t="n">
        <v>409.8</v>
      </c>
      <c r="H858" s="3" t="inlineStr"/>
      <c r="I858" s="2" t="inlineStr"/>
      <c r="J858" s="2" t="inlineStr"/>
      <c r="K858" s="2" t="inlineStr">
        <is>
          <t>tab: Fibra + Móvel + TV</t>
        </is>
      </c>
      <c r="L858" s="2" t="inlineStr">
        <is>
          <t>mobile+broadband+tv</t>
        </is>
      </c>
      <c r="M858" s="2" t="inlineStr">
        <is>
          <t>Fiber + Mobile + TV</t>
        </is>
      </c>
      <c r="N858" s="2" t="b">
        <v>1</v>
      </c>
      <c r="O858" s="2" t="b">
        <v>1</v>
      </c>
      <c r="P858" s="2" t="b">
        <v>1</v>
      </c>
      <c r="Q858" s="2" t="b">
        <v>0</v>
      </c>
      <c r="R858" s="4" t="n">
        <v>1000</v>
      </c>
      <c r="S858" s="4" t="n">
        <v>150</v>
      </c>
      <c r="T858" s="4" t="n">
        <v>1</v>
      </c>
      <c r="U858" s="2" t="inlineStr">
        <is>
          <t>Claro tv+ Box + Disney+ Amazon Prime + Netflix + HBO Max + Apple TV + Globoplay</t>
        </is>
      </c>
      <c r="V858" s="2" t="inlineStr"/>
      <c r="W858" s="2" t="inlineStr"/>
      <c r="X858" s="2" t="inlineStr">
        <is>
          <t>Pós 150GB</t>
        </is>
      </c>
      <c r="Y858" s="2" t="inlineStr">
        <is>
          <t>https://www.claro.com.br/multi</t>
        </is>
      </c>
      <c r="Z858" s="2" t="inlineStr">
        <is>
          <t>data/raw/claro_convergent_multi_SP.html</t>
        </is>
      </c>
    </row>
    <row r="859">
      <c r="A859" s="5" t="inlineStr">
        <is>
          <t>2026-09-07</t>
        </is>
      </c>
      <c r="B859" s="5" t="inlineStr">
        <is>
          <t>2026-09-07T20:15:39</t>
        </is>
      </c>
      <c r="C859" s="5" t="inlineStr">
        <is>
          <t>claro</t>
        </is>
      </c>
      <c r="D859" s="5" t="inlineStr">
        <is>
          <t>SP</t>
        </is>
      </c>
      <c r="E859" s="5" t="inlineStr">
        <is>
          <t>1 Giga com Globoplay incluso + Pós 200GB</t>
        </is>
      </c>
      <c r="F859" s="5" t="inlineStr">
        <is>
          <t>claro:1961a62d-3213-4ff0-a152-401a45c5b1b5</t>
        </is>
      </c>
      <c r="G859" s="6" t="n">
        <v>359.9</v>
      </c>
      <c r="H859" s="6" t="inlineStr"/>
      <c r="I859" s="5" t="inlineStr"/>
      <c r="J859" s="5" t="inlineStr"/>
      <c r="K859" s="5" t="inlineStr">
        <is>
          <t>tab: Fibra + Móvel</t>
        </is>
      </c>
      <c r="L859" s="5" t="inlineStr">
        <is>
          <t>mobile+broadband</t>
        </is>
      </c>
      <c r="M859" s="5" t="inlineStr">
        <is>
          <t>Fiber + Mobile</t>
        </is>
      </c>
      <c r="N859" s="5" t="b">
        <v>1</v>
      </c>
      <c r="O859" s="5" t="b">
        <v>1</v>
      </c>
      <c r="P859" s="5" t="b">
        <v>0</v>
      </c>
      <c r="Q859" s="5" t="b">
        <v>0</v>
      </c>
      <c r="R859" s="7" t="n">
        <v>1000</v>
      </c>
      <c r="S859" s="7" t="n">
        <v>200</v>
      </c>
      <c r="T859" s="7" t="n">
        <v>3</v>
      </c>
      <c r="U859" s="5" t="inlineStr"/>
      <c r="V859" s="5" t="inlineStr"/>
      <c r="W859" s="5" t="inlineStr"/>
      <c r="X859" s="5" t="inlineStr">
        <is>
          <t>Pós 200GB</t>
        </is>
      </c>
      <c r="Y859" s="5" t="inlineStr">
        <is>
          <t>https://www.claro.com.br/multi</t>
        </is>
      </c>
      <c r="Z859" s="5" t="inlineStr">
        <is>
          <t>data/raw/claro_convergent_multi_SP.html</t>
        </is>
      </c>
    </row>
    <row r="860">
      <c r="A860" s="2" t="inlineStr">
        <is>
          <t>2026-09-07</t>
        </is>
      </c>
      <c r="B860" s="2" t="inlineStr">
        <is>
          <t>2026-09-07T20:15:39</t>
        </is>
      </c>
      <c r="C860" s="2" t="inlineStr">
        <is>
          <t>claro</t>
        </is>
      </c>
      <c r="D860" s="2" t="inlineStr">
        <is>
          <t>SP</t>
        </is>
      </c>
      <c r="E860" s="2" t="inlineStr">
        <is>
          <t>1 Giga com Globoplay incluso + Pós 200GB + Claro tv+ Box + Disney+ Amazon Prime + Netflix + HBO Max + Apple TV + Globoplay</t>
        </is>
      </c>
      <c r="F860" s="2" t="inlineStr">
        <is>
          <t>claro:312815a2-b3a5-43bb-89a1-272d53ccb212</t>
        </is>
      </c>
      <c r="G860" s="3" t="n">
        <v>469.8</v>
      </c>
      <c r="H860" s="3" t="inlineStr"/>
      <c r="I860" s="2" t="inlineStr"/>
      <c r="J860" s="2" t="inlineStr"/>
      <c r="K860" s="2" t="inlineStr">
        <is>
          <t>tab: Fibra + Móvel + TV</t>
        </is>
      </c>
      <c r="L860" s="2" t="inlineStr">
        <is>
          <t>mobile+broadband+tv</t>
        </is>
      </c>
      <c r="M860" s="2" t="inlineStr">
        <is>
          <t>Fiber + Mobile + TV</t>
        </is>
      </c>
      <c r="N860" s="2" t="b">
        <v>1</v>
      </c>
      <c r="O860" s="2" t="b">
        <v>1</v>
      </c>
      <c r="P860" s="2" t="b">
        <v>1</v>
      </c>
      <c r="Q860" s="2" t="b">
        <v>0</v>
      </c>
      <c r="R860" s="4" t="n">
        <v>1000</v>
      </c>
      <c r="S860" s="4" t="n">
        <v>200</v>
      </c>
      <c r="T860" s="4" t="n">
        <v>1</v>
      </c>
      <c r="U860" s="2" t="inlineStr">
        <is>
          <t>Claro tv+ Box + Disney+ Amazon Prime + Netflix + HBO Max + Apple TV + Globoplay</t>
        </is>
      </c>
      <c r="V860" s="2" t="inlineStr"/>
      <c r="W860" s="2" t="inlineStr"/>
      <c r="X860" s="2" t="inlineStr">
        <is>
          <t>Pós 200GB</t>
        </is>
      </c>
      <c r="Y860" s="2" t="inlineStr">
        <is>
          <t>https://www.claro.com.br/multi</t>
        </is>
      </c>
      <c r="Z860" s="2" t="inlineStr">
        <is>
          <t>data/raw/claro_convergent_multi_SP.html</t>
        </is>
      </c>
    </row>
    <row r="861">
      <c r="A861" s="5" t="inlineStr">
        <is>
          <t>2026-09-07</t>
        </is>
      </c>
      <c r="B861" s="5" t="inlineStr">
        <is>
          <t>2026-09-07T20:15:39</t>
        </is>
      </c>
      <c r="C861" s="5" t="inlineStr">
        <is>
          <t>claro</t>
        </is>
      </c>
      <c r="D861" s="5" t="inlineStr">
        <is>
          <t>SP</t>
        </is>
      </c>
      <c r="E861" s="5" t="inlineStr">
        <is>
          <t>350 Mega com Globoplay incluso + Claro tv+ Box + Disney+ Amazon Prime + Netflix + HBO Max + Apple TV + Globoplay</t>
        </is>
      </c>
      <c r="F861" s="5" t="inlineStr">
        <is>
          <t>claro:97b00450-6f21-4349-8363-83d624b18328</t>
        </is>
      </c>
      <c r="G861" s="6" t="n">
        <v>229.8</v>
      </c>
      <c r="H861" s="6" t="inlineStr"/>
      <c r="I861" s="5" t="inlineStr"/>
      <c r="J861" s="5" t="inlineStr"/>
      <c r="K861" s="5" t="inlineStr">
        <is>
          <t>tab: Fibra + TV</t>
        </is>
      </c>
      <c r="L861" s="5" t="inlineStr">
        <is>
          <t>broadband+tv</t>
        </is>
      </c>
      <c r="M861" s="5" t="inlineStr">
        <is>
          <t>Fiber + TV</t>
        </is>
      </c>
      <c r="N861" s="5" t="b">
        <v>0</v>
      </c>
      <c r="O861" s="5" t="b">
        <v>1</v>
      </c>
      <c r="P861" s="5" t="b">
        <v>1</v>
      </c>
      <c r="Q861" s="5" t="b">
        <v>0</v>
      </c>
      <c r="R861" s="7" t="n">
        <v>350</v>
      </c>
      <c r="S861" s="7" t="inlineStr"/>
      <c r="T861" s="7" t="inlineStr"/>
      <c r="U861" s="5" t="inlineStr">
        <is>
          <t>Claro tv+ Box + Disney+ Amazon Prime + Netflix + HBO Max + Apple TV + Globoplay</t>
        </is>
      </c>
      <c r="V861" s="5" t="inlineStr"/>
      <c r="W861" s="5" t="inlineStr"/>
      <c r="X861" s="5" t="inlineStr"/>
      <c r="Y861" s="5" t="inlineStr">
        <is>
          <t>https://www.claro.com.br/multi</t>
        </is>
      </c>
      <c r="Z861" s="5" t="inlineStr">
        <is>
          <t>data/raw/claro_convergent_multi_SP.html</t>
        </is>
      </c>
    </row>
    <row r="862">
      <c r="A862" s="2" t="inlineStr">
        <is>
          <t>2026-09-07</t>
        </is>
      </c>
      <c r="B862" s="2" t="inlineStr">
        <is>
          <t>2026-09-07T20:15:39</t>
        </is>
      </c>
      <c r="C862" s="2" t="inlineStr">
        <is>
          <t>claro</t>
        </is>
      </c>
      <c r="D862" s="2" t="inlineStr">
        <is>
          <t>SP</t>
        </is>
      </c>
      <c r="E862" s="2" t="inlineStr">
        <is>
          <t>350 Mega com Globoplay incluso + Controle 40GB</t>
        </is>
      </c>
      <c r="F862" s="2" t="inlineStr">
        <is>
          <t>claro:a866ea9a-6a70-4b6e-b886-f8178086ca91</t>
        </is>
      </c>
      <c r="G862" s="3" t="n">
        <v>129.8</v>
      </c>
      <c r="H862" s="3" t="inlineStr"/>
      <c r="I862" s="2" t="inlineStr"/>
      <c r="J862" s="2" t="inlineStr">
        <is>
          <t>debit_auto</t>
        </is>
      </c>
      <c r="K862" s="2" t="inlineStr">
        <is>
          <t>tab: Fibra + Móvel; preço em débito em conta; +R$ 5.00 sem débito automático</t>
        </is>
      </c>
      <c r="L862" s="2" t="inlineStr">
        <is>
          <t>mobile+broadband</t>
        </is>
      </c>
      <c r="M862" s="2" t="inlineStr">
        <is>
          <t>Fiber + Mobile</t>
        </is>
      </c>
      <c r="N862" s="2" t="b">
        <v>1</v>
      </c>
      <c r="O862" s="2" t="b">
        <v>1</v>
      </c>
      <c r="P862" s="2" t="b">
        <v>0</v>
      </c>
      <c r="Q862" s="2" t="b">
        <v>0</v>
      </c>
      <c r="R862" s="4" t="n">
        <v>350</v>
      </c>
      <c r="S862" s="4" t="n">
        <v>40</v>
      </c>
      <c r="T862" s="4" t="n">
        <v>1</v>
      </c>
      <c r="U862" s="2" t="inlineStr"/>
      <c r="V862" s="2" t="inlineStr"/>
      <c r="W862" s="2" t="inlineStr"/>
      <c r="X862" s="2" t="inlineStr">
        <is>
          <t>Controle 40GB</t>
        </is>
      </c>
      <c r="Y862" s="2" t="inlineStr">
        <is>
          <t>https://www.claro.com.br/multi</t>
        </is>
      </c>
      <c r="Z862" s="2" t="inlineStr">
        <is>
          <t>data/raw/claro_convergent_multi_SP.html</t>
        </is>
      </c>
    </row>
    <row r="863">
      <c r="A863" s="5" t="inlineStr">
        <is>
          <t>2026-09-07</t>
        </is>
      </c>
      <c r="B863" s="5" t="inlineStr">
        <is>
          <t>2026-09-07T20:15:39</t>
        </is>
      </c>
      <c r="C863" s="5" t="inlineStr">
        <is>
          <t>claro</t>
        </is>
      </c>
      <c r="D863" s="5" t="inlineStr">
        <is>
          <t>SP</t>
        </is>
      </c>
      <c r="E863" s="5" t="inlineStr">
        <is>
          <t>350 Mega com Globoplay incluso + Pós 100GB + Claro tv+ Box + Disney+ Amazon Prime + Netflix + HBO Max + Apple TV + Globoplay</t>
        </is>
      </c>
      <c r="F863" s="5" t="inlineStr">
        <is>
          <t>claro:746fa9cf-ea2b-40de-ad2c-5803b3e0ab08</t>
        </is>
      </c>
      <c r="G863" s="6" t="n">
        <v>249.8</v>
      </c>
      <c r="H863" s="6" t="inlineStr"/>
      <c r="I863" s="5" t="inlineStr"/>
      <c r="J863" s="5" t="inlineStr"/>
      <c r="K863" s="5" t="inlineStr">
        <is>
          <t>tab: Fibra + Móvel + TV</t>
        </is>
      </c>
      <c r="L863" s="5" t="inlineStr">
        <is>
          <t>mobile+broadband+tv</t>
        </is>
      </c>
      <c r="M863" s="5" t="inlineStr">
        <is>
          <t>Fiber + Mobile + TV</t>
        </is>
      </c>
      <c r="N863" s="5" t="b">
        <v>1</v>
      </c>
      <c r="O863" s="5" t="b">
        <v>1</v>
      </c>
      <c r="P863" s="5" t="b">
        <v>1</v>
      </c>
      <c r="Q863" s="5" t="b">
        <v>0</v>
      </c>
      <c r="R863" s="7" t="n">
        <v>350</v>
      </c>
      <c r="S863" s="7" t="n">
        <v>100</v>
      </c>
      <c r="T863" s="7" t="n">
        <v>1</v>
      </c>
      <c r="U863" s="5" t="inlineStr">
        <is>
          <t>Claro tv+ Box + Disney+ Amazon Prime + Netflix + HBO Max + Apple TV + Globoplay</t>
        </is>
      </c>
      <c r="V863" s="5" t="inlineStr"/>
      <c r="W863" s="5" t="inlineStr"/>
      <c r="X863" s="5" t="inlineStr">
        <is>
          <t>Pós 100GB</t>
        </is>
      </c>
      <c r="Y863" s="5" t="inlineStr">
        <is>
          <t>https://www.claro.com.br/multi</t>
        </is>
      </c>
      <c r="Z863" s="5" t="inlineStr">
        <is>
          <t>data/raw/claro_convergent_multi_SP.html</t>
        </is>
      </c>
    </row>
    <row r="864">
      <c r="A864" s="2" t="inlineStr">
        <is>
          <t>2026-09-07</t>
        </is>
      </c>
      <c r="B864" s="2" t="inlineStr">
        <is>
          <t>2026-09-07T20:15:39</t>
        </is>
      </c>
      <c r="C864" s="2" t="inlineStr">
        <is>
          <t>claro</t>
        </is>
      </c>
      <c r="D864" s="2" t="inlineStr">
        <is>
          <t>SP</t>
        </is>
      </c>
      <c r="E864" s="2" t="inlineStr">
        <is>
          <t>600 Mega com Globoplay incluso + Claro tv+ Box + Disney+ Amazon Prime + Netflix + HBO Max + Apple TV + Globoplay</t>
        </is>
      </c>
      <c r="F864" s="2" t="inlineStr">
        <is>
          <t>claro:545261b1-2f4d-4dab-82a6-02d9e66c5d3d</t>
        </is>
      </c>
      <c r="G864" s="3" t="n">
        <v>239.8</v>
      </c>
      <c r="H864" s="3" t="inlineStr"/>
      <c r="I864" s="2" t="inlineStr"/>
      <c r="J864" s="2" t="inlineStr"/>
      <c r="K864" s="2" t="inlineStr">
        <is>
          <t>tab: Fibra + TV</t>
        </is>
      </c>
      <c r="L864" s="2" t="inlineStr">
        <is>
          <t>broadband+tv</t>
        </is>
      </c>
      <c r="M864" s="2" t="inlineStr">
        <is>
          <t>Fiber + TV</t>
        </is>
      </c>
      <c r="N864" s="2" t="b">
        <v>0</v>
      </c>
      <c r="O864" s="2" t="b">
        <v>1</v>
      </c>
      <c r="P864" s="2" t="b">
        <v>1</v>
      </c>
      <c r="Q864" s="2" t="b">
        <v>0</v>
      </c>
      <c r="R864" s="4" t="n">
        <v>600</v>
      </c>
      <c r="S864" s="4" t="inlineStr"/>
      <c r="T864" s="4" t="inlineStr"/>
      <c r="U864" s="2" t="inlineStr">
        <is>
          <t>Claro tv+ Box + Disney+ Amazon Prime + Netflix + HBO Max + Apple TV + Globoplay</t>
        </is>
      </c>
      <c r="V864" s="2" t="inlineStr"/>
      <c r="W864" s="2" t="inlineStr"/>
      <c r="X864" s="2" t="inlineStr"/>
      <c r="Y864" s="2" t="inlineStr">
        <is>
          <t>https://www.claro.com.br/multi</t>
        </is>
      </c>
      <c r="Z864" s="2" t="inlineStr">
        <is>
          <t>data/raw/claro_convergent_multi_SP.html</t>
        </is>
      </c>
    </row>
    <row r="865">
      <c r="A865" s="5" t="inlineStr">
        <is>
          <t>2026-09-07</t>
        </is>
      </c>
      <c r="B865" s="5" t="inlineStr">
        <is>
          <t>2026-09-07T20:15:39</t>
        </is>
      </c>
      <c r="C865" s="5" t="inlineStr">
        <is>
          <t>claro</t>
        </is>
      </c>
      <c r="D865" s="5" t="inlineStr">
        <is>
          <t>SP</t>
        </is>
      </c>
      <c r="E865" s="5" t="inlineStr">
        <is>
          <t>600 Mega com Globoplay incluso + Pós 100GB</t>
        </is>
      </c>
      <c r="F865" s="5" t="inlineStr">
        <is>
          <t>claro:350ac58a-533c-4858-83be-be3ea39c8874</t>
        </is>
      </c>
      <c r="G865" s="6" t="n">
        <v>159.9</v>
      </c>
      <c r="H865" s="6" t="inlineStr"/>
      <c r="I865" s="5" t="inlineStr"/>
      <c r="J865" s="5" t="inlineStr"/>
      <c r="K865" s="5" t="inlineStr">
        <is>
          <t>tab: Fibra + Móvel</t>
        </is>
      </c>
      <c r="L865" s="5" t="inlineStr">
        <is>
          <t>mobile+broadband</t>
        </is>
      </c>
      <c r="M865" s="5" t="inlineStr">
        <is>
          <t>Fiber + Mobile</t>
        </is>
      </c>
      <c r="N865" s="5" t="b">
        <v>1</v>
      </c>
      <c r="O865" s="5" t="b">
        <v>1</v>
      </c>
      <c r="P865" s="5" t="b">
        <v>0</v>
      </c>
      <c r="Q865" s="5" t="b">
        <v>0</v>
      </c>
      <c r="R865" s="7" t="n">
        <v>600</v>
      </c>
      <c r="S865" s="7" t="n">
        <v>100</v>
      </c>
      <c r="T865" s="7" t="n">
        <v>1</v>
      </c>
      <c r="U865" s="5" t="inlineStr"/>
      <c r="V865" s="5" t="inlineStr"/>
      <c r="W865" s="5" t="inlineStr"/>
      <c r="X865" s="5" t="inlineStr">
        <is>
          <t>Pós 100GB</t>
        </is>
      </c>
      <c r="Y865" s="5" t="inlineStr">
        <is>
          <t>https://www.claro.com.br/multi</t>
        </is>
      </c>
      <c r="Z865" s="5" t="inlineStr">
        <is>
          <t>data/raw/claro_convergent_multi_SP.html</t>
        </is>
      </c>
    </row>
    <row r="866">
      <c r="A866" s="2" t="inlineStr">
        <is>
          <t>2026-09-07</t>
        </is>
      </c>
      <c r="B866" s="2" t="inlineStr">
        <is>
          <t>2026-09-07T20:15:39</t>
        </is>
      </c>
      <c r="C866" s="2" t="inlineStr">
        <is>
          <t>claro</t>
        </is>
      </c>
      <c r="D866" s="2" t="inlineStr">
        <is>
          <t>SP</t>
        </is>
      </c>
      <c r="E866" s="2" t="inlineStr">
        <is>
          <t>600 Mega com Globoplay incluso + Pós 100GB + Claro tv+ Box + Disney+ Amazon Prime + Netflix + HBO Max + Apple TV + Globoplay</t>
        </is>
      </c>
      <c r="F866" s="2" t="inlineStr">
        <is>
          <t>claro:f36e7dfb-f7c9-4055-844f-7bc101699de8</t>
        </is>
      </c>
      <c r="G866" s="3" t="n">
        <v>269.8</v>
      </c>
      <c r="H866" s="3" t="inlineStr"/>
      <c r="I866" s="2" t="inlineStr"/>
      <c r="J866" s="2" t="inlineStr"/>
      <c r="K866" s="2" t="inlineStr">
        <is>
          <t>tab: Fibra + Móvel + TV</t>
        </is>
      </c>
      <c r="L866" s="2" t="inlineStr">
        <is>
          <t>mobile+broadband+tv</t>
        </is>
      </c>
      <c r="M866" s="2" t="inlineStr">
        <is>
          <t>Fiber + Mobile + TV</t>
        </is>
      </c>
      <c r="N866" s="2" t="b">
        <v>1</v>
      </c>
      <c r="O866" s="2" t="b">
        <v>1</v>
      </c>
      <c r="P866" s="2" t="b">
        <v>1</v>
      </c>
      <c r="Q866" s="2" t="b">
        <v>0</v>
      </c>
      <c r="R866" s="4" t="n">
        <v>600</v>
      </c>
      <c r="S866" s="4" t="n">
        <v>100</v>
      </c>
      <c r="T866" s="4" t="n">
        <v>1</v>
      </c>
      <c r="U866" s="2" t="inlineStr">
        <is>
          <t>Claro tv+ Box + Disney+ Amazon Prime + Netflix + HBO Max + Apple TV + Globoplay</t>
        </is>
      </c>
      <c r="V866" s="2" t="inlineStr"/>
      <c r="W866" s="2" t="inlineStr"/>
      <c r="X866" s="2" t="inlineStr">
        <is>
          <t>Pós 100GB</t>
        </is>
      </c>
      <c r="Y866" s="2" t="inlineStr">
        <is>
          <t>https://www.claro.com.br/multi</t>
        </is>
      </c>
      <c r="Z866" s="2" t="inlineStr">
        <is>
          <t>data/raw/claro_convergent_multi_SP.html</t>
        </is>
      </c>
    </row>
    <row r="867">
      <c r="A867" s="5" t="inlineStr">
        <is>
          <t>2026-09-07</t>
        </is>
      </c>
      <c r="B867" s="5" t="inlineStr">
        <is>
          <t>2026-09-07T20:15:39</t>
        </is>
      </c>
      <c r="C867" s="5" t="inlineStr">
        <is>
          <t>tim</t>
        </is>
      </c>
      <c r="D867" s="5" t="inlineStr">
        <is>
          <t>SP</t>
        </is>
      </c>
      <c r="E867" s="5" t="inlineStr">
        <is>
          <t>TIM Ultracombo 5</t>
        </is>
      </c>
      <c r="F867" s="5" t="inlineStr">
        <is>
          <t>tim:167756</t>
        </is>
      </c>
      <c r="G867" s="6" t="n">
        <v>169.99</v>
      </c>
      <c r="H867" s="6" t="inlineStr"/>
      <c r="I867" s="5" t="inlineStr"/>
      <c r="J867" s="5" t="inlineStr">
        <is>
          <t>debit_auto</t>
        </is>
      </c>
      <c r="K867" s="5" t="inlineStr">
        <is>
          <t>preço em débito automático; R$ 179,99/mês no pagamento por fatura</t>
        </is>
      </c>
      <c r="L867" s="5" t="inlineStr">
        <is>
          <t>mobile+broadband</t>
        </is>
      </c>
      <c r="M867" s="5" t="inlineStr">
        <is>
          <t>Fiber + Mobile</t>
        </is>
      </c>
      <c r="N867" s="5" t="b">
        <v>1</v>
      </c>
      <c r="O867" s="5" t="b">
        <v>1</v>
      </c>
      <c r="P867" s="5" t="b">
        <v>0</v>
      </c>
      <c r="Q867" s="5" t="b">
        <v>0</v>
      </c>
      <c r="R867" s="7" t="n">
        <v>1000</v>
      </c>
      <c r="S867" s="7" t="n">
        <v>115</v>
      </c>
      <c r="T867" s="7" t="n">
        <v>1</v>
      </c>
      <c r="U867" s="5" t="inlineStr"/>
      <c r="V867" s="5" t="inlineStr">
        <is>
          <t>Paramount+, Deezer</t>
        </is>
      </c>
      <c r="W867" s="5" t="inlineStr"/>
      <c r="X867" s="5" t="inlineStr">
        <is>
          <t>1GIGA de Ultrafibra para casa + 115GB de TIM Black C Hero para móvel: (25GB do plano + 40GB promo + 50GB bônus especial)</t>
        </is>
      </c>
      <c r="Y867" s="5" t="inlineStr">
        <is>
          <t>https://www.tim.com.br/sp/internet/tim-ultracombo</t>
        </is>
      </c>
      <c r="Z867" s="5" t="inlineStr">
        <is>
          <t>data/raw/tim_convergent_ultracombo_SP.html</t>
        </is>
      </c>
    </row>
    <row r="868">
      <c r="A868" s="2" t="inlineStr">
        <is>
          <t>2026-09-07</t>
        </is>
      </c>
      <c r="B868" s="2" t="inlineStr">
        <is>
          <t>2026-09-07T20:15:39</t>
        </is>
      </c>
      <c r="C868" s="2" t="inlineStr">
        <is>
          <t>tim</t>
        </is>
      </c>
      <c r="D868" s="2" t="inlineStr">
        <is>
          <t>SP</t>
        </is>
      </c>
      <c r="E868" s="2" t="inlineStr">
        <is>
          <t>TIM Ultracombo 6</t>
        </is>
      </c>
      <c r="F868" s="2" t="inlineStr">
        <is>
          <t>tim:167751</t>
        </is>
      </c>
      <c r="G868" s="3" t="n">
        <v>139.99</v>
      </c>
      <c r="H868" s="3" t="inlineStr"/>
      <c r="I868" s="2" t="inlineStr"/>
      <c r="J868" s="2" t="inlineStr">
        <is>
          <t>debit_auto</t>
        </is>
      </c>
      <c r="K868" s="2" t="inlineStr">
        <is>
          <t>preço em débito automático; R$ 149,99/mês no pagamento por fatura</t>
        </is>
      </c>
      <c r="L868" s="2" t="inlineStr">
        <is>
          <t>mobile+broadband</t>
        </is>
      </c>
      <c r="M868" s="2" t="inlineStr">
        <is>
          <t>Fiber + Mobile</t>
        </is>
      </c>
      <c r="N868" s="2" t="b">
        <v>1</v>
      </c>
      <c r="O868" s="2" t="b">
        <v>1</v>
      </c>
      <c r="P868" s="2" t="b">
        <v>0</v>
      </c>
      <c r="Q868" s="2" t="b">
        <v>0</v>
      </c>
      <c r="R868" s="4" t="n">
        <v>1000</v>
      </c>
      <c r="S868" s="4" t="n">
        <v>70</v>
      </c>
      <c r="T868" s="4" t="n">
        <v>1</v>
      </c>
      <c r="U868" s="2" t="inlineStr"/>
      <c r="V868" s="2" t="inlineStr">
        <is>
          <t>Paramount+, Deezer</t>
        </is>
      </c>
      <c r="W868" s="2" t="inlineStr"/>
      <c r="X868" s="2" t="inlineStr">
        <is>
          <t>1GIGA de Ultrafibra para casa + 70GB de TIM Black A para móvel: (15GB do plano + 50GB promo + 5GB bônus especial)</t>
        </is>
      </c>
      <c r="Y868" s="2" t="inlineStr">
        <is>
          <t>https://www.tim.com.br/sp/internet/tim-ultracombo</t>
        </is>
      </c>
      <c r="Z868" s="2" t="inlineStr">
        <is>
          <t>data/raw/tim_convergent_ultracombo_SP.html</t>
        </is>
      </c>
    </row>
    <row r="869">
      <c r="A869" s="5" t="inlineStr">
        <is>
          <t>2026-09-07</t>
        </is>
      </c>
      <c r="B869" s="5" t="inlineStr">
        <is>
          <t>2026-09-07T20:15:39</t>
        </is>
      </c>
      <c r="C869" s="5" t="inlineStr">
        <is>
          <t>tim</t>
        </is>
      </c>
      <c r="D869" s="5" t="inlineStr">
        <is>
          <t>SP</t>
        </is>
      </c>
      <c r="E869" s="5" t="inlineStr">
        <is>
          <t>TIM Ultracombo 7</t>
        </is>
      </c>
      <c r="F869" s="5" t="inlineStr">
        <is>
          <t>tim:167761</t>
        </is>
      </c>
      <c r="G869" s="6" t="n">
        <v>89.98999999999999</v>
      </c>
      <c r="H869" s="6" t="inlineStr"/>
      <c r="I869" s="5" t="inlineStr"/>
      <c r="J869" s="5" t="inlineStr">
        <is>
          <t>debit_auto</t>
        </is>
      </c>
      <c r="K869" s="5" t="inlineStr">
        <is>
          <t>preço em débito automático; R$ 99,99/mês no pagamento por fatura</t>
        </is>
      </c>
      <c r="L869" s="5" t="inlineStr">
        <is>
          <t>mobile+broadband</t>
        </is>
      </c>
      <c r="M869" s="5" t="inlineStr">
        <is>
          <t>Fiber + Mobile</t>
        </is>
      </c>
      <c r="N869" s="5" t="b">
        <v>1</v>
      </c>
      <c r="O869" s="5" t="b">
        <v>1</v>
      </c>
      <c r="P869" s="5" t="b">
        <v>0</v>
      </c>
      <c r="Q869" s="5" t="b">
        <v>0</v>
      </c>
      <c r="R869" s="7" t="n">
        <v>500</v>
      </c>
      <c r="S869" s="7" t="n">
        <v>65</v>
      </c>
      <c r="T869" s="7" t="n">
        <v>1</v>
      </c>
      <c r="U869" s="5" t="inlineStr"/>
      <c r="V869" s="5" t="inlineStr"/>
      <c r="W869" s="5" t="inlineStr"/>
      <c r="X869" s="5" t="inlineStr">
        <is>
          <t>500MEGA de Ultrafibra para casa + 65GB de TIM Black A Light para móvel: (10GB do plano + 50GB promo)</t>
        </is>
      </c>
      <c r="Y869" s="5" t="inlineStr">
        <is>
          <t>https://www.tim.com.br/sp/internet/tim-ultracombo</t>
        </is>
      </c>
      <c r="Z869" s="5" t="inlineStr">
        <is>
          <t>data/raw/tim_convergent_ultracombo_SP.html</t>
        </is>
      </c>
    </row>
    <row r="870">
      <c r="A870" s="2" t="inlineStr">
        <is>
          <t>2026-09-07</t>
        </is>
      </c>
      <c r="B870" s="2" t="inlineStr">
        <is>
          <t>2026-09-07T20:15:39</t>
        </is>
      </c>
      <c r="C870" s="2" t="inlineStr">
        <is>
          <t>vivo</t>
        </is>
      </c>
      <c r="D870" s="2" t="inlineStr">
        <is>
          <t>SP</t>
        </is>
      </c>
      <c r="E870" s="2" t="inlineStr">
        <is>
          <t>Vivo Família 2 + TV</t>
        </is>
      </c>
      <c r="F870" s="2" t="inlineStr">
        <is>
          <t>vivo:VIV202604032132-3-305-316-336-408-411-426-430-442</t>
        </is>
      </c>
      <c r="G870" s="3" t="n">
        <v>290</v>
      </c>
      <c r="H870" s="3" t="inlineStr"/>
      <c r="I870" s="2" t="inlineStr"/>
      <c r="J870" s="2" t="inlineStr"/>
      <c r="K870" s="2" t="inlineStr">
        <is>
          <t>instalação grátis mediante fidelização (não afeta a mensalidade)</t>
        </is>
      </c>
      <c r="L870" s="2" t="inlineStr">
        <is>
          <t>mobile+broadband+tv</t>
        </is>
      </c>
      <c r="M870" s="2" t="inlineStr">
        <is>
          <t>Fiber + Mobile + TV</t>
        </is>
      </c>
      <c r="N870" s="2" t="b">
        <v>1</v>
      </c>
      <c r="O870" s="2" t="b">
        <v>1</v>
      </c>
      <c r="P870" s="2" t="b">
        <v>1</v>
      </c>
      <c r="Q870" s="2" t="b">
        <v>0</v>
      </c>
      <c r="R870" s="4" t="n">
        <v>700</v>
      </c>
      <c r="S870" s="4" t="n">
        <v>120</v>
      </c>
      <c r="T870" s="4" t="n">
        <v>2</v>
      </c>
      <c r="U870" s="2" t="inlineStr">
        <is>
          <t>80 canais de Vivo Estendido</t>
        </is>
      </c>
      <c r="V870" s="2" t="inlineStr"/>
      <c r="W870" s="2" t="inlineStr">
        <is>
          <t>Vivo Travel Américas e Europa; 1 linha adicional inclusa</t>
        </is>
      </c>
      <c r="X870" s="2" t="inlineStr">
        <is>
          <t>700 Mega de Vivo Fibra</t>
        </is>
      </c>
      <c r="Y870" s="2" t="inlineStr">
        <is>
          <t>https://vivo.com.br/para-voce/produtos-e-servicos/combos/vivo-total</t>
        </is>
      </c>
      <c r="Z870" s="2" t="inlineStr">
        <is>
          <t>data/raw/vivo_convergent_total_SP.html</t>
        </is>
      </c>
    </row>
    <row r="871">
      <c r="A871" s="5" t="inlineStr">
        <is>
          <t>2026-09-07</t>
        </is>
      </c>
      <c r="B871" s="5" t="inlineStr">
        <is>
          <t>2026-09-07T20:15:39</t>
        </is>
      </c>
      <c r="C871" s="5" t="inlineStr">
        <is>
          <t>vivo</t>
        </is>
      </c>
      <c r="D871" s="5" t="inlineStr">
        <is>
          <t>SP</t>
        </is>
      </c>
      <c r="E871" s="5" t="inlineStr">
        <is>
          <t>Vivo Família 2 + TV</t>
        </is>
      </c>
      <c r="F871" s="5" t="inlineStr">
        <is>
          <t>vivo:VIV202604032112-3-9-305-316-408-411-426-430-442</t>
        </is>
      </c>
      <c r="G871" s="6" t="n">
        <v>390</v>
      </c>
      <c r="H871" s="6" t="inlineStr"/>
      <c r="I871" s="5" t="inlineStr"/>
      <c r="J871" s="5" t="inlineStr"/>
      <c r="K871" s="5" t="inlineStr">
        <is>
          <t>instalação grátis mediante fidelização (não afeta a mensalidade)</t>
        </is>
      </c>
      <c r="L871" s="5" t="inlineStr">
        <is>
          <t>mobile+broadband+tv</t>
        </is>
      </c>
      <c r="M871" s="5" t="inlineStr">
        <is>
          <t>Fiber + Mobile + TV</t>
        </is>
      </c>
      <c r="N871" s="5" t="b">
        <v>1</v>
      </c>
      <c r="O871" s="5" t="b">
        <v>1</v>
      </c>
      <c r="P871" s="5" t="b">
        <v>1</v>
      </c>
      <c r="Q871" s="5" t="b">
        <v>0</v>
      </c>
      <c r="R871" s="7" t="n">
        <v>700</v>
      </c>
      <c r="S871" s="7" t="n">
        <v>120</v>
      </c>
      <c r="T871" s="7" t="n">
        <v>2</v>
      </c>
      <c r="U871" s="5" t="inlineStr">
        <is>
          <t>120 canais de Vivo TV Avançado + 1 ponto adicional</t>
        </is>
      </c>
      <c r="V871" s="5" t="inlineStr"/>
      <c r="W871" s="5" t="inlineStr">
        <is>
          <t>Vivo Travel Américas e Europa; 1 linha adicional inclusa</t>
        </is>
      </c>
      <c r="X871" s="5" t="inlineStr">
        <is>
          <t>700 Mega de Vivo Fibra</t>
        </is>
      </c>
      <c r="Y871" s="5" t="inlineStr">
        <is>
          <t>https://vivo.com.br/para-voce/produtos-e-servicos/combos/vivo-total</t>
        </is>
      </c>
      <c r="Z871" s="5" t="inlineStr">
        <is>
          <t>data/raw/vivo_convergent_total_SP.html</t>
        </is>
      </c>
    </row>
    <row r="872">
      <c r="A872" s="2" t="inlineStr">
        <is>
          <t>2026-09-07</t>
        </is>
      </c>
      <c r="B872" s="2" t="inlineStr">
        <is>
          <t>2026-09-07T20:15:39</t>
        </is>
      </c>
      <c r="C872" s="2" t="inlineStr">
        <is>
          <t>vivo</t>
        </is>
      </c>
      <c r="D872" s="2" t="inlineStr">
        <is>
          <t>SP</t>
        </is>
      </c>
      <c r="E872" s="2" t="inlineStr">
        <is>
          <t>Vivo Total Família 2</t>
        </is>
      </c>
      <c r="F872" s="2" t="inlineStr">
        <is>
          <t>vivo:VIV202604032132-3-305-316-408-411-426-430-442</t>
        </is>
      </c>
      <c r="G872" s="3" t="n">
        <v>270</v>
      </c>
      <c r="H872" s="3" t="inlineStr"/>
      <c r="I872" s="2" t="inlineStr"/>
      <c r="J872" s="2" t="inlineStr"/>
      <c r="K872" s="2" t="inlineStr">
        <is>
          <t>instalação grátis mediante fidelização (não afeta a mensalidade)</t>
        </is>
      </c>
      <c r="L872" s="2" t="inlineStr">
        <is>
          <t>mobile+broadband</t>
        </is>
      </c>
      <c r="M872" s="2" t="inlineStr">
        <is>
          <t>Fiber + Mobile</t>
        </is>
      </c>
      <c r="N872" s="2" t="b">
        <v>1</v>
      </c>
      <c r="O872" s="2" t="b">
        <v>1</v>
      </c>
      <c r="P872" s="2" t="b">
        <v>0</v>
      </c>
      <c r="Q872" s="2" t="b">
        <v>0</v>
      </c>
      <c r="R872" s="4" t="n">
        <v>700</v>
      </c>
      <c r="S872" s="4" t="n">
        <v>120</v>
      </c>
      <c r="T872" s="4" t="n">
        <v>2</v>
      </c>
      <c r="U872" s="2" t="inlineStr"/>
      <c r="V872" s="2" t="inlineStr"/>
      <c r="W872" s="2" t="inlineStr">
        <is>
          <t>Vivo Travel Américas e Europa; 1 linha adicional inclusa</t>
        </is>
      </c>
      <c r="X872" s="2" t="inlineStr">
        <is>
          <t>700 Mega de Vivo Fibra</t>
        </is>
      </c>
      <c r="Y872" s="2" t="inlineStr">
        <is>
          <t>https://vivo.com.br/para-voce/produtos-e-servicos/combos/vivo-total</t>
        </is>
      </c>
      <c r="Z872" s="2" t="inlineStr">
        <is>
          <t>data/raw/vivo_convergent_total_SP.html</t>
        </is>
      </c>
    </row>
    <row r="873">
      <c r="A873" s="5" t="inlineStr">
        <is>
          <t>2026-09-07</t>
        </is>
      </c>
      <c r="B873" s="5" t="inlineStr">
        <is>
          <t>2026-09-07T20:15:39</t>
        </is>
      </c>
      <c r="C873" s="5" t="inlineStr">
        <is>
          <t>vivo</t>
        </is>
      </c>
      <c r="D873" s="5" t="inlineStr">
        <is>
          <t>SP</t>
        </is>
      </c>
      <c r="E873" s="5" t="inlineStr">
        <is>
          <t>Vivo Total Família 3</t>
        </is>
      </c>
      <c r="F873" s="5" t="inlineStr">
        <is>
          <t>vivo:VIV202604032212-4-305-316-408-411-426-430-442</t>
        </is>
      </c>
      <c r="G873" s="6" t="n">
        <v>330</v>
      </c>
      <c r="H873" s="6" t="inlineStr"/>
      <c r="I873" s="5" t="inlineStr"/>
      <c r="J873" s="5" t="inlineStr"/>
      <c r="K873" s="5" t="inlineStr">
        <is>
          <t>instalação grátis mediante fidelização (não afeta a mensalidade)</t>
        </is>
      </c>
      <c r="L873" s="5" t="inlineStr">
        <is>
          <t>mobile+broadband</t>
        </is>
      </c>
      <c r="M873" s="5" t="inlineStr">
        <is>
          <t>Fiber + Mobile</t>
        </is>
      </c>
      <c r="N873" s="5" t="b">
        <v>1</v>
      </c>
      <c r="O873" s="5" t="b">
        <v>1</v>
      </c>
      <c r="P873" s="5" t="b">
        <v>0</v>
      </c>
      <c r="Q873" s="5" t="b">
        <v>0</v>
      </c>
      <c r="R873" s="7" t="n">
        <v>700</v>
      </c>
      <c r="S873" s="7" t="n">
        <v>180</v>
      </c>
      <c r="T873" s="7" t="n">
        <v>3</v>
      </c>
      <c r="U873" s="5" t="inlineStr"/>
      <c r="V873" s="5" t="inlineStr"/>
      <c r="W873" s="5" t="inlineStr">
        <is>
          <t>Vivo Travel Américas e Europa; 2 linhas adicionais inclusas</t>
        </is>
      </c>
      <c r="X873" s="5" t="inlineStr">
        <is>
          <t>700 Mega de Vivo Fibra</t>
        </is>
      </c>
      <c r="Y873" s="5" t="inlineStr">
        <is>
          <t>https://vivo.com.br/para-voce/produtos-e-servicos/combos/vivo-total</t>
        </is>
      </c>
      <c r="Z873" s="5" t="inlineStr">
        <is>
          <t>data/raw/vivo_convergent_total_SP.html</t>
        </is>
      </c>
    </row>
    <row r="874">
      <c r="A874" s="2" t="inlineStr">
        <is>
          <t>2026-09-07</t>
        </is>
      </c>
      <c r="B874" s="2" t="inlineStr">
        <is>
          <t>2026-09-07T20:15:39</t>
        </is>
      </c>
      <c r="C874" s="2" t="inlineStr">
        <is>
          <t>vivo</t>
        </is>
      </c>
      <c r="D874" s="2" t="inlineStr">
        <is>
          <t>SP</t>
        </is>
      </c>
      <c r="E874" s="2" t="inlineStr">
        <is>
          <t>Vivo Total Família 4</t>
        </is>
      </c>
      <c r="F874" s="2" t="inlineStr">
        <is>
          <t>vivo:VIV202604032292-237-305-316-408-411-426-430-442</t>
        </is>
      </c>
      <c r="G874" s="3" t="n">
        <v>420</v>
      </c>
      <c r="H874" s="3" t="inlineStr"/>
      <c r="I874" s="2" t="inlineStr"/>
      <c r="J874" s="2" t="inlineStr"/>
      <c r="K874" s="2" t="inlineStr">
        <is>
          <t>instalação grátis mediante fidelização (não afeta a mensalidade)</t>
        </is>
      </c>
      <c r="L874" s="2" t="inlineStr">
        <is>
          <t>mobile+broadband</t>
        </is>
      </c>
      <c r="M874" s="2" t="inlineStr">
        <is>
          <t>Fiber + Mobile</t>
        </is>
      </c>
      <c r="N874" s="2" t="b">
        <v>1</v>
      </c>
      <c r="O874" s="2" t="b">
        <v>1</v>
      </c>
      <c r="P874" s="2" t="b">
        <v>0</v>
      </c>
      <c r="Q874" s="2" t="b">
        <v>0</v>
      </c>
      <c r="R874" s="4" t="n">
        <v>700</v>
      </c>
      <c r="S874" s="4" t="n">
        <v>240</v>
      </c>
      <c r="T874" s="4" t="n">
        <v>4</v>
      </c>
      <c r="U874" s="2" t="inlineStr"/>
      <c r="V874" s="2" t="inlineStr"/>
      <c r="W874" s="2" t="inlineStr">
        <is>
          <t>Vivo Travel Américas e Europa; 3 linhas adicionais inclusas</t>
        </is>
      </c>
      <c r="X874" s="2" t="inlineStr">
        <is>
          <t>700 Mega de Vivo Fibra</t>
        </is>
      </c>
      <c r="Y874" s="2" t="inlineStr">
        <is>
          <t>https://vivo.com.br/para-voce/produtos-e-servicos/combos/vivo-total</t>
        </is>
      </c>
      <c r="Z874" s="2" t="inlineStr">
        <is>
          <t>data/raw/vivo_convergent_total_SP.html</t>
        </is>
      </c>
    </row>
    <row r="875">
      <c r="A875" s="5" t="inlineStr">
        <is>
          <t>2026-09-07</t>
        </is>
      </c>
      <c r="B875" s="5" t="inlineStr">
        <is>
          <t>2026-09-07T20:15:39</t>
        </is>
      </c>
      <c r="C875" s="5" t="inlineStr">
        <is>
          <t>vivo</t>
        </is>
      </c>
      <c r="D875" s="5" t="inlineStr">
        <is>
          <t>SP</t>
        </is>
      </c>
      <c r="E875" s="5" t="inlineStr">
        <is>
          <t>Vivo Total Família 5</t>
        </is>
      </c>
      <c r="F875" s="5" t="inlineStr">
        <is>
          <t>vivo:VIV202604032372-5-305-316-408-411-426-430-442</t>
        </is>
      </c>
      <c r="G875" s="6" t="n">
        <v>520</v>
      </c>
      <c r="H875" s="6" t="inlineStr"/>
      <c r="I875" s="5" t="inlineStr"/>
      <c r="J875" s="5" t="inlineStr"/>
      <c r="K875" s="5" t="inlineStr">
        <is>
          <t>instalação grátis mediante fidelização (não afeta a mensalidade)</t>
        </is>
      </c>
      <c r="L875" s="5" t="inlineStr">
        <is>
          <t>mobile+broadband</t>
        </is>
      </c>
      <c r="M875" s="5" t="inlineStr">
        <is>
          <t>Fiber + Mobile</t>
        </is>
      </c>
      <c r="N875" s="5" t="b">
        <v>1</v>
      </c>
      <c r="O875" s="5" t="b">
        <v>1</v>
      </c>
      <c r="P875" s="5" t="b">
        <v>0</v>
      </c>
      <c r="Q875" s="5" t="b">
        <v>0</v>
      </c>
      <c r="R875" s="7" t="n">
        <v>700</v>
      </c>
      <c r="S875" s="7" t="n">
        <v>300</v>
      </c>
      <c r="T875" s="7" t="n">
        <v>5</v>
      </c>
      <c r="U875" s="5" t="inlineStr"/>
      <c r="V875" s="5" t="inlineStr"/>
      <c r="W875" s="5" t="inlineStr">
        <is>
          <t>Vivo Travel Américas e Europa; 4 linhas adicionais inclusas</t>
        </is>
      </c>
      <c r="X875" s="5" t="inlineStr">
        <is>
          <t>700 Mega de Vivo Fibra</t>
        </is>
      </c>
      <c r="Y875" s="5" t="inlineStr">
        <is>
          <t>https://vivo.com.br/para-voce/produtos-e-servicos/combos/vivo-total</t>
        </is>
      </c>
      <c r="Z875" s="5" t="inlineStr">
        <is>
          <t>data/raw/vivo_convergent_total_SP.html</t>
        </is>
      </c>
    </row>
    <row r="876">
      <c r="A876" s="2" t="inlineStr">
        <is>
          <t>2026-09-07</t>
        </is>
      </c>
      <c r="B876" s="2" t="inlineStr">
        <is>
          <t>2026-09-07T20:15:39</t>
        </is>
      </c>
      <c r="C876" s="2" t="inlineStr">
        <is>
          <t>vivo</t>
        </is>
      </c>
      <c r="D876" s="2" t="inlineStr">
        <is>
          <t>SP</t>
        </is>
      </c>
      <c r="E876" s="2" t="inlineStr">
        <is>
          <t>Vivo Total Pro</t>
        </is>
      </c>
      <c r="F876" s="2" t="inlineStr">
        <is>
          <t>vivo:VIV202604031772-2-305-308-316-326-342-411-430</t>
        </is>
      </c>
      <c r="G876" s="3" t="n">
        <v>160</v>
      </c>
      <c r="H876" s="3" t="inlineStr"/>
      <c r="I876" s="2" t="inlineStr"/>
      <c r="J876" s="2" t="inlineStr"/>
      <c r="K876" s="2" t="inlineStr">
        <is>
          <t>instalação grátis mediante fidelização (não afeta a mensalidade)</t>
        </is>
      </c>
      <c r="L876" s="2" t="inlineStr">
        <is>
          <t>mobile+broadband</t>
        </is>
      </c>
      <c r="M876" s="2" t="inlineStr">
        <is>
          <t>Fiber + Mobile</t>
        </is>
      </c>
      <c r="N876" s="2" t="b">
        <v>1</v>
      </c>
      <c r="O876" s="2" t="b">
        <v>1</v>
      </c>
      <c r="P876" s="2" t="b">
        <v>0</v>
      </c>
      <c r="Q876" s="2" t="b">
        <v>0</v>
      </c>
      <c r="R876" s="4" t="n">
        <v>500</v>
      </c>
      <c r="S876" s="4" t="n">
        <v>70</v>
      </c>
      <c r="T876" s="4" t="n">
        <v>1</v>
      </c>
      <c r="U876" s="2" t="inlineStr"/>
      <c r="V876" s="2" t="inlineStr"/>
      <c r="W876" s="2" t="inlineStr">
        <is>
          <t>Vivo Travel Américas; 50 GB de franquia + 20 GB de bônus</t>
        </is>
      </c>
      <c r="X876" s="2" t="inlineStr">
        <is>
          <t>500 Mega de Vivo Fibra</t>
        </is>
      </c>
      <c r="Y876" s="2" t="inlineStr">
        <is>
          <t>https://vivo.com.br/para-voce/produtos-e-servicos/combos/vivo-total</t>
        </is>
      </c>
      <c r="Z876" s="2" t="inlineStr">
        <is>
          <t>data/raw/vivo_convergent_total_SP.html</t>
        </is>
      </c>
    </row>
    <row r="877">
      <c r="A877" s="5" t="inlineStr">
        <is>
          <t>2026-09-07</t>
        </is>
      </c>
      <c r="B877" s="5" t="inlineStr">
        <is>
          <t>2026-09-07T20:15:39</t>
        </is>
      </c>
      <c r="C877" s="5" t="inlineStr">
        <is>
          <t>vivo</t>
        </is>
      </c>
      <c r="D877" s="5" t="inlineStr">
        <is>
          <t>SP</t>
        </is>
      </c>
      <c r="E877" s="5" t="inlineStr">
        <is>
          <t>Vivo Total Ultra</t>
        </is>
      </c>
      <c r="F877" s="5" t="inlineStr">
        <is>
          <t>vivo:VIV202604032034-305-313-316-408-411-426-430-442</t>
        </is>
      </c>
      <c r="G877" s="6" t="n">
        <v>190</v>
      </c>
      <c r="H877" s="6" t="inlineStr"/>
      <c r="I877" s="5" t="inlineStr"/>
      <c r="J877" s="5" t="inlineStr"/>
      <c r="K877" s="5" t="inlineStr">
        <is>
          <t>instalação grátis mediante fidelização (não afeta a mensalidade)</t>
        </is>
      </c>
      <c r="L877" s="5" t="inlineStr">
        <is>
          <t>mobile+broadband</t>
        </is>
      </c>
      <c r="M877" s="5" t="inlineStr">
        <is>
          <t>Fiber + Mobile</t>
        </is>
      </c>
      <c r="N877" s="5" t="b">
        <v>1</v>
      </c>
      <c r="O877" s="5" t="b">
        <v>1</v>
      </c>
      <c r="P877" s="5" t="b">
        <v>0</v>
      </c>
      <c r="Q877" s="5" t="b">
        <v>0</v>
      </c>
      <c r="R877" s="7" t="n">
        <v>700</v>
      </c>
      <c r="S877" s="7" t="n">
        <v>80</v>
      </c>
      <c r="T877" s="7" t="n">
        <v>1</v>
      </c>
      <c r="U877" s="5" t="inlineStr"/>
      <c r="V877" s="5" t="inlineStr"/>
      <c r="W877" s="5" t="inlineStr">
        <is>
          <t>Vivo Travel Américas; 70 GB de franquia + 10 GB de bônus</t>
        </is>
      </c>
      <c r="X877" s="5" t="inlineStr">
        <is>
          <t>700 Mega de Vivo Fibra</t>
        </is>
      </c>
      <c r="Y877" s="5" t="inlineStr">
        <is>
          <t>https://vivo.com.br/para-voce/produtos-e-servicos/combos/vivo-total</t>
        </is>
      </c>
      <c r="Z877" s="5" t="inlineStr">
        <is>
          <t>data/raw/vivo_convergent_total_SP.html</t>
        </is>
      </c>
    </row>
    <row r="878">
      <c r="A878" s="2" t="inlineStr">
        <is>
          <t>2026-09-07</t>
        </is>
      </c>
      <c r="B878" s="2" t="inlineStr">
        <is>
          <t>2026-09-07T20:15:39</t>
        </is>
      </c>
      <c r="C878" s="2" t="inlineStr">
        <is>
          <t>vivo</t>
        </is>
      </c>
      <c r="D878" s="2" t="inlineStr">
        <is>
          <t>SP</t>
        </is>
      </c>
      <c r="E878" s="2" t="inlineStr">
        <is>
          <t>Vivo Total Ultra + TV</t>
        </is>
      </c>
      <c r="F878" s="2" t="inlineStr">
        <is>
          <t>vivo:VIV202604031882-9-305-313-316-408-411-426-430-442</t>
        </is>
      </c>
      <c r="G878" s="3" t="n">
        <v>310</v>
      </c>
      <c r="H878" s="3" t="inlineStr"/>
      <c r="I878" s="2" t="inlineStr"/>
      <c r="J878" s="2" t="inlineStr"/>
      <c r="K878" s="2" t="inlineStr">
        <is>
          <t>instalação grátis mediante fidelização (não afeta a mensalidade)</t>
        </is>
      </c>
      <c r="L878" s="2" t="inlineStr">
        <is>
          <t>mobile+broadband+tv</t>
        </is>
      </c>
      <c r="M878" s="2" t="inlineStr">
        <is>
          <t>Fiber + Mobile + TV</t>
        </is>
      </c>
      <c r="N878" s="2" t="b">
        <v>1</v>
      </c>
      <c r="O878" s="2" t="b">
        <v>1</v>
      </c>
      <c r="P878" s="2" t="b">
        <v>1</v>
      </c>
      <c r="Q878" s="2" t="b">
        <v>0</v>
      </c>
      <c r="R878" s="4" t="n">
        <v>700</v>
      </c>
      <c r="S878" s="4" t="n">
        <v>80</v>
      </c>
      <c r="T878" s="4" t="n">
        <v>1</v>
      </c>
      <c r="U878" s="2" t="inlineStr">
        <is>
          <t>120 canais de Vivo TV Avançado + 1 ponto adicional</t>
        </is>
      </c>
      <c r="V878" s="2" t="inlineStr"/>
      <c r="W878" s="2" t="inlineStr">
        <is>
          <t>Vivo Travel Américas; 70 GB de franquia + 10 GB de bônus</t>
        </is>
      </c>
      <c r="X878" s="2" t="inlineStr">
        <is>
          <t>700 Mega de Vivo Fibra</t>
        </is>
      </c>
      <c r="Y878" s="2" t="inlineStr">
        <is>
          <t>https://vivo.com.br/para-voce/produtos-e-servicos/combos/vivo-total</t>
        </is>
      </c>
      <c r="Z878" s="2" t="inlineStr">
        <is>
          <t>data/raw/vivo_convergent_total_SP.html</t>
        </is>
      </c>
    </row>
    <row r="879">
      <c r="A879" s="5" t="inlineStr">
        <is>
          <t>2026-09-07</t>
        </is>
      </c>
      <c r="B879" s="5" t="inlineStr">
        <is>
          <t>2026-09-07T20:15:39</t>
        </is>
      </c>
      <c r="C879" s="5" t="inlineStr">
        <is>
          <t>vivo</t>
        </is>
      </c>
      <c r="D879" s="5" t="inlineStr">
        <is>
          <t>SP</t>
        </is>
      </c>
      <c r="E879" s="5" t="inlineStr">
        <is>
          <t>Vivo Total Ultra + TV online</t>
        </is>
      </c>
      <c r="F879" s="5" t="inlineStr">
        <is>
          <t>vivo:VIV202604032034-305-313-316-336-408-411-426-430-442</t>
        </is>
      </c>
      <c r="G879" s="6" t="n">
        <v>210</v>
      </c>
      <c r="H879" s="6" t="inlineStr"/>
      <c r="I879" s="5" t="inlineStr"/>
      <c r="J879" s="5" t="inlineStr"/>
      <c r="K879" s="5" t="inlineStr">
        <is>
          <t>instalação grátis mediante fidelização (não afeta a mensalidade)</t>
        </is>
      </c>
      <c r="L879" s="5" t="inlineStr">
        <is>
          <t>mobile+broadband+tv</t>
        </is>
      </c>
      <c r="M879" s="5" t="inlineStr">
        <is>
          <t>Fiber + Mobile + TV</t>
        </is>
      </c>
      <c r="N879" s="5" t="b">
        <v>1</v>
      </c>
      <c r="O879" s="5" t="b">
        <v>1</v>
      </c>
      <c r="P879" s="5" t="b">
        <v>1</v>
      </c>
      <c r="Q879" s="5" t="b">
        <v>0</v>
      </c>
      <c r="R879" s="7" t="n">
        <v>700</v>
      </c>
      <c r="S879" s="7" t="n">
        <v>80</v>
      </c>
      <c r="T879" s="7" t="n">
        <v>1</v>
      </c>
      <c r="U879" s="5" t="inlineStr">
        <is>
          <t>80 canais de Vivo Estendido</t>
        </is>
      </c>
      <c r="V879" s="5" t="inlineStr"/>
      <c r="W879" s="5" t="inlineStr">
        <is>
          <t>Vivo Travel Américas; 70 GB de franquia + 10 GB de bônus</t>
        </is>
      </c>
      <c r="X879" s="5" t="inlineStr">
        <is>
          <t>700 Mega de Vivo Fibra</t>
        </is>
      </c>
      <c r="Y879" s="5" t="inlineStr">
        <is>
          <t>https://vivo.com.br/para-voce/produtos-e-servicos/combos/vivo-total</t>
        </is>
      </c>
      <c r="Z879" s="5" t="inlineStr">
        <is>
          <t>data/raw/vivo_convergent_total_SP.html</t>
        </is>
      </c>
    </row>
    <row r="880">
      <c r="A880" s="2" t="inlineStr">
        <is>
          <t>2026-09-07</t>
        </is>
      </c>
      <c r="B880" s="2" t="inlineStr">
        <is>
          <t>2026-09-07T20:15:39</t>
        </is>
      </c>
      <c r="C880" s="2" t="inlineStr">
        <is>
          <t>vivo</t>
        </is>
      </c>
      <c r="D880" s="2" t="inlineStr">
        <is>
          <t>SP</t>
        </is>
      </c>
      <c r="E880" s="2" t="inlineStr">
        <is>
          <t>Vivo Total V 1 Giga</t>
        </is>
      </c>
      <c r="F880" s="2" t="inlineStr">
        <is>
          <t>vivo:VIV202604032532-2-305-316-408-426-430-442</t>
        </is>
      </c>
      <c r="G880" s="3" t="n">
        <v>1200</v>
      </c>
      <c r="H880" s="3" t="inlineStr"/>
      <c r="I880" s="2" t="inlineStr"/>
      <c r="J880" s="2" t="inlineStr"/>
      <c r="K880" s="2" t="inlineStr">
        <is>
          <t>instalação grátis mediante fidelização (não afeta a mensalidade)</t>
        </is>
      </c>
      <c r="L880" s="2" t="inlineStr">
        <is>
          <t>mobile+broadband+tv</t>
        </is>
      </c>
      <c r="M880" s="2" t="inlineStr">
        <is>
          <t>Fiber + Mobile + TV</t>
        </is>
      </c>
      <c r="N880" s="2" t="b">
        <v>1</v>
      </c>
      <c r="O880" s="2" t="b">
        <v>1</v>
      </c>
      <c r="P880" s="2" t="b">
        <v>1</v>
      </c>
      <c r="Q880" s="2" t="b">
        <v>0</v>
      </c>
      <c r="R880" s="4" t="n">
        <v>1000</v>
      </c>
      <c r="S880" s="4" t="n">
        <v>600</v>
      </c>
      <c r="T880" s="4" t="n">
        <v>11</v>
      </c>
      <c r="U880" s="2" t="inlineStr">
        <is>
          <t>Vivo TV Completo com HBO Max e Telecine</t>
        </is>
      </c>
      <c r="V880" s="2" t="inlineStr"/>
      <c r="W880" s="2" t="inlineStr">
        <is>
          <t>Vivo Travel Mundo; 10 linhas adicionais inclusas; Vivo TV Completo com HBO Max e Telecine</t>
        </is>
      </c>
      <c r="X880" s="2" t="inlineStr">
        <is>
          <t>1Giga de Vivo Fibra</t>
        </is>
      </c>
      <c r="Y880" s="2" t="inlineStr">
        <is>
          <t>https://vivo.com.br/para-voce/produtos-e-servicos/combos/vivo-total</t>
        </is>
      </c>
      <c r="Z880" s="2" t="inlineStr">
        <is>
          <t>data/raw/vivo_convergent_total_SP.html</t>
        </is>
      </c>
    </row>
    <row r="881">
      <c r="A881" s="5" t="inlineStr">
        <is>
          <t>2026-09-08</t>
        </is>
      </c>
      <c r="B881" s="5" t="inlineStr">
        <is>
          <t>2026-09-08T20:09:02</t>
        </is>
      </c>
      <c r="C881" s="5" t="inlineStr">
        <is>
          <t>claro</t>
        </is>
      </c>
      <c r="D881" s="5" t="inlineStr">
        <is>
          <t>SP</t>
        </is>
      </c>
      <c r="E881" s="5" t="inlineStr">
        <is>
          <t>1 Giga + Claro tv+ Box + Disney+ Amazon Prime + Netflix + HBO Max + Apple TV + Globoplay</t>
        </is>
      </c>
      <c r="F881" s="5" t="inlineStr">
        <is>
          <t>claro:af8152be-4aa7-4aa8-819a-a79687a3a9a0</t>
        </is>
      </c>
      <c r="G881" s="6" t="n">
        <v>319.8</v>
      </c>
      <c r="H881" s="6" t="inlineStr"/>
      <c r="I881" s="5" t="inlineStr"/>
      <c r="J881" s="5" t="inlineStr"/>
      <c r="K881" s="5" t="inlineStr">
        <is>
          <t>tab: Fibra + TV</t>
        </is>
      </c>
      <c r="L881" s="5" t="inlineStr">
        <is>
          <t>broadband+tv</t>
        </is>
      </c>
      <c r="M881" s="5" t="inlineStr">
        <is>
          <t>Fiber + TV</t>
        </is>
      </c>
      <c r="N881" s="5" t="b">
        <v>0</v>
      </c>
      <c r="O881" s="5" t="b">
        <v>1</v>
      </c>
      <c r="P881" s="5" t="b">
        <v>1</v>
      </c>
      <c r="Q881" s="5" t="b">
        <v>0</v>
      </c>
      <c r="R881" s="7" t="n">
        <v>1000</v>
      </c>
      <c r="S881" s="7" t="inlineStr"/>
      <c r="T881" s="7" t="inlineStr"/>
      <c r="U881" s="5" t="inlineStr">
        <is>
          <t>Claro tv+ Box + Disney+ Amazon Prime + Netflix + HBO Max + Apple TV + Globoplay</t>
        </is>
      </c>
      <c r="V881" s="5" t="inlineStr"/>
      <c r="W881" s="5" t="inlineStr"/>
      <c r="X881" s="5" t="inlineStr"/>
      <c r="Y881" s="5" t="inlineStr">
        <is>
          <t>https://www.claro.com.br/multi</t>
        </is>
      </c>
      <c r="Z881" s="5" t="inlineStr">
        <is>
          <t>data/raw/claro_convergent_multi_SP.html</t>
        </is>
      </c>
    </row>
    <row r="882">
      <c r="A882" s="2" t="inlineStr">
        <is>
          <t>2026-09-08</t>
        </is>
      </c>
      <c r="B882" s="2" t="inlineStr">
        <is>
          <t>2026-09-08T20:09:02</t>
        </is>
      </c>
      <c r="C882" s="2" t="inlineStr">
        <is>
          <t>claro</t>
        </is>
      </c>
      <c r="D882" s="2" t="inlineStr">
        <is>
          <t>SP</t>
        </is>
      </c>
      <c r="E882" s="2" t="inlineStr">
        <is>
          <t>1 Giga + Claro tv+ Soundbox + Disney+ Amazon Prime + Netflix + HBO Max + Apple TV + Globoplay</t>
        </is>
      </c>
      <c r="F882" s="2" t="inlineStr">
        <is>
          <t>claro:ceb9fd87-0897-4dd2-a2f2-e7f09e714e49</t>
        </is>
      </c>
      <c r="G882" s="3" t="n">
        <v>429.8</v>
      </c>
      <c r="H882" s="3" t="inlineStr"/>
      <c r="I882" s="2" t="inlineStr"/>
      <c r="J882" s="2" t="inlineStr"/>
      <c r="K882" s="2" t="inlineStr">
        <is>
          <t>tab: Fibra + TV</t>
        </is>
      </c>
      <c r="L882" s="2" t="inlineStr">
        <is>
          <t>broadband+tv</t>
        </is>
      </c>
      <c r="M882" s="2" t="inlineStr">
        <is>
          <t>Fiber + TV</t>
        </is>
      </c>
      <c r="N882" s="2" t="b">
        <v>0</v>
      </c>
      <c r="O882" s="2" t="b">
        <v>1</v>
      </c>
      <c r="P882" s="2" t="b">
        <v>1</v>
      </c>
      <c r="Q882" s="2" t="b">
        <v>0</v>
      </c>
      <c r="R882" s="4" t="n">
        <v>1000</v>
      </c>
      <c r="S882" s="4" t="inlineStr"/>
      <c r="T882" s="4" t="inlineStr"/>
      <c r="U882" s="2" t="inlineStr">
        <is>
          <t>Claro tv+ Soundbox + Disney+ Amazon Prime + Netflix + HBO Max + Apple TV + Globoplay</t>
        </is>
      </c>
      <c r="V882" s="2" t="inlineStr"/>
      <c r="W882" s="2" t="inlineStr"/>
      <c r="X882" s="2" t="inlineStr"/>
      <c r="Y882" s="2" t="inlineStr">
        <is>
          <t>https://www.claro.com.br/multi</t>
        </is>
      </c>
      <c r="Z882" s="2" t="inlineStr">
        <is>
          <t>data/raw/claro_convergent_multi_SP.html</t>
        </is>
      </c>
    </row>
    <row r="883">
      <c r="A883" s="5" t="inlineStr">
        <is>
          <t>2026-09-08</t>
        </is>
      </c>
      <c r="B883" s="5" t="inlineStr">
        <is>
          <t>2026-09-08T20:09:02</t>
        </is>
      </c>
      <c r="C883" s="5" t="inlineStr">
        <is>
          <t>claro</t>
        </is>
      </c>
      <c r="D883" s="5" t="inlineStr">
        <is>
          <t>SP</t>
        </is>
      </c>
      <c r="E883" s="5" t="inlineStr">
        <is>
          <t>1 Giga + Pós 100GB</t>
        </is>
      </c>
      <c r="F883" s="5" t="inlineStr">
        <is>
          <t>claro:a1de0ac1-61bb-4e97-a744-1ae4c3541673</t>
        </is>
      </c>
      <c r="G883" s="6" t="n">
        <v>179.9</v>
      </c>
      <c r="H883" s="6" t="inlineStr"/>
      <c r="I883" s="5" t="inlineStr"/>
      <c r="J883" s="5" t="inlineStr"/>
      <c r="K883" s="5" t="inlineStr">
        <is>
          <t>tab: Fibra + Móvel</t>
        </is>
      </c>
      <c r="L883" s="5" t="inlineStr">
        <is>
          <t>mobile+broadband</t>
        </is>
      </c>
      <c r="M883" s="5" t="inlineStr">
        <is>
          <t>Fiber + Mobile</t>
        </is>
      </c>
      <c r="N883" s="5" t="b">
        <v>1</v>
      </c>
      <c r="O883" s="5" t="b">
        <v>1</v>
      </c>
      <c r="P883" s="5" t="b">
        <v>0</v>
      </c>
      <c r="Q883" s="5" t="b">
        <v>0</v>
      </c>
      <c r="R883" s="7" t="n">
        <v>1000</v>
      </c>
      <c r="S883" s="7" t="n">
        <v>100</v>
      </c>
      <c r="T883" s="7" t="n">
        <v>1</v>
      </c>
      <c r="U883" s="5" t="inlineStr"/>
      <c r="V883" s="5" t="inlineStr"/>
      <c r="W883" s="5" t="inlineStr"/>
      <c r="X883" s="5" t="inlineStr">
        <is>
          <t>Pós 100GB</t>
        </is>
      </c>
      <c r="Y883" s="5" t="inlineStr">
        <is>
          <t>https://www.claro.com.br/multi</t>
        </is>
      </c>
      <c r="Z883" s="5" t="inlineStr">
        <is>
          <t>data/raw/claro_convergent_multi_SP.html</t>
        </is>
      </c>
    </row>
    <row r="884">
      <c r="A884" s="2" t="inlineStr">
        <is>
          <t>2026-09-08</t>
        </is>
      </c>
      <c r="B884" s="2" t="inlineStr">
        <is>
          <t>2026-09-08T20:09:02</t>
        </is>
      </c>
      <c r="C884" s="2" t="inlineStr">
        <is>
          <t>claro</t>
        </is>
      </c>
      <c r="D884" s="2" t="inlineStr">
        <is>
          <t>SP</t>
        </is>
      </c>
      <c r="E884" s="2" t="inlineStr">
        <is>
          <t>1 Giga + Pós 100GB + Claro tv+ Box + Disney+ Amazon Prime + Netflix + HBO Max + Apple TV + Globoplay</t>
        </is>
      </c>
      <c r="F884" s="2" t="inlineStr">
        <is>
          <t>claro:548c4bad-7857-4c0c-94d5-45d33d66c57f</t>
        </is>
      </c>
      <c r="G884" s="3" t="n">
        <v>289.8</v>
      </c>
      <c r="H884" s="3" t="inlineStr"/>
      <c r="I884" s="2" t="inlineStr"/>
      <c r="J884" s="2" t="inlineStr"/>
      <c r="K884" s="2" t="inlineStr">
        <is>
          <t>tab: Fibra + Móvel + TV</t>
        </is>
      </c>
      <c r="L884" s="2" t="inlineStr">
        <is>
          <t>mobile+broadband+tv</t>
        </is>
      </c>
      <c r="M884" s="2" t="inlineStr">
        <is>
          <t>Fiber + Mobile + TV</t>
        </is>
      </c>
      <c r="N884" s="2" t="b">
        <v>1</v>
      </c>
      <c r="O884" s="2" t="b">
        <v>1</v>
      </c>
      <c r="P884" s="2" t="b">
        <v>1</v>
      </c>
      <c r="Q884" s="2" t="b">
        <v>0</v>
      </c>
      <c r="R884" s="4" t="n">
        <v>1000</v>
      </c>
      <c r="S884" s="4" t="n">
        <v>100</v>
      </c>
      <c r="T884" s="4" t="n">
        <v>1</v>
      </c>
      <c r="U884" s="2" t="inlineStr">
        <is>
          <t>Claro tv+ Box + Disney+ Amazon Prime + Netflix + HBO Max + Apple TV + Globoplay</t>
        </is>
      </c>
      <c r="V884" s="2" t="inlineStr"/>
      <c r="W884" s="2" t="inlineStr"/>
      <c r="X884" s="2" t="inlineStr">
        <is>
          <t>Pós 100GB</t>
        </is>
      </c>
      <c r="Y884" s="2" t="inlineStr">
        <is>
          <t>https://www.claro.com.br/multi</t>
        </is>
      </c>
      <c r="Z884" s="2" t="inlineStr">
        <is>
          <t>data/raw/claro_convergent_multi_SP.html</t>
        </is>
      </c>
    </row>
    <row r="885">
      <c r="A885" s="5" t="inlineStr">
        <is>
          <t>2026-09-08</t>
        </is>
      </c>
      <c r="B885" s="5" t="inlineStr">
        <is>
          <t>2026-09-08T20:09:02</t>
        </is>
      </c>
      <c r="C885" s="5" t="inlineStr">
        <is>
          <t>claro</t>
        </is>
      </c>
      <c r="D885" s="5" t="inlineStr">
        <is>
          <t>SP</t>
        </is>
      </c>
      <c r="E885" s="5" t="inlineStr">
        <is>
          <t>1 Giga + Pós 150GB</t>
        </is>
      </c>
      <c r="F885" s="5" t="inlineStr">
        <is>
          <t>claro:d47e2a3b-dfd0-410e-9c24-d07a334d01d4</t>
        </is>
      </c>
      <c r="G885" s="6" t="n">
        <v>299.9</v>
      </c>
      <c r="H885" s="6" t="inlineStr"/>
      <c r="I885" s="5" t="inlineStr"/>
      <c r="J885" s="5" t="inlineStr"/>
      <c r="K885" s="5" t="inlineStr">
        <is>
          <t>tab: Fibra + Móvel</t>
        </is>
      </c>
      <c r="L885" s="5" t="inlineStr">
        <is>
          <t>mobile+broadband</t>
        </is>
      </c>
      <c r="M885" s="5" t="inlineStr">
        <is>
          <t>Fiber + Mobile</t>
        </is>
      </c>
      <c r="N885" s="5" t="b">
        <v>1</v>
      </c>
      <c r="O885" s="5" t="b">
        <v>1</v>
      </c>
      <c r="P885" s="5" t="b">
        <v>0</v>
      </c>
      <c r="Q885" s="5" t="b">
        <v>0</v>
      </c>
      <c r="R885" s="7" t="n">
        <v>1000</v>
      </c>
      <c r="S885" s="7" t="n">
        <v>150</v>
      </c>
      <c r="T885" s="7" t="n">
        <v>2</v>
      </c>
      <c r="U885" s="5" t="inlineStr"/>
      <c r="V885" s="5" t="inlineStr"/>
      <c r="W885" s="5" t="inlineStr"/>
      <c r="X885" s="5" t="inlineStr">
        <is>
          <t>Pós 150GB</t>
        </is>
      </c>
      <c r="Y885" s="5" t="inlineStr">
        <is>
          <t>https://www.claro.com.br/multi</t>
        </is>
      </c>
      <c r="Z885" s="5" t="inlineStr">
        <is>
          <t>data/raw/claro_convergent_multi_SP.html</t>
        </is>
      </c>
    </row>
    <row r="886">
      <c r="A886" s="2" t="inlineStr">
        <is>
          <t>2026-09-08</t>
        </is>
      </c>
      <c r="B886" s="2" t="inlineStr">
        <is>
          <t>2026-09-08T20:09:02</t>
        </is>
      </c>
      <c r="C886" s="2" t="inlineStr">
        <is>
          <t>claro</t>
        </is>
      </c>
      <c r="D886" s="2" t="inlineStr">
        <is>
          <t>SP</t>
        </is>
      </c>
      <c r="E886" s="2" t="inlineStr">
        <is>
          <t>1 Giga + Pós 150GB + Claro tv+ Box + Disney+ Amazon Prime + Netflix + HBO Max + Apple TV + Globoplay</t>
        </is>
      </c>
      <c r="F886" s="2" t="inlineStr">
        <is>
          <t>claro:7785b449-69f2-4234-9e24-8837e32a55c0</t>
        </is>
      </c>
      <c r="G886" s="3" t="n">
        <v>409.8</v>
      </c>
      <c r="H886" s="3" t="inlineStr"/>
      <c r="I886" s="2" t="inlineStr"/>
      <c r="J886" s="2" t="inlineStr"/>
      <c r="K886" s="2" t="inlineStr">
        <is>
          <t>tab: Fibra + Móvel + TV</t>
        </is>
      </c>
      <c r="L886" s="2" t="inlineStr">
        <is>
          <t>mobile+broadband+tv</t>
        </is>
      </c>
      <c r="M886" s="2" t="inlineStr">
        <is>
          <t>Fiber + Mobile + TV</t>
        </is>
      </c>
      <c r="N886" s="2" t="b">
        <v>1</v>
      </c>
      <c r="O886" s="2" t="b">
        <v>1</v>
      </c>
      <c r="P886" s="2" t="b">
        <v>1</v>
      </c>
      <c r="Q886" s="2" t="b">
        <v>0</v>
      </c>
      <c r="R886" s="4" t="n">
        <v>1000</v>
      </c>
      <c r="S886" s="4" t="n">
        <v>150</v>
      </c>
      <c r="T886" s="4" t="n">
        <v>1</v>
      </c>
      <c r="U886" s="2" t="inlineStr">
        <is>
          <t>Claro tv+ Box + Disney+ Amazon Prime + Netflix + HBO Max + Apple TV + Globoplay</t>
        </is>
      </c>
      <c r="V886" s="2" t="inlineStr"/>
      <c r="W886" s="2" t="inlineStr"/>
      <c r="X886" s="2" t="inlineStr">
        <is>
          <t>Pós 150GB</t>
        </is>
      </c>
      <c r="Y886" s="2" t="inlineStr">
        <is>
          <t>https://www.claro.com.br/multi</t>
        </is>
      </c>
      <c r="Z886" s="2" t="inlineStr">
        <is>
          <t>data/raw/claro_convergent_multi_SP.html</t>
        </is>
      </c>
    </row>
    <row r="887">
      <c r="A887" s="5" t="inlineStr">
        <is>
          <t>2026-09-08</t>
        </is>
      </c>
      <c r="B887" s="5" t="inlineStr">
        <is>
          <t>2026-09-08T20:09:02</t>
        </is>
      </c>
      <c r="C887" s="5" t="inlineStr">
        <is>
          <t>claro</t>
        </is>
      </c>
      <c r="D887" s="5" t="inlineStr">
        <is>
          <t>SP</t>
        </is>
      </c>
      <c r="E887" s="5" t="inlineStr">
        <is>
          <t>1 Giga + Pós 200GB</t>
        </is>
      </c>
      <c r="F887" s="5" t="inlineStr">
        <is>
          <t>claro:1961a62d-3213-4ff0-a152-401a45c5b1b5</t>
        </is>
      </c>
      <c r="G887" s="6" t="n">
        <v>359.9</v>
      </c>
      <c r="H887" s="6" t="inlineStr"/>
      <c r="I887" s="5" t="inlineStr"/>
      <c r="J887" s="5" t="inlineStr"/>
      <c r="K887" s="5" t="inlineStr">
        <is>
          <t>tab: Fibra + Móvel</t>
        </is>
      </c>
      <c r="L887" s="5" t="inlineStr">
        <is>
          <t>mobile+broadband</t>
        </is>
      </c>
      <c r="M887" s="5" t="inlineStr">
        <is>
          <t>Fiber + Mobile</t>
        </is>
      </c>
      <c r="N887" s="5" t="b">
        <v>1</v>
      </c>
      <c r="O887" s="5" t="b">
        <v>1</v>
      </c>
      <c r="P887" s="5" t="b">
        <v>0</v>
      </c>
      <c r="Q887" s="5" t="b">
        <v>0</v>
      </c>
      <c r="R887" s="7" t="n">
        <v>1000</v>
      </c>
      <c r="S887" s="7" t="n">
        <v>200</v>
      </c>
      <c r="T887" s="7" t="n">
        <v>3</v>
      </c>
      <c r="U887" s="5" t="inlineStr"/>
      <c r="V887" s="5" t="inlineStr"/>
      <c r="W887" s="5" t="inlineStr"/>
      <c r="X887" s="5" t="inlineStr">
        <is>
          <t>Pós 200GB</t>
        </is>
      </c>
      <c r="Y887" s="5" t="inlineStr">
        <is>
          <t>https://www.claro.com.br/multi</t>
        </is>
      </c>
      <c r="Z887" s="5" t="inlineStr">
        <is>
          <t>data/raw/claro_convergent_multi_SP.html</t>
        </is>
      </c>
    </row>
    <row r="888">
      <c r="A888" s="2" t="inlineStr">
        <is>
          <t>2026-09-08</t>
        </is>
      </c>
      <c r="B888" s="2" t="inlineStr">
        <is>
          <t>2026-09-08T20:09:02</t>
        </is>
      </c>
      <c r="C888" s="2" t="inlineStr">
        <is>
          <t>claro</t>
        </is>
      </c>
      <c r="D888" s="2" t="inlineStr">
        <is>
          <t>SP</t>
        </is>
      </c>
      <c r="E888" s="2" t="inlineStr">
        <is>
          <t>1 Giga + Pós 200GB + Claro tv+ Box + Disney+ Amazon Prime + Netflix + HBO Max + Apple TV + Globoplay</t>
        </is>
      </c>
      <c r="F888" s="2" t="inlineStr">
        <is>
          <t>claro:312815a2-b3a5-43bb-89a1-272d53ccb212</t>
        </is>
      </c>
      <c r="G888" s="3" t="n">
        <v>469.8</v>
      </c>
      <c r="H888" s="3" t="inlineStr"/>
      <c r="I888" s="2" t="inlineStr"/>
      <c r="J888" s="2" t="inlineStr"/>
      <c r="K888" s="2" t="inlineStr">
        <is>
          <t>tab: Fibra + Móvel + TV</t>
        </is>
      </c>
      <c r="L888" s="2" t="inlineStr">
        <is>
          <t>mobile+broadband+tv</t>
        </is>
      </c>
      <c r="M888" s="2" t="inlineStr">
        <is>
          <t>Fiber + Mobile + TV</t>
        </is>
      </c>
      <c r="N888" s="2" t="b">
        <v>1</v>
      </c>
      <c r="O888" s="2" t="b">
        <v>1</v>
      </c>
      <c r="P888" s="2" t="b">
        <v>1</v>
      </c>
      <c r="Q888" s="2" t="b">
        <v>0</v>
      </c>
      <c r="R888" s="4" t="n">
        <v>1000</v>
      </c>
      <c r="S888" s="4" t="n">
        <v>200</v>
      </c>
      <c r="T888" s="4" t="n">
        <v>1</v>
      </c>
      <c r="U888" s="2" t="inlineStr">
        <is>
          <t>Claro tv+ Box + Disney+ Amazon Prime + Netflix + HBO Max + Apple TV + Globoplay</t>
        </is>
      </c>
      <c r="V888" s="2" t="inlineStr"/>
      <c r="W888" s="2" t="inlineStr"/>
      <c r="X888" s="2" t="inlineStr">
        <is>
          <t>Pós 200GB</t>
        </is>
      </c>
      <c r="Y888" s="2" t="inlineStr">
        <is>
          <t>https://www.claro.com.br/multi</t>
        </is>
      </c>
      <c r="Z888" s="2" t="inlineStr">
        <is>
          <t>data/raw/claro_convergent_multi_SP.html</t>
        </is>
      </c>
    </row>
    <row r="889">
      <c r="A889" s="5" t="inlineStr">
        <is>
          <t>2026-09-08</t>
        </is>
      </c>
      <c r="B889" s="5" t="inlineStr">
        <is>
          <t>2026-09-08T20:09:02</t>
        </is>
      </c>
      <c r="C889" s="5" t="inlineStr">
        <is>
          <t>claro</t>
        </is>
      </c>
      <c r="D889" s="5" t="inlineStr">
        <is>
          <t>SP</t>
        </is>
      </c>
      <c r="E889" s="5" t="inlineStr">
        <is>
          <t>350 Mega + Claro tv+ Box + Disney+ Amazon Prime + Netflix + HBO Max + Apple TV + Globoplay</t>
        </is>
      </c>
      <c r="F889" s="5" t="inlineStr">
        <is>
          <t>claro:97b00450-6f21-4349-8363-83d624b18328</t>
        </is>
      </c>
      <c r="G889" s="6" t="n">
        <v>229.8</v>
      </c>
      <c r="H889" s="6" t="inlineStr"/>
      <c r="I889" s="5" t="inlineStr"/>
      <c r="J889" s="5" t="inlineStr"/>
      <c r="K889" s="5" t="inlineStr">
        <is>
          <t>tab: Fibra + TV</t>
        </is>
      </c>
      <c r="L889" s="5" t="inlineStr">
        <is>
          <t>broadband+tv</t>
        </is>
      </c>
      <c r="M889" s="5" t="inlineStr">
        <is>
          <t>Fiber + TV</t>
        </is>
      </c>
      <c r="N889" s="5" t="b">
        <v>0</v>
      </c>
      <c r="O889" s="5" t="b">
        <v>1</v>
      </c>
      <c r="P889" s="5" t="b">
        <v>1</v>
      </c>
      <c r="Q889" s="5" t="b">
        <v>0</v>
      </c>
      <c r="R889" s="7" t="n">
        <v>350</v>
      </c>
      <c r="S889" s="7" t="inlineStr"/>
      <c r="T889" s="7" t="inlineStr"/>
      <c r="U889" s="5" t="inlineStr">
        <is>
          <t>Claro tv+ Box + Disney+ Amazon Prime + Netflix + HBO Max + Apple TV + Globoplay</t>
        </is>
      </c>
      <c r="V889" s="5" t="inlineStr"/>
      <c r="W889" s="5" t="inlineStr"/>
      <c r="X889" s="5" t="inlineStr"/>
      <c r="Y889" s="5" t="inlineStr">
        <is>
          <t>https://www.claro.com.br/multi</t>
        </is>
      </c>
      <c r="Z889" s="5" t="inlineStr">
        <is>
          <t>data/raw/claro_convergent_multi_SP.html</t>
        </is>
      </c>
    </row>
    <row r="890">
      <c r="A890" s="2" t="inlineStr">
        <is>
          <t>2026-09-08</t>
        </is>
      </c>
      <c r="B890" s="2" t="inlineStr">
        <is>
          <t>2026-09-08T20:09:02</t>
        </is>
      </c>
      <c r="C890" s="2" t="inlineStr">
        <is>
          <t>claro</t>
        </is>
      </c>
      <c r="D890" s="2" t="inlineStr">
        <is>
          <t>SP</t>
        </is>
      </c>
      <c r="E890" s="2" t="inlineStr">
        <is>
          <t>350 Mega + Controle 40GB</t>
        </is>
      </c>
      <c r="F890" s="2" t="inlineStr">
        <is>
          <t>claro:a866ea9a-6a70-4b6e-b886-f8178086ca91</t>
        </is>
      </c>
      <c r="G890" s="3" t="n">
        <v>129.8</v>
      </c>
      <c r="H890" s="3" t="inlineStr"/>
      <c r="I890" s="2" t="inlineStr"/>
      <c r="J890" s="2" t="inlineStr">
        <is>
          <t>debit_auto</t>
        </is>
      </c>
      <c r="K890" s="2" t="inlineStr">
        <is>
          <t>tab: Fibra + Móvel; preço em débito em conta; +R$ 5.00 sem débito automático</t>
        </is>
      </c>
      <c r="L890" s="2" t="inlineStr">
        <is>
          <t>mobile+broadband</t>
        </is>
      </c>
      <c r="M890" s="2" t="inlineStr">
        <is>
          <t>Fiber + Mobile</t>
        </is>
      </c>
      <c r="N890" s="2" t="b">
        <v>1</v>
      </c>
      <c r="O890" s="2" t="b">
        <v>1</v>
      </c>
      <c r="P890" s="2" t="b">
        <v>0</v>
      </c>
      <c r="Q890" s="2" t="b">
        <v>0</v>
      </c>
      <c r="R890" s="4" t="n">
        <v>350</v>
      </c>
      <c r="S890" s="4" t="n">
        <v>40</v>
      </c>
      <c r="T890" s="4" t="n">
        <v>1</v>
      </c>
      <c r="U890" s="2" t="inlineStr"/>
      <c r="V890" s="2" t="inlineStr"/>
      <c r="W890" s="2" t="inlineStr"/>
      <c r="X890" s="2" t="inlineStr">
        <is>
          <t>Controle 40GB</t>
        </is>
      </c>
      <c r="Y890" s="2" t="inlineStr">
        <is>
          <t>https://www.claro.com.br/multi</t>
        </is>
      </c>
      <c r="Z890" s="2" t="inlineStr">
        <is>
          <t>data/raw/claro_convergent_multi_SP.html</t>
        </is>
      </c>
    </row>
    <row r="891">
      <c r="A891" s="5" t="inlineStr">
        <is>
          <t>2026-09-08</t>
        </is>
      </c>
      <c r="B891" s="5" t="inlineStr">
        <is>
          <t>2026-09-08T20:09:02</t>
        </is>
      </c>
      <c r="C891" s="5" t="inlineStr">
        <is>
          <t>claro</t>
        </is>
      </c>
      <c r="D891" s="5" t="inlineStr">
        <is>
          <t>SP</t>
        </is>
      </c>
      <c r="E891" s="5" t="inlineStr">
        <is>
          <t>350 Mega + Pós 100GB + Claro tv+ Box + Disney+ Amazon Prime + Netflix + HBO Max + Apple TV + Globoplay</t>
        </is>
      </c>
      <c r="F891" s="5" t="inlineStr">
        <is>
          <t>claro:746fa9cf-ea2b-40de-ad2c-5803b3e0ab08</t>
        </is>
      </c>
      <c r="G891" s="6" t="n">
        <v>249.8</v>
      </c>
      <c r="H891" s="6" t="inlineStr"/>
      <c r="I891" s="5" t="inlineStr"/>
      <c r="J891" s="5" t="inlineStr"/>
      <c r="K891" s="5" t="inlineStr">
        <is>
          <t>tab: Fibra + Móvel + TV</t>
        </is>
      </c>
      <c r="L891" s="5" t="inlineStr">
        <is>
          <t>mobile+broadband+tv</t>
        </is>
      </c>
      <c r="M891" s="5" t="inlineStr">
        <is>
          <t>Fiber + Mobile + TV</t>
        </is>
      </c>
      <c r="N891" s="5" t="b">
        <v>1</v>
      </c>
      <c r="O891" s="5" t="b">
        <v>1</v>
      </c>
      <c r="P891" s="5" t="b">
        <v>1</v>
      </c>
      <c r="Q891" s="5" t="b">
        <v>0</v>
      </c>
      <c r="R891" s="7" t="n">
        <v>350</v>
      </c>
      <c r="S891" s="7" t="n">
        <v>100</v>
      </c>
      <c r="T891" s="7" t="n">
        <v>1</v>
      </c>
      <c r="U891" s="5" t="inlineStr">
        <is>
          <t>Claro tv+ Box + Disney+ Amazon Prime + Netflix + HBO Max + Apple TV + Globoplay</t>
        </is>
      </c>
      <c r="V891" s="5" t="inlineStr"/>
      <c r="W891" s="5" t="inlineStr"/>
      <c r="X891" s="5" t="inlineStr">
        <is>
          <t>Pós 100GB</t>
        </is>
      </c>
      <c r="Y891" s="5" t="inlineStr">
        <is>
          <t>https://www.claro.com.br/multi</t>
        </is>
      </c>
      <c r="Z891" s="5" t="inlineStr">
        <is>
          <t>data/raw/claro_convergent_multi_SP.html</t>
        </is>
      </c>
    </row>
    <row r="892">
      <c r="A892" s="2" t="inlineStr">
        <is>
          <t>2026-09-08</t>
        </is>
      </c>
      <c r="B892" s="2" t="inlineStr">
        <is>
          <t>2026-09-08T20:09:02</t>
        </is>
      </c>
      <c r="C892" s="2" t="inlineStr">
        <is>
          <t>claro</t>
        </is>
      </c>
      <c r="D892" s="2" t="inlineStr">
        <is>
          <t>SP</t>
        </is>
      </c>
      <c r="E892" s="2" t="inlineStr">
        <is>
          <t>600 Mega + Claro tv+ Box + Disney+ Amazon Prime + Netflix + HBO Max + Apple TV + Globoplay</t>
        </is>
      </c>
      <c r="F892" s="2" t="inlineStr">
        <is>
          <t>claro:545261b1-2f4d-4dab-82a6-02d9e66c5d3d</t>
        </is>
      </c>
      <c r="G892" s="3" t="n">
        <v>239.8</v>
      </c>
      <c r="H892" s="3" t="inlineStr"/>
      <c r="I892" s="2" t="inlineStr"/>
      <c r="J892" s="2" t="inlineStr"/>
      <c r="K892" s="2" t="inlineStr">
        <is>
          <t>tab: Fibra + TV</t>
        </is>
      </c>
      <c r="L892" s="2" t="inlineStr">
        <is>
          <t>broadband+tv</t>
        </is>
      </c>
      <c r="M892" s="2" t="inlineStr">
        <is>
          <t>Fiber + TV</t>
        </is>
      </c>
      <c r="N892" s="2" t="b">
        <v>0</v>
      </c>
      <c r="O892" s="2" t="b">
        <v>1</v>
      </c>
      <c r="P892" s="2" t="b">
        <v>1</v>
      </c>
      <c r="Q892" s="2" t="b">
        <v>0</v>
      </c>
      <c r="R892" s="4" t="n">
        <v>600</v>
      </c>
      <c r="S892" s="4" t="inlineStr"/>
      <c r="T892" s="4" t="inlineStr"/>
      <c r="U892" s="2" t="inlineStr">
        <is>
          <t>Claro tv+ Box + Disney+ Amazon Prime + Netflix + HBO Max + Apple TV + Globoplay</t>
        </is>
      </c>
      <c r="V892" s="2" t="inlineStr"/>
      <c r="W892" s="2" t="inlineStr"/>
      <c r="X892" s="2" t="inlineStr"/>
      <c r="Y892" s="2" t="inlineStr">
        <is>
          <t>https://www.claro.com.br/multi</t>
        </is>
      </c>
      <c r="Z892" s="2" t="inlineStr">
        <is>
          <t>data/raw/claro_convergent_multi_SP.html</t>
        </is>
      </c>
    </row>
    <row r="893">
      <c r="A893" s="5" t="inlineStr">
        <is>
          <t>2026-09-08</t>
        </is>
      </c>
      <c r="B893" s="5" t="inlineStr">
        <is>
          <t>2026-09-08T20:09:02</t>
        </is>
      </c>
      <c r="C893" s="5" t="inlineStr">
        <is>
          <t>claro</t>
        </is>
      </c>
      <c r="D893" s="5" t="inlineStr">
        <is>
          <t>SP</t>
        </is>
      </c>
      <c r="E893" s="5" t="inlineStr">
        <is>
          <t>600 Mega + Pós 100GB</t>
        </is>
      </c>
      <c r="F893" s="5" t="inlineStr">
        <is>
          <t>claro:350ac58a-533c-4858-83be-be3ea39c8874</t>
        </is>
      </c>
      <c r="G893" s="6" t="n">
        <v>159.9</v>
      </c>
      <c r="H893" s="6" t="inlineStr"/>
      <c r="I893" s="5" t="inlineStr"/>
      <c r="J893" s="5" t="inlineStr"/>
      <c r="K893" s="5" t="inlineStr">
        <is>
          <t>tab: Fibra + Móvel</t>
        </is>
      </c>
      <c r="L893" s="5" t="inlineStr">
        <is>
          <t>mobile+broadband</t>
        </is>
      </c>
      <c r="M893" s="5" t="inlineStr">
        <is>
          <t>Fiber + Mobile</t>
        </is>
      </c>
      <c r="N893" s="5" t="b">
        <v>1</v>
      </c>
      <c r="O893" s="5" t="b">
        <v>1</v>
      </c>
      <c r="P893" s="5" t="b">
        <v>0</v>
      </c>
      <c r="Q893" s="5" t="b">
        <v>0</v>
      </c>
      <c r="R893" s="7" t="n">
        <v>600</v>
      </c>
      <c r="S893" s="7" t="n">
        <v>100</v>
      </c>
      <c r="T893" s="7" t="n">
        <v>1</v>
      </c>
      <c r="U893" s="5" t="inlineStr"/>
      <c r="V893" s="5" t="inlineStr"/>
      <c r="W893" s="5" t="inlineStr"/>
      <c r="X893" s="5" t="inlineStr">
        <is>
          <t>Pós 100GB</t>
        </is>
      </c>
      <c r="Y893" s="5" t="inlineStr">
        <is>
          <t>https://www.claro.com.br/multi</t>
        </is>
      </c>
      <c r="Z893" s="5" t="inlineStr">
        <is>
          <t>data/raw/claro_convergent_multi_SP.html</t>
        </is>
      </c>
    </row>
    <row r="894">
      <c r="A894" s="2" t="inlineStr">
        <is>
          <t>2026-09-08</t>
        </is>
      </c>
      <c r="B894" s="2" t="inlineStr">
        <is>
          <t>2026-09-08T20:09:02</t>
        </is>
      </c>
      <c r="C894" s="2" t="inlineStr">
        <is>
          <t>claro</t>
        </is>
      </c>
      <c r="D894" s="2" t="inlineStr">
        <is>
          <t>SP</t>
        </is>
      </c>
      <c r="E894" s="2" t="inlineStr">
        <is>
          <t>600 Mega + Pós 100GB + Claro tv+ Box + Disney+ Amazon Prime + Netflix + HBO Max + Apple TV + Globoplay</t>
        </is>
      </c>
      <c r="F894" s="2" t="inlineStr">
        <is>
          <t>claro:f36e7dfb-f7c9-4055-844f-7bc101699de8</t>
        </is>
      </c>
      <c r="G894" s="3" t="n">
        <v>269.8</v>
      </c>
      <c r="H894" s="3" t="inlineStr"/>
      <c r="I894" s="2" t="inlineStr"/>
      <c r="J894" s="2" t="inlineStr"/>
      <c r="K894" s="2" t="inlineStr">
        <is>
          <t>tab: Fibra + Móvel + TV</t>
        </is>
      </c>
      <c r="L894" s="2" t="inlineStr">
        <is>
          <t>mobile+broadband+tv</t>
        </is>
      </c>
      <c r="M894" s="2" t="inlineStr">
        <is>
          <t>Fiber + Mobile + TV</t>
        </is>
      </c>
      <c r="N894" s="2" t="b">
        <v>1</v>
      </c>
      <c r="O894" s="2" t="b">
        <v>1</v>
      </c>
      <c r="P894" s="2" t="b">
        <v>1</v>
      </c>
      <c r="Q894" s="2" t="b">
        <v>0</v>
      </c>
      <c r="R894" s="4" t="n">
        <v>600</v>
      </c>
      <c r="S894" s="4" t="n">
        <v>100</v>
      </c>
      <c r="T894" s="4" t="n">
        <v>1</v>
      </c>
      <c r="U894" s="2" t="inlineStr">
        <is>
          <t>Claro tv+ Box + Disney+ Amazon Prime + Netflix + HBO Max + Apple TV + Globoplay</t>
        </is>
      </c>
      <c r="V894" s="2" t="inlineStr"/>
      <c r="W894" s="2" t="inlineStr"/>
      <c r="X894" s="2" t="inlineStr">
        <is>
          <t>Pós 100GB</t>
        </is>
      </c>
      <c r="Y894" s="2" t="inlineStr">
        <is>
          <t>https://www.claro.com.br/multi</t>
        </is>
      </c>
      <c r="Z894" s="2" t="inlineStr">
        <is>
          <t>data/raw/claro_convergent_multi_SP.html</t>
        </is>
      </c>
    </row>
    <row r="895">
      <c r="A895" s="5" t="inlineStr">
        <is>
          <t>2026-09-08</t>
        </is>
      </c>
      <c r="B895" s="5" t="inlineStr">
        <is>
          <t>2026-09-08T20:09:02</t>
        </is>
      </c>
      <c r="C895" s="5" t="inlineStr">
        <is>
          <t>tim</t>
        </is>
      </c>
      <c r="D895" s="5" t="inlineStr">
        <is>
          <t>SP</t>
        </is>
      </c>
      <c r="E895" s="5" t="inlineStr">
        <is>
          <t>TIM Ultracombo 5</t>
        </is>
      </c>
      <c r="F895" s="5" t="inlineStr">
        <is>
          <t>tim:167756</t>
        </is>
      </c>
      <c r="G895" s="6" t="n">
        <v>169.99</v>
      </c>
      <c r="H895" s="6" t="inlineStr"/>
      <c r="I895" s="5" t="inlineStr"/>
      <c r="J895" s="5" t="inlineStr">
        <is>
          <t>debit_auto</t>
        </is>
      </c>
      <c r="K895" s="5" t="inlineStr">
        <is>
          <t>preço em débito automático; R$ 179,99/mês no pagamento por fatura</t>
        </is>
      </c>
      <c r="L895" s="5" t="inlineStr">
        <is>
          <t>mobile+broadband</t>
        </is>
      </c>
      <c r="M895" s="5" t="inlineStr">
        <is>
          <t>Fiber + Mobile</t>
        </is>
      </c>
      <c r="N895" s="5" t="b">
        <v>1</v>
      </c>
      <c r="O895" s="5" t="b">
        <v>1</v>
      </c>
      <c r="P895" s="5" t="b">
        <v>0</v>
      </c>
      <c r="Q895" s="5" t="b">
        <v>0</v>
      </c>
      <c r="R895" s="7" t="n">
        <v>1000</v>
      </c>
      <c r="S895" s="7" t="n">
        <v>115</v>
      </c>
      <c r="T895" s="7" t="n">
        <v>1</v>
      </c>
      <c r="U895" s="5" t="inlineStr"/>
      <c r="V895" s="5" t="inlineStr">
        <is>
          <t>Paramount+, Deezer</t>
        </is>
      </c>
      <c r="W895" s="5" t="inlineStr"/>
      <c r="X895" s="5" t="inlineStr">
        <is>
          <t>1GIGA de Ultrafibra para casa + 115GB de TIM Black C Hero para móvel: (25GB do plano + 40GB promo + 50GB bônus especial)</t>
        </is>
      </c>
      <c r="Y895" s="5" t="inlineStr">
        <is>
          <t>https://www.tim.com.br/sp/internet/tim-ultracombo</t>
        </is>
      </c>
      <c r="Z895" s="5" t="inlineStr">
        <is>
          <t>data/raw/tim_convergent_ultracombo_SP.html</t>
        </is>
      </c>
    </row>
    <row r="896">
      <c r="A896" s="2" t="inlineStr">
        <is>
          <t>2026-09-08</t>
        </is>
      </c>
      <c r="B896" s="2" t="inlineStr">
        <is>
          <t>2026-09-08T20:09:02</t>
        </is>
      </c>
      <c r="C896" s="2" t="inlineStr">
        <is>
          <t>tim</t>
        </is>
      </c>
      <c r="D896" s="2" t="inlineStr">
        <is>
          <t>SP</t>
        </is>
      </c>
      <c r="E896" s="2" t="inlineStr">
        <is>
          <t>TIM Ultracombo 6</t>
        </is>
      </c>
      <c r="F896" s="2" t="inlineStr">
        <is>
          <t>tim:167751</t>
        </is>
      </c>
      <c r="G896" s="3" t="n">
        <v>139.99</v>
      </c>
      <c r="H896" s="3" t="inlineStr"/>
      <c r="I896" s="2" t="inlineStr"/>
      <c r="J896" s="2" t="inlineStr">
        <is>
          <t>debit_auto</t>
        </is>
      </c>
      <c r="K896" s="2" t="inlineStr">
        <is>
          <t>preço em débito automático; R$ 149,99/mês no pagamento por fatura</t>
        </is>
      </c>
      <c r="L896" s="2" t="inlineStr">
        <is>
          <t>mobile+broadband</t>
        </is>
      </c>
      <c r="M896" s="2" t="inlineStr">
        <is>
          <t>Fiber + Mobile</t>
        </is>
      </c>
      <c r="N896" s="2" t="b">
        <v>1</v>
      </c>
      <c r="O896" s="2" t="b">
        <v>1</v>
      </c>
      <c r="P896" s="2" t="b">
        <v>0</v>
      </c>
      <c r="Q896" s="2" t="b">
        <v>0</v>
      </c>
      <c r="R896" s="4" t="n">
        <v>1000</v>
      </c>
      <c r="S896" s="4" t="n">
        <v>70</v>
      </c>
      <c r="T896" s="4" t="n">
        <v>1</v>
      </c>
      <c r="U896" s="2" t="inlineStr"/>
      <c r="V896" s="2" t="inlineStr">
        <is>
          <t>Paramount+, Deezer</t>
        </is>
      </c>
      <c r="W896" s="2" t="inlineStr"/>
      <c r="X896" s="2" t="inlineStr">
        <is>
          <t>1GIGA de Ultrafibra para casa + 70GB de TIM Black A para móvel: (15GB do plano + 50GB promo + 5GB bônus especial)</t>
        </is>
      </c>
      <c r="Y896" s="2" t="inlineStr">
        <is>
          <t>https://www.tim.com.br/sp/internet/tim-ultracombo</t>
        </is>
      </c>
      <c r="Z896" s="2" t="inlineStr">
        <is>
          <t>data/raw/tim_convergent_ultracombo_SP.html</t>
        </is>
      </c>
    </row>
    <row r="897">
      <c r="A897" s="5" t="inlineStr">
        <is>
          <t>2026-09-08</t>
        </is>
      </c>
      <c r="B897" s="5" t="inlineStr">
        <is>
          <t>2026-09-08T20:09:02</t>
        </is>
      </c>
      <c r="C897" s="5" t="inlineStr">
        <is>
          <t>tim</t>
        </is>
      </c>
      <c r="D897" s="5" t="inlineStr">
        <is>
          <t>SP</t>
        </is>
      </c>
      <c r="E897" s="5" t="inlineStr">
        <is>
          <t>TIM Ultracombo 7</t>
        </is>
      </c>
      <c r="F897" s="5" t="inlineStr">
        <is>
          <t>tim:167761</t>
        </is>
      </c>
      <c r="G897" s="6" t="n">
        <v>89.98999999999999</v>
      </c>
      <c r="H897" s="6" t="inlineStr"/>
      <c r="I897" s="5" t="inlineStr"/>
      <c r="J897" s="5" t="inlineStr">
        <is>
          <t>debit_auto</t>
        </is>
      </c>
      <c r="K897" s="5" t="inlineStr">
        <is>
          <t>preço em débito automático; R$ 99,99/mês no pagamento por fatura</t>
        </is>
      </c>
      <c r="L897" s="5" t="inlineStr">
        <is>
          <t>mobile+broadband</t>
        </is>
      </c>
      <c r="M897" s="5" t="inlineStr">
        <is>
          <t>Fiber + Mobile</t>
        </is>
      </c>
      <c r="N897" s="5" t="b">
        <v>1</v>
      </c>
      <c r="O897" s="5" t="b">
        <v>1</v>
      </c>
      <c r="P897" s="5" t="b">
        <v>0</v>
      </c>
      <c r="Q897" s="5" t="b">
        <v>0</v>
      </c>
      <c r="R897" s="7" t="n">
        <v>500</v>
      </c>
      <c r="S897" s="7" t="n">
        <v>65</v>
      </c>
      <c r="T897" s="7" t="n">
        <v>1</v>
      </c>
      <c r="U897" s="5" t="inlineStr"/>
      <c r="V897" s="5" t="inlineStr"/>
      <c r="W897" s="5" t="inlineStr"/>
      <c r="X897" s="5" t="inlineStr">
        <is>
          <t>500MEGA de Ultrafibra para casa + 65GB de TIM Black A Light para móvel: (10GB do plano + 50GB promo)</t>
        </is>
      </c>
      <c r="Y897" s="5" t="inlineStr">
        <is>
          <t>https://www.tim.com.br/sp/internet/tim-ultracombo</t>
        </is>
      </c>
      <c r="Z897" s="5" t="inlineStr">
        <is>
          <t>data/raw/tim_convergent_ultracombo_SP.html</t>
        </is>
      </c>
    </row>
    <row r="898">
      <c r="A898" s="2" t="inlineStr">
        <is>
          <t>2026-09-08</t>
        </is>
      </c>
      <c r="B898" s="2" t="inlineStr">
        <is>
          <t>2026-09-08T20:09:02</t>
        </is>
      </c>
      <c r="C898" s="2" t="inlineStr">
        <is>
          <t>vivo</t>
        </is>
      </c>
      <c r="D898" s="2" t="inlineStr">
        <is>
          <t>SP</t>
        </is>
      </c>
      <c r="E898" s="2" t="inlineStr">
        <is>
          <t>Vivo Família 2 + TV</t>
        </is>
      </c>
      <c r="F898" s="2" t="inlineStr">
        <is>
          <t>vivo:VIV202604032132-3-305-316-336-408-411-426-430-442</t>
        </is>
      </c>
      <c r="G898" s="3" t="n">
        <v>290</v>
      </c>
      <c r="H898" s="3" t="inlineStr"/>
      <c r="I898" s="2" t="inlineStr"/>
      <c r="J898" s="2" t="inlineStr"/>
      <c r="K898" s="2" t="inlineStr">
        <is>
          <t>instalação grátis mediante fidelização (não afeta a mensalidade)</t>
        </is>
      </c>
      <c r="L898" s="2" t="inlineStr">
        <is>
          <t>mobile+broadband+tv</t>
        </is>
      </c>
      <c r="M898" s="2" t="inlineStr">
        <is>
          <t>Fiber + Mobile + TV</t>
        </is>
      </c>
      <c r="N898" s="2" t="b">
        <v>1</v>
      </c>
      <c r="O898" s="2" t="b">
        <v>1</v>
      </c>
      <c r="P898" s="2" t="b">
        <v>1</v>
      </c>
      <c r="Q898" s="2" t="b">
        <v>0</v>
      </c>
      <c r="R898" s="4" t="n">
        <v>700</v>
      </c>
      <c r="S898" s="4" t="n">
        <v>120</v>
      </c>
      <c r="T898" s="4" t="n">
        <v>2</v>
      </c>
      <c r="U898" s="2" t="inlineStr">
        <is>
          <t>80 canais de Vivo Estendido</t>
        </is>
      </c>
      <c r="V898" s="2" t="inlineStr"/>
      <c r="W898" s="2" t="inlineStr">
        <is>
          <t>Vivo Travel Américas e Europa; 1 linha adicional inclusa</t>
        </is>
      </c>
      <c r="X898" s="2" t="inlineStr">
        <is>
          <t>700 Mega de Vivo Fibra</t>
        </is>
      </c>
      <c r="Y898" s="2" t="inlineStr">
        <is>
          <t>https://vivo.com.br/para-voce/produtos-e-servicos/combos/vivo-total</t>
        </is>
      </c>
      <c r="Z898" s="2" t="inlineStr">
        <is>
          <t>data/raw/vivo_convergent_total_SP.html</t>
        </is>
      </c>
    </row>
    <row r="899">
      <c r="A899" s="5" t="inlineStr">
        <is>
          <t>2026-09-08</t>
        </is>
      </c>
      <c r="B899" s="5" t="inlineStr">
        <is>
          <t>2026-09-08T20:09:02</t>
        </is>
      </c>
      <c r="C899" s="5" t="inlineStr">
        <is>
          <t>vivo</t>
        </is>
      </c>
      <c r="D899" s="5" t="inlineStr">
        <is>
          <t>SP</t>
        </is>
      </c>
      <c r="E899" s="5" t="inlineStr">
        <is>
          <t>Vivo Família 2 + TV</t>
        </is>
      </c>
      <c r="F899" s="5" t="inlineStr">
        <is>
          <t>vivo:VIV202604032112-3-9-305-316-408-411-426-430-442</t>
        </is>
      </c>
      <c r="G899" s="6" t="n">
        <v>390</v>
      </c>
      <c r="H899" s="6" t="inlineStr"/>
      <c r="I899" s="5" t="inlineStr"/>
      <c r="J899" s="5" t="inlineStr"/>
      <c r="K899" s="5" t="inlineStr">
        <is>
          <t>instalação grátis mediante fidelização (não afeta a mensalidade)</t>
        </is>
      </c>
      <c r="L899" s="5" t="inlineStr">
        <is>
          <t>mobile+broadband+tv</t>
        </is>
      </c>
      <c r="M899" s="5" t="inlineStr">
        <is>
          <t>Fiber + Mobile + TV</t>
        </is>
      </c>
      <c r="N899" s="5" t="b">
        <v>1</v>
      </c>
      <c r="O899" s="5" t="b">
        <v>1</v>
      </c>
      <c r="P899" s="5" t="b">
        <v>1</v>
      </c>
      <c r="Q899" s="5" t="b">
        <v>0</v>
      </c>
      <c r="R899" s="7" t="n">
        <v>700</v>
      </c>
      <c r="S899" s="7" t="n">
        <v>120</v>
      </c>
      <c r="T899" s="7" t="n">
        <v>2</v>
      </c>
      <c r="U899" s="5" t="inlineStr">
        <is>
          <t>120 canais de Vivo TV Avançado + 1 ponto adicional</t>
        </is>
      </c>
      <c r="V899" s="5" t="inlineStr"/>
      <c r="W899" s="5" t="inlineStr">
        <is>
          <t>Vivo Travel Américas e Europa; 1 linha adicional inclusa</t>
        </is>
      </c>
      <c r="X899" s="5" t="inlineStr">
        <is>
          <t>700 Mega de Vivo Fibra</t>
        </is>
      </c>
      <c r="Y899" s="5" t="inlineStr">
        <is>
          <t>https://vivo.com.br/para-voce/produtos-e-servicos/combos/vivo-total</t>
        </is>
      </c>
      <c r="Z899" s="5" t="inlineStr">
        <is>
          <t>data/raw/vivo_convergent_total_SP.html</t>
        </is>
      </c>
    </row>
    <row r="900">
      <c r="A900" s="2" t="inlineStr">
        <is>
          <t>2026-09-08</t>
        </is>
      </c>
      <c r="B900" s="2" t="inlineStr">
        <is>
          <t>2026-09-08T20:09:02</t>
        </is>
      </c>
      <c r="C900" s="2" t="inlineStr">
        <is>
          <t>vivo</t>
        </is>
      </c>
      <c r="D900" s="2" t="inlineStr">
        <is>
          <t>SP</t>
        </is>
      </c>
      <c r="E900" s="2" t="inlineStr">
        <is>
          <t>Vivo Total Família 2</t>
        </is>
      </c>
      <c r="F900" s="2" t="inlineStr">
        <is>
          <t>vivo:VIV202604032132-3-305-316-408-411-426-430-442</t>
        </is>
      </c>
      <c r="G900" s="3" t="n">
        <v>270</v>
      </c>
      <c r="H900" s="3" t="inlineStr"/>
      <c r="I900" s="2" t="inlineStr"/>
      <c r="J900" s="2" t="inlineStr"/>
      <c r="K900" s="2" t="inlineStr">
        <is>
          <t>instalação grátis mediante fidelização (não afeta a mensalidade)</t>
        </is>
      </c>
      <c r="L900" s="2" t="inlineStr">
        <is>
          <t>mobile+broadband</t>
        </is>
      </c>
      <c r="M900" s="2" t="inlineStr">
        <is>
          <t>Fiber + Mobile</t>
        </is>
      </c>
      <c r="N900" s="2" t="b">
        <v>1</v>
      </c>
      <c r="O900" s="2" t="b">
        <v>1</v>
      </c>
      <c r="P900" s="2" t="b">
        <v>0</v>
      </c>
      <c r="Q900" s="2" t="b">
        <v>0</v>
      </c>
      <c r="R900" s="4" t="n">
        <v>700</v>
      </c>
      <c r="S900" s="4" t="n">
        <v>120</v>
      </c>
      <c r="T900" s="4" t="n">
        <v>2</v>
      </c>
      <c r="U900" s="2" t="inlineStr"/>
      <c r="V900" s="2" t="inlineStr"/>
      <c r="W900" s="2" t="inlineStr">
        <is>
          <t>Vivo Travel Américas e Europa; 1 linha adicional inclusa</t>
        </is>
      </c>
      <c r="X900" s="2" t="inlineStr">
        <is>
          <t>700 Mega de Vivo Fibra</t>
        </is>
      </c>
      <c r="Y900" s="2" t="inlineStr">
        <is>
          <t>https://vivo.com.br/para-voce/produtos-e-servicos/combos/vivo-total</t>
        </is>
      </c>
      <c r="Z900" s="2" t="inlineStr">
        <is>
          <t>data/raw/vivo_convergent_total_SP.html</t>
        </is>
      </c>
    </row>
    <row r="901">
      <c r="A901" s="5" t="inlineStr">
        <is>
          <t>2026-09-08</t>
        </is>
      </c>
      <c r="B901" s="5" t="inlineStr">
        <is>
          <t>2026-09-08T20:09:02</t>
        </is>
      </c>
      <c r="C901" s="5" t="inlineStr">
        <is>
          <t>vivo</t>
        </is>
      </c>
      <c r="D901" s="5" t="inlineStr">
        <is>
          <t>SP</t>
        </is>
      </c>
      <c r="E901" s="5" t="inlineStr">
        <is>
          <t>Vivo Total Família 3</t>
        </is>
      </c>
      <c r="F901" s="5" t="inlineStr">
        <is>
          <t>vivo:VIV202604032212-4-305-316-408-411-426-430-442</t>
        </is>
      </c>
      <c r="G901" s="6" t="n">
        <v>330</v>
      </c>
      <c r="H901" s="6" t="inlineStr"/>
      <c r="I901" s="5" t="inlineStr"/>
      <c r="J901" s="5" t="inlineStr"/>
      <c r="K901" s="5" t="inlineStr">
        <is>
          <t>instalação grátis mediante fidelização (não afeta a mensalidade)</t>
        </is>
      </c>
      <c r="L901" s="5" t="inlineStr">
        <is>
          <t>mobile+broadband</t>
        </is>
      </c>
      <c r="M901" s="5" t="inlineStr">
        <is>
          <t>Fiber + Mobile</t>
        </is>
      </c>
      <c r="N901" s="5" t="b">
        <v>1</v>
      </c>
      <c r="O901" s="5" t="b">
        <v>1</v>
      </c>
      <c r="P901" s="5" t="b">
        <v>0</v>
      </c>
      <c r="Q901" s="5" t="b">
        <v>0</v>
      </c>
      <c r="R901" s="7" t="n">
        <v>700</v>
      </c>
      <c r="S901" s="7" t="n">
        <v>180</v>
      </c>
      <c r="T901" s="7" t="n">
        <v>3</v>
      </c>
      <c r="U901" s="5" t="inlineStr"/>
      <c r="V901" s="5" t="inlineStr"/>
      <c r="W901" s="5" t="inlineStr">
        <is>
          <t>Vivo Travel Américas e Europa; 2 linhas adicionais inclusas</t>
        </is>
      </c>
      <c r="X901" s="5" t="inlineStr">
        <is>
          <t>700 Mega de Vivo Fibra</t>
        </is>
      </c>
      <c r="Y901" s="5" t="inlineStr">
        <is>
          <t>https://vivo.com.br/para-voce/produtos-e-servicos/combos/vivo-total</t>
        </is>
      </c>
      <c r="Z901" s="5" t="inlineStr">
        <is>
          <t>data/raw/vivo_convergent_total_SP.html</t>
        </is>
      </c>
    </row>
    <row r="902">
      <c r="A902" s="2" t="inlineStr">
        <is>
          <t>2026-09-08</t>
        </is>
      </c>
      <c r="B902" s="2" t="inlineStr">
        <is>
          <t>2026-09-08T20:09:02</t>
        </is>
      </c>
      <c r="C902" s="2" t="inlineStr">
        <is>
          <t>vivo</t>
        </is>
      </c>
      <c r="D902" s="2" t="inlineStr">
        <is>
          <t>SP</t>
        </is>
      </c>
      <c r="E902" s="2" t="inlineStr">
        <is>
          <t>Vivo Total Família 4</t>
        </is>
      </c>
      <c r="F902" s="2" t="inlineStr">
        <is>
          <t>vivo:VIV202604032292-237-305-316-408-411-426-430-442</t>
        </is>
      </c>
      <c r="G902" s="3" t="n">
        <v>420</v>
      </c>
      <c r="H902" s="3" t="inlineStr"/>
      <c r="I902" s="2" t="inlineStr"/>
      <c r="J902" s="2" t="inlineStr"/>
      <c r="K902" s="2" t="inlineStr">
        <is>
          <t>instalação grátis mediante fidelização (não afeta a mensalidade)</t>
        </is>
      </c>
      <c r="L902" s="2" t="inlineStr">
        <is>
          <t>mobile+broadband</t>
        </is>
      </c>
      <c r="M902" s="2" t="inlineStr">
        <is>
          <t>Fiber + Mobile</t>
        </is>
      </c>
      <c r="N902" s="2" t="b">
        <v>1</v>
      </c>
      <c r="O902" s="2" t="b">
        <v>1</v>
      </c>
      <c r="P902" s="2" t="b">
        <v>0</v>
      </c>
      <c r="Q902" s="2" t="b">
        <v>0</v>
      </c>
      <c r="R902" s="4" t="n">
        <v>700</v>
      </c>
      <c r="S902" s="4" t="n">
        <v>240</v>
      </c>
      <c r="T902" s="4" t="n">
        <v>4</v>
      </c>
      <c r="U902" s="2" t="inlineStr"/>
      <c r="V902" s="2" t="inlineStr"/>
      <c r="W902" s="2" t="inlineStr">
        <is>
          <t>Vivo Travel Américas e Europa; 3 linhas adicionais inclusas</t>
        </is>
      </c>
      <c r="X902" s="2" t="inlineStr">
        <is>
          <t>700 Mega de Vivo Fibra</t>
        </is>
      </c>
      <c r="Y902" s="2" t="inlineStr">
        <is>
          <t>https://vivo.com.br/para-voce/produtos-e-servicos/combos/vivo-total</t>
        </is>
      </c>
      <c r="Z902" s="2" t="inlineStr">
        <is>
          <t>data/raw/vivo_convergent_total_SP.html</t>
        </is>
      </c>
    </row>
    <row r="903">
      <c r="A903" s="5" t="inlineStr">
        <is>
          <t>2026-09-08</t>
        </is>
      </c>
      <c r="B903" s="5" t="inlineStr">
        <is>
          <t>2026-09-08T20:09:02</t>
        </is>
      </c>
      <c r="C903" s="5" t="inlineStr">
        <is>
          <t>vivo</t>
        </is>
      </c>
      <c r="D903" s="5" t="inlineStr">
        <is>
          <t>SP</t>
        </is>
      </c>
      <c r="E903" s="5" t="inlineStr">
        <is>
          <t>Vivo Total Família 5</t>
        </is>
      </c>
      <c r="F903" s="5" t="inlineStr">
        <is>
          <t>vivo:VIV202604032372-5-305-316-408-411-426-430-442</t>
        </is>
      </c>
      <c r="G903" s="6" t="n">
        <v>520</v>
      </c>
      <c r="H903" s="6" t="inlineStr"/>
      <c r="I903" s="5" t="inlineStr"/>
      <c r="J903" s="5" t="inlineStr"/>
      <c r="K903" s="5" t="inlineStr">
        <is>
          <t>instalação grátis mediante fidelização (não afeta a mensalidade)</t>
        </is>
      </c>
      <c r="L903" s="5" t="inlineStr">
        <is>
          <t>mobile+broadband</t>
        </is>
      </c>
      <c r="M903" s="5" t="inlineStr">
        <is>
          <t>Fiber + Mobile</t>
        </is>
      </c>
      <c r="N903" s="5" t="b">
        <v>1</v>
      </c>
      <c r="O903" s="5" t="b">
        <v>1</v>
      </c>
      <c r="P903" s="5" t="b">
        <v>0</v>
      </c>
      <c r="Q903" s="5" t="b">
        <v>0</v>
      </c>
      <c r="R903" s="7" t="n">
        <v>700</v>
      </c>
      <c r="S903" s="7" t="n">
        <v>300</v>
      </c>
      <c r="T903" s="7" t="n">
        <v>5</v>
      </c>
      <c r="U903" s="5" t="inlineStr"/>
      <c r="V903" s="5" t="inlineStr"/>
      <c r="W903" s="5" t="inlineStr">
        <is>
          <t>Vivo Travel Américas e Europa; 4 linhas adicionais inclusas</t>
        </is>
      </c>
      <c r="X903" s="5" t="inlineStr">
        <is>
          <t>700 Mega de Vivo Fibra</t>
        </is>
      </c>
      <c r="Y903" s="5" t="inlineStr">
        <is>
          <t>https://vivo.com.br/para-voce/produtos-e-servicos/combos/vivo-total</t>
        </is>
      </c>
      <c r="Z903" s="5" t="inlineStr">
        <is>
          <t>data/raw/vivo_convergent_total_SP.html</t>
        </is>
      </c>
    </row>
    <row r="904">
      <c r="A904" s="2" t="inlineStr">
        <is>
          <t>2026-09-08</t>
        </is>
      </c>
      <c r="B904" s="2" t="inlineStr">
        <is>
          <t>2026-09-08T20:09:02</t>
        </is>
      </c>
      <c r="C904" s="2" t="inlineStr">
        <is>
          <t>vivo</t>
        </is>
      </c>
      <c r="D904" s="2" t="inlineStr">
        <is>
          <t>SP</t>
        </is>
      </c>
      <c r="E904" s="2" t="inlineStr">
        <is>
          <t>Vivo Total Pro</t>
        </is>
      </c>
      <c r="F904" s="2" t="inlineStr">
        <is>
          <t>vivo:VIV202604031772-2-305-308-316-326-342-411-430</t>
        </is>
      </c>
      <c r="G904" s="3" t="n">
        <v>160</v>
      </c>
      <c r="H904" s="3" t="inlineStr"/>
      <c r="I904" s="2" t="inlineStr"/>
      <c r="J904" s="2" t="inlineStr"/>
      <c r="K904" s="2" t="inlineStr">
        <is>
          <t>instalação grátis mediante fidelização (não afeta a mensalidade)</t>
        </is>
      </c>
      <c r="L904" s="2" t="inlineStr">
        <is>
          <t>mobile+broadband</t>
        </is>
      </c>
      <c r="M904" s="2" t="inlineStr">
        <is>
          <t>Fiber + Mobile</t>
        </is>
      </c>
      <c r="N904" s="2" t="b">
        <v>1</v>
      </c>
      <c r="O904" s="2" t="b">
        <v>1</v>
      </c>
      <c r="P904" s="2" t="b">
        <v>0</v>
      </c>
      <c r="Q904" s="2" t="b">
        <v>0</v>
      </c>
      <c r="R904" s="4" t="n">
        <v>500</v>
      </c>
      <c r="S904" s="4" t="n">
        <v>70</v>
      </c>
      <c r="T904" s="4" t="n">
        <v>1</v>
      </c>
      <c r="U904" s="2" t="inlineStr"/>
      <c r="V904" s="2" t="inlineStr"/>
      <c r="W904" s="2" t="inlineStr">
        <is>
          <t>Vivo Travel Américas; 50 GB de franquia + 20 GB de bônus</t>
        </is>
      </c>
      <c r="X904" s="2" t="inlineStr">
        <is>
          <t>500 Mega de Vivo Fibra</t>
        </is>
      </c>
      <c r="Y904" s="2" t="inlineStr">
        <is>
          <t>https://vivo.com.br/para-voce/produtos-e-servicos/combos/vivo-total</t>
        </is>
      </c>
      <c r="Z904" s="2" t="inlineStr">
        <is>
          <t>data/raw/vivo_convergent_total_SP.html</t>
        </is>
      </c>
    </row>
    <row r="905">
      <c r="A905" s="5" t="inlineStr">
        <is>
          <t>2026-09-08</t>
        </is>
      </c>
      <c r="B905" s="5" t="inlineStr">
        <is>
          <t>2026-09-08T20:09:02</t>
        </is>
      </c>
      <c r="C905" s="5" t="inlineStr">
        <is>
          <t>vivo</t>
        </is>
      </c>
      <c r="D905" s="5" t="inlineStr">
        <is>
          <t>SP</t>
        </is>
      </c>
      <c r="E905" s="5" t="inlineStr">
        <is>
          <t>Vivo Total Ultra</t>
        </is>
      </c>
      <c r="F905" s="5" t="inlineStr">
        <is>
          <t>vivo:VIV202604032034-305-313-316-408-411-426-430-442</t>
        </is>
      </c>
      <c r="G905" s="6" t="n">
        <v>190</v>
      </c>
      <c r="H905" s="6" t="inlineStr"/>
      <c r="I905" s="5" t="inlineStr"/>
      <c r="J905" s="5" t="inlineStr"/>
      <c r="K905" s="5" t="inlineStr">
        <is>
          <t>instalação grátis mediante fidelização (não afeta a mensalidade)</t>
        </is>
      </c>
      <c r="L905" s="5" t="inlineStr">
        <is>
          <t>mobile+broadband</t>
        </is>
      </c>
      <c r="M905" s="5" t="inlineStr">
        <is>
          <t>Fiber + Mobile</t>
        </is>
      </c>
      <c r="N905" s="5" t="b">
        <v>1</v>
      </c>
      <c r="O905" s="5" t="b">
        <v>1</v>
      </c>
      <c r="P905" s="5" t="b">
        <v>0</v>
      </c>
      <c r="Q905" s="5" t="b">
        <v>0</v>
      </c>
      <c r="R905" s="7" t="n">
        <v>700</v>
      </c>
      <c r="S905" s="7" t="n">
        <v>80</v>
      </c>
      <c r="T905" s="7" t="n">
        <v>1</v>
      </c>
      <c r="U905" s="5" t="inlineStr"/>
      <c r="V905" s="5" t="inlineStr"/>
      <c r="W905" s="5" t="inlineStr">
        <is>
          <t>Vivo Travel Américas; 70 GB de franquia + 10 GB de bônus</t>
        </is>
      </c>
      <c r="X905" s="5" t="inlineStr">
        <is>
          <t>700 Mega de Vivo Fibra</t>
        </is>
      </c>
      <c r="Y905" s="5" t="inlineStr">
        <is>
          <t>https://vivo.com.br/para-voce/produtos-e-servicos/combos/vivo-total</t>
        </is>
      </c>
      <c r="Z905" s="5" t="inlineStr">
        <is>
          <t>data/raw/vivo_convergent_total_SP.html</t>
        </is>
      </c>
    </row>
    <row r="906">
      <c r="A906" s="2" t="inlineStr">
        <is>
          <t>2026-09-08</t>
        </is>
      </c>
      <c r="B906" s="2" t="inlineStr">
        <is>
          <t>2026-09-08T20:09:02</t>
        </is>
      </c>
      <c r="C906" s="2" t="inlineStr">
        <is>
          <t>vivo</t>
        </is>
      </c>
      <c r="D906" s="2" t="inlineStr">
        <is>
          <t>SP</t>
        </is>
      </c>
      <c r="E906" s="2" t="inlineStr">
        <is>
          <t>Vivo Total Ultra + TV</t>
        </is>
      </c>
      <c r="F906" s="2" t="inlineStr">
        <is>
          <t>vivo:VIV202604031882-9-305-313-316-408-411-426-430-442</t>
        </is>
      </c>
      <c r="G906" s="3" t="n">
        <v>310</v>
      </c>
      <c r="H906" s="3" t="inlineStr"/>
      <c r="I906" s="2" t="inlineStr"/>
      <c r="J906" s="2" t="inlineStr"/>
      <c r="K906" s="2" t="inlineStr">
        <is>
          <t>instalação grátis mediante fidelização (não afeta a mensalidade)</t>
        </is>
      </c>
      <c r="L906" s="2" t="inlineStr">
        <is>
          <t>mobile+broadband+tv</t>
        </is>
      </c>
      <c r="M906" s="2" t="inlineStr">
        <is>
          <t>Fiber + Mobile + TV</t>
        </is>
      </c>
      <c r="N906" s="2" t="b">
        <v>1</v>
      </c>
      <c r="O906" s="2" t="b">
        <v>1</v>
      </c>
      <c r="P906" s="2" t="b">
        <v>1</v>
      </c>
      <c r="Q906" s="2" t="b">
        <v>0</v>
      </c>
      <c r="R906" s="4" t="n">
        <v>700</v>
      </c>
      <c r="S906" s="4" t="n">
        <v>80</v>
      </c>
      <c r="T906" s="4" t="n">
        <v>1</v>
      </c>
      <c r="U906" s="2" t="inlineStr">
        <is>
          <t>120 canais de Vivo TV Avançado + 1 ponto adicional</t>
        </is>
      </c>
      <c r="V906" s="2" t="inlineStr"/>
      <c r="W906" s="2" t="inlineStr">
        <is>
          <t>Vivo Travel Américas; 70 GB de franquia + 10 GB de bônus</t>
        </is>
      </c>
      <c r="X906" s="2" t="inlineStr">
        <is>
          <t>700 Mega de Vivo Fibra</t>
        </is>
      </c>
      <c r="Y906" s="2" t="inlineStr">
        <is>
          <t>https://vivo.com.br/para-voce/produtos-e-servicos/combos/vivo-total</t>
        </is>
      </c>
      <c r="Z906" s="2" t="inlineStr">
        <is>
          <t>data/raw/vivo_convergent_total_SP.html</t>
        </is>
      </c>
    </row>
    <row r="907">
      <c r="A907" s="5" t="inlineStr">
        <is>
          <t>2026-09-08</t>
        </is>
      </c>
      <c r="B907" s="5" t="inlineStr">
        <is>
          <t>2026-09-08T20:09:02</t>
        </is>
      </c>
      <c r="C907" s="5" t="inlineStr">
        <is>
          <t>vivo</t>
        </is>
      </c>
      <c r="D907" s="5" t="inlineStr">
        <is>
          <t>SP</t>
        </is>
      </c>
      <c r="E907" s="5" t="inlineStr">
        <is>
          <t>Vivo Total Ultra + TV online</t>
        </is>
      </c>
      <c r="F907" s="5" t="inlineStr">
        <is>
          <t>vivo:VIV202604032034-305-313-316-336-408-411-426-430-442</t>
        </is>
      </c>
      <c r="G907" s="6" t="n">
        <v>210</v>
      </c>
      <c r="H907" s="6" t="inlineStr"/>
      <c r="I907" s="5" t="inlineStr"/>
      <c r="J907" s="5" t="inlineStr"/>
      <c r="K907" s="5" t="inlineStr">
        <is>
          <t>instalação grátis mediante fidelização (não afeta a mensalidade)</t>
        </is>
      </c>
      <c r="L907" s="5" t="inlineStr">
        <is>
          <t>mobile+broadband+tv</t>
        </is>
      </c>
      <c r="M907" s="5" t="inlineStr">
        <is>
          <t>Fiber + Mobile + TV</t>
        </is>
      </c>
      <c r="N907" s="5" t="b">
        <v>1</v>
      </c>
      <c r="O907" s="5" t="b">
        <v>1</v>
      </c>
      <c r="P907" s="5" t="b">
        <v>1</v>
      </c>
      <c r="Q907" s="5" t="b">
        <v>0</v>
      </c>
      <c r="R907" s="7" t="n">
        <v>700</v>
      </c>
      <c r="S907" s="7" t="n">
        <v>80</v>
      </c>
      <c r="T907" s="7" t="n">
        <v>1</v>
      </c>
      <c r="U907" s="5" t="inlineStr">
        <is>
          <t>80 canais de Vivo Estendido</t>
        </is>
      </c>
      <c r="V907" s="5" t="inlineStr"/>
      <c r="W907" s="5" t="inlineStr">
        <is>
          <t>Vivo Travel Américas; 70 GB de franquia + 10 GB de bônus</t>
        </is>
      </c>
      <c r="X907" s="5" t="inlineStr">
        <is>
          <t>700 Mega de Vivo Fibra</t>
        </is>
      </c>
      <c r="Y907" s="5" t="inlineStr">
        <is>
          <t>https://vivo.com.br/para-voce/produtos-e-servicos/combos/vivo-total</t>
        </is>
      </c>
      <c r="Z907" s="5" t="inlineStr">
        <is>
          <t>data/raw/vivo_convergent_total_SP.html</t>
        </is>
      </c>
    </row>
    <row r="908">
      <c r="A908" s="2" t="inlineStr">
        <is>
          <t>2026-09-08</t>
        </is>
      </c>
      <c r="B908" s="2" t="inlineStr">
        <is>
          <t>2026-09-08T20:09:02</t>
        </is>
      </c>
      <c r="C908" s="2" t="inlineStr">
        <is>
          <t>vivo</t>
        </is>
      </c>
      <c r="D908" s="2" t="inlineStr">
        <is>
          <t>SP</t>
        </is>
      </c>
      <c r="E908" s="2" t="inlineStr">
        <is>
          <t>Vivo Total V 1 Giga</t>
        </is>
      </c>
      <c r="F908" s="2" t="inlineStr">
        <is>
          <t>vivo:VIV202604032532-2-305-316-408-426-430-442</t>
        </is>
      </c>
      <c r="G908" s="3" t="n">
        <v>1200</v>
      </c>
      <c r="H908" s="3" t="inlineStr"/>
      <c r="I908" s="2" t="inlineStr"/>
      <c r="J908" s="2" t="inlineStr"/>
      <c r="K908" s="2" t="inlineStr">
        <is>
          <t>instalação grátis mediante fidelização (não afeta a mensalidade)</t>
        </is>
      </c>
      <c r="L908" s="2" t="inlineStr">
        <is>
          <t>mobile+broadband+tv</t>
        </is>
      </c>
      <c r="M908" s="2" t="inlineStr">
        <is>
          <t>Fiber + Mobile + TV</t>
        </is>
      </c>
      <c r="N908" s="2" t="b">
        <v>1</v>
      </c>
      <c r="O908" s="2" t="b">
        <v>1</v>
      </c>
      <c r="P908" s="2" t="b">
        <v>1</v>
      </c>
      <c r="Q908" s="2" t="b">
        <v>0</v>
      </c>
      <c r="R908" s="4" t="n">
        <v>1000</v>
      </c>
      <c r="S908" s="4" t="n">
        <v>600</v>
      </c>
      <c r="T908" s="4" t="n">
        <v>11</v>
      </c>
      <c r="U908" s="2" t="inlineStr">
        <is>
          <t>Vivo TV Completo com HBO Max e Telecine</t>
        </is>
      </c>
      <c r="V908" s="2" t="inlineStr"/>
      <c r="W908" s="2" t="inlineStr">
        <is>
          <t>Vivo Travel Mundo; 10 linhas adicionais inclusas; Vivo TV Completo com HBO Max e Telecine</t>
        </is>
      </c>
      <c r="X908" s="2" t="inlineStr">
        <is>
          <t>1Giga de Vivo Fibra</t>
        </is>
      </c>
      <c r="Y908" s="2" t="inlineStr">
        <is>
          <t>https://vivo.com.br/para-voce/produtos-e-servicos/combos/vivo-total</t>
        </is>
      </c>
      <c r="Z908" s="2" t="inlineStr">
        <is>
          <t>data/raw/vivo_convergent_total_SP.html</t>
        </is>
      </c>
    </row>
    <row r="909">
      <c r="A909" s="5" t="inlineStr">
        <is>
          <t>2026-09-09</t>
        </is>
      </c>
      <c r="B909" s="5" t="inlineStr">
        <is>
          <t>2026-09-09T02:52:30</t>
        </is>
      </c>
      <c r="C909" s="5" t="inlineStr">
        <is>
          <t>claro</t>
        </is>
      </c>
      <c r="D909" s="5" t="inlineStr">
        <is>
          <t>SP</t>
        </is>
      </c>
      <c r="E909" s="5" t="inlineStr">
        <is>
          <t>1 Giga + Claro tv+ Box + Disney+ Amazon Prime + Netflix + HBO Max + Apple TV + Globoplay</t>
        </is>
      </c>
      <c r="F909" s="5" t="inlineStr">
        <is>
          <t>claro:af8152be-4aa7-4aa8-819a-a79687a3a9a0</t>
        </is>
      </c>
      <c r="G909" s="6" t="n">
        <v>319.8</v>
      </c>
      <c r="H909" s="6" t="inlineStr"/>
      <c r="I909" s="5" t="inlineStr"/>
      <c r="J909" s="5" t="inlineStr"/>
      <c r="K909" s="5" t="inlineStr">
        <is>
          <t>tab: Fibra + TV</t>
        </is>
      </c>
      <c r="L909" s="5" t="inlineStr">
        <is>
          <t>broadband+tv</t>
        </is>
      </c>
      <c r="M909" s="5" t="inlineStr">
        <is>
          <t>Fiber + TV</t>
        </is>
      </c>
      <c r="N909" s="5" t="b">
        <v>0</v>
      </c>
      <c r="O909" s="5" t="b">
        <v>1</v>
      </c>
      <c r="P909" s="5" t="b">
        <v>1</v>
      </c>
      <c r="Q909" s="5" t="b">
        <v>0</v>
      </c>
      <c r="R909" s="7" t="n">
        <v>1000</v>
      </c>
      <c r="S909" s="7" t="inlineStr"/>
      <c r="T909" s="7" t="inlineStr"/>
      <c r="U909" s="5" t="inlineStr">
        <is>
          <t>Claro tv+ Box + Disney+ Amazon Prime + Netflix + HBO Max + Apple TV + Globoplay</t>
        </is>
      </c>
      <c r="V909" s="5" t="inlineStr"/>
      <c r="W909" s="5" t="inlineStr"/>
      <c r="X909" s="5" t="inlineStr"/>
      <c r="Y909" s="5" t="inlineStr">
        <is>
          <t>https://www.claro.com.br/multi</t>
        </is>
      </c>
      <c r="Z909" s="5" t="inlineStr">
        <is>
          <t>data/raw/claro_convergent_multi_SP.html</t>
        </is>
      </c>
    </row>
    <row r="910">
      <c r="A910" s="2" t="inlineStr">
        <is>
          <t>2026-09-09</t>
        </is>
      </c>
      <c r="B910" s="2" t="inlineStr">
        <is>
          <t>2026-09-09T02:52:30</t>
        </is>
      </c>
      <c r="C910" s="2" t="inlineStr">
        <is>
          <t>claro</t>
        </is>
      </c>
      <c r="D910" s="2" t="inlineStr">
        <is>
          <t>SP</t>
        </is>
      </c>
      <c r="E910" s="2" t="inlineStr">
        <is>
          <t>1 Giga + Claro tv+ Soundbox + Disney+ Amazon Prime + Netflix + HBO Max + Apple TV + Globoplay</t>
        </is>
      </c>
      <c r="F910" s="2" t="inlineStr">
        <is>
          <t>claro:ceb9fd87-0897-4dd2-a2f2-e7f09e714e49</t>
        </is>
      </c>
      <c r="G910" s="3" t="n">
        <v>429.8</v>
      </c>
      <c r="H910" s="3" t="inlineStr"/>
      <c r="I910" s="2" t="inlineStr"/>
      <c r="J910" s="2" t="inlineStr"/>
      <c r="K910" s="2" t="inlineStr">
        <is>
          <t>tab: Fibra + TV</t>
        </is>
      </c>
      <c r="L910" s="2" t="inlineStr">
        <is>
          <t>broadband+tv</t>
        </is>
      </c>
      <c r="M910" s="2" t="inlineStr">
        <is>
          <t>Fiber + TV</t>
        </is>
      </c>
      <c r="N910" s="2" t="b">
        <v>0</v>
      </c>
      <c r="O910" s="2" t="b">
        <v>1</v>
      </c>
      <c r="P910" s="2" t="b">
        <v>1</v>
      </c>
      <c r="Q910" s="2" t="b">
        <v>0</v>
      </c>
      <c r="R910" s="4" t="n">
        <v>1000</v>
      </c>
      <c r="S910" s="4" t="inlineStr"/>
      <c r="T910" s="4" t="inlineStr"/>
      <c r="U910" s="2" t="inlineStr">
        <is>
          <t>Claro tv+ Soundbox + Disney+ Amazon Prime + Netflix + HBO Max + Apple TV + Globoplay</t>
        </is>
      </c>
      <c r="V910" s="2" t="inlineStr"/>
      <c r="W910" s="2" t="inlineStr"/>
      <c r="X910" s="2" t="inlineStr"/>
      <c r="Y910" s="2" t="inlineStr">
        <is>
          <t>https://www.claro.com.br/multi</t>
        </is>
      </c>
      <c r="Z910" s="2" t="inlineStr">
        <is>
          <t>data/raw/claro_convergent_multi_SP.html</t>
        </is>
      </c>
    </row>
    <row r="911">
      <c r="A911" s="5" t="inlineStr">
        <is>
          <t>2026-09-09</t>
        </is>
      </c>
      <c r="B911" s="5" t="inlineStr">
        <is>
          <t>2026-09-09T02:52:30</t>
        </is>
      </c>
      <c r="C911" s="5" t="inlineStr">
        <is>
          <t>claro</t>
        </is>
      </c>
      <c r="D911" s="5" t="inlineStr">
        <is>
          <t>SP</t>
        </is>
      </c>
      <c r="E911" s="5" t="inlineStr">
        <is>
          <t>1 Giga + Pós 100GB</t>
        </is>
      </c>
      <c r="F911" s="5" t="inlineStr">
        <is>
          <t>claro:a1de0ac1-61bb-4e97-a744-1ae4c3541673</t>
        </is>
      </c>
      <c r="G911" s="6" t="n">
        <v>179.9</v>
      </c>
      <c r="H911" s="6" t="inlineStr"/>
      <c r="I911" s="5" t="inlineStr"/>
      <c r="J911" s="5" t="inlineStr"/>
      <c r="K911" s="5" t="inlineStr">
        <is>
          <t>tab: Fibra + Móvel</t>
        </is>
      </c>
      <c r="L911" s="5" t="inlineStr">
        <is>
          <t>mobile+broadband</t>
        </is>
      </c>
      <c r="M911" s="5" t="inlineStr">
        <is>
          <t>Fiber + Mobile</t>
        </is>
      </c>
      <c r="N911" s="5" t="b">
        <v>1</v>
      </c>
      <c r="O911" s="5" t="b">
        <v>1</v>
      </c>
      <c r="P911" s="5" t="b">
        <v>0</v>
      </c>
      <c r="Q911" s="5" t="b">
        <v>0</v>
      </c>
      <c r="R911" s="7" t="n">
        <v>1000</v>
      </c>
      <c r="S911" s="7" t="n">
        <v>100</v>
      </c>
      <c r="T911" s="7" t="n">
        <v>1</v>
      </c>
      <c r="U911" s="5" t="inlineStr"/>
      <c r="V911" s="5" t="inlineStr"/>
      <c r="W911" s="5" t="inlineStr"/>
      <c r="X911" s="5" t="inlineStr">
        <is>
          <t>Pós 100GB</t>
        </is>
      </c>
      <c r="Y911" s="5" t="inlineStr">
        <is>
          <t>https://www.claro.com.br/multi</t>
        </is>
      </c>
      <c r="Z911" s="5" t="inlineStr">
        <is>
          <t>data/raw/claro_convergent_multi_SP.html</t>
        </is>
      </c>
    </row>
    <row r="912">
      <c r="A912" s="2" t="inlineStr">
        <is>
          <t>2026-09-09</t>
        </is>
      </c>
      <c r="B912" s="2" t="inlineStr">
        <is>
          <t>2026-09-09T02:52:30</t>
        </is>
      </c>
      <c r="C912" s="2" t="inlineStr">
        <is>
          <t>claro</t>
        </is>
      </c>
      <c r="D912" s="2" t="inlineStr">
        <is>
          <t>SP</t>
        </is>
      </c>
      <c r="E912" s="2" t="inlineStr">
        <is>
          <t>1 Giga + Pós 100GB + Claro tv+ Box + Disney+ Amazon Prime + Netflix + HBO Max + Apple TV + Globoplay</t>
        </is>
      </c>
      <c r="F912" s="2" t="inlineStr">
        <is>
          <t>claro:548c4bad-7857-4c0c-94d5-45d33d66c57f</t>
        </is>
      </c>
      <c r="G912" s="3" t="n">
        <v>289.8</v>
      </c>
      <c r="H912" s="3" t="inlineStr"/>
      <c r="I912" s="2" t="inlineStr"/>
      <c r="J912" s="2" t="inlineStr"/>
      <c r="K912" s="2" t="inlineStr">
        <is>
          <t>tab: Fibra + Móvel + TV</t>
        </is>
      </c>
      <c r="L912" s="2" t="inlineStr">
        <is>
          <t>mobile+broadband+tv</t>
        </is>
      </c>
      <c r="M912" s="2" t="inlineStr">
        <is>
          <t>Fiber + Mobile + TV</t>
        </is>
      </c>
      <c r="N912" s="2" t="b">
        <v>1</v>
      </c>
      <c r="O912" s="2" t="b">
        <v>1</v>
      </c>
      <c r="P912" s="2" t="b">
        <v>1</v>
      </c>
      <c r="Q912" s="2" t="b">
        <v>0</v>
      </c>
      <c r="R912" s="4" t="n">
        <v>1000</v>
      </c>
      <c r="S912" s="4" t="n">
        <v>100</v>
      </c>
      <c r="T912" s="4" t="n">
        <v>1</v>
      </c>
      <c r="U912" s="2" t="inlineStr">
        <is>
          <t>Claro tv+ Box + Disney+ Amazon Prime + Netflix + HBO Max + Apple TV + Globoplay</t>
        </is>
      </c>
      <c r="V912" s="2" t="inlineStr"/>
      <c r="W912" s="2" t="inlineStr"/>
      <c r="X912" s="2" t="inlineStr">
        <is>
          <t>Pós 100GB</t>
        </is>
      </c>
      <c r="Y912" s="2" t="inlineStr">
        <is>
          <t>https://www.claro.com.br/multi</t>
        </is>
      </c>
      <c r="Z912" s="2" t="inlineStr">
        <is>
          <t>data/raw/claro_convergent_multi_SP.html</t>
        </is>
      </c>
    </row>
    <row r="913">
      <c r="A913" s="5" t="inlineStr">
        <is>
          <t>2026-09-09</t>
        </is>
      </c>
      <c r="B913" s="5" t="inlineStr">
        <is>
          <t>2026-09-09T02:52:30</t>
        </is>
      </c>
      <c r="C913" s="5" t="inlineStr">
        <is>
          <t>claro</t>
        </is>
      </c>
      <c r="D913" s="5" t="inlineStr">
        <is>
          <t>SP</t>
        </is>
      </c>
      <c r="E913" s="5" t="inlineStr">
        <is>
          <t>1 Giga + Pós 150GB</t>
        </is>
      </c>
      <c r="F913" s="5" t="inlineStr">
        <is>
          <t>claro:d47e2a3b-dfd0-410e-9c24-d07a334d01d4</t>
        </is>
      </c>
      <c r="G913" s="6" t="n">
        <v>299.9</v>
      </c>
      <c r="H913" s="6" t="inlineStr"/>
      <c r="I913" s="5" t="inlineStr"/>
      <c r="J913" s="5" t="inlineStr"/>
      <c r="K913" s="5" t="inlineStr">
        <is>
          <t>tab: Fibra + Móvel</t>
        </is>
      </c>
      <c r="L913" s="5" t="inlineStr">
        <is>
          <t>mobile+broadband</t>
        </is>
      </c>
      <c r="M913" s="5" t="inlineStr">
        <is>
          <t>Fiber + Mobile</t>
        </is>
      </c>
      <c r="N913" s="5" t="b">
        <v>1</v>
      </c>
      <c r="O913" s="5" t="b">
        <v>1</v>
      </c>
      <c r="P913" s="5" t="b">
        <v>0</v>
      </c>
      <c r="Q913" s="5" t="b">
        <v>0</v>
      </c>
      <c r="R913" s="7" t="n">
        <v>1000</v>
      </c>
      <c r="S913" s="7" t="n">
        <v>150</v>
      </c>
      <c r="T913" s="7" t="n">
        <v>2</v>
      </c>
      <c r="U913" s="5" t="inlineStr"/>
      <c r="V913" s="5" t="inlineStr"/>
      <c r="W913" s="5" t="inlineStr"/>
      <c r="X913" s="5" t="inlineStr">
        <is>
          <t>Pós 150GB</t>
        </is>
      </c>
      <c r="Y913" s="5" t="inlineStr">
        <is>
          <t>https://www.claro.com.br/multi</t>
        </is>
      </c>
      <c r="Z913" s="5" t="inlineStr">
        <is>
          <t>data/raw/claro_convergent_multi_SP.html</t>
        </is>
      </c>
    </row>
    <row r="914">
      <c r="A914" s="2" t="inlineStr">
        <is>
          <t>2026-09-09</t>
        </is>
      </c>
      <c r="B914" s="2" t="inlineStr">
        <is>
          <t>2026-09-09T02:52:30</t>
        </is>
      </c>
      <c r="C914" s="2" t="inlineStr">
        <is>
          <t>claro</t>
        </is>
      </c>
      <c r="D914" s="2" t="inlineStr">
        <is>
          <t>SP</t>
        </is>
      </c>
      <c r="E914" s="2" t="inlineStr">
        <is>
          <t>1 Giga + Pós 150GB + Claro tv+ Box + Disney+ Amazon Prime + Netflix + HBO Max + Apple TV + Globoplay</t>
        </is>
      </c>
      <c r="F914" s="2" t="inlineStr">
        <is>
          <t>claro:7785b449-69f2-4234-9e24-8837e32a55c0</t>
        </is>
      </c>
      <c r="G914" s="3" t="n">
        <v>409.8</v>
      </c>
      <c r="H914" s="3" t="inlineStr"/>
      <c r="I914" s="2" t="inlineStr"/>
      <c r="J914" s="2" t="inlineStr"/>
      <c r="K914" s="2" t="inlineStr">
        <is>
          <t>tab: Fibra + Móvel + TV</t>
        </is>
      </c>
      <c r="L914" s="2" t="inlineStr">
        <is>
          <t>mobile+broadband+tv</t>
        </is>
      </c>
      <c r="M914" s="2" t="inlineStr">
        <is>
          <t>Fiber + Mobile + TV</t>
        </is>
      </c>
      <c r="N914" s="2" t="b">
        <v>1</v>
      </c>
      <c r="O914" s="2" t="b">
        <v>1</v>
      </c>
      <c r="P914" s="2" t="b">
        <v>1</v>
      </c>
      <c r="Q914" s="2" t="b">
        <v>0</v>
      </c>
      <c r="R914" s="4" t="n">
        <v>1000</v>
      </c>
      <c r="S914" s="4" t="n">
        <v>150</v>
      </c>
      <c r="T914" s="4" t="n">
        <v>1</v>
      </c>
      <c r="U914" s="2" t="inlineStr">
        <is>
          <t>Claro tv+ Box + Disney+ Amazon Prime + Netflix + HBO Max + Apple TV + Globoplay</t>
        </is>
      </c>
      <c r="V914" s="2" t="inlineStr"/>
      <c r="W914" s="2" t="inlineStr"/>
      <c r="X914" s="2" t="inlineStr">
        <is>
          <t>Pós 150GB</t>
        </is>
      </c>
      <c r="Y914" s="2" t="inlineStr">
        <is>
          <t>https://www.claro.com.br/multi</t>
        </is>
      </c>
      <c r="Z914" s="2" t="inlineStr">
        <is>
          <t>data/raw/claro_convergent_multi_SP.html</t>
        </is>
      </c>
    </row>
    <row r="915">
      <c r="A915" s="5" t="inlineStr">
        <is>
          <t>2026-09-09</t>
        </is>
      </c>
      <c r="B915" s="5" t="inlineStr">
        <is>
          <t>2026-09-09T02:52:30</t>
        </is>
      </c>
      <c r="C915" s="5" t="inlineStr">
        <is>
          <t>claro</t>
        </is>
      </c>
      <c r="D915" s="5" t="inlineStr">
        <is>
          <t>SP</t>
        </is>
      </c>
      <c r="E915" s="5" t="inlineStr">
        <is>
          <t>1 Giga + Pós 200GB</t>
        </is>
      </c>
      <c r="F915" s="5" t="inlineStr">
        <is>
          <t>claro:1961a62d-3213-4ff0-a152-401a45c5b1b5</t>
        </is>
      </c>
      <c r="G915" s="6" t="n">
        <v>359.9</v>
      </c>
      <c r="H915" s="6" t="inlineStr"/>
      <c r="I915" s="5" t="inlineStr"/>
      <c r="J915" s="5" t="inlineStr"/>
      <c r="K915" s="5" t="inlineStr">
        <is>
          <t>tab: Fibra + Móvel</t>
        </is>
      </c>
      <c r="L915" s="5" t="inlineStr">
        <is>
          <t>mobile+broadband</t>
        </is>
      </c>
      <c r="M915" s="5" t="inlineStr">
        <is>
          <t>Fiber + Mobile</t>
        </is>
      </c>
      <c r="N915" s="5" t="b">
        <v>1</v>
      </c>
      <c r="O915" s="5" t="b">
        <v>1</v>
      </c>
      <c r="P915" s="5" t="b">
        <v>0</v>
      </c>
      <c r="Q915" s="5" t="b">
        <v>0</v>
      </c>
      <c r="R915" s="7" t="n">
        <v>1000</v>
      </c>
      <c r="S915" s="7" t="n">
        <v>200</v>
      </c>
      <c r="T915" s="7" t="n">
        <v>3</v>
      </c>
      <c r="U915" s="5" t="inlineStr"/>
      <c r="V915" s="5" t="inlineStr"/>
      <c r="W915" s="5" t="inlineStr"/>
      <c r="X915" s="5" t="inlineStr">
        <is>
          <t>Pós 200GB</t>
        </is>
      </c>
      <c r="Y915" s="5" t="inlineStr">
        <is>
          <t>https://www.claro.com.br/multi</t>
        </is>
      </c>
      <c r="Z915" s="5" t="inlineStr">
        <is>
          <t>data/raw/claro_convergent_multi_SP.html</t>
        </is>
      </c>
    </row>
    <row r="916">
      <c r="A916" s="2" t="inlineStr">
        <is>
          <t>2026-09-09</t>
        </is>
      </c>
      <c r="B916" s="2" t="inlineStr">
        <is>
          <t>2026-09-09T02:52:30</t>
        </is>
      </c>
      <c r="C916" s="2" t="inlineStr">
        <is>
          <t>claro</t>
        </is>
      </c>
      <c r="D916" s="2" t="inlineStr">
        <is>
          <t>SP</t>
        </is>
      </c>
      <c r="E916" s="2" t="inlineStr">
        <is>
          <t>1 Giga + Pós 200GB + Claro tv+ Box + Disney+ Amazon Prime + Netflix + HBO Max + Apple TV + Globoplay</t>
        </is>
      </c>
      <c r="F916" s="2" t="inlineStr">
        <is>
          <t>claro:312815a2-b3a5-43bb-89a1-272d53ccb212</t>
        </is>
      </c>
      <c r="G916" s="3" t="n">
        <v>469.8</v>
      </c>
      <c r="H916" s="3" t="inlineStr"/>
      <c r="I916" s="2" t="inlineStr"/>
      <c r="J916" s="2" t="inlineStr"/>
      <c r="K916" s="2" t="inlineStr">
        <is>
          <t>tab: Fibra + Móvel + TV</t>
        </is>
      </c>
      <c r="L916" s="2" t="inlineStr">
        <is>
          <t>mobile+broadband+tv</t>
        </is>
      </c>
      <c r="M916" s="2" t="inlineStr">
        <is>
          <t>Fiber + Mobile + TV</t>
        </is>
      </c>
      <c r="N916" s="2" t="b">
        <v>1</v>
      </c>
      <c r="O916" s="2" t="b">
        <v>1</v>
      </c>
      <c r="P916" s="2" t="b">
        <v>1</v>
      </c>
      <c r="Q916" s="2" t="b">
        <v>0</v>
      </c>
      <c r="R916" s="4" t="n">
        <v>1000</v>
      </c>
      <c r="S916" s="4" t="n">
        <v>200</v>
      </c>
      <c r="T916" s="4" t="n">
        <v>1</v>
      </c>
      <c r="U916" s="2" t="inlineStr">
        <is>
          <t>Claro tv+ Box + Disney+ Amazon Prime + Netflix + HBO Max + Apple TV + Globoplay</t>
        </is>
      </c>
      <c r="V916" s="2" t="inlineStr"/>
      <c r="W916" s="2" t="inlineStr"/>
      <c r="X916" s="2" t="inlineStr">
        <is>
          <t>Pós 200GB</t>
        </is>
      </c>
      <c r="Y916" s="2" t="inlineStr">
        <is>
          <t>https://www.claro.com.br/multi</t>
        </is>
      </c>
      <c r="Z916" s="2" t="inlineStr">
        <is>
          <t>data/raw/claro_convergent_multi_SP.html</t>
        </is>
      </c>
    </row>
    <row r="917">
      <c r="A917" s="5" t="inlineStr">
        <is>
          <t>2026-09-09</t>
        </is>
      </c>
      <c r="B917" s="5" t="inlineStr">
        <is>
          <t>2026-09-09T02:52:30</t>
        </is>
      </c>
      <c r="C917" s="5" t="inlineStr">
        <is>
          <t>claro</t>
        </is>
      </c>
      <c r="D917" s="5" t="inlineStr">
        <is>
          <t>SP</t>
        </is>
      </c>
      <c r="E917" s="5" t="inlineStr">
        <is>
          <t>350 Mega + Claro tv+ Box + Disney+ Amazon Prime + Netflix + HBO Max + Apple TV + Globoplay</t>
        </is>
      </c>
      <c r="F917" s="5" t="inlineStr">
        <is>
          <t>claro:97b00450-6f21-4349-8363-83d624b18328</t>
        </is>
      </c>
      <c r="G917" s="6" t="n">
        <v>229.8</v>
      </c>
      <c r="H917" s="6" t="inlineStr"/>
      <c r="I917" s="5" t="inlineStr"/>
      <c r="J917" s="5" t="inlineStr"/>
      <c r="K917" s="5" t="inlineStr">
        <is>
          <t>tab: Fibra + TV</t>
        </is>
      </c>
      <c r="L917" s="5" t="inlineStr">
        <is>
          <t>broadband+tv</t>
        </is>
      </c>
      <c r="M917" s="5" t="inlineStr">
        <is>
          <t>Fiber + TV</t>
        </is>
      </c>
      <c r="N917" s="5" t="b">
        <v>0</v>
      </c>
      <c r="O917" s="5" t="b">
        <v>1</v>
      </c>
      <c r="P917" s="5" t="b">
        <v>1</v>
      </c>
      <c r="Q917" s="5" t="b">
        <v>0</v>
      </c>
      <c r="R917" s="7" t="n">
        <v>350</v>
      </c>
      <c r="S917" s="7" t="inlineStr"/>
      <c r="T917" s="7" t="inlineStr"/>
      <c r="U917" s="5" t="inlineStr">
        <is>
          <t>Claro tv+ Box + Disney+ Amazon Prime + Netflix + HBO Max + Apple TV + Globoplay</t>
        </is>
      </c>
      <c r="V917" s="5" t="inlineStr"/>
      <c r="W917" s="5" t="inlineStr"/>
      <c r="X917" s="5" t="inlineStr"/>
      <c r="Y917" s="5" t="inlineStr">
        <is>
          <t>https://www.claro.com.br/multi</t>
        </is>
      </c>
      <c r="Z917" s="5" t="inlineStr">
        <is>
          <t>data/raw/claro_convergent_multi_SP.html</t>
        </is>
      </c>
    </row>
    <row r="918">
      <c r="A918" s="2" t="inlineStr">
        <is>
          <t>2026-09-09</t>
        </is>
      </c>
      <c r="B918" s="2" t="inlineStr">
        <is>
          <t>2026-09-09T02:52:30</t>
        </is>
      </c>
      <c r="C918" s="2" t="inlineStr">
        <is>
          <t>claro</t>
        </is>
      </c>
      <c r="D918" s="2" t="inlineStr">
        <is>
          <t>SP</t>
        </is>
      </c>
      <c r="E918" s="2" t="inlineStr">
        <is>
          <t>350 Mega + Controle 40GB</t>
        </is>
      </c>
      <c r="F918" s="2" t="inlineStr">
        <is>
          <t>claro:a866ea9a-6a70-4b6e-b886-f8178086ca91</t>
        </is>
      </c>
      <c r="G918" s="3" t="n">
        <v>129.8</v>
      </c>
      <c r="H918" s="3" t="inlineStr"/>
      <c r="I918" s="2" t="inlineStr"/>
      <c r="J918" s="2" t="inlineStr">
        <is>
          <t>debit_auto</t>
        </is>
      </c>
      <c r="K918" s="2" t="inlineStr">
        <is>
          <t>tab: Fibra + Móvel; preço em débito em conta; +R$ 5.00 sem débito automático</t>
        </is>
      </c>
      <c r="L918" s="2" t="inlineStr">
        <is>
          <t>mobile+broadband</t>
        </is>
      </c>
      <c r="M918" s="2" t="inlineStr">
        <is>
          <t>Fiber + Mobile</t>
        </is>
      </c>
      <c r="N918" s="2" t="b">
        <v>1</v>
      </c>
      <c r="O918" s="2" t="b">
        <v>1</v>
      </c>
      <c r="P918" s="2" t="b">
        <v>0</v>
      </c>
      <c r="Q918" s="2" t="b">
        <v>0</v>
      </c>
      <c r="R918" s="4" t="n">
        <v>350</v>
      </c>
      <c r="S918" s="4" t="n">
        <v>40</v>
      </c>
      <c r="T918" s="4" t="n">
        <v>1</v>
      </c>
      <c r="U918" s="2" t="inlineStr"/>
      <c r="V918" s="2" t="inlineStr"/>
      <c r="W918" s="2" t="inlineStr"/>
      <c r="X918" s="2" t="inlineStr">
        <is>
          <t>Controle 40GB</t>
        </is>
      </c>
      <c r="Y918" s="2" t="inlineStr">
        <is>
          <t>https://www.claro.com.br/multi</t>
        </is>
      </c>
      <c r="Z918" s="2" t="inlineStr">
        <is>
          <t>data/raw/claro_convergent_multi_SP.html</t>
        </is>
      </c>
    </row>
    <row r="919">
      <c r="A919" s="5" t="inlineStr">
        <is>
          <t>2026-09-09</t>
        </is>
      </c>
      <c r="B919" s="5" t="inlineStr">
        <is>
          <t>2026-09-09T02:52:30</t>
        </is>
      </c>
      <c r="C919" s="5" t="inlineStr">
        <is>
          <t>claro</t>
        </is>
      </c>
      <c r="D919" s="5" t="inlineStr">
        <is>
          <t>SP</t>
        </is>
      </c>
      <c r="E919" s="5" t="inlineStr">
        <is>
          <t>350 Mega + Pós 100GB + Claro tv+ Box + Disney+ Amazon Prime + Netflix + HBO Max + Apple TV + Globoplay</t>
        </is>
      </c>
      <c r="F919" s="5" t="inlineStr">
        <is>
          <t>claro:746fa9cf-ea2b-40de-ad2c-5803b3e0ab08</t>
        </is>
      </c>
      <c r="G919" s="6" t="n">
        <v>249.8</v>
      </c>
      <c r="H919" s="6" t="inlineStr"/>
      <c r="I919" s="5" t="inlineStr"/>
      <c r="J919" s="5" t="inlineStr"/>
      <c r="K919" s="5" t="inlineStr">
        <is>
          <t>tab: Fibra + Móvel + TV</t>
        </is>
      </c>
      <c r="L919" s="5" t="inlineStr">
        <is>
          <t>mobile+broadband+tv</t>
        </is>
      </c>
      <c r="M919" s="5" t="inlineStr">
        <is>
          <t>Fiber + Mobile + TV</t>
        </is>
      </c>
      <c r="N919" s="5" t="b">
        <v>1</v>
      </c>
      <c r="O919" s="5" t="b">
        <v>1</v>
      </c>
      <c r="P919" s="5" t="b">
        <v>1</v>
      </c>
      <c r="Q919" s="5" t="b">
        <v>0</v>
      </c>
      <c r="R919" s="7" t="n">
        <v>350</v>
      </c>
      <c r="S919" s="7" t="n">
        <v>100</v>
      </c>
      <c r="T919" s="7" t="n">
        <v>1</v>
      </c>
      <c r="U919" s="5" t="inlineStr">
        <is>
          <t>Claro tv+ Box + Disney+ Amazon Prime + Netflix + HBO Max + Apple TV + Globoplay</t>
        </is>
      </c>
      <c r="V919" s="5" t="inlineStr"/>
      <c r="W919" s="5" t="inlineStr"/>
      <c r="X919" s="5" t="inlineStr">
        <is>
          <t>Pós 100GB</t>
        </is>
      </c>
      <c r="Y919" s="5" t="inlineStr">
        <is>
          <t>https://www.claro.com.br/multi</t>
        </is>
      </c>
      <c r="Z919" s="5" t="inlineStr">
        <is>
          <t>data/raw/claro_convergent_multi_SP.html</t>
        </is>
      </c>
    </row>
    <row r="920">
      <c r="A920" s="2" t="inlineStr">
        <is>
          <t>2026-09-09</t>
        </is>
      </c>
      <c r="B920" s="2" t="inlineStr">
        <is>
          <t>2026-09-09T02:52:30</t>
        </is>
      </c>
      <c r="C920" s="2" t="inlineStr">
        <is>
          <t>claro</t>
        </is>
      </c>
      <c r="D920" s="2" t="inlineStr">
        <is>
          <t>SP</t>
        </is>
      </c>
      <c r="E920" s="2" t="inlineStr">
        <is>
          <t>600 Mega + Claro tv+ Box + Disney+ Amazon Prime + Netflix + HBO Max + Apple TV + Globoplay</t>
        </is>
      </c>
      <c r="F920" s="2" t="inlineStr">
        <is>
          <t>claro:545261b1-2f4d-4dab-82a6-02d9e66c5d3d</t>
        </is>
      </c>
      <c r="G920" s="3" t="n">
        <v>239.8</v>
      </c>
      <c r="H920" s="3" t="inlineStr"/>
      <c r="I920" s="2" t="inlineStr"/>
      <c r="J920" s="2" t="inlineStr"/>
      <c r="K920" s="2" t="inlineStr">
        <is>
          <t>tab: Fibra + TV</t>
        </is>
      </c>
      <c r="L920" s="2" t="inlineStr">
        <is>
          <t>broadband+tv</t>
        </is>
      </c>
      <c r="M920" s="2" t="inlineStr">
        <is>
          <t>Fiber + TV</t>
        </is>
      </c>
      <c r="N920" s="2" t="b">
        <v>0</v>
      </c>
      <c r="O920" s="2" t="b">
        <v>1</v>
      </c>
      <c r="P920" s="2" t="b">
        <v>1</v>
      </c>
      <c r="Q920" s="2" t="b">
        <v>0</v>
      </c>
      <c r="R920" s="4" t="n">
        <v>600</v>
      </c>
      <c r="S920" s="4" t="inlineStr"/>
      <c r="T920" s="4" t="inlineStr"/>
      <c r="U920" s="2" t="inlineStr">
        <is>
          <t>Claro tv+ Box + Disney+ Amazon Prime + Netflix + HBO Max + Apple TV + Globoplay</t>
        </is>
      </c>
      <c r="V920" s="2" t="inlineStr"/>
      <c r="W920" s="2" t="inlineStr"/>
      <c r="X920" s="2" t="inlineStr"/>
      <c r="Y920" s="2" t="inlineStr">
        <is>
          <t>https://www.claro.com.br/multi</t>
        </is>
      </c>
      <c r="Z920" s="2" t="inlineStr">
        <is>
          <t>data/raw/claro_convergent_multi_SP.html</t>
        </is>
      </c>
    </row>
    <row r="921">
      <c r="A921" s="5" t="inlineStr">
        <is>
          <t>2026-09-09</t>
        </is>
      </c>
      <c r="B921" s="5" t="inlineStr">
        <is>
          <t>2026-09-09T02:52:30</t>
        </is>
      </c>
      <c r="C921" s="5" t="inlineStr">
        <is>
          <t>claro</t>
        </is>
      </c>
      <c r="D921" s="5" t="inlineStr">
        <is>
          <t>SP</t>
        </is>
      </c>
      <c r="E921" s="5" t="inlineStr">
        <is>
          <t>600 Mega + Pós 100GB</t>
        </is>
      </c>
      <c r="F921" s="5" t="inlineStr">
        <is>
          <t>claro:350ac58a-533c-4858-83be-be3ea39c8874</t>
        </is>
      </c>
      <c r="G921" s="6" t="n">
        <v>159.9</v>
      </c>
      <c r="H921" s="6" t="inlineStr"/>
      <c r="I921" s="5" t="inlineStr"/>
      <c r="J921" s="5" t="inlineStr"/>
      <c r="K921" s="5" t="inlineStr">
        <is>
          <t>tab: Fibra + Móvel</t>
        </is>
      </c>
      <c r="L921" s="5" t="inlineStr">
        <is>
          <t>mobile+broadband</t>
        </is>
      </c>
      <c r="M921" s="5" t="inlineStr">
        <is>
          <t>Fiber + Mobile</t>
        </is>
      </c>
      <c r="N921" s="5" t="b">
        <v>1</v>
      </c>
      <c r="O921" s="5" t="b">
        <v>1</v>
      </c>
      <c r="P921" s="5" t="b">
        <v>0</v>
      </c>
      <c r="Q921" s="5" t="b">
        <v>0</v>
      </c>
      <c r="R921" s="7" t="n">
        <v>600</v>
      </c>
      <c r="S921" s="7" t="n">
        <v>100</v>
      </c>
      <c r="T921" s="7" t="n">
        <v>1</v>
      </c>
      <c r="U921" s="5" t="inlineStr"/>
      <c r="V921" s="5" t="inlineStr"/>
      <c r="W921" s="5" t="inlineStr"/>
      <c r="X921" s="5" t="inlineStr">
        <is>
          <t>Pós 100GB</t>
        </is>
      </c>
      <c r="Y921" s="5" t="inlineStr">
        <is>
          <t>https://www.claro.com.br/multi</t>
        </is>
      </c>
      <c r="Z921" s="5" t="inlineStr">
        <is>
          <t>data/raw/claro_convergent_multi_SP.html</t>
        </is>
      </c>
    </row>
    <row r="922">
      <c r="A922" s="2" t="inlineStr">
        <is>
          <t>2026-09-09</t>
        </is>
      </c>
      <c r="B922" s="2" t="inlineStr">
        <is>
          <t>2026-09-09T02:52:30</t>
        </is>
      </c>
      <c r="C922" s="2" t="inlineStr">
        <is>
          <t>claro</t>
        </is>
      </c>
      <c r="D922" s="2" t="inlineStr">
        <is>
          <t>SP</t>
        </is>
      </c>
      <c r="E922" s="2" t="inlineStr">
        <is>
          <t>600 Mega + Pós 100GB + Claro tv+ Box + Disney+ Amazon Prime + Netflix + HBO Max + Apple TV + Globoplay</t>
        </is>
      </c>
      <c r="F922" s="2" t="inlineStr">
        <is>
          <t>claro:f36e7dfb-f7c9-4055-844f-7bc101699de8</t>
        </is>
      </c>
      <c r="G922" s="3" t="n">
        <v>269.8</v>
      </c>
      <c r="H922" s="3" t="inlineStr"/>
      <c r="I922" s="2" t="inlineStr"/>
      <c r="J922" s="2" t="inlineStr"/>
      <c r="K922" s="2" t="inlineStr">
        <is>
          <t>tab: Fibra + Móvel + TV</t>
        </is>
      </c>
      <c r="L922" s="2" t="inlineStr">
        <is>
          <t>mobile+broadband+tv</t>
        </is>
      </c>
      <c r="M922" s="2" t="inlineStr">
        <is>
          <t>Fiber + Mobile + TV</t>
        </is>
      </c>
      <c r="N922" s="2" t="b">
        <v>1</v>
      </c>
      <c r="O922" s="2" t="b">
        <v>1</v>
      </c>
      <c r="P922" s="2" t="b">
        <v>1</v>
      </c>
      <c r="Q922" s="2" t="b">
        <v>0</v>
      </c>
      <c r="R922" s="4" t="n">
        <v>600</v>
      </c>
      <c r="S922" s="4" t="n">
        <v>100</v>
      </c>
      <c r="T922" s="4" t="n">
        <v>1</v>
      </c>
      <c r="U922" s="2" t="inlineStr">
        <is>
          <t>Claro tv+ Box + Disney+ Amazon Prime + Netflix + HBO Max + Apple TV + Globoplay</t>
        </is>
      </c>
      <c r="V922" s="2" t="inlineStr"/>
      <c r="W922" s="2" t="inlineStr"/>
      <c r="X922" s="2" t="inlineStr">
        <is>
          <t>Pós 100GB</t>
        </is>
      </c>
      <c r="Y922" s="2" t="inlineStr">
        <is>
          <t>https://www.claro.com.br/multi</t>
        </is>
      </c>
      <c r="Z922" s="2" t="inlineStr">
        <is>
          <t>data/raw/claro_convergent_multi_SP.html</t>
        </is>
      </c>
    </row>
    <row r="923">
      <c r="A923" s="5" t="inlineStr">
        <is>
          <t>2026-09-09</t>
        </is>
      </c>
      <c r="B923" s="5" t="inlineStr">
        <is>
          <t>2026-09-09T02:52:30</t>
        </is>
      </c>
      <c r="C923" s="5" t="inlineStr">
        <is>
          <t>tim</t>
        </is>
      </c>
      <c r="D923" s="5" t="inlineStr">
        <is>
          <t>SP</t>
        </is>
      </c>
      <c r="E923" s="5" t="inlineStr">
        <is>
          <t>TIM Ultracombo 5</t>
        </is>
      </c>
      <c r="F923" s="5" t="inlineStr">
        <is>
          <t>tim:167756</t>
        </is>
      </c>
      <c r="G923" s="6" t="n">
        <v>169.99</v>
      </c>
      <c r="H923" s="6" t="inlineStr"/>
      <c r="I923" s="5" t="inlineStr"/>
      <c r="J923" s="5" t="inlineStr">
        <is>
          <t>debit_auto</t>
        </is>
      </c>
      <c r="K923" s="5" t="inlineStr">
        <is>
          <t>preço em débito automático; R$ 179,99/mês no pagamento por fatura</t>
        </is>
      </c>
      <c r="L923" s="5" t="inlineStr">
        <is>
          <t>mobile+broadband</t>
        </is>
      </c>
      <c r="M923" s="5" t="inlineStr">
        <is>
          <t>Fiber + Mobile</t>
        </is>
      </c>
      <c r="N923" s="5" t="b">
        <v>1</v>
      </c>
      <c r="O923" s="5" t="b">
        <v>1</v>
      </c>
      <c r="P923" s="5" t="b">
        <v>0</v>
      </c>
      <c r="Q923" s="5" t="b">
        <v>0</v>
      </c>
      <c r="R923" s="7" t="n">
        <v>1000</v>
      </c>
      <c r="S923" s="7" t="n">
        <v>115</v>
      </c>
      <c r="T923" s="7" t="n">
        <v>1</v>
      </c>
      <c r="U923" s="5" t="inlineStr"/>
      <c r="V923" s="5" t="inlineStr">
        <is>
          <t>Paramount+, Deezer</t>
        </is>
      </c>
      <c r="W923" s="5" t="inlineStr"/>
      <c r="X923" s="5" t="inlineStr">
        <is>
          <t>1GIGA de Ultrafibra para casa + 115GB de TIM Black C Hero para móvel: (25GB do plano + 40GB promo + 50GB bônus especial)</t>
        </is>
      </c>
      <c r="Y923" s="5" t="inlineStr">
        <is>
          <t>https://www.tim.com.br/sp/internet/tim-ultracombo</t>
        </is>
      </c>
      <c r="Z923" s="5" t="inlineStr">
        <is>
          <t>data/raw/tim_convergent_ultracombo_SP.html</t>
        </is>
      </c>
    </row>
    <row r="924">
      <c r="A924" s="2" t="inlineStr">
        <is>
          <t>2026-09-09</t>
        </is>
      </c>
      <c r="B924" s="2" t="inlineStr">
        <is>
          <t>2026-09-09T02:52:30</t>
        </is>
      </c>
      <c r="C924" s="2" t="inlineStr">
        <is>
          <t>tim</t>
        </is>
      </c>
      <c r="D924" s="2" t="inlineStr">
        <is>
          <t>SP</t>
        </is>
      </c>
      <c r="E924" s="2" t="inlineStr">
        <is>
          <t>TIM Ultracombo 6</t>
        </is>
      </c>
      <c r="F924" s="2" t="inlineStr">
        <is>
          <t>tim:167751</t>
        </is>
      </c>
      <c r="G924" s="3" t="n">
        <v>139.99</v>
      </c>
      <c r="H924" s="3" t="inlineStr"/>
      <c r="I924" s="2" t="inlineStr"/>
      <c r="J924" s="2" t="inlineStr">
        <is>
          <t>debit_auto</t>
        </is>
      </c>
      <c r="K924" s="2" t="inlineStr">
        <is>
          <t>preço em débito automático; R$ 149,99/mês no pagamento por fatura</t>
        </is>
      </c>
      <c r="L924" s="2" t="inlineStr">
        <is>
          <t>mobile+broadband</t>
        </is>
      </c>
      <c r="M924" s="2" t="inlineStr">
        <is>
          <t>Fiber + Mobile</t>
        </is>
      </c>
      <c r="N924" s="2" t="b">
        <v>1</v>
      </c>
      <c r="O924" s="2" t="b">
        <v>1</v>
      </c>
      <c r="P924" s="2" t="b">
        <v>0</v>
      </c>
      <c r="Q924" s="2" t="b">
        <v>0</v>
      </c>
      <c r="R924" s="4" t="n">
        <v>1000</v>
      </c>
      <c r="S924" s="4" t="n">
        <v>70</v>
      </c>
      <c r="T924" s="4" t="n">
        <v>1</v>
      </c>
      <c r="U924" s="2" t="inlineStr"/>
      <c r="V924" s="2" t="inlineStr">
        <is>
          <t>Paramount+, Deezer</t>
        </is>
      </c>
      <c r="W924" s="2" t="inlineStr"/>
      <c r="X924" s="2" t="inlineStr">
        <is>
          <t>1GIGA de Ultrafibra para casa + 70GB de TIM Black A para móvel: (15GB do plano + 50GB promo + 5GB bônus especial)</t>
        </is>
      </c>
      <c r="Y924" s="2" t="inlineStr">
        <is>
          <t>https://www.tim.com.br/sp/internet/tim-ultracombo</t>
        </is>
      </c>
      <c r="Z924" s="2" t="inlineStr">
        <is>
          <t>data/raw/tim_convergent_ultracombo_SP.html</t>
        </is>
      </c>
    </row>
    <row r="925">
      <c r="A925" s="5" t="inlineStr">
        <is>
          <t>2026-09-09</t>
        </is>
      </c>
      <c r="B925" s="5" t="inlineStr">
        <is>
          <t>2026-09-09T02:52:30</t>
        </is>
      </c>
      <c r="C925" s="5" t="inlineStr">
        <is>
          <t>tim</t>
        </is>
      </c>
      <c r="D925" s="5" t="inlineStr">
        <is>
          <t>SP</t>
        </is>
      </c>
      <c r="E925" s="5" t="inlineStr">
        <is>
          <t>TIM Ultracombo 7</t>
        </is>
      </c>
      <c r="F925" s="5" t="inlineStr">
        <is>
          <t>tim:167761</t>
        </is>
      </c>
      <c r="G925" s="6" t="n">
        <v>89.98999999999999</v>
      </c>
      <c r="H925" s="6" t="inlineStr"/>
      <c r="I925" s="5" t="inlineStr"/>
      <c r="J925" s="5" t="inlineStr">
        <is>
          <t>debit_auto</t>
        </is>
      </c>
      <c r="K925" s="5" t="inlineStr">
        <is>
          <t>preço em débito automático; R$ 99,99/mês no pagamento por fatura</t>
        </is>
      </c>
      <c r="L925" s="5" t="inlineStr">
        <is>
          <t>mobile+broadband</t>
        </is>
      </c>
      <c r="M925" s="5" t="inlineStr">
        <is>
          <t>Fiber + Mobile</t>
        </is>
      </c>
      <c r="N925" s="5" t="b">
        <v>1</v>
      </c>
      <c r="O925" s="5" t="b">
        <v>1</v>
      </c>
      <c r="P925" s="5" t="b">
        <v>0</v>
      </c>
      <c r="Q925" s="5" t="b">
        <v>0</v>
      </c>
      <c r="R925" s="7" t="n">
        <v>500</v>
      </c>
      <c r="S925" s="7" t="n">
        <v>65</v>
      </c>
      <c r="T925" s="7" t="n">
        <v>1</v>
      </c>
      <c r="U925" s="5" t="inlineStr"/>
      <c r="V925" s="5" t="inlineStr"/>
      <c r="W925" s="5" t="inlineStr"/>
      <c r="X925" s="5" t="inlineStr">
        <is>
          <t>500MEGA de Ultrafibra para casa + 65GB de TIM Black A Light para móvel: (10GB do plano + 50GB promo)</t>
        </is>
      </c>
      <c r="Y925" s="5" t="inlineStr">
        <is>
          <t>https://www.tim.com.br/sp/internet/tim-ultracombo</t>
        </is>
      </c>
      <c r="Z925" s="5" t="inlineStr">
        <is>
          <t>data/raw/tim_convergent_ultracombo_SP.html</t>
        </is>
      </c>
    </row>
    <row r="926">
      <c r="A926" s="2" t="inlineStr">
        <is>
          <t>2026-09-09</t>
        </is>
      </c>
      <c r="B926" s="2" t="inlineStr">
        <is>
          <t>2026-09-09T02:52:30</t>
        </is>
      </c>
      <c r="C926" s="2" t="inlineStr">
        <is>
          <t>vivo</t>
        </is>
      </c>
      <c r="D926" s="2" t="inlineStr">
        <is>
          <t>SP</t>
        </is>
      </c>
      <c r="E926" s="2" t="inlineStr">
        <is>
          <t>Vivo Família 2 + TV</t>
        </is>
      </c>
      <c r="F926" s="2" t="inlineStr">
        <is>
          <t>vivo:VIV202604032132-3-305-316-336-408-411-426-430-442</t>
        </is>
      </c>
      <c r="G926" s="3" t="n">
        <v>290</v>
      </c>
      <c r="H926" s="3" t="inlineStr"/>
      <c r="I926" s="2" t="inlineStr"/>
      <c r="J926" s="2" t="inlineStr"/>
      <c r="K926" s="2" t="inlineStr">
        <is>
          <t>instalação grátis mediante fidelização (não afeta a mensalidade)</t>
        </is>
      </c>
      <c r="L926" s="2" t="inlineStr">
        <is>
          <t>mobile+broadband+tv</t>
        </is>
      </c>
      <c r="M926" s="2" t="inlineStr">
        <is>
          <t>Fiber + Mobile + TV</t>
        </is>
      </c>
      <c r="N926" s="2" t="b">
        <v>1</v>
      </c>
      <c r="O926" s="2" t="b">
        <v>1</v>
      </c>
      <c r="P926" s="2" t="b">
        <v>1</v>
      </c>
      <c r="Q926" s="2" t="b">
        <v>0</v>
      </c>
      <c r="R926" s="4" t="n">
        <v>700</v>
      </c>
      <c r="S926" s="4" t="n">
        <v>120</v>
      </c>
      <c r="T926" s="4" t="n">
        <v>2</v>
      </c>
      <c r="U926" s="2" t="inlineStr">
        <is>
          <t>80 canais de Vivo Estendido</t>
        </is>
      </c>
      <c r="V926" s="2" t="inlineStr"/>
      <c r="W926" s="2" t="inlineStr">
        <is>
          <t>Vivo Travel Américas e Europa; 1 linha adicional inclusa</t>
        </is>
      </c>
      <c r="X926" s="2" t="inlineStr">
        <is>
          <t>700 Mega de Vivo Fibra</t>
        </is>
      </c>
      <c r="Y926" s="2" t="inlineStr">
        <is>
          <t>https://vivo.com.br/para-voce/produtos-e-servicos/combos/vivo-total</t>
        </is>
      </c>
      <c r="Z926" s="2" t="inlineStr">
        <is>
          <t>data/raw/vivo_convergent_total_SP.html</t>
        </is>
      </c>
    </row>
    <row r="927">
      <c r="A927" s="5" t="inlineStr">
        <is>
          <t>2026-09-09</t>
        </is>
      </c>
      <c r="B927" s="5" t="inlineStr">
        <is>
          <t>2026-09-09T02:52:30</t>
        </is>
      </c>
      <c r="C927" s="5" t="inlineStr">
        <is>
          <t>vivo</t>
        </is>
      </c>
      <c r="D927" s="5" t="inlineStr">
        <is>
          <t>SP</t>
        </is>
      </c>
      <c r="E927" s="5" t="inlineStr">
        <is>
          <t>Vivo Família 2 + TV</t>
        </is>
      </c>
      <c r="F927" s="5" t="inlineStr">
        <is>
          <t>vivo:VIV202604032112-3-9-305-316-408-411-426-430-442</t>
        </is>
      </c>
      <c r="G927" s="6" t="n">
        <v>390</v>
      </c>
      <c r="H927" s="6" t="inlineStr"/>
      <c r="I927" s="5" t="inlineStr"/>
      <c r="J927" s="5" t="inlineStr"/>
      <c r="K927" s="5" t="inlineStr">
        <is>
          <t>instalação grátis mediante fidelização (não afeta a mensalidade)</t>
        </is>
      </c>
      <c r="L927" s="5" t="inlineStr">
        <is>
          <t>mobile+broadband+tv</t>
        </is>
      </c>
      <c r="M927" s="5" t="inlineStr">
        <is>
          <t>Fiber + Mobile + TV</t>
        </is>
      </c>
      <c r="N927" s="5" t="b">
        <v>1</v>
      </c>
      <c r="O927" s="5" t="b">
        <v>1</v>
      </c>
      <c r="P927" s="5" t="b">
        <v>1</v>
      </c>
      <c r="Q927" s="5" t="b">
        <v>0</v>
      </c>
      <c r="R927" s="7" t="n">
        <v>700</v>
      </c>
      <c r="S927" s="7" t="n">
        <v>120</v>
      </c>
      <c r="T927" s="7" t="n">
        <v>2</v>
      </c>
      <c r="U927" s="5" t="inlineStr">
        <is>
          <t>120 canais de Vivo TV Avançado + 1 ponto adicional</t>
        </is>
      </c>
      <c r="V927" s="5" t="inlineStr"/>
      <c r="W927" s="5" t="inlineStr">
        <is>
          <t>Vivo Travel Américas e Europa; 1 linha adicional inclusa</t>
        </is>
      </c>
      <c r="X927" s="5" t="inlineStr">
        <is>
          <t>700 Mega de Vivo Fibra</t>
        </is>
      </c>
      <c r="Y927" s="5" t="inlineStr">
        <is>
          <t>https://vivo.com.br/para-voce/produtos-e-servicos/combos/vivo-total</t>
        </is>
      </c>
      <c r="Z927" s="5" t="inlineStr">
        <is>
          <t>data/raw/vivo_convergent_total_SP.html</t>
        </is>
      </c>
    </row>
    <row r="928">
      <c r="A928" s="2" t="inlineStr">
        <is>
          <t>2026-09-09</t>
        </is>
      </c>
      <c r="B928" s="2" t="inlineStr">
        <is>
          <t>2026-09-09T02:52:30</t>
        </is>
      </c>
      <c r="C928" s="2" t="inlineStr">
        <is>
          <t>vivo</t>
        </is>
      </c>
      <c r="D928" s="2" t="inlineStr">
        <is>
          <t>SP</t>
        </is>
      </c>
      <c r="E928" s="2" t="inlineStr">
        <is>
          <t>Vivo Total Família 2</t>
        </is>
      </c>
      <c r="F928" s="2" t="inlineStr">
        <is>
          <t>vivo:VIV202604032132-3-305-316-408-411-426-430-442</t>
        </is>
      </c>
      <c r="G928" s="3" t="n">
        <v>270</v>
      </c>
      <c r="H928" s="3" t="inlineStr"/>
      <c r="I928" s="2" t="inlineStr"/>
      <c r="J928" s="2" t="inlineStr"/>
      <c r="K928" s="2" t="inlineStr">
        <is>
          <t>instalação grátis mediante fidelização (não afeta a mensalidade)</t>
        </is>
      </c>
      <c r="L928" s="2" t="inlineStr">
        <is>
          <t>mobile+broadband</t>
        </is>
      </c>
      <c r="M928" s="2" t="inlineStr">
        <is>
          <t>Fiber + Mobile</t>
        </is>
      </c>
      <c r="N928" s="2" t="b">
        <v>1</v>
      </c>
      <c r="O928" s="2" t="b">
        <v>1</v>
      </c>
      <c r="P928" s="2" t="b">
        <v>0</v>
      </c>
      <c r="Q928" s="2" t="b">
        <v>0</v>
      </c>
      <c r="R928" s="4" t="n">
        <v>700</v>
      </c>
      <c r="S928" s="4" t="n">
        <v>120</v>
      </c>
      <c r="T928" s="4" t="n">
        <v>2</v>
      </c>
      <c r="U928" s="2" t="inlineStr"/>
      <c r="V928" s="2" t="inlineStr"/>
      <c r="W928" s="2" t="inlineStr">
        <is>
          <t>Vivo Travel Américas e Europa; 1 linha adicional inclusa</t>
        </is>
      </c>
      <c r="X928" s="2" t="inlineStr">
        <is>
          <t>700 Mega de Vivo Fibra</t>
        </is>
      </c>
      <c r="Y928" s="2" t="inlineStr">
        <is>
          <t>https://vivo.com.br/para-voce/produtos-e-servicos/combos/vivo-total</t>
        </is>
      </c>
      <c r="Z928" s="2" t="inlineStr">
        <is>
          <t>data/raw/vivo_convergent_total_SP.html</t>
        </is>
      </c>
    </row>
    <row r="929">
      <c r="A929" s="5" t="inlineStr">
        <is>
          <t>2026-09-09</t>
        </is>
      </c>
      <c r="B929" s="5" t="inlineStr">
        <is>
          <t>2026-09-09T02:52:30</t>
        </is>
      </c>
      <c r="C929" s="5" t="inlineStr">
        <is>
          <t>vivo</t>
        </is>
      </c>
      <c r="D929" s="5" t="inlineStr">
        <is>
          <t>SP</t>
        </is>
      </c>
      <c r="E929" s="5" t="inlineStr">
        <is>
          <t>Vivo Total Família 3</t>
        </is>
      </c>
      <c r="F929" s="5" t="inlineStr">
        <is>
          <t>vivo:VIV202604032212-4-305-316-408-411-426-430-442</t>
        </is>
      </c>
      <c r="G929" s="6" t="n">
        <v>330</v>
      </c>
      <c r="H929" s="6" t="inlineStr"/>
      <c r="I929" s="5" t="inlineStr"/>
      <c r="J929" s="5" t="inlineStr"/>
      <c r="K929" s="5" t="inlineStr">
        <is>
          <t>instalação grátis mediante fidelização (não afeta a mensalidade)</t>
        </is>
      </c>
      <c r="L929" s="5" t="inlineStr">
        <is>
          <t>mobile+broadband</t>
        </is>
      </c>
      <c r="M929" s="5" t="inlineStr">
        <is>
          <t>Fiber + Mobile</t>
        </is>
      </c>
      <c r="N929" s="5" t="b">
        <v>1</v>
      </c>
      <c r="O929" s="5" t="b">
        <v>1</v>
      </c>
      <c r="P929" s="5" t="b">
        <v>0</v>
      </c>
      <c r="Q929" s="5" t="b">
        <v>0</v>
      </c>
      <c r="R929" s="7" t="n">
        <v>700</v>
      </c>
      <c r="S929" s="7" t="n">
        <v>180</v>
      </c>
      <c r="T929" s="7" t="n">
        <v>3</v>
      </c>
      <c r="U929" s="5" t="inlineStr"/>
      <c r="V929" s="5" t="inlineStr"/>
      <c r="W929" s="5" t="inlineStr">
        <is>
          <t>Vivo Travel Américas e Europa; 2 linhas adicionais inclusas</t>
        </is>
      </c>
      <c r="X929" s="5" t="inlineStr">
        <is>
          <t>700 Mega de Vivo Fibra</t>
        </is>
      </c>
      <c r="Y929" s="5" t="inlineStr">
        <is>
          <t>https://vivo.com.br/para-voce/produtos-e-servicos/combos/vivo-total</t>
        </is>
      </c>
      <c r="Z929" s="5" t="inlineStr">
        <is>
          <t>data/raw/vivo_convergent_total_SP.html</t>
        </is>
      </c>
    </row>
    <row r="930">
      <c r="A930" s="2" t="inlineStr">
        <is>
          <t>2026-09-09</t>
        </is>
      </c>
      <c r="B930" s="2" t="inlineStr">
        <is>
          <t>2026-09-09T02:52:30</t>
        </is>
      </c>
      <c r="C930" s="2" t="inlineStr">
        <is>
          <t>vivo</t>
        </is>
      </c>
      <c r="D930" s="2" t="inlineStr">
        <is>
          <t>SP</t>
        </is>
      </c>
      <c r="E930" s="2" t="inlineStr">
        <is>
          <t>Vivo Total Família 4</t>
        </is>
      </c>
      <c r="F930" s="2" t="inlineStr">
        <is>
          <t>vivo:VIV202604032292-237-305-316-408-411-426-430-442</t>
        </is>
      </c>
      <c r="G930" s="3" t="n">
        <v>420</v>
      </c>
      <c r="H930" s="3" t="inlineStr"/>
      <c r="I930" s="2" t="inlineStr"/>
      <c r="J930" s="2" t="inlineStr"/>
      <c r="K930" s="2" t="inlineStr">
        <is>
          <t>instalação grátis mediante fidelização (não afeta a mensalidade)</t>
        </is>
      </c>
      <c r="L930" s="2" t="inlineStr">
        <is>
          <t>mobile+broadband</t>
        </is>
      </c>
      <c r="M930" s="2" t="inlineStr">
        <is>
          <t>Fiber + Mobile</t>
        </is>
      </c>
      <c r="N930" s="2" t="b">
        <v>1</v>
      </c>
      <c r="O930" s="2" t="b">
        <v>1</v>
      </c>
      <c r="P930" s="2" t="b">
        <v>0</v>
      </c>
      <c r="Q930" s="2" t="b">
        <v>0</v>
      </c>
      <c r="R930" s="4" t="n">
        <v>700</v>
      </c>
      <c r="S930" s="4" t="n">
        <v>240</v>
      </c>
      <c r="T930" s="4" t="n">
        <v>4</v>
      </c>
      <c r="U930" s="2" t="inlineStr"/>
      <c r="V930" s="2" t="inlineStr"/>
      <c r="W930" s="2" t="inlineStr">
        <is>
          <t>Vivo Travel Américas e Europa; 3 linhas adicionais inclusas</t>
        </is>
      </c>
      <c r="X930" s="2" t="inlineStr">
        <is>
          <t>700 Mega de Vivo Fibra</t>
        </is>
      </c>
      <c r="Y930" s="2" t="inlineStr">
        <is>
          <t>https://vivo.com.br/para-voce/produtos-e-servicos/combos/vivo-total</t>
        </is>
      </c>
      <c r="Z930" s="2" t="inlineStr">
        <is>
          <t>data/raw/vivo_convergent_total_SP.html</t>
        </is>
      </c>
    </row>
    <row r="931">
      <c r="A931" s="5" t="inlineStr">
        <is>
          <t>2026-09-09</t>
        </is>
      </c>
      <c r="B931" s="5" t="inlineStr">
        <is>
          <t>2026-09-09T02:52:30</t>
        </is>
      </c>
      <c r="C931" s="5" t="inlineStr">
        <is>
          <t>vivo</t>
        </is>
      </c>
      <c r="D931" s="5" t="inlineStr">
        <is>
          <t>SP</t>
        </is>
      </c>
      <c r="E931" s="5" t="inlineStr">
        <is>
          <t>Vivo Total Família 5</t>
        </is>
      </c>
      <c r="F931" s="5" t="inlineStr">
        <is>
          <t>vivo:VIV202604032372-5-305-316-408-411-426-430-442</t>
        </is>
      </c>
      <c r="G931" s="6" t="n">
        <v>520</v>
      </c>
      <c r="H931" s="6" t="inlineStr"/>
      <c r="I931" s="5" t="inlineStr"/>
      <c r="J931" s="5" t="inlineStr"/>
      <c r="K931" s="5" t="inlineStr">
        <is>
          <t>instalação grátis mediante fidelização (não afeta a mensalidade)</t>
        </is>
      </c>
      <c r="L931" s="5" t="inlineStr">
        <is>
          <t>mobile+broadband</t>
        </is>
      </c>
      <c r="M931" s="5" t="inlineStr">
        <is>
          <t>Fiber + Mobile</t>
        </is>
      </c>
      <c r="N931" s="5" t="b">
        <v>1</v>
      </c>
      <c r="O931" s="5" t="b">
        <v>1</v>
      </c>
      <c r="P931" s="5" t="b">
        <v>0</v>
      </c>
      <c r="Q931" s="5" t="b">
        <v>0</v>
      </c>
      <c r="R931" s="7" t="n">
        <v>700</v>
      </c>
      <c r="S931" s="7" t="n">
        <v>300</v>
      </c>
      <c r="T931" s="7" t="n">
        <v>5</v>
      </c>
      <c r="U931" s="5" t="inlineStr"/>
      <c r="V931" s="5" t="inlineStr"/>
      <c r="W931" s="5" t="inlineStr">
        <is>
          <t>Vivo Travel Américas e Europa; 4 linhas adicionais inclusas</t>
        </is>
      </c>
      <c r="X931" s="5" t="inlineStr">
        <is>
          <t>700 Mega de Vivo Fibra</t>
        </is>
      </c>
      <c r="Y931" s="5" t="inlineStr">
        <is>
          <t>https://vivo.com.br/para-voce/produtos-e-servicos/combos/vivo-total</t>
        </is>
      </c>
      <c r="Z931" s="5" t="inlineStr">
        <is>
          <t>data/raw/vivo_convergent_total_SP.html</t>
        </is>
      </c>
    </row>
    <row r="932">
      <c r="A932" s="2" t="inlineStr">
        <is>
          <t>2026-09-09</t>
        </is>
      </c>
      <c r="B932" s="2" t="inlineStr">
        <is>
          <t>2026-09-09T02:52:30</t>
        </is>
      </c>
      <c r="C932" s="2" t="inlineStr">
        <is>
          <t>vivo</t>
        </is>
      </c>
      <c r="D932" s="2" t="inlineStr">
        <is>
          <t>SP</t>
        </is>
      </c>
      <c r="E932" s="2" t="inlineStr">
        <is>
          <t>Vivo Total Pro</t>
        </is>
      </c>
      <c r="F932" s="2" t="inlineStr">
        <is>
          <t>vivo:VIV202604031772-2-305-308-316-326-342-411-430</t>
        </is>
      </c>
      <c r="G932" s="3" t="n">
        <v>160</v>
      </c>
      <c r="H932" s="3" t="inlineStr"/>
      <c r="I932" s="2" t="inlineStr"/>
      <c r="J932" s="2" t="inlineStr"/>
      <c r="K932" s="2" t="inlineStr">
        <is>
          <t>instalação grátis mediante fidelização (não afeta a mensalidade)</t>
        </is>
      </c>
      <c r="L932" s="2" t="inlineStr">
        <is>
          <t>mobile+broadband</t>
        </is>
      </c>
      <c r="M932" s="2" t="inlineStr">
        <is>
          <t>Fiber + Mobile</t>
        </is>
      </c>
      <c r="N932" s="2" t="b">
        <v>1</v>
      </c>
      <c r="O932" s="2" t="b">
        <v>1</v>
      </c>
      <c r="P932" s="2" t="b">
        <v>0</v>
      </c>
      <c r="Q932" s="2" t="b">
        <v>0</v>
      </c>
      <c r="R932" s="4" t="n">
        <v>500</v>
      </c>
      <c r="S932" s="4" t="n">
        <v>70</v>
      </c>
      <c r="T932" s="4" t="n">
        <v>1</v>
      </c>
      <c r="U932" s="2" t="inlineStr"/>
      <c r="V932" s="2" t="inlineStr"/>
      <c r="W932" s="2" t="inlineStr">
        <is>
          <t>Vivo Travel Américas; 50 GB de franquia + 20 GB de bônus</t>
        </is>
      </c>
      <c r="X932" s="2" t="inlineStr">
        <is>
          <t>500 Mega de Vivo Fibra</t>
        </is>
      </c>
      <c r="Y932" s="2" t="inlineStr">
        <is>
          <t>https://vivo.com.br/para-voce/produtos-e-servicos/combos/vivo-total</t>
        </is>
      </c>
      <c r="Z932" s="2" t="inlineStr">
        <is>
          <t>data/raw/vivo_convergent_total_SP.html</t>
        </is>
      </c>
    </row>
    <row r="933">
      <c r="A933" s="5" t="inlineStr">
        <is>
          <t>2026-09-09</t>
        </is>
      </c>
      <c r="B933" s="5" t="inlineStr">
        <is>
          <t>2026-09-09T02:52:30</t>
        </is>
      </c>
      <c r="C933" s="5" t="inlineStr">
        <is>
          <t>vivo</t>
        </is>
      </c>
      <c r="D933" s="5" t="inlineStr">
        <is>
          <t>SP</t>
        </is>
      </c>
      <c r="E933" s="5" t="inlineStr">
        <is>
          <t>Vivo Total Ultra</t>
        </is>
      </c>
      <c r="F933" s="5" t="inlineStr">
        <is>
          <t>vivo:VIV202604032034-305-313-316-408-411-426-430-442</t>
        </is>
      </c>
      <c r="G933" s="6" t="n">
        <v>190</v>
      </c>
      <c r="H933" s="6" t="inlineStr"/>
      <c r="I933" s="5" t="inlineStr"/>
      <c r="J933" s="5" t="inlineStr"/>
      <c r="K933" s="5" t="inlineStr">
        <is>
          <t>instalação grátis mediante fidelização (não afeta a mensalidade)</t>
        </is>
      </c>
      <c r="L933" s="5" t="inlineStr">
        <is>
          <t>mobile+broadband</t>
        </is>
      </c>
      <c r="M933" s="5" t="inlineStr">
        <is>
          <t>Fiber + Mobile</t>
        </is>
      </c>
      <c r="N933" s="5" t="b">
        <v>1</v>
      </c>
      <c r="O933" s="5" t="b">
        <v>1</v>
      </c>
      <c r="P933" s="5" t="b">
        <v>0</v>
      </c>
      <c r="Q933" s="5" t="b">
        <v>0</v>
      </c>
      <c r="R933" s="7" t="n">
        <v>700</v>
      </c>
      <c r="S933" s="7" t="n">
        <v>80</v>
      </c>
      <c r="T933" s="7" t="n">
        <v>1</v>
      </c>
      <c r="U933" s="5" t="inlineStr"/>
      <c r="V933" s="5" t="inlineStr"/>
      <c r="W933" s="5" t="inlineStr">
        <is>
          <t>Vivo Travel Américas; 70 GB de franquia + 10 GB de bônus</t>
        </is>
      </c>
      <c r="X933" s="5" t="inlineStr">
        <is>
          <t>700 Mega de Vivo Fibra</t>
        </is>
      </c>
      <c r="Y933" s="5" t="inlineStr">
        <is>
          <t>https://vivo.com.br/para-voce/produtos-e-servicos/combos/vivo-total</t>
        </is>
      </c>
      <c r="Z933" s="5" t="inlineStr">
        <is>
          <t>data/raw/vivo_convergent_total_SP.html</t>
        </is>
      </c>
    </row>
    <row r="934">
      <c r="A934" s="2" t="inlineStr">
        <is>
          <t>2026-09-09</t>
        </is>
      </c>
      <c r="B934" s="2" t="inlineStr">
        <is>
          <t>2026-09-09T02:52:30</t>
        </is>
      </c>
      <c r="C934" s="2" t="inlineStr">
        <is>
          <t>vivo</t>
        </is>
      </c>
      <c r="D934" s="2" t="inlineStr">
        <is>
          <t>SP</t>
        </is>
      </c>
      <c r="E934" s="2" t="inlineStr">
        <is>
          <t>Vivo Total Ultra + TV</t>
        </is>
      </c>
      <c r="F934" s="2" t="inlineStr">
        <is>
          <t>vivo:VIV202604031882-9-305-313-316-408-411-426-430-442</t>
        </is>
      </c>
      <c r="G934" s="3" t="n">
        <v>310</v>
      </c>
      <c r="H934" s="3" t="inlineStr"/>
      <c r="I934" s="2" t="inlineStr"/>
      <c r="J934" s="2" t="inlineStr"/>
      <c r="K934" s="2" t="inlineStr">
        <is>
          <t>instalação grátis mediante fidelização (não afeta a mensalidade)</t>
        </is>
      </c>
      <c r="L934" s="2" t="inlineStr">
        <is>
          <t>mobile+broadband+tv</t>
        </is>
      </c>
      <c r="M934" s="2" t="inlineStr">
        <is>
          <t>Fiber + Mobile + TV</t>
        </is>
      </c>
      <c r="N934" s="2" t="b">
        <v>1</v>
      </c>
      <c r="O934" s="2" t="b">
        <v>1</v>
      </c>
      <c r="P934" s="2" t="b">
        <v>1</v>
      </c>
      <c r="Q934" s="2" t="b">
        <v>0</v>
      </c>
      <c r="R934" s="4" t="n">
        <v>700</v>
      </c>
      <c r="S934" s="4" t="n">
        <v>80</v>
      </c>
      <c r="T934" s="4" t="n">
        <v>1</v>
      </c>
      <c r="U934" s="2" t="inlineStr">
        <is>
          <t>120 canais de Vivo TV Avançado + 1 ponto adicional</t>
        </is>
      </c>
      <c r="V934" s="2" t="inlineStr"/>
      <c r="W934" s="2" t="inlineStr">
        <is>
          <t>Vivo Travel Américas; 70 GB de franquia + 10 GB de bônus</t>
        </is>
      </c>
      <c r="X934" s="2" t="inlineStr">
        <is>
          <t>700 Mega de Vivo Fibra</t>
        </is>
      </c>
      <c r="Y934" s="2" t="inlineStr">
        <is>
          <t>https://vivo.com.br/para-voce/produtos-e-servicos/combos/vivo-total</t>
        </is>
      </c>
      <c r="Z934" s="2" t="inlineStr">
        <is>
          <t>data/raw/vivo_convergent_total_SP.html</t>
        </is>
      </c>
    </row>
    <row r="935">
      <c r="A935" s="5" t="inlineStr">
        <is>
          <t>2026-09-09</t>
        </is>
      </c>
      <c r="B935" s="5" t="inlineStr">
        <is>
          <t>2026-09-09T02:52:30</t>
        </is>
      </c>
      <c r="C935" s="5" t="inlineStr">
        <is>
          <t>vivo</t>
        </is>
      </c>
      <c r="D935" s="5" t="inlineStr">
        <is>
          <t>SP</t>
        </is>
      </c>
      <c r="E935" s="5" t="inlineStr">
        <is>
          <t>Vivo Total Ultra + TV online</t>
        </is>
      </c>
      <c r="F935" s="5" t="inlineStr">
        <is>
          <t>vivo:VIV202604032034-305-313-316-336-408-411-426-430-442</t>
        </is>
      </c>
      <c r="G935" s="6" t="n">
        <v>210</v>
      </c>
      <c r="H935" s="6" t="inlineStr"/>
      <c r="I935" s="5" t="inlineStr"/>
      <c r="J935" s="5" t="inlineStr"/>
      <c r="K935" s="5" t="inlineStr">
        <is>
          <t>instalação grátis mediante fidelização (não afeta a mensalidade)</t>
        </is>
      </c>
      <c r="L935" s="5" t="inlineStr">
        <is>
          <t>mobile+broadband+tv</t>
        </is>
      </c>
      <c r="M935" s="5" t="inlineStr">
        <is>
          <t>Fiber + Mobile + TV</t>
        </is>
      </c>
      <c r="N935" s="5" t="b">
        <v>1</v>
      </c>
      <c r="O935" s="5" t="b">
        <v>1</v>
      </c>
      <c r="P935" s="5" t="b">
        <v>1</v>
      </c>
      <c r="Q935" s="5" t="b">
        <v>0</v>
      </c>
      <c r="R935" s="7" t="n">
        <v>700</v>
      </c>
      <c r="S935" s="7" t="n">
        <v>80</v>
      </c>
      <c r="T935" s="7" t="n">
        <v>1</v>
      </c>
      <c r="U935" s="5" t="inlineStr">
        <is>
          <t>80 canais de Vivo Estendido</t>
        </is>
      </c>
      <c r="V935" s="5" t="inlineStr"/>
      <c r="W935" s="5" t="inlineStr">
        <is>
          <t>Vivo Travel Américas; 70 GB de franquia + 10 GB de bônus</t>
        </is>
      </c>
      <c r="X935" s="5" t="inlineStr">
        <is>
          <t>700 Mega de Vivo Fibra</t>
        </is>
      </c>
      <c r="Y935" s="5" t="inlineStr">
        <is>
          <t>https://vivo.com.br/para-voce/produtos-e-servicos/combos/vivo-total</t>
        </is>
      </c>
      <c r="Z935" s="5" t="inlineStr">
        <is>
          <t>data/raw/vivo_convergent_total_SP.html</t>
        </is>
      </c>
    </row>
    <row r="936">
      <c r="A936" s="2" t="inlineStr">
        <is>
          <t>2026-09-09</t>
        </is>
      </c>
      <c r="B936" s="2" t="inlineStr">
        <is>
          <t>2026-09-09T02:52:30</t>
        </is>
      </c>
      <c r="C936" s="2" t="inlineStr">
        <is>
          <t>vivo</t>
        </is>
      </c>
      <c r="D936" s="2" t="inlineStr">
        <is>
          <t>SP</t>
        </is>
      </c>
      <c r="E936" s="2" t="inlineStr">
        <is>
          <t>Vivo Total V 1 Giga</t>
        </is>
      </c>
      <c r="F936" s="2" t="inlineStr">
        <is>
          <t>vivo:VIV202604032532-2-305-316-408-426-430-442</t>
        </is>
      </c>
      <c r="G936" s="3" t="n">
        <v>1200</v>
      </c>
      <c r="H936" s="3" t="inlineStr"/>
      <c r="I936" s="2" t="inlineStr"/>
      <c r="J936" s="2" t="inlineStr"/>
      <c r="K936" s="2" t="inlineStr">
        <is>
          <t>instalação grátis mediante fidelização (não afeta a mensalidade)</t>
        </is>
      </c>
      <c r="L936" s="2" t="inlineStr">
        <is>
          <t>mobile+broadband+tv</t>
        </is>
      </c>
      <c r="M936" s="2" t="inlineStr">
        <is>
          <t>Fiber + Mobile + TV</t>
        </is>
      </c>
      <c r="N936" s="2" t="b">
        <v>1</v>
      </c>
      <c r="O936" s="2" t="b">
        <v>1</v>
      </c>
      <c r="P936" s="2" t="b">
        <v>1</v>
      </c>
      <c r="Q936" s="2" t="b">
        <v>0</v>
      </c>
      <c r="R936" s="4" t="n">
        <v>1000</v>
      </c>
      <c r="S936" s="4" t="n">
        <v>600</v>
      </c>
      <c r="T936" s="4" t="n">
        <v>11</v>
      </c>
      <c r="U936" s="2" t="inlineStr">
        <is>
          <t>Vivo TV Completo com HBO Max e Telecine</t>
        </is>
      </c>
      <c r="V936" s="2" t="inlineStr"/>
      <c r="W936" s="2" t="inlineStr">
        <is>
          <t>Vivo Travel Mundo; 10 linhas adicionais inclusas; Vivo TV Completo com HBO Max e Telecine</t>
        </is>
      </c>
      <c r="X936" s="2" t="inlineStr">
        <is>
          <t>1Giga de Vivo Fibra</t>
        </is>
      </c>
      <c r="Y936" s="2" t="inlineStr">
        <is>
          <t>https://vivo.com.br/para-voce/produtos-e-servicos/combos/vivo-total</t>
        </is>
      </c>
      <c r="Z936" s="2" t="inlineStr">
        <is>
          <t>data/raw/vivo_convergent_total_SP.html</t>
        </is>
      </c>
    </row>
  </sheetData>
  <autoFilter ref="A1:Z93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4">
      <c r="A34" s="12" t="n">
        <v>46271</v>
      </c>
      <c r="B34" s="3">
        <f>IFERROR(IF(_xlfn.MINIFS(convergent_history!$G:$G,convergent_history!$C:$C,"tim",convergent_history!$M:$M,"Fiber + Mobile",convergent_history!$A:$A,YEAR($A34)&amp;"-"&amp;TEXT(MONTH($A34),"00")&amp;"-"&amp;TEXT(DAY($A34),"00"))=0,"",_xlfn.MINIFS(convergent_history!$G:$G,convergent_history!$C:$C,"tim",convergent_history!$M:$M,"Fiber + Mobile",convergent_history!$A:$A,YEAR($A34)&amp;"-"&amp;TEXT(MONTH($A34),"00")&amp;"-"&amp;TEXT(DAY($A34),"00"))),"")</f>
        <v>89.99</v>
      </c>
      <c r="C34" s="3">
        <f>IFERROR(IF(_xlfn.MINIFS(convergent_history!$G:$G,convergent_history!$C:$C,"vivo",convergent_history!$M:$M,"Fiber + Mobile",convergent_history!$A:$A,YEAR($A34)&amp;"-"&amp;TEXT(MONTH($A34),"00")&amp;"-"&amp;TEXT(DAY($A34),"00"))=0,"",_xlfn.MINIFS(convergent_history!$G:$G,convergent_history!$C:$C,"vivo",convergent_history!$M:$M,"Fiber + Mobile",convergent_history!$A:$A,YEAR($A34)&amp;"-"&amp;TEXT(MONTH($A34),"00")&amp;"-"&amp;TEXT(DAY($A34),"00"))),"")</f>
        <v>160</v>
      </c>
      <c r="D34" s="3">
        <f>IFERROR(IF(_xlfn.MINIFS(convergent_history!$G:$G,convergent_history!$C:$C,"claro",convergent_history!$M:$M,"Fiber + Mobile",convergent_history!$A:$A,YEAR($A34)&amp;"-"&amp;TEXT(MONTH($A34),"00")&amp;"-"&amp;TEXT(DAY($A34),"00"))=0,"",_xlfn.MINIFS(convergent_history!$G:$G,convergent_history!$C:$C,"claro",convergent_history!$M:$M,"Fiber + Mobile",convergent_history!$A:$A,YEAR($A34)&amp;"-"&amp;TEXT(MONTH($A34),"00")&amp;"-"&amp;TEXT(DAY($A34),"00"))),"")</f>
        <v/>
      </c>
    </row>
    <row r="35">
      <c r="A35" s="12" t="n">
        <v>46272</v>
      </c>
      <c r="B35" s="3">
        <f>IFERROR(IF(_xlfn.MINIFS(convergent_history!$G:$G,convergent_history!$C:$C,"tim",convergent_history!$M:$M,"Fiber + Mobile",convergent_history!$A:$A,YEAR($A35)&amp;"-"&amp;TEXT(MONTH($A35),"00")&amp;"-"&amp;TEXT(DAY($A35),"00"))=0,"",_xlfn.MINIFS(convergent_history!$G:$G,convergent_history!$C:$C,"tim",convergent_history!$M:$M,"Fiber + Mobile",convergent_history!$A:$A,YEAR($A35)&amp;"-"&amp;TEXT(MONTH($A35),"00")&amp;"-"&amp;TEXT(DAY($A35),"00"))),"")</f>
        <v>89.99</v>
      </c>
      <c r="C35" s="3">
        <f>IFERROR(IF(_xlfn.MINIFS(convergent_history!$G:$G,convergent_history!$C:$C,"vivo",convergent_history!$M:$M,"Fiber + Mobile",convergent_history!$A:$A,YEAR($A35)&amp;"-"&amp;TEXT(MONTH($A35),"00")&amp;"-"&amp;TEXT(DAY($A35),"00"))=0,"",_xlfn.MINIFS(convergent_history!$G:$G,convergent_history!$C:$C,"vivo",convergent_history!$M:$M,"Fiber + Mobile",convergent_history!$A:$A,YEAR($A35)&amp;"-"&amp;TEXT(MONTH($A35),"00")&amp;"-"&amp;TEXT(DAY($A35),"00"))),"")</f>
        <v>160</v>
      </c>
      <c r="D35" s="3">
        <f>IFERROR(IF(_xlfn.MINIFS(convergent_history!$G:$G,convergent_history!$C:$C,"claro",convergent_history!$M:$M,"Fiber + Mobile",convergent_history!$A:$A,YEAR($A35)&amp;"-"&amp;TEXT(MONTH($A35),"00")&amp;"-"&amp;TEXT(DAY($A35),"00"))=0,"",_xlfn.MINIFS(convergent_history!$G:$G,convergent_history!$C:$C,"claro",convergent_history!$M:$M,"Fiber + Mobile",convergent_history!$A:$A,YEAR($A35)&amp;"-"&amp;TEXT(MONTH($A35),"00")&amp;"-"&amp;TEXT(DAY($A35),"00"))),"")</f>
        <v>129.8</v>
      </c>
    </row>
    <row r="36">
      <c r="A36" s="12" t="n">
        <v>46273</v>
      </c>
      <c r="B36" s="3">
        <f>IFERROR(IF(_xlfn.MINIFS(convergent_history!$G:$G,convergent_history!$C:$C,"tim",convergent_history!$M:$M,"Fiber + Mobile",convergent_history!$A:$A,YEAR($A36)&amp;"-"&amp;TEXT(MONTH($A36),"00")&amp;"-"&amp;TEXT(DAY($A36),"00"))=0,"",_xlfn.MINIFS(convergent_history!$G:$G,convergent_history!$C:$C,"tim",convergent_history!$M:$M,"Fiber + Mobile",convergent_history!$A:$A,YEAR($A36)&amp;"-"&amp;TEXT(MONTH($A36),"00")&amp;"-"&amp;TEXT(DAY($A36),"00"))),"")</f>
        <v>89.99</v>
      </c>
      <c r="C36" s="3">
        <f>IFERROR(IF(_xlfn.MINIFS(convergent_history!$G:$G,convergent_history!$C:$C,"vivo",convergent_history!$M:$M,"Fiber + Mobile",convergent_history!$A:$A,YEAR($A36)&amp;"-"&amp;TEXT(MONTH($A36),"00")&amp;"-"&amp;TEXT(DAY($A36),"00"))=0,"",_xlfn.MINIFS(convergent_history!$G:$G,convergent_history!$C:$C,"vivo",convergent_history!$M:$M,"Fiber + Mobile",convergent_history!$A:$A,YEAR($A36)&amp;"-"&amp;TEXT(MONTH($A36),"00")&amp;"-"&amp;TEXT(DAY($A36),"00"))),"")</f>
        <v>160</v>
      </c>
      <c r="D36" s="3">
        <f>IFERROR(IF(_xlfn.MINIFS(convergent_history!$G:$G,convergent_history!$C:$C,"claro",convergent_history!$M:$M,"Fiber + Mobile",convergent_history!$A:$A,YEAR($A36)&amp;"-"&amp;TEXT(MONTH($A36),"00")&amp;"-"&amp;TEXT(DAY($A36),"00"))=0,"",_xlfn.MINIFS(convergent_history!$G:$G,convergent_history!$C:$C,"claro",convergent_history!$M:$M,"Fiber + Mobile",convergent_history!$A:$A,YEAR($A36)&amp;"-"&amp;TEXT(MONTH($A36),"00")&amp;"-"&amp;TEXT(DAY($A36),"00"))),"")</f>
        <v>129.8</v>
      </c>
    </row>
    <row r="37">
      <c r="A37" s="12" t="n">
        <v>46274</v>
      </c>
      <c r="B37" s="3">
        <f>IFERROR(IF(_xlfn.MINIFS(convergent_history!$G:$G,convergent_history!$C:$C,"tim",convergent_history!$M:$M,"Fiber + Mobile",convergent_history!$A:$A,YEAR($A37)&amp;"-"&amp;TEXT(MONTH($A37),"00")&amp;"-"&amp;TEXT(DAY($A37),"00"))=0,"",_xlfn.MINIFS(convergent_history!$G:$G,convergent_history!$C:$C,"tim",convergent_history!$M:$M,"Fiber + Mobile",convergent_history!$A:$A,YEAR($A37)&amp;"-"&amp;TEXT(MONTH($A37),"00")&amp;"-"&amp;TEXT(DAY($A37),"00"))),"")</f>
        <v>89.99</v>
      </c>
      <c r="C37" s="3">
        <f>IFERROR(IF(_xlfn.MINIFS(convergent_history!$G:$G,convergent_history!$C:$C,"vivo",convergent_history!$M:$M,"Fiber + Mobile",convergent_history!$A:$A,YEAR($A37)&amp;"-"&amp;TEXT(MONTH($A37),"00")&amp;"-"&amp;TEXT(DAY($A37),"00"))=0,"",_xlfn.MINIFS(convergent_history!$G:$G,convergent_history!$C:$C,"vivo",convergent_history!$M:$M,"Fiber + Mobile",convergent_history!$A:$A,YEAR($A37)&amp;"-"&amp;TEXT(MONTH($A37),"00")&amp;"-"&amp;TEXT(DAY($A37),"00"))),"")</f>
        <v>160</v>
      </c>
      <c r="D37" s="3">
        <f>IFERROR(IF(_xlfn.MINIFS(convergent_history!$G:$G,convergent_history!$C:$C,"claro",convergent_history!$M:$M,"Fiber + Mobile",convergent_history!$A:$A,YEAR($A37)&amp;"-"&amp;TEXT(MONTH($A37),"00")&amp;"-"&amp;TEXT(DAY($A37),"00"))=0,"",_xlfn.MINIFS(convergent_history!$G:$G,convergent_history!$C:$C,"claro",convergent_history!$M:$M,"Fiber + Mobile",convergent_history!$A:$A,YEAR($A37)&amp;"-"&amp;TEXT(MONTH($A37),"00")&amp;"-"&amp;TEXT(DAY($A37),"00"))),"")</f>
        <v>129.8</v>
      </c>
    </row>
    <row r="39">
      <c r="A3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2026-09-09T05:55:03Z</dcterms:created>
  <dcterms:modified xsi:type="dcterms:W3CDTF">2026-09-09T05:55:09Z</dcterms:modified>
</cp:coreProperties>
</file>