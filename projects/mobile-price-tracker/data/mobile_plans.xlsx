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'history'!$A$1:$V$3865</definedName>
    <definedName name="_xlnm._FilterDatabase" localSheetId="1" hidden="1">'latest'!$A$1:$V$63</definedName>
    <definedName name="_xlnm._FilterDatabase" localSheetId="10" hidden="1">'convergent_history'!$A$1:$Z$642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'comparison'!$A$3:$A$68</f>
            </numRef>
          </cat>
          <val>
            <numRef>
              <f>'comparison'!$B$3:$B$68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'comparison'!$A$3:$A$68</f>
            </numRef>
          </cat>
          <val>
            <numRef>
              <f>'comparison'!$C$3:$C$68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'comparison'!$A$3:$A$68</f>
            </numRef>
          </cat>
          <val>
            <numRef>
              <f>'comparison'!$D$3:$D$68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'comparison'!$A$3:$A$68</f>
            </numRef>
          </cat>
          <val>
            <numRef>
              <f>'comparison'!$E$3:$E$68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'comparison'!$A$3:$A$68</f>
            </numRef>
          </cat>
          <val>
            <numRef>
              <f>'comparison'!$F$3:$F$68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'comparison'!$A$3:$A$68</f>
            </numRef>
          </cat>
          <val>
            <numRef>
              <f>'comparison'!$G$3:$G$68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'comparison'!$A$3:$A$68</f>
            </numRef>
          </cat>
          <val>
            <numRef>
              <f>'comparison'!$H$3:$H$68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'comparison'!$A$3:$A$68</f>
            </numRef>
          </cat>
          <val>
            <numRef>
              <f>'comparison'!$I$3:$I$68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'comparison'!$A$3:$A$68</f>
            </numRef>
          </cat>
          <val>
            <numRef>
              <f>'comparison'!$J$3:$J$68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'comparison'!$A$3:$A$68</f>
            </numRef>
          </cat>
          <val>
            <numRef>
              <f>'comparison'!$K$3:$K$68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'comparison'!$A$3:$A$68</f>
            </numRef>
          </cat>
          <val>
            <numRef>
              <f>'comparison'!$L$3:$L$68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'comparison'!$A$3:$A$68</f>
            </numRef>
          </cat>
          <val>
            <numRef>
              <f>'comparison'!$M$3:$M$68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386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2026-08-22T18:17:41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2026-08-22T18:17:41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2026-08-22T18:17:41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2026-08-22T18:17:41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2026-08-22T18:17:41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2026-08-22T18:17:41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2026-08-22T18:17:41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2026-08-22T18:17:41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2026-08-22T18:17:41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2026-08-22T18:17:41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2026-08-22T18:17:41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2026-08-22T18:17:41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2026-08-22T18:17:41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2026-08-22T18:17:41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2026-08-22T18:17:41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2026-08-22T18:17:41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2026-08-22T18:17:41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2026-08-22T18:17:41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2026-08-22T18:17:41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2026-08-22T18:17:41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2026-08-22T18:17:41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2026-08-22T18:17:41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2026-08-22T18:17:41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2026-08-22T18:17:41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2026-08-22T18:17:41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2026-08-22T18:17:41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2026-08-22T18:17:41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2026-08-22T18:17:41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2026-08-22T18:17:41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2026-08-22T18:17:41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2026-08-22T18:17:41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2026-08-22T18:17:41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2026-08-22T18:17:41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2026-08-22T18:17:41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2026-08-22T18:17:41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2026-08-22T18:17:41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2026-08-22T18:17:41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2026-08-22T18:17:41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2026-08-22T18:17:41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2026-08-22T18:17:41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2026-08-22T18:17:41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2026-08-22T18:17:41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2026-08-22T18:17:41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2026-08-22T18:17:41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2026-08-22T18:17:41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2026-08-22T18:17:41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2026-08-22T18:17:41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2026-08-22T18:17:41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2026-08-22T18:17:41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2026-08-22T18:17:41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2026-08-22T18:17:41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2026-08-22T18:17:41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2026-08-22T18:17:41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2026-08-22T18:17:41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2026-08-22T18:17:41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2026-08-22T18:17:41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2026-08-22T18:17:41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2026-08-22T18:17:41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2026-08-22T18:17:41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2026-08-22T18:17:41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2026-08-22T18:17:41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2026-08-22T18:17:41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2026-08-22T18:17:41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2026-08-22T18:17:41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  <row r="3420">
      <c r="A3420" s="2" t="inlineStr">
        <is>
          <t>2026-08-23</t>
        </is>
      </c>
      <c r="B3420" s="2" t="inlineStr">
        <is>
          <t>2026-08-23T18:17:10</t>
        </is>
      </c>
      <c r="C3420" s="2" t="inlineStr">
        <is>
          <t>claro</t>
        </is>
      </c>
      <c r="D3420" s="2" t="inlineStr">
        <is>
          <t>control</t>
        </is>
      </c>
      <c r="E3420" s="2" t="inlineStr">
        <is>
          <t>SP</t>
        </is>
      </c>
      <c r="F3420" s="2" t="inlineStr">
        <is>
          <t>Controle 25GB</t>
        </is>
      </c>
      <c r="G3420" s="2" t="inlineStr">
        <is>
          <t>claro:plano-controle-25gb</t>
        </is>
      </c>
      <c r="H3420" s="3" t="n">
        <v>59.9</v>
      </c>
      <c r="I3420" s="3" t="n">
        <v>54.9</v>
      </c>
      <c r="J3420" s="2" t="inlineStr">
        <is>
          <t>De R$ 59,90 Por:</t>
        </is>
      </c>
      <c r="K3420" s="2" t="inlineStr"/>
      <c r="L3420" s="4" t="n">
        <v>25</v>
      </c>
      <c r="M3420" s="2" t="inlineStr"/>
      <c r="N3420" s="2" t="inlineStr"/>
      <c r="O3420" s="2" t="inlineStr">
        <is>
          <t>WhatsApp</t>
        </is>
      </c>
      <c r="P3420" s="2" t="inlineStr"/>
      <c r="Q3420" s="2" t="inlineStr"/>
      <c r="R3420" s="2" t="inlineStr"/>
      <c r="S3420" s="2" t="inlineStr"/>
      <c r="T3420" s="2" t="inlineStr">
        <is>
          <t>Para uso livre; Para redes sociais e vídeos; Bônus exclusivo; Aproveite na sua franquia; WhatsApp e ligações ilimitadas</t>
        </is>
      </c>
      <c r="U3420" s="2" t="inlineStr">
        <is>
          <t>https://www.claro.com.br/celular/controle</t>
        </is>
      </c>
      <c r="V3420" s="2" t="inlineStr">
        <is>
          <t>data/raw/claro_control_SP.json</t>
        </is>
      </c>
    </row>
    <row r="3421">
      <c r="A3421" s="5" t="inlineStr">
        <is>
          <t>2026-08-23</t>
        </is>
      </c>
      <c r="B3421" s="5" t="inlineStr">
        <is>
          <t>2026-08-23T18:17:10</t>
        </is>
      </c>
      <c r="C3421" s="5" t="inlineStr">
        <is>
          <t>claro</t>
        </is>
      </c>
      <c r="D3421" s="5" t="inlineStr">
        <is>
          <t>control</t>
        </is>
      </c>
      <c r="E3421" s="5" t="inlineStr">
        <is>
          <t>SP</t>
        </is>
      </c>
      <c r="F3421" s="5" t="inlineStr">
        <is>
          <t>Controle 30GB</t>
        </is>
      </c>
      <c r="G3421" s="5" t="inlineStr">
        <is>
          <t>claro:plano-controle-30gb</t>
        </is>
      </c>
      <c r="H3421" s="6" t="n">
        <v>69.90000000000001</v>
      </c>
      <c r="I3421" s="6" t="inlineStr"/>
      <c r="J3421" s="5" t="inlineStr"/>
      <c r="K3421" s="5" t="inlineStr"/>
      <c r="L3421" s="7" t="n">
        <v>30</v>
      </c>
      <c r="M3421" s="5" t="inlineStr"/>
      <c r="N3421" s="5" t="inlineStr"/>
      <c r="O3421" s="5" t="inlineStr">
        <is>
          <t>WhatsApp</t>
        </is>
      </c>
      <c r="P3421" s="5" t="inlineStr"/>
      <c r="Q3421" s="5" t="inlineStr"/>
      <c r="R3421" s="5" t="inlineStr"/>
      <c r="S3421" s="5" t="inlineStr"/>
      <c r="T3421" s="5" t="inlineStr">
        <is>
          <t>Para uso livre; Bônus para uso livre; Bônus para redes sociais e apps; Assinatura Amazon Prime por 3 meses; Redes sociais e apps; WhatsApp ilimitado</t>
        </is>
      </c>
      <c r="U3421" s="5" t="inlineStr">
        <is>
          <t>https://www.claro.com.br/celular/controle</t>
        </is>
      </c>
      <c r="V3421" s="5" t="inlineStr">
        <is>
          <t>data/raw/claro_control_SP.json</t>
        </is>
      </c>
    </row>
    <row r="3422">
      <c r="A3422" s="2" t="inlineStr">
        <is>
          <t>2026-08-23</t>
        </is>
      </c>
      <c r="B3422" s="2" t="inlineStr">
        <is>
          <t>2026-08-23T18:17:10</t>
        </is>
      </c>
      <c r="C3422" s="2" t="inlineStr">
        <is>
          <t>claro</t>
        </is>
      </c>
      <c r="D3422" s="2" t="inlineStr">
        <is>
          <t>control</t>
        </is>
      </c>
      <c r="E3422" s="2" t="inlineStr">
        <is>
          <t>SP</t>
        </is>
      </c>
      <c r="F3422" s="2" t="inlineStr">
        <is>
          <t>Controle 30GB</t>
        </is>
      </c>
      <c r="G3422" s="2" t="inlineStr">
        <is>
          <t>claro:plano-controle-30gb-gaming</t>
        </is>
      </c>
      <c r="H3422" s="3" t="n">
        <v>99.90000000000001</v>
      </c>
      <c r="I3422" s="3" t="inlineStr"/>
      <c r="J3422" s="2" t="inlineStr"/>
      <c r="K3422" s="2" t="inlineStr"/>
      <c r="L3422" s="4" t="n">
        <v>30</v>
      </c>
      <c r="M3422" s="2" t="inlineStr"/>
      <c r="N3422" s="2" t="inlineStr"/>
      <c r="O3422" s="2" t="inlineStr">
        <is>
          <t>WhatsApp</t>
        </is>
      </c>
      <c r="P3422" s="2" t="inlineStr"/>
      <c r="Q3422" s="2" t="inlineStr"/>
      <c r="R3422" s="2" t="inlineStr"/>
      <c r="S3422" s="2" t="inlineStr"/>
      <c r="T3422" s="2" t="inlineStr">
        <is>
          <t>Para uso livre; Bônus para redes sociais e apps; Bônus uso livre; Assinatura Amazon Prime por 3 meses; Redes sociais e apps; WhatsApp ilimitado</t>
        </is>
      </c>
      <c r="U3422" s="2" t="inlineStr">
        <is>
          <t>https://www.claro.com.br/celular/controle</t>
        </is>
      </c>
      <c r="V3422" s="2" t="inlineStr">
        <is>
          <t>data/raw/claro_control_SP.json</t>
        </is>
      </c>
    </row>
    <row r="3423">
      <c r="A3423" s="5" t="inlineStr">
        <is>
          <t>2026-08-23</t>
        </is>
      </c>
      <c r="B3423" s="5" t="inlineStr">
        <is>
          <t>2026-08-23T18:17:10</t>
        </is>
      </c>
      <c r="C3423" s="5" t="inlineStr">
        <is>
          <t>claro</t>
        </is>
      </c>
      <c r="D3423" s="5" t="inlineStr">
        <is>
          <t>flex</t>
        </is>
      </c>
      <c r="E3423" s="5" t="inlineStr">
        <is>
          <t>SP</t>
        </is>
      </c>
      <c r="F3423" s="5" t="inlineStr">
        <is>
          <t>Flex 15GB</t>
        </is>
      </c>
      <c r="G3423" s="5" t="inlineStr">
        <is>
          <t>claro:plano-flex-15gb</t>
        </is>
      </c>
      <c r="H3423" s="6" t="n">
        <v>44.9</v>
      </c>
      <c r="I3423" s="6" t="inlineStr"/>
      <c r="J3423" s="5" t="inlineStr"/>
      <c r="K3423" s="5" t="inlineStr"/>
      <c r="L3423" s="7" t="n">
        <v>15</v>
      </c>
      <c r="M3423" s="5" t="inlineStr"/>
      <c r="N3423" s="5" t="inlineStr"/>
      <c r="O3423" s="5" t="inlineStr">
        <is>
          <t>WhatsApp</t>
        </is>
      </c>
      <c r="P3423" s="5" t="inlineStr"/>
      <c r="Q3423" s="5" t="inlineStr"/>
      <c r="R3423" s="5" t="inlineStr"/>
      <c r="S3423" s="5" t="inlineStr"/>
      <c r="T3423" s="5" t="inlineStr">
        <is>
          <t>Para uso livre; Bônus Pais para uso livre; Para redes sociais e apps; Bônus extra nos apps; WhatsApp ilimitado</t>
        </is>
      </c>
      <c r="U3423" s="5" t="inlineStr">
        <is>
          <t>https://www.claro.com.br/celular/flex</t>
        </is>
      </c>
      <c r="V3423" s="5" t="inlineStr">
        <is>
          <t>data/raw/claro_flex_SP.json</t>
        </is>
      </c>
    </row>
    <row r="3424">
      <c r="A3424" s="2" t="inlineStr">
        <is>
          <t>2026-08-23</t>
        </is>
      </c>
      <c r="B3424" s="2" t="inlineStr">
        <is>
          <t>2026-08-23T18:17:10</t>
        </is>
      </c>
      <c r="C3424" s="2" t="inlineStr">
        <is>
          <t>claro</t>
        </is>
      </c>
      <c r="D3424" s="2" t="inlineStr">
        <is>
          <t>flex</t>
        </is>
      </c>
      <c r="E3424" s="2" t="inlineStr">
        <is>
          <t>SP</t>
        </is>
      </c>
      <c r="F3424" s="2" t="inlineStr">
        <is>
          <t>Flex 20GB</t>
        </is>
      </c>
      <c r="G3424" s="2" t="inlineStr">
        <is>
          <t>claro:plano-flex-20gb</t>
        </is>
      </c>
      <c r="H3424" s="3" t="n">
        <v>59.9</v>
      </c>
      <c r="I3424" s="3" t="inlineStr"/>
      <c r="J3424" s="2" t="inlineStr"/>
      <c r="K3424" s="2" t="inlineStr"/>
      <c r="L3424" s="4" t="n">
        <v>20</v>
      </c>
      <c r="M3424" s="2" t="inlineStr"/>
      <c r="N3424" s="2" t="inlineStr"/>
      <c r="O3424" s="2" t="inlineStr">
        <is>
          <t>WhatsApp</t>
        </is>
      </c>
      <c r="P3424" s="2" t="inlineStr"/>
      <c r="Q3424" s="2" t="inlineStr"/>
      <c r="R3424" s="2" t="inlineStr"/>
      <c r="S3424" s="2" t="inlineStr"/>
      <c r="T3424" s="2" t="inlineStr">
        <is>
          <t>Para uso livre; Bônus Pais para uso livre; Para redes sociais e apps; Bônus extra nos apps; WhatsApp ilimitado</t>
        </is>
      </c>
      <c r="U3424" s="2" t="inlineStr">
        <is>
          <t>https://www.claro.com.br/celular/flex</t>
        </is>
      </c>
      <c r="V3424" s="2" t="inlineStr">
        <is>
          <t>data/raw/claro_flex_SP.json</t>
        </is>
      </c>
    </row>
    <row r="3425">
      <c r="A3425" s="5" t="inlineStr">
        <is>
          <t>2026-08-23</t>
        </is>
      </c>
      <c r="B3425" s="5" t="inlineStr">
        <is>
          <t>2026-08-23T18:17:10</t>
        </is>
      </c>
      <c r="C3425" s="5" t="inlineStr">
        <is>
          <t>claro</t>
        </is>
      </c>
      <c r="D3425" s="5" t="inlineStr">
        <is>
          <t>flex</t>
        </is>
      </c>
      <c r="E3425" s="5" t="inlineStr">
        <is>
          <t>SP</t>
        </is>
      </c>
      <c r="F3425" s="5" t="inlineStr">
        <is>
          <t>Flex 30GB</t>
        </is>
      </c>
      <c r="G3425" s="5" t="inlineStr">
        <is>
          <t>claro:plano-flex-30gb</t>
        </is>
      </c>
      <c r="H3425" s="6" t="n">
        <v>69.90000000000001</v>
      </c>
      <c r="I3425" s="6" t="inlineStr"/>
      <c r="J3425" s="5" t="inlineStr"/>
      <c r="K3425" s="5" t="inlineStr"/>
      <c r="L3425" s="7" t="n">
        <v>30</v>
      </c>
      <c r="M3425" s="5" t="inlineStr"/>
      <c r="N3425" s="5" t="inlineStr"/>
      <c r="O3425" s="5" t="inlineStr">
        <is>
          <t>WhatsApp</t>
        </is>
      </c>
      <c r="P3425" s="5" t="inlineStr"/>
      <c r="Q3425" s="5" t="inlineStr"/>
      <c r="R3425" s="5" t="inlineStr"/>
      <c r="S3425" s="5" t="inlineStr"/>
      <c r="T3425" s="5" t="inlineStr">
        <is>
          <t>Para uso livre; Bônus Pais para uso livre; Para redes sociais e apps; Bônus extra nos apps; WhatsApp ilimitado; Assinatura Claro musica inclusa</t>
        </is>
      </c>
      <c r="U3425" s="5" t="inlineStr">
        <is>
          <t>https://www.claro.com.br/celular/flex</t>
        </is>
      </c>
      <c r="V3425" s="5" t="inlineStr">
        <is>
          <t>data/raw/claro_flex_SP.json</t>
        </is>
      </c>
    </row>
    <row r="3426">
      <c r="A3426" s="2" t="inlineStr">
        <is>
          <t>2026-08-23</t>
        </is>
      </c>
      <c r="B3426" s="2" t="inlineStr">
        <is>
          <t>2026-08-23T18:17:10</t>
        </is>
      </c>
      <c r="C3426" s="2" t="inlineStr">
        <is>
          <t>claro</t>
        </is>
      </c>
      <c r="D3426" s="2" t="inlineStr">
        <is>
          <t>flex</t>
        </is>
      </c>
      <c r="E3426" s="2" t="inlineStr">
        <is>
          <t>SP</t>
        </is>
      </c>
      <c r="F3426" s="2" t="inlineStr">
        <is>
          <t>Flex 40GB</t>
        </is>
      </c>
      <c r="G3426" s="2" t="inlineStr">
        <is>
          <t>claro:plano-flex-40gb</t>
        </is>
      </c>
      <c r="H3426" s="3" t="n">
        <v>119.9</v>
      </c>
      <c r="I3426" s="3" t="inlineStr"/>
      <c r="J3426" s="2" t="inlineStr"/>
      <c r="K3426" s="2" t="inlineStr"/>
      <c r="L3426" s="4" t="n">
        <v>40</v>
      </c>
      <c r="M3426" s="2" t="inlineStr"/>
      <c r="N3426" s="2" t="inlineStr"/>
      <c r="O3426" s="2" t="inlineStr">
        <is>
          <t>WhatsApp</t>
        </is>
      </c>
      <c r="P3426" s="2" t="inlineStr"/>
      <c r="Q3426" s="2" t="inlineStr"/>
      <c r="R3426" s="2" t="inlineStr"/>
      <c r="S3426" s="2" t="inlineStr"/>
      <c r="T3426" s="2" t="inlineStr">
        <is>
          <t>Para uso livre; Para redes sociais e apps; Bônus extra nos apps; WhatsApp ilimitado; Assinatura Claro musica inclusa</t>
        </is>
      </c>
      <c r="U3426" s="2" t="inlineStr">
        <is>
          <t>https://www.claro.com.br/celular/flex</t>
        </is>
      </c>
      <c r="V3426" s="2" t="inlineStr">
        <is>
          <t>data/raw/claro_flex_SP.json</t>
        </is>
      </c>
    </row>
    <row r="3427">
      <c r="A3427" s="5" t="inlineStr">
        <is>
          <t>2026-08-23</t>
        </is>
      </c>
      <c r="B3427" s="5" t="inlineStr">
        <is>
          <t>2026-08-23T18:17:10</t>
        </is>
      </c>
      <c r="C3427" s="5" t="inlineStr">
        <is>
          <t>claro</t>
        </is>
      </c>
      <c r="D3427" s="5" t="inlineStr">
        <is>
          <t>postpaid</t>
        </is>
      </c>
      <c r="E3427" s="5" t="inlineStr">
        <is>
          <t>SP</t>
        </is>
      </c>
      <c r="F3427" s="5" t="inlineStr">
        <is>
          <t>Pós 100GB</t>
        </is>
      </c>
      <c r="G3427" s="5" t="inlineStr">
        <is>
          <t>claro:plano-pos-100gb</t>
        </is>
      </c>
      <c r="H3427" s="6" t="n">
        <v>179.9</v>
      </c>
      <c r="I3427" s="6" t="inlineStr"/>
      <c r="J3427" s="5" t="inlineStr"/>
      <c r="K3427" s="5" t="inlineStr"/>
      <c r="L3427" s="7" t="n">
        <v>100</v>
      </c>
      <c r="M3427" s="5" t="inlineStr"/>
      <c r="N3427" s="5" t="inlineStr"/>
      <c r="O3427" s="5" t="inlineStr">
        <is>
          <t>WhatsApp</t>
        </is>
      </c>
      <c r="P3427" s="5" t="inlineStr"/>
      <c r="Q3427" s="5" t="inlineStr"/>
      <c r="R3427" s="5" t="inlineStr"/>
      <c r="S3427" s="5" t="inlineStr"/>
      <c r="T3427" s="5" t="inlineStr">
        <is>
          <t>Armazenamento na nuvem:; Google One ou iCloud+; WhatsApp ilimitado; Assinatura Amazon Prime por 3 meses; Roaming: Passaporte Américas; Claro Sync: Smartwatch conectado</t>
        </is>
      </c>
      <c r="U3427" s="5" t="inlineStr">
        <is>
          <t>https://www.claro.com.br/celular/pos</t>
        </is>
      </c>
      <c r="V3427" s="5" t="inlineStr">
        <is>
          <t>data/raw/claro_postpaid_SP.json</t>
        </is>
      </c>
    </row>
    <row r="3428">
      <c r="A3428" s="2" t="inlineStr">
        <is>
          <t>2026-08-23</t>
        </is>
      </c>
      <c r="B3428" s="2" t="inlineStr">
        <is>
          <t>2026-08-23T18:17:10</t>
        </is>
      </c>
      <c r="C3428" s="2" t="inlineStr">
        <is>
          <t>claro</t>
        </is>
      </c>
      <c r="D3428" s="2" t="inlineStr">
        <is>
          <t>postpaid</t>
        </is>
      </c>
      <c r="E3428" s="2" t="inlineStr">
        <is>
          <t>SP</t>
        </is>
      </c>
      <c r="F3428" s="2" t="inlineStr">
        <is>
          <t>Pós 150GB</t>
        </is>
      </c>
      <c r="G3428" s="2" t="inlineStr">
        <is>
          <t>claro:plano-pos-150gb</t>
        </is>
      </c>
      <c r="H3428" s="3" t="n">
        <v>239.9</v>
      </c>
      <c r="I3428" s="3" t="inlineStr"/>
      <c r="J3428" s="2" t="inlineStr"/>
      <c r="K3428" s="2" t="inlineStr"/>
      <c r="L3428" s="4" t="n">
        <v>150</v>
      </c>
      <c r="M3428" s="2" t="inlineStr"/>
      <c r="N3428" s="2" t="inlineStr"/>
      <c r="O3428" s="2" t="inlineStr">
        <is>
          <t>WhatsApp</t>
        </is>
      </c>
      <c r="P3428" s="2" t="inlineStr"/>
      <c r="Q3428" s="2" t="inlineStr"/>
      <c r="R3428" s="2" t="inlineStr"/>
      <c r="S3428" s="2" t="inlineStr"/>
      <c r="T342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28" s="2" t="inlineStr">
        <is>
          <t>https://www.claro.com.br/celular/pos</t>
        </is>
      </c>
      <c r="V3428" s="2" t="inlineStr">
        <is>
          <t>data/raw/claro_postpaid_SP.json</t>
        </is>
      </c>
    </row>
    <row r="3429">
      <c r="A3429" s="5" t="inlineStr">
        <is>
          <t>2026-08-23</t>
        </is>
      </c>
      <c r="B3429" s="5" t="inlineStr">
        <is>
          <t>2026-08-23T18:17:10</t>
        </is>
      </c>
      <c r="C3429" s="5" t="inlineStr">
        <is>
          <t>claro</t>
        </is>
      </c>
      <c r="D3429" s="5" t="inlineStr">
        <is>
          <t>postpaid</t>
        </is>
      </c>
      <c r="E3429" s="5" t="inlineStr">
        <is>
          <t>SP</t>
        </is>
      </c>
      <c r="F3429" s="5" t="inlineStr">
        <is>
          <t>Pós 200GB</t>
        </is>
      </c>
      <c r="G3429" s="5" t="inlineStr">
        <is>
          <t>claro:plano-pos-200gb</t>
        </is>
      </c>
      <c r="H3429" s="6" t="n">
        <v>339.9</v>
      </c>
      <c r="I3429" s="6" t="inlineStr"/>
      <c r="J3429" s="5" t="inlineStr"/>
      <c r="K3429" s="5" t="inlineStr"/>
      <c r="L3429" s="7" t="n">
        <v>200</v>
      </c>
      <c r="M3429" s="5" t="inlineStr"/>
      <c r="N3429" s="5" t="inlineStr"/>
      <c r="O3429" s="5" t="inlineStr">
        <is>
          <t>WhatsApp</t>
        </is>
      </c>
      <c r="P3429" s="5" t="inlineStr"/>
      <c r="Q3429" s="5" t="inlineStr"/>
      <c r="R3429" s="5" t="inlineStr"/>
      <c r="S3429" s="5" t="inlineStr"/>
      <c r="T3429" s="5" t="inlineStr">
        <is>
          <t>Armazenamento na nuvem:; Google One (AI Plus) ou iCloud+; WhatsApp ilimitado; Assinatura Amazon Prime por 3 meses; Roaming: Passaporte Mundo; Claro Sync: Smartwatch conectado</t>
        </is>
      </c>
      <c r="U3429" s="5" t="inlineStr">
        <is>
          <t>https://www.claro.com.br/celular/pos</t>
        </is>
      </c>
      <c r="V3429" s="5" t="inlineStr">
        <is>
          <t>data/raw/claro_postpaid_SP.json</t>
        </is>
      </c>
    </row>
    <row r="3430">
      <c r="A3430" s="2" t="inlineStr">
        <is>
          <t>2026-08-23</t>
        </is>
      </c>
      <c r="B3430" s="2" t="inlineStr">
        <is>
          <t>2026-08-23T18:17:10</t>
        </is>
      </c>
      <c r="C3430" s="2" t="inlineStr">
        <is>
          <t>claro</t>
        </is>
      </c>
      <c r="D3430" s="2" t="inlineStr">
        <is>
          <t>postpaid</t>
        </is>
      </c>
      <c r="E3430" s="2" t="inlineStr">
        <is>
          <t>SP</t>
        </is>
      </c>
      <c r="F3430" s="2" t="inlineStr">
        <is>
          <t>Pós 50GB com GeForce NOW</t>
        </is>
      </c>
      <c r="G3430" s="2" t="inlineStr">
        <is>
          <t>claro:plano-pos-60gb-geforce</t>
        </is>
      </c>
      <c r="H3430" s="3" t="n">
        <v>164.9</v>
      </c>
      <c r="I3430" s="3" t="inlineStr"/>
      <c r="J3430" s="2" t="inlineStr"/>
      <c r="K3430" s="2" t="inlineStr"/>
      <c r="L3430" s="4" t="n">
        <v>50</v>
      </c>
      <c r="M3430" s="2" t="inlineStr"/>
      <c r="N3430" s="2" t="inlineStr"/>
      <c r="O3430" s="2" t="inlineStr">
        <is>
          <t>WhatsApp</t>
        </is>
      </c>
      <c r="P3430" s="2" t="inlineStr"/>
      <c r="Q3430" s="2" t="inlineStr"/>
      <c r="R3430" s="2" t="inlineStr"/>
      <c r="S3430" s="2" t="inlineStr"/>
      <c r="T343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30" s="2" t="inlineStr">
        <is>
          <t>https://www.claro.com.br/celular/pos</t>
        </is>
      </c>
      <c r="V3430" s="2" t="inlineStr">
        <is>
          <t>data/raw/claro_postpaid_SP.json</t>
        </is>
      </c>
    </row>
    <row r="3431">
      <c r="A3431" s="5" t="inlineStr">
        <is>
          <t>2026-08-23</t>
        </is>
      </c>
      <c r="B3431" s="5" t="inlineStr">
        <is>
          <t>2026-08-23T18:17:10</t>
        </is>
      </c>
      <c r="C3431" s="5" t="inlineStr">
        <is>
          <t>claro</t>
        </is>
      </c>
      <c r="D3431" s="5" t="inlineStr">
        <is>
          <t>postpaid</t>
        </is>
      </c>
      <c r="E3431" s="5" t="inlineStr">
        <is>
          <t>SP</t>
        </is>
      </c>
      <c r="F3431" s="5" t="inlineStr">
        <is>
          <t>Pós 60GB</t>
        </is>
      </c>
      <c r="G3431" s="5" t="inlineStr">
        <is>
          <t>claro:plano-pos-60gb</t>
        </is>
      </c>
      <c r="H3431" s="6" t="n">
        <v>124.9</v>
      </c>
      <c r="I3431" s="6" t="inlineStr"/>
      <c r="J3431" s="5" t="inlineStr"/>
      <c r="K3431" s="5" t="inlineStr"/>
      <c r="L3431" s="7" t="n">
        <v>60</v>
      </c>
      <c r="M3431" s="5" t="inlineStr"/>
      <c r="N3431" s="5" t="inlineStr"/>
      <c r="O3431" s="5" t="inlineStr">
        <is>
          <t>WhatsApp</t>
        </is>
      </c>
      <c r="P3431" s="5" t="inlineStr"/>
      <c r="Q3431" s="5" t="inlineStr"/>
      <c r="R3431" s="5" t="inlineStr"/>
      <c r="S3431" s="5" t="inlineStr"/>
      <c r="T3431" s="5" t="inlineStr">
        <is>
          <t>Armazenamento na nuvem:; Google One ou iCloud+; WhatsApp ilimitado; Assinatura Amazon Prime por 3 meses; Roaming: Passaporte Américas; Claro Sync: Smartwatch conectado</t>
        </is>
      </c>
      <c r="U3431" s="5" t="inlineStr">
        <is>
          <t>https://www.claro.com.br/celular/pos</t>
        </is>
      </c>
      <c r="V3431" s="5" t="inlineStr">
        <is>
          <t>data/raw/claro_postpaid_SP.json</t>
        </is>
      </c>
    </row>
    <row r="3432">
      <c r="A3432" s="2" t="inlineStr">
        <is>
          <t>2026-08-23</t>
        </is>
      </c>
      <c r="B3432" s="2" t="inlineStr">
        <is>
          <t>2026-08-23T18:17:10</t>
        </is>
      </c>
      <c r="C3432" s="2" t="inlineStr">
        <is>
          <t>claro</t>
        </is>
      </c>
      <c r="D3432" s="2" t="inlineStr">
        <is>
          <t>prepaid</t>
        </is>
      </c>
      <c r="E3432" s="2" t="inlineStr">
        <is>
          <t>SP</t>
        </is>
      </c>
      <c r="F3432" s="2" t="inlineStr">
        <is>
          <t>Prezão 10GB (25 dias)</t>
        </is>
      </c>
      <c r="G3432" s="2" t="inlineStr">
        <is>
          <t>claro:prezao-25d-10gb</t>
        </is>
      </c>
      <c r="H3432" s="3" t="n">
        <v>25</v>
      </c>
      <c r="I3432" s="3" t="inlineStr"/>
      <c r="J3432" s="2" t="inlineStr">
        <is>
          <t>recarga Prezão R$25 — validade 25 dias</t>
        </is>
      </c>
      <c r="K3432" s="2" t="inlineStr"/>
      <c r="L3432" s="4" t="n">
        <v>10</v>
      </c>
      <c r="M3432" s="2" t="inlineStr"/>
      <c r="N3432" s="2" t="n">
        <v>25</v>
      </c>
      <c r="O3432" s="2" t="inlineStr"/>
      <c r="P3432" s="2" t="inlineStr"/>
      <c r="Q3432" s="2" t="inlineStr"/>
      <c r="R3432" s="2" t="inlineStr"/>
      <c r="S3432" s="2" t="inlineStr"/>
      <c r="T3432" s="2" t="inlineStr"/>
      <c r="U3432" s="2" t="inlineStr">
        <is>
          <t>https://www.claro.com.br/celular/planos-pre/prezao</t>
        </is>
      </c>
      <c r="V3432" s="2" t="inlineStr">
        <is>
          <t>data/raw/claro_prepaid_SP.json</t>
        </is>
      </c>
    </row>
    <row r="3433">
      <c r="A3433" s="5" t="inlineStr">
        <is>
          <t>2026-08-23</t>
        </is>
      </c>
      <c r="B3433" s="5" t="inlineStr">
        <is>
          <t>2026-08-23T18:17:10</t>
        </is>
      </c>
      <c r="C3433" s="5" t="inlineStr">
        <is>
          <t>claro</t>
        </is>
      </c>
      <c r="D3433" s="5" t="inlineStr">
        <is>
          <t>prepaid</t>
        </is>
      </c>
      <c r="E3433" s="5" t="inlineStr">
        <is>
          <t>SP</t>
        </is>
      </c>
      <c r="F3433" s="5" t="inlineStr">
        <is>
          <t>Prezão 12GB (30 dias)</t>
        </is>
      </c>
      <c r="G3433" s="5" t="inlineStr">
        <is>
          <t>claro:prezao-30d-12gb</t>
        </is>
      </c>
      <c r="H3433" s="6" t="n">
        <v>30</v>
      </c>
      <c r="I3433" s="6" t="inlineStr"/>
      <c r="J3433" s="5" t="inlineStr">
        <is>
          <t>recarga Prezão R$30 — validade 30 dias</t>
        </is>
      </c>
      <c r="K3433" s="5" t="inlineStr"/>
      <c r="L3433" s="7" t="n">
        <v>12</v>
      </c>
      <c r="M3433" s="5" t="inlineStr"/>
      <c r="N3433" s="5" t="n">
        <v>30</v>
      </c>
      <c r="O3433" s="5" t="inlineStr"/>
      <c r="P3433" s="5" t="inlineStr"/>
      <c r="Q3433" s="5" t="inlineStr"/>
      <c r="R3433" s="5" t="inlineStr"/>
      <c r="S3433" s="5" t="inlineStr"/>
      <c r="T3433" s="5" t="inlineStr"/>
      <c r="U3433" s="5" t="inlineStr">
        <is>
          <t>https://www.claro.com.br/celular/planos-pre/prezao</t>
        </is>
      </c>
      <c r="V3433" s="5" t="inlineStr">
        <is>
          <t>data/raw/claro_prepaid_SP.json</t>
        </is>
      </c>
    </row>
    <row r="3434">
      <c r="A3434" s="2" t="inlineStr">
        <is>
          <t>2026-08-23</t>
        </is>
      </c>
      <c r="B3434" s="2" t="inlineStr">
        <is>
          <t>2026-08-23T18:17:10</t>
        </is>
      </c>
      <c r="C3434" s="2" t="inlineStr">
        <is>
          <t>claro</t>
        </is>
      </c>
      <c r="D3434" s="2" t="inlineStr">
        <is>
          <t>prepaid</t>
        </is>
      </c>
      <c r="E3434" s="2" t="inlineStr">
        <is>
          <t>SP</t>
        </is>
      </c>
      <c r="F3434" s="2" t="inlineStr">
        <is>
          <t>Prezão 4GB (12 dias)</t>
        </is>
      </c>
      <c r="G3434" s="2" t="inlineStr">
        <is>
          <t>claro:prezao-12d-4gb</t>
        </is>
      </c>
      <c r="H3434" s="3" t="n">
        <v>15</v>
      </c>
      <c r="I3434" s="3" t="inlineStr"/>
      <c r="J3434" s="2" t="inlineStr">
        <is>
          <t>recarga Prezão R$15 — validade 12 dias</t>
        </is>
      </c>
      <c r="K3434" s="2" t="inlineStr"/>
      <c r="L3434" s="4" t="n">
        <v>4</v>
      </c>
      <c r="M3434" s="2" t="inlineStr"/>
      <c r="N3434" s="2" t="n">
        <v>12</v>
      </c>
      <c r="O3434" s="2" t="inlineStr"/>
      <c r="P3434" s="2" t="inlineStr"/>
      <c r="Q3434" s="2" t="inlineStr"/>
      <c r="R3434" s="2" t="inlineStr"/>
      <c r="S3434" s="2" t="inlineStr"/>
      <c r="T3434" s="2" t="inlineStr"/>
      <c r="U3434" s="2" t="inlineStr">
        <is>
          <t>https://www.claro.com.br/celular/planos-pre/prezao</t>
        </is>
      </c>
      <c r="V3434" s="2" t="inlineStr">
        <is>
          <t>data/raw/claro_prepaid_SP.json</t>
        </is>
      </c>
    </row>
    <row r="3435">
      <c r="A3435" s="5" t="inlineStr">
        <is>
          <t>2026-08-23</t>
        </is>
      </c>
      <c r="B3435" s="5" t="inlineStr">
        <is>
          <t>2026-08-23T18:17:10</t>
        </is>
      </c>
      <c r="C3435" s="5" t="inlineStr">
        <is>
          <t>claro</t>
        </is>
      </c>
      <c r="D3435" s="5" t="inlineStr">
        <is>
          <t>prepaid</t>
        </is>
      </c>
      <c r="E3435" s="5" t="inlineStr">
        <is>
          <t>SP</t>
        </is>
      </c>
      <c r="F3435" s="5" t="inlineStr">
        <is>
          <t>Prezão 5GB (15 dias)</t>
        </is>
      </c>
      <c r="G3435" s="5" t="inlineStr">
        <is>
          <t>claro:prezao-15d-5gb</t>
        </is>
      </c>
      <c r="H3435" s="6" t="n">
        <v>15</v>
      </c>
      <c r="I3435" s="6" t="inlineStr"/>
      <c r="J3435" s="5" t="inlineStr">
        <is>
          <t>recarga Prezão R$15 — validade 15 dias</t>
        </is>
      </c>
      <c r="K3435" s="5" t="inlineStr"/>
      <c r="L3435" s="7" t="n">
        <v>5</v>
      </c>
      <c r="M3435" s="5" t="inlineStr"/>
      <c r="N3435" s="5" t="n">
        <v>15</v>
      </c>
      <c r="O3435" s="5" t="inlineStr"/>
      <c r="P3435" s="5" t="inlineStr"/>
      <c r="Q3435" s="5" t="inlineStr"/>
      <c r="R3435" s="5" t="inlineStr"/>
      <c r="S3435" s="5" t="inlineStr"/>
      <c r="T3435" s="5" t="inlineStr"/>
      <c r="U3435" s="5" t="inlineStr">
        <is>
          <t>https://www.claro.com.br/celular/planos-pre/prezao</t>
        </is>
      </c>
      <c r="V3435" s="5" t="inlineStr">
        <is>
          <t>data/raw/claro_prepaid_SP.json</t>
        </is>
      </c>
    </row>
    <row r="3436">
      <c r="A3436" s="2" t="inlineStr">
        <is>
          <t>2026-08-23</t>
        </is>
      </c>
      <c r="B3436" s="2" t="inlineStr">
        <is>
          <t>2026-08-23T18:17:10</t>
        </is>
      </c>
      <c r="C3436" s="2" t="inlineStr">
        <is>
          <t>claro</t>
        </is>
      </c>
      <c r="D3436" s="2" t="inlineStr">
        <is>
          <t>prepaid</t>
        </is>
      </c>
      <c r="E3436" s="2" t="inlineStr">
        <is>
          <t>SP</t>
        </is>
      </c>
      <c r="F3436" s="2" t="inlineStr">
        <is>
          <t>Prezão 6GB (20 dias)</t>
        </is>
      </c>
      <c r="G3436" s="2" t="inlineStr">
        <is>
          <t>claro:prezao-20d-6gb</t>
        </is>
      </c>
      <c r="H3436" s="3" t="n">
        <v>20</v>
      </c>
      <c r="I3436" s="3" t="inlineStr"/>
      <c r="J3436" s="2" t="inlineStr">
        <is>
          <t>recarga Prezão R$20 — validade 20 dias</t>
        </is>
      </c>
      <c r="K3436" s="2" t="inlineStr"/>
      <c r="L3436" s="4" t="n">
        <v>6</v>
      </c>
      <c r="M3436" s="2" t="inlineStr"/>
      <c r="N3436" s="2" t="n">
        <v>20</v>
      </c>
      <c r="O3436" s="2" t="inlineStr"/>
      <c r="P3436" s="2" t="inlineStr"/>
      <c r="Q3436" s="2" t="inlineStr"/>
      <c r="R3436" s="2" t="inlineStr"/>
      <c r="S3436" s="2" t="inlineStr"/>
      <c r="T3436" s="2" t="inlineStr"/>
      <c r="U3436" s="2" t="inlineStr">
        <is>
          <t>https://www.claro.com.br/celular/planos-pre/prezao</t>
        </is>
      </c>
      <c r="V3436" s="2" t="inlineStr">
        <is>
          <t>data/raw/claro_prepaid_SP.json</t>
        </is>
      </c>
    </row>
    <row r="3437">
      <c r="A3437" s="5" t="inlineStr">
        <is>
          <t>2026-08-23</t>
        </is>
      </c>
      <c r="B3437" s="5" t="inlineStr">
        <is>
          <t>2026-08-23T18:17:10</t>
        </is>
      </c>
      <c r="C3437" s="5" t="inlineStr">
        <is>
          <t>claro</t>
        </is>
      </c>
      <c r="D3437" s="5" t="inlineStr">
        <is>
          <t>prepaid</t>
        </is>
      </c>
      <c r="E3437" s="5" t="inlineStr">
        <is>
          <t>SP</t>
        </is>
      </c>
      <c r="F3437" s="5" t="inlineStr">
        <is>
          <t>Prezão 8GB (20 dias)</t>
        </is>
      </c>
      <c r="G3437" s="5" t="inlineStr">
        <is>
          <t>claro:prezao-20d-8gb</t>
        </is>
      </c>
      <c r="H3437" s="6" t="n">
        <v>20</v>
      </c>
      <c r="I3437" s="6" t="inlineStr"/>
      <c r="J3437" s="5" t="inlineStr">
        <is>
          <t>recarga Prezão R$20 — validade 20 dias</t>
        </is>
      </c>
      <c r="K3437" s="5" t="inlineStr"/>
      <c r="L3437" s="7" t="n">
        <v>8</v>
      </c>
      <c r="M3437" s="5" t="inlineStr"/>
      <c r="N3437" s="5" t="n">
        <v>20</v>
      </c>
      <c r="O3437" s="5" t="inlineStr"/>
      <c r="P3437" s="5" t="inlineStr"/>
      <c r="Q3437" s="5" t="inlineStr"/>
      <c r="R3437" s="5" t="inlineStr"/>
      <c r="S3437" s="5" t="inlineStr"/>
      <c r="T3437" s="5" t="inlineStr"/>
      <c r="U3437" s="5" t="inlineStr">
        <is>
          <t>https://www.claro.com.br/celular/planos-pre/prezao</t>
        </is>
      </c>
      <c r="V3437" s="5" t="inlineStr">
        <is>
          <t>data/raw/claro_prepaid_SP.json</t>
        </is>
      </c>
    </row>
    <row r="3438">
      <c r="A3438" s="2" t="inlineStr">
        <is>
          <t>2026-08-23</t>
        </is>
      </c>
      <c r="B3438" s="2" t="inlineStr">
        <is>
          <t>2026-08-23T18:17:10</t>
        </is>
      </c>
      <c r="C3438" s="2" t="inlineStr">
        <is>
          <t>claro</t>
        </is>
      </c>
      <c r="D3438" s="2" t="inlineStr">
        <is>
          <t>prepaid</t>
        </is>
      </c>
      <c r="E3438" s="2" t="inlineStr">
        <is>
          <t>SP</t>
        </is>
      </c>
      <c r="F3438" s="2" t="inlineStr">
        <is>
          <t>Prezão 9GB (25 dias)</t>
        </is>
      </c>
      <c r="G3438" s="2" t="inlineStr">
        <is>
          <t>claro:prezao-25d-9gb</t>
        </is>
      </c>
      <c r="H3438" s="3" t="n">
        <v>25</v>
      </c>
      <c r="I3438" s="3" t="inlineStr"/>
      <c r="J3438" s="2" t="inlineStr">
        <is>
          <t>recarga Prezão R$25 — validade 25 dias</t>
        </is>
      </c>
      <c r="K3438" s="2" t="inlineStr"/>
      <c r="L3438" s="4" t="n">
        <v>9</v>
      </c>
      <c r="M3438" s="2" t="inlineStr"/>
      <c r="N3438" s="2" t="n">
        <v>25</v>
      </c>
      <c r="O3438" s="2" t="inlineStr"/>
      <c r="P3438" s="2" t="inlineStr"/>
      <c r="Q3438" s="2" t="inlineStr"/>
      <c r="R3438" s="2" t="inlineStr"/>
      <c r="S3438" s="2" t="inlineStr"/>
      <c r="T3438" s="2" t="inlineStr"/>
      <c r="U3438" s="2" t="inlineStr">
        <is>
          <t>https://www.claro.com.br/celular/planos-pre/prezao</t>
        </is>
      </c>
      <c r="V3438" s="2" t="inlineStr">
        <is>
          <t>data/raw/claro_prepaid_SP.json</t>
        </is>
      </c>
    </row>
    <row r="3439">
      <c r="A3439" s="5" t="inlineStr">
        <is>
          <t>2026-08-23</t>
        </is>
      </c>
      <c r="B3439" s="5" t="inlineStr">
        <is>
          <t>2026-08-23T18:17:10</t>
        </is>
      </c>
      <c r="C3439" s="5" t="inlineStr">
        <is>
          <t>tim</t>
        </is>
      </c>
      <c r="D3439" s="5" t="inlineStr">
        <is>
          <t>control</t>
        </is>
      </c>
      <c r="E3439" s="5" t="inlineStr">
        <is>
          <t>SP</t>
        </is>
      </c>
      <c r="F3439" s="5" t="inlineStr">
        <is>
          <t>TIM Controle 45GB</t>
        </is>
      </c>
      <c r="G3439" s="5" t="inlineStr">
        <is>
          <t>tim:181976</t>
        </is>
      </c>
      <c r="H3439" s="6" t="n">
        <v>58.99</v>
      </c>
      <c r="I3439" s="6" t="inlineStr"/>
      <c r="J3439" s="5" t="inlineStr"/>
      <c r="K3439" s="5" t="inlineStr"/>
      <c r="L3439" s="7" t="n">
        <v>45</v>
      </c>
      <c r="M3439" s="5" t="inlineStr"/>
      <c r="N3439" s="5" t="inlineStr"/>
      <c r="O3439" s="5" t="inlineStr"/>
      <c r="P3439" s="5" t="inlineStr"/>
      <c r="Q3439" s="5" t="inlineStr"/>
      <c r="R3439" s="5" t="inlineStr"/>
      <c r="S3439" s="5" t="inlineStr"/>
      <c r="T3439" s="5" t="inlineStr"/>
      <c r="U3439" s="5" t="inlineStr">
        <is>
          <t>https://www.tim.com.br/sp/para-voce/planos/controle</t>
        </is>
      </c>
      <c r="V3439" s="5" t="inlineStr">
        <is>
          <t>data/raw/tim_control_SP.html</t>
        </is>
      </c>
    </row>
    <row r="3440">
      <c r="A3440" s="2" t="inlineStr">
        <is>
          <t>2026-08-23</t>
        </is>
      </c>
      <c r="B3440" s="2" t="inlineStr">
        <is>
          <t>2026-08-23T18:17:10</t>
        </is>
      </c>
      <c r="C3440" s="2" t="inlineStr">
        <is>
          <t>tim</t>
        </is>
      </c>
      <c r="D3440" s="2" t="inlineStr">
        <is>
          <t>control</t>
        </is>
      </c>
      <c r="E3440" s="2" t="inlineStr">
        <is>
          <t>SP</t>
        </is>
      </c>
      <c r="F3440" s="2" t="inlineStr">
        <is>
          <t>TIM Controle Light Express 45GB</t>
        </is>
      </c>
      <c r="G3440" s="2" t="inlineStr">
        <is>
          <t>tim:167726</t>
        </is>
      </c>
      <c r="H3440" s="3" t="n">
        <v>60.99</v>
      </c>
      <c r="I3440" s="3" t="inlineStr"/>
      <c r="J3440" s="2" t="inlineStr"/>
      <c r="K3440" s="2" t="inlineStr"/>
      <c r="L3440" s="4" t="n">
        <v>45</v>
      </c>
      <c r="M3440" s="2" t="inlineStr"/>
      <c r="N3440" s="2" t="inlineStr"/>
      <c r="O3440" s="2" t="inlineStr"/>
      <c r="P3440" s="2" t="inlineStr"/>
      <c r="Q3440" s="2" t="inlineStr"/>
      <c r="R3440" s="2" t="inlineStr"/>
      <c r="S3440" s="2" t="inlineStr"/>
      <c r="T3440" s="2" t="inlineStr"/>
      <c r="U3440" s="2" t="inlineStr">
        <is>
          <t>https://www.tim.com.br/sp/para-voce/planos/controle</t>
        </is>
      </c>
      <c r="V3440" s="2" t="inlineStr">
        <is>
          <t>data/raw/tim_control_SP.html</t>
        </is>
      </c>
    </row>
    <row r="3441">
      <c r="A3441" s="5" t="inlineStr">
        <is>
          <t>2026-08-23</t>
        </is>
      </c>
      <c r="B3441" s="5" t="inlineStr">
        <is>
          <t>2026-08-23T18:17:10</t>
        </is>
      </c>
      <c r="C3441" s="5" t="inlineStr">
        <is>
          <t>tim</t>
        </is>
      </c>
      <c r="D3441" s="5" t="inlineStr">
        <is>
          <t>control</t>
        </is>
      </c>
      <c r="E3441" s="5" t="inlineStr">
        <is>
          <t>SP</t>
        </is>
      </c>
      <c r="F3441" s="5" t="inlineStr">
        <is>
          <t>TIM Controle Premium 55GB</t>
        </is>
      </c>
      <c r="G3441" s="5" t="inlineStr">
        <is>
          <t>tim:167041</t>
        </is>
      </c>
      <c r="H3441" s="6" t="n">
        <v>84.98999999999999</v>
      </c>
      <c r="I3441" s="6" t="inlineStr"/>
      <c r="J3441" s="5" t="inlineStr"/>
      <c r="K3441" s="5" t="inlineStr"/>
      <c r="L3441" s="7" t="n">
        <v>55</v>
      </c>
      <c r="M3441" s="5" t="inlineStr"/>
      <c r="N3441" s="5" t="inlineStr"/>
      <c r="O3441" s="5" t="inlineStr"/>
      <c r="P3441" s="5" t="inlineStr"/>
      <c r="Q3441" s="5" t="inlineStr"/>
      <c r="R3441" s="5" t="inlineStr"/>
      <c r="S3441" s="5" t="inlineStr"/>
      <c r="T3441" s="5" t="inlineStr"/>
      <c r="U3441" s="5" t="inlineStr">
        <is>
          <t>https://www.tim.com.br/sp/para-voce/planos/controle</t>
        </is>
      </c>
      <c r="V3441" s="5" t="inlineStr">
        <is>
          <t>data/raw/tim_control_SP.html</t>
        </is>
      </c>
    </row>
    <row r="3442">
      <c r="A3442" s="2" t="inlineStr">
        <is>
          <t>2026-08-23</t>
        </is>
      </c>
      <c r="B3442" s="2" t="inlineStr">
        <is>
          <t>2026-08-23T18:17:10</t>
        </is>
      </c>
      <c r="C3442" s="2" t="inlineStr">
        <is>
          <t>tim</t>
        </is>
      </c>
      <c r="D3442" s="2" t="inlineStr">
        <is>
          <t>control</t>
        </is>
      </c>
      <c r="E3442" s="2" t="inlineStr">
        <is>
          <t>SP</t>
        </is>
      </c>
      <c r="F3442" s="2" t="inlineStr">
        <is>
          <t>TIM Controle Pro Express 46GB</t>
        </is>
      </c>
      <c r="G3442" s="2" t="inlineStr">
        <is>
          <t>tim:167731</t>
        </is>
      </c>
      <c r="H3442" s="3" t="n">
        <v>64.98999999999999</v>
      </c>
      <c r="I3442" s="3" t="inlineStr"/>
      <c r="J3442" s="2" t="inlineStr"/>
      <c r="K3442" s="2" t="inlineStr"/>
      <c r="L3442" s="4" t="n">
        <v>46</v>
      </c>
      <c r="M3442" s="2" t="inlineStr"/>
      <c r="N3442" s="2" t="inlineStr"/>
      <c r="O3442" s="2" t="inlineStr"/>
      <c r="P3442" s="2" t="inlineStr"/>
      <c r="Q3442" s="2" t="inlineStr"/>
      <c r="R3442" s="2" t="inlineStr"/>
      <c r="S3442" s="2" t="inlineStr"/>
      <c r="T3442" s="2" t="inlineStr"/>
      <c r="U3442" s="2" t="inlineStr">
        <is>
          <t>https://www.tim.com.br/sp/para-voce/planos/controle</t>
        </is>
      </c>
      <c r="V3442" s="2" t="inlineStr">
        <is>
          <t>data/raw/tim_control_SP.html</t>
        </is>
      </c>
    </row>
    <row r="3443">
      <c r="A3443" s="5" t="inlineStr">
        <is>
          <t>2026-08-23</t>
        </is>
      </c>
      <c r="B3443" s="5" t="inlineStr">
        <is>
          <t>2026-08-23T18:17:10</t>
        </is>
      </c>
      <c r="C3443" s="5" t="inlineStr">
        <is>
          <t>tim</t>
        </is>
      </c>
      <c r="D3443" s="5" t="inlineStr">
        <is>
          <t>control</t>
        </is>
      </c>
      <c r="E3443" s="5" t="inlineStr">
        <is>
          <t>SP</t>
        </is>
      </c>
      <c r="F3443" s="5" t="inlineStr">
        <is>
          <t>TIM Controle Redes Sociais 46GB</t>
        </is>
      </c>
      <c r="G3443" s="5" t="inlineStr">
        <is>
          <t>tim:180746</t>
        </is>
      </c>
      <c r="H3443" s="6" t="n">
        <v>64.98999999999999</v>
      </c>
      <c r="I3443" s="6" t="inlineStr"/>
      <c r="J3443" s="5" t="inlineStr"/>
      <c r="K3443" s="5" t="inlineStr"/>
      <c r="L3443" s="7" t="n">
        <v>46</v>
      </c>
      <c r="M3443" s="5" t="inlineStr"/>
      <c r="N3443" s="5" t="inlineStr"/>
      <c r="O3443" s="5" t="inlineStr"/>
      <c r="P3443" s="5" t="inlineStr"/>
      <c r="Q3443" s="5" t="inlineStr"/>
      <c r="R3443" s="5" t="inlineStr"/>
      <c r="S3443" s="5" t="inlineStr"/>
      <c r="T3443" s="5" t="inlineStr"/>
      <c r="U3443" s="5" t="inlineStr">
        <is>
          <t>https://www.tim.com.br/sp/para-voce/planos/controle</t>
        </is>
      </c>
      <c r="V3443" s="5" t="inlineStr">
        <is>
          <t>data/raw/tim_control_SP.html</t>
        </is>
      </c>
    </row>
    <row r="3444">
      <c r="A3444" s="2" t="inlineStr">
        <is>
          <t>2026-08-23</t>
        </is>
      </c>
      <c r="B3444" s="2" t="inlineStr">
        <is>
          <t>2026-08-23T18:17:10</t>
        </is>
      </c>
      <c r="C3444" s="2" t="inlineStr">
        <is>
          <t>tim</t>
        </is>
      </c>
      <c r="D3444" s="2" t="inlineStr">
        <is>
          <t>fit</t>
        </is>
      </c>
      <c r="E3444" s="2" t="inlineStr">
        <is>
          <t>SP</t>
        </is>
      </c>
      <c r="F3444" s="2" t="inlineStr">
        <is>
          <t>TIM Controle Fit Anual 1.0</t>
        </is>
      </c>
      <c r="G3444" s="2" t="inlineStr">
        <is>
          <t>tim:TIM202600000306</t>
        </is>
      </c>
      <c r="H3444" s="3" t="n">
        <v>20</v>
      </c>
      <c r="I3444" s="3" t="inlineStr"/>
      <c r="J3444" s="2" t="inlineStr">
        <is>
          <t>plano anual 12x no cartão de crédito; a etiqueta TIM informa 'sem prazo de permanência'</t>
        </is>
      </c>
      <c r="K3444" s="2" t="inlineStr">
        <is>
          <t>credit_card</t>
        </is>
      </c>
      <c r="L3444" s="4" t="n">
        <v>25</v>
      </c>
      <c r="M3444" s="2" t="inlineStr"/>
      <c r="N3444" s="2" t="inlineStr"/>
      <c r="O3444" s="2" t="inlineStr"/>
      <c r="P3444" s="2" t="inlineStr"/>
      <c r="Q3444" s="2" t="inlineStr"/>
      <c r="R3444" s="2" t="inlineStr"/>
      <c r="S3444" s="2" t="n">
        <v>12</v>
      </c>
      <c r="T3444" s="2" t="inlineStr"/>
      <c r="U3444" s="2" t="inlineStr">
        <is>
          <t>https://www.tim.com.br/sp/para-voce/planos/controle</t>
        </is>
      </c>
      <c r="V3444" s="2" t="inlineStr">
        <is>
          <t>data/raw/tim_fit_SP.html</t>
        </is>
      </c>
    </row>
    <row r="3445">
      <c r="A3445" s="5" t="inlineStr">
        <is>
          <t>2026-08-23</t>
        </is>
      </c>
      <c r="B3445" s="5" t="inlineStr">
        <is>
          <t>2026-08-23T18:17:10</t>
        </is>
      </c>
      <c r="C3445" s="5" t="inlineStr">
        <is>
          <t>tim</t>
        </is>
      </c>
      <c r="D3445" s="5" t="inlineStr">
        <is>
          <t>fit</t>
        </is>
      </c>
      <c r="E3445" s="5" t="inlineStr">
        <is>
          <t>SP</t>
        </is>
      </c>
      <c r="F3445" s="5" t="inlineStr">
        <is>
          <t>TIM Controle Fit Anual 2.0</t>
        </is>
      </c>
      <c r="G3445" s="5" t="inlineStr">
        <is>
          <t>tim:TIM202600000271</t>
        </is>
      </c>
      <c r="H3445" s="6" t="n">
        <v>30</v>
      </c>
      <c r="I3445" s="6" t="inlineStr"/>
      <c r="J3445" s="5" t="inlineStr">
        <is>
          <t>plano anual 12x no cartão de crédito; a etiqueta TIM informa 'sem prazo de permanência'</t>
        </is>
      </c>
      <c r="K3445" s="5" t="inlineStr">
        <is>
          <t>credit_card</t>
        </is>
      </c>
      <c r="L3445" s="7" t="n">
        <v>35</v>
      </c>
      <c r="M3445" s="5" t="inlineStr"/>
      <c r="N3445" s="5" t="inlineStr"/>
      <c r="O3445" s="5" t="inlineStr"/>
      <c r="P3445" s="5" t="inlineStr"/>
      <c r="Q3445" s="5" t="inlineStr"/>
      <c r="R3445" s="5" t="inlineStr"/>
      <c r="S3445" s="5" t="n">
        <v>12</v>
      </c>
      <c r="T3445" s="5" t="inlineStr"/>
      <c r="U3445" s="5" t="inlineStr">
        <is>
          <t>https://www.tim.com.br/sp/para-voce/planos/controle</t>
        </is>
      </c>
      <c r="V3445" s="5" t="inlineStr">
        <is>
          <t>data/raw/tim_fit_SP.html</t>
        </is>
      </c>
    </row>
    <row r="3446">
      <c r="A3446" s="2" t="inlineStr">
        <is>
          <t>2026-08-23</t>
        </is>
      </c>
      <c r="B3446" s="2" t="inlineStr">
        <is>
          <t>2026-08-23T18:17:10</t>
        </is>
      </c>
      <c r="C3446" s="2" t="inlineStr">
        <is>
          <t>tim</t>
        </is>
      </c>
      <c r="D3446" s="2" t="inlineStr">
        <is>
          <t>fit</t>
        </is>
      </c>
      <c r="E3446" s="2" t="inlineStr">
        <is>
          <t>SP</t>
        </is>
      </c>
      <c r="F3446" s="2" t="inlineStr">
        <is>
          <t>TIM Controle Fit Mensal 1.0</t>
        </is>
      </c>
      <c r="G3446" s="2" t="inlineStr">
        <is>
          <t>tim:TIM202600000270</t>
        </is>
      </c>
      <c r="H3446" s="3" t="n">
        <v>20</v>
      </c>
      <c r="I3446" s="3" t="inlineStr"/>
      <c r="J344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446" s="2" t="inlineStr"/>
      <c r="L3446" s="4" t="n">
        <v>20</v>
      </c>
      <c r="M3446" s="2" t="inlineStr"/>
      <c r="N3446" s="2" t="inlineStr"/>
      <c r="O3446" s="2" t="inlineStr"/>
      <c r="P3446" s="2" t="inlineStr"/>
      <c r="Q3446" s="2" t="inlineStr"/>
      <c r="R3446" s="2" t="inlineStr"/>
      <c r="S3446" s="2" t="inlineStr"/>
      <c r="T3446" s="2" t="inlineStr"/>
      <c r="U3446" s="2" t="inlineStr">
        <is>
          <t>https://www.tim.com.br/sp/para-voce/planos/controle</t>
        </is>
      </c>
      <c r="V3446" s="2" t="inlineStr">
        <is>
          <t>data/raw/tim_fit_SP.html</t>
        </is>
      </c>
    </row>
    <row r="3447">
      <c r="A3447" s="5" t="inlineStr">
        <is>
          <t>2026-08-23</t>
        </is>
      </c>
      <c r="B3447" s="5" t="inlineStr">
        <is>
          <t>2026-08-23T18:17:10</t>
        </is>
      </c>
      <c r="C3447" s="5" t="inlineStr">
        <is>
          <t>tim</t>
        </is>
      </c>
      <c r="D3447" s="5" t="inlineStr">
        <is>
          <t>fit</t>
        </is>
      </c>
      <c r="E3447" s="5" t="inlineStr">
        <is>
          <t>SP</t>
        </is>
      </c>
      <c r="F3447" s="5" t="inlineStr">
        <is>
          <t>TIM Controle Fit Mensal 2.0</t>
        </is>
      </c>
      <c r="G3447" s="5" t="inlineStr">
        <is>
          <t>tim:TIM202600000305</t>
        </is>
      </c>
      <c r="H3447" s="6" t="n">
        <v>45</v>
      </c>
      <c r="I3447" s="6" t="inlineStr"/>
      <c r="J3447" s="5" t="inlineStr">
        <is>
          <t>plano mensal, sem prazo de permanência; a etiqueta TIM informa 'sem prazo de permanência'</t>
        </is>
      </c>
      <c r="K3447" s="5" t="inlineStr"/>
      <c r="L3447" s="7" t="n">
        <v>35</v>
      </c>
      <c r="M3447" s="5" t="inlineStr"/>
      <c r="N3447" s="5" t="inlineStr"/>
      <c r="O3447" s="5" t="inlineStr"/>
      <c r="P3447" s="5" t="inlineStr"/>
      <c r="Q3447" s="5" t="inlineStr"/>
      <c r="R3447" s="5" t="inlineStr"/>
      <c r="S3447" s="5" t="inlineStr"/>
      <c r="T3447" s="5" t="inlineStr"/>
      <c r="U3447" s="5" t="inlineStr">
        <is>
          <t>https://www.tim.com.br/sp/para-voce/planos/controle</t>
        </is>
      </c>
      <c r="V3447" s="5" t="inlineStr">
        <is>
          <t>data/raw/tim_fit_SP.html</t>
        </is>
      </c>
    </row>
    <row r="3448">
      <c r="A3448" s="2" t="inlineStr">
        <is>
          <t>2026-08-23</t>
        </is>
      </c>
      <c r="B3448" s="2" t="inlineStr">
        <is>
          <t>2026-08-23T18:17:10</t>
        </is>
      </c>
      <c r="C3448" s="2" t="inlineStr">
        <is>
          <t>tim</t>
        </is>
      </c>
      <c r="D3448" s="2" t="inlineStr">
        <is>
          <t>postpaid</t>
        </is>
      </c>
      <c r="E3448" s="2" t="inlineStr">
        <is>
          <t>SP</t>
        </is>
      </c>
      <c r="F3448" s="2" t="inlineStr">
        <is>
          <t>TIM Black 70GB</t>
        </is>
      </c>
      <c r="G3448" s="2" t="inlineStr">
        <is>
          <t>tim:54206</t>
        </is>
      </c>
      <c r="H3448" s="3" t="n">
        <v>129.99</v>
      </c>
      <c r="I3448" s="3" t="inlineStr"/>
      <c r="J3448" s="2" t="inlineStr"/>
      <c r="K3448" s="2" t="inlineStr">
        <is>
          <t>bill</t>
        </is>
      </c>
      <c r="L3448" s="4" t="n">
        <v>70</v>
      </c>
      <c r="M3448" s="2" t="inlineStr"/>
      <c r="N3448" s="2" t="inlineStr"/>
      <c r="O3448" s="2" t="inlineStr"/>
      <c r="P3448" s="2" t="inlineStr"/>
      <c r="Q3448" s="2" t="inlineStr"/>
      <c r="R3448" s="2" t="inlineStr"/>
      <c r="S3448" s="2" t="inlineStr"/>
      <c r="T3448" s="2" t="inlineStr"/>
      <c r="U3448" s="2" t="inlineStr">
        <is>
          <t>https://www.tim.com.br/sp/para-voce/planos/pos-pago/tim-black</t>
        </is>
      </c>
      <c r="V3448" s="2" t="inlineStr">
        <is>
          <t>data/raw/tim_postpaid_SP.html</t>
        </is>
      </c>
    </row>
    <row r="3449">
      <c r="A3449" s="5" t="inlineStr">
        <is>
          <t>2026-08-23</t>
        </is>
      </c>
      <c r="B3449" s="5" t="inlineStr">
        <is>
          <t>2026-08-23T18:17:10</t>
        </is>
      </c>
      <c r="C3449" s="5" t="inlineStr">
        <is>
          <t>tim</t>
        </is>
      </c>
      <c r="D3449" s="5" t="inlineStr">
        <is>
          <t>postpaid</t>
        </is>
      </c>
      <c r="E3449" s="5" t="inlineStr">
        <is>
          <t>SP</t>
        </is>
      </c>
      <c r="F3449" s="5" t="inlineStr">
        <is>
          <t>TIM Black A Express 67GB</t>
        </is>
      </c>
      <c r="G3449" s="5" t="inlineStr">
        <is>
          <t>tim:55121</t>
        </is>
      </c>
      <c r="H3449" s="6" t="n">
        <v>119.99</v>
      </c>
      <c r="I3449" s="6" t="inlineStr"/>
      <c r="J3449" s="5" t="inlineStr"/>
      <c r="K3449" s="5" t="inlineStr">
        <is>
          <t>credit_card</t>
        </is>
      </c>
      <c r="L3449" s="7" t="n">
        <v>67</v>
      </c>
      <c r="M3449" s="5" t="inlineStr"/>
      <c r="N3449" s="5" t="inlineStr"/>
      <c r="O3449" s="5" t="inlineStr"/>
      <c r="P3449" s="5" t="inlineStr"/>
      <c r="Q3449" s="5" t="inlineStr"/>
      <c r="R3449" s="5" t="inlineStr"/>
      <c r="S3449" s="5" t="inlineStr"/>
      <c r="T3449" s="5" t="inlineStr"/>
      <c r="U3449" s="5" t="inlineStr">
        <is>
          <t>https://www.tim.com.br/sp/para-voce/planos/pos-pago/tim-black</t>
        </is>
      </c>
      <c r="V3449" s="5" t="inlineStr">
        <is>
          <t>data/raw/tim_postpaid_SP.html</t>
        </is>
      </c>
    </row>
    <row r="3450">
      <c r="A3450" s="2" t="inlineStr">
        <is>
          <t>2026-08-23</t>
        </is>
      </c>
      <c r="B3450" s="2" t="inlineStr">
        <is>
          <t>2026-08-23T18:17:10</t>
        </is>
      </c>
      <c r="C3450" s="2" t="inlineStr">
        <is>
          <t>tim</t>
        </is>
      </c>
      <c r="D3450" s="2" t="inlineStr">
        <is>
          <t>postpaid</t>
        </is>
      </c>
      <c r="E3450" s="2" t="inlineStr">
        <is>
          <t>SP</t>
        </is>
      </c>
      <c r="F3450" s="2" t="inlineStr">
        <is>
          <t>TIM Black B Express 82GB</t>
        </is>
      </c>
      <c r="G3450" s="2" t="inlineStr">
        <is>
          <t>tim:52146</t>
        </is>
      </c>
      <c r="H3450" s="3" t="n">
        <v>144.99</v>
      </c>
      <c r="I3450" s="3" t="inlineStr"/>
      <c r="J3450" s="2" t="inlineStr"/>
      <c r="K3450" s="2" t="inlineStr">
        <is>
          <t>credit_card</t>
        </is>
      </c>
      <c r="L3450" s="4" t="n">
        <v>82</v>
      </c>
      <c r="M3450" s="2" t="inlineStr"/>
      <c r="N3450" s="2" t="inlineStr"/>
      <c r="O3450" s="2" t="inlineStr"/>
      <c r="P3450" s="2" t="inlineStr"/>
      <c r="Q3450" s="2" t="inlineStr"/>
      <c r="R3450" s="2" t="inlineStr"/>
      <c r="S3450" s="2" t="inlineStr"/>
      <c r="T3450" s="2" t="inlineStr"/>
      <c r="U3450" s="2" t="inlineStr">
        <is>
          <t>https://www.tim.com.br/sp/para-voce/planos/pos-pago/tim-black</t>
        </is>
      </c>
      <c r="V3450" s="2" t="inlineStr">
        <is>
          <t>data/raw/tim_postpaid_SP.html</t>
        </is>
      </c>
    </row>
    <row r="3451">
      <c r="A3451" s="5" t="inlineStr">
        <is>
          <t>2026-08-23</t>
        </is>
      </c>
      <c r="B3451" s="5" t="inlineStr">
        <is>
          <t>2026-08-23T18:17:10</t>
        </is>
      </c>
      <c r="C3451" s="5" t="inlineStr">
        <is>
          <t>tim</t>
        </is>
      </c>
      <c r="D3451" s="5" t="inlineStr">
        <is>
          <t>postpaid</t>
        </is>
      </c>
      <c r="E3451" s="5" t="inlineStr">
        <is>
          <t>SP</t>
        </is>
      </c>
      <c r="F3451" s="5" t="inlineStr">
        <is>
          <t>TIM Black C Express 107GB</t>
        </is>
      </c>
      <c r="G3451" s="5" t="inlineStr">
        <is>
          <t>tim:52151</t>
        </is>
      </c>
      <c r="H3451" s="6" t="n">
        <v>164.99</v>
      </c>
      <c r="I3451" s="6" t="inlineStr"/>
      <c r="J3451" s="5" t="inlineStr"/>
      <c r="K3451" s="5" t="inlineStr">
        <is>
          <t>credit_card</t>
        </is>
      </c>
      <c r="L3451" s="7" t="n">
        <v>107</v>
      </c>
      <c r="M3451" s="5" t="inlineStr"/>
      <c r="N3451" s="5" t="inlineStr"/>
      <c r="O3451" s="5" t="inlineStr"/>
      <c r="P3451" s="5" t="inlineStr"/>
      <c r="Q3451" s="5" t="inlineStr"/>
      <c r="R3451" s="5" t="inlineStr"/>
      <c r="S3451" s="5" t="inlineStr"/>
      <c r="T3451" s="5" t="inlineStr"/>
      <c r="U3451" s="5" t="inlineStr">
        <is>
          <t>https://www.tim.com.br/sp/para-voce/planos/pos-pago/tim-black</t>
        </is>
      </c>
      <c r="V3451" s="5" t="inlineStr">
        <is>
          <t>data/raw/tim_postpaid_SP.html</t>
        </is>
      </c>
    </row>
    <row r="3452">
      <c r="A3452" s="2" t="inlineStr">
        <is>
          <t>2026-08-23</t>
        </is>
      </c>
      <c r="B3452" s="2" t="inlineStr">
        <is>
          <t>2026-08-23T18:17:10</t>
        </is>
      </c>
      <c r="C3452" s="2" t="inlineStr">
        <is>
          <t>tim</t>
        </is>
      </c>
      <c r="D3452" s="2" t="inlineStr">
        <is>
          <t>postpaid</t>
        </is>
      </c>
      <c r="E3452" s="2" t="inlineStr">
        <is>
          <t>SP</t>
        </is>
      </c>
      <c r="F3452" s="2" t="inlineStr">
        <is>
          <t>TIM Black C Ultra 95GB</t>
        </is>
      </c>
      <c r="G3452" s="2" t="inlineStr">
        <is>
          <t>tim:100581</t>
        </is>
      </c>
      <c r="H3452" s="3" t="n">
        <v>159.99</v>
      </c>
      <c r="I3452" s="3" t="inlineStr"/>
      <c r="J3452" s="2" t="inlineStr"/>
      <c r="K3452" s="2" t="inlineStr">
        <is>
          <t>bill</t>
        </is>
      </c>
      <c r="L3452" s="4" t="n">
        <v>95</v>
      </c>
      <c r="M3452" s="2" t="inlineStr"/>
      <c r="N3452" s="2" t="inlineStr"/>
      <c r="O3452" s="2" t="inlineStr"/>
      <c r="P3452" s="2" t="inlineStr"/>
      <c r="Q3452" s="2" t="inlineStr"/>
      <c r="R3452" s="2" t="inlineStr"/>
      <c r="S3452" s="2" t="inlineStr"/>
      <c r="T3452" s="2" t="inlineStr"/>
      <c r="U3452" s="2" t="inlineStr">
        <is>
          <t>https://www.tim.com.br/sp/para-voce/planos/pos-pago/tim-black</t>
        </is>
      </c>
      <c r="V3452" s="2" t="inlineStr">
        <is>
          <t>data/raw/tim_postpaid_SP.html</t>
        </is>
      </c>
    </row>
    <row r="3453">
      <c r="A3453" s="5" t="inlineStr">
        <is>
          <t>2026-08-23</t>
        </is>
      </c>
      <c r="B3453" s="5" t="inlineStr">
        <is>
          <t>2026-08-23T18:17:10</t>
        </is>
      </c>
      <c r="C3453" s="5" t="inlineStr">
        <is>
          <t>tim</t>
        </is>
      </c>
      <c r="D3453" s="5" t="inlineStr">
        <is>
          <t>postpaid</t>
        </is>
      </c>
      <c r="E3453" s="5" t="inlineStr">
        <is>
          <t>SP</t>
        </is>
      </c>
      <c r="F3453" s="5" t="inlineStr">
        <is>
          <t>TIM Black Plus 80GB</t>
        </is>
      </c>
      <c r="G3453" s="5" t="inlineStr">
        <is>
          <t>tim:54256</t>
        </is>
      </c>
      <c r="H3453" s="6" t="n">
        <v>149.99</v>
      </c>
      <c r="I3453" s="6" t="inlineStr"/>
      <c r="J3453" s="5" t="inlineStr"/>
      <c r="K3453" s="5" t="inlineStr">
        <is>
          <t>bill</t>
        </is>
      </c>
      <c r="L3453" s="7" t="n">
        <v>80</v>
      </c>
      <c r="M3453" s="5" t="inlineStr"/>
      <c r="N3453" s="5" t="inlineStr"/>
      <c r="O3453" s="5" t="inlineStr"/>
      <c r="P3453" s="5" t="inlineStr"/>
      <c r="Q3453" s="5" t="inlineStr"/>
      <c r="R3453" s="5" t="inlineStr"/>
      <c r="S3453" s="5" t="inlineStr"/>
      <c r="T3453" s="5" t="inlineStr"/>
      <c r="U3453" s="5" t="inlineStr">
        <is>
          <t>https://www.tim.com.br/sp/para-voce/planos/pos-pago/tim-black</t>
        </is>
      </c>
      <c r="V3453" s="5" t="inlineStr">
        <is>
          <t>data/raw/tim_postpaid_SP.html</t>
        </is>
      </c>
    </row>
    <row r="3454">
      <c r="A3454" s="2" t="inlineStr">
        <is>
          <t>2026-08-23</t>
        </is>
      </c>
      <c r="B3454" s="2" t="inlineStr">
        <is>
          <t>2026-08-23T18:17:10</t>
        </is>
      </c>
      <c r="C3454" s="2" t="inlineStr">
        <is>
          <t>tim</t>
        </is>
      </c>
      <c r="D3454" s="2" t="inlineStr">
        <is>
          <t>postpaid</t>
        </is>
      </c>
      <c r="E3454" s="2" t="inlineStr">
        <is>
          <t>SP</t>
        </is>
      </c>
      <c r="F3454" s="2" t="inlineStr">
        <is>
          <t>TIM Black Premium 110GB</t>
        </is>
      </c>
      <c r="G3454" s="2" t="inlineStr">
        <is>
          <t>tim:54261</t>
        </is>
      </c>
      <c r="H3454" s="3" t="n">
        <v>159.99</v>
      </c>
      <c r="I3454" s="3" t="inlineStr"/>
      <c r="J3454" s="2" t="inlineStr"/>
      <c r="K3454" s="2" t="inlineStr">
        <is>
          <t>bill</t>
        </is>
      </c>
      <c r="L3454" s="4" t="n">
        <v>110</v>
      </c>
      <c r="M3454" s="2" t="inlineStr"/>
      <c r="N3454" s="2" t="inlineStr"/>
      <c r="O3454" s="2" t="inlineStr"/>
      <c r="P3454" s="2" t="inlineStr"/>
      <c r="Q3454" s="2" t="inlineStr"/>
      <c r="R3454" s="2" t="inlineStr"/>
      <c r="S3454" s="2" t="inlineStr"/>
      <c r="T3454" s="2" t="inlineStr"/>
      <c r="U3454" s="2" t="inlineStr">
        <is>
          <t>https://www.tim.com.br/sp/para-voce/planos/pos-pago/tim-black</t>
        </is>
      </c>
      <c r="V3454" s="2" t="inlineStr">
        <is>
          <t>data/raw/tim_postpaid_SP.html</t>
        </is>
      </c>
    </row>
    <row r="3455">
      <c r="A3455" s="5" t="inlineStr">
        <is>
          <t>2026-08-23</t>
        </is>
      </c>
      <c r="B3455" s="5" t="inlineStr">
        <is>
          <t>2026-08-23T18:17:10</t>
        </is>
      </c>
      <c r="C3455" s="5" t="inlineStr">
        <is>
          <t>tim</t>
        </is>
      </c>
      <c r="D3455" s="5" t="inlineStr">
        <is>
          <t>prepaid</t>
        </is>
      </c>
      <c r="E3455" s="5" t="inlineStr">
        <is>
          <t>SP</t>
        </is>
      </c>
      <c r="F3455" s="5" t="inlineStr">
        <is>
          <t>TIM Pré XIP Plus 16GB</t>
        </is>
      </c>
      <c r="G3455" s="5" t="inlineStr">
        <is>
          <t>tim:106306</t>
        </is>
      </c>
      <c r="H3455" s="6" t="n">
        <v>30</v>
      </c>
      <c r="I3455" s="6" t="inlineStr"/>
      <c r="J3455" s="5" t="inlineStr"/>
      <c r="K3455" s="5" t="inlineStr"/>
      <c r="L3455" s="7" t="n">
        <v>16</v>
      </c>
      <c r="M3455" s="5" t="inlineStr"/>
      <c r="N3455" s="5" t="n">
        <v>30</v>
      </c>
      <c r="O3455" s="5" t="inlineStr"/>
      <c r="P3455" s="5" t="inlineStr"/>
      <c r="Q3455" s="5" t="inlineStr"/>
      <c r="R3455" s="5" t="inlineStr"/>
      <c r="S3455" s="5" t="inlineStr"/>
      <c r="T3455" s="5" t="inlineStr"/>
      <c r="U3455" s="5" t="inlineStr">
        <is>
          <t>https://www.tim.com.br/sp/para-voce/planos/pre-pago</t>
        </is>
      </c>
      <c r="V3455" s="5" t="inlineStr">
        <is>
          <t>data/raw/tim_prepaid_SP.html</t>
        </is>
      </c>
    </row>
    <row r="3456">
      <c r="A3456" s="2" t="inlineStr">
        <is>
          <t>2026-08-23</t>
        </is>
      </c>
      <c r="B3456" s="2" t="inlineStr">
        <is>
          <t>2026-08-23T18:17:10</t>
        </is>
      </c>
      <c r="C3456" s="2" t="inlineStr">
        <is>
          <t>tim</t>
        </is>
      </c>
      <c r="D3456" s="2" t="inlineStr">
        <is>
          <t>prepaid</t>
        </is>
      </c>
      <c r="E3456" s="2" t="inlineStr">
        <is>
          <t>SP</t>
        </is>
      </c>
      <c r="F3456" s="2" t="inlineStr">
        <is>
          <t>TIM Pré XIP Plus 6GB</t>
        </is>
      </c>
      <c r="G3456" s="2" t="inlineStr">
        <is>
          <t>tim:59906</t>
        </is>
      </c>
      <c r="H3456" s="3" t="n">
        <v>20</v>
      </c>
      <c r="I3456" s="3" t="inlineStr"/>
      <c r="J3456" s="2" t="inlineStr"/>
      <c r="K3456" s="2" t="inlineStr"/>
      <c r="L3456" s="4" t="n">
        <v>6</v>
      </c>
      <c r="M3456" s="2" t="inlineStr"/>
      <c r="N3456" s="2" t="n">
        <v>17</v>
      </c>
      <c r="O3456" s="2" t="inlineStr"/>
      <c r="P3456" s="2" t="inlineStr"/>
      <c r="Q3456" s="2" t="inlineStr"/>
      <c r="R3456" s="2" t="inlineStr"/>
      <c r="S3456" s="2" t="inlineStr"/>
      <c r="T3456" s="2" t="inlineStr"/>
      <c r="U3456" s="2" t="inlineStr">
        <is>
          <t>https://www.tim.com.br/sp/para-voce/planos/pre-pago</t>
        </is>
      </c>
      <c r="V3456" s="2" t="inlineStr">
        <is>
          <t>data/raw/tim_prepaid_SP.html</t>
        </is>
      </c>
    </row>
    <row r="3457">
      <c r="A3457" s="5" t="inlineStr">
        <is>
          <t>2026-08-23</t>
        </is>
      </c>
      <c r="B3457" s="5" t="inlineStr">
        <is>
          <t>2026-08-23T18:17:10</t>
        </is>
      </c>
      <c r="C3457" s="5" t="inlineStr">
        <is>
          <t>tim</t>
        </is>
      </c>
      <c r="D3457" s="5" t="inlineStr">
        <is>
          <t>prepaid</t>
        </is>
      </c>
      <c r="E3457" s="5" t="inlineStr">
        <is>
          <t>SP</t>
        </is>
      </c>
      <c r="F3457" s="5" t="inlineStr">
        <is>
          <t>TIM Pré XIP Plus 8GB</t>
        </is>
      </c>
      <c r="G3457" s="5" t="inlineStr">
        <is>
          <t>tim:59901</t>
        </is>
      </c>
      <c r="H3457" s="6" t="n">
        <v>25</v>
      </c>
      <c r="I3457" s="6" t="inlineStr"/>
      <c r="J3457" s="5" t="inlineStr"/>
      <c r="K3457" s="5" t="inlineStr"/>
      <c r="L3457" s="7" t="n">
        <v>8</v>
      </c>
      <c r="M3457" s="5" t="inlineStr"/>
      <c r="N3457" s="5" t="n">
        <v>22</v>
      </c>
      <c r="O3457" s="5" t="inlineStr"/>
      <c r="P3457" s="5" t="inlineStr"/>
      <c r="Q3457" s="5" t="inlineStr"/>
      <c r="R3457" s="5" t="inlineStr"/>
      <c r="S3457" s="5" t="inlineStr"/>
      <c r="T3457" s="5" t="inlineStr"/>
      <c r="U3457" s="5" t="inlineStr">
        <is>
          <t>https://www.tim.com.br/sp/para-voce/planos/pre-pago</t>
        </is>
      </c>
      <c r="V3457" s="5" t="inlineStr">
        <is>
          <t>data/raw/tim_prepaid_SP.html</t>
        </is>
      </c>
    </row>
    <row r="3458">
      <c r="A3458" s="2" t="inlineStr">
        <is>
          <t>2026-08-23</t>
        </is>
      </c>
      <c r="B3458" s="2" t="inlineStr">
        <is>
          <t>2026-08-23T18:17:10</t>
        </is>
      </c>
      <c r="C3458" s="2" t="inlineStr">
        <is>
          <t>vivo</t>
        </is>
      </c>
      <c r="D3458" s="2" t="inlineStr">
        <is>
          <t>control</t>
        </is>
      </c>
      <c r="E3458" s="2" t="inlineStr">
        <is>
          <t>SP</t>
        </is>
      </c>
      <c r="F3458" s="2" t="inlineStr">
        <is>
          <t>Vivo Controle</t>
        </is>
      </c>
      <c r="G3458" s="2" t="inlineStr">
        <is>
          <t>vivo:VIV202600034591</t>
        </is>
      </c>
      <c r="H3458" s="3" t="n">
        <v>59</v>
      </c>
      <c r="I3458" s="3" t="inlineStr"/>
      <c r="J3458" s="2" t="inlineStr"/>
      <c r="K3458" s="2" t="inlineStr"/>
      <c r="L3458" s="4" t="n">
        <v>45</v>
      </c>
      <c r="M3458" s="2" t="inlineStr">
        <is>
          <t>15 GB de franquia 30 GB de bônus</t>
        </is>
      </c>
      <c r="N3458" s="2" t="inlineStr"/>
      <c r="O3458" s="2" t="inlineStr"/>
      <c r="P3458" s="2" t="inlineStr"/>
      <c r="Q3458" s="2" t="inlineStr"/>
      <c r="R3458" s="2" t="inlineStr"/>
      <c r="S3458" s="2" t="inlineStr"/>
      <c r="T3458" s="2" t="inlineStr">
        <is>
          <t>2 meses de YouTube sem consumo no plano</t>
        </is>
      </c>
      <c r="U3458" s="2" t="inlineStr">
        <is>
          <t>https://vivo.com.br/para-voce/produtos-e-servicos/para-o-celular/planos-controle</t>
        </is>
      </c>
      <c r="V3458" s="2" t="inlineStr">
        <is>
          <t>data/raw/vivo_control_SP.html</t>
        </is>
      </c>
    </row>
    <row r="3459">
      <c r="A3459" s="5" t="inlineStr">
        <is>
          <t>2026-08-23</t>
        </is>
      </c>
      <c r="B3459" s="5" t="inlineStr">
        <is>
          <t>2026-08-23T18:17:10</t>
        </is>
      </c>
      <c r="C3459" s="5" t="inlineStr">
        <is>
          <t>vivo</t>
        </is>
      </c>
      <c r="D3459" s="5" t="inlineStr">
        <is>
          <t>control</t>
        </is>
      </c>
      <c r="E3459" s="5" t="inlineStr">
        <is>
          <t>SP</t>
        </is>
      </c>
      <c r="F3459" s="5" t="inlineStr">
        <is>
          <t>Vivo Controle</t>
        </is>
      </c>
      <c r="G3459" s="5" t="inlineStr">
        <is>
          <t>vivo:VIV202600034599</t>
        </is>
      </c>
      <c r="H3459" s="6" t="n">
        <v>75</v>
      </c>
      <c r="I3459" s="6" t="inlineStr"/>
      <c r="J3459" s="5" t="inlineStr">
        <is>
          <t>preço-base do plano; a tela exibia R$ 80 com o adicional pré-selecionado (+R$ 5/mês, opcional); 60 GB na tela incluem +10 GB do adicional</t>
        </is>
      </c>
      <c r="K3459" s="5" t="inlineStr"/>
      <c r="L3459" s="7" t="n">
        <v>50</v>
      </c>
      <c r="M3459" s="5" t="inlineStr">
        <is>
          <t>20 GB de franquia 30 GB de bônus</t>
        </is>
      </c>
      <c r="N3459" s="5" t="inlineStr"/>
      <c r="O3459" s="5" t="inlineStr"/>
      <c r="P3459" s="5" t="inlineStr"/>
      <c r="Q3459" s="5" t="inlineStr"/>
      <c r="R3459" s="5" t="inlineStr"/>
      <c r="S3459" s="5" t="inlineStr"/>
      <c r="T3459" s="5" t="inlineStr">
        <is>
          <t>2 meses de YouTube sem consumo no plano</t>
        </is>
      </c>
      <c r="U3459" s="5" t="inlineStr">
        <is>
          <t>https://vivo.com.br/para-voce/produtos-e-servicos/para-o-celular/planos-controle</t>
        </is>
      </c>
      <c r="V3459" s="5" t="inlineStr">
        <is>
          <t>data/raw/vivo_control_SP.html</t>
        </is>
      </c>
    </row>
    <row r="3460">
      <c r="A3460" s="2" t="inlineStr">
        <is>
          <t>2026-08-23</t>
        </is>
      </c>
      <c r="B3460" s="2" t="inlineStr">
        <is>
          <t>2026-08-23T18:17:10</t>
        </is>
      </c>
      <c r="C3460" s="2" t="inlineStr">
        <is>
          <t>vivo</t>
        </is>
      </c>
      <c r="D3460" s="2" t="inlineStr">
        <is>
          <t>control</t>
        </is>
      </c>
      <c r="E3460" s="2" t="inlineStr">
        <is>
          <t>SP</t>
        </is>
      </c>
      <c r="F3460" s="2" t="inlineStr">
        <is>
          <t>Vivo Controle Educação</t>
        </is>
      </c>
      <c r="G3460" s="2" t="inlineStr">
        <is>
          <t>vivo:VIV202600034616</t>
        </is>
      </c>
      <c r="H3460" s="3" t="n">
        <v>85</v>
      </c>
      <c r="I3460" s="3" t="inlineStr"/>
      <c r="J3460" s="2" t="inlineStr">
        <is>
          <t>preço-base do plano; a tela exibia R$ 90 com o adicional pré-selecionado (+R$ 5/mês, opcional); 60 GB na tela incluem +10 GB do adicional</t>
        </is>
      </c>
      <c r="K3460" s="2" t="inlineStr"/>
      <c r="L3460" s="4" t="n">
        <v>50</v>
      </c>
      <c r="M3460" s="2" t="inlineStr">
        <is>
          <t>20 GB de franquia 30 GB de bônus</t>
        </is>
      </c>
      <c r="N3460" s="2" t="inlineStr"/>
      <c r="O3460" s="2" t="inlineStr"/>
      <c r="P3460" s="2" t="inlineStr"/>
      <c r="Q3460" s="2" t="inlineStr"/>
      <c r="R3460" s="2" t="inlineStr"/>
      <c r="S3460" s="2" t="inlineStr"/>
      <c r="T3460" s="2" t="inlineStr">
        <is>
          <t>Assinatura Vivae inclusa</t>
        </is>
      </c>
      <c r="U3460" s="2" t="inlineStr">
        <is>
          <t>https://vivo.com.br/para-voce/produtos-e-servicos/para-o-celular/planos-controle</t>
        </is>
      </c>
      <c r="V3460" s="2" t="inlineStr">
        <is>
          <t>data/raw/vivo_control_SP.html</t>
        </is>
      </c>
    </row>
    <row r="3461">
      <c r="A3461" s="5" t="inlineStr">
        <is>
          <t>2026-08-23</t>
        </is>
      </c>
      <c r="B3461" s="5" t="inlineStr">
        <is>
          <t>2026-08-23T18:17:10</t>
        </is>
      </c>
      <c r="C3461" s="5" t="inlineStr">
        <is>
          <t>vivo</t>
        </is>
      </c>
      <c r="D3461" s="5" t="inlineStr">
        <is>
          <t>control</t>
        </is>
      </c>
      <c r="E3461" s="5" t="inlineStr">
        <is>
          <t>SP</t>
        </is>
      </c>
      <c r="F3461" s="5" t="inlineStr">
        <is>
          <t>Vivo Controle Entretenimento</t>
        </is>
      </c>
      <c r="G3461" s="5" t="inlineStr">
        <is>
          <t>vivo:VIV202600034619</t>
        </is>
      </c>
      <c r="H3461" s="6" t="n">
        <v>105</v>
      </c>
      <c r="I3461" s="6" t="inlineStr"/>
      <c r="J3461" s="5" t="inlineStr">
        <is>
          <t>preço-base do plano; a tela exibia R$ 110 com o adicional pré-selecionado (+R$ 5/mês, opcional); 60 GB na tela incluem +10 GB do adicional</t>
        </is>
      </c>
      <c r="K3461" s="5" t="inlineStr"/>
      <c r="L3461" s="7" t="n">
        <v>50</v>
      </c>
      <c r="M3461" s="5" t="inlineStr">
        <is>
          <t>20 GB de franquia 30 GB de bônus</t>
        </is>
      </c>
      <c r="N3461" s="5" t="inlineStr"/>
      <c r="O3461" s="5" t="inlineStr"/>
      <c r="P3461" s="5" t="inlineStr"/>
      <c r="Q3461" s="5" t="inlineStr"/>
      <c r="R3461" s="5" t="inlineStr"/>
      <c r="S3461" s="5" t="inlineStr"/>
      <c r="T3461" s="5" t="inlineStr">
        <is>
          <t>Assinatura Vivo TV Inicial inclusa</t>
        </is>
      </c>
      <c r="U3461" s="5" t="inlineStr">
        <is>
          <t>https://vivo.com.br/para-voce/produtos-e-servicos/para-o-celular/planos-controle</t>
        </is>
      </c>
      <c r="V3461" s="5" t="inlineStr">
        <is>
          <t>data/raw/vivo_control_SP.html</t>
        </is>
      </c>
    </row>
    <row r="3462">
      <c r="A3462" s="2" t="inlineStr">
        <is>
          <t>2026-08-23</t>
        </is>
      </c>
      <c r="B3462" s="2" t="inlineStr">
        <is>
          <t>2026-08-23T18:17:10</t>
        </is>
      </c>
      <c r="C3462" s="2" t="inlineStr">
        <is>
          <t>vivo</t>
        </is>
      </c>
      <c r="D3462" s="2" t="inlineStr">
        <is>
          <t>control</t>
        </is>
      </c>
      <c r="E3462" s="2" t="inlineStr">
        <is>
          <t>SP</t>
        </is>
      </c>
      <c r="F3462" s="2" t="inlineStr">
        <is>
          <t>Vivo Controle Música</t>
        </is>
      </c>
      <c r="G3462" s="2" t="inlineStr">
        <is>
          <t>vivo:VIV202600034620</t>
        </is>
      </c>
      <c r="H3462" s="3" t="n">
        <v>85</v>
      </c>
      <c r="I3462" s="3" t="inlineStr"/>
      <c r="J3462" s="2" t="inlineStr">
        <is>
          <t>preço-base do plano; a tela exibia R$ 90 com o adicional pré-selecionado (+R$ 5/mês, opcional); 60 GB na tela incluem +10 GB do adicional</t>
        </is>
      </c>
      <c r="K3462" s="2" t="inlineStr"/>
      <c r="L3462" s="4" t="n">
        <v>50</v>
      </c>
      <c r="M3462" s="2" t="inlineStr">
        <is>
          <t>20 GB de franquia 30 GB de bônus</t>
        </is>
      </c>
      <c r="N3462" s="2" t="inlineStr"/>
      <c r="O3462" s="2" t="inlineStr"/>
      <c r="P3462" s="2" t="inlineStr"/>
      <c r="Q3462" s="2" t="inlineStr"/>
      <c r="R3462" s="2" t="inlineStr"/>
      <c r="S3462" s="2" t="inlineStr"/>
      <c r="T3462" s="2" t="inlineStr">
        <is>
          <t>Apple Music Individual</t>
        </is>
      </c>
      <c r="U3462" s="2" t="inlineStr">
        <is>
          <t>https://vivo.com.br/para-voce/produtos-e-servicos/para-o-celular/planos-controle</t>
        </is>
      </c>
      <c r="V3462" s="2" t="inlineStr">
        <is>
          <t>data/raw/vivo_control_SP.html</t>
        </is>
      </c>
    </row>
    <row r="3463">
      <c r="A3463" s="5" t="inlineStr">
        <is>
          <t>2026-08-23</t>
        </is>
      </c>
      <c r="B3463" s="5" t="inlineStr">
        <is>
          <t>2026-08-23T18:17:10</t>
        </is>
      </c>
      <c r="C3463" s="5" t="inlineStr">
        <is>
          <t>vivo</t>
        </is>
      </c>
      <c r="D3463" s="5" t="inlineStr">
        <is>
          <t>control</t>
        </is>
      </c>
      <c r="E3463" s="5" t="inlineStr">
        <is>
          <t>SP</t>
        </is>
      </c>
      <c r="F3463" s="5" t="inlineStr">
        <is>
          <t>Vivo Controle Netflix</t>
        </is>
      </c>
      <c r="G3463" s="5" t="inlineStr">
        <is>
          <t>vivo:VIV202600034623</t>
        </is>
      </c>
      <c r="H3463" s="6" t="n">
        <v>90</v>
      </c>
      <c r="I3463" s="6" t="inlineStr"/>
      <c r="J3463" s="5" t="inlineStr">
        <is>
          <t>preço-base do plano; a tela exibia R$ 95 com o adicional pré-selecionado (+R$ 5/mês, opcional); 60 GB na tela incluem +10 GB do adicional</t>
        </is>
      </c>
      <c r="K3463" s="5" t="inlineStr"/>
      <c r="L3463" s="7" t="n">
        <v>50</v>
      </c>
      <c r="M3463" s="5" t="inlineStr">
        <is>
          <t>20 GB de franquia 30 GB de bônus</t>
        </is>
      </c>
      <c r="N3463" s="5" t="inlineStr"/>
      <c r="O3463" s="5" t="inlineStr"/>
      <c r="P3463" s="5" t="inlineStr"/>
      <c r="Q3463" s="5" t="inlineStr"/>
      <c r="R3463" s="5" t="inlineStr"/>
      <c r="S3463" s="5" t="inlineStr"/>
      <c r="T3463" s="5" t="inlineStr">
        <is>
          <t>Assinatura Netflix Padrão com anúncios</t>
        </is>
      </c>
      <c r="U3463" s="5" t="inlineStr">
        <is>
          <t>https://vivo.com.br/para-voce/produtos-e-servicos/para-o-celular/planos-controle</t>
        </is>
      </c>
      <c r="V3463" s="5" t="inlineStr">
        <is>
          <t>data/raw/vivo_control_SP.html</t>
        </is>
      </c>
    </row>
    <row r="3464">
      <c r="A3464" s="2" t="inlineStr">
        <is>
          <t>2026-08-23</t>
        </is>
      </c>
      <c r="B3464" s="2" t="inlineStr">
        <is>
          <t>2026-08-23T18:17:10</t>
        </is>
      </c>
      <c r="C3464" s="2" t="inlineStr">
        <is>
          <t>vivo</t>
        </is>
      </c>
      <c r="D3464" s="2" t="inlineStr">
        <is>
          <t>control</t>
        </is>
      </c>
      <c r="E3464" s="2" t="inlineStr">
        <is>
          <t>SP</t>
        </is>
      </c>
      <c r="F3464" s="2" t="inlineStr">
        <is>
          <t>Vivo Controle Saúde</t>
        </is>
      </c>
      <c r="G3464" s="2" t="inlineStr">
        <is>
          <t>vivo:VIV202600034625</t>
        </is>
      </c>
      <c r="H3464" s="3" t="n">
        <v>85</v>
      </c>
      <c r="I3464" s="3" t="inlineStr"/>
      <c r="J3464" s="2" t="inlineStr">
        <is>
          <t>preço-base do plano; a tela exibia R$ 90 com o adicional pré-selecionado (+R$ 5/mês, opcional); 60 GB na tela incluem +10 GB do adicional</t>
        </is>
      </c>
      <c r="K3464" s="2" t="inlineStr"/>
      <c r="L3464" s="4" t="n">
        <v>50</v>
      </c>
      <c r="M3464" s="2" t="inlineStr">
        <is>
          <t>20 GB de franquia 30 GB de bônus</t>
        </is>
      </c>
      <c r="N3464" s="2" t="inlineStr"/>
      <c r="O3464" s="2" t="inlineStr"/>
      <c r="P3464" s="2" t="inlineStr"/>
      <c r="Q3464" s="2" t="inlineStr"/>
      <c r="R3464" s="2" t="inlineStr"/>
      <c r="S3464" s="2" t="inlineStr"/>
      <c r="T3464" s="2" t="inlineStr">
        <is>
          <t>Assinatura Vale Saúde Sempre inclusa</t>
        </is>
      </c>
      <c r="U3464" s="2" t="inlineStr">
        <is>
          <t>https://vivo.com.br/para-voce/produtos-e-servicos/para-o-celular/planos-controle</t>
        </is>
      </c>
      <c r="V3464" s="2" t="inlineStr">
        <is>
          <t>data/raw/vivo_control_SP.html</t>
        </is>
      </c>
    </row>
    <row r="3465">
      <c r="A3465" s="5" t="inlineStr">
        <is>
          <t>2026-08-23</t>
        </is>
      </c>
      <c r="B3465" s="5" t="inlineStr">
        <is>
          <t>2026-08-23T18:17:10</t>
        </is>
      </c>
      <c r="C3465" s="5" t="inlineStr">
        <is>
          <t>vivo</t>
        </is>
      </c>
      <c r="D3465" s="5" t="inlineStr">
        <is>
          <t>control</t>
        </is>
      </c>
      <c r="E3465" s="5" t="inlineStr">
        <is>
          <t>SP</t>
        </is>
      </c>
      <c r="F3465" s="5" t="inlineStr">
        <is>
          <t>Vivo Controle Youtube Lite</t>
        </is>
      </c>
      <c r="G3465" s="5" t="inlineStr">
        <is>
          <t>vivo:VIV202600034626</t>
        </is>
      </c>
      <c r="H3465" s="6" t="n">
        <v>85</v>
      </c>
      <c r="I3465" s="6" t="inlineStr"/>
      <c r="J3465" s="5" t="inlineStr">
        <is>
          <t>preço-base do plano; a tela exibia R$ 90 com o adicional pré-selecionado (+R$ 5/mês, opcional); 60 GB na tela incluem +10 GB do adicional</t>
        </is>
      </c>
      <c r="K3465" s="5" t="inlineStr"/>
      <c r="L3465" s="7" t="n">
        <v>50</v>
      </c>
      <c r="M3465" s="5" t="inlineStr">
        <is>
          <t>20 GB de franquia 30 GB de bônus</t>
        </is>
      </c>
      <c r="N3465" s="5" t="inlineStr"/>
      <c r="O3465" s="5" t="inlineStr"/>
      <c r="P3465" s="5" t="inlineStr"/>
      <c r="Q3465" s="5" t="inlineStr"/>
      <c r="R3465" s="5" t="inlineStr"/>
      <c r="S3465" s="5" t="inlineStr"/>
      <c r="T3465" s="5" t="inlineStr">
        <is>
          <t>2 meses de YouTube sem consumo no plano</t>
        </is>
      </c>
      <c r="U3465" s="5" t="inlineStr">
        <is>
          <t>https://vivo.com.br/para-voce/produtos-e-servicos/para-o-celular/planos-controle</t>
        </is>
      </c>
      <c r="V3465" s="5" t="inlineStr">
        <is>
          <t>data/raw/vivo_control_SP.html</t>
        </is>
      </c>
    </row>
    <row r="3466">
      <c r="A3466" s="2" t="inlineStr">
        <is>
          <t>2026-08-23</t>
        </is>
      </c>
      <c r="B3466" s="2" t="inlineStr">
        <is>
          <t>2026-08-23T18:17:10</t>
        </is>
      </c>
      <c r="C3466" s="2" t="inlineStr">
        <is>
          <t>vivo</t>
        </is>
      </c>
      <c r="D3466" s="2" t="inlineStr">
        <is>
          <t>lite</t>
        </is>
      </c>
      <c r="E3466" s="2" t="inlineStr">
        <is>
          <t>SP</t>
        </is>
      </c>
      <c r="F3466" s="2" t="inlineStr">
        <is>
          <t>Vivo Lite</t>
        </is>
      </c>
      <c r="G3466" s="2" t="inlineStr">
        <is>
          <t>vivo:VIV202600033987</t>
        </is>
      </c>
      <c r="H3466" s="3" t="n">
        <v>45</v>
      </c>
      <c r="I3466" s="3" t="n">
        <v>30</v>
      </c>
      <c r="J3466" s="2" t="inlineStr">
        <is>
          <t>preço sem fidelidade; fidelidade 12m no promo</t>
        </is>
      </c>
      <c r="K3466" s="2" t="inlineStr"/>
      <c r="L3466" s="4" t="n">
        <v>30</v>
      </c>
      <c r="M3466" s="2" t="inlineStr">
        <is>
          <t>30 GB de franquia</t>
        </is>
      </c>
      <c r="N3466" s="2" t="inlineStr"/>
      <c r="O3466" s="2" t="inlineStr"/>
      <c r="P3466" s="2" t="inlineStr"/>
      <c r="Q3466" s="2" t="inlineStr"/>
      <c r="R3466" s="2" t="inlineStr"/>
      <c r="S3466" s="2" t="n">
        <v>12</v>
      </c>
      <c r="T3466" s="2" t="inlineStr">
        <is>
          <t>2 meses de YouTube sem consumo no plano</t>
        </is>
      </c>
      <c r="U3466" s="2" t="inlineStr">
        <is>
          <t>https://vivo.com.br/para-voce/produtos-e-servicos/para-o-celular/easy-lite</t>
        </is>
      </c>
      <c r="V3466" s="2" t="inlineStr">
        <is>
          <t>data/raw/vivo_lite_SP.html</t>
        </is>
      </c>
    </row>
    <row r="3467">
      <c r="A3467" s="5" t="inlineStr">
        <is>
          <t>2026-08-23</t>
        </is>
      </c>
      <c r="B3467" s="5" t="inlineStr">
        <is>
          <t>2026-08-23T18:17:10</t>
        </is>
      </c>
      <c r="C3467" s="5" t="inlineStr">
        <is>
          <t>vivo</t>
        </is>
      </c>
      <c r="D3467" s="5" t="inlineStr">
        <is>
          <t>lite</t>
        </is>
      </c>
      <c r="E3467" s="5" t="inlineStr">
        <is>
          <t>SP</t>
        </is>
      </c>
      <c r="F3467" s="5" t="inlineStr">
        <is>
          <t>Vivo Lite</t>
        </is>
      </c>
      <c r="G3467" s="5" t="inlineStr">
        <is>
          <t>vivo:VIV202600033989</t>
        </is>
      </c>
      <c r="H3467" s="6" t="n">
        <v>55</v>
      </c>
      <c r="I3467" s="6" t="n">
        <v>40</v>
      </c>
      <c r="J3467" s="5" t="inlineStr">
        <is>
          <t>preço sem fidelidade; fidelidade 12m no promo</t>
        </is>
      </c>
      <c r="K3467" s="5" t="inlineStr"/>
      <c r="L3467" s="7" t="n">
        <v>40</v>
      </c>
      <c r="M3467" s="5" t="inlineStr">
        <is>
          <t>40 GB de franquia</t>
        </is>
      </c>
      <c r="N3467" s="5" t="inlineStr"/>
      <c r="O3467" s="5" t="inlineStr"/>
      <c r="P3467" s="5" t="inlineStr"/>
      <c r="Q3467" s="5" t="inlineStr"/>
      <c r="R3467" s="5" t="inlineStr"/>
      <c r="S3467" s="5" t="n">
        <v>12</v>
      </c>
      <c r="T3467" s="5" t="inlineStr">
        <is>
          <t>2 meses de YouTube sem consumo no plano</t>
        </is>
      </c>
      <c r="U3467" s="5" t="inlineStr">
        <is>
          <t>https://vivo.com.br/para-voce/produtos-e-servicos/para-o-celular/easy-lite</t>
        </is>
      </c>
      <c r="V3467" s="5" t="inlineStr">
        <is>
          <t>data/raw/vivo_lite_SP.html</t>
        </is>
      </c>
    </row>
    <row r="3468">
      <c r="A3468" s="2" t="inlineStr">
        <is>
          <t>2026-08-23</t>
        </is>
      </c>
      <c r="B3468" s="2" t="inlineStr">
        <is>
          <t>2026-08-23T18:17:10</t>
        </is>
      </c>
      <c r="C3468" s="2" t="inlineStr">
        <is>
          <t>vivo</t>
        </is>
      </c>
      <c r="D3468" s="2" t="inlineStr">
        <is>
          <t>lite</t>
        </is>
      </c>
      <c r="E3468" s="2" t="inlineStr">
        <is>
          <t>SP</t>
        </is>
      </c>
      <c r="F3468" s="2" t="inlineStr">
        <is>
          <t>Vivo Lite</t>
        </is>
      </c>
      <c r="G3468" s="2" t="inlineStr">
        <is>
          <t>vivo:VIV202600033992</t>
        </is>
      </c>
      <c r="H3468" s="3" t="n">
        <v>35</v>
      </c>
      <c r="I3468" s="3" t="inlineStr"/>
      <c r="J3468" s="2" t="inlineStr"/>
      <c r="K3468" s="2" t="inlineStr"/>
      <c r="L3468" s="4" t="n">
        <v>20</v>
      </c>
      <c r="M3468" s="2" t="inlineStr">
        <is>
          <t>20 GB de franquia</t>
        </is>
      </c>
      <c r="N3468" s="2" t="inlineStr"/>
      <c r="O3468" s="2" t="inlineStr"/>
      <c r="P3468" s="2" t="inlineStr"/>
      <c r="Q3468" s="2" t="inlineStr"/>
      <c r="R3468" s="2" t="inlineStr"/>
      <c r="S3468" s="2" t="inlineStr"/>
      <c r="T3468" s="2" t="inlineStr">
        <is>
          <t>2 meses de YouTube sem consumo no plano</t>
        </is>
      </c>
      <c r="U3468" s="2" t="inlineStr">
        <is>
          <t>https://vivo.com.br/para-voce/produtos-e-servicos/para-o-celular/easy-lite</t>
        </is>
      </c>
      <c r="V3468" s="2" t="inlineStr">
        <is>
          <t>data/raw/vivo_lite_SP.html</t>
        </is>
      </c>
    </row>
    <row r="3469">
      <c r="A3469" s="5" t="inlineStr">
        <is>
          <t>2026-08-23</t>
        </is>
      </c>
      <c r="B3469" s="5" t="inlineStr">
        <is>
          <t>2026-08-23T18:17:10</t>
        </is>
      </c>
      <c r="C3469" s="5" t="inlineStr">
        <is>
          <t>vivo</t>
        </is>
      </c>
      <c r="D3469" s="5" t="inlineStr">
        <is>
          <t>postpaid</t>
        </is>
      </c>
      <c r="E3469" s="5" t="inlineStr">
        <is>
          <t>SP</t>
        </is>
      </c>
      <c r="F3469" s="5" t="inlineStr">
        <is>
          <t>Vivo Família 2</t>
        </is>
      </c>
      <c r="G3469" s="5" t="inlineStr">
        <is>
          <t>vivo:VIV202600034547</t>
        </is>
      </c>
      <c r="H3469" s="6" t="n">
        <v>270</v>
      </c>
      <c r="I3469" s="6" t="inlineStr"/>
      <c r="J3469" s="5" t="inlineStr"/>
      <c r="K3469" s="5" t="inlineStr"/>
      <c r="L3469" s="7" t="n">
        <v>120</v>
      </c>
      <c r="M3469" s="5" t="inlineStr">
        <is>
          <t>120 GB de franquia Você + 1 linha adicional Roaming Internacional com Vivo Travel Américas e Europa</t>
        </is>
      </c>
      <c r="N3469" s="5" t="inlineStr"/>
      <c r="O3469" s="5" t="inlineStr"/>
      <c r="P3469" s="5" t="inlineStr"/>
      <c r="Q3469" s="5" t="inlineStr"/>
      <c r="R3469" s="5" t="inlineStr"/>
      <c r="S3469" s="5" t="inlineStr"/>
      <c r="T3469" s="5" t="inlineStr">
        <is>
          <t>2 meses de YouTube sem consumo no plano</t>
        </is>
      </c>
      <c r="U3469" s="5" t="inlineStr">
        <is>
          <t>https://vivo.com.br/para-voce/produtos-e-servicos/para-o-celular/planos-pos-pago</t>
        </is>
      </c>
      <c r="V3469" s="5" t="inlineStr">
        <is>
          <t>data/raw/vivo_postpaid_SP.html</t>
        </is>
      </c>
    </row>
    <row r="3470">
      <c r="A3470" s="2" t="inlineStr">
        <is>
          <t>2026-08-23</t>
        </is>
      </c>
      <c r="B3470" s="2" t="inlineStr">
        <is>
          <t>2026-08-23T18:17:10</t>
        </is>
      </c>
      <c r="C3470" s="2" t="inlineStr">
        <is>
          <t>vivo</t>
        </is>
      </c>
      <c r="D3470" s="2" t="inlineStr">
        <is>
          <t>postpaid</t>
        </is>
      </c>
      <c r="E3470" s="2" t="inlineStr">
        <is>
          <t>SP</t>
        </is>
      </c>
      <c r="F3470" s="2" t="inlineStr">
        <is>
          <t>Vivo Família 3</t>
        </is>
      </c>
      <c r="G3470" s="2" t="inlineStr">
        <is>
          <t>vivo:VIV202600034540</t>
        </is>
      </c>
      <c r="H3470" s="3" t="n">
        <v>340</v>
      </c>
      <c r="I3470" s="3" t="inlineStr"/>
      <c r="J3470" s="2" t="inlineStr"/>
      <c r="K3470" s="2" t="inlineStr"/>
      <c r="L3470" s="4" t="n">
        <v>180</v>
      </c>
      <c r="M3470" s="2" t="inlineStr">
        <is>
          <t>180 GB de franquia Você + 2 linhas adicionais Roaming Internacional com Vivo Travel Américas e Europa</t>
        </is>
      </c>
      <c r="N3470" s="2" t="inlineStr"/>
      <c r="O3470" s="2" t="inlineStr"/>
      <c r="P3470" s="2" t="inlineStr"/>
      <c r="Q3470" s="2" t="inlineStr"/>
      <c r="R3470" s="2" t="inlineStr"/>
      <c r="S3470" s="2" t="inlineStr"/>
      <c r="T3470" s="2" t="inlineStr">
        <is>
          <t>2 meses de YouTube sem consumo no plano</t>
        </is>
      </c>
      <c r="U3470" s="2" t="inlineStr">
        <is>
          <t>https://vivo.com.br/para-voce/produtos-e-servicos/para-o-celular/planos-pos-pago</t>
        </is>
      </c>
      <c r="V3470" s="2" t="inlineStr">
        <is>
          <t>data/raw/vivo_postpaid_SP.html</t>
        </is>
      </c>
    </row>
    <row r="3471">
      <c r="A3471" s="5" t="inlineStr">
        <is>
          <t>2026-08-23</t>
        </is>
      </c>
      <c r="B3471" s="5" t="inlineStr">
        <is>
          <t>2026-08-23T18:17:10</t>
        </is>
      </c>
      <c r="C3471" s="5" t="inlineStr">
        <is>
          <t>vivo</t>
        </is>
      </c>
      <c r="D3471" s="5" t="inlineStr">
        <is>
          <t>postpaid</t>
        </is>
      </c>
      <c r="E3471" s="5" t="inlineStr">
        <is>
          <t>SP</t>
        </is>
      </c>
      <c r="F3471" s="5" t="inlineStr">
        <is>
          <t>Vivo Família 4</t>
        </is>
      </c>
      <c r="G3471" s="5" t="inlineStr">
        <is>
          <t>vivo:VIV202600034531</t>
        </is>
      </c>
      <c r="H3471" s="6" t="n">
        <v>430</v>
      </c>
      <c r="I3471" s="6" t="inlineStr"/>
      <c r="J3471" s="5" t="inlineStr"/>
      <c r="K3471" s="5" t="inlineStr"/>
      <c r="L3471" s="7" t="n">
        <v>240</v>
      </c>
      <c r="M3471" s="5" t="inlineStr">
        <is>
          <t>240 GB de franquia Você + 3 linhas adicionais Roaming Internacional com Vivo Travel Américas e Europa</t>
        </is>
      </c>
      <c r="N3471" s="5" t="inlineStr"/>
      <c r="O3471" s="5" t="inlineStr"/>
      <c r="P3471" s="5" t="inlineStr"/>
      <c r="Q3471" s="5" t="inlineStr"/>
      <c r="R3471" s="5" t="inlineStr"/>
      <c r="S3471" s="5" t="inlineStr"/>
      <c r="T3471" s="5" t="inlineStr">
        <is>
          <t>2 meses de YouTube sem consumo no plano</t>
        </is>
      </c>
      <c r="U3471" s="5" t="inlineStr">
        <is>
          <t>https://vivo.com.br/para-voce/produtos-e-servicos/para-o-celular/planos-pos-pago</t>
        </is>
      </c>
      <c r="V3471" s="5" t="inlineStr">
        <is>
          <t>data/raw/vivo_postpaid_SP.html</t>
        </is>
      </c>
    </row>
    <row r="3472">
      <c r="A3472" s="2" t="inlineStr">
        <is>
          <t>2026-08-23</t>
        </is>
      </c>
      <c r="B3472" s="2" t="inlineStr">
        <is>
          <t>2026-08-23T18:17:10</t>
        </is>
      </c>
      <c r="C3472" s="2" t="inlineStr">
        <is>
          <t>vivo</t>
        </is>
      </c>
      <c r="D3472" s="2" t="inlineStr">
        <is>
          <t>postpaid</t>
        </is>
      </c>
      <c r="E3472" s="2" t="inlineStr">
        <is>
          <t>SP</t>
        </is>
      </c>
      <c r="F3472" s="2" t="inlineStr">
        <is>
          <t>Vivo Família 5</t>
        </is>
      </c>
      <c r="G3472" s="2" t="inlineStr">
        <is>
          <t>vivo:VIV202600034526</t>
        </is>
      </c>
      <c r="H3472" s="3" t="n">
        <v>530</v>
      </c>
      <c r="I3472" s="3" t="inlineStr"/>
      <c r="J3472" s="2" t="inlineStr"/>
      <c r="K3472" s="2" t="inlineStr"/>
      <c r="L3472" s="4" t="n">
        <v>300</v>
      </c>
      <c r="M3472" s="2" t="inlineStr">
        <is>
          <t>300 GB de franquia Você + 4 linhas adicionais Roaming Internacional com Vivo Travel Américas e Europa</t>
        </is>
      </c>
      <c r="N3472" s="2" t="inlineStr"/>
      <c r="O3472" s="2" t="inlineStr"/>
      <c r="P3472" s="2" t="inlineStr"/>
      <c r="Q3472" s="2" t="inlineStr"/>
      <c r="R3472" s="2" t="inlineStr"/>
      <c r="S3472" s="2" t="inlineStr"/>
      <c r="T3472" s="2" t="inlineStr">
        <is>
          <t>2 meses de YouTube sem consumo no plano</t>
        </is>
      </c>
      <c r="U3472" s="2" t="inlineStr">
        <is>
          <t>https://vivo.com.br/para-voce/produtos-e-servicos/para-o-celular/planos-pos-pago</t>
        </is>
      </c>
      <c r="V3472" s="2" t="inlineStr">
        <is>
          <t>data/raw/vivo_postpaid_SP.html</t>
        </is>
      </c>
    </row>
    <row r="3473">
      <c r="A3473" s="5" t="inlineStr">
        <is>
          <t>2026-08-23</t>
        </is>
      </c>
      <c r="B3473" s="5" t="inlineStr">
        <is>
          <t>2026-08-23T18:17:10</t>
        </is>
      </c>
      <c r="C3473" s="5" t="inlineStr">
        <is>
          <t>vivo</t>
        </is>
      </c>
      <c r="D3473" s="5" t="inlineStr">
        <is>
          <t>postpaid</t>
        </is>
      </c>
      <c r="E3473" s="5" t="inlineStr">
        <is>
          <t>SP</t>
        </is>
      </c>
      <c r="F3473" s="5" t="inlineStr">
        <is>
          <t>Vivo Pós com Amazon</t>
        </is>
      </c>
      <c r="G3473" s="5" t="inlineStr">
        <is>
          <t>vivo:VIV202600034554</t>
        </is>
      </c>
      <c r="H3473" s="6" t="n">
        <v>150</v>
      </c>
      <c r="I3473" s="6" t="inlineStr"/>
      <c r="J3473" s="5" t="inlineStr"/>
      <c r="K3473" s="5" t="inlineStr"/>
      <c r="L3473" s="7" t="n">
        <v>60</v>
      </c>
      <c r="M3473" s="5" t="inlineStr">
        <is>
          <t>50 GB de franquia 10 GB de bônus</t>
        </is>
      </c>
      <c r="N3473" s="5" t="inlineStr"/>
      <c r="O3473" s="5" t="inlineStr"/>
      <c r="P3473" s="5" t="inlineStr"/>
      <c r="Q3473" s="5" t="inlineStr"/>
      <c r="R3473" s="5" t="inlineStr"/>
      <c r="S3473" s="5" t="inlineStr"/>
      <c r="T3473" s="5" t="inlineStr">
        <is>
          <t>Assinatura Amazon Prime inclusa</t>
        </is>
      </c>
      <c r="U3473" s="5" t="inlineStr">
        <is>
          <t>https://vivo.com.br/para-voce/produtos-e-servicos/para-o-celular/planos-pos-pago</t>
        </is>
      </c>
      <c r="V3473" s="5" t="inlineStr">
        <is>
          <t>data/raw/vivo_postpaid_SP.html</t>
        </is>
      </c>
    </row>
    <row r="3474">
      <c r="A3474" s="2" t="inlineStr">
        <is>
          <t>2026-08-23</t>
        </is>
      </c>
      <c r="B3474" s="2" t="inlineStr">
        <is>
          <t>2026-08-23T18:17:10</t>
        </is>
      </c>
      <c r="C3474" s="2" t="inlineStr">
        <is>
          <t>vivo</t>
        </is>
      </c>
      <c r="D3474" s="2" t="inlineStr">
        <is>
          <t>postpaid</t>
        </is>
      </c>
      <c r="E3474" s="2" t="inlineStr">
        <is>
          <t>SP</t>
        </is>
      </c>
      <c r="F3474" s="2" t="inlineStr">
        <is>
          <t>Vivo Pós com Disney+</t>
        </is>
      </c>
      <c r="G3474" s="2" t="inlineStr">
        <is>
          <t>vivo:VIV202600034532</t>
        </is>
      </c>
      <c r="H3474" s="3" t="n">
        <v>180</v>
      </c>
      <c r="I3474" s="3" t="inlineStr"/>
      <c r="J3474" s="2" t="inlineStr"/>
      <c r="K3474" s="2" t="inlineStr"/>
      <c r="L3474" s="4" t="n">
        <v>60</v>
      </c>
      <c r="M3474" s="2" t="inlineStr">
        <is>
          <t>50 GB de franquia 10 GB de bônus</t>
        </is>
      </c>
      <c r="N3474" s="2" t="inlineStr"/>
      <c r="O3474" s="2" t="inlineStr"/>
      <c r="P3474" s="2" t="inlineStr"/>
      <c r="Q3474" s="2" t="inlineStr"/>
      <c r="R3474" s="2" t="inlineStr">
        <is>
          <t>Disney+</t>
        </is>
      </c>
      <c r="S3474" s="2" t="inlineStr"/>
      <c r="T3474" s="2" t="inlineStr">
        <is>
          <t>Assinatura Disney+ Padrão inclusa</t>
        </is>
      </c>
      <c r="U3474" s="2" t="inlineStr">
        <is>
          <t>https://vivo.com.br/para-voce/produtos-e-servicos/para-o-celular/planos-pos-pago</t>
        </is>
      </c>
      <c r="V3474" s="2" t="inlineStr">
        <is>
          <t>data/raw/vivo_postpaid_SP.html</t>
        </is>
      </c>
    </row>
    <row r="3475">
      <c r="A3475" s="5" t="inlineStr">
        <is>
          <t>2026-08-23</t>
        </is>
      </c>
      <c r="B3475" s="5" t="inlineStr">
        <is>
          <t>2026-08-23T18:17:10</t>
        </is>
      </c>
      <c r="C3475" s="5" t="inlineStr">
        <is>
          <t>vivo</t>
        </is>
      </c>
      <c r="D3475" s="5" t="inlineStr">
        <is>
          <t>postpaid</t>
        </is>
      </c>
      <c r="E3475" s="5" t="inlineStr">
        <is>
          <t>SP</t>
        </is>
      </c>
      <c r="F3475" s="5" t="inlineStr">
        <is>
          <t>Vivo Pós com Globoplay</t>
        </is>
      </c>
      <c r="G3475" s="5" t="inlineStr">
        <is>
          <t>vivo:VIV202600034575</t>
        </is>
      </c>
      <c r="H3475" s="6" t="n">
        <v>165</v>
      </c>
      <c r="I3475" s="6" t="inlineStr"/>
      <c r="J3475" s="5" t="inlineStr"/>
      <c r="K3475" s="5" t="inlineStr"/>
      <c r="L3475" s="7" t="n">
        <v>60</v>
      </c>
      <c r="M3475" s="5" t="inlineStr">
        <is>
          <t>50 GB de franquia 10 GB de bônus</t>
        </is>
      </c>
      <c r="N3475" s="5" t="inlineStr"/>
      <c r="O3475" s="5" t="inlineStr"/>
      <c r="P3475" s="5" t="inlineStr"/>
      <c r="Q3475" s="5" t="inlineStr"/>
      <c r="R3475" s="5" t="inlineStr">
        <is>
          <t>Globoplay</t>
        </is>
      </c>
      <c r="S3475" s="5" t="inlineStr"/>
      <c r="T3475" s="5" t="inlineStr">
        <is>
          <t>Assinatura Globoplay inclusa</t>
        </is>
      </c>
      <c r="U3475" s="5" t="inlineStr">
        <is>
          <t>https://vivo.com.br/para-voce/produtos-e-servicos/para-o-celular/planos-pos-pago</t>
        </is>
      </c>
      <c r="V3475" s="5" t="inlineStr">
        <is>
          <t>data/raw/vivo_postpaid_SP.html</t>
        </is>
      </c>
    </row>
    <row r="3476">
      <c r="A3476" s="2" t="inlineStr">
        <is>
          <t>2026-08-23</t>
        </is>
      </c>
      <c r="B3476" s="2" t="inlineStr">
        <is>
          <t>2026-08-23T18:17:10</t>
        </is>
      </c>
      <c r="C3476" s="2" t="inlineStr">
        <is>
          <t>vivo</t>
        </is>
      </c>
      <c r="D3476" s="2" t="inlineStr">
        <is>
          <t>postpaid</t>
        </is>
      </c>
      <c r="E3476" s="2" t="inlineStr">
        <is>
          <t>SP</t>
        </is>
      </c>
      <c r="F3476" s="2" t="inlineStr">
        <is>
          <t>Vivo Pós com Netflix</t>
        </is>
      </c>
      <c r="G3476" s="2" t="inlineStr">
        <is>
          <t>vivo:VIV202600034562</t>
        </is>
      </c>
      <c r="H3476" s="3" t="n">
        <v>180</v>
      </c>
      <c r="I3476" s="3" t="inlineStr"/>
      <c r="J3476" s="2" t="inlineStr"/>
      <c r="K3476" s="2" t="inlineStr"/>
      <c r="L3476" s="4" t="n">
        <v>60</v>
      </c>
      <c r="M3476" s="2" t="inlineStr">
        <is>
          <t>50 GB de franquia 10 GB de bônus</t>
        </is>
      </c>
      <c r="N3476" s="2" t="inlineStr"/>
      <c r="O3476" s="2" t="inlineStr"/>
      <c r="P3476" s="2" t="inlineStr"/>
      <c r="Q3476" s="2" t="inlineStr"/>
      <c r="R3476" s="2" t="inlineStr">
        <is>
          <t>Netflix</t>
        </is>
      </c>
      <c r="S3476" s="2" t="inlineStr"/>
      <c r="T3476" s="2" t="inlineStr">
        <is>
          <t>Assinatura Netflix Padrão inclusa</t>
        </is>
      </c>
      <c r="U3476" s="2" t="inlineStr">
        <is>
          <t>https://vivo.com.br/para-voce/produtos-e-servicos/para-o-celular/planos-pos-pago</t>
        </is>
      </c>
      <c r="V3476" s="2" t="inlineStr">
        <is>
          <t>data/raw/vivo_postpaid_SP.html</t>
        </is>
      </c>
    </row>
    <row r="3477">
      <c r="A3477" s="5" t="inlineStr">
        <is>
          <t>2026-08-23</t>
        </is>
      </c>
      <c r="B3477" s="5" t="inlineStr">
        <is>
          <t>2026-08-23T18:17:10</t>
        </is>
      </c>
      <c r="C3477" s="5" t="inlineStr">
        <is>
          <t>vivo</t>
        </is>
      </c>
      <c r="D3477" s="5" t="inlineStr">
        <is>
          <t>postpaid</t>
        </is>
      </c>
      <c r="E3477" s="5" t="inlineStr">
        <is>
          <t>SP</t>
        </is>
      </c>
      <c r="F3477" s="5" t="inlineStr">
        <is>
          <t>Vivo Pós com Premiere</t>
        </is>
      </c>
      <c r="G3477" s="5" t="inlineStr">
        <is>
          <t>vivo:VIV202600034579</t>
        </is>
      </c>
      <c r="H3477" s="6" t="n">
        <v>180</v>
      </c>
      <c r="I3477" s="6" t="inlineStr"/>
      <c r="J3477" s="5" t="inlineStr"/>
      <c r="K3477" s="5" t="inlineStr"/>
      <c r="L3477" s="7" t="n">
        <v>60</v>
      </c>
      <c r="M3477" s="5" t="inlineStr">
        <is>
          <t>50 GB de franquia 10 GB de bônus</t>
        </is>
      </c>
      <c r="N3477" s="5" t="inlineStr"/>
      <c r="O3477" s="5" t="inlineStr"/>
      <c r="P3477" s="5" t="inlineStr"/>
      <c r="Q3477" s="5" t="inlineStr"/>
      <c r="R3477" s="5" t="inlineStr">
        <is>
          <t>Premiere</t>
        </is>
      </c>
      <c r="S3477" s="5" t="inlineStr"/>
      <c r="T3477" s="5" t="inlineStr">
        <is>
          <t>Assinatura Premiere inclusa</t>
        </is>
      </c>
      <c r="U3477" s="5" t="inlineStr">
        <is>
          <t>https://vivo.com.br/para-voce/produtos-e-servicos/para-o-celular/planos-pos-pago</t>
        </is>
      </c>
      <c r="V3477" s="5" t="inlineStr">
        <is>
          <t>data/raw/vivo_postpaid_SP.html</t>
        </is>
      </c>
    </row>
    <row r="3478">
      <c r="A3478" s="2" t="inlineStr">
        <is>
          <t>2026-08-23</t>
        </is>
      </c>
      <c r="B3478" s="2" t="inlineStr">
        <is>
          <t>2026-08-23T18:17:10</t>
        </is>
      </c>
      <c r="C3478" s="2" t="inlineStr">
        <is>
          <t>vivo</t>
        </is>
      </c>
      <c r="D3478" s="2" t="inlineStr">
        <is>
          <t>postpaid</t>
        </is>
      </c>
      <c r="E3478" s="2" t="inlineStr">
        <is>
          <t>SP</t>
        </is>
      </c>
      <c r="F3478" s="2" t="inlineStr">
        <is>
          <t>Vivo Pós com Spotify</t>
        </is>
      </c>
      <c r="G3478" s="2" t="inlineStr">
        <is>
          <t>vivo:VIV202600034556</t>
        </is>
      </c>
      <c r="H3478" s="3" t="n">
        <v>165</v>
      </c>
      <c r="I3478" s="3" t="inlineStr"/>
      <c r="J3478" s="2" t="inlineStr"/>
      <c r="K3478" s="2" t="inlineStr"/>
      <c r="L3478" s="4" t="n">
        <v>60</v>
      </c>
      <c r="M3478" s="2" t="inlineStr">
        <is>
          <t>50 GB de franquia 10 GB de bônus</t>
        </is>
      </c>
      <c r="N3478" s="2" t="inlineStr"/>
      <c r="O3478" s="2" t="inlineStr"/>
      <c r="P3478" s="2" t="inlineStr"/>
      <c r="Q3478" s="2" t="inlineStr"/>
      <c r="R3478" s="2" t="inlineStr">
        <is>
          <t>Spotify</t>
        </is>
      </c>
      <c r="S3478" s="2" t="inlineStr"/>
      <c r="T3478" s="2" t="inlineStr">
        <is>
          <t>Assinatura Spotify Premium inclusa</t>
        </is>
      </c>
      <c r="U3478" s="2" t="inlineStr">
        <is>
          <t>https://vivo.com.br/para-voce/produtos-e-servicos/para-o-celular/planos-pos-pago</t>
        </is>
      </c>
      <c r="V3478" s="2" t="inlineStr">
        <is>
          <t>data/raw/vivo_postpaid_SP.html</t>
        </is>
      </c>
    </row>
    <row r="3479">
      <c r="A3479" s="5" t="inlineStr">
        <is>
          <t>2026-08-23</t>
        </is>
      </c>
      <c r="B3479" s="5" t="inlineStr">
        <is>
          <t>2026-08-23T18:17:10</t>
        </is>
      </c>
      <c r="C3479" s="5" t="inlineStr">
        <is>
          <t>vivo</t>
        </is>
      </c>
      <c r="D3479" s="5" t="inlineStr">
        <is>
          <t>postpaid</t>
        </is>
      </c>
      <c r="E3479" s="5" t="inlineStr">
        <is>
          <t>SP</t>
        </is>
      </c>
      <c r="F3479" s="5" t="inlineStr">
        <is>
          <t>Vivo Pós com Travel</t>
        </is>
      </c>
      <c r="G3479" s="5" t="inlineStr">
        <is>
          <t>vivo:VIV202600034573</t>
        </is>
      </c>
      <c r="H3479" s="6" t="n">
        <v>215</v>
      </c>
      <c r="I3479" s="6" t="inlineStr"/>
      <c r="J3479" s="5" t="inlineStr"/>
      <c r="K3479" s="5" t="inlineStr"/>
      <c r="L3479" s="7" t="n">
        <v>70</v>
      </c>
      <c r="M3479" s="5" t="inlineStr">
        <is>
          <t>60 GB de franquia 10 GB de bônus</t>
        </is>
      </c>
      <c r="N3479" s="5" t="inlineStr"/>
      <c r="O3479" s="5" t="inlineStr"/>
      <c r="P3479" s="5" t="inlineStr"/>
      <c r="Q3479" s="5" t="inlineStr"/>
      <c r="R3479" s="5" t="inlineStr"/>
      <c r="S3479" s="5" t="inlineStr"/>
      <c r="T3479" s="5" t="inlineStr">
        <is>
          <t>2 meses de YouTube sem consumo no plano</t>
        </is>
      </c>
      <c r="U3479" s="5" t="inlineStr">
        <is>
          <t>https://vivo.com.br/para-voce/produtos-e-servicos/para-o-celular/planos-pos-pago</t>
        </is>
      </c>
      <c r="V3479" s="5" t="inlineStr">
        <is>
          <t>data/raw/vivo_postpaid_SP.html</t>
        </is>
      </c>
    </row>
    <row r="3480">
      <c r="A3480" s="2" t="inlineStr">
        <is>
          <t>2026-08-23</t>
        </is>
      </c>
      <c r="B3480" s="2" t="inlineStr">
        <is>
          <t>2026-08-23T18:17:10</t>
        </is>
      </c>
      <c r="C3480" s="2" t="inlineStr">
        <is>
          <t>vivo</t>
        </is>
      </c>
      <c r="D3480" s="2" t="inlineStr">
        <is>
          <t>prepaid</t>
        </is>
      </c>
      <c r="E3480" s="2" t="inlineStr">
        <is>
          <t>SP</t>
        </is>
      </c>
      <c r="F3480" s="2" t="inlineStr">
        <is>
          <t>Vivo Pré</t>
        </is>
      </c>
      <c r="G3480" s="2" t="inlineStr">
        <is>
          <t>vivo:VIV202600029370-30d</t>
        </is>
      </c>
      <c r="H3480" s="3" t="n">
        <v>30</v>
      </c>
      <c r="I3480" s="3" t="inlineStr"/>
      <c r="J3480" s="2" t="inlineStr"/>
      <c r="K3480" s="2" t="inlineStr"/>
      <c r="L3480" s="4" t="n">
        <v>25</v>
      </c>
      <c r="M3480" s="2" t="inlineStr">
        <is>
          <t>15 GB para navegar como quiser 5 GB de bônus 5 GB para navegar no Youtube</t>
        </is>
      </c>
      <c r="N3480" s="2" t="n">
        <v>30</v>
      </c>
      <c r="O3480" s="2" t="inlineStr"/>
      <c r="P3480" s="2" t="inlineStr"/>
      <c r="Q3480" s="2" t="inlineStr"/>
      <c r="R3480" s="2" t="inlineStr"/>
      <c r="S3480" s="2" t="inlineStr"/>
      <c r="T3480" s="2" t="inlineStr"/>
      <c r="U3480" s="2" t="inlineStr">
        <is>
          <t>https://vivo.com.br/para-voce/produtos-e-servicos/para-o-celular/pre-pago/vivo-pre</t>
        </is>
      </c>
      <c r="V3480" s="2" t="inlineStr">
        <is>
          <t>data/raw/vivo_prepaid_SP.html</t>
        </is>
      </c>
    </row>
    <row r="3481">
      <c r="A3481" s="5" t="inlineStr">
        <is>
          <t>2026-08-23</t>
        </is>
      </c>
      <c r="B3481" s="5" t="inlineStr">
        <is>
          <t>2026-08-23T18:17:10</t>
        </is>
      </c>
      <c r="C3481" s="5" t="inlineStr">
        <is>
          <t>vivo</t>
        </is>
      </c>
      <c r="D3481" s="5" t="inlineStr">
        <is>
          <t>prepaid</t>
        </is>
      </c>
      <c r="E3481" s="5" t="inlineStr">
        <is>
          <t>SP</t>
        </is>
      </c>
      <c r="F3481" s="5" t="inlineStr">
        <is>
          <t>Vivo Pré</t>
        </is>
      </c>
      <c r="G3481" s="5" t="inlineStr">
        <is>
          <t>vivo:VIV202600029370-22d</t>
        </is>
      </c>
      <c r="H3481" s="6" t="n">
        <v>25</v>
      </c>
      <c r="I3481" s="6" t="inlineStr"/>
      <c r="J3481" s="5" t="inlineStr"/>
      <c r="K3481" s="5" t="inlineStr"/>
      <c r="L3481" s="7" t="n">
        <v>9</v>
      </c>
      <c r="M3481" s="5" t="inlineStr">
        <is>
          <t>6 GB para navegar como quiser 3 GB para navegar no YouTube</t>
        </is>
      </c>
      <c r="N3481" s="5" t="n">
        <v>22</v>
      </c>
      <c r="O3481" s="5" t="inlineStr"/>
      <c r="P3481" s="5" t="inlineStr"/>
      <c r="Q3481" s="5" t="inlineStr"/>
      <c r="R3481" s="5" t="inlineStr"/>
      <c r="S3481" s="5" t="inlineStr"/>
      <c r="T3481" s="5" t="inlineStr"/>
      <c r="U3481" s="5" t="inlineStr">
        <is>
          <t>https://vivo.com.br/para-voce/produtos-e-servicos/para-o-celular/pre-pago/vivo-pre</t>
        </is>
      </c>
      <c r="V3481" s="5" t="inlineStr">
        <is>
          <t>data/raw/vivo_prepaid_SP.html</t>
        </is>
      </c>
    </row>
    <row r="3482">
      <c r="A3482" s="2" t="inlineStr">
        <is>
          <t>2026-08-23</t>
        </is>
      </c>
      <c r="B3482" s="2" t="inlineStr">
        <is>
          <t>2026-08-23T18:17:10</t>
        </is>
      </c>
      <c r="C3482" s="2" t="inlineStr">
        <is>
          <t>vivo</t>
        </is>
      </c>
      <c r="D3482" s="2" t="inlineStr">
        <is>
          <t>prepaid</t>
        </is>
      </c>
      <c r="E3482" s="2" t="inlineStr">
        <is>
          <t>SP</t>
        </is>
      </c>
      <c r="F3482" s="2" t="inlineStr">
        <is>
          <t>Vivo Pré</t>
        </is>
      </c>
      <c r="G3482" s="2" t="inlineStr">
        <is>
          <t>vivo:VIV202600029370-17d</t>
        </is>
      </c>
      <c r="H3482" s="3" t="n">
        <v>20</v>
      </c>
      <c r="I3482" s="3" t="inlineStr"/>
      <c r="J3482" s="2" t="inlineStr"/>
      <c r="K3482" s="2" t="inlineStr"/>
      <c r="L3482" s="4" t="n">
        <v>5</v>
      </c>
      <c r="M3482" s="2" t="inlineStr">
        <is>
          <t>5 GB para navegar como quiser</t>
        </is>
      </c>
      <c r="N3482" s="2" t="n">
        <v>17</v>
      </c>
      <c r="O3482" s="2" t="inlineStr"/>
      <c r="P3482" s="2" t="inlineStr"/>
      <c r="Q3482" s="2" t="inlineStr"/>
      <c r="R3482" s="2" t="inlineStr"/>
      <c r="S3482" s="2" t="inlineStr"/>
      <c r="T3482" s="2" t="inlineStr"/>
      <c r="U3482" s="2" t="inlineStr">
        <is>
          <t>https://vivo.com.br/para-voce/produtos-e-servicos/para-o-celular/pre-pago/vivo-pre</t>
        </is>
      </c>
      <c r="V3482" s="2" t="inlineStr">
        <is>
          <t>data/raw/vivo_prepaid_SP.html</t>
        </is>
      </c>
    </row>
    <row r="3483">
      <c r="A3483" s="5" t="inlineStr">
        <is>
          <t>2026-08-23</t>
        </is>
      </c>
      <c r="B3483" s="5" t="inlineStr">
        <is>
          <t>2026-08-23T18:17:10</t>
        </is>
      </c>
      <c r="C3483" s="5" t="inlineStr">
        <is>
          <t>vivo</t>
        </is>
      </c>
      <c r="D3483" s="5" t="inlineStr">
        <is>
          <t>prepaid</t>
        </is>
      </c>
      <c r="E3483" s="5" t="inlineStr">
        <is>
          <t>SP</t>
        </is>
      </c>
      <c r="F3483" s="5" t="inlineStr">
        <is>
          <t>Vivo Pré</t>
        </is>
      </c>
      <c r="G3483" s="5" t="inlineStr">
        <is>
          <t>vivo:VIV202600029370-15d</t>
        </is>
      </c>
      <c r="H3483" s="6" t="n">
        <v>17</v>
      </c>
      <c r="I3483" s="6" t="inlineStr"/>
      <c r="J3483" s="5" t="inlineStr"/>
      <c r="K3483" s="5" t="inlineStr"/>
      <c r="L3483" s="7" t="n">
        <v>4</v>
      </c>
      <c r="M3483" s="5" t="inlineStr">
        <is>
          <t>4 GB para navegar como quiser</t>
        </is>
      </c>
      <c r="N3483" s="5" t="n">
        <v>15</v>
      </c>
      <c r="O3483" s="5" t="inlineStr"/>
      <c r="P3483" s="5" t="inlineStr"/>
      <c r="Q3483" s="5" t="inlineStr"/>
      <c r="R3483" s="5" t="inlineStr"/>
      <c r="S3483" s="5" t="inlineStr"/>
      <c r="T3483" s="5" t="inlineStr"/>
      <c r="U3483" s="5" t="inlineStr">
        <is>
          <t>https://vivo.com.br/para-voce/produtos-e-servicos/para-o-celular/pre-pago/vivo-pre</t>
        </is>
      </c>
      <c r="V3483" s="5" t="inlineStr">
        <is>
          <t>data/raw/vivo_prepaid_SP.html</t>
        </is>
      </c>
    </row>
    <row r="3484">
      <c r="A3484" s="2" t="inlineStr">
        <is>
          <t>2026-08-24</t>
        </is>
      </c>
      <c r="B3484" s="2" t="inlineStr">
        <is>
          <t>2026-08-24T18:24:33</t>
        </is>
      </c>
      <c r="C3484" s="2" t="inlineStr">
        <is>
          <t>claro</t>
        </is>
      </c>
      <c r="D3484" s="2" t="inlineStr">
        <is>
          <t>control</t>
        </is>
      </c>
      <c r="E3484" s="2" t="inlineStr">
        <is>
          <t>SP</t>
        </is>
      </c>
      <c r="F3484" s="2" t="inlineStr">
        <is>
          <t>Controle 25GB</t>
        </is>
      </c>
      <c r="G3484" s="2" t="inlineStr">
        <is>
          <t>claro:plano-controle-25gb</t>
        </is>
      </c>
      <c r="H3484" s="3" t="n">
        <v>59.9</v>
      </c>
      <c r="I3484" s="3" t="n">
        <v>54.9</v>
      </c>
      <c r="J3484" s="2" t="inlineStr">
        <is>
          <t>De R$ 59,90 Por:</t>
        </is>
      </c>
      <c r="K3484" s="2" t="inlineStr"/>
      <c r="L3484" s="4" t="n">
        <v>25</v>
      </c>
      <c r="M3484" s="2" t="inlineStr"/>
      <c r="N3484" s="2" t="inlineStr"/>
      <c r="O3484" s="2" t="inlineStr">
        <is>
          <t>WhatsApp</t>
        </is>
      </c>
      <c r="P3484" s="2" t="inlineStr"/>
      <c r="Q3484" s="2" t="inlineStr"/>
      <c r="R3484" s="2" t="inlineStr"/>
      <c r="S3484" s="2" t="inlineStr"/>
      <c r="T3484" s="2" t="inlineStr">
        <is>
          <t>Para uso livre; Para redes sociais e vídeos; Bônus exclusivo; Aproveite na sua franquia; WhatsApp e ligações ilimitadas</t>
        </is>
      </c>
      <c r="U3484" s="2" t="inlineStr">
        <is>
          <t>https://www.claro.com.br/celular/controle</t>
        </is>
      </c>
      <c r="V3484" s="2" t="inlineStr">
        <is>
          <t>data/raw/claro_control_SP.json</t>
        </is>
      </c>
    </row>
    <row r="3485">
      <c r="A3485" s="5" t="inlineStr">
        <is>
          <t>2026-08-24</t>
        </is>
      </c>
      <c r="B3485" s="5" t="inlineStr">
        <is>
          <t>2026-08-24T18:24:33</t>
        </is>
      </c>
      <c r="C3485" s="5" t="inlineStr">
        <is>
          <t>claro</t>
        </is>
      </c>
      <c r="D3485" s="5" t="inlineStr">
        <is>
          <t>control</t>
        </is>
      </c>
      <c r="E3485" s="5" t="inlineStr">
        <is>
          <t>SP</t>
        </is>
      </c>
      <c r="F3485" s="5" t="inlineStr">
        <is>
          <t>Controle 30GB</t>
        </is>
      </c>
      <c r="G3485" s="5" t="inlineStr">
        <is>
          <t>claro:plano-controle-30gb</t>
        </is>
      </c>
      <c r="H3485" s="6" t="n">
        <v>69.90000000000001</v>
      </c>
      <c r="I3485" s="6" t="inlineStr"/>
      <c r="J3485" s="5" t="inlineStr"/>
      <c r="K3485" s="5" t="inlineStr"/>
      <c r="L3485" s="7" t="n">
        <v>30</v>
      </c>
      <c r="M3485" s="5" t="inlineStr"/>
      <c r="N3485" s="5" t="inlineStr"/>
      <c r="O3485" s="5" t="inlineStr">
        <is>
          <t>WhatsApp</t>
        </is>
      </c>
      <c r="P3485" s="5" t="inlineStr"/>
      <c r="Q3485" s="5" t="inlineStr"/>
      <c r="R3485" s="5" t="inlineStr"/>
      <c r="S3485" s="5" t="inlineStr"/>
      <c r="T3485" s="5" t="inlineStr">
        <is>
          <t>Para uso livre; Bônus para uso livre; Bônus para redes sociais e apps; Assinatura Amazon Prime por 3 meses; Redes sociais e apps; WhatsApp ilimitado</t>
        </is>
      </c>
      <c r="U3485" s="5" t="inlineStr">
        <is>
          <t>https://www.claro.com.br/celular/controle</t>
        </is>
      </c>
      <c r="V3485" s="5" t="inlineStr">
        <is>
          <t>data/raw/claro_control_SP.json</t>
        </is>
      </c>
    </row>
    <row r="3486">
      <c r="A3486" s="2" t="inlineStr">
        <is>
          <t>2026-08-24</t>
        </is>
      </c>
      <c r="B3486" s="2" t="inlineStr">
        <is>
          <t>2026-08-24T18:24:33</t>
        </is>
      </c>
      <c r="C3486" s="2" t="inlineStr">
        <is>
          <t>claro</t>
        </is>
      </c>
      <c r="D3486" s="2" t="inlineStr">
        <is>
          <t>control</t>
        </is>
      </c>
      <c r="E3486" s="2" t="inlineStr">
        <is>
          <t>SP</t>
        </is>
      </c>
      <c r="F3486" s="2" t="inlineStr">
        <is>
          <t>Controle 30GB</t>
        </is>
      </c>
      <c r="G3486" s="2" t="inlineStr">
        <is>
          <t>claro:plano-controle-30gb-gaming</t>
        </is>
      </c>
      <c r="H3486" s="3" t="n">
        <v>99.90000000000001</v>
      </c>
      <c r="I3486" s="3" t="inlineStr"/>
      <c r="J3486" s="2" t="inlineStr"/>
      <c r="K3486" s="2" t="inlineStr"/>
      <c r="L3486" s="4" t="n">
        <v>30</v>
      </c>
      <c r="M3486" s="2" t="inlineStr"/>
      <c r="N3486" s="2" t="inlineStr"/>
      <c r="O3486" s="2" t="inlineStr">
        <is>
          <t>WhatsApp</t>
        </is>
      </c>
      <c r="P3486" s="2" t="inlineStr"/>
      <c r="Q3486" s="2" t="inlineStr"/>
      <c r="R3486" s="2" t="inlineStr"/>
      <c r="S3486" s="2" t="inlineStr"/>
      <c r="T3486" s="2" t="inlineStr">
        <is>
          <t>Para uso livre; Bônus para redes sociais e apps; Bônus uso livre; Assinatura Amazon Prime por 3 meses; Redes sociais e apps; WhatsApp ilimitado</t>
        </is>
      </c>
      <c r="U3486" s="2" t="inlineStr">
        <is>
          <t>https://www.claro.com.br/celular/controle</t>
        </is>
      </c>
      <c r="V3486" s="2" t="inlineStr">
        <is>
          <t>data/raw/claro_control_SP.json</t>
        </is>
      </c>
    </row>
    <row r="3487">
      <c r="A3487" s="5" t="inlineStr">
        <is>
          <t>2026-08-24</t>
        </is>
      </c>
      <c r="B3487" s="5" t="inlineStr">
        <is>
          <t>2026-08-24T18:24:33</t>
        </is>
      </c>
      <c r="C3487" s="5" t="inlineStr">
        <is>
          <t>claro</t>
        </is>
      </c>
      <c r="D3487" s="5" t="inlineStr">
        <is>
          <t>flex</t>
        </is>
      </c>
      <c r="E3487" s="5" t="inlineStr">
        <is>
          <t>SP</t>
        </is>
      </c>
      <c r="F3487" s="5" t="inlineStr">
        <is>
          <t>Flex 15GB</t>
        </is>
      </c>
      <c r="G3487" s="5" t="inlineStr">
        <is>
          <t>claro:plano-flex-15gb</t>
        </is>
      </c>
      <c r="H3487" s="6" t="n">
        <v>44.9</v>
      </c>
      <c r="I3487" s="6" t="inlineStr"/>
      <c r="J3487" s="5" t="inlineStr"/>
      <c r="K3487" s="5" t="inlineStr"/>
      <c r="L3487" s="7" t="n">
        <v>15</v>
      </c>
      <c r="M3487" s="5" t="inlineStr"/>
      <c r="N3487" s="5" t="inlineStr"/>
      <c r="O3487" s="5" t="inlineStr">
        <is>
          <t>WhatsApp</t>
        </is>
      </c>
      <c r="P3487" s="5" t="inlineStr"/>
      <c r="Q3487" s="5" t="inlineStr"/>
      <c r="R3487" s="5" t="inlineStr"/>
      <c r="S3487" s="5" t="inlineStr"/>
      <c r="T3487" s="5" t="inlineStr">
        <is>
          <t>Para uso livre; Bônus Pais para uso livre; Para redes sociais e apps; Bônus extra nos apps; WhatsApp ilimitado</t>
        </is>
      </c>
      <c r="U3487" s="5" t="inlineStr">
        <is>
          <t>https://www.claro.com.br/celular/flex</t>
        </is>
      </c>
      <c r="V3487" s="5" t="inlineStr">
        <is>
          <t>data/raw/claro_flex_SP.json</t>
        </is>
      </c>
    </row>
    <row r="3488">
      <c r="A3488" s="2" t="inlineStr">
        <is>
          <t>2026-08-24</t>
        </is>
      </c>
      <c r="B3488" s="2" t="inlineStr">
        <is>
          <t>2026-08-24T18:24:33</t>
        </is>
      </c>
      <c r="C3488" s="2" t="inlineStr">
        <is>
          <t>claro</t>
        </is>
      </c>
      <c r="D3488" s="2" t="inlineStr">
        <is>
          <t>flex</t>
        </is>
      </c>
      <c r="E3488" s="2" t="inlineStr">
        <is>
          <t>SP</t>
        </is>
      </c>
      <c r="F3488" s="2" t="inlineStr">
        <is>
          <t>Flex 20GB</t>
        </is>
      </c>
      <c r="G3488" s="2" t="inlineStr">
        <is>
          <t>claro:plano-flex-20gb</t>
        </is>
      </c>
      <c r="H3488" s="3" t="n">
        <v>59.9</v>
      </c>
      <c r="I3488" s="3" t="inlineStr"/>
      <c r="J3488" s="2" t="inlineStr"/>
      <c r="K3488" s="2" t="inlineStr"/>
      <c r="L3488" s="4" t="n">
        <v>20</v>
      </c>
      <c r="M3488" s="2" t="inlineStr"/>
      <c r="N3488" s="2" t="inlineStr"/>
      <c r="O3488" s="2" t="inlineStr">
        <is>
          <t>WhatsApp</t>
        </is>
      </c>
      <c r="P3488" s="2" t="inlineStr"/>
      <c r="Q3488" s="2" t="inlineStr"/>
      <c r="R3488" s="2" t="inlineStr"/>
      <c r="S3488" s="2" t="inlineStr"/>
      <c r="T3488" s="2" t="inlineStr">
        <is>
          <t>Para uso livre; Bônus Pais para uso livre; Para redes sociais e apps; Bônus extra nos apps; WhatsApp ilimitado</t>
        </is>
      </c>
      <c r="U3488" s="2" t="inlineStr">
        <is>
          <t>https://www.claro.com.br/celular/flex</t>
        </is>
      </c>
      <c r="V3488" s="2" t="inlineStr">
        <is>
          <t>data/raw/claro_flex_SP.json</t>
        </is>
      </c>
    </row>
    <row r="3489">
      <c r="A3489" s="5" t="inlineStr">
        <is>
          <t>2026-08-24</t>
        </is>
      </c>
      <c r="B3489" s="5" t="inlineStr">
        <is>
          <t>2026-08-24T18:24:33</t>
        </is>
      </c>
      <c r="C3489" s="5" t="inlineStr">
        <is>
          <t>claro</t>
        </is>
      </c>
      <c r="D3489" s="5" t="inlineStr">
        <is>
          <t>flex</t>
        </is>
      </c>
      <c r="E3489" s="5" t="inlineStr">
        <is>
          <t>SP</t>
        </is>
      </c>
      <c r="F3489" s="5" t="inlineStr">
        <is>
          <t>Flex 30GB</t>
        </is>
      </c>
      <c r="G3489" s="5" t="inlineStr">
        <is>
          <t>claro:plano-flex-30gb</t>
        </is>
      </c>
      <c r="H3489" s="6" t="n">
        <v>69.90000000000001</v>
      </c>
      <c r="I3489" s="6" t="inlineStr"/>
      <c r="J3489" s="5" t="inlineStr"/>
      <c r="K3489" s="5" t="inlineStr"/>
      <c r="L3489" s="7" t="n">
        <v>30</v>
      </c>
      <c r="M3489" s="5" t="inlineStr"/>
      <c r="N3489" s="5" t="inlineStr"/>
      <c r="O3489" s="5" t="inlineStr">
        <is>
          <t>WhatsApp</t>
        </is>
      </c>
      <c r="P3489" s="5" t="inlineStr"/>
      <c r="Q3489" s="5" t="inlineStr"/>
      <c r="R3489" s="5" t="inlineStr"/>
      <c r="S3489" s="5" t="inlineStr"/>
      <c r="T3489" s="5" t="inlineStr">
        <is>
          <t>Para uso livre; Bônus Pais para uso livre; Para redes sociais e apps; Bônus extra nos apps; WhatsApp ilimitado; Assinatura Claro musica inclusa</t>
        </is>
      </c>
      <c r="U3489" s="5" t="inlineStr">
        <is>
          <t>https://www.claro.com.br/celular/flex</t>
        </is>
      </c>
      <c r="V3489" s="5" t="inlineStr">
        <is>
          <t>data/raw/claro_flex_SP.json</t>
        </is>
      </c>
    </row>
    <row r="3490">
      <c r="A3490" s="2" t="inlineStr">
        <is>
          <t>2026-08-24</t>
        </is>
      </c>
      <c r="B3490" s="2" t="inlineStr">
        <is>
          <t>2026-08-24T18:24:33</t>
        </is>
      </c>
      <c r="C3490" s="2" t="inlineStr">
        <is>
          <t>claro</t>
        </is>
      </c>
      <c r="D3490" s="2" t="inlineStr">
        <is>
          <t>flex</t>
        </is>
      </c>
      <c r="E3490" s="2" t="inlineStr">
        <is>
          <t>SP</t>
        </is>
      </c>
      <c r="F3490" s="2" t="inlineStr">
        <is>
          <t>Flex 40GB</t>
        </is>
      </c>
      <c r="G3490" s="2" t="inlineStr">
        <is>
          <t>claro:plano-flex-40gb</t>
        </is>
      </c>
      <c r="H3490" s="3" t="n">
        <v>119.9</v>
      </c>
      <c r="I3490" s="3" t="inlineStr"/>
      <c r="J3490" s="2" t="inlineStr"/>
      <c r="K3490" s="2" t="inlineStr"/>
      <c r="L3490" s="4" t="n">
        <v>40</v>
      </c>
      <c r="M3490" s="2" t="inlineStr"/>
      <c r="N3490" s="2" t="inlineStr"/>
      <c r="O3490" s="2" t="inlineStr">
        <is>
          <t>WhatsApp</t>
        </is>
      </c>
      <c r="P3490" s="2" t="inlineStr"/>
      <c r="Q3490" s="2" t="inlineStr"/>
      <c r="R3490" s="2" t="inlineStr"/>
      <c r="S3490" s="2" t="inlineStr"/>
      <c r="T3490" s="2" t="inlineStr">
        <is>
          <t>Para uso livre; Para redes sociais e apps; Bônus extra nos apps; WhatsApp ilimitado; Assinatura Claro musica inclusa</t>
        </is>
      </c>
      <c r="U3490" s="2" t="inlineStr">
        <is>
          <t>https://www.claro.com.br/celular/flex</t>
        </is>
      </c>
      <c r="V3490" s="2" t="inlineStr">
        <is>
          <t>data/raw/claro_flex_SP.json</t>
        </is>
      </c>
    </row>
    <row r="3491">
      <c r="A3491" s="5" t="inlineStr">
        <is>
          <t>2026-08-24</t>
        </is>
      </c>
      <c r="B3491" s="5" t="inlineStr">
        <is>
          <t>2026-08-24T18:24:33</t>
        </is>
      </c>
      <c r="C3491" s="5" t="inlineStr">
        <is>
          <t>claro</t>
        </is>
      </c>
      <c r="D3491" s="5" t="inlineStr">
        <is>
          <t>postpaid</t>
        </is>
      </c>
      <c r="E3491" s="5" t="inlineStr">
        <is>
          <t>SP</t>
        </is>
      </c>
      <c r="F3491" s="5" t="inlineStr">
        <is>
          <t>Pós 100GB</t>
        </is>
      </c>
      <c r="G3491" s="5" t="inlineStr">
        <is>
          <t>claro:plano-pos-100gb</t>
        </is>
      </c>
      <c r="H3491" s="6" t="n">
        <v>179.9</v>
      </c>
      <c r="I3491" s="6" t="inlineStr"/>
      <c r="J3491" s="5" t="inlineStr"/>
      <c r="K3491" s="5" t="inlineStr"/>
      <c r="L3491" s="7" t="n">
        <v>100</v>
      </c>
      <c r="M3491" s="5" t="inlineStr"/>
      <c r="N3491" s="5" t="inlineStr"/>
      <c r="O3491" s="5" t="inlineStr">
        <is>
          <t>WhatsApp</t>
        </is>
      </c>
      <c r="P3491" s="5" t="inlineStr"/>
      <c r="Q3491" s="5" t="inlineStr"/>
      <c r="R3491" s="5" t="inlineStr"/>
      <c r="S3491" s="5" t="inlineStr"/>
      <c r="T3491" s="5" t="inlineStr">
        <is>
          <t>Armazenamento na nuvem:; Google One ou iCloud+; WhatsApp ilimitado; Assinatura Amazon Prime por 3 meses; Roaming: Passaporte Américas; Claro Sync: Smartwatch conectado</t>
        </is>
      </c>
      <c r="U3491" s="5" t="inlineStr">
        <is>
          <t>https://www.claro.com.br/celular/pos</t>
        </is>
      </c>
      <c r="V3491" s="5" t="inlineStr">
        <is>
          <t>data/raw/claro_postpaid_SP.json</t>
        </is>
      </c>
    </row>
    <row r="3492">
      <c r="A3492" s="2" t="inlineStr">
        <is>
          <t>2026-08-24</t>
        </is>
      </c>
      <c r="B3492" s="2" t="inlineStr">
        <is>
          <t>2026-08-24T18:24:33</t>
        </is>
      </c>
      <c r="C3492" s="2" t="inlineStr">
        <is>
          <t>claro</t>
        </is>
      </c>
      <c r="D3492" s="2" t="inlineStr">
        <is>
          <t>postpaid</t>
        </is>
      </c>
      <c r="E3492" s="2" t="inlineStr">
        <is>
          <t>SP</t>
        </is>
      </c>
      <c r="F3492" s="2" t="inlineStr">
        <is>
          <t>Pós 150GB</t>
        </is>
      </c>
      <c r="G3492" s="2" t="inlineStr">
        <is>
          <t>claro:plano-pos-150gb</t>
        </is>
      </c>
      <c r="H3492" s="3" t="n">
        <v>239.9</v>
      </c>
      <c r="I3492" s="3" t="inlineStr"/>
      <c r="J3492" s="2" t="inlineStr"/>
      <c r="K3492" s="2" t="inlineStr"/>
      <c r="L3492" s="4" t="n">
        <v>150</v>
      </c>
      <c r="M3492" s="2" t="inlineStr"/>
      <c r="N3492" s="2" t="inlineStr"/>
      <c r="O3492" s="2" t="inlineStr">
        <is>
          <t>WhatsApp</t>
        </is>
      </c>
      <c r="P3492" s="2" t="inlineStr"/>
      <c r="Q3492" s="2" t="inlineStr"/>
      <c r="R3492" s="2" t="inlineStr"/>
      <c r="S3492" s="2" t="inlineStr"/>
      <c r="T349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92" s="2" t="inlineStr">
        <is>
          <t>https://www.claro.com.br/celular/pos</t>
        </is>
      </c>
      <c r="V3492" s="2" t="inlineStr">
        <is>
          <t>data/raw/claro_postpaid_SP.json</t>
        </is>
      </c>
    </row>
    <row r="3493">
      <c r="A3493" s="5" t="inlineStr">
        <is>
          <t>2026-08-24</t>
        </is>
      </c>
      <c r="B3493" s="5" t="inlineStr">
        <is>
          <t>2026-08-24T18:24:33</t>
        </is>
      </c>
      <c r="C3493" s="5" t="inlineStr">
        <is>
          <t>claro</t>
        </is>
      </c>
      <c r="D3493" s="5" t="inlineStr">
        <is>
          <t>postpaid</t>
        </is>
      </c>
      <c r="E3493" s="5" t="inlineStr">
        <is>
          <t>SP</t>
        </is>
      </c>
      <c r="F3493" s="5" t="inlineStr">
        <is>
          <t>Pós 200GB</t>
        </is>
      </c>
      <c r="G3493" s="5" t="inlineStr">
        <is>
          <t>claro:plano-pos-200gb</t>
        </is>
      </c>
      <c r="H3493" s="6" t="n">
        <v>339.9</v>
      </c>
      <c r="I3493" s="6" t="inlineStr"/>
      <c r="J3493" s="5" t="inlineStr"/>
      <c r="K3493" s="5" t="inlineStr"/>
      <c r="L3493" s="7" t="n">
        <v>200</v>
      </c>
      <c r="M3493" s="5" t="inlineStr"/>
      <c r="N3493" s="5" t="inlineStr"/>
      <c r="O3493" s="5" t="inlineStr">
        <is>
          <t>WhatsApp</t>
        </is>
      </c>
      <c r="P3493" s="5" t="inlineStr"/>
      <c r="Q3493" s="5" t="inlineStr"/>
      <c r="R3493" s="5" t="inlineStr"/>
      <c r="S3493" s="5" t="inlineStr"/>
      <c r="T3493" s="5" t="inlineStr">
        <is>
          <t>Armazenamento na nuvem:; Google One (AI Plus) ou iCloud+; WhatsApp ilimitado; Assinatura Amazon Prime por 3 meses; Roaming: Passaporte Mundo; Claro Sync: Smartwatch conectado</t>
        </is>
      </c>
      <c r="U3493" s="5" t="inlineStr">
        <is>
          <t>https://www.claro.com.br/celular/pos</t>
        </is>
      </c>
      <c r="V3493" s="5" t="inlineStr">
        <is>
          <t>data/raw/claro_postpaid_SP.json</t>
        </is>
      </c>
    </row>
    <row r="3494">
      <c r="A3494" s="2" t="inlineStr">
        <is>
          <t>2026-08-24</t>
        </is>
      </c>
      <c r="B3494" s="2" t="inlineStr">
        <is>
          <t>2026-08-24T18:24:33</t>
        </is>
      </c>
      <c r="C3494" s="2" t="inlineStr">
        <is>
          <t>claro</t>
        </is>
      </c>
      <c r="D3494" s="2" t="inlineStr">
        <is>
          <t>postpaid</t>
        </is>
      </c>
      <c r="E3494" s="2" t="inlineStr">
        <is>
          <t>SP</t>
        </is>
      </c>
      <c r="F3494" s="2" t="inlineStr">
        <is>
          <t>Pós 50GB com GeForce NOW</t>
        </is>
      </c>
      <c r="G3494" s="2" t="inlineStr">
        <is>
          <t>claro:plano-pos-60gb-geforce</t>
        </is>
      </c>
      <c r="H3494" s="3" t="n">
        <v>164.9</v>
      </c>
      <c r="I3494" s="3" t="inlineStr"/>
      <c r="J3494" s="2" t="inlineStr"/>
      <c r="K3494" s="2" t="inlineStr"/>
      <c r="L3494" s="4" t="n">
        <v>50</v>
      </c>
      <c r="M3494" s="2" t="inlineStr"/>
      <c r="N3494" s="2" t="inlineStr"/>
      <c r="O3494" s="2" t="inlineStr">
        <is>
          <t>WhatsApp</t>
        </is>
      </c>
      <c r="P3494" s="2" t="inlineStr"/>
      <c r="Q3494" s="2" t="inlineStr"/>
      <c r="R3494" s="2" t="inlineStr"/>
      <c r="S3494" s="2" t="inlineStr"/>
      <c r="T349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94" s="2" t="inlineStr">
        <is>
          <t>https://www.claro.com.br/celular/pos</t>
        </is>
      </c>
      <c r="V3494" s="2" t="inlineStr">
        <is>
          <t>data/raw/claro_postpaid_SP.json</t>
        </is>
      </c>
    </row>
    <row r="3495">
      <c r="A3495" s="5" t="inlineStr">
        <is>
          <t>2026-08-24</t>
        </is>
      </c>
      <c r="B3495" s="5" t="inlineStr">
        <is>
          <t>2026-08-24T18:24:33</t>
        </is>
      </c>
      <c r="C3495" s="5" t="inlineStr">
        <is>
          <t>claro</t>
        </is>
      </c>
      <c r="D3495" s="5" t="inlineStr">
        <is>
          <t>postpaid</t>
        </is>
      </c>
      <c r="E3495" s="5" t="inlineStr">
        <is>
          <t>SP</t>
        </is>
      </c>
      <c r="F3495" s="5" t="inlineStr">
        <is>
          <t>Pós 60GB</t>
        </is>
      </c>
      <c r="G3495" s="5" t="inlineStr">
        <is>
          <t>claro:plano-pos-60gb</t>
        </is>
      </c>
      <c r="H3495" s="6" t="n">
        <v>124.9</v>
      </c>
      <c r="I3495" s="6" t="inlineStr"/>
      <c r="J3495" s="5" t="inlineStr"/>
      <c r="K3495" s="5" t="inlineStr"/>
      <c r="L3495" s="7" t="n">
        <v>60</v>
      </c>
      <c r="M3495" s="5" t="inlineStr"/>
      <c r="N3495" s="5" t="inlineStr"/>
      <c r="O3495" s="5" t="inlineStr">
        <is>
          <t>WhatsApp</t>
        </is>
      </c>
      <c r="P3495" s="5" t="inlineStr"/>
      <c r="Q3495" s="5" t="inlineStr"/>
      <c r="R3495" s="5" t="inlineStr"/>
      <c r="S3495" s="5" t="inlineStr"/>
      <c r="T3495" s="5" t="inlineStr">
        <is>
          <t>Armazenamento na nuvem:; Google One ou iCloud+; WhatsApp ilimitado; Assinatura Amazon Prime por 3 meses; Roaming: Passaporte Américas; Claro Sync: Smartwatch conectado</t>
        </is>
      </c>
      <c r="U3495" s="5" t="inlineStr">
        <is>
          <t>https://www.claro.com.br/celular/pos</t>
        </is>
      </c>
      <c r="V3495" s="5" t="inlineStr">
        <is>
          <t>data/raw/claro_postpaid_SP.json</t>
        </is>
      </c>
    </row>
    <row r="3496">
      <c r="A3496" s="2" t="inlineStr">
        <is>
          <t>2026-08-24</t>
        </is>
      </c>
      <c r="B3496" s="2" t="inlineStr">
        <is>
          <t>2026-08-24T18:24:33</t>
        </is>
      </c>
      <c r="C3496" s="2" t="inlineStr">
        <is>
          <t>claro</t>
        </is>
      </c>
      <c r="D3496" s="2" t="inlineStr">
        <is>
          <t>prepaid</t>
        </is>
      </c>
      <c r="E3496" s="2" t="inlineStr">
        <is>
          <t>SP</t>
        </is>
      </c>
      <c r="F3496" s="2" t="inlineStr">
        <is>
          <t>Prezão 10GB (25 dias)</t>
        </is>
      </c>
      <c r="G3496" s="2" t="inlineStr">
        <is>
          <t>claro:prezao-25d-10gb</t>
        </is>
      </c>
      <c r="H3496" s="3" t="n">
        <v>25</v>
      </c>
      <c r="I3496" s="3" t="inlineStr"/>
      <c r="J3496" s="2" t="inlineStr">
        <is>
          <t>recarga Prezão R$25 — validade 25 dias</t>
        </is>
      </c>
      <c r="K3496" s="2" t="inlineStr"/>
      <c r="L3496" s="4" t="n">
        <v>10</v>
      </c>
      <c r="M3496" s="2" t="inlineStr"/>
      <c r="N3496" s="2" t="n">
        <v>25</v>
      </c>
      <c r="O3496" s="2" t="inlineStr"/>
      <c r="P3496" s="2" t="inlineStr"/>
      <c r="Q3496" s="2" t="inlineStr"/>
      <c r="R3496" s="2" t="inlineStr"/>
      <c r="S3496" s="2" t="inlineStr"/>
      <c r="T3496" s="2" t="inlineStr"/>
      <c r="U3496" s="2" t="inlineStr">
        <is>
          <t>https://www.claro.com.br/celular/planos-pre/prezao</t>
        </is>
      </c>
      <c r="V3496" s="2" t="inlineStr">
        <is>
          <t>data/raw/claro_prepaid_SP.json</t>
        </is>
      </c>
    </row>
    <row r="3497">
      <c r="A3497" s="5" t="inlineStr">
        <is>
          <t>2026-08-24</t>
        </is>
      </c>
      <c r="B3497" s="5" t="inlineStr">
        <is>
          <t>2026-08-24T18:24:33</t>
        </is>
      </c>
      <c r="C3497" s="5" t="inlineStr">
        <is>
          <t>claro</t>
        </is>
      </c>
      <c r="D3497" s="5" t="inlineStr">
        <is>
          <t>prepaid</t>
        </is>
      </c>
      <c r="E3497" s="5" t="inlineStr">
        <is>
          <t>SP</t>
        </is>
      </c>
      <c r="F3497" s="5" t="inlineStr">
        <is>
          <t>Prezão 12GB (30 dias)</t>
        </is>
      </c>
      <c r="G3497" s="5" t="inlineStr">
        <is>
          <t>claro:prezao-30d-12gb</t>
        </is>
      </c>
      <c r="H3497" s="6" t="n">
        <v>30</v>
      </c>
      <c r="I3497" s="6" t="inlineStr"/>
      <c r="J3497" s="5" t="inlineStr">
        <is>
          <t>recarga Prezão R$30 — validade 30 dias</t>
        </is>
      </c>
      <c r="K3497" s="5" t="inlineStr"/>
      <c r="L3497" s="7" t="n">
        <v>12</v>
      </c>
      <c r="M3497" s="5" t="inlineStr"/>
      <c r="N3497" s="5" t="n">
        <v>30</v>
      </c>
      <c r="O3497" s="5" t="inlineStr"/>
      <c r="P3497" s="5" t="inlineStr"/>
      <c r="Q3497" s="5" t="inlineStr"/>
      <c r="R3497" s="5" t="inlineStr"/>
      <c r="S3497" s="5" t="inlineStr"/>
      <c r="T3497" s="5" t="inlineStr"/>
      <c r="U3497" s="5" t="inlineStr">
        <is>
          <t>https://www.claro.com.br/celular/planos-pre/prezao</t>
        </is>
      </c>
      <c r="V3497" s="5" t="inlineStr">
        <is>
          <t>data/raw/claro_prepaid_SP.json</t>
        </is>
      </c>
    </row>
    <row r="3498">
      <c r="A3498" s="2" t="inlineStr">
        <is>
          <t>2026-08-24</t>
        </is>
      </c>
      <c r="B3498" s="2" t="inlineStr">
        <is>
          <t>2026-08-24T18:24:33</t>
        </is>
      </c>
      <c r="C3498" s="2" t="inlineStr">
        <is>
          <t>claro</t>
        </is>
      </c>
      <c r="D3498" s="2" t="inlineStr">
        <is>
          <t>prepaid</t>
        </is>
      </c>
      <c r="E3498" s="2" t="inlineStr">
        <is>
          <t>SP</t>
        </is>
      </c>
      <c r="F3498" s="2" t="inlineStr">
        <is>
          <t>Prezão 4GB (12 dias)</t>
        </is>
      </c>
      <c r="G3498" s="2" t="inlineStr">
        <is>
          <t>claro:prezao-12d-4gb</t>
        </is>
      </c>
      <c r="H3498" s="3" t="n">
        <v>15</v>
      </c>
      <c r="I3498" s="3" t="inlineStr"/>
      <c r="J3498" s="2" t="inlineStr">
        <is>
          <t>recarga Prezão R$15 — validade 12 dias</t>
        </is>
      </c>
      <c r="K3498" s="2" t="inlineStr"/>
      <c r="L3498" s="4" t="n">
        <v>4</v>
      </c>
      <c r="M3498" s="2" t="inlineStr"/>
      <c r="N3498" s="2" t="n">
        <v>12</v>
      </c>
      <c r="O3498" s="2" t="inlineStr"/>
      <c r="P3498" s="2" t="inlineStr"/>
      <c r="Q3498" s="2" t="inlineStr"/>
      <c r="R3498" s="2" t="inlineStr"/>
      <c r="S3498" s="2" t="inlineStr"/>
      <c r="T3498" s="2" t="inlineStr"/>
      <c r="U3498" s="2" t="inlineStr">
        <is>
          <t>https://www.claro.com.br/celular/planos-pre/prezao</t>
        </is>
      </c>
      <c r="V3498" s="2" t="inlineStr">
        <is>
          <t>data/raw/claro_prepaid_SP.json</t>
        </is>
      </c>
    </row>
    <row r="3499">
      <c r="A3499" s="5" t="inlineStr">
        <is>
          <t>2026-08-24</t>
        </is>
      </c>
      <c r="B3499" s="5" t="inlineStr">
        <is>
          <t>2026-08-24T18:24:33</t>
        </is>
      </c>
      <c r="C3499" s="5" t="inlineStr">
        <is>
          <t>claro</t>
        </is>
      </c>
      <c r="D3499" s="5" t="inlineStr">
        <is>
          <t>prepaid</t>
        </is>
      </c>
      <c r="E3499" s="5" t="inlineStr">
        <is>
          <t>SP</t>
        </is>
      </c>
      <c r="F3499" s="5" t="inlineStr">
        <is>
          <t>Prezão 5GB (15 dias)</t>
        </is>
      </c>
      <c r="G3499" s="5" t="inlineStr">
        <is>
          <t>claro:prezao-15d-5gb</t>
        </is>
      </c>
      <c r="H3499" s="6" t="n">
        <v>15</v>
      </c>
      <c r="I3499" s="6" t="inlineStr"/>
      <c r="J3499" s="5" t="inlineStr">
        <is>
          <t>recarga Prezão R$15 — validade 15 dias</t>
        </is>
      </c>
      <c r="K3499" s="5" t="inlineStr"/>
      <c r="L3499" s="7" t="n">
        <v>5</v>
      </c>
      <c r="M3499" s="5" t="inlineStr"/>
      <c r="N3499" s="5" t="n">
        <v>15</v>
      </c>
      <c r="O3499" s="5" t="inlineStr"/>
      <c r="P3499" s="5" t="inlineStr"/>
      <c r="Q3499" s="5" t="inlineStr"/>
      <c r="R3499" s="5" t="inlineStr"/>
      <c r="S3499" s="5" t="inlineStr"/>
      <c r="T3499" s="5" t="inlineStr"/>
      <c r="U3499" s="5" t="inlineStr">
        <is>
          <t>https://www.claro.com.br/celular/planos-pre/prezao</t>
        </is>
      </c>
      <c r="V3499" s="5" t="inlineStr">
        <is>
          <t>data/raw/claro_prepaid_SP.json</t>
        </is>
      </c>
    </row>
    <row r="3500">
      <c r="A3500" s="2" t="inlineStr">
        <is>
          <t>2026-08-24</t>
        </is>
      </c>
      <c r="B3500" s="2" t="inlineStr">
        <is>
          <t>2026-08-24T18:24:33</t>
        </is>
      </c>
      <c r="C3500" s="2" t="inlineStr">
        <is>
          <t>claro</t>
        </is>
      </c>
      <c r="D3500" s="2" t="inlineStr">
        <is>
          <t>prepaid</t>
        </is>
      </c>
      <c r="E3500" s="2" t="inlineStr">
        <is>
          <t>SP</t>
        </is>
      </c>
      <c r="F3500" s="2" t="inlineStr">
        <is>
          <t>Prezão 6GB (20 dias)</t>
        </is>
      </c>
      <c r="G3500" s="2" t="inlineStr">
        <is>
          <t>claro:prezao-20d-6gb</t>
        </is>
      </c>
      <c r="H3500" s="3" t="n">
        <v>20</v>
      </c>
      <c r="I3500" s="3" t="inlineStr"/>
      <c r="J3500" s="2" t="inlineStr">
        <is>
          <t>recarga Prezão R$20 — validade 20 dias</t>
        </is>
      </c>
      <c r="K3500" s="2" t="inlineStr"/>
      <c r="L3500" s="4" t="n">
        <v>6</v>
      </c>
      <c r="M3500" s="2" t="inlineStr"/>
      <c r="N3500" s="2" t="n">
        <v>20</v>
      </c>
      <c r="O3500" s="2" t="inlineStr"/>
      <c r="P3500" s="2" t="inlineStr"/>
      <c r="Q3500" s="2" t="inlineStr"/>
      <c r="R3500" s="2" t="inlineStr"/>
      <c r="S3500" s="2" t="inlineStr"/>
      <c r="T3500" s="2" t="inlineStr"/>
      <c r="U3500" s="2" t="inlineStr">
        <is>
          <t>https://www.claro.com.br/celular/planos-pre/prezao</t>
        </is>
      </c>
      <c r="V3500" s="2" t="inlineStr">
        <is>
          <t>data/raw/claro_prepaid_SP.json</t>
        </is>
      </c>
    </row>
    <row r="3501">
      <c r="A3501" s="5" t="inlineStr">
        <is>
          <t>2026-08-24</t>
        </is>
      </c>
      <c r="B3501" s="5" t="inlineStr">
        <is>
          <t>2026-08-24T18:24:33</t>
        </is>
      </c>
      <c r="C3501" s="5" t="inlineStr">
        <is>
          <t>claro</t>
        </is>
      </c>
      <c r="D3501" s="5" t="inlineStr">
        <is>
          <t>prepaid</t>
        </is>
      </c>
      <c r="E3501" s="5" t="inlineStr">
        <is>
          <t>SP</t>
        </is>
      </c>
      <c r="F3501" s="5" t="inlineStr">
        <is>
          <t>Prezão 8GB (20 dias)</t>
        </is>
      </c>
      <c r="G3501" s="5" t="inlineStr">
        <is>
          <t>claro:prezao-20d-8gb</t>
        </is>
      </c>
      <c r="H3501" s="6" t="n">
        <v>20</v>
      </c>
      <c r="I3501" s="6" t="inlineStr"/>
      <c r="J3501" s="5" t="inlineStr">
        <is>
          <t>recarga Prezão R$20 — validade 20 dias</t>
        </is>
      </c>
      <c r="K3501" s="5" t="inlineStr"/>
      <c r="L3501" s="7" t="n">
        <v>8</v>
      </c>
      <c r="M3501" s="5" t="inlineStr"/>
      <c r="N3501" s="5" t="n">
        <v>20</v>
      </c>
      <c r="O3501" s="5" t="inlineStr"/>
      <c r="P3501" s="5" t="inlineStr"/>
      <c r="Q3501" s="5" t="inlineStr"/>
      <c r="R3501" s="5" t="inlineStr"/>
      <c r="S3501" s="5" t="inlineStr"/>
      <c r="T3501" s="5" t="inlineStr"/>
      <c r="U3501" s="5" t="inlineStr">
        <is>
          <t>https://www.claro.com.br/celular/planos-pre/prezao</t>
        </is>
      </c>
      <c r="V3501" s="5" t="inlineStr">
        <is>
          <t>data/raw/claro_prepaid_SP.json</t>
        </is>
      </c>
    </row>
    <row r="3502">
      <c r="A3502" s="2" t="inlineStr">
        <is>
          <t>2026-08-24</t>
        </is>
      </c>
      <c r="B3502" s="2" t="inlineStr">
        <is>
          <t>2026-08-24T18:24:33</t>
        </is>
      </c>
      <c r="C3502" s="2" t="inlineStr">
        <is>
          <t>claro</t>
        </is>
      </c>
      <c r="D3502" s="2" t="inlineStr">
        <is>
          <t>prepaid</t>
        </is>
      </c>
      <c r="E3502" s="2" t="inlineStr">
        <is>
          <t>SP</t>
        </is>
      </c>
      <c r="F3502" s="2" t="inlineStr">
        <is>
          <t>Prezão 9GB (25 dias)</t>
        </is>
      </c>
      <c r="G3502" s="2" t="inlineStr">
        <is>
          <t>claro:prezao-25d-9gb</t>
        </is>
      </c>
      <c r="H3502" s="3" t="n">
        <v>25</v>
      </c>
      <c r="I3502" s="3" t="inlineStr"/>
      <c r="J3502" s="2" t="inlineStr">
        <is>
          <t>recarga Prezão R$25 — validade 25 dias</t>
        </is>
      </c>
      <c r="K3502" s="2" t="inlineStr"/>
      <c r="L3502" s="4" t="n">
        <v>9</v>
      </c>
      <c r="M3502" s="2" t="inlineStr"/>
      <c r="N3502" s="2" t="n">
        <v>25</v>
      </c>
      <c r="O3502" s="2" t="inlineStr"/>
      <c r="P3502" s="2" t="inlineStr"/>
      <c r="Q3502" s="2" t="inlineStr"/>
      <c r="R3502" s="2" t="inlineStr"/>
      <c r="S3502" s="2" t="inlineStr"/>
      <c r="T3502" s="2" t="inlineStr"/>
      <c r="U3502" s="2" t="inlineStr">
        <is>
          <t>https://www.claro.com.br/celular/planos-pre/prezao</t>
        </is>
      </c>
      <c r="V3502" s="2" t="inlineStr">
        <is>
          <t>data/raw/claro_prepaid_SP.json</t>
        </is>
      </c>
    </row>
    <row r="3503">
      <c r="A3503" s="5" t="inlineStr">
        <is>
          <t>2026-08-24</t>
        </is>
      </c>
      <c r="B3503" s="5" t="inlineStr">
        <is>
          <t>2026-08-24T18:24:33</t>
        </is>
      </c>
      <c r="C3503" s="5" t="inlineStr">
        <is>
          <t>tim</t>
        </is>
      </c>
      <c r="D3503" s="5" t="inlineStr">
        <is>
          <t>control</t>
        </is>
      </c>
      <c r="E3503" s="5" t="inlineStr">
        <is>
          <t>SP</t>
        </is>
      </c>
      <c r="F3503" s="5" t="inlineStr">
        <is>
          <t>TIM Controle 45GB</t>
        </is>
      </c>
      <c r="G3503" s="5" t="inlineStr">
        <is>
          <t>tim:181976</t>
        </is>
      </c>
      <c r="H3503" s="6" t="n">
        <v>58.99</v>
      </c>
      <c r="I3503" s="6" t="inlineStr"/>
      <c r="J3503" s="5" t="inlineStr"/>
      <c r="K3503" s="5" t="inlineStr"/>
      <c r="L3503" s="7" t="n">
        <v>45</v>
      </c>
      <c r="M3503" s="5" t="inlineStr"/>
      <c r="N3503" s="5" t="inlineStr"/>
      <c r="O3503" s="5" t="inlineStr"/>
      <c r="P3503" s="5" t="inlineStr"/>
      <c r="Q3503" s="5" t="inlineStr"/>
      <c r="R3503" s="5" t="inlineStr"/>
      <c r="S3503" s="5" t="inlineStr"/>
      <c r="T3503" s="5" t="inlineStr"/>
      <c r="U3503" s="5" t="inlineStr">
        <is>
          <t>https://www.tim.com.br/sp/para-voce/planos/controle</t>
        </is>
      </c>
      <c r="V3503" s="5" t="inlineStr">
        <is>
          <t>data/raw/tim_control_SP.html</t>
        </is>
      </c>
    </row>
    <row r="3504">
      <c r="A3504" s="2" t="inlineStr">
        <is>
          <t>2026-08-24</t>
        </is>
      </c>
      <c r="B3504" s="2" t="inlineStr">
        <is>
          <t>2026-08-24T18:24:33</t>
        </is>
      </c>
      <c r="C3504" s="2" t="inlineStr">
        <is>
          <t>tim</t>
        </is>
      </c>
      <c r="D3504" s="2" t="inlineStr">
        <is>
          <t>control</t>
        </is>
      </c>
      <c r="E3504" s="2" t="inlineStr">
        <is>
          <t>SP</t>
        </is>
      </c>
      <c r="F3504" s="2" t="inlineStr">
        <is>
          <t>TIM Controle Light Express 45GB</t>
        </is>
      </c>
      <c r="G3504" s="2" t="inlineStr">
        <is>
          <t>tim:167726</t>
        </is>
      </c>
      <c r="H3504" s="3" t="n">
        <v>60.99</v>
      </c>
      <c r="I3504" s="3" t="inlineStr"/>
      <c r="J3504" s="2" t="inlineStr"/>
      <c r="K3504" s="2" t="inlineStr"/>
      <c r="L3504" s="4" t="n">
        <v>45</v>
      </c>
      <c r="M3504" s="2" t="inlineStr"/>
      <c r="N3504" s="2" t="inlineStr"/>
      <c r="O3504" s="2" t="inlineStr"/>
      <c r="P3504" s="2" t="inlineStr"/>
      <c r="Q3504" s="2" t="inlineStr"/>
      <c r="R3504" s="2" t="inlineStr"/>
      <c r="S3504" s="2" t="inlineStr"/>
      <c r="T3504" s="2" t="inlineStr"/>
      <c r="U3504" s="2" t="inlineStr">
        <is>
          <t>https://www.tim.com.br/sp/para-voce/planos/controle</t>
        </is>
      </c>
      <c r="V3504" s="2" t="inlineStr">
        <is>
          <t>data/raw/tim_control_SP.html</t>
        </is>
      </c>
    </row>
    <row r="3505">
      <c r="A3505" s="5" t="inlineStr">
        <is>
          <t>2026-08-24</t>
        </is>
      </c>
      <c r="B3505" s="5" t="inlineStr">
        <is>
          <t>2026-08-24T18:24:33</t>
        </is>
      </c>
      <c r="C3505" s="5" t="inlineStr">
        <is>
          <t>tim</t>
        </is>
      </c>
      <c r="D3505" s="5" t="inlineStr">
        <is>
          <t>control</t>
        </is>
      </c>
      <c r="E3505" s="5" t="inlineStr">
        <is>
          <t>SP</t>
        </is>
      </c>
      <c r="F3505" s="5" t="inlineStr">
        <is>
          <t>TIM Controle Premium 55GB</t>
        </is>
      </c>
      <c r="G3505" s="5" t="inlineStr">
        <is>
          <t>tim:167041</t>
        </is>
      </c>
      <c r="H3505" s="6" t="n">
        <v>84.98999999999999</v>
      </c>
      <c r="I3505" s="6" t="inlineStr"/>
      <c r="J3505" s="5" t="inlineStr"/>
      <c r="K3505" s="5" t="inlineStr"/>
      <c r="L3505" s="7" t="n">
        <v>55</v>
      </c>
      <c r="M3505" s="5" t="inlineStr"/>
      <c r="N3505" s="5" t="inlineStr"/>
      <c r="O3505" s="5" t="inlineStr"/>
      <c r="P3505" s="5" t="inlineStr"/>
      <c r="Q3505" s="5" t="inlineStr"/>
      <c r="R3505" s="5" t="inlineStr"/>
      <c r="S3505" s="5" t="inlineStr"/>
      <c r="T3505" s="5" t="inlineStr"/>
      <c r="U3505" s="5" t="inlineStr">
        <is>
          <t>https://www.tim.com.br/sp/para-voce/planos/controle</t>
        </is>
      </c>
      <c r="V3505" s="5" t="inlineStr">
        <is>
          <t>data/raw/tim_control_SP.html</t>
        </is>
      </c>
    </row>
    <row r="3506">
      <c r="A3506" s="2" t="inlineStr">
        <is>
          <t>2026-08-24</t>
        </is>
      </c>
      <c r="B3506" s="2" t="inlineStr">
        <is>
          <t>2026-08-24T18:24:33</t>
        </is>
      </c>
      <c r="C3506" s="2" t="inlineStr">
        <is>
          <t>tim</t>
        </is>
      </c>
      <c r="D3506" s="2" t="inlineStr">
        <is>
          <t>control</t>
        </is>
      </c>
      <c r="E3506" s="2" t="inlineStr">
        <is>
          <t>SP</t>
        </is>
      </c>
      <c r="F3506" s="2" t="inlineStr">
        <is>
          <t>TIM Controle Pro Express 46GB</t>
        </is>
      </c>
      <c r="G3506" s="2" t="inlineStr">
        <is>
          <t>tim:167731</t>
        </is>
      </c>
      <c r="H3506" s="3" t="n">
        <v>64.98999999999999</v>
      </c>
      <c r="I3506" s="3" t="inlineStr"/>
      <c r="J3506" s="2" t="inlineStr"/>
      <c r="K3506" s="2" t="inlineStr"/>
      <c r="L3506" s="4" t="n">
        <v>46</v>
      </c>
      <c r="M3506" s="2" t="inlineStr"/>
      <c r="N3506" s="2" t="inlineStr"/>
      <c r="O3506" s="2" t="inlineStr"/>
      <c r="P3506" s="2" t="inlineStr"/>
      <c r="Q3506" s="2" t="inlineStr"/>
      <c r="R3506" s="2" t="inlineStr"/>
      <c r="S3506" s="2" t="inlineStr"/>
      <c r="T3506" s="2" t="inlineStr"/>
      <c r="U3506" s="2" t="inlineStr">
        <is>
          <t>https://www.tim.com.br/sp/para-voce/planos/controle</t>
        </is>
      </c>
      <c r="V3506" s="2" t="inlineStr">
        <is>
          <t>data/raw/tim_control_SP.html</t>
        </is>
      </c>
    </row>
    <row r="3507">
      <c r="A3507" s="5" t="inlineStr">
        <is>
          <t>2026-08-24</t>
        </is>
      </c>
      <c r="B3507" s="5" t="inlineStr">
        <is>
          <t>2026-08-24T18:24:33</t>
        </is>
      </c>
      <c r="C3507" s="5" t="inlineStr">
        <is>
          <t>tim</t>
        </is>
      </c>
      <c r="D3507" s="5" t="inlineStr">
        <is>
          <t>control</t>
        </is>
      </c>
      <c r="E3507" s="5" t="inlineStr">
        <is>
          <t>SP</t>
        </is>
      </c>
      <c r="F3507" s="5" t="inlineStr">
        <is>
          <t>TIM Controle Redes Sociais 46GB</t>
        </is>
      </c>
      <c r="G3507" s="5" t="inlineStr">
        <is>
          <t>tim:180746</t>
        </is>
      </c>
      <c r="H3507" s="6" t="n">
        <v>64.98999999999999</v>
      </c>
      <c r="I3507" s="6" t="inlineStr"/>
      <c r="J3507" s="5" t="inlineStr"/>
      <c r="K3507" s="5" t="inlineStr"/>
      <c r="L3507" s="7" t="n">
        <v>46</v>
      </c>
      <c r="M3507" s="5" t="inlineStr"/>
      <c r="N3507" s="5" t="inlineStr"/>
      <c r="O3507" s="5" t="inlineStr"/>
      <c r="P3507" s="5" t="inlineStr"/>
      <c r="Q3507" s="5" t="inlineStr"/>
      <c r="R3507" s="5" t="inlineStr"/>
      <c r="S3507" s="5" t="inlineStr"/>
      <c r="T3507" s="5" t="inlineStr"/>
      <c r="U3507" s="5" t="inlineStr">
        <is>
          <t>https://www.tim.com.br/sp/para-voce/planos/controle</t>
        </is>
      </c>
      <c r="V3507" s="5" t="inlineStr">
        <is>
          <t>data/raw/tim_control_SP.html</t>
        </is>
      </c>
    </row>
    <row r="3508">
      <c r="A3508" s="2" t="inlineStr">
        <is>
          <t>2026-08-24</t>
        </is>
      </c>
      <c r="B3508" s="2" t="inlineStr">
        <is>
          <t>2026-08-24T18:24:33</t>
        </is>
      </c>
      <c r="C3508" s="2" t="inlineStr">
        <is>
          <t>tim</t>
        </is>
      </c>
      <c r="D3508" s="2" t="inlineStr">
        <is>
          <t>fit</t>
        </is>
      </c>
      <c r="E3508" s="2" t="inlineStr">
        <is>
          <t>SP</t>
        </is>
      </c>
      <c r="F3508" s="2" t="inlineStr">
        <is>
          <t>TIM Controle Fit Anual 1.0</t>
        </is>
      </c>
      <c r="G3508" s="2" t="inlineStr">
        <is>
          <t>tim:TIM202600000306</t>
        </is>
      </c>
      <c r="H3508" s="3" t="n">
        <v>20</v>
      </c>
      <c r="I3508" s="3" t="inlineStr"/>
      <c r="J3508" s="2" t="inlineStr">
        <is>
          <t>plano anual 12x no cartão de crédito; a etiqueta TIM informa 'sem prazo de permanência'</t>
        </is>
      </c>
      <c r="K3508" s="2" t="inlineStr">
        <is>
          <t>credit_card</t>
        </is>
      </c>
      <c r="L3508" s="4" t="n">
        <v>25</v>
      </c>
      <c r="M3508" s="2" t="inlineStr"/>
      <c r="N3508" s="2" t="inlineStr"/>
      <c r="O3508" s="2" t="inlineStr"/>
      <c r="P3508" s="2" t="inlineStr"/>
      <c r="Q3508" s="2" t="inlineStr"/>
      <c r="R3508" s="2" t="inlineStr"/>
      <c r="S3508" s="2" t="n">
        <v>12</v>
      </c>
      <c r="T3508" s="2" t="inlineStr"/>
      <c r="U3508" s="2" t="inlineStr">
        <is>
          <t>https://www.tim.com.br/sp/para-voce/planos/controle</t>
        </is>
      </c>
      <c r="V3508" s="2" t="inlineStr">
        <is>
          <t>data/raw/tim_fit_SP.html</t>
        </is>
      </c>
    </row>
    <row r="3509">
      <c r="A3509" s="5" t="inlineStr">
        <is>
          <t>2026-08-24</t>
        </is>
      </c>
      <c r="B3509" s="5" t="inlineStr">
        <is>
          <t>2026-08-24T18:24:33</t>
        </is>
      </c>
      <c r="C3509" s="5" t="inlineStr">
        <is>
          <t>tim</t>
        </is>
      </c>
      <c r="D3509" s="5" t="inlineStr">
        <is>
          <t>fit</t>
        </is>
      </c>
      <c r="E3509" s="5" t="inlineStr">
        <is>
          <t>SP</t>
        </is>
      </c>
      <c r="F3509" s="5" t="inlineStr">
        <is>
          <t>TIM Controle Fit Anual 2.0</t>
        </is>
      </c>
      <c r="G3509" s="5" t="inlineStr">
        <is>
          <t>tim:TIM202600000271</t>
        </is>
      </c>
      <c r="H3509" s="6" t="n">
        <v>30</v>
      </c>
      <c r="I3509" s="6" t="inlineStr"/>
      <c r="J3509" s="5" t="inlineStr">
        <is>
          <t>plano anual 12x no cartão de crédito; a etiqueta TIM informa 'sem prazo de permanência'</t>
        </is>
      </c>
      <c r="K3509" s="5" t="inlineStr">
        <is>
          <t>credit_card</t>
        </is>
      </c>
      <c r="L3509" s="7" t="n">
        <v>35</v>
      </c>
      <c r="M3509" s="5" t="inlineStr"/>
      <c r="N3509" s="5" t="inlineStr"/>
      <c r="O3509" s="5" t="inlineStr"/>
      <c r="P3509" s="5" t="inlineStr"/>
      <c r="Q3509" s="5" t="inlineStr"/>
      <c r="R3509" s="5" t="inlineStr"/>
      <c r="S3509" s="5" t="n">
        <v>12</v>
      </c>
      <c r="T3509" s="5" t="inlineStr"/>
      <c r="U3509" s="5" t="inlineStr">
        <is>
          <t>https://www.tim.com.br/sp/para-voce/planos/controle</t>
        </is>
      </c>
      <c r="V3509" s="5" t="inlineStr">
        <is>
          <t>data/raw/tim_fit_SP.html</t>
        </is>
      </c>
    </row>
    <row r="3510">
      <c r="A3510" s="2" t="inlineStr">
        <is>
          <t>2026-08-24</t>
        </is>
      </c>
      <c r="B3510" s="2" t="inlineStr">
        <is>
          <t>2026-08-24T18:24:33</t>
        </is>
      </c>
      <c r="C3510" s="2" t="inlineStr">
        <is>
          <t>tim</t>
        </is>
      </c>
      <c r="D3510" s="2" t="inlineStr">
        <is>
          <t>fit</t>
        </is>
      </c>
      <c r="E3510" s="2" t="inlineStr">
        <is>
          <t>SP</t>
        </is>
      </c>
      <c r="F3510" s="2" t="inlineStr">
        <is>
          <t>TIM Controle Fit Mensal 1.0</t>
        </is>
      </c>
      <c r="G3510" s="2" t="inlineStr">
        <is>
          <t>tim:TIM202600000270</t>
        </is>
      </c>
      <c r="H3510" s="3" t="n">
        <v>20</v>
      </c>
      <c r="I3510" s="3" t="inlineStr"/>
      <c r="J351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10" s="2" t="inlineStr"/>
      <c r="L3510" s="4" t="n">
        <v>20</v>
      </c>
      <c r="M3510" s="2" t="inlineStr"/>
      <c r="N3510" s="2" t="inlineStr"/>
      <c r="O3510" s="2" t="inlineStr"/>
      <c r="P3510" s="2" t="inlineStr"/>
      <c r="Q3510" s="2" t="inlineStr"/>
      <c r="R3510" s="2" t="inlineStr"/>
      <c r="S3510" s="2" t="inlineStr"/>
      <c r="T3510" s="2" t="inlineStr"/>
      <c r="U3510" s="2" t="inlineStr">
        <is>
          <t>https://www.tim.com.br/sp/para-voce/planos/controle</t>
        </is>
      </c>
      <c r="V3510" s="2" t="inlineStr">
        <is>
          <t>data/raw/tim_fit_SP.html</t>
        </is>
      </c>
    </row>
    <row r="3511">
      <c r="A3511" s="5" t="inlineStr">
        <is>
          <t>2026-08-24</t>
        </is>
      </c>
      <c r="B3511" s="5" t="inlineStr">
        <is>
          <t>2026-08-24T18:24:33</t>
        </is>
      </c>
      <c r="C3511" s="5" t="inlineStr">
        <is>
          <t>tim</t>
        </is>
      </c>
      <c r="D3511" s="5" t="inlineStr">
        <is>
          <t>fit</t>
        </is>
      </c>
      <c r="E3511" s="5" t="inlineStr">
        <is>
          <t>SP</t>
        </is>
      </c>
      <c r="F3511" s="5" t="inlineStr">
        <is>
          <t>TIM Controle Fit Mensal 2.0</t>
        </is>
      </c>
      <c r="G3511" s="5" t="inlineStr">
        <is>
          <t>tim:TIM202600000305</t>
        </is>
      </c>
      <c r="H3511" s="6" t="n">
        <v>45</v>
      </c>
      <c r="I3511" s="6" t="inlineStr"/>
      <c r="J3511" s="5" t="inlineStr">
        <is>
          <t>plano mensal, sem prazo de permanência; a etiqueta TIM informa 'sem prazo de permanência'</t>
        </is>
      </c>
      <c r="K3511" s="5" t="inlineStr"/>
      <c r="L3511" s="7" t="n">
        <v>35</v>
      </c>
      <c r="M3511" s="5" t="inlineStr"/>
      <c r="N3511" s="5" t="inlineStr"/>
      <c r="O3511" s="5" t="inlineStr"/>
      <c r="P3511" s="5" t="inlineStr"/>
      <c r="Q3511" s="5" t="inlineStr"/>
      <c r="R3511" s="5" t="inlineStr"/>
      <c r="S3511" s="5" t="inlineStr"/>
      <c r="T3511" s="5" t="inlineStr"/>
      <c r="U3511" s="5" t="inlineStr">
        <is>
          <t>https://www.tim.com.br/sp/para-voce/planos/controle</t>
        </is>
      </c>
      <c r="V3511" s="5" t="inlineStr">
        <is>
          <t>data/raw/tim_fit_SP.html</t>
        </is>
      </c>
    </row>
    <row r="3512">
      <c r="A3512" s="2" t="inlineStr">
        <is>
          <t>2026-08-24</t>
        </is>
      </c>
      <c r="B3512" s="2" t="inlineStr">
        <is>
          <t>2026-08-24T18:24:33</t>
        </is>
      </c>
      <c r="C3512" s="2" t="inlineStr">
        <is>
          <t>tim</t>
        </is>
      </c>
      <c r="D3512" s="2" t="inlineStr">
        <is>
          <t>postpaid</t>
        </is>
      </c>
      <c r="E3512" s="2" t="inlineStr">
        <is>
          <t>SP</t>
        </is>
      </c>
      <c r="F3512" s="2" t="inlineStr">
        <is>
          <t>TIM Black 70GB</t>
        </is>
      </c>
      <c r="G3512" s="2" t="inlineStr">
        <is>
          <t>tim:54206</t>
        </is>
      </c>
      <c r="H3512" s="3" t="n">
        <v>129.99</v>
      </c>
      <c r="I3512" s="3" t="inlineStr"/>
      <c r="J3512" s="2" t="inlineStr"/>
      <c r="K3512" s="2" t="inlineStr">
        <is>
          <t>bill</t>
        </is>
      </c>
      <c r="L3512" s="4" t="n">
        <v>70</v>
      </c>
      <c r="M3512" s="2" t="inlineStr"/>
      <c r="N3512" s="2" t="inlineStr"/>
      <c r="O3512" s="2" t="inlineStr"/>
      <c r="P3512" s="2" t="inlineStr"/>
      <c r="Q3512" s="2" t="inlineStr"/>
      <c r="R3512" s="2" t="inlineStr"/>
      <c r="S3512" s="2" t="inlineStr"/>
      <c r="T3512" s="2" t="inlineStr"/>
      <c r="U3512" s="2" t="inlineStr">
        <is>
          <t>https://www.tim.com.br/sp/para-voce/planos/pos-pago/tim-black</t>
        </is>
      </c>
      <c r="V3512" s="2" t="inlineStr">
        <is>
          <t>data/raw/tim_postpaid_SP.html</t>
        </is>
      </c>
    </row>
    <row r="3513">
      <c r="A3513" s="5" t="inlineStr">
        <is>
          <t>2026-08-24</t>
        </is>
      </c>
      <c r="B3513" s="5" t="inlineStr">
        <is>
          <t>2026-08-24T18:24:33</t>
        </is>
      </c>
      <c r="C3513" s="5" t="inlineStr">
        <is>
          <t>tim</t>
        </is>
      </c>
      <c r="D3513" s="5" t="inlineStr">
        <is>
          <t>postpaid</t>
        </is>
      </c>
      <c r="E3513" s="5" t="inlineStr">
        <is>
          <t>SP</t>
        </is>
      </c>
      <c r="F3513" s="5" t="inlineStr">
        <is>
          <t>TIM Black A Express 67GB</t>
        </is>
      </c>
      <c r="G3513" s="5" t="inlineStr">
        <is>
          <t>tim:55121</t>
        </is>
      </c>
      <c r="H3513" s="6" t="n">
        <v>119.99</v>
      </c>
      <c r="I3513" s="6" t="inlineStr"/>
      <c r="J3513" s="5" t="inlineStr"/>
      <c r="K3513" s="5" t="inlineStr">
        <is>
          <t>credit_card</t>
        </is>
      </c>
      <c r="L3513" s="7" t="n">
        <v>67</v>
      </c>
      <c r="M3513" s="5" t="inlineStr"/>
      <c r="N3513" s="5" t="inlineStr"/>
      <c r="O3513" s="5" t="inlineStr"/>
      <c r="P3513" s="5" t="inlineStr"/>
      <c r="Q3513" s="5" t="inlineStr"/>
      <c r="R3513" s="5" t="inlineStr"/>
      <c r="S3513" s="5" t="inlineStr"/>
      <c r="T3513" s="5" t="inlineStr"/>
      <c r="U3513" s="5" t="inlineStr">
        <is>
          <t>https://www.tim.com.br/sp/para-voce/planos/pos-pago/tim-black</t>
        </is>
      </c>
      <c r="V3513" s="5" t="inlineStr">
        <is>
          <t>data/raw/tim_postpaid_SP.html</t>
        </is>
      </c>
    </row>
    <row r="3514">
      <c r="A3514" s="2" t="inlineStr">
        <is>
          <t>2026-08-24</t>
        </is>
      </c>
      <c r="B3514" s="2" t="inlineStr">
        <is>
          <t>2026-08-24T18:24:33</t>
        </is>
      </c>
      <c r="C3514" s="2" t="inlineStr">
        <is>
          <t>tim</t>
        </is>
      </c>
      <c r="D3514" s="2" t="inlineStr">
        <is>
          <t>postpaid</t>
        </is>
      </c>
      <c r="E3514" s="2" t="inlineStr">
        <is>
          <t>SP</t>
        </is>
      </c>
      <c r="F3514" s="2" t="inlineStr">
        <is>
          <t>TIM Black B Express 82GB</t>
        </is>
      </c>
      <c r="G3514" s="2" t="inlineStr">
        <is>
          <t>tim:52146</t>
        </is>
      </c>
      <c r="H3514" s="3" t="n">
        <v>144.99</v>
      </c>
      <c r="I3514" s="3" t="inlineStr"/>
      <c r="J3514" s="2" t="inlineStr"/>
      <c r="K3514" s="2" t="inlineStr">
        <is>
          <t>credit_card</t>
        </is>
      </c>
      <c r="L3514" s="4" t="n">
        <v>82</v>
      </c>
      <c r="M3514" s="2" t="inlineStr"/>
      <c r="N3514" s="2" t="inlineStr"/>
      <c r="O3514" s="2" t="inlineStr"/>
      <c r="P3514" s="2" t="inlineStr"/>
      <c r="Q3514" s="2" t="inlineStr"/>
      <c r="R3514" s="2" t="inlineStr"/>
      <c r="S3514" s="2" t="inlineStr"/>
      <c r="T3514" s="2" t="inlineStr"/>
      <c r="U3514" s="2" t="inlineStr">
        <is>
          <t>https://www.tim.com.br/sp/para-voce/planos/pos-pago/tim-black</t>
        </is>
      </c>
      <c r="V3514" s="2" t="inlineStr">
        <is>
          <t>data/raw/tim_postpaid_SP.html</t>
        </is>
      </c>
    </row>
    <row r="3515">
      <c r="A3515" s="5" t="inlineStr">
        <is>
          <t>2026-08-24</t>
        </is>
      </c>
      <c r="B3515" s="5" t="inlineStr">
        <is>
          <t>2026-08-24T18:24:33</t>
        </is>
      </c>
      <c r="C3515" s="5" t="inlineStr">
        <is>
          <t>tim</t>
        </is>
      </c>
      <c r="D3515" s="5" t="inlineStr">
        <is>
          <t>postpaid</t>
        </is>
      </c>
      <c r="E3515" s="5" t="inlineStr">
        <is>
          <t>SP</t>
        </is>
      </c>
      <c r="F3515" s="5" t="inlineStr">
        <is>
          <t>TIM Black C Express 107GB</t>
        </is>
      </c>
      <c r="G3515" s="5" t="inlineStr">
        <is>
          <t>tim:52151</t>
        </is>
      </c>
      <c r="H3515" s="6" t="n">
        <v>164.99</v>
      </c>
      <c r="I3515" s="6" t="inlineStr"/>
      <c r="J3515" s="5" t="inlineStr"/>
      <c r="K3515" s="5" t="inlineStr">
        <is>
          <t>credit_card</t>
        </is>
      </c>
      <c r="L3515" s="7" t="n">
        <v>107</v>
      </c>
      <c r="M3515" s="5" t="inlineStr"/>
      <c r="N3515" s="5" t="inlineStr"/>
      <c r="O3515" s="5" t="inlineStr"/>
      <c r="P3515" s="5" t="inlineStr"/>
      <c r="Q3515" s="5" t="inlineStr"/>
      <c r="R3515" s="5" t="inlineStr"/>
      <c r="S3515" s="5" t="inlineStr"/>
      <c r="T3515" s="5" t="inlineStr"/>
      <c r="U3515" s="5" t="inlineStr">
        <is>
          <t>https://www.tim.com.br/sp/para-voce/planos/pos-pago/tim-black</t>
        </is>
      </c>
      <c r="V3515" s="5" t="inlineStr">
        <is>
          <t>data/raw/tim_postpaid_SP.html</t>
        </is>
      </c>
    </row>
    <row r="3516">
      <c r="A3516" s="2" t="inlineStr">
        <is>
          <t>2026-08-24</t>
        </is>
      </c>
      <c r="B3516" s="2" t="inlineStr">
        <is>
          <t>2026-08-24T18:24:33</t>
        </is>
      </c>
      <c r="C3516" s="2" t="inlineStr">
        <is>
          <t>tim</t>
        </is>
      </c>
      <c r="D3516" s="2" t="inlineStr">
        <is>
          <t>postpaid</t>
        </is>
      </c>
      <c r="E3516" s="2" t="inlineStr">
        <is>
          <t>SP</t>
        </is>
      </c>
      <c r="F3516" s="2" t="inlineStr">
        <is>
          <t>TIM Black C Ultra 95GB</t>
        </is>
      </c>
      <c r="G3516" s="2" t="inlineStr">
        <is>
          <t>tim:100581</t>
        </is>
      </c>
      <c r="H3516" s="3" t="n">
        <v>159.99</v>
      </c>
      <c r="I3516" s="3" t="inlineStr"/>
      <c r="J3516" s="2" t="inlineStr"/>
      <c r="K3516" s="2" t="inlineStr">
        <is>
          <t>bill</t>
        </is>
      </c>
      <c r="L3516" s="4" t="n">
        <v>95</v>
      </c>
      <c r="M3516" s="2" t="inlineStr"/>
      <c r="N3516" s="2" t="inlineStr"/>
      <c r="O3516" s="2" t="inlineStr"/>
      <c r="P3516" s="2" t="inlineStr"/>
      <c r="Q3516" s="2" t="inlineStr"/>
      <c r="R3516" s="2" t="inlineStr"/>
      <c r="S3516" s="2" t="inlineStr"/>
      <c r="T3516" s="2" t="inlineStr"/>
      <c r="U3516" s="2" t="inlineStr">
        <is>
          <t>https://www.tim.com.br/sp/para-voce/planos/pos-pago/tim-black</t>
        </is>
      </c>
      <c r="V3516" s="2" t="inlineStr">
        <is>
          <t>data/raw/tim_postpaid_SP.html</t>
        </is>
      </c>
    </row>
    <row r="3517">
      <c r="A3517" s="5" t="inlineStr">
        <is>
          <t>2026-08-24</t>
        </is>
      </c>
      <c r="B3517" s="5" t="inlineStr">
        <is>
          <t>2026-08-24T18:24:33</t>
        </is>
      </c>
      <c r="C3517" s="5" t="inlineStr">
        <is>
          <t>tim</t>
        </is>
      </c>
      <c r="D3517" s="5" t="inlineStr">
        <is>
          <t>postpaid</t>
        </is>
      </c>
      <c r="E3517" s="5" t="inlineStr">
        <is>
          <t>SP</t>
        </is>
      </c>
      <c r="F3517" s="5" t="inlineStr">
        <is>
          <t>TIM Black Plus 80GB</t>
        </is>
      </c>
      <c r="G3517" s="5" t="inlineStr">
        <is>
          <t>tim:54256</t>
        </is>
      </c>
      <c r="H3517" s="6" t="n">
        <v>149.99</v>
      </c>
      <c r="I3517" s="6" t="inlineStr"/>
      <c r="J3517" s="5" t="inlineStr"/>
      <c r="K3517" s="5" t="inlineStr">
        <is>
          <t>bill</t>
        </is>
      </c>
      <c r="L3517" s="7" t="n">
        <v>80</v>
      </c>
      <c r="M3517" s="5" t="inlineStr"/>
      <c r="N3517" s="5" t="inlineStr"/>
      <c r="O3517" s="5" t="inlineStr"/>
      <c r="P3517" s="5" t="inlineStr"/>
      <c r="Q3517" s="5" t="inlineStr"/>
      <c r="R3517" s="5" t="inlineStr"/>
      <c r="S3517" s="5" t="inlineStr"/>
      <c r="T3517" s="5" t="inlineStr"/>
      <c r="U3517" s="5" t="inlineStr">
        <is>
          <t>https://www.tim.com.br/sp/para-voce/planos/pos-pago/tim-black</t>
        </is>
      </c>
      <c r="V3517" s="5" t="inlineStr">
        <is>
          <t>data/raw/tim_postpaid_SP.html</t>
        </is>
      </c>
    </row>
    <row r="3518">
      <c r="A3518" s="2" t="inlineStr">
        <is>
          <t>2026-08-24</t>
        </is>
      </c>
      <c r="B3518" s="2" t="inlineStr">
        <is>
          <t>2026-08-24T18:24:33</t>
        </is>
      </c>
      <c r="C3518" s="2" t="inlineStr">
        <is>
          <t>tim</t>
        </is>
      </c>
      <c r="D3518" s="2" t="inlineStr">
        <is>
          <t>postpaid</t>
        </is>
      </c>
      <c r="E3518" s="2" t="inlineStr">
        <is>
          <t>SP</t>
        </is>
      </c>
      <c r="F3518" s="2" t="inlineStr">
        <is>
          <t>TIM Black Premium 110GB</t>
        </is>
      </c>
      <c r="G3518" s="2" t="inlineStr">
        <is>
          <t>tim:54261</t>
        </is>
      </c>
      <c r="H3518" s="3" t="n">
        <v>159.99</v>
      </c>
      <c r="I3518" s="3" t="inlineStr"/>
      <c r="J3518" s="2" t="inlineStr"/>
      <c r="K3518" s="2" t="inlineStr">
        <is>
          <t>bill</t>
        </is>
      </c>
      <c r="L3518" s="4" t="n">
        <v>110</v>
      </c>
      <c r="M3518" s="2" t="inlineStr"/>
      <c r="N3518" s="2" t="inlineStr"/>
      <c r="O3518" s="2" t="inlineStr"/>
      <c r="P3518" s="2" t="inlineStr"/>
      <c r="Q3518" s="2" t="inlineStr"/>
      <c r="R3518" s="2" t="inlineStr"/>
      <c r="S3518" s="2" t="inlineStr"/>
      <c r="T3518" s="2" t="inlineStr"/>
      <c r="U3518" s="2" t="inlineStr">
        <is>
          <t>https://www.tim.com.br/sp/para-voce/planos/pos-pago/tim-black</t>
        </is>
      </c>
      <c r="V3518" s="2" t="inlineStr">
        <is>
          <t>data/raw/tim_postpaid_SP.html</t>
        </is>
      </c>
    </row>
    <row r="3519">
      <c r="A3519" s="5" t="inlineStr">
        <is>
          <t>2026-08-24</t>
        </is>
      </c>
      <c r="B3519" s="5" t="inlineStr">
        <is>
          <t>2026-08-24T18:24:33</t>
        </is>
      </c>
      <c r="C3519" s="5" t="inlineStr">
        <is>
          <t>tim</t>
        </is>
      </c>
      <c r="D3519" s="5" t="inlineStr">
        <is>
          <t>prepaid</t>
        </is>
      </c>
      <c r="E3519" s="5" t="inlineStr">
        <is>
          <t>SP</t>
        </is>
      </c>
      <c r="F3519" s="5" t="inlineStr">
        <is>
          <t>TIM Pré XIP Plus 16GB</t>
        </is>
      </c>
      <c r="G3519" s="5" t="inlineStr">
        <is>
          <t>tim:106306</t>
        </is>
      </c>
      <c r="H3519" s="6" t="n">
        <v>30</v>
      </c>
      <c r="I3519" s="6" t="inlineStr"/>
      <c r="J3519" s="5" t="inlineStr"/>
      <c r="K3519" s="5" t="inlineStr"/>
      <c r="L3519" s="7" t="n">
        <v>16</v>
      </c>
      <c r="M3519" s="5" t="inlineStr"/>
      <c r="N3519" s="5" t="n">
        <v>30</v>
      </c>
      <c r="O3519" s="5" t="inlineStr"/>
      <c r="P3519" s="5" t="inlineStr"/>
      <c r="Q3519" s="5" t="inlineStr"/>
      <c r="R3519" s="5" t="inlineStr"/>
      <c r="S3519" s="5" t="inlineStr"/>
      <c r="T3519" s="5" t="inlineStr"/>
      <c r="U3519" s="5" t="inlineStr">
        <is>
          <t>https://www.tim.com.br/sp/para-voce/planos/pre-pago</t>
        </is>
      </c>
      <c r="V3519" s="5" t="inlineStr">
        <is>
          <t>data/raw/tim_prepaid_SP.html</t>
        </is>
      </c>
    </row>
    <row r="3520">
      <c r="A3520" s="2" t="inlineStr">
        <is>
          <t>2026-08-24</t>
        </is>
      </c>
      <c r="B3520" s="2" t="inlineStr">
        <is>
          <t>2026-08-24T18:24:33</t>
        </is>
      </c>
      <c r="C3520" s="2" t="inlineStr">
        <is>
          <t>tim</t>
        </is>
      </c>
      <c r="D3520" s="2" t="inlineStr">
        <is>
          <t>prepaid</t>
        </is>
      </c>
      <c r="E3520" s="2" t="inlineStr">
        <is>
          <t>SP</t>
        </is>
      </c>
      <c r="F3520" s="2" t="inlineStr">
        <is>
          <t>TIM Pré XIP Plus 6GB</t>
        </is>
      </c>
      <c r="G3520" s="2" t="inlineStr">
        <is>
          <t>tim:59906</t>
        </is>
      </c>
      <c r="H3520" s="3" t="n">
        <v>20</v>
      </c>
      <c r="I3520" s="3" t="inlineStr"/>
      <c r="J3520" s="2" t="inlineStr"/>
      <c r="K3520" s="2" t="inlineStr"/>
      <c r="L3520" s="4" t="n">
        <v>6</v>
      </c>
      <c r="M3520" s="2" t="inlineStr"/>
      <c r="N3520" s="2" t="n">
        <v>17</v>
      </c>
      <c r="O3520" s="2" t="inlineStr"/>
      <c r="P3520" s="2" t="inlineStr"/>
      <c r="Q3520" s="2" t="inlineStr"/>
      <c r="R3520" s="2" t="inlineStr"/>
      <c r="S3520" s="2" t="inlineStr"/>
      <c r="T3520" s="2" t="inlineStr"/>
      <c r="U3520" s="2" t="inlineStr">
        <is>
          <t>https://www.tim.com.br/sp/para-voce/planos/pre-pago</t>
        </is>
      </c>
      <c r="V3520" s="2" t="inlineStr">
        <is>
          <t>data/raw/tim_prepaid_SP.html</t>
        </is>
      </c>
    </row>
    <row r="3521">
      <c r="A3521" s="5" t="inlineStr">
        <is>
          <t>2026-08-24</t>
        </is>
      </c>
      <c r="B3521" s="5" t="inlineStr">
        <is>
          <t>2026-08-24T18:24:33</t>
        </is>
      </c>
      <c r="C3521" s="5" t="inlineStr">
        <is>
          <t>tim</t>
        </is>
      </c>
      <c r="D3521" s="5" t="inlineStr">
        <is>
          <t>prepaid</t>
        </is>
      </c>
      <c r="E3521" s="5" t="inlineStr">
        <is>
          <t>SP</t>
        </is>
      </c>
      <c r="F3521" s="5" t="inlineStr">
        <is>
          <t>TIM Pré XIP Plus 8GB</t>
        </is>
      </c>
      <c r="G3521" s="5" t="inlineStr">
        <is>
          <t>tim:59901</t>
        </is>
      </c>
      <c r="H3521" s="6" t="n">
        <v>25</v>
      </c>
      <c r="I3521" s="6" t="inlineStr"/>
      <c r="J3521" s="5" t="inlineStr"/>
      <c r="K3521" s="5" t="inlineStr"/>
      <c r="L3521" s="7" t="n">
        <v>8</v>
      </c>
      <c r="M3521" s="5" t="inlineStr"/>
      <c r="N3521" s="5" t="n">
        <v>22</v>
      </c>
      <c r="O3521" s="5" t="inlineStr"/>
      <c r="P3521" s="5" t="inlineStr"/>
      <c r="Q3521" s="5" t="inlineStr"/>
      <c r="R3521" s="5" t="inlineStr"/>
      <c r="S3521" s="5" t="inlineStr"/>
      <c r="T3521" s="5" t="inlineStr"/>
      <c r="U3521" s="5" t="inlineStr">
        <is>
          <t>https://www.tim.com.br/sp/para-voce/planos/pre-pago</t>
        </is>
      </c>
      <c r="V3521" s="5" t="inlineStr">
        <is>
          <t>data/raw/tim_prepaid_SP.html</t>
        </is>
      </c>
    </row>
    <row r="3522">
      <c r="A3522" s="2" t="inlineStr">
        <is>
          <t>2026-08-24</t>
        </is>
      </c>
      <c r="B3522" s="2" t="inlineStr">
        <is>
          <t>2026-08-24T18:24:33</t>
        </is>
      </c>
      <c r="C3522" s="2" t="inlineStr">
        <is>
          <t>vivo</t>
        </is>
      </c>
      <c r="D3522" s="2" t="inlineStr">
        <is>
          <t>control</t>
        </is>
      </c>
      <c r="E3522" s="2" t="inlineStr">
        <is>
          <t>SP</t>
        </is>
      </c>
      <c r="F3522" s="2" t="inlineStr">
        <is>
          <t>Vivo Controle</t>
        </is>
      </c>
      <c r="G3522" s="2" t="inlineStr">
        <is>
          <t>vivo:VIV202600034591</t>
        </is>
      </c>
      <c r="H3522" s="3" t="n">
        <v>59</v>
      </c>
      <c r="I3522" s="3" t="inlineStr"/>
      <c r="J3522" s="2" t="inlineStr"/>
      <c r="K3522" s="2" t="inlineStr"/>
      <c r="L3522" s="4" t="n">
        <v>45</v>
      </c>
      <c r="M3522" s="2" t="inlineStr">
        <is>
          <t>15 GB de franquia 30 GB de bônus</t>
        </is>
      </c>
      <c r="N3522" s="2" t="inlineStr"/>
      <c r="O3522" s="2" t="inlineStr"/>
      <c r="P3522" s="2" t="inlineStr"/>
      <c r="Q3522" s="2" t="inlineStr"/>
      <c r="R3522" s="2" t="inlineStr"/>
      <c r="S3522" s="2" t="inlineStr"/>
      <c r="T3522" s="2" t="inlineStr">
        <is>
          <t>2 meses de YouTube sem consumo no plano</t>
        </is>
      </c>
      <c r="U3522" s="2" t="inlineStr">
        <is>
          <t>https://vivo.com.br/para-voce/produtos-e-servicos/para-o-celular/planos-controle</t>
        </is>
      </c>
      <c r="V3522" s="2" t="inlineStr">
        <is>
          <t>data/raw/vivo_control_SP.html</t>
        </is>
      </c>
    </row>
    <row r="3523">
      <c r="A3523" s="5" t="inlineStr">
        <is>
          <t>2026-08-24</t>
        </is>
      </c>
      <c r="B3523" s="5" t="inlineStr">
        <is>
          <t>2026-08-24T18:24:33</t>
        </is>
      </c>
      <c r="C3523" s="5" t="inlineStr">
        <is>
          <t>vivo</t>
        </is>
      </c>
      <c r="D3523" s="5" t="inlineStr">
        <is>
          <t>control</t>
        </is>
      </c>
      <c r="E3523" s="5" t="inlineStr">
        <is>
          <t>SP</t>
        </is>
      </c>
      <c r="F3523" s="5" t="inlineStr">
        <is>
          <t>Vivo Controle</t>
        </is>
      </c>
      <c r="G3523" s="5" t="inlineStr">
        <is>
          <t>vivo:VIV202600034599</t>
        </is>
      </c>
      <c r="H3523" s="6" t="n">
        <v>75</v>
      </c>
      <c r="I3523" s="6" t="inlineStr"/>
      <c r="J3523" s="5" t="inlineStr">
        <is>
          <t>preço-base do plano; a tela exibia R$ 80 com o adicional pré-selecionado (+R$ 5/mês, opcional); 60 GB na tela incluem +10 GB do adicional</t>
        </is>
      </c>
      <c r="K3523" s="5" t="inlineStr"/>
      <c r="L3523" s="7" t="n">
        <v>50</v>
      </c>
      <c r="M3523" s="5" t="inlineStr">
        <is>
          <t>20 GB de franquia 30 GB de bônus</t>
        </is>
      </c>
      <c r="N3523" s="5" t="inlineStr"/>
      <c r="O3523" s="5" t="inlineStr"/>
      <c r="P3523" s="5" t="inlineStr"/>
      <c r="Q3523" s="5" t="inlineStr"/>
      <c r="R3523" s="5" t="inlineStr"/>
      <c r="S3523" s="5" t="inlineStr"/>
      <c r="T3523" s="5" t="inlineStr">
        <is>
          <t>2 meses de YouTube sem consumo no plano</t>
        </is>
      </c>
      <c r="U3523" s="5" t="inlineStr">
        <is>
          <t>https://vivo.com.br/para-voce/produtos-e-servicos/para-o-celular/planos-controle</t>
        </is>
      </c>
      <c r="V3523" s="5" t="inlineStr">
        <is>
          <t>data/raw/vivo_control_SP.html</t>
        </is>
      </c>
    </row>
    <row r="3524">
      <c r="A3524" s="2" t="inlineStr">
        <is>
          <t>2026-08-24</t>
        </is>
      </c>
      <c r="B3524" s="2" t="inlineStr">
        <is>
          <t>2026-08-24T18:24:33</t>
        </is>
      </c>
      <c r="C3524" s="2" t="inlineStr">
        <is>
          <t>vivo</t>
        </is>
      </c>
      <c r="D3524" s="2" t="inlineStr">
        <is>
          <t>control</t>
        </is>
      </c>
      <c r="E3524" s="2" t="inlineStr">
        <is>
          <t>SP</t>
        </is>
      </c>
      <c r="F3524" s="2" t="inlineStr">
        <is>
          <t>Vivo Controle Educação</t>
        </is>
      </c>
      <c r="G3524" s="2" t="inlineStr">
        <is>
          <t>vivo:VIV202600034616</t>
        </is>
      </c>
      <c r="H3524" s="3" t="n">
        <v>85</v>
      </c>
      <c r="I3524" s="3" t="inlineStr"/>
      <c r="J3524" s="2" t="inlineStr">
        <is>
          <t>preço-base do plano; a tela exibia R$ 90 com o adicional pré-selecionado (+R$ 5/mês, opcional); 60 GB na tela incluem +10 GB do adicional</t>
        </is>
      </c>
      <c r="K3524" s="2" t="inlineStr"/>
      <c r="L3524" s="4" t="n">
        <v>50</v>
      </c>
      <c r="M3524" s="2" t="inlineStr">
        <is>
          <t>20 GB de franquia 30 GB de bônus</t>
        </is>
      </c>
      <c r="N3524" s="2" t="inlineStr"/>
      <c r="O3524" s="2" t="inlineStr"/>
      <c r="P3524" s="2" t="inlineStr"/>
      <c r="Q3524" s="2" t="inlineStr"/>
      <c r="R3524" s="2" t="inlineStr"/>
      <c r="S3524" s="2" t="inlineStr"/>
      <c r="T3524" s="2" t="inlineStr">
        <is>
          <t>Assinatura Vivae inclusa</t>
        </is>
      </c>
      <c r="U3524" s="2" t="inlineStr">
        <is>
          <t>https://vivo.com.br/para-voce/produtos-e-servicos/para-o-celular/planos-controle</t>
        </is>
      </c>
      <c r="V3524" s="2" t="inlineStr">
        <is>
          <t>data/raw/vivo_control_SP.html</t>
        </is>
      </c>
    </row>
    <row r="3525">
      <c r="A3525" s="5" t="inlineStr">
        <is>
          <t>2026-08-24</t>
        </is>
      </c>
      <c r="B3525" s="5" t="inlineStr">
        <is>
          <t>2026-08-24T18:24:33</t>
        </is>
      </c>
      <c r="C3525" s="5" t="inlineStr">
        <is>
          <t>vivo</t>
        </is>
      </c>
      <c r="D3525" s="5" t="inlineStr">
        <is>
          <t>control</t>
        </is>
      </c>
      <c r="E3525" s="5" t="inlineStr">
        <is>
          <t>SP</t>
        </is>
      </c>
      <c r="F3525" s="5" t="inlineStr">
        <is>
          <t>Vivo Controle Entretenimento</t>
        </is>
      </c>
      <c r="G3525" s="5" t="inlineStr">
        <is>
          <t>vivo:VIV202600034619</t>
        </is>
      </c>
      <c r="H3525" s="6" t="n">
        <v>105</v>
      </c>
      <c r="I3525" s="6" t="inlineStr"/>
      <c r="J3525" s="5" t="inlineStr">
        <is>
          <t>preço-base do plano; a tela exibia R$ 110 com o adicional pré-selecionado (+R$ 5/mês, opcional); 60 GB na tela incluem +10 GB do adicional</t>
        </is>
      </c>
      <c r="K3525" s="5" t="inlineStr"/>
      <c r="L3525" s="7" t="n">
        <v>50</v>
      </c>
      <c r="M3525" s="5" t="inlineStr">
        <is>
          <t>20 GB de franquia 30 GB de bônus</t>
        </is>
      </c>
      <c r="N3525" s="5" t="inlineStr"/>
      <c r="O3525" s="5" t="inlineStr"/>
      <c r="P3525" s="5" t="inlineStr"/>
      <c r="Q3525" s="5" t="inlineStr"/>
      <c r="R3525" s="5" t="inlineStr"/>
      <c r="S3525" s="5" t="inlineStr"/>
      <c r="T3525" s="5" t="inlineStr">
        <is>
          <t>Assinatura Vivo TV Inicial inclusa</t>
        </is>
      </c>
      <c r="U3525" s="5" t="inlineStr">
        <is>
          <t>https://vivo.com.br/para-voce/produtos-e-servicos/para-o-celular/planos-controle</t>
        </is>
      </c>
      <c r="V3525" s="5" t="inlineStr">
        <is>
          <t>data/raw/vivo_control_SP.html</t>
        </is>
      </c>
    </row>
    <row r="3526">
      <c r="A3526" s="2" t="inlineStr">
        <is>
          <t>2026-08-24</t>
        </is>
      </c>
      <c r="B3526" s="2" t="inlineStr">
        <is>
          <t>2026-08-24T18:24:33</t>
        </is>
      </c>
      <c r="C3526" s="2" t="inlineStr">
        <is>
          <t>vivo</t>
        </is>
      </c>
      <c r="D3526" s="2" t="inlineStr">
        <is>
          <t>control</t>
        </is>
      </c>
      <c r="E3526" s="2" t="inlineStr">
        <is>
          <t>SP</t>
        </is>
      </c>
      <c r="F3526" s="2" t="inlineStr">
        <is>
          <t>Vivo Controle Música</t>
        </is>
      </c>
      <c r="G3526" s="2" t="inlineStr">
        <is>
          <t>vivo:VIV202600034620</t>
        </is>
      </c>
      <c r="H3526" s="3" t="n">
        <v>85</v>
      </c>
      <c r="I3526" s="3" t="inlineStr"/>
      <c r="J3526" s="2" t="inlineStr">
        <is>
          <t>preço-base do plano; a tela exibia R$ 90 com o adicional pré-selecionado (+R$ 5/mês, opcional); 60 GB na tela incluem +10 GB do adicional</t>
        </is>
      </c>
      <c r="K3526" s="2" t="inlineStr"/>
      <c r="L3526" s="4" t="n">
        <v>50</v>
      </c>
      <c r="M3526" s="2" t="inlineStr">
        <is>
          <t>20 GB de franquia 30 GB de bônus</t>
        </is>
      </c>
      <c r="N3526" s="2" t="inlineStr"/>
      <c r="O3526" s="2" t="inlineStr"/>
      <c r="P3526" s="2" t="inlineStr"/>
      <c r="Q3526" s="2" t="inlineStr"/>
      <c r="R3526" s="2" t="inlineStr"/>
      <c r="S3526" s="2" t="inlineStr"/>
      <c r="T3526" s="2" t="inlineStr">
        <is>
          <t>Apple Music Individual</t>
        </is>
      </c>
      <c r="U3526" s="2" t="inlineStr">
        <is>
          <t>https://vivo.com.br/para-voce/produtos-e-servicos/para-o-celular/planos-controle</t>
        </is>
      </c>
      <c r="V3526" s="2" t="inlineStr">
        <is>
          <t>data/raw/vivo_control_SP.html</t>
        </is>
      </c>
    </row>
    <row r="3527">
      <c r="A3527" s="5" t="inlineStr">
        <is>
          <t>2026-08-24</t>
        </is>
      </c>
      <c r="B3527" s="5" t="inlineStr">
        <is>
          <t>2026-08-24T18:24:33</t>
        </is>
      </c>
      <c r="C3527" s="5" t="inlineStr">
        <is>
          <t>vivo</t>
        </is>
      </c>
      <c r="D3527" s="5" t="inlineStr">
        <is>
          <t>control</t>
        </is>
      </c>
      <c r="E3527" s="5" t="inlineStr">
        <is>
          <t>SP</t>
        </is>
      </c>
      <c r="F3527" s="5" t="inlineStr">
        <is>
          <t>Vivo Controle Netflix</t>
        </is>
      </c>
      <c r="G3527" s="5" t="inlineStr">
        <is>
          <t>vivo:VIV202600034623</t>
        </is>
      </c>
      <c r="H3527" s="6" t="n">
        <v>90</v>
      </c>
      <c r="I3527" s="6" t="inlineStr"/>
      <c r="J3527" s="5" t="inlineStr">
        <is>
          <t>preço-base do plano; a tela exibia R$ 95 com o adicional pré-selecionado (+R$ 5/mês, opcional); 60 GB na tela incluem +10 GB do adicional</t>
        </is>
      </c>
      <c r="K3527" s="5" t="inlineStr"/>
      <c r="L3527" s="7" t="n">
        <v>50</v>
      </c>
      <c r="M3527" s="5" t="inlineStr">
        <is>
          <t>20 GB de franquia 30 GB de bônus</t>
        </is>
      </c>
      <c r="N3527" s="5" t="inlineStr"/>
      <c r="O3527" s="5" t="inlineStr"/>
      <c r="P3527" s="5" t="inlineStr"/>
      <c r="Q3527" s="5" t="inlineStr"/>
      <c r="R3527" s="5" t="inlineStr"/>
      <c r="S3527" s="5" t="inlineStr"/>
      <c r="T3527" s="5" t="inlineStr">
        <is>
          <t>Assinatura Netflix Padrão com anúncios</t>
        </is>
      </c>
      <c r="U3527" s="5" t="inlineStr">
        <is>
          <t>https://vivo.com.br/para-voce/produtos-e-servicos/para-o-celular/planos-controle</t>
        </is>
      </c>
      <c r="V3527" s="5" t="inlineStr">
        <is>
          <t>data/raw/vivo_control_SP.html</t>
        </is>
      </c>
    </row>
    <row r="3528">
      <c r="A3528" s="2" t="inlineStr">
        <is>
          <t>2026-08-24</t>
        </is>
      </c>
      <c r="B3528" s="2" t="inlineStr">
        <is>
          <t>2026-08-24T18:24:33</t>
        </is>
      </c>
      <c r="C3528" s="2" t="inlineStr">
        <is>
          <t>vivo</t>
        </is>
      </c>
      <c r="D3528" s="2" t="inlineStr">
        <is>
          <t>control</t>
        </is>
      </c>
      <c r="E3528" s="2" t="inlineStr">
        <is>
          <t>SP</t>
        </is>
      </c>
      <c r="F3528" s="2" t="inlineStr">
        <is>
          <t>Vivo Controle Saúde</t>
        </is>
      </c>
      <c r="G3528" s="2" t="inlineStr">
        <is>
          <t>vivo:VIV202600034625</t>
        </is>
      </c>
      <c r="H3528" s="3" t="n">
        <v>85</v>
      </c>
      <c r="I3528" s="3" t="inlineStr"/>
      <c r="J3528" s="2" t="inlineStr">
        <is>
          <t>preço-base do plano; a tela exibia R$ 90 com o adicional pré-selecionado (+R$ 5/mês, opcional); 60 GB na tela incluem +10 GB do adicional</t>
        </is>
      </c>
      <c r="K3528" s="2" t="inlineStr"/>
      <c r="L3528" s="4" t="n">
        <v>50</v>
      </c>
      <c r="M3528" s="2" t="inlineStr">
        <is>
          <t>20 GB de franquia 30 GB de bônus</t>
        </is>
      </c>
      <c r="N3528" s="2" t="inlineStr"/>
      <c r="O3528" s="2" t="inlineStr"/>
      <c r="P3528" s="2" t="inlineStr"/>
      <c r="Q3528" s="2" t="inlineStr"/>
      <c r="R3528" s="2" t="inlineStr"/>
      <c r="S3528" s="2" t="inlineStr"/>
      <c r="T3528" s="2" t="inlineStr">
        <is>
          <t>Assinatura Vale Saúde Sempre inclusa</t>
        </is>
      </c>
      <c r="U3528" s="2" t="inlineStr">
        <is>
          <t>https://vivo.com.br/para-voce/produtos-e-servicos/para-o-celular/planos-controle</t>
        </is>
      </c>
      <c r="V3528" s="2" t="inlineStr">
        <is>
          <t>data/raw/vivo_control_SP.html</t>
        </is>
      </c>
    </row>
    <row r="3529">
      <c r="A3529" s="5" t="inlineStr">
        <is>
          <t>2026-08-24</t>
        </is>
      </c>
      <c r="B3529" s="5" t="inlineStr">
        <is>
          <t>2026-08-24T18:24:33</t>
        </is>
      </c>
      <c r="C3529" s="5" t="inlineStr">
        <is>
          <t>vivo</t>
        </is>
      </c>
      <c r="D3529" s="5" t="inlineStr">
        <is>
          <t>control</t>
        </is>
      </c>
      <c r="E3529" s="5" t="inlineStr">
        <is>
          <t>SP</t>
        </is>
      </c>
      <c r="F3529" s="5" t="inlineStr">
        <is>
          <t>Vivo Controle Youtube Lite</t>
        </is>
      </c>
      <c r="G3529" s="5" t="inlineStr">
        <is>
          <t>vivo:VIV202600034626</t>
        </is>
      </c>
      <c r="H3529" s="6" t="n">
        <v>85</v>
      </c>
      <c r="I3529" s="6" t="inlineStr"/>
      <c r="J3529" s="5" t="inlineStr">
        <is>
          <t>preço-base do plano; a tela exibia R$ 90 com o adicional pré-selecionado (+R$ 5/mês, opcional); 60 GB na tela incluem +10 GB do adicional</t>
        </is>
      </c>
      <c r="K3529" s="5" t="inlineStr"/>
      <c r="L3529" s="7" t="n">
        <v>50</v>
      </c>
      <c r="M3529" s="5" t="inlineStr">
        <is>
          <t>20 GB de franquia 30 GB de bônus</t>
        </is>
      </c>
      <c r="N3529" s="5" t="inlineStr"/>
      <c r="O3529" s="5" t="inlineStr"/>
      <c r="P3529" s="5" t="inlineStr"/>
      <c r="Q3529" s="5" t="inlineStr"/>
      <c r="R3529" s="5" t="inlineStr"/>
      <c r="S3529" s="5" t="inlineStr"/>
      <c r="T3529" s="5" t="inlineStr">
        <is>
          <t>2 meses de YouTube sem consumo no plano</t>
        </is>
      </c>
      <c r="U3529" s="5" t="inlineStr">
        <is>
          <t>https://vivo.com.br/para-voce/produtos-e-servicos/para-o-celular/planos-controle</t>
        </is>
      </c>
      <c r="V3529" s="5" t="inlineStr">
        <is>
          <t>data/raw/vivo_control_SP.html</t>
        </is>
      </c>
    </row>
    <row r="3530">
      <c r="A3530" s="2" t="inlineStr">
        <is>
          <t>2026-08-24</t>
        </is>
      </c>
      <c r="B3530" s="2" t="inlineStr">
        <is>
          <t>2026-08-24T18:24:33</t>
        </is>
      </c>
      <c r="C3530" s="2" t="inlineStr">
        <is>
          <t>vivo</t>
        </is>
      </c>
      <c r="D3530" s="2" t="inlineStr">
        <is>
          <t>lite</t>
        </is>
      </c>
      <c r="E3530" s="2" t="inlineStr">
        <is>
          <t>SP</t>
        </is>
      </c>
      <c r="F3530" s="2" t="inlineStr">
        <is>
          <t>Vivo Lite</t>
        </is>
      </c>
      <c r="G3530" s="2" t="inlineStr">
        <is>
          <t>vivo:VIV202600033987</t>
        </is>
      </c>
      <c r="H3530" s="3" t="n">
        <v>45</v>
      </c>
      <c r="I3530" s="3" t="n">
        <v>30</v>
      </c>
      <c r="J3530" s="2" t="inlineStr">
        <is>
          <t>preço sem fidelidade; fidelidade 12m no promo</t>
        </is>
      </c>
      <c r="K3530" s="2" t="inlineStr"/>
      <c r="L3530" s="4" t="n">
        <v>30</v>
      </c>
      <c r="M3530" s="2" t="inlineStr">
        <is>
          <t>30 GB de franquia</t>
        </is>
      </c>
      <c r="N3530" s="2" t="inlineStr"/>
      <c r="O3530" s="2" t="inlineStr"/>
      <c r="P3530" s="2" t="inlineStr"/>
      <c r="Q3530" s="2" t="inlineStr"/>
      <c r="R3530" s="2" t="inlineStr"/>
      <c r="S3530" s="2" t="n">
        <v>12</v>
      </c>
      <c r="T3530" s="2" t="inlineStr">
        <is>
          <t>2 meses de YouTube sem consumo no plano</t>
        </is>
      </c>
      <c r="U3530" s="2" t="inlineStr">
        <is>
          <t>https://vivo.com.br/para-voce/produtos-e-servicos/para-o-celular/easy-lite</t>
        </is>
      </c>
      <c r="V3530" s="2" t="inlineStr">
        <is>
          <t>data/raw/vivo_lite_SP.html</t>
        </is>
      </c>
    </row>
    <row r="3531">
      <c r="A3531" s="5" t="inlineStr">
        <is>
          <t>2026-08-24</t>
        </is>
      </c>
      <c r="B3531" s="5" t="inlineStr">
        <is>
          <t>2026-08-24T18:24:33</t>
        </is>
      </c>
      <c r="C3531" s="5" t="inlineStr">
        <is>
          <t>vivo</t>
        </is>
      </c>
      <c r="D3531" s="5" t="inlineStr">
        <is>
          <t>lite</t>
        </is>
      </c>
      <c r="E3531" s="5" t="inlineStr">
        <is>
          <t>SP</t>
        </is>
      </c>
      <c r="F3531" s="5" t="inlineStr">
        <is>
          <t>Vivo Lite</t>
        </is>
      </c>
      <c r="G3531" s="5" t="inlineStr">
        <is>
          <t>vivo:VIV202600033989</t>
        </is>
      </c>
      <c r="H3531" s="6" t="n">
        <v>55</v>
      </c>
      <c r="I3531" s="6" t="n">
        <v>40</v>
      </c>
      <c r="J3531" s="5" t="inlineStr">
        <is>
          <t>preço sem fidelidade; fidelidade 12m no promo</t>
        </is>
      </c>
      <c r="K3531" s="5" t="inlineStr"/>
      <c r="L3531" s="7" t="n">
        <v>40</v>
      </c>
      <c r="M3531" s="5" t="inlineStr">
        <is>
          <t>40 GB de franquia</t>
        </is>
      </c>
      <c r="N3531" s="5" t="inlineStr"/>
      <c r="O3531" s="5" t="inlineStr"/>
      <c r="P3531" s="5" t="inlineStr"/>
      <c r="Q3531" s="5" t="inlineStr"/>
      <c r="R3531" s="5" t="inlineStr"/>
      <c r="S3531" s="5" t="n">
        <v>12</v>
      </c>
      <c r="T3531" s="5" t="inlineStr">
        <is>
          <t>2 meses de YouTube sem consumo no plano</t>
        </is>
      </c>
      <c r="U3531" s="5" t="inlineStr">
        <is>
          <t>https://vivo.com.br/para-voce/produtos-e-servicos/para-o-celular/easy-lite</t>
        </is>
      </c>
      <c r="V3531" s="5" t="inlineStr">
        <is>
          <t>data/raw/vivo_lite_SP.html</t>
        </is>
      </c>
    </row>
    <row r="3532">
      <c r="A3532" s="2" t="inlineStr">
        <is>
          <t>2026-08-24</t>
        </is>
      </c>
      <c r="B3532" s="2" t="inlineStr">
        <is>
          <t>2026-08-24T18:24:33</t>
        </is>
      </c>
      <c r="C3532" s="2" t="inlineStr">
        <is>
          <t>vivo</t>
        </is>
      </c>
      <c r="D3532" s="2" t="inlineStr">
        <is>
          <t>lite</t>
        </is>
      </c>
      <c r="E3532" s="2" t="inlineStr">
        <is>
          <t>SP</t>
        </is>
      </c>
      <c r="F3532" s="2" t="inlineStr">
        <is>
          <t>Vivo Lite</t>
        </is>
      </c>
      <c r="G3532" s="2" t="inlineStr">
        <is>
          <t>vivo:VIV202600033992</t>
        </is>
      </c>
      <c r="H3532" s="3" t="n">
        <v>35</v>
      </c>
      <c r="I3532" s="3" t="inlineStr"/>
      <c r="J3532" s="2" t="inlineStr"/>
      <c r="K3532" s="2" t="inlineStr"/>
      <c r="L3532" s="4" t="n">
        <v>20</v>
      </c>
      <c r="M3532" s="2" t="inlineStr">
        <is>
          <t>20 GB de franquia</t>
        </is>
      </c>
      <c r="N3532" s="2" t="inlineStr"/>
      <c r="O3532" s="2" t="inlineStr"/>
      <c r="P3532" s="2" t="inlineStr"/>
      <c r="Q3532" s="2" t="inlineStr"/>
      <c r="R3532" s="2" t="inlineStr"/>
      <c r="S3532" s="2" t="inlineStr"/>
      <c r="T3532" s="2" t="inlineStr">
        <is>
          <t>2 meses de YouTube sem consumo no plano</t>
        </is>
      </c>
      <c r="U3532" s="2" t="inlineStr">
        <is>
          <t>https://vivo.com.br/para-voce/produtos-e-servicos/para-o-celular/easy-lite</t>
        </is>
      </c>
      <c r="V3532" s="2" t="inlineStr">
        <is>
          <t>data/raw/vivo_lite_SP.html</t>
        </is>
      </c>
    </row>
    <row r="3533">
      <c r="A3533" s="5" t="inlineStr">
        <is>
          <t>2026-08-24</t>
        </is>
      </c>
      <c r="B3533" s="5" t="inlineStr">
        <is>
          <t>2026-08-24T18:24:33</t>
        </is>
      </c>
      <c r="C3533" s="5" t="inlineStr">
        <is>
          <t>vivo</t>
        </is>
      </c>
      <c r="D3533" s="5" t="inlineStr">
        <is>
          <t>postpaid</t>
        </is>
      </c>
      <c r="E3533" s="5" t="inlineStr">
        <is>
          <t>SP</t>
        </is>
      </c>
      <c r="F3533" s="5" t="inlineStr">
        <is>
          <t>Vivo Família 2</t>
        </is>
      </c>
      <c r="G3533" s="5" t="inlineStr">
        <is>
          <t>vivo:VIV202600034547</t>
        </is>
      </c>
      <c r="H3533" s="6" t="n">
        <v>270</v>
      </c>
      <c r="I3533" s="6" t="inlineStr"/>
      <c r="J3533" s="5" t="inlineStr"/>
      <c r="K3533" s="5" t="inlineStr"/>
      <c r="L3533" s="7" t="n">
        <v>120</v>
      </c>
      <c r="M3533" s="5" t="inlineStr">
        <is>
          <t>120 GB de franquia Você + 1 linha adicional Roaming Internacional com Vivo Travel Américas e Europa</t>
        </is>
      </c>
      <c r="N3533" s="5" t="inlineStr"/>
      <c r="O3533" s="5" t="inlineStr"/>
      <c r="P3533" s="5" t="inlineStr"/>
      <c r="Q3533" s="5" t="inlineStr"/>
      <c r="R3533" s="5" t="inlineStr"/>
      <c r="S3533" s="5" t="inlineStr"/>
      <c r="T3533" s="5" t="inlineStr">
        <is>
          <t>2 meses de YouTube sem consumo no plano</t>
        </is>
      </c>
      <c r="U3533" s="5" t="inlineStr">
        <is>
          <t>https://vivo.com.br/para-voce/produtos-e-servicos/para-o-celular/planos-pos-pago</t>
        </is>
      </c>
      <c r="V3533" s="5" t="inlineStr">
        <is>
          <t>data/raw/vivo_postpaid_SP.html</t>
        </is>
      </c>
    </row>
    <row r="3534">
      <c r="A3534" s="2" t="inlineStr">
        <is>
          <t>2026-08-24</t>
        </is>
      </c>
      <c r="B3534" s="2" t="inlineStr">
        <is>
          <t>2026-08-24T18:24:33</t>
        </is>
      </c>
      <c r="C3534" s="2" t="inlineStr">
        <is>
          <t>vivo</t>
        </is>
      </c>
      <c r="D3534" s="2" t="inlineStr">
        <is>
          <t>postpaid</t>
        </is>
      </c>
      <c r="E3534" s="2" t="inlineStr">
        <is>
          <t>SP</t>
        </is>
      </c>
      <c r="F3534" s="2" t="inlineStr">
        <is>
          <t>Vivo Família 3</t>
        </is>
      </c>
      <c r="G3534" s="2" t="inlineStr">
        <is>
          <t>vivo:VIV202600034540</t>
        </is>
      </c>
      <c r="H3534" s="3" t="n">
        <v>340</v>
      </c>
      <c r="I3534" s="3" t="inlineStr"/>
      <c r="J3534" s="2" t="inlineStr"/>
      <c r="K3534" s="2" t="inlineStr"/>
      <c r="L3534" s="4" t="n">
        <v>180</v>
      </c>
      <c r="M3534" s="2" t="inlineStr">
        <is>
          <t>180 GB de franquia Você + 2 linhas adicionais Roaming Internacional com Vivo Travel Américas e Europa</t>
        </is>
      </c>
      <c r="N3534" s="2" t="inlineStr"/>
      <c r="O3534" s="2" t="inlineStr"/>
      <c r="P3534" s="2" t="inlineStr"/>
      <c r="Q3534" s="2" t="inlineStr"/>
      <c r="R3534" s="2" t="inlineStr"/>
      <c r="S3534" s="2" t="inlineStr"/>
      <c r="T3534" s="2" t="inlineStr">
        <is>
          <t>2 meses de YouTube sem consumo no plano</t>
        </is>
      </c>
      <c r="U3534" s="2" t="inlineStr">
        <is>
          <t>https://vivo.com.br/para-voce/produtos-e-servicos/para-o-celular/planos-pos-pago</t>
        </is>
      </c>
      <c r="V3534" s="2" t="inlineStr">
        <is>
          <t>data/raw/vivo_postpaid_SP.html</t>
        </is>
      </c>
    </row>
    <row r="3535">
      <c r="A3535" s="5" t="inlineStr">
        <is>
          <t>2026-08-24</t>
        </is>
      </c>
      <c r="B3535" s="5" t="inlineStr">
        <is>
          <t>2026-08-24T18:24:33</t>
        </is>
      </c>
      <c r="C3535" s="5" t="inlineStr">
        <is>
          <t>vivo</t>
        </is>
      </c>
      <c r="D3535" s="5" t="inlineStr">
        <is>
          <t>postpaid</t>
        </is>
      </c>
      <c r="E3535" s="5" t="inlineStr">
        <is>
          <t>SP</t>
        </is>
      </c>
      <c r="F3535" s="5" t="inlineStr">
        <is>
          <t>Vivo Família 4</t>
        </is>
      </c>
      <c r="G3535" s="5" t="inlineStr">
        <is>
          <t>vivo:VIV202600034531</t>
        </is>
      </c>
      <c r="H3535" s="6" t="n">
        <v>430</v>
      </c>
      <c r="I3535" s="6" t="inlineStr"/>
      <c r="J3535" s="5" t="inlineStr"/>
      <c r="K3535" s="5" t="inlineStr"/>
      <c r="L3535" s="7" t="n">
        <v>240</v>
      </c>
      <c r="M3535" s="5" t="inlineStr">
        <is>
          <t>240 GB de franquia Você + 3 linhas adicionais Roaming Internacional com Vivo Travel Américas e Europa</t>
        </is>
      </c>
      <c r="N3535" s="5" t="inlineStr"/>
      <c r="O3535" s="5" t="inlineStr"/>
      <c r="P3535" s="5" t="inlineStr"/>
      <c r="Q3535" s="5" t="inlineStr"/>
      <c r="R3535" s="5" t="inlineStr"/>
      <c r="S3535" s="5" t="inlineStr"/>
      <c r="T3535" s="5" t="inlineStr">
        <is>
          <t>2 meses de YouTube sem consumo no plano</t>
        </is>
      </c>
      <c r="U3535" s="5" t="inlineStr">
        <is>
          <t>https://vivo.com.br/para-voce/produtos-e-servicos/para-o-celular/planos-pos-pago</t>
        </is>
      </c>
      <c r="V3535" s="5" t="inlineStr">
        <is>
          <t>data/raw/vivo_postpaid_SP.html</t>
        </is>
      </c>
    </row>
    <row r="3536">
      <c r="A3536" s="2" t="inlineStr">
        <is>
          <t>2026-08-24</t>
        </is>
      </c>
      <c r="B3536" s="2" t="inlineStr">
        <is>
          <t>2026-08-24T18:24:33</t>
        </is>
      </c>
      <c r="C3536" s="2" t="inlineStr">
        <is>
          <t>vivo</t>
        </is>
      </c>
      <c r="D3536" s="2" t="inlineStr">
        <is>
          <t>postpaid</t>
        </is>
      </c>
      <c r="E3536" s="2" t="inlineStr">
        <is>
          <t>SP</t>
        </is>
      </c>
      <c r="F3536" s="2" t="inlineStr">
        <is>
          <t>Vivo Família 5</t>
        </is>
      </c>
      <c r="G3536" s="2" t="inlineStr">
        <is>
          <t>vivo:VIV202600034526</t>
        </is>
      </c>
      <c r="H3536" s="3" t="n">
        <v>530</v>
      </c>
      <c r="I3536" s="3" t="inlineStr"/>
      <c r="J3536" s="2" t="inlineStr"/>
      <c r="K3536" s="2" t="inlineStr"/>
      <c r="L3536" s="4" t="n">
        <v>300</v>
      </c>
      <c r="M3536" s="2" t="inlineStr">
        <is>
          <t>300 GB de franquia Você + 4 linhas adicionais Roaming Internacional com Vivo Travel Américas e Europa</t>
        </is>
      </c>
      <c r="N3536" s="2" t="inlineStr"/>
      <c r="O3536" s="2" t="inlineStr"/>
      <c r="P3536" s="2" t="inlineStr"/>
      <c r="Q3536" s="2" t="inlineStr"/>
      <c r="R3536" s="2" t="inlineStr"/>
      <c r="S3536" s="2" t="inlineStr"/>
      <c r="T3536" s="2" t="inlineStr">
        <is>
          <t>2 meses de YouTube sem consumo no plano</t>
        </is>
      </c>
      <c r="U3536" s="2" t="inlineStr">
        <is>
          <t>https://vivo.com.br/para-voce/produtos-e-servicos/para-o-celular/planos-pos-pago</t>
        </is>
      </c>
      <c r="V3536" s="2" t="inlineStr">
        <is>
          <t>data/raw/vivo_postpaid_SP.html</t>
        </is>
      </c>
    </row>
    <row r="3537">
      <c r="A3537" s="5" t="inlineStr">
        <is>
          <t>2026-08-24</t>
        </is>
      </c>
      <c r="B3537" s="5" t="inlineStr">
        <is>
          <t>2026-08-24T18:24:33</t>
        </is>
      </c>
      <c r="C3537" s="5" t="inlineStr">
        <is>
          <t>vivo</t>
        </is>
      </c>
      <c r="D3537" s="5" t="inlineStr">
        <is>
          <t>postpaid</t>
        </is>
      </c>
      <c r="E3537" s="5" t="inlineStr">
        <is>
          <t>SP</t>
        </is>
      </c>
      <c r="F3537" s="5" t="inlineStr">
        <is>
          <t>Vivo Pós com Amazon</t>
        </is>
      </c>
      <c r="G3537" s="5" t="inlineStr">
        <is>
          <t>vivo:VIV202600034554</t>
        </is>
      </c>
      <c r="H3537" s="6" t="n">
        <v>150</v>
      </c>
      <c r="I3537" s="6" t="inlineStr"/>
      <c r="J3537" s="5" t="inlineStr"/>
      <c r="K3537" s="5" t="inlineStr"/>
      <c r="L3537" s="7" t="n">
        <v>60</v>
      </c>
      <c r="M3537" s="5" t="inlineStr">
        <is>
          <t>50 GB de franquia 10 GB de bônus</t>
        </is>
      </c>
      <c r="N3537" s="5" t="inlineStr"/>
      <c r="O3537" s="5" t="inlineStr"/>
      <c r="P3537" s="5" t="inlineStr"/>
      <c r="Q3537" s="5" t="inlineStr"/>
      <c r="R3537" s="5" t="inlineStr"/>
      <c r="S3537" s="5" t="inlineStr"/>
      <c r="T3537" s="5" t="inlineStr">
        <is>
          <t>Assinatura Amazon Prime inclusa</t>
        </is>
      </c>
      <c r="U3537" s="5" t="inlineStr">
        <is>
          <t>https://vivo.com.br/para-voce/produtos-e-servicos/para-o-celular/planos-pos-pago</t>
        </is>
      </c>
      <c r="V3537" s="5" t="inlineStr">
        <is>
          <t>data/raw/vivo_postpaid_SP.html</t>
        </is>
      </c>
    </row>
    <row r="3538">
      <c r="A3538" s="2" t="inlineStr">
        <is>
          <t>2026-08-24</t>
        </is>
      </c>
      <c r="B3538" s="2" t="inlineStr">
        <is>
          <t>2026-08-24T18:24:33</t>
        </is>
      </c>
      <c r="C3538" s="2" t="inlineStr">
        <is>
          <t>vivo</t>
        </is>
      </c>
      <c r="D3538" s="2" t="inlineStr">
        <is>
          <t>postpaid</t>
        </is>
      </c>
      <c r="E3538" s="2" t="inlineStr">
        <is>
          <t>SP</t>
        </is>
      </c>
      <c r="F3538" s="2" t="inlineStr">
        <is>
          <t>Vivo Pós com Disney+</t>
        </is>
      </c>
      <c r="G3538" s="2" t="inlineStr">
        <is>
          <t>vivo:VIV202600034532</t>
        </is>
      </c>
      <c r="H3538" s="3" t="n">
        <v>180</v>
      </c>
      <c r="I3538" s="3" t="inlineStr"/>
      <c r="J3538" s="2" t="inlineStr"/>
      <c r="K3538" s="2" t="inlineStr"/>
      <c r="L3538" s="4" t="n">
        <v>60</v>
      </c>
      <c r="M3538" s="2" t="inlineStr">
        <is>
          <t>50 GB de franquia 10 GB de bônus</t>
        </is>
      </c>
      <c r="N3538" s="2" t="inlineStr"/>
      <c r="O3538" s="2" t="inlineStr"/>
      <c r="P3538" s="2" t="inlineStr"/>
      <c r="Q3538" s="2" t="inlineStr"/>
      <c r="R3538" s="2" t="inlineStr">
        <is>
          <t>Disney+</t>
        </is>
      </c>
      <c r="S3538" s="2" t="inlineStr"/>
      <c r="T3538" s="2" t="inlineStr">
        <is>
          <t>Assinatura Disney+ Padrão inclusa</t>
        </is>
      </c>
      <c r="U3538" s="2" t="inlineStr">
        <is>
          <t>https://vivo.com.br/para-voce/produtos-e-servicos/para-o-celular/planos-pos-pago</t>
        </is>
      </c>
      <c r="V3538" s="2" t="inlineStr">
        <is>
          <t>data/raw/vivo_postpaid_SP.html</t>
        </is>
      </c>
    </row>
    <row r="3539">
      <c r="A3539" s="5" t="inlineStr">
        <is>
          <t>2026-08-24</t>
        </is>
      </c>
      <c r="B3539" s="5" t="inlineStr">
        <is>
          <t>2026-08-24T18:24:33</t>
        </is>
      </c>
      <c r="C3539" s="5" t="inlineStr">
        <is>
          <t>vivo</t>
        </is>
      </c>
      <c r="D3539" s="5" t="inlineStr">
        <is>
          <t>postpaid</t>
        </is>
      </c>
      <c r="E3539" s="5" t="inlineStr">
        <is>
          <t>SP</t>
        </is>
      </c>
      <c r="F3539" s="5" t="inlineStr">
        <is>
          <t>Vivo Pós com Globoplay</t>
        </is>
      </c>
      <c r="G3539" s="5" t="inlineStr">
        <is>
          <t>vivo:VIV202600034575</t>
        </is>
      </c>
      <c r="H3539" s="6" t="n">
        <v>165</v>
      </c>
      <c r="I3539" s="6" t="inlineStr"/>
      <c r="J3539" s="5" t="inlineStr"/>
      <c r="K3539" s="5" t="inlineStr"/>
      <c r="L3539" s="7" t="n">
        <v>60</v>
      </c>
      <c r="M3539" s="5" t="inlineStr">
        <is>
          <t>50 GB de franquia 10 GB de bônus</t>
        </is>
      </c>
      <c r="N3539" s="5" t="inlineStr"/>
      <c r="O3539" s="5" t="inlineStr"/>
      <c r="P3539" s="5" t="inlineStr"/>
      <c r="Q3539" s="5" t="inlineStr"/>
      <c r="R3539" s="5" t="inlineStr">
        <is>
          <t>Globoplay</t>
        </is>
      </c>
      <c r="S3539" s="5" t="inlineStr"/>
      <c r="T3539" s="5" t="inlineStr">
        <is>
          <t>Assinatura Globoplay inclusa</t>
        </is>
      </c>
      <c r="U3539" s="5" t="inlineStr">
        <is>
          <t>https://vivo.com.br/para-voce/produtos-e-servicos/para-o-celular/planos-pos-pago</t>
        </is>
      </c>
      <c r="V3539" s="5" t="inlineStr">
        <is>
          <t>data/raw/vivo_postpaid_SP.html</t>
        </is>
      </c>
    </row>
    <row r="3540">
      <c r="A3540" s="2" t="inlineStr">
        <is>
          <t>2026-08-24</t>
        </is>
      </c>
      <c r="B3540" s="2" t="inlineStr">
        <is>
          <t>2026-08-24T18:24:33</t>
        </is>
      </c>
      <c r="C3540" s="2" t="inlineStr">
        <is>
          <t>vivo</t>
        </is>
      </c>
      <c r="D3540" s="2" t="inlineStr">
        <is>
          <t>postpaid</t>
        </is>
      </c>
      <c r="E3540" s="2" t="inlineStr">
        <is>
          <t>SP</t>
        </is>
      </c>
      <c r="F3540" s="2" t="inlineStr">
        <is>
          <t>Vivo Pós com Netflix</t>
        </is>
      </c>
      <c r="G3540" s="2" t="inlineStr">
        <is>
          <t>vivo:VIV202600034562</t>
        </is>
      </c>
      <c r="H3540" s="3" t="n">
        <v>180</v>
      </c>
      <c r="I3540" s="3" t="inlineStr"/>
      <c r="J3540" s="2" t="inlineStr"/>
      <c r="K3540" s="2" t="inlineStr"/>
      <c r="L3540" s="4" t="n">
        <v>60</v>
      </c>
      <c r="M3540" s="2" t="inlineStr">
        <is>
          <t>50 GB de franquia 10 GB de bônus</t>
        </is>
      </c>
      <c r="N3540" s="2" t="inlineStr"/>
      <c r="O3540" s="2" t="inlineStr"/>
      <c r="P3540" s="2" t="inlineStr"/>
      <c r="Q3540" s="2" t="inlineStr"/>
      <c r="R3540" s="2" t="inlineStr">
        <is>
          <t>Netflix</t>
        </is>
      </c>
      <c r="S3540" s="2" t="inlineStr"/>
      <c r="T3540" s="2" t="inlineStr">
        <is>
          <t>Assinatura Netflix Padrão inclusa</t>
        </is>
      </c>
      <c r="U3540" s="2" t="inlineStr">
        <is>
          <t>https://vivo.com.br/para-voce/produtos-e-servicos/para-o-celular/planos-pos-pago</t>
        </is>
      </c>
      <c r="V3540" s="2" t="inlineStr">
        <is>
          <t>data/raw/vivo_postpaid_SP.html</t>
        </is>
      </c>
    </row>
    <row r="3541">
      <c r="A3541" s="5" t="inlineStr">
        <is>
          <t>2026-08-24</t>
        </is>
      </c>
      <c r="B3541" s="5" t="inlineStr">
        <is>
          <t>2026-08-24T18:24:33</t>
        </is>
      </c>
      <c r="C3541" s="5" t="inlineStr">
        <is>
          <t>vivo</t>
        </is>
      </c>
      <c r="D3541" s="5" t="inlineStr">
        <is>
          <t>postpaid</t>
        </is>
      </c>
      <c r="E3541" s="5" t="inlineStr">
        <is>
          <t>SP</t>
        </is>
      </c>
      <c r="F3541" s="5" t="inlineStr">
        <is>
          <t>Vivo Pós com Premiere</t>
        </is>
      </c>
      <c r="G3541" s="5" t="inlineStr">
        <is>
          <t>vivo:VIV202600034579</t>
        </is>
      </c>
      <c r="H3541" s="6" t="n">
        <v>180</v>
      </c>
      <c r="I3541" s="6" t="inlineStr"/>
      <c r="J3541" s="5" t="inlineStr"/>
      <c r="K3541" s="5" t="inlineStr"/>
      <c r="L3541" s="7" t="n">
        <v>60</v>
      </c>
      <c r="M3541" s="5" t="inlineStr">
        <is>
          <t>50 GB de franquia 10 GB de bônus</t>
        </is>
      </c>
      <c r="N3541" s="5" t="inlineStr"/>
      <c r="O3541" s="5" t="inlineStr"/>
      <c r="P3541" s="5" t="inlineStr"/>
      <c r="Q3541" s="5" t="inlineStr"/>
      <c r="R3541" s="5" t="inlineStr">
        <is>
          <t>Premiere</t>
        </is>
      </c>
      <c r="S3541" s="5" t="inlineStr"/>
      <c r="T3541" s="5" t="inlineStr">
        <is>
          <t>Assinatura Premiere inclusa</t>
        </is>
      </c>
      <c r="U3541" s="5" t="inlineStr">
        <is>
          <t>https://vivo.com.br/para-voce/produtos-e-servicos/para-o-celular/planos-pos-pago</t>
        </is>
      </c>
      <c r="V3541" s="5" t="inlineStr">
        <is>
          <t>data/raw/vivo_postpaid_SP.html</t>
        </is>
      </c>
    </row>
    <row r="3542">
      <c r="A3542" s="2" t="inlineStr">
        <is>
          <t>2026-08-24</t>
        </is>
      </c>
      <c r="B3542" s="2" t="inlineStr">
        <is>
          <t>2026-08-24T18:24:33</t>
        </is>
      </c>
      <c r="C3542" s="2" t="inlineStr">
        <is>
          <t>vivo</t>
        </is>
      </c>
      <c r="D3542" s="2" t="inlineStr">
        <is>
          <t>postpaid</t>
        </is>
      </c>
      <c r="E3542" s="2" t="inlineStr">
        <is>
          <t>SP</t>
        </is>
      </c>
      <c r="F3542" s="2" t="inlineStr">
        <is>
          <t>Vivo Pós com Spotify</t>
        </is>
      </c>
      <c r="G3542" s="2" t="inlineStr">
        <is>
          <t>vivo:VIV202600034556</t>
        </is>
      </c>
      <c r="H3542" s="3" t="n">
        <v>165</v>
      </c>
      <c r="I3542" s="3" t="inlineStr"/>
      <c r="J3542" s="2" t="inlineStr"/>
      <c r="K3542" s="2" t="inlineStr"/>
      <c r="L3542" s="4" t="n">
        <v>60</v>
      </c>
      <c r="M3542" s="2" t="inlineStr">
        <is>
          <t>50 GB de franquia 10 GB de bônus</t>
        </is>
      </c>
      <c r="N3542" s="2" t="inlineStr"/>
      <c r="O3542" s="2" t="inlineStr"/>
      <c r="P3542" s="2" t="inlineStr"/>
      <c r="Q3542" s="2" t="inlineStr"/>
      <c r="R3542" s="2" t="inlineStr">
        <is>
          <t>Spotify</t>
        </is>
      </c>
      <c r="S3542" s="2" t="inlineStr"/>
      <c r="T3542" s="2" t="inlineStr">
        <is>
          <t>Assinatura Spotify Premium inclusa</t>
        </is>
      </c>
      <c r="U3542" s="2" t="inlineStr">
        <is>
          <t>https://vivo.com.br/para-voce/produtos-e-servicos/para-o-celular/planos-pos-pago</t>
        </is>
      </c>
      <c r="V3542" s="2" t="inlineStr">
        <is>
          <t>data/raw/vivo_postpaid_SP.html</t>
        </is>
      </c>
    </row>
    <row r="3543">
      <c r="A3543" s="5" t="inlineStr">
        <is>
          <t>2026-08-24</t>
        </is>
      </c>
      <c r="B3543" s="5" t="inlineStr">
        <is>
          <t>2026-08-24T18:24:33</t>
        </is>
      </c>
      <c r="C3543" s="5" t="inlineStr">
        <is>
          <t>vivo</t>
        </is>
      </c>
      <c r="D3543" s="5" t="inlineStr">
        <is>
          <t>postpaid</t>
        </is>
      </c>
      <c r="E3543" s="5" t="inlineStr">
        <is>
          <t>SP</t>
        </is>
      </c>
      <c r="F3543" s="5" t="inlineStr">
        <is>
          <t>Vivo Pós com Travel</t>
        </is>
      </c>
      <c r="G3543" s="5" t="inlineStr">
        <is>
          <t>vivo:VIV202600034573</t>
        </is>
      </c>
      <c r="H3543" s="6" t="n">
        <v>215</v>
      </c>
      <c r="I3543" s="6" t="inlineStr"/>
      <c r="J3543" s="5" t="inlineStr"/>
      <c r="K3543" s="5" t="inlineStr"/>
      <c r="L3543" s="7" t="n">
        <v>70</v>
      </c>
      <c r="M3543" s="5" t="inlineStr">
        <is>
          <t>60 GB de franquia 10 GB de bônus</t>
        </is>
      </c>
      <c r="N3543" s="5" t="inlineStr"/>
      <c r="O3543" s="5" t="inlineStr"/>
      <c r="P3543" s="5" t="inlineStr"/>
      <c r="Q3543" s="5" t="inlineStr"/>
      <c r="R3543" s="5" t="inlineStr"/>
      <c r="S3543" s="5" t="inlineStr"/>
      <c r="T3543" s="5" t="inlineStr">
        <is>
          <t>2 meses de YouTube sem consumo no plano</t>
        </is>
      </c>
      <c r="U3543" s="5" t="inlineStr">
        <is>
          <t>https://vivo.com.br/para-voce/produtos-e-servicos/para-o-celular/planos-pos-pago</t>
        </is>
      </c>
      <c r="V3543" s="5" t="inlineStr">
        <is>
          <t>data/raw/vivo_postpaid_SP.html</t>
        </is>
      </c>
    </row>
    <row r="3544">
      <c r="A3544" s="2" t="inlineStr">
        <is>
          <t>2026-08-24</t>
        </is>
      </c>
      <c r="B3544" s="2" t="inlineStr">
        <is>
          <t>2026-08-24T18:24:33</t>
        </is>
      </c>
      <c r="C3544" s="2" t="inlineStr">
        <is>
          <t>vivo</t>
        </is>
      </c>
      <c r="D3544" s="2" t="inlineStr">
        <is>
          <t>prepaid</t>
        </is>
      </c>
      <c r="E3544" s="2" t="inlineStr">
        <is>
          <t>SP</t>
        </is>
      </c>
      <c r="F3544" s="2" t="inlineStr">
        <is>
          <t>Vivo Pré</t>
        </is>
      </c>
      <c r="G3544" s="2" t="inlineStr">
        <is>
          <t>vivo:VIV202600029370-30d</t>
        </is>
      </c>
      <c r="H3544" s="3" t="n">
        <v>30</v>
      </c>
      <c r="I3544" s="3" t="inlineStr"/>
      <c r="J3544" s="2" t="inlineStr"/>
      <c r="K3544" s="2" t="inlineStr"/>
      <c r="L3544" s="4" t="n">
        <v>25</v>
      </c>
      <c r="M3544" s="2" t="inlineStr">
        <is>
          <t>15 GB para navegar como quiser 5 GB de bônus 5 GB para navegar no Youtube</t>
        </is>
      </c>
      <c r="N3544" s="2" t="n">
        <v>30</v>
      </c>
      <c r="O3544" s="2" t="inlineStr"/>
      <c r="P3544" s="2" t="inlineStr"/>
      <c r="Q3544" s="2" t="inlineStr"/>
      <c r="R3544" s="2" t="inlineStr"/>
      <c r="S3544" s="2" t="inlineStr"/>
      <c r="T3544" s="2" t="inlineStr"/>
      <c r="U3544" s="2" t="inlineStr">
        <is>
          <t>https://vivo.com.br/para-voce/produtos-e-servicos/para-o-celular/pre-pago/vivo-pre</t>
        </is>
      </c>
      <c r="V3544" s="2" t="inlineStr">
        <is>
          <t>data/raw/vivo_prepaid_SP.html</t>
        </is>
      </c>
    </row>
    <row r="3545">
      <c r="A3545" s="5" t="inlineStr">
        <is>
          <t>2026-08-24</t>
        </is>
      </c>
      <c r="B3545" s="5" t="inlineStr">
        <is>
          <t>2026-08-24T18:24:33</t>
        </is>
      </c>
      <c r="C3545" s="5" t="inlineStr">
        <is>
          <t>vivo</t>
        </is>
      </c>
      <c r="D3545" s="5" t="inlineStr">
        <is>
          <t>prepaid</t>
        </is>
      </c>
      <c r="E3545" s="5" t="inlineStr">
        <is>
          <t>SP</t>
        </is>
      </c>
      <c r="F3545" s="5" t="inlineStr">
        <is>
          <t>Vivo Pré</t>
        </is>
      </c>
      <c r="G3545" s="5" t="inlineStr">
        <is>
          <t>vivo:VIV202600029370-22d</t>
        </is>
      </c>
      <c r="H3545" s="6" t="n">
        <v>25</v>
      </c>
      <c r="I3545" s="6" t="inlineStr"/>
      <c r="J3545" s="5" t="inlineStr"/>
      <c r="K3545" s="5" t="inlineStr"/>
      <c r="L3545" s="7" t="n">
        <v>9</v>
      </c>
      <c r="M3545" s="5" t="inlineStr">
        <is>
          <t>6 GB para navegar como quiser 3 GB para navegar no YouTube</t>
        </is>
      </c>
      <c r="N3545" s="5" t="n">
        <v>22</v>
      </c>
      <c r="O3545" s="5" t="inlineStr"/>
      <c r="P3545" s="5" t="inlineStr"/>
      <c r="Q3545" s="5" t="inlineStr"/>
      <c r="R3545" s="5" t="inlineStr"/>
      <c r="S3545" s="5" t="inlineStr"/>
      <c r="T3545" s="5" t="inlineStr"/>
      <c r="U3545" s="5" t="inlineStr">
        <is>
          <t>https://vivo.com.br/para-voce/produtos-e-servicos/para-o-celular/pre-pago/vivo-pre</t>
        </is>
      </c>
      <c r="V3545" s="5" t="inlineStr">
        <is>
          <t>data/raw/vivo_prepaid_SP.html</t>
        </is>
      </c>
    </row>
    <row r="3546">
      <c r="A3546" s="2" t="inlineStr">
        <is>
          <t>2026-08-24</t>
        </is>
      </c>
      <c r="B3546" s="2" t="inlineStr">
        <is>
          <t>2026-08-24T18:24:33</t>
        </is>
      </c>
      <c r="C3546" s="2" t="inlineStr">
        <is>
          <t>vivo</t>
        </is>
      </c>
      <c r="D3546" s="2" t="inlineStr">
        <is>
          <t>prepaid</t>
        </is>
      </c>
      <c r="E3546" s="2" t="inlineStr">
        <is>
          <t>SP</t>
        </is>
      </c>
      <c r="F3546" s="2" t="inlineStr">
        <is>
          <t>Vivo Pré</t>
        </is>
      </c>
      <c r="G3546" s="2" t="inlineStr">
        <is>
          <t>vivo:VIV202600029370-17d</t>
        </is>
      </c>
      <c r="H3546" s="3" t="n">
        <v>20</v>
      </c>
      <c r="I3546" s="3" t="inlineStr"/>
      <c r="J3546" s="2" t="inlineStr"/>
      <c r="K3546" s="2" t="inlineStr"/>
      <c r="L3546" s="4" t="n">
        <v>5</v>
      </c>
      <c r="M3546" s="2" t="inlineStr">
        <is>
          <t>5 GB para navegar como quiser</t>
        </is>
      </c>
      <c r="N3546" s="2" t="n">
        <v>17</v>
      </c>
      <c r="O3546" s="2" t="inlineStr"/>
      <c r="P3546" s="2" t="inlineStr"/>
      <c r="Q3546" s="2" t="inlineStr"/>
      <c r="R3546" s="2" t="inlineStr"/>
      <c r="S3546" s="2" t="inlineStr"/>
      <c r="T3546" s="2" t="inlineStr"/>
      <c r="U3546" s="2" t="inlineStr">
        <is>
          <t>https://vivo.com.br/para-voce/produtos-e-servicos/para-o-celular/pre-pago/vivo-pre</t>
        </is>
      </c>
      <c r="V3546" s="2" t="inlineStr">
        <is>
          <t>data/raw/vivo_prepaid_SP.html</t>
        </is>
      </c>
    </row>
    <row r="3547">
      <c r="A3547" s="5" t="inlineStr">
        <is>
          <t>2026-08-24</t>
        </is>
      </c>
      <c r="B3547" s="5" t="inlineStr">
        <is>
          <t>2026-08-24T18:24:33</t>
        </is>
      </c>
      <c r="C3547" s="5" t="inlineStr">
        <is>
          <t>vivo</t>
        </is>
      </c>
      <c r="D3547" s="5" t="inlineStr">
        <is>
          <t>prepaid</t>
        </is>
      </c>
      <c r="E3547" s="5" t="inlineStr">
        <is>
          <t>SP</t>
        </is>
      </c>
      <c r="F3547" s="5" t="inlineStr">
        <is>
          <t>Vivo Pré</t>
        </is>
      </c>
      <c r="G3547" s="5" t="inlineStr">
        <is>
          <t>vivo:VIV202600029370-15d</t>
        </is>
      </c>
      <c r="H3547" s="6" t="n">
        <v>17</v>
      </c>
      <c r="I3547" s="6" t="inlineStr"/>
      <c r="J3547" s="5" t="inlineStr"/>
      <c r="K3547" s="5" t="inlineStr"/>
      <c r="L3547" s="7" t="n">
        <v>4</v>
      </c>
      <c r="M3547" s="5" t="inlineStr">
        <is>
          <t>4 GB para navegar como quiser</t>
        </is>
      </c>
      <c r="N3547" s="5" t="n">
        <v>15</v>
      </c>
      <c r="O3547" s="5" t="inlineStr"/>
      <c r="P3547" s="5" t="inlineStr"/>
      <c r="Q3547" s="5" t="inlineStr"/>
      <c r="R3547" s="5" t="inlineStr"/>
      <c r="S3547" s="5" t="inlineStr"/>
      <c r="T3547" s="5" t="inlineStr"/>
      <c r="U3547" s="5" t="inlineStr">
        <is>
          <t>https://vivo.com.br/para-voce/produtos-e-servicos/para-o-celular/pre-pago/vivo-pre</t>
        </is>
      </c>
      <c r="V3547" s="5" t="inlineStr">
        <is>
          <t>data/raw/vivo_prepaid_SP.html</t>
        </is>
      </c>
    </row>
    <row r="3548">
      <c r="A3548" s="2" t="inlineStr">
        <is>
          <t>2026-08-25</t>
        </is>
      </c>
      <c r="B3548" s="2" t="inlineStr">
        <is>
          <t>2026-08-25T18:23:38</t>
        </is>
      </c>
      <c r="C3548" s="2" t="inlineStr">
        <is>
          <t>claro</t>
        </is>
      </c>
      <c r="D3548" s="2" t="inlineStr">
        <is>
          <t>control</t>
        </is>
      </c>
      <c r="E3548" s="2" t="inlineStr">
        <is>
          <t>SP</t>
        </is>
      </c>
      <c r="F3548" s="2" t="inlineStr">
        <is>
          <t>Controle 25GB</t>
        </is>
      </c>
      <c r="G3548" s="2" t="inlineStr">
        <is>
          <t>claro:plano-controle-25gb</t>
        </is>
      </c>
      <c r="H3548" s="3" t="n">
        <v>59.9</v>
      </c>
      <c r="I3548" s="3" t="n">
        <v>54.9</v>
      </c>
      <c r="J3548" s="2" t="inlineStr">
        <is>
          <t>De R$ 59,90 Por:</t>
        </is>
      </c>
      <c r="K3548" s="2" t="inlineStr"/>
      <c r="L3548" s="4" t="n">
        <v>25</v>
      </c>
      <c r="M3548" s="2" t="inlineStr"/>
      <c r="N3548" s="2" t="inlineStr"/>
      <c r="O3548" s="2" t="inlineStr">
        <is>
          <t>WhatsApp</t>
        </is>
      </c>
      <c r="P3548" s="2" t="inlineStr"/>
      <c r="Q3548" s="2" t="inlineStr"/>
      <c r="R3548" s="2" t="inlineStr"/>
      <c r="S3548" s="2" t="inlineStr"/>
      <c r="T3548" s="2" t="inlineStr">
        <is>
          <t>Para uso livre; Para redes sociais e vídeos; Bônus exclusivo; Aproveite na sua franquia; WhatsApp e ligações ilimitadas</t>
        </is>
      </c>
      <c r="U3548" s="2" t="inlineStr">
        <is>
          <t>https://www.claro.com.br/celular/controle</t>
        </is>
      </c>
      <c r="V3548" s="2" t="inlineStr">
        <is>
          <t>data/raw/claro_control_SP.json</t>
        </is>
      </c>
    </row>
    <row r="3549">
      <c r="A3549" s="5" t="inlineStr">
        <is>
          <t>2026-08-25</t>
        </is>
      </c>
      <c r="B3549" s="5" t="inlineStr">
        <is>
          <t>2026-08-25T18:23:38</t>
        </is>
      </c>
      <c r="C3549" s="5" t="inlineStr">
        <is>
          <t>claro</t>
        </is>
      </c>
      <c r="D3549" s="5" t="inlineStr">
        <is>
          <t>control</t>
        </is>
      </c>
      <c r="E3549" s="5" t="inlineStr">
        <is>
          <t>SP</t>
        </is>
      </c>
      <c r="F3549" s="5" t="inlineStr">
        <is>
          <t>Controle 30GB</t>
        </is>
      </c>
      <c r="G3549" s="5" t="inlineStr">
        <is>
          <t>claro:plano-controle-30gb</t>
        </is>
      </c>
      <c r="H3549" s="6" t="n">
        <v>69.90000000000001</v>
      </c>
      <c r="I3549" s="6" t="inlineStr"/>
      <c r="J3549" s="5" t="inlineStr"/>
      <c r="K3549" s="5" t="inlineStr"/>
      <c r="L3549" s="7" t="n">
        <v>30</v>
      </c>
      <c r="M3549" s="5" t="inlineStr"/>
      <c r="N3549" s="5" t="inlineStr"/>
      <c r="O3549" s="5" t="inlineStr">
        <is>
          <t>WhatsApp</t>
        </is>
      </c>
      <c r="P3549" s="5" t="inlineStr"/>
      <c r="Q3549" s="5" t="inlineStr"/>
      <c r="R3549" s="5" t="inlineStr"/>
      <c r="S3549" s="5" t="inlineStr"/>
      <c r="T3549" s="5" t="inlineStr">
        <is>
          <t>Para uso livre; Bônus para uso livre; Bônus para redes sociais e apps; Assinatura Amazon Prime por 3 meses; Redes sociais e apps; WhatsApp ilimitado</t>
        </is>
      </c>
      <c r="U3549" s="5" t="inlineStr">
        <is>
          <t>https://www.claro.com.br/celular/controle</t>
        </is>
      </c>
      <c r="V3549" s="5" t="inlineStr">
        <is>
          <t>data/raw/claro_control_SP.json</t>
        </is>
      </c>
    </row>
    <row r="3550">
      <c r="A3550" s="2" t="inlineStr">
        <is>
          <t>2026-08-25</t>
        </is>
      </c>
      <c r="B3550" s="2" t="inlineStr">
        <is>
          <t>2026-08-25T18:23:38</t>
        </is>
      </c>
      <c r="C3550" s="2" t="inlineStr">
        <is>
          <t>claro</t>
        </is>
      </c>
      <c r="D3550" s="2" t="inlineStr">
        <is>
          <t>control</t>
        </is>
      </c>
      <c r="E3550" s="2" t="inlineStr">
        <is>
          <t>SP</t>
        </is>
      </c>
      <c r="F3550" s="2" t="inlineStr">
        <is>
          <t>Controle 30GB</t>
        </is>
      </c>
      <c r="G3550" s="2" t="inlineStr">
        <is>
          <t>claro:plano-controle-30gb-gaming</t>
        </is>
      </c>
      <c r="H3550" s="3" t="n">
        <v>99.90000000000001</v>
      </c>
      <c r="I3550" s="3" t="inlineStr"/>
      <c r="J3550" s="2" t="inlineStr"/>
      <c r="K3550" s="2" t="inlineStr"/>
      <c r="L3550" s="4" t="n">
        <v>30</v>
      </c>
      <c r="M3550" s="2" t="inlineStr"/>
      <c r="N3550" s="2" t="inlineStr"/>
      <c r="O3550" s="2" t="inlineStr">
        <is>
          <t>WhatsApp</t>
        </is>
      </c>
      <c r="P3550" s="2" t="inlineStr"/>
      <c r="Q3550" s="2" t="inlineStr"/>
      <c r="R3550" s="2" t="inlineStr"/>
      <c r="S3550" s="2" t="inlineStr"/>
      <c r="T3550" s="2" t="inlineStr">
        <is>
          <t>Para uso livre; Bônus para redes sociais e apps; Bônus uso livre; Assinatura Amazon Prime por 3 meses; Redes sociais e apps; WhatsApp ilimitado</t>
        </is>
      </c>
      <c r="U3550" s="2" t="inlineStr">
        <is>
          <t>https://www.claro.com.br/celular/controle</t>
        </is>
      </c>
      <c r="V3550" s="2" t="inlineStr">
        <is>
          <t>data/raw/claro_control_SP.json</t>
        </is>
      </c>
    </row>
    <row r="3551">
      <c r="A3551" s="5" t="inlineStr">
        <is>
          <t>2026-08-25</t>
        </is>
      </c>
      <c r="B3551" s="5" t="inlineStr">
        <is>
          <t>2026-08-25T18:23:38</t>
        </is>
      </c>
      <c r="C3551" s="5" t="inlineStr">
        <is>
          <t>claro</t>
        </is>
      </c>
      <c r="D3551" s="5" t="inlineStr">
        <is>
          <t>flex</t>
        </is>
      </c>
      <c r="E3551" s="5" t="inlineStr">
        <is>
          <t>SP</t>
        </is>
      </c>
      <c r="F3551" s="5" t="inlineStr">
        <is>
          <t>Flex 15GB</t>
        </is>
      </c>
      <c r="G3551" s="5" t="inlineStr">
        <is>
          <t>claro:plano-flex-15gb</t>
        </is>
      </c>
      <c r="H3551" s="6" t="n">
        <v>44.9</v>
      </c>
      <c r="I3551" s="6" t="inlineStr"/>
      <c r="J3551" s="5" t="inlineStr"/>
      <c r="K3551" s="5" t="inlineStr"/>
      <c r="L3551" s="7" t="n">
        <v>15</v>
      </c>
      <c r="M3551" s="5" t="inlineStr"/>
      <c r="N3551" s="5" t="inlineStr"/>
      <c r="O3551" s="5" t="inlineStr">
        <is>
          <t>WhatsApp</t>
        </is>
      </c>
      <c r="P3551" s="5" t="inlineStr"/>
      <c r="Q3551" s="5" t="inlineStr"/>
      <c r="R3551" s="5" t="inlineStr"/>
      <c r="S3551" s="5" t="inlineStr"/>
      <c r="T3551" s="5" t="inlineStr">
        <is>
          <t>Para uso livre; Bônus Pais para uso livre; Para redes sociais e apps; Bônus extra nos apps; WhatsApp ilimitado</t>
        </is>
      </c>
      <c r="U3551" s="5" t="inlineStr">
        <is>
          <t>https://www.claro.com.br/celular/flex</t>
        </is>
      </c>
      <c r="V3551" s="5" t="inlineStr">
        <is>
          <t>data/raw/claro_flex_SP.json</t>
        </is>
      </c>
    </row>
    <row r="3552">
      <c r="A3552" s="2" t="inlineStr">
        <is>
          <t>2026-08-25</t>
        </is>
      </c>
      <c r="B3552" s="2" t="inlineStr">
        <is>
          <t>2026-08-25T18:23:38</t>
        </is>
      </c>
      <c r="C3552" s="2" t="inlineStr">
        <is>
          <t>claro</t>
        </is>
      </c>
      <c r="D3552" s="2" t="inlineStr">
        <is>
          <t>flex</t>
        </is>
      </c>
      <c r="E3552" s="2" t="inlineStr">
        <is>
          <t>SP</t>
        </is>
      </c>
      <c r="F3552" s="2" t="inlineStr">
        <is>
          <t>Flex 20GB</t>
        </is>
      </c>
      <c r="G3552" s="2" t="inlineStr">
        <is>
          <t>claro:plano-flex-20gb</t>
        </is>
      </c>
      <c r="H3552" s="3" t="n">
        <v>59.9</v>
      </c>
      <c r="I3552" s="3" t="inlineStr"/>
      <c r="J3552" s="2" t="inlineStr"/>
      <c r="K3552" s="2" t="inlineStr"/>
      <c r="L3552" s="4" t="n">
        <v>20</v>
      </c>
      <c r="M3552" s="2" t="inlineStr"/>
      <c r="N3552" s="2" t="inlineStr"/>
      <c r="O3552" s="2" t="inlineStr">
        <is>
          <t>WhatsApp</t>
        </is>
      </c>
      <c r="P3552" s="2" t="inlineStr"/>
      <c r="Q3552" s="2" t="inlineStr"/>
      <c r="R3552" s="2" t="inlineStr"/>
      <c r="S3552" s="2" t="inlineStr"/>
      <c r="T3552" s="2" t="inlineStr">
        <is>
          <t>Para uso livre; Bônus Pais para uso livre; Para redes sociais e apps; Bônus extra nos apps; WhatsApp ilimitado</t>
        </is>
      </c>
      <c r="U3552" s="2" t="inlineStr">
        <is>
          <t>https://www.claro.com.br/celular/flex</t>
        </is>
      </c>
      <c r="V3552" s="2" t="inlineStr">
        <is>
          <t>data/raw/claro_flex_SP.json</t>
        </is>
      </c>
    </row>
    <row r="3553">
      <c r="A3553" s="5" t="inlineStr">
        <is>
          <t>2026-08-25</t>
        </is>
      </c>
      <c r="B3553" s="5" t="inlineStr">
        <is>
          <t>2026-08-25T18:23:38</t>
        </is>
      </c>
      <c r="C3553" s="5" t="inlineStr">
        <is>
          <t>claro</t>
        </is>
      </c>
      <c r="D3553" s="5" t="inlineStr">
        <is>
          <t>flex</t>
        </is>
      </c>
      <c r="E3553" s="5" t="inlineStr">
        <is>
          <t>SP</t>
        </is>
      </c>
      <c r="F3553" s="5" t="inlineStr">
        <is>
          <t>Flex 30GB</t>
        </is>
      </c>
      <c r="G3553" s="5" t="inlineStr">
        <is>
          <t>claro:plano-flex-30gb</t>
        </is>
      </c>
      <c r="H3553" s="6" t="n">
        <v>69.90000000000001</v>
      </c>
      <c r="I3553" s="6" t="inlineStr"/>
      <c r="J3553" s="5" t="inlineStr"/>
      <c r="K3553" s="5" t="inlineStr"/>
      <c r="L3553" s="7" t="n">
        <v>30</v>
      </c>
      <c r="M3553" s="5" t="inlineStr"/>
      <c r="N3553" s="5" t="inlineStr"/>
      <c r="O3553" s="5" t="inlineStr">
        <is>
          <t>WhatsApp</t>
        </is>
      </c>
      <c r="P3553" s="5" t="inlineStr"/>
      <c r="Q3553" s="5" t="inlineStr"/>
      <c r="R3553" s="5" t="inlineStr"/>
      <c r="S3553" s="5" t="inlineStr"/>
      <c r="T3553" s="5" t="inlineStr">
        <is>
          <t>Para uso livre; Bônus Pais para uso livre; Para redes sociais e apps; Bônus extra nos apps; WhatsApp ilimitado; Assinatura Claro musica inclusa</t>
        </is>
      </c>
      <c r="U3553" s="5" t="inlineStr">
        <is>
          <t>https://www.claro.com.br/celular/flex</t>
        </is>
      </c>
      <c r="V3553" s="5" t="inlineStr">
        <is>
          <t>data/raw/claro_flex_SP.json</t>
        </is>
      </c>
    </row>
    <row r="3554">
      <c r="A3554" s="2" t="inlineStr">
        <is>
          <t>2026-08-25</t>
        </is>
      </c>
      <c r="B3554" s="2" t="inlineStr">
        <is>
          <t>2026-08-25T18:23:38</t>
        </is>
      </c>
      <c r="C3554" s="2" t="inlineStr">
        <is>
          <t>claro</t>
        </is>
      </c>
      <c r="D3554" s="2" t="inlineStr">
        <is>
          <t>flex</t>
        </is>
      </c>
      <c r="E3554" s="2" t="inlineStr">
        <is>
          <t>SP</t>
        </is>
      </c>
      <c r="F3554" s="2" t="inlineStr">
        <is>
          <t>Flex 40GB</t>
        </is>
      </c>
      <c r="G3554" s="2" t="inlineStr">
        <is>
          <t>claro:plano-flex-40gb</t>
        </is>
      </c>
      <c r="H3554" s="3" t="n">
        <v>119.9</v>
      </c>
      <c r="I3554" s="3" t="inlineStr"/>
      <c r="J3554" s="2" t="inlineStr"/>
      <c r="K3554" s="2" t="inlineStr"/>
      <c r="L3554" s="4" t="n">
        <v>40</v>
      </c>
      <c r="M3554" s="2" t="inlineStr"/>
      <c r="N3554" s="2" t="inlineStr"/>
      <c r="O3554" s="2" t="inlineStr">
        <is>
          <t>WhatsApp</t>
        </is>
      </c>
      <c r="P3554" s="2" t="inlineStr"/>
      <c r="Q3554" s="2" t="inlineStr"/>
      <c r="R3554" s="2" t="inlineStr"/>
      <c r="S3554" s="2" t="inlineStr"/>
      <c r="T3554" s="2" t="inlineStr">
        <is>
          <t>Para uso livre; Para redes sociais e apps; Bônus extra nos apps; WhatsApp ilimitado; Assinatura Claro musica inclusa</t>
        </is>
      </c>
      <c r="U3554" s="2" t="inlineStr">
        <is>
          <t>https://www.claro.com.br/celular/flex</t>
        </is>
      </c>
      <c r="V3554" s="2" t="inlineStr">
        <is>
          <t>data/raw/claro_flex_SP.json</t>
        </is>
      </c>
    </row>
    <row r="3555">
      <c r="A3555" s="5" t="inlineStr">
        <is>
          <t>2026-08-25</t>
        </is>
      </c>
      <c r="B3555" s="5" t="inlineStr">
        <is>
          <t>2026-08-25T18:23:38</t>
        </is>
      </c>
      <c r="C3555" s="5" t="inlineStr">
        <is>
          <t>claro</t>
        </is>
      </c>
      <c r="D3555" s="5" t="inlineStr">
        <is>
          <t>postpaid</t>
        </is>
      </c>
      <c r="E3555" s="5" t="inlineStr">
        <is>
          <t>SP</t>
        </is>
      </c>
      <c r="F3555" s="5" t="inlineStr">
        <is>
          <t>Pós 100GB</t>
        </is>
      </c>
      <c r="G3555" s="5" t="inlineStr">
        <is>
          <t>claro:plano-pos-100gb</t>
        </is>
      </c>
      <c r="H3555" s="6" t="n">
        <v>179.9</v>
      </c>
      <c r="I3555" s="6" t="inlineStr"/>
      <c r="J3555" s="5" t="inlineStr"/>
      <c r="K3555" s="5" t="inlineStr"/>
      <c r="L3555" s="7" t="n">
        <v>100</v>
      </c>
      <c r="M3555" s="5" t="inlineStr"/>
      <c r="N3555" s="5" t="inlineStr"/>
      <c r="O3555" s="5" t="inlineStr">
        <is>
          <t>WhatsApp</t>
        </is>
      </c>
      <c r="P3555" s="5" t="inlineStr"/>
      <c r="Q3555" s="5" t="inlineStr"/>
      <c r="R3555" s="5" t="inlineStr"/>
      <c r="S3555" s="5" t="inlineStr"/>
      <c r="T3555" s="5" t="inlineStr">
        <is>
          <t>Armazenamento na nuvem:; Google One ou iCloud+; WhatsApp ilimitado; Assinatura Amazon Prime por 3 meses; Roaming: Passaporte Américas; Claro Sync: Smartwatch conectado</t>
        </is>
      </c>
      <c r="U3555" s="5" t="inlineStr">
        <is>
          <t>https://www.claro.com.br/celular/pos</t>
        </is>
      </c>
      <c r="V3555" s="5" t="inlineStr">
        <is>
          <t>data/raw/claro_postpaid_SP.json</t>
        </is>
      </c>
    </row>
    <row r="3556">
      <c r="A3556" s="2" t="inlineStr">
        <is>
          <t>2026-08-25</t>
        </is>
      </c>
      <c r="B3556" s="2" t="inlineStr">
        <is>
          <t>2026-08-25T18:23:38</t>
        </is>
      </c>
      <c r="C3556" s="2" t="inlineStr">
        <is>
          <t>claro</t>
        </is>
      </c>
      <c r="D3556" s="2" t="inlineStr">
        <is>
          <t>postpaid</t>
        </is>
      </c>
      <c r="E3556" s="2" t="inlineStr">
        <is>
          <t>SP</t>
        </is>
      </c>
      <c r="F3556" s="2" t="inlineStr">
        <is>
          <t>Pós 150GB</t>
        </is>
      </c>
      <c r="G3556" s="2" t="inlineStr">
        <is>
          <t>claro:plano-pos-150gb</t>
        </is>
      </c>
      <c r="H3556" s="3" t="n">
        <v>239.9</v>
      </c>
      <c r="I3556" s="3" t="inlineStr"/>
      <c r="J3556" s="2" t="inlineStr"/>
      <c r="K3556" s="2" t="inlineStr"/>
      <c r="L3556" s="4" t="n">
        <v>150</v>
      </c>
      <c r="M3556" s="2" t="inlineStr"/>
      <c r="N3556" s="2" t="inlineStr"/>
      <c r="O3556" s="2" t="inlineStr">
        <is>
          <t>WhatsApp</t>
        </is>
      </c>
      <c r="P3556" s="2" t="inlineStr"/>
      <c r="Q3556" s="2" t="inlineStr"/>
      <c r="R3556" s="2" t="inlineStr"/>
      <c r="S3556" s="2" t="inlineStr"/>
      <c r="T355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556" s="2" t="inlineStr">
        <is>
          <t>https://www.claro.com.br/celular/pos</t>
        </is>
      </c>
      <c r="V3556" s="2" t="inlineStr">
        <is>
          <t>data/raw/claro_postpaid_SP.json</t>
        </is>
      </c>
    </row>
    <row r="3557">
      <c r="A3557" s="5" t="inlineStr">
        <is>
          <t>2026-08-25</t>
        </is>
      </c>
      <c r="B3557" s="5" t="inlineStr">
        <is>
          <t>2026-08-25T18:23:38</t>
        </is>
      </c>
      <c r="C3557" s="5" t="inlineStr">
        <is>
          <t>claro</t>
        </is>
      </c>
      <c r="D3557" s="5" t="inlineStr">
        <is>
          <t>postpaid</t>
        </is>
      </c>
      <c r="E3557" s="5" t="inlineStr">
        <is>
          <t>SP</t>
        </is>
      </c>
      <c r="F3557" s="5" t="inlineStr">
        <is>
          <t>Pós 200GB</t>
        </is>
      </c>
      <c r="G3557" s="5" t="inlineStr">
        <is>
          <t>claro:plano-pos-200gb</t>
        </is>
      </c>
      <c r="H3557" s="6" t="n">
        <v>339.9</v>
      </c>
      <c r="I3557" s="6" t="inlineStr"/>
      <c r="J3557" s="5" t="inlineStr"/>
      <c r="K3557" s="5" t="inlineStr"/>
      <c r="L3557" s="7" t="n">
        <v>200</v>
      </c>
      <c r="M3557" s="5" t="inlineStr"/>
      <c r="N3557" s="5" t="inlineStr"/>
      <c r="O3557" s="5" t="inlineStr">
        <is>
          <t>WhatsApp</t>
        </is>
      </c>
      <c r="P3557" s="5" t="inlineStr"/>
      <c r="Q3557" s="5" t="inlineStr"/>
      <c r="R3557" s="5" t="inlineStr"/>
      <c r="S3557" s="5" t="inlineStr"/>
      <c r="T3557" s="5" t="inlineStr">
        <is>
          <t>Armazenamento na nuvem:; Google One (AI Plus) ou iCloud+; WhatsApp ilimitado; Assinatura Amazon Prime por 3 meses; Roaming: Passaporte Mundo; Claro Sync: Smartwatch conectado</t>
        </is>
      </c>
      <c r="U3557" s="5" t="inlineStr">
        <is>
          <t>https://www.claro.com.br/celular/pos</t>
        </is>
      </c>
      <c r="V3557" s="5" t="inlineStr">
        <is>
          <t>data/raw/claro_postpaid_SP.json</t>
        </is>
      </c>
    </row>
    <row r="3558">
      <c r="A3558" s="2" t="inlineStr">
        <is>
          <t>2026-08-25</t>
        </is>
      </c>
      <c r="B3558" s="2" t="inlineStr">
        <is>
          <t>2026-08-25T18:23:38</t>
        </is>
      </c>
      <c r="C3558" s="2" t="inlineStr">
        <is>
          <t>claro</t>
        </is>
      </c>
      <c r="D3558" s="2" t="inlineStr">
        <is>
          <t>postpaid</t>
        </is>
      </c>
      <c r="E3558" s="2" t="inlineStr">
        <is>
          <t>SP</t>
        </is>
      </c>
      <c r="F3558" s="2" t="inlineStr">
        <is>
          <t>Pós 50GB com GeForce NOW</t>
        </is>
      </c>
      <c r="G3558" s="2" t="inlineStr">
        <is>
          <t>claro:plano-pos-60gb-geforce</t>
        </is>
      </c>
      <c r="H3558" s="3" t="n">
        <v>164.9</v>
      </c>
      <c r="I3558" s="3" t="inlineStr"/>
      <c r="J3558" s="2" t="inlineStr"/>
      <c r="K3558" s="2" t="inlineStr"/>
      <c r="L3558" s="4" t="n">
        <v>50</v>
      </c>
      <c r="M3558" s="2" t="inlineStr"/>
      <c r="N3558" s="2" t="inlineStr"/>
      <c r="O3558" s="2" t="inlineStr">
        <is>
          <t>WhatsApp</t>
        </is>
      </c>
      <c r="P3558" s="2" t="inlineStr"/>
      <c r="Q3558" s="2" t="inlineStr"/>
      <c r="R3558" s="2" t="inlineStr"/>
      <c r="S3558" s="2" t="inlineStr"/>
      <c r="T355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558" s="2" t="inlineStr">
        <is>
          <t>https://www.claro.com.br/celular/pos</t>
        </is>
      </c>
      <c r="V3558" s="2" t="inlineStr">
        <is>
          <t>data/raw/claro_postpaid_SP.json</t>
        </is>
      </c>
    </row>
    <row r="3559">
      <c r="A3559" s="5" t="inlineStr">
        <is>
          <t>2026-08-25</t>
        </is>
      </c>
      <c r="B3559" s="5" t="inlineStr">
        <is>
          <t>2026-08-25T18:23:38</t>
        </is>
      </c>
      <c r="C3559" s="5" t="inlineStr">
        <is>
          <t>claro</t>
        </is>
      </c>
      <c r="D3559" s="5" t="inlineStr">
        <is>
          <t>postpaid</t>
        </is>
      </c>
      <c r="E3559" s="5" t="inlineStr">
        <is>
          <t>SP</t>
        </is>
      </c>
      <c r="F3559" s="5" t="inlineStr">
        <is>
          <t>Pós 60GB</t>
        </is>
      </c>
      <c r="G3559" s="5" t="inlineStr">
        <is>
          <t>claro:plano-pos-60gb</t>
        </is>
      </c>
      <c r="H3559" s="6" t="n">
        <v>124.9</v>
      </c>
      <c r="I3559" s="6" t="inlineStr"/>
      <c r="J3559" s="5" t="inlineStr"/>
      <c r="K3559" s="5" t="inlineStr"/>
      <c r="L3559" s="7" t="n">
        <v>60</v>
      </c>
      <c r="M3559" s="5" t="inlineStr"/>
      <c r="N3559" s="5" t="inlineStr"/>
      <c r="O3559" s="5" t="inlineStr">
        <is>
          <t>WhatsApp</t>
        </is>
      </c>
      <c r="P3559" s="5" t="inlineStr"/>
      <c r="Q3559" s="5" t="inlineStr"/>
      <c r="R3559" s="5" t="inlineStr"/>
      <c r="S3559" s="5" t="inlineStr"/>
      <c r="T3559" s="5" t="inlineStr">
        <is>
          <t>Armazenamento na nuvem:; Google One ou iCloud+; WhatsApp ilimitado; Assinatura Amazon Prime por 3 meses; Roaming: Passaporte Américas; Claro Sync: Smartwatch conectado</t>
        </is>
      </c>
      <c r="U3559" s="5" t="inlineStr">
        <is>
          <t>https://www.claro.com.br/celular/pos</t>
        </is>
      </c>
      <c r="V3559" s="5" t="inlineStr">
        <is>
          <t>data/raw/claro_postpaid_SP.json</t>
        </is>
      </c>
    </row>
    <row r="3560">
      <c r="A3560" s="2" t="inlineStr">
        <is>
          <t>2026-08-25</t>
        </is>
      </c>
      <c r="B3560" s="2" t="inlineStr">
        <is>
          <t>2026-08-25T18:23:38</t>
        </is>
      </c>
      <c r="C3560" s="2" t="inlineStr">
        <is>
          <t>claro</t>
        </is>
      </c>
      <c r="D3560" s="2" t="inlineStr">
        <is>
          <t>prepaid</t>
        </is>
      </c>
      <c r="E3560" s="2" t="inlineStr">
        <is>
          <t>SP</t>
        </is>
      </c>
      <c r="F3560" s="2" t="inlineStr">
        <is>
          <t>Prezão 10GB (25 dias)</t>
        </is>
      </c>
      <c r="G3560" s="2" t="inlineStr">
        <is>
          <t>claro:prezao-25d-10gb</t>
        </is>
      </c>
      <c r="H3560" s="3" t="n">
        <v>25</v>
      </c>
      <c r="I3560" s="3" t="inlineStr"/>
      <c r="J3560" s="2" t="inlineStr">
        <is>
          <t>recarga Prezão R$25 — validade 25 dias</t>
        </is>
      </c>
      <c r="K3560" s="2" t="inlineStr"/>
      <c r="L3560" s="4" t="n">
        <v>10</v>
      </c>
      <c r="M3560" s="2" t="inlineStr"/>
      <c r="N3560" s="2" t="n">
        <v>25</v>
      </c>
      <c r="O3560" s="2" t="inlineStr"/>
      <c r="P3560" s="2" t="inlineStr"/>
      <c r="Q3560" s="2" t="inlineStr"/>
      <c r="R3560" s="2" t="inlineStr"/>
      <c r="S3560" s="2" t="inlineStr"/>
      <c r="T3560" s="2" t="inlineStr"/>
      <c r="U3560" s="2" t="inlineStr">
        <is>
          <t>https://www.claro.com.br/celular/planos-pre/prezao</t>
        </is>
      </c>
      <c r="V3560" s="2" t="inlineStr">
        <is>
          <t>data/raw/claro_prepaid_SP.json</t>
        </is>
      </c>
    </row>
    <row r="3561">
      <c r="A3561" s="5" t="inlineStr">
        <is>
          <t>2026-08-25</t>
        </is>
      </c>
      <c r="B3561" s="5" t="inlineStr">
        <is>
          <t>2026-08-25T18:23:38</t>
        </is>
      </c>
      <c r="C3561" s="5" t="inlineStr">
        <is>
          <t>claro</t>
        </is>
      </c>
      <c r="D3561" s="5" t="inlineStr">
        <is>
          <t>prepaid</t>
        </is>
      </c>
      <c r="E3561" s="5" t="inlineStr">
        <is>
          <t>SP</t>
        </is>
      </c>
      <c r="F3561" s="5" t="inlineStr">
        <is>
          <t>Prezão 12GB (30 dias)</t>
        </is>
      </c>
      <c r="G3561" s="5" t="inlineStr">
        <is>
          <t>claro:prezao-30d-12gb</t>
        </is>
      </c>
      <c r="H3561" s="6" t="n">
        <v>30</v>
      </c>
      <c r="I3561" s="6" t="inlineStr"/>
      <c r="J3561" s="5" t="inlineStr">
        <is>
          <t>recarga Prezão R$30 — validade 30 dias</t>
        </is>
      </c>
      <c r="K3561" s="5" t="inlineStr"/>
      <c r="L3561" s="7" t="n">
        <v>12</v>
      </c>
      <c r="M3561" s="5" t="inlineStr"/>
      <c r="N3561" s="5" t="n">
        <v>30</v>
      </c>
      <c r="O3561" s="5" t="inlineStr"/>
      <c r="P3561" s="5" t="inlineStr"/>
      <c r="Q3561" s="5" t="inlineStr"/>
      <c r="R3561" s="5" t="inlineStr"/>
      <c r="S3561" s="5" t="inlineStr"/>
      <c r="T3561" s="5" t="inlineStr"/>
      <c r="U3561" s="5" t="inlineStr">
        <is>
          <t>https://www.claro.com.br/celular/planos-pre/prezao</t>
        </is>
      </c>
      <c r="V3561" s="5" t="inlineStr">
        <is>
          <t>data/raw/claro_prepaid_SP.json</t>
        </is>
      </c>
    </row>
    <row r="3562">
      <c r="A3562" s="2" t="inlineStr">
        <is>
          <t>2026-08-25</t>
        </is>
      </c>
      <c r="B3562" s="2" t="inlineStr">
        <is>
          <t>2026-08-25T18:23:38</t>
        </is>
      </c>
      <c r="C3562" s="2" t="inlineStr">
        <is>
          <t>claro</t>
        </is>
      </c>
      <c r="D3562" s="2" t="inlineStr">
        <is>
          <t>prepaid</t>
        </is>
      </c>
      <c r="E3562" s="2" t="inlineStr">
        <is>
          <t>SP</t>
        </is>
      </c>
      <c r="F3562" s="2" t="inlineStr">
        <is>
          <t>Prezão 4GB (12 dias)</t>
        </is>
      </c>
      <c r="G3562" s="2" t="inlineStr">
        <is>
          <t>claro:prezao-12d-4gb</t>
        </is>
      </c>
      <c r="H3562" s="3" t="n">
        <v>15</v>
      </c>
      <c r="I3562" s="3" t="inlineStr"/>
      <c r="J3562" s="2" t="inlineStr">
        <is>
          <t>recarga Prezão R$15 — validade 12 dias</t>
        </is>
      </c>
      <c r="K3562" s="2" t="inlineStr"/>
      <c r="L3562" s="4" t="n">
        <v>4</v>
      </c>
      <c r="M3562" s="2" t="inlineStr"/>
      <c r="N3562" s="2" t="n">
        <v>12</v>
      </c>
      <c r="O3562" s="2" t="inlineStr"/>
      <c r="P3562" s="2" t="inlineStr"/>
      <c r="Q3562" s="2" t="inlineStr"/>
      <c r="R3562" s="2" t="inlineStr"/>
      <c r="S3562" s="2" t="inlineStr"/>
      <c r="T3562" s="2" t="inlineStr"/>
      <c r="U3562" s="2" t="inlineStr">
        <is>
          <t>https://www.claro.com.br/celular/planos-pre/prezao</t>
        </is>
      </c>
      <c r="V3562" s="2" t="inlineStr">
        <is>
          <t>data/raw/claro_prepaid_SP.json</t>
        </is>
      </c>
    </row>
    <row r="3563">
      <c r="A3563" s="5" t="inlineStr">
        <is>
          <t>2026-08-25</t>
        </is>
      </c>
      <c r="B3563" s="5" t="inlineStr">
        <is>
          <t>2026-08-25T18:23:38</t>
        </is>
      </c>
      <c r="C3563" s="5" t="inlineStr">
        <is>
          <t>claro</t>
        </is>
      </c>
      <c r="D3563" s="5" t="inlineStr">
        <is>
          <t>prepaid</t>
        </is>
      </c>
      <c r="E3563" s="5" t="inlineStr">
        <is>
          <t>SP</t>
        </is>
      </c>
      <c r="F3563" s="5" t="inlineStr">
        <is>
          <t>Prezão 5GB (15 dias)</t>
        </is>
      </c>
      <c r="G3563" s="5" t="inlineStr">
        <is>
          <t>claro:prezao-15d-5gb</t>
        </is>
      </c>
      <c r="H3563" s="6" t="n">
        <v>15</v>
      </c>
      <c r="I3563" s="6" t="inlineStr"/>
      <c r="J3563" s="5" t="inlineStr">
        <is>
          <t>recarga Prezão R$15 — validade 15 dias</t>
        </is>
      </c>
      <c r="K3563" s="5" t="inlineStr"/>
      <c r="L3563" s="7" t="n">
        <v>5</v>
      </c>
      <c r="M3563" s="5" t="inlineStr"/>
      <c r="N3563" s="5" t="n">
        <v>15</v>
      </c>
      <c r="O3563" s="5" t="inlineStr"/>
      <c r="P3563" s="5" t="inlineStr"/>
      <c r="Q3563" s="5" t="inlineStr"/>
      <c r="R3563" s="5" t="inlineStr"/>
      <c r="S3563" s="5" t="inlineStr"/>
      <c r="T3563" s="5" t="inlineStr"/>
      <c r="U3563" s="5" t="inlineStr">
        <is>
          <t>https://www.claro.com.br/celular/planos-pre/prezao</t>
        </is>
      </c>
      <c r="V3563" s="5" t="inlineStr">
        <is>
          <t>data/raw/claro_prepaid_SP.json</t>
        </is>
      </c>
    </row>
    <row r="3564">
      <c r="A3564" s="2" t="inlineStr">
        <is>
          <t>2026-08-25</t>
        </is>
      </c>
      <c r="B3564" s="2" t="inlineStr">
        <is>
          <t>2026-08-25T18:23:38</t>
        </is>
      </c>
      <c r="C3564" s="2" t="inlineStr">
        <is>
          <t>claro</t>
        </is>
      </c>
      <c r="D3564" s="2" t="inlineStr">
        <is>
          <t>prepaid</t>
        </is>
      </c>
      <c r="E3564" s="2" t="inlineStr">
        <is>
          <t>SP</t>
        </is>
      </c>
      <c r="F3564" s="2" t="inlineStr">
        <is>
          <t>Prezão 6GB (20 dias)</t>
        </is>
      </c>
      <c r="G3564" s="2" t="inlineStr">
        <is>
          <t>claro:prezao-20d-6gb</t>
        </is>
      </c>
      <c r="H3564" s="3" t="n">
        <v>20</v>
      </c>
      <c r="I3564" s="3" t="inlineStr"/>
      <c r="J3564" s="2" t="inlineStr">
        <is>
          <t>recarga Prezão R$20 — validade 20 dias</t>
        </is>
      </c>
      <c r="K3564" s="2" t="inlineStr"/>
      <c r="L3564" s="4" t="n">
        <v>6</v>
      </c>
      <c r="M3564" s="2" t="inlineStr"/>
      <c r="N3564" s="2" t="n">
        <v>20</v>
      </c>
      <c r="O3564" s="2" t="inlineStr"/>
      <c r="P3564" s="2" t="inlineStr"/>
      <c r="Q3564" s="2" t="inlineStr"/>
      <c r="R3564" s="2" t="inlineStr"/>
      <c r="S3564" s="2" t="inlineStr"/>
      <c r="T3564" s="2" t="inlineStr"/>
      <c r="U3564" s="2" t="inlineStr">
        <is>
          <t>https://www.claro.com.br/celular/planos-pre/prezao</t>
        </is>
      </c>
      <c r="V3564" s="2" t="inlineStr">
        <is>
          <t>data/raw/claro_prepaid_SP.json</t>
        </is>
      </c>
    </row>
    <row r="3565">
      <c r="A3565" s="5" t="inlineStr">
        <is>
          <t>2026-08-25</t>
        </is>
      </c>
      <c r="B3565" s="5" t="inlineStr">
        <is>
          <t>2026-08-25T18:23:38</t>
        </is>
      </c>
      <c r="C3565" s="5" t="inlineStr">
        <is>
          <t>claro</t>
        </is>
      </c>
      <c r="D3565" s="5" t="inlineStr">
        <is>
          <t>prepaid</t>
        </is>
      </c>
      <c r="E3565" s="5" t="inlineStr">
        <is>
          <t>SP</t>
        </is>
      </c>
      <c r="F3565" s="5" t="inlineStr">
        <is>
          <t>Prezão 8GB (20 dias)</t>
        </is>
      </c>
      <c r="G3565" s="5" t="inlineStr">
        <is>
          <t>claro:prezao-20d-8gb</t>
        </is>
      </c>
      <c r="H3565" s="6" t="n">
        <v>20</v>
      </c>
      <c r="I3565" s="6" t="inlineStr"/>
      <c r="J3565" s="5" t="inlineStr">
        <is>
          <t>recarga Prezão R$20 — validade 20 dias</t>
        </is>
      </c>
      <c r="K3565" s="5" t="inlineStr"/>
      <c r="L3565" s="7" t="n">
        <v>8</v>
      </c>
      <c r="M3565" s="5" t="inlineStr"/>
      <c r="N3565" s="5" t="n">
        <v>20</v>
      </c>
      <c r="O3565" s="5" t="inlineStr"/>
      <c r="P3565" s="5" t="inlineStr"/>
      <c r="Q3565" s="5" t="inlineStr"/>
      <c r="R3565" s="5" t="inlineStr"/>
      <c r="S3565" s="5" t="inlineStr"/>
      <c r="T3565" s="5" t="inlineStr"/>
      <c r="U3565" s="5" t="inlineStr">
        <is>
          <t>https://www.claro.com.br/celular/planos-pre/prezao</t>
        </is>
      </c>
      <c r="V3565" s="5" t="inlineStr">
        <is>
          <t>data/raw/claro_prepaid_SP.json</t>
        </is>
      </c>
    </row>
    <row r="3566">
      <c r="A3566" s="2" t="inlineStr">
        <is>
          <t>2026-08-25</t>
        </is>
      </c>
      <c r="B3566" s="2" t="inlineStr">
        <is>
          <t>2026-08-25T18:23:38</t>
        </is>
      </c>
      <c r="C3566" s="2" t="inlineStr">
        <is>
          <t>claro</t>
        </is>
      </c>
      <c r="D3566" s="2" t="inlineStr">
        <is>
          <t>prepaid</t>
        </is>
      </c>
      <c r="E3566" s="2" t="inlineStr">
        <is>
          <t>SP</t>
        </is>
      </c>
      <c r="F3566" s="2" t="inlineStr">
        <is>
          <t>Prezão 9GB (25 dias)</t>
        </is>
      </c>
      <c r="G3566" s="2" t="inlineStr">
        <is>
          <t>claro:prezao-25d-9gb</t>
        </is>
      </c>
      <c r="H3566" s="3" t="n">
        <v>25</v>
      </c>
      <c r="I3566" s="3" t="inlineStr"/>
      <c r="J3566" s="2" t="inlineStr">
        <is>
          <t>recarga Prezão R$25 — validade 25 dias</t>
        </is>
      </c>
      <c r="K3566" s="2" t="inlineStr"/>
      <c r="L3566" s="4" t="n">
        <v>9</v>
      </c>
      <c r="M3566" s="2" t="inlineStr"/>
      <c r="N3566" s="2" t="n">
        <v>25</v>
      </c>
      <c r="O3566" s="2" t="inlineStr"/>
      <c r="P3566" s="2" t="inlineStr"/>
      <c r="Q3566" s="2" t="inlineStr"/>
      <c r="R3566" s="2" t="inlineStr"/>
      <c r="S3566" s="2" t="inlineStr"/>
      <c r="T3566" s="2" t="inlineStr"/>
      <c r="U3566" s="2" t="inlineStr">
        <is>
          <t>https://www.claro.com.br/celular/planos-pre/prezao</t>
        </is>
      </c>
      <c r="V3566" s="2" t="inlineStr">
        <is>
          <t>data/raw/claro_prepaid_SP.json</t>
        </is>
      </c>
    </row>
    <row r="3567">
      <c r="A3567" s="5" t="inlineStr">
        <is>
          <t>2026-08-25</t>
        </is>
      </c>
      <c r="B3567" s="5" t="inlineStr">
        <is>
          <t>2026-08-25T18:23:38</t>
        </is>
      </c>
      <c r="C3567" s="5" t="inlineStr">
        <is>
          <t>tim</t>
        </is>
      </c>
      <c r="D3567" s="5" t="inlineStr">
        <is>
          <t>control</t>
        </is>
      </c>
      <c r="E3567" s="5" t="inlineStr">
        <is>
          <t>SP</t>
        </is>
      </c>
      <c r="F3567" s="5" t="inlineStr">
        <is>
          <t>TIM Controle 45GB</t>
        </is>
      </c>
      <c r="G3567" s="5" t="inlineStr">
        <is>
          <t>tim:181976</t>
        </is>
      </c>
      <c r="H3567" s="6" t="n">
        <v>58.99</v>
      </c>
      <c r="I3567" s="6" t="inlineStr"/>
      <c r="J3567" s="5" t="inlineStr"/>
      <c r="K3567" s="5" t="inlineStr"/>
      <c r="L3567" s="7" t="n">
        <v>45</v>
      </c>
      <c r="M3567" s="5" t="inlineStr"/>
      <c r="N3567" s="5" t="inlineStr"/>
      <c r="O3567" s="5" t="inlineStr"/>
      <c r="P3567" s="5" t="inlineStr"/>
      <c r="Q3567" s="5" t="inlineStr"/>
      <c r="R3567" s="5" t="inlineStr"/>
      <c r="S3567" s="5" t="inlineStr"/>
      <c r="T3567" s="5" t="inlineStr"/>
      <c r="U3567" s="5" t="inlineStr">
        <is>
          <t>https://www.tim.com.br/sp/para-voce/planos/controle</t>
        </is>
      </c>
      <c r="V3567" s="5" t="inlineStr">
        <is>
          <t>data/raw/tim_control_SP.html</t>
        </is>
      </c>
    </row>
    <row r="3568">
      <c r="A3568" s="2" t="inlineStr">
        <is>
          <t>2026-08-25</t>
        </is>
      </c>
      <c r="B3568" s="2" t="inlineStr">
        <is>
          <t>2026-08-25T18:23:38</t>
        </is>
      </c>
      <c r="C3568" s="2" t="inlineStr">
        <is>
          <t>tim</t>
        </is>
      </c>
      <c r="D3568" s="2" t="inlineStr">
        <is>
          <t>control</t>
        </is>
      </c>
      <c r="E3568" s="2" t="inlineStr">
        <is>
          <t>SP</t>
        </is>
      </c>
      <c r="F3568" s="2" t="inlineStr">
        <is>
          <t>TIM Controle Light Express 45GB</t>
        </is>
      </c>
      <c r="G3568" s="2" t="inlineStr">
        <is>
          <t>tim:167726</t>
        </is>
      </c>
      <c r="H3568" s="3" t="n">
        <v>60.99</v>
      </c>
      <c r="I3568" s="3" t="inlineStr"/>
      <c r="J3568" s="2" t="inlineStr"/>
      <c r="K3568" s="2" t="inlineStr"/>
      <c r="L3568" s="4" t="n">
        <v>45</v>
      </c>
      <c r="M3568" s="2" t="inlineStr"/>
      <c r="N3568" s="2" t="inlineStr"/>
      <c r="O3568" s="2" t="inlineStr"/>
      <c r="P3568" s="2" t="inlineStr"/>
      <c r="Q3568" s="2" t="inlineStr"/>
      <c r="R3568" s="2" t="inlineStr"/>
      <c r="S3568" s="2" t="inlineStr"/>
      <c r="T3568" s="2" t="inlineStr"/>
      <c r="U3568" s="2" t="inlineStr">
        <is>
          <t>https://www.tim.com.br/sp/para-voce/planos/controle</t>
        </is>
      </c>
      <c r="V3568" s="2" t="inlineStr">
        <is>
          <t>data/raw/tim_control_SP.html</t>
        </is>
      </c>
    </row>
    <row r="3569">
      <c r="A3569" s="5" t="inlineStr">
        <is>
          <t>2026-08-25</t>
        </is>
      </c>
      <c r="B3569" s="5" t="inlineStr">
        <is>
          <t>2026-08-25T18:23:38</t>
        </is>
      </c>
      <c r="C3569" s="5" t="inlineStr">
        <is>
          <t>tim</t>
        </is>
      </c>
      <c r="D3569" s="5" t="inlineStr">
        <is>
          <t>control</t>
        </is>
      </c>
      <c r="E3569" s="5" t="inlineStr">
        <is>
          <t>SP</t>
        </is>
      </c>
      <c r="F3569" s="5" t="inlineStr">
        <is>
          <t>TIM Controle Premium 55GB</t>
        </is>
      </c>
      <c r="G3569" s="5" t="inlineStr">
        <is>
          <t>tim:167041</t>
        </is>
      </c>
      <c r="H3569" s="6" t="n">
        <v>84.98999999999999</v>
      </c>
      <c r="I3569" s="6" t="inlineStr"/>
      <c r="J3569" s="5" t="inlineStr"/>
      <c r="K3569" s="5" t="inlineStr"/>
      <c r="L3569" s="7" t="n">
        <v>55</v>
      </c>
      <c r="M3569" s="5" t="inlineStr"/>
      <c r="N3569" s="5" t="inlineStr"/>
      <c r="O3569" s="5" t="inlineStr"/>
      <c r="P3569" s="5" t="inlineStr"/>
      <c r="Q3569" s="5" t="inlineStr"/>
      <c r="R3569" s="5" t="inlineStr"/>
      <c r="S3569" s="5" t="inlineStr"/>
      <c r="T3569" s="5" t="inlineStr"/>
      <c r="U3569" s="5" t="inlineStr">
        <is>
          <t>https://www.tim.com.br/sp/para-voce/planos/controle</t>
        </is>
      </c>
      <c r="V3569" s="5" t="inlineStr">
        <is>
          <t>data/raw/tim_control_SP.html</t>
        </is>
      </c>
    </row>
    <row r="3570">
      <c r="A3570" s="2" t="inlineStr">
        <is>
          <t>2026-08-25</t>
        </is>
      </c>
      <c r="B3570" s="2" t="inlineStr">
        <is>
          <t>2026-08-25T18:23:38</t>
        </is>
      </c>
      <c r="C3570" s="2" t="inlineStr">
        <is>
          <t>tim</t>
        </is>
      </c>
      <c r="D3570" s="2" t="inlineStr">
        <is>
          <t>control</t>
        </is>
      </c>
      <c r="E3570" s="2" t="inlineStr">
        <is>
          <t>SP</t>
        </is>
      </c>
      <c r="F3570" s="2" t="inlineStr">
        <is>
          <t>TIM Controle Pro Express 46GB</t>
        </is>
      </c>
      <c r="G3570" s="2" t="inlineStr">
        <is>
          <t>tim:167731</t>
        </is>
      </c>
      <c r="H3570" s="3" t="n">
        <v>64.98999999999999</v>
      </c>
      <c r="I3570" s="3" t="inlineStr"/>
      <c r="J3570" s="2" t="inlineStr"/>
      <c r="K3570" s="2" t="inlineStr"/>
      <c r="L3570" s="4" t="n">
        <v>46</v>
      </c>
      <c r="M3570" s="2" t="inlineStr"/>
      <c r="N3570" s="2" t="inlineStr"/>
      <c r="O3570" s="2" t="inlineStr"/>
      <c r="P3570" s="2" t="inlineStr"/>
      <c r="Q3570" s="2" t="inlineStr"/>
      <c r="R3570" s="2" t="inlineStr"/>
      <c r="S3570" s="2" t="inlineStr"/>
      <c r="T3570" s="2" t="inlineStr"/>
      <c r="U3570" s="2" t="inlineStr">
        <is>
          <t>https://www.tim.com.br/sp/para-voce/planos/controle</t>
        </is>
      </c>
      <c r="V3570" s="2" t="inlineStr">
        <is>
          <t>data/raw/tim_control_SP.html</t>
        </is>
      </c>
    </row>
    <row r="3571">
      <c r="A3571" s="5" t="inlineStr">
        <is>
          <t>2026-08-25</t>
        </is>
      </c>
      <c r="B3571" s="5" t="inlineStr">
        <is>
          <t>2026-08-25T18:23:38</t>
        </is>
      </c>
      <c r="C3571" s="5" t="inlineStr">
        <is>
          <t>tim</t>
        </is>
      </c>
      <c r="D3571" s="5" t="inlineStr">
        <is>
          <t>control</t>
        </is>
      </c>
      <c r="E3571" s="5" t="inlineStr">
        <is>
          <t>SP</t>
        </is>
      </c>
      <c r="F3571" s="5" t="inlineStr">
        <is>
          <t>TIM Controle Redes Sociais 46GB</t>
        </is>
      </c>
      <c r="G3571" s="5" t="inlineStr">
        <is>
          <t>tim:180746</t>
        </is>
      </c>
      <c r="H3571" s="6" t="n">
        <v>64.98999999999999</v>
      </c>
      <c r="I3571" s="6" t="inlineStr"/>
      <c r="J3571" s="5" t="inlineStr"/>
      <c r="K3571" s="5" t="inlineStr"/>
      <c r="L3571" s="7" t="n">
        <v>46</v>
      </c>
      <c r="M3571" s="5" t="inlineStr"/>
      <c r="N3571" s="5" t="inlineStr"/>
      <c r="O3571" s="5" t="inlineStr"/>
      <c r="P3571" s="5" t="inlineStr"/>
      <c r="Q3571" s="5" t="inlineStr"/>
      <c r="R3571" s="5" t="inlineStr"/>
      <c r="S3571" s="5" t="inlineStr"/>
      <c r="T3571" s="5" t="inlineStr"/>
      <c r="U3571" s="5" t="inlineStr">
        <is>
          <t>https://www.tim.com.br/sp/para-voce/planos/controle</t>
        </is>
      </c>
      <c r="V3571" s="5" t="inlineStr">
        <is>
          <t>data/raw/tim_control_SP.html</t>
        </is>
      </c>
    </row>
    <row r="3572">
      <c r="A3572" s="2" t="inlineStr">
        <is>
          <t>2026-08-25</t>
        </is>
      </c>
      <c r="B3572" s="2" t="inlineStr">
        <is>
          <t>2026-08-25T18:23:38</t>
        </is>
      </c>
      <c r="C3572" s="2" t="inlineStr">
        <is>
          <t>tim</t>
        </is>
      </c>
      <c r="D3572" s="2" t="inlineStr">
        <is>
          <t>fit</t>
        </is>
      </c>
      <c r="E3572" s="2" t="inlineStr">
        <is>
          <t>SP</t>
        </is>
      </c>
      <c r="F3572" s="2" t="inlineStr">
        <is>
          <t>TIM Controle Fit Anual 1.0</t>
        </is>
      </c>
      <c r="G3572" s="2" t="inlineStr">
        <is>
          <t>tim:TIM202600000306</t>
        </is>
      </c>
      <c r="H3572" s="3" t="n">
        <v>20</v>
      </c>
      <c r="I3572" s="3" t="inlineStr"/>
      <c r="J3572" s="2" t="inlineStr">
        <is>
          <t>plano anual 12x no cartão de crédito; a etiqueta TIM informa 'sem prazo de permanência'</t>
        </is>
      </c>
      <c r="K3572" s="2" t="inlineStr">
        <is>
          <t>credit_card</t>
        </is>
      </c>
      <c r="L3572" s="4" t="n">
        <v>25</v>
      </c>
      <c r="M3572" s="2" t="inlineStr"/>
      <c r="N3572" s="2" t="inlineStr"/>
      <c r="O3572" s="2" t="inlineStr"/>
      <c r="P3572" s="2" t="inlineStr"/>
      <c r="Q3572" s="2" t="inlineStr"/>
      <c r="R3572" s="2" t="inlineStr"/>
      <c r="S3572" s="2" t="n">
        <v>12</v>
      </c>
      <c r="T3572" s="2" t="inlineStr"/>
      <c r="U3572" s="2" t="inlineStr">
        <is>
          <t>https://www.tim.com.br/sp/para-voce/planos/controle</t>
        </is>
      </c>
      <c r="V3572" s="2" t="inlineStr">
        <is>
          <t>data/raw/tim_fit_SP.html</t>
        </is>
      </c>
    </row>
    <row r="3573">
      <c r="A3573" s="5" t="inlineStr">
        <is>
          <t>2026-08-25</t>
        </is>
      </c>
      <c r="B3573" s="5" t="inlineStr">
        <is>
          <t>2026-08-25T18:23:38</t>
        </is>
      </c>
      <c r="C3573" s="5" t="inlineStr">
        <is>
          <t>tim</t>
        </is>
      </c>
      <c r="D3573" s="5" t="inlineStr">
        <is>
          <t>fit</t>
        </is>
      </c>
      <c r="E3573" s="5" t="inlineStr">
        <is>
          <t>SP</t>
        </is>
      </c>
      <c r="F3573" s="5" t="inlineStr">
        <is>
          <t>TIM Controle Fit Anual 2.0</t>
        </is>
      </c>
      <c r="G3573" s="5" t="inlineStr">
        <is>
          <t>tim:TIM202600000271</t>
        </is>
      </c>
      <c r="H3573" s="6" t="n">
        <v>30</v>
      </c>
      <c r="I3573" s="6" t="inlineStr"/>
      <c r="J3573" s="5" t="inlineStr">
        <is>
          <t>plano anual 12x no cartão de crédito; a etiqueta TIM informa 'sem prazo de permanência'</t>
        </is>
      </c>
      <c r="K3573" s="5" t="inlineStr">
        <is>
          <t>credit_card</t>
        </is>
      </c>
      <c r="L3573" s="7" t="n">
        <v>35</v>
      </c>
      <c r="M3573" s="5" t="inlineStr"/>
      <c r="N3573" s="5" t="inlineStr"/>
      <c r="O3573" s="5" t="inlineStr"/>
      <c r="P3573" s="5" t="inlineStr"/>
      <c r="Q3573" s="5" t="inlineStr"/>
      <c r="R3573" s="5" t="inlineStr"/>
      <c r="S3573" s="5" t="n">
        <v>12</v>
      </c>
      <c r="T3573" s="5" t="inlineStr"/>
      <c r="U3573" s="5" t="inlineStr">
        <is>
          <t>https://www.tim.com.br/sp/para-voce/planos/controle</t>
        </is>
      </c>
      <c r="V3573" s="5" t="inlineStr">
        <is>
          <t>data/raw/tim_fit_SP.html</t>
        </is>
      </c>
    </row>
    <row r="3574">
      <c r="A3574" s="2" t="inlineStr">
        <is>
          <t>2026-08-25</t>
        </is>
      </c>
      <c r="B3574" s="2" t="inlineStr">
        <is>
          <t>2026-08-25T18:23:38</t>
        </is>
      </c>
      <c r="C3574" s="2" t="inlineStr">
        <is>
          <t>tim</t>
        </is>
      </c>
      <c r="D3574" s="2" t="inlineStr">
        <is>
          <t>fit</t>
        </is>
      </c>
      <c r="E3574" s="2" t="inlineStr">
        <is>
          <t>SP</t>
        </is>
      </c>
      <c r="F3574" s="2" t="inlineStr">
        <is>
          <t>TIM Controle Fit Mensal 1.0</t>
        </is>
      </c>
      <c r="G3574" s="2" t="inlineStr">
        <is>
          <t>tim:TIM202600000270</t>
        </is>
      </c>
      <c r="H3574" s="3" t="n">
        <v>20</v>
      </c>
      <c r="I3574" s="3" t="inlineStr"/>
      <c r="J357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74" s="2" t="inlineStr"/>
      <c r="L3574" s="4" t="n">
        <v>20</v>
      </c>
      <c r="M3574" s="2" t="inlineStr"/>
      <c r="N3574" s="2" t="inlineStr"/>
      <c r="O3574" s="2" t="inlineStr"/>
      <c r="P3574" s="2" t="inlineStr"/>
      <c r="Q3574" s="2" t="inlineStr"/>
      <c r="R3574" s="2" t="inlineStr"/>
      <c r="S3574" s="2" t="inlineStr"/>
      <c r="T3574" s="2" t="inlineStr"/>
      <c r="U3574" s="2" t="inlineStr">
        <is>
          <t>https://www.tim.com.br/sp/para-voce/planos/controle</t>
        </is>
      </c>
      <c r="V3574" s="2" t="inlineStr">
        <is>
          <t>data/raw/tim_fit_SP.html</t>
        </is>
      </c>
    </row>
    <row r="3575">
      <c r="A3575" s="5" t="inlineStr">
        <is>
          <t>2026-08-25</t>
        </is>
      </c>
      <c r="B3575" s="5" t="inlineStr">
        <is>
          <t>2026-08-25T18:23:38</t>
        </is>
      </c>
      <c r="C3575" s="5" t="inlineStr">
        <is>
          <t>tim</t>
        </is>
      </c>
      <c r="D3575" s="5" t="inlineStr">
        <is>
          <t>fit</t>
        </is>
      </c>
      <c r="E3575" s="5" t="inlineStr">
        <is>
          <t>SP</t>
        </is>
      </c>
      <c r="F3575" s="5" t="inlineStr">
        <is>
          <t>TIM Controle Fit Mensal 2.0</t>
        </is>
      </c>
      <c r="G3575" s="5" t="inlineStr">
        <is>
          <t>tim:TIM202600000305</t>
        </is>
      </c>
      <c r="H3575" s="6" t="n">
        <v>45</v>
      </c>
      <c r="I3575" s="6" t="inlineStr"/>
      <c r="J3575" s="5" t="inlineStr">
        <is>
          <t>plano mensal, sem prazo de permanência; a etiqueta TIM informa 'sem prazo de permanência'</t>
        </is>
      </c>
      <c r="K3575" s="5" t="inlineStr"/>
      <c r="L3575" s="7" t="n">
        <v>35</v>
      </c>
      <c r="M3575" s="5" t="inlineStr"/>
      <c r="N3575" s="5" t="inlineStr"/>
      <c r="O3575" s="5" t="inlineStr"/>
      <c r="P3575" s="5" t="inlineStr"/>
      <c r="Q3575" s="5" t="inlineStr"/>
      <c r="R3575" s="5" t="inlineStr"/>
      <c r="S3575" s="5" t="inlineStr"/>
      <c r="T3575" s="5" t="inlineStr"/>
      <c r="U3575" s="5" t="inlineStr">
        <is>
          <t>https://www.tim.com.br/sp/para-voce/planos/controle</t>
        </is>
      </c>
      <c r="V3575" s="5" t="inlineStr">
        <is>
          <t>data/raw/tim_fit_SP.html</t>
        </is>
      </c>
    </row>
    <row r="3576">
      <c r="A3576" s="2" t="inlineStr">
        <is>
          <t>2026-08-25</t>
        </is>
      </c>
      <c r="B3576" s="2" t="inlineStr">
        <is>
          <t>2026-08-25T18:23:38</t>
        </is>
      </c>
      <c r="C3576" s="2" t="inlineStr">
        <is>
          <t>tim</t>
        </is>
      </c>
      <c r="D3576" s="2" t="inlineStr">
        <is>
          <t>postpaid</t>
        </is>
      </c>
      <c r="E3576" s="2" t="inlineStr">
        <is>
          <t>SP</t>
        </is>
      </c>
      <c r="F3576" s="2" t="inlineStr">
        <is>
          <t>TIM Black 70GB</t>
        </is>
      </c>
      <c r="G3576" s="2" t="inlineStr">
        <is>
          <t>tim:54206</t>
        </is>
      </c>
      <c r="H3576" s="3" t="n">
        <v>129.99</v>
      </c>
      <c r="I3576" s="3" t="inlineStr"/>
      <c r="J3576" s="2" t="inlineStr"/>
      <c r="K3576" s="2" t="inlineStr">
        <is>
          <t>bill</t>
        </is>
      </c>
      <c r="L3576" s="4" t="n">
        <v>70</v>
      </c>
      <c r="M3576" s="2" t="inlineStr"/>
      <c r="N3576" s="2" t="inlineStr"/>
      <c r="O3576" s="2" t="inlineStr"/>
      <c r="P3576" s="2" t="inlineStr"/>
      <c r="Q3576" s="2" t="inlineStr"/>
      <c r="R3576" s="2" t="inlineStr"/>
      <c r="S3576" s="2" t="inlineStr"/>
      <c r="T3576" s="2" t="inlineStr"/>
      <c r="U3576" s="2" t="inlineStr">
        <is>
          <t>https://www.tim.com.br/sp/para-voce/planos/pos-pago/tim-black</t>
        </is>
      </c>
      <c r="V3576" s="2" t="inlineStr">
        <is>
          <t>data/raw/tim_postpaid_SP.html</t>
        </is>
      </c>
    </row>
    <row r="3577">
      <c r="A3577" s="5" t="inlineStr">
        <is>
          <t>2026-08-25</t>
        </is>
      </c>
      <c r="B3577" s="5" t="inlineStr">
        <is>
          <t>2026-08-25T18:23:38</t>
        </is>
      </c>
      <c r="C3577" s="5" t="inlineStr">
        <is>
          <t>tim</t>
        </is>
      </c>
      <c r="D3577" s="5" t="inlineStr">
        <is>
          <t>postpaid</t>
        </is>
      </c>
      <c r="E3577" s="5" t="inlineStr">
        <is>
          <t>SP</t>
        </is>
      </c>
      <c r="F3577" s="5" t="inlineStr">
        <is>
          <t>TIM Black A Express 67GB</t>
        </is>
      </c>
      <c r="G3577" s="5" t="inlineStr">
        <is>
          <t>tim:55121</t>
        </is>
      </c>
      <c r="H3577" s="6" t="n">
        <v>119.99</v>
      </c>
      <c r="I3577" s="6" t="inlineStr"/>
      <c r="J3577" s="5" t="inlineStr"/>
      <c r="K3577" s="5" t="inlineStr">
        <is>
          <t>credit_card</t>
        </is>
      </c>
      <c r="L3577" s="7" t="n">
        <v>67</v>
      </c>
      <c r="M3577" s="5" t="inlineStr"/>
      <c r="N3577" s="5" t="inlineStr"/>
      <c r="O3577" s="5" t="inlineStr"/>
      <c r="P3577" s="5" t="inlineStr"/>
      <c r="Q3577" s="5" t="inlineStr"/>
      <c r="R3577" s="5" t="inlineStr"/>
      <c r="S3577" s="5" t="inlineStr"/>
      <c r="T3577" s="5" t="inlineStr"/>
      <c r="U3577" s="5" t="inlineStr">
        <is>
          <t>https://www.tim.com.br/sp/para-voce/planos/pos-pago/tim-black</t>
        </is>
      </c>
      <c r="V3577" s="5" t="inlineStr">
        <is>
          <t>data/raw/tim_postpaid_SP.html</t>
        </is>
      </c>
    </row>
    <row r="3578">
      <c r="A3578" s="2" t="inlineStr">
        <is>
          <t>2026-08-25</t>
        </is>
      </c>
      <c r="B3578" s="2" t="inlineStr">
        <is>
          <t>2026-08-25T18:23:38</t>
        </is>
      </c>
      <c r="C3578" s="2" t="inlineStr">
        <is>
          <t>tim</t>
        </is>
      </c>
      <c r="D3578" s="2" t="inlineStr">
        <is>
          <t>postpaid</t>
        </is>
      </c>
      <c r="E3578" s="2" t="inlineStr">
        <is>
          <t>SP</t>
        </is>
      </c>
      <c r="F3578" s="2" t="inlineStr">
        <is>
          <t>TIM Black B Express 82GB</t>
        </is>
      </c>
      <c r="G3578" s="2" t="inlineStr">
        <is>
          <t>tim:52146</t>
        </is>
      </c>
      <c r="H3578" s="3" t="n">
        <v>144.99</v>
      </c>
      <c r="I3578" s="3" t="inlineStr"/>
      <c r="J3578" s="2" t="inlineStr"/>
      <c r="K3578" s="2" t="inlineStr">
        <is>
          <t>credit_card</t>
        </is>
      </c>
      <c r="L3578" s="4" t="n">
        <v>82</v>
      </c>
      <c r="M3578" s="2" t="inlineStr"/>
      <c r="N3578" s="2" t="inlineStr"/>
      <c r="O3578" s="2" t="inlineStr"/>
      <c r="P3578" s="2" t="inlineStr"/>
      <c r="Q3578" s="2" t="inlineStr"/>
      <c r="R3578" s="2" t="inlineStr"/>
      <c r="S3578" s="2" t="inlineStr"/>
      <c r="T3578" s="2" t="inlineStr"/>
      <c r="U3578" s="2" t="inlineStr">
        <is>
          <t>https://www.tim.com.br/sp/para-voce/planos/pos-pago/tim-black</t>
        </is>
      </c>
      <c r="V3578" s="2" t="inlineStr">
        <is>
          <t>data/raw/tim_postpaid_SP.html</t>
        </is>
      </c>
    </row>
    <row r="3579">
      <c r="A3579" s="5" t="inlineStr">
        <is>
          <t>2026-08-25</t>
        </is>
      </c>
      <c r="B3579" s="5" t="inlineStr">
        <is>
          <t>2026-08-25T18:23:38</t>
        </is>
      </c>
      <c r="C3579" s="5" t="inlineStr">
        <is>
          <t>tim</t>
        </is>
      </c>
      <c r="D3579" s="5" t="inlineStr">
        <is>
          <t>postpaid</t>
        </is>
      </c>
      <c r="E3579" s="5" t="inlineStr">
        <is>
          <t>SP</t>
        </is>
      </c>
      <c r="F3579" s="5" t="inlineStr">
        <is>
          <t>TIM Black C Express 107GB</t>
        </is>
      </c>
      <c r="G3579" s="5" t="inlineStr">
        <is>
          <t>tim:52151</t>
        </is>
      </c>
      <c r="H3579" s="6" t="n">
        <v>164.99</v>
      </c>
      <c r="I3579" s="6" t="inlineStr"/>
      <c r="J3579" s="5" t="inlineStr"/>
      <c r="K3579" s="5" t="inlineStr">
        <is>
          <t>credit_card</t>
        </is>
      </c>
      <c r="L3579" s="7" t="n">
        <v>107</v>
      </c>
      <c r="M3579" s="5" t="inlineStr"/>
      <c r="N3579" s="5" t="inlineStr"/>
      <c r="O3579" s="5" t="inlineStr"/>
      <c r="P3579" s="5" t="inlineStr"/>
      <c r="Q3579" s="5" t="inlineStr"/>
      <c r="R3579" s="5" t="inlineStr"/>
      <c r="S3579" s="5" t="inlineStr"/>
      <c r="T3579" s="5" t="inlineStr"/>
      <c r="U3579" s="5" t="inlineStr">
        <is>
          <t>https://www.tim.com.br/sp/para-voce/planos/pos-pago/tim-black</t>
        </is>
      </c>
      <c r="V3579" s="5" t="inlineStr">
        <is>
          <t>data/raw/tim_postpaid_SP.html</t>
        </is>
      </c>
    </row>
    <row r="3580">
      <c r="A3580" s="2" t="inlineStr">
        <is>
          <t>2026-08-25</t>
        </is>
      </c>
      <c r="B3580" s="2" t="inlineStr">
        <is>
          <t>2026-08-25T18:23:38</t>
        </is>
      </c>
      <c r="C3580" s="2" t="inlineStr">
        <is>
          <t>tim</t>
        </is>
      </c>
      <c r="D3580" s="2" t="inlineStr">
        <is>
          <t>postpaid</t>
        </is>
      </c>
      <c r="E3580" s="2" t="inlineStr">
        <is>
          <t>SP</t>
        </is>
      </c>
      <c r="F3580" s="2" t="inlineStr">
        <is>
          <t>TIM Black C Ultra 95GB</t>
        </is>
      </c>
      <c r="G3580" s="2" t="inlineStr">
        <is>
          <t>tim:100581</t>
        </is>
      </c>
      <c r="H3580" s="3" t="n">
        <v>159.99</v>
      </c>
      <c r="I3580" s="3" t="inlineStr"/>
      <c r="J3580" s="2" t="inlineStr"/>
      <c r="K3580" s="2" t="inlineStr">
        <is>
          <t>bill</t>
        </is>
      </c>
      <c r="L3580" s="4" t="n">
        <v>95</v>
      </c>
      <c r="M3580" s="2" t="inlineStr"/>
      <c r="N3580" s="2" t="inlineStr"/>
      <c r="O3580" s="2" t="inlineStr"/>
      <c r="P3580" s="2" t="inlineStr"/>
      <c r="Q3580" s="2" t="inlineStr"/>
      <c r="R3580" s="2" t="inlineStr"/>
      <c r="S3580" s="2" t="inlineStr"/>
      <c r="T3580" s="2" t="inlineStr"/>
      <c r="U3580" s="2" t="inlineStr">
        <is>
          <t>https://www.tim.com.br/sp/para-voce/planos/pos-pago/tim-black</t>
        </is>
      </c>
      <c r="V3580" s="2" t="inlineStr">
        <is>
          <t>data/raw/tim_postpaid_SP.html</t>
        </is>
      </c>
    </row>
    <row r="3581">
      <c r="A3581" s="5" t="inlineStr">
        <is>
          <t>2026-08-25</t>
        </is>
      </c>
      <c r="B3581" s="5" t="inlineStr">
        <is>
          <t>2026-08-25T18:23:38</t>
        </is>
      </c>
      <c r="C3581" s="5" t="inlineStr">
        <is>
          <t>tim</t>
        </is>
      </c>
      <c r="D3581" s="5" t="inlineStr">
        <is>
          <t>postpaid</t>
        </is>
      </c>
      <c r="E3581" s="5" t="inlineStr">
        <is>
          <t>SP</t>
        </is>
      </c>
      <c r="F3581" s="5" t="inlineStr">
        <is>
          <t>TIM Black Plus 80GB</t>
        </is>
      </c>
      <c r="G3581" s="5" t="inlineStr">
        <is>
          <t>tim:54256</t>
        </is>
      </c>
      <c r="H3581" s="6" t="n">
        <v>149.99</v>
      </c>
      <c r="I3581" s="6" t="inlineStr"/>
      <c r="J3581" s="5" t="inlineStr"/>
      <c r="K3581" s="5" t="inlineStr">
        <is>
          <t>bill</t>
        </is>
      </c>
      <c r="L3581" s="7" t="n">
        <v>80</v>
      </c>
      <c r="M3581" s="5" t="inlineStr"/>
      <c r="N3581" s="5" t="inlineStr"/>
      <c r="O3581" s="5" t="inlineStr"/>
      <c r="P3581" s="5" t="inlineStr"/>
      <c r="Q3581" s="5" t="inlineStr"/>
      <c r="R3581" s="5" t="inlineStr"/>
      <c r="S3581" s="5" t="inlineStr"/>
      <c r="T3581" s="5" t="inlineStr"/>
      <c r="U3581" s="5" t="inlineStr">
        <is>
          <t>https://www.tim.com.br/sp/para-voce/planos/pos-pago/tim-black</t>
        </is>
      </c>
      <c r="V3581" s="5" t="inlineStr">
        <is>
          <t>data/raw/tim_postpaid_SP.html</t>
        </is>
      </c>
    </row>
    <row r="3582">
      <c r="A3582" s="2" t="inlineStr">
        <is>
          <t>2026-08-25</t>
        </is>
      </c>
      <c r="B3582" s="2" t="inlineStr">
        <is>
          <t>2026-08-25T18:23:38</t>
        </is>
      </c>
      <c r="C3582" s="2" t="inlineStr">
        <is>
          <t>tim</t>
        </is>
      </c>
      <c r="D3582" s="2" t="inlineStr">
        <is>
          <t>postpaid</t>
        </is>
      </c>
      <c r="E3582" s="2" t="inlineStr">
        <is>
          <t>SP</t>
        </is>
      </c>
      <c r="F3582" s="2" t="inlineStr">
        <is>
          <t>TIM Black Premium 110GB</t>
        </is>
      </c>
      <c r="G3582" s="2" t="inlineStr">
        <is>
          <t>tim:54261</t>
        </is>
      </c>
      <c r="H3582" s="3" t="n">
        <v>159.99</v>
      </c>
      <c r="I3582" s="3" t="inlineStr"/>
      <c r="J3582" s="2" t="inlineStr"/>
      <c r="K3582" s="2" t="inlineStr">
        <is>
          <t>bill</t>
        </is>
      </c>
      <c r="L3582" s="4" t="n">
        <v>110</v>
      </c>
      <c r="M3582" s="2" t="inlineStr"/>
      <c r="N3582" s="2" t="inlineStr"/>
      <c r="O3582" s="2" t="inlineStr"/>
      <c r="P3582" s="2" t="inlineStr"/>
      <c r="Q3582" s="2" t="inlineStr"/>
      <c r="R3582" s="2" t="inlineStr"/>
      <c r="S3582" s="2" t="inlineStr"/>
      <c r="T3582" s="2" t="inlineStr"/>
      <c r="U3582" s="2" t="inlineStr">
        <is>
          <t>https://www.tim.com.br/sp/para-voce/planos/pos-pago/tim-black</t>
        </is>
      </c>
      <c r="V3582" s="2" t="inlineStr">
        <is>
          <t>data/raw/tim_postpaid_SP.html</t>
        </is>
      </c>
    </row>
    <row r="3583">
      <c r="A3583" s="5" t="inlineStr">
        <is>
          <t>2026-08-25</t>
        </is>
      </c>
      <c r="B3583" s="5" t="inlineStr">
        <is>
          <t>2026-08-25T18:23:38</t>
        </is>
      </c>
      <c r="C3583" s="5" t="inlineStr">
        <is>
          <t>tim</t>
        </is>
      </c>
      <c r="D3583" s="5" t="inlineStr">
        <is>
          <t>prepaid</t>
        </is>
      </c>
      <c r="E3583" s="5" t="inlineStr">
        <is>
          <t>SP</t>
        </is>
      </c>
      <c r="F3583" s="5" t="inlineStr">
        <is>
          <t>TIM Pré XIP Plus 16GB</t>
        </is>
      </c>
      <c r="G3583" s="5" t="inlineStr">
        <is>
          <t>tim:106306</t>
        </is>
      </c>
      <c r="H3583" s="6" t="n">
        <v>30</v>
      </c>
      <c r="I3583" s="6" t="inlineStr"/>
      <c r="J3583" s="5" t="inlineStr"/>
      <c r="K3583" s="5" t="inlineStr"/>
      <c r="L3583" s="7" t="n">
        <v>16</v>
      </c>
      <c r="M3583" s="5" t="inlineStr"/>
      <c r="N3583" s="5" t="n">
        <v>30</v>
      </c>
      <c r="O3583" s="5" t="inlineStr"/>
      <c r="P3583" s="5" t="inlineStr"/>
      <c r="Q3583" s="5" t="inlineStr"/>
      <c r="R3583" s="5" t="inlineStr"/>
      <c r="S3583" s="5" t="inlineStr"/>
      <c r="T3583" s="5" t="inlineStr"/>
      <c r="U3583" s="5" t="inlineStr">
        <is>
          <t>https://www.tim.com.br/sp/para-voce/planos/pre-pago</t>
        </is>
      </c>
      <c r="V3583" s="5" t="inlineStr">
        <is>
          <t>data/raw/tim_prepaid_SP.html</t>
        </is>
      </c>
    </row>
    <row r="3584">
      <c r="A3584" s="2" t="inlineStr">
        <is>
          <t>2026-08-25</t>
        </is>
      </c>
      <c r="B3584" s="2" t="inlineStr">
        <is>
          <t>2026-08-25T18:23:38</t>
        </is>
      </c>
      <c r="C3584" s="2" t="inlineStr">
        <is>
          <t>tim</t>
        </is>
      </c>
      <c r="D3584" s="2" t="inlineStr">
        <is>
          <t>prepaid</t>
        </is>
      </c>
      <c r="E3584" s="2" t="inlineStr">
        <is>
          <t>SP</t>
        </is>
      </c>
      <c r="F3584" s="2" t="inlineStr">
        <is>
          <t>TIM Pré XIP Plus 6GB</t>
        </is>
      </c>
      <c r="G3584" s="2" t="inlineStr">
        <is>
          <t>tim:59906</t>
        </is>
      </c>
      <c r="H3584" s="3" t="n">
        <v>20</v>
      </c>
      <c r="I3584" s="3" t="inlineStr"/>
      <c r="J3584" s="2" t="inlineStr"/>
      <c r="K3584" s="2" t="inlineStr"/>
      <c r="L3584" s="4" t="n">
        <v>6</v>
      </c>
      <c r="M3584" s="2" t="inlineStr"/>
      <c r="N3584" s="2" t="n">
        <v>17</v>
      </c>
      <c r="O3584" s="2" t="inlineStr"/>
      <c r="P3584" s="2" t="inlineStr"/>
      <c r="Q3584" s="2" t="inlineStr"/>
      <c r="R3584" s="2" t="inlineStr"/>
      <c r="S3584" s="2" t="inlineStr"/>
      <c r="T3584" s="2" t="inlineStr"/>
      <c r="U3584" s="2" t="inlineStr">
        <is>
          <t>https://www.tim.com.br/sp/para-voce/planos/pre-pago</t>
        </is>
      </c>
      <c r="V3584" s="2" t="inlineStr">
        <is>
          <t>data/raw/tim_prepaid_SP.html</t>
        </is>
      </c>
    </row>
    <row r="3585">
      <c r="A3585" s="5" t="inlineStr">
        <is>
          <t>2026-08-25</t>
        </is>
      </c>
      <c r="B3585" s="5" t="inlineStr">
        <is>
          <t>2026-08-25T18:23:38</t>
        </is>
      </c>
      <c r="C3585" s="5" t="inlineStr">
        <is>
          <t>tim</t>
        </is>
      </c>
      <c r="D3585" s="5" t="inlineStr">
        <is>
          <t>prepaid</t>
        </is>
      </c>
      <c r="E3585" s="5" t="inlineStr">
        <is>
          <t>SP</t>
        </is>
      </c>
      <c r="F3585" s="5" t="inlineStr">
        <is>
          <t>TIM Pré XIP Plus 8GB</t>
        </is>
      </c>
      <c r="G3585" s="5" t="inlineStr">
        <is>
          <t>tim:59901</t>
        </is>
      </c>
      <c r="H3585" s="6" t="n">
        <v>25</v>
      </c>
      <c r="I3585" s="6" t="inlineStr"/>
      <c r="J3585" s="5" t="inlineStr"/>
      <c r="K3585" s="5" t="inlineStr"/>
      <c r="L3585" s="7" t="n">
        <v>8</v>
      </c>
      <c r="M3585" s="5" t="inlineStr"/>
      <c r="N3585" s="5" t="n">
        <v>22</v>
      </c>
      <c r="O3585" s="5" t="inlineStr"/>
      <c r="P3585" s="5" t="inlineStr"/>
      <c r="Q3585" s="5" t="inlineStr"/>
      <c r="R3585" s="5" t="inlineStr"/>
      <c r="S3585" s="5" t="inlineStr"/>
      <c r="T3585" s="5" t="inlineStr"/>
      <c r="U3585" s="5" t="inlineStr">
        <is>
          <t>https://www.tim.com.br/sp/para-voce/planos/pre-pago</t>
        </is>
      </c>
      <c r="V3585" s="5" t="inlineStr">
        <is>
          <t>data/raw/tim_prepaid_SP.html</t>
        </is>
      </c>
    </row>
    <row r="3586">
      <c r="A3586" s="2" t="inlineStr">
        <is>
          <t>2026-08-25</t>
        </is>
      </c>
      <c r="B3586" s="2" t="inlineStr">
        <is>
          <t>2026-08-25T18:23:38</t>
        </is>
      </c>
      <c r="C3586" s="2" t="inlineStr">
        <is>
          <t>vivo</t>
        </is>
      </c>
      <c r="D3586" s="2" t="inlineStr">
        <is>
          <t>control</t>
        </is>
      </c>
      <c r="E3586" s="2" t="inlineStr">
        <is>
          <t>SP</t>
        </is>
      </c>
      <c r="F3586" s="2" t="inlineStr">
        <is>
          <t>Vivo Controle</t>
        </is>
      </c>
      <c r="G3586" s="2" t="inlineStr">
        <is>
          <t>vivo:VIV202600034591</t>
        </is>
      </c>
      <c r="H3586" s="3" t="n">
        <v>59</v>
      </c>
      <c r="I3586" s="3" t="inlineStr"/>
      <c r="J3586" s="2" t="inlineStr"/>
      <c r="K3586" s="2" t="inlineStr"/>
      <c r="L3586" s="4" t="n">
        <v>45</v>
      </c>
      <c r="M3586" s="2" t="inlineStr">
        <is>
          <t>15 GB de franquia 30 GB de bônus</t>
        </is>
      </c>
      <c r="N3586" s="2" t="inlineStr"/>
      <c r="O3586" s="2" t="inlineStr"/>
      <c r="P3586" s="2" t="inlineStr"/>
      <c r="Q3586" s="2" t="inlineStr"/>
      <c r="R3586" s="2" t="inlineStr"/>
      <c r="S3586" s="2" t="inlineStr"/>
      <c r="T3586" s="2" t="inlineStr">
        <is>
          <t>2 meses de YouTube sem consumo no plano</t>
        </is>
      </c>
      <c r="U3586" s="2" t="inlineStr">
        <is>
          <t>https://vivo.com.br/para-voce/produtos-e-servicos/para-o-celular/planos-controle</t>
        </is>
      </c>
      <c r="V3586" s="2" t="inlineStr">
        <is>
          <t>data/raw/vivo_control_SP.html</t>
        </is>
      </c>
    </row>
    <row r="3587">
      <c r="A3587" s="5" t="inlineStr">
        <is>
          <t>2026-08-25</t>
        </is>
      </c>
      <c r="B3587" s="5" t="inlineStr">
        <is>
          <t>2026-08-25T18:23:38</t>
        </is>
      </c>
      <c r="C3587" s="5" t="inlineStr">
        <is>
          <t>vivo</t>
        </is>
      </c>
      <c r="D3587" s="5" t="inlineStr">
        <is>
          <t>control</t>
        </is>
      </c>
      <c r="E3587" s="5" t="inlineStr">
        <is>
          <t>SP</t>
        </is>
      </c>
      <c r="F3587" s="5" t="inlineStr">
        <is>
          <t>Vivo Controle</t>
        </is>
      </c>
      <c r="G3587" s="5" t="inlineStr">
        <is>
          <t>vivo:VIV202600034599</t>
        </is>
      </c>
      <c r="H3587" s="6" t="n">
        <v>75</v>
      </c>
      <c r="I3587" s="6" t="inlineStr"/>
      <c r="J3587" s="5" t="inlineStr">
        <is>
          <t>preço-base do plano; a tela exibia R$ 80 com o adicional pré-selecionado (+R$ 5/mês, opcional); 60 GB na tela incluem +10 GB do adicional</t>
        </is>
      </c>
      <c r="K3587" s="5" t="inlineStr"/>
      <c r="L3587" s="7" t="n">
        <v>50</v>
      </c>
      <c r="M3587" s="5" t="inlineStr">
        <is>
          <t>20 GB de franquia 30 GB de bônus</t>
        </is>
      </c>
      <c r="N3587" s="5" t="inlineStr"/>
      <c r="O3587" s="5" t="inlineStr"/>
      <c r="P3587" s="5" t="inlineStr"/>
      <c r="Q3587" s="5" t="inlineStr"/>
      <c r="R3587" s="5" t="inlineStr"/>
      <c r="S3587" s="5" t="inlineStr"/>
      <c r="T3587" s="5" t="inlineStr">
        <is>
          <t>2 meses de YouTube sem consumo no plano</t>
        </is>
      </c>
      <c r="U3587" s="5" t="inlineStr">
        <is>
          <t>https://vivo.com.br/para-voce/produtos-e-servicos/para-o-celular/planos-controle</t>
        </is>
      </c>
      <c r="V3587" s="5" t="inlineStr">
        <is>
          <t>data/raw/vivo_control_SP.html</t>
        </is>
      </c>
    </row>
    <row r="3588">
      <c r="A3588" s="2" t="inlineStr">
        <is>
          <t>2026-08-25</t>
        </is>
      </c>
      <c r="B3588" s="2" t="inlineStr">
        <is>
          <t>2026-08-25T18:23:38</t>
        </is>
      </c>
      <c r="C3588" s="2" t="inlineStr">
        <is>
          <t>vivo</t>
        </is>
      </c>
      <c r="D3588" s="2" t="inlineStr">
        <is>
          <t>control</t>
        </is>
      </c>
      <c r="E3588" s="2" t="inlineStr">
        <is>
          <t>SP</t>
        </is>
      </c>
      <c r="F3588" s="2" t="inlineStr">
        <is>
          <t>Vivo Controle Educação</t>
        </is>
      </c>
      <c r="G3588" s="2" t="inlineStr">
        <is>
          <t>vivo:VIV202600034616</t>
        </is>
      </c>
      <c r="H3588" s="3" t="n">
        <v>85</v>
      </c>
      <c r="I3588" s="3" t="inlineStr"/>
      <c r="J3588" s="2" t="inlineStr">
        <is>
          <t>preço-base do plano; a tela exibia R$ 90 com o adicional pré-selecionado (+R$ 5/mês, opcional); 60 GB na tela incluem +10 GB do adicional</t>
        </is>
      </c>
      <c r="K3588" s="2" t="inlineStr"/>
      <c r="L3588" s="4" t="n">
        <v>50</v>
      </c>
      <c r="M3588" s="2" t="inlineStr">
        <is>
          <t>20 GB de franquia 30 GB de bônus</t>
        </is>
      </c>
      <c r="N3588" s="2" t="inlineStr"/>
      <c r="O3588" s="2" t="inlineStr"/>
      <c r="P3588" s="2" t="inlineStr"/>
      <c r="Q3588" s="2" t="inlineStr"/>
      <c r="R3588" s="2" t="inlineStr"/>
      <c r="S3588" s="2" t="inlineStr"/>
      <c r="T3588" s="2" t="inlineStr">
        <is>
          <t>Assinatura Vivae inclusa</t>
        </is>
      </c>
      <c r="U3588" s="2" t="inlineStr">
        <is>
          <t>https://vivo.com.br/para-voce/produtos-e-servicos/para-o-celular/planos-controle</t>
        </is>
      </c>
      <c r="V3588" s="2" t="inlineStr">
        <is>
          <t>data/raw/vivo_control_SP.html</t>
        </is>
      </c>
    </row>
    <row r="3589">
      <c r="A3589" s="5" t="inlineStr">
        <is>
          <t>2026-08-25</t>
        </is>
      </c>
      <c r="B3589" s="5" t="inlineStr">
        <is>
          <t>2026-08-25T18:23:38</t>
        </is>
      </c>
      <c r="C3589" s="5" t="inlineStr">
        <is>
          <t>vivo</t>
        </is>
      </c>
      <c r="D3589" s="5" t="inlineStr">
        <is>
          <t>control</t>
        </is>
      </c>
      <c r="E3589" s="5" t="inlineStr">
        <is>
          <t>SP</t>
        </is>
      </c>
      <c r="F3589" s="5" t="inlineStr">
        <is>
          <t>Vivo Controle Entretenimento</t>
        </is>
      </c>
      <c r="G3589" s="5" t="inlineStr">
        <is>
          <t>vivo:VIV202600034619</t>
        </is>
      </c>
      <c r="H3589" s="6" t="n">
        <v>105</v>
      </c>
      <c r="I3589" s="6" t="inlineStr"/>
      <c r="J3589" s="5" t="inlineStr">
        <is>
          <t>preço-base do plano; a tela exibia R$ 110 com o adicional pré-selecionado (+R$ 5/mês, opcional); 60 GB na tela incluem +10 GB do adicional</t>
        </is>
      </c>
      <c r="K3589" s="5" t="inlineStr"/>
      <c r="L3589" s="7" t="n">
        <v>50</v>
      </c>
      <c r="M3589" s="5" t="inlineStr">
        <is>
          <t>20 GB de franquia 30 GB de bônus</t>
        </is>
      </c>
      <c r="N3589" s="5" t="inlineStr"/>
      <c r="O3589" s="5" t="inlineStr"/>
      <c r="P3589" s="5" t="inlineStr"/>
      <c r="Q3589" s="5" t="inlineStr"/>
      <c r="R3589" s="5" t="inlineStr"/>
      <c r="S3589" s="5" t="inlineStr"/>
      <c r="T3589" s="5" t="inlineStr">
        <is>
          <t>Assinatura Vivo TV Inicial inclusa</t>
        </is>
      </c>
      <c r="U3589" s="5" t="inlineStr">
        <is>
          <t>https://vivo.com.br/para-voce/produtos-e-servicos/para-o-celular/planos-controle</t>
        </is>
      </c>
      <c r="V3589" s="5" t="inlineStr">
        <is>
          <t>data/raw/vivo_control_SP.html</t>
        </is>
      </c>
    </row>
    <row r="3590">
      <c r="A3590" s="2" t="inlineStr">
        <is>
          <t>2026-08-25</t>
        </is>
      </c>
      <c r="B3590" s="2" t="inlineStr">
        <is>
          <t>2026-08-25T18:23:38</t>
        </is>
      </c>
      <c r="C3590" s="2" t="inlineStr">
        <is>
          <t>vivo</t>
        </is>
      </c>
      <c r="D3590" s="2" t="inlineStr">
        <is>
          <t>control</t>
        </is>
      </c>
      <c r="E3590" s="2" t="inlineStr">
        <is>
          <t>SP</t>
        </is>
      </c>
      <c r="F3590" s="2" t="inlineStr">
        <is>
          <t>Vivo Controle Música</t>
        </is>
      </c>
      <c r="G3590" s="2" t="inlineStr">
        <is>
          <t>vivo:VIV202600034620</t>
        </is>
      </c>
      <c r="H3590" s="3" t="n">
        <v>85</v>
      </c>
      <c r="I3590" s="3" t="inlineStr"/>
      <c r="J3590" s="2" t="inlineStr">
        <is>
          <t>preço-base do plano; a tela exibia R$ 90 com o adicional pré-selecionado (+R$ 5/mês, opcional); 60 GB na tela incluem +10 GB do adicional</t>
        </is>
      </c>
      <c r="K3590" s="2" t="inlineStr"/>
      <c r="L3590" s="4" t="n">
        <v>50</v>
      </c>
      <c r="M3590" s="2" t="inlineStr">
        <is>
          <t>20 GB de franquia 30 GB de bônus</t>
        </is>
      </c>
      <c r="N3590" s="2" t="inlineStr"/>
      <c r="O3590" s="2" t="inlineStr"/>
      <c r="P3590" s="2" t="inlineStr"/>
      <c r="Q3590" s="2" t="inlineStr"/>
      <c r="R3590" s="2" t="inlineStr"/>
      <c r="S3590" s="2" t="inlineStr"/>
      <c r="T3590" s="2" t="inlineStr">
        <is>
          <t>Apple Music Individual</t>
        </is>
      </c>
      <c r="U3590" s="2" t="inlineStr">
        <is>
          <t>https://vivo.com.br/para-voce/produtos-e-servicos/para-o-celular/planos-controle</t>
        </is>
      </c>
      <c r="V3590" s="2" t="inlineStr">
        <is>
          <t>data/raw/vivo_control_SP.html</t>
        </is>
      </c>
    </row>
    <row r="3591">
      <c r="A3591" s="5" t="inlineStr">
        <is>
          <t>2026-08-25</t>
        </is>
      </c>
      <c r="B3591" s="5" t="inlineStr">
        <is>
          <t>2026-08-25T18:23:38</t>
        </is>
      </c>
      <c r="C3591" s="5" t="inlineStr">
        <is>
          <t>vivo</t>
        </is>
      </c>
      <c r="D3591" s="5" t="inlineStr">
        <is>
          <t>control</t>
        </is>
      </c>
      <c r="E3591" s="5" t="inlineStr">
        <is>
          <t>SP</t>
        </is>
      </c>
      <c r="F3591" s="5" t="inlineStr">
        <is>
          <t>Vivo Controle Netflix</t>
        </is>
      </c>
      <c r="G3591" s="5" t="inlineStr">
        <is>
          <t>vivo:VIV202600034623</t>
        </is>
      </c>
      <c r="H3591" s="6" t="n">
        <v>90</v>
      </c>
      <c r="I3591" s="6" t="inlineStr"/>
      <c r="J3591" s="5" t="inlineStr">
        <is>
          <t>preço-base do plano; a tela exibia R$ 95 com o adicional pré-selecionado (+R$ 5/mês, opcional); 60 GB na tela incluem +10 GB do adicional</t>
        </is>
      </c>
      <c r="K3591" s="5" t="inlineStr"/>
      <c r="L3591" s="7" t="n">
        <v>50</v>
      </c>
      <c r="M3591" s="5" t="inlineStr">
        <is>
          <t>20 GB de franquia 30 GB de bônus</t>
        </is>
      </c>
      <c r="N3591" s="5" t="inlineStr"/>
      <c r="O3591" s="5" t="inlineStr"/>
      <c r="P3591" s="5" t="inlineStr"/>
      <c r="Q3591" s="5" t="inlineStr"/>
      <c r="R3591" s="5" t="inlineStr"/>
      <c r="S3591" s="5" t="inlineStr"/>
      <c r="T3591" s="5" t="inlineStr">
        <is>
          <t>Assinatura Netflix Padrão com anúncios</t>
        </is>
      </c>
      <c r="U3591" s="5" t="inlineStr">
        <is>
          <t>https://vivo.com.br/para-voce/produtos-e-servicos/para-o-celular/planos-controle</t>
        </is>
      </c>
      <c r="V3591" s="5" t="inlineStr">
        <is>
          <t>data/raw/vivo_control_SP.html</t>
        </is>
      </c>
    </row>
    <row r="3592">
      <c r="A3592" s="2" t="inlineStr">
        <is>
          <t>2026-08-25</t>
        </is>
      </c>
      <c r="B3592" s="2" t="inlineStr">
        <is>
          <t>2026-08-25T18:23:38</t>
        </is>
      </c>
      <c r="C3592" s="2" t="inlineStr">
        <is>
          <t>vivo</t>
        </is>
      </c>
      <c r="D3592" s="2" t="inlineStr">
        <is>
          <t>control</t>
        </is>
      </c>
      <c r="E3592" s="2" t="inlineStr">
        <is>
          <t>SP</t>
        </is>
      </c>
      <c r="F3592" s="2" t="inlineStr">
        <is>
          <t>Vivo Controle Saúde</t>
        </is>
      </c>
      <c r="G3592" s="2" t="inlineStr">
        <is>
          <t>vivo:VIV202600034625</t>
        </is>
      </c>
      <c r="H3592" s="3" t="n">
        <v>85</v>
      </c>
      <c r="I3592" s="3" t="inlineStr"/>
      <c r="J3592" s="2" t="inlineStr">
        <is>
          <t>preço-base do plano; a tela exibia R$ 90 com o adicional pré-selecionado (+R$ 5/mês, opcional); 60 GB na tela incluem +10 GB do adicional</t>
        </is>
      </c>
      <c r="K3592" s="2" t="inlineStr"/>
      <c r="L3592" s="4" t="n">
        <v>50</v>
      </c>
      <c r="M3592" s="2" t="inlineStr">
        <is>
          <t>20 GB de franquia 30 GB de bônus</t>
        </is>
      </c>
      <c r="N3592" s="2" t="inlineStr"/>
      <c r="O3592" s="2" t="inlineStr"/>
      <c r="P3592" s="2" t="inlineStr"/>
      <c r="Q3592" s="2" t="inlineStr"/>
      <c r="R3592" s="2" t="inlineStr"/>
      <c r="S3592" s="2" t="inlineStr"/>
      <c r="T3592" s="2" t="inlineStr">
        <is>
          <t>Assinatura Vale Saúde Sempre inclusa</t>
        </is>
      </c>
      <c r="U3592" s="2" t="inlineStr">
        <is>
          <t>https://vivo.com.br/para-voce/produtos-e-servicos/para-o-celular/planos-controle</t>
        </is>
      </c>
      <c r="V3592" s="2" t="inlineStr">
        <is>
          <t>data/raw/vivo_control_SP.html</t>
        </is>
      </c>
    </row>
    <row r="3593">
      <c r="A3593" s="5" t="inlineStr">
        <is>
          <t>2026-08-25</t>
        </is>
      </c>
      <c r="B3593" s="5" t="inlineStr">
        <is>
          <t>2026-08-25T18:23:38</t>
        </is>
      </c>
      <c r="C3593" s="5" t="inlineStr">
        <is>
          <t>vivo</t>
        </is>
      </c>
      <c r="D3593" s="5" t="inlineStr">
        <is>
          <t>control</t>
        </is>
      </c>
      <c r="E3593" s="5" t="inlineStr">
        <is>
          <t>SP</t>
        </is>
      </c>
      <c r="F3593" s="5" t="inlineStr">
        <is>
          <t>Vivo Controle Youtube Lite</t>
        </is>
      </c>
      <c r="G3593" s="5" t="inlineStr">
        <is>
          <t>vivo:VIV202600034626</t>
        </is>
      </c>
      <c r="H3593" s="6" t="n">
        <v>85</v>
      </c>
      <c r="I3593" s="6" t="inlineStr"/>
      <c r="J3593" s="5" t="inlineStr">
        <is>
          <t>preço-base do plano; a tela exibia R$ 90 com o adicional pré-selecionado (+R$ 5/mês, opcional); 60 GB na tela incluem +10 GB do adicional</t>
        </is>
      </c>
      <c r="K3593" s="5" t="inlineStr"/>
      <c r="L3593" s="7" t="n">
        <v>50</v>
      </c>
      <c r="M3593" s="5" t="inlineStr">
        <is>
          <t>20 GB de franquia 30 GB de bônus</t>
        </is>
      </c>
      <c r="N3593" s="5" t="inlineStr"/>
      <c r="O3593" s="5" t="inlineStr"/>
      <c r="P3593" s="5" t="inlineStr"/>
      <c r="Q3593" s="5" t="inlineStr"/>
      <c r="R3593" s="5" t="inlineStr"/>
      <c r="S3593" s="5" t="inlineStr"/>
      <c r="T3593" s="5" t="inlineStr">
        <is>
          <t>2 meses de YouTube sem consumo no plano</t>
        </is>
      </c>
      <c r="U3593" s="5" t="inlineStr">
        <is>
          <t>https://vivo.com.br/para-voce/produtos-e-servicos/para-o-celular/planos-controle</t>
        </is>
      </c>
      <c r="V3593" s="5" t="inlineStr">
        <is>
          <t>data/raw/vivo_control_SP.html</t>
        </is>
      </c>
    </row>
    <row r="3594">
      <c r="A3594" s="2" t="inlineStr">
        <is>
          <t>2026-08-25</t>
        </is>
      </c>
      <c r="B3594" s="2" t="inlineStr">
        <is>
          <t>2026-08-25T18:23:38</t>
        </is>
      </c>
      <c r="C3594" s="2" t="inlineStr">
        <is>
          <t>vivo</t>
        </is>
      </c>
      <c r="D3594" s="2" t="inlineStr">
        <is>
          <t>lite</t>
        </is>
      </c>
      <c r="E3594" s="2" t="inlineStr">
        <is>
          <t>SP</t>
        </is>
      </c>
      <c r="F3594" s="2" t="inlineStr">
        <is>
          <t>Vivo Lite</t>
        </is>
      </c>
      <c r="G3594" s="2" t="inlineStr">
        <is>
          <t>vivo:VIV202600033987</t>
        </is>
      </c>
      <c r="H3594" s="3" t="n">
        <v>45</v>
      </c>
      <c r="I3594" s="3" t="n">
        <v>30</v>
      </c>
      <c r="J3594" s="2" t="inlineStr">
        <is>
          <t>preço sem fidelidade; fidelidade 12m no promo</t>
        </is>
      </c>
      <c r="K3594" s="2" t="inlineStr"/>
      <c r="L3594" s="4" t="n">
        <v>30</v>
      </c>
      <c r="M3594" s="2" t="inlineStr">
        <is>
          <t>30 GB de franquia</t>
        </is>
      </c>
      <c r="N3594" s="2" t="inlineStr"/>
      <c r="O3594" s="2" t="inlineStr"/>
      <c r="P3594" s="2" t="inlineStr"/>
      <c r="Q3594" s="2" t="inlineStr"/>
      <c r="R3594" s="2" t="inlineStr"/>
      <c r="S3594" s="2" t="n">
        <v>12</v>
      </c>
      <c r="T3594" s="2" t="inlineStr">
        <is>
          <t>2 meses de YouTube sem consumo no plano</t>
        </is>
      </c>
      <c r="U3594" s="2" t="inlineStr">
        <is>
          <t>https://vivo.com.br/para-voce/produtos-e-servicos/para-o-celular/easy-lite</t>
        </is>
      </c>
      <c r="V3594" s="2" t="inlineStr">
        <is>
          <t>data/raw/vivo_lite_SP.html</t>
        </is>
      </c>
    </row>
    <row r="3595">
      <c r="A3595" s="5" t="inlineStr">
        <is>
          <t>2026-08-25</t>
        </is>
      </c>
      <c r="B3595" s="5" t="inlineStr">
        <is>
          <t>2026-08-25T18:23:38</t>
        </is>
      </c>
      <c r="C3595" s="5" t="inlineStr">
        <is>
          <t>vivo</t>
        </is>
      </c>
      <c r="D3595" s="5" t="inlineStr">
        <is>
          <t>lite</t>
        </is>
      </c>
      <c r="E3595" s="5" t="inlineStr">
        <is>
          <t>SP</t>
        </is>
      </c>
      <c r="F3595" s="5" t="inlineStr">
        <is>
          <t>Vivo Lite</t>
        </is>
      </c>
      <c r="G3595" s="5" t="inlineStr">
        <is>
          <t>vivo:VIV202600033989</t>
        </is>
      </c>
      <c r="H3595" s="6" t="n">
        <v>55</v>
      </c>
      <c r="I3595" s="6" t="n">
        <v>40</v>
      </c>
      <c r="J3595" s="5" t="inlineStr">
        <is>
          <t>preço sem fidelidade; fidelidade 12m no promo</t>
        </is>
      </c>
      <c r="K3595" s="5" t="inlineStr"/>
      <c r="L3595" s="7" t="n">
        <v>40</v>
      </c>
      <c r="M3595" s="5" t="inlineStr">
        <is>
          <t>40 GB de franquia</t>
        </is>
      </c>
      <c r="N3595" s="5" t="inlineStr"/>
      <c r="O3595" s="5" t="inlineStr"/>
      <c r="P3595" s="5" t="inlineStr"/>
      <c r="Q3595" s="5" t="inlineStr"/>
      <c r="R3595" s="5" t="inlineStr"/>
      <c r="S3595" s="5" t="n">
        <v>12</v>
      </c>
      <c r="T3595" s="5" t="inlineStr">
        <is>
          <t>2 meses de YouTube sem consumo no plano</t>
        </is>
      </c>
      <c r="U3595" s="5" t="inlineStr">
        <is>
          <t>https://vivo.com.br/para-voce/produtos-e-servicos/para-o-celular/easy-lite</t>
        </is>
      </c>
      <c r="V3595" s="5" t="inlineStr">
        <is>
          <t>data/raw/vivo_lite_SP.html</t>
        </is>
      </c>
    </row>
    <row r="3596">
      <c r="A3596" s="2" t="inlineStr">
        <is>
          <t>2026-08-25</t>
        </is>
      </c>
      <c r="B3596" s="2" t="inlineStr">
        <is>
          <t>2026-08-25T18:23:38</t>
        </is>
      </c>
      <c r="C3596" s="2" t="inlineStr">
        <is>
          <t>vivo</t>
        </is>
      </c>
      <c r="D3596" s="2" t="inlineStr">
        <is>
          <t>lite</t>
        </is>
      </c>
      <c r="E3596" s="2" t="inlineStr">
        <is>
          <t>SP</t>
        </is>
      </c>
      <c r="F3596" s="2" t="inlineStr">
        <is>
          <t>Vivo Lite</t>
        </is>
      </c>
      <c r="G3596" s="2" t="inlineStr">
        <is>
          <t>vivo:VIV202600033992</t>
        </is>
      </c>
      <c r="H3596" s="3" t="n">
        <v>35</v>
      </c>
      <c r="I3596" s="3" t="inlineStr"/>
      <c r="J3596" s="2" t="inlineStr"/>
      <c r="K3596" s="2" t="inlineStr"/>
      <c r="L3596" s="4" t="n">
        <v>20</v>
      </c>
      <c r="M3596" s="2" t="inlineStr">
        <is>
          <t>20 GB de franquia</t>
        </is>
      </c>
      <c r="N3596" s="2" t="inlineStr"/>
      <c r="O3596" s="2" t="inlineStr"/>
      <c r="P3596" s="2" t="inlineStr"/>
      <c r="Q3596" s="2" t="inlineStr"/>
      <c r="R3596" s="2" t="inlineStr"/>
      <c r="S3596" s="2" t="inlineStr"/>
      <c r="T3596" s="2" t="inlineStr">
        <is>
          <t>2 meses de YouTube sem consumo no plano</t>
        </is>
      </c>
      <c r="U3596" s="2" t="inlineStr">
        <is>
          <t>https://vivo.com.br/para-voce/produtos-e-servicos/para-o-celular/easy-lite</t>
        </is>
      </c>
      <c r="V3596" s="2" t="inlineStr">
        <is>
          <t>data/raw/vivo_lite_SP.html</t>
        </is>
      </c>
    </row>
    <row r="3597">
      <c r="A3597" s="5" t="inlineStr">
        <is>
          <t>2026-08-25</t>
        </is>
      </c>
      <c r="B3597" s="5" t="inlineStr">
        <is>
          <t>2026-08-25T18:23:38</t>
        </is>
      </c>
      <c r="C3597" s="5" t="inlineStr">
        <is>
          <t>vivo</t>
        </is>
      </c>
      <c r="D3597" s="5" t="inlineStr">
        <is>
          <t>postpaid</t>
        </is>
      </c>
      <c r="E3597" s="5" t="inlineStr">
        <is>
          <t>SP</t>
        </is>
      </c>
      <c r="F3597" s="5" t="inlineStr">
        <is>
          <t>Vivo Família 2</t>
        </is>
      </c>
      <c r="G3597" s="5" t="inlineStr">
        <is>
          <t>vivo:VIV202600034547</t>
        </is>
      </c>
      <c r="H3597" s="6" t="n">
        <v>270</v>
      </c>
      <c r="I3597" s="6" t="inlineStr"/>
      <c r="J3597" s="5" t="inlineStr"/>
      <c r="K3597" s="5" t="inlineStr"/>
      <c r="L3597" s="7" t="n">
        <v>120</v>
      </c>
      <c r="M3597" s="5" t="inlineStr">
        <is>
          <t>120 GB de franquia Você + 1 linha adicional Roaming Internacional com Vivo Travel Américas e Europa</t>
        </is>
      </c>
      <c r="N3597" s="5" t="inlineStr"/>
      <c r="O3597" s="5" t="inlineStr"/>
      <c r="P3597" s="5" t="inlineStr"/>
      <c r="Q3597" s="5" t="inlineStr"/>
      <c r="R3597" s="5" t="inlineStr"/>
      <c r="S3597" s="5" t="inlineStr"/>
      <c r="T3597" s="5" t="inlineStr">
        <is>
          <t>2 meses de YouTube sem consumo no plano</t>
        </is>
      </c>
      <c r="U3597" s="5" t="inlineStr">
        <is>
          <t>https://vivo.com.br/para-voce/produtos-e-servicos/para-o-celular/planos-pos-pago</t>
        </is>
      </c>
      <c r="V3597" s="5" t="inlineStr">
        <is>
          <t>data/raw/vivo_postpaid_SP.html</t>
        </is>
      </c>
    </row>
    <row r="3598">
      <c r="A3598" s="2" t="inlineStr">
        <is>
          <t>2026-08-25</t>
        </is>
      </c>
      <c r="B3598" s="2" t="inlineStr">
        <is>
          <t>2026-08-25T18:23:38</t>
        </is>
      </c>
      <c r="C3598" s="2" t="inlineStr">
        <is>
          <t>vivo</t>
        </is>
      </c>
      <c r="D3598" s="2" t="inlineStr">
        <is>
          <t>postpaid</t>
        </is>
      </c>
      <c r="E3598" s="2" t="inlineStr">
        <is>
          <t>SP</t>
        </is>
      </c>
      <c r="F3598" s="2" t="inlineStr">
        <is>
          <t>Vivo Família 3</t>
        </is>
      </c>
      <c r="G3598" s="2" t="inlineStr">
        <is>
          <t>vivo:VIV202600034540</t>
        </is>
      </c>
      <c r="H3598" s="3" t="n">
        <v>340</v>
      </c>
      <c r="I3598" s="3" t="inlineStr"/>
      <c r="J3598" s="2" t="inlineStr"/>
      <c r="K3598" s="2" t="inlineStr"/>
      <c r="L3598" s="4" t="n">
        <v>180</v>
      </c>
      <c r="M3598" s="2" t="inlineStr">
        <is>
          <t>180 GB de franquia Você + 2 linhas adicionais Roaming Internacional com Vivo Travel Américas e Europa</t>
        </is>
      </c>
      <c r="N3598" s="2" t="inlineStr"/>
      <c r="O3598" s="2" t="inlineStr"/>
      <c r="P3598" s="2" t="inlineStr"/>
      <c r="Q3598" s="2" t="inlineStr"/>
      <c r="R3598" s="2" t="inlineStr"/>
      <c r="S3598" s="2" t="inlineStr"/>
      <c r="T3598" s="2" t="inlineStr">
        <is>
          <t>2 meses de YouTube sem consumo no plano</t>
        </is>
      </c>
      <c r="U3598" s="2" t="inlineStr">
        <is>
          <t>https://vivo.com.br/para-voce/produtos-e-servicos/para-o-celular/planos-pos-pago</t>
        </is>
      </c>
      <c r="V3598" s="2" t="inlineStr">
        <is>
          <t>data/raw/vivo_postpaid_SP.html</t>
        </is>
      </c>
    </row>
    <row r="3599">
      <c r="A3599" s="5" t="inlineStr">
        <is>
          <t>2026-08-25</t>
        </is>
      </c>
      <c r="B3599" s="5" t="inlineStr">
        <is>
          <t>2026-08-25T18:23:38</t>
        </is>
      </c>
      <c r="C3599" s="5" t="inlineStr">
        <is>
          <t>vivo</t>
        </is>
      </c>
      <c r="D3599" s="5" t="inlineStr">
        <is>
          <t>postpaid</t>
        </is>
      </c>
      <c r="E3599" s="5" t="inlineStr">
        <is>
          <t>SP</t>
        </is>
      </c>
      <c r="F3599" s="5" t="inlineStr">
        <is>
          <t>Vivo Família 4</t>
        </is>
      </c>
      <c r="G3599" s="5" t="inlineStr">
        <is>
          <t>vivo:VIV202600034531</t>
        </is>
      </c>
      <c r="H3599" s="6" t="n">
        <v>430</v>
      </c>
      <c r="I3599" s="6" t="inlineStr"/>
      <c r="J3599" s="5" t="inlineStr"/>
      <c r="K3599" s="5" t="inlineStr"/>
      <c r="L3599" s="7" t="n">
        <v>240</v>
      </c>
      <c r="M3599" s="5" t="inlineStr">
        <is>
          <t>240 GB de franquia Você + 3 linhas adicionais Roaming Internacional com Vivo Travel Américas e Europa</t>
        </is>
      </c>
      <c r="N3599" s="5" t="inlineStr"/>
      <c r="O3599" s="5" t="inlineStr"/>
      <c r="P3599" s="5" t="inlineStr"/>
      <c r="Q3599" s="5" t="inlineStr"/>
      <c r="R3599" s="5" t="inlineStr"/>
      <c r="S3599" s="5" t="inlineStr"/>
      <c r="T3599" s="5" t="inlineStr">
        <is>
          <t>2 meses de YouTube sem consumo no plano</t>
        </is>
      </c>
      <c r="U3599" s="5" t="inlineStr">
        <is>
          <t>https://vivo.com.br/para-voce/produtos-e-servicos/para-o-celular/planos-pos-pago</t>
        </is>
      </c>
      <c r="V3599" s="5" t="inlineStr">
        <is>
          <t>data/raw/vivo_postpaid_SP.html</t>
        </is>
      </c>
    </row>
    <row r="3600">
      <c r="A3600" s="2" t="inlineStr">
        <is>
          <t>2026-08-25</t>
        </is>
      </c>
      <c r="B3600" s="2" t="inlineStr">
        <is>
          <t>2026-08-25T18:23:38</t>
        </is>
      </c>
      <c r="C3600" s="2" t="inlineStr">
        <is>
          <t>vivo</t>
        </is>
      </c>
      <c r="D3600" s="2" t="inlineStr">
        <is>
          <t>postpaid</t>
        </is>
      </c>
      <c r="E3600" s="2" t="inlineStr">
        <is>
          <t>SP</t>
        </is>
      </c>
      <c r="F3600" s="2" t="inlineStr">
        <is>
          <t>Vivo Família 5</t>
        </is>
      </c>
      <c r="G3600" s="2" t="inlineStr">
        <is>
          <t>vivo:VIV202600034526</t>
        </is>
      </c>
      <c r="H3600" s="3" t="n">
        <v>530</v>
      </c>
      <c r="I3600" s="3" t="inlineStr"/>
      <c r="J3600" s="2" t="inlineStr"/>
      <c r="K3600" s="2" t="inlineStr"/>
      <c r="L3600" s="4" t="n">
        <v>300</v>
      </c>
      <c r="M3600" s="2" t="inlineStr">
        <is>
          <t>300 GB de franquia Você + 4 linhas adicionais Roaming Internacional com Vivo Travel Américas e Europa</t>
        </is>
      </c>
      <c r="N3600" s="2" t="inlineStr"/>
      <c r="O3600" s="2" t="inlineStr"/>
      <c r="P3600" s="2" t="inlineStr"/>
      <c r="Q3600" s="2" t="inlineStr"/>
      <c r="R3600" s="2" t="inlineStr"/>
      <c r="S3600" s="2" t="inlineStr"/>
      <c r="T3600" s="2" t="inlineStr">
        <is>
          <t>2 meses de YouTube sem consumo no plano</t>
        </is>
      </c>
      <c r="U3600" s="2" t="inlineStr">
        <is>
          <t>https://vivo.com.br/para-voce/produtos-e-servicos/para-o-celular/planos-pos-pago</t>
        </is>
      </c>
      <c r="V3600" s="2" t="inlineStr">
        <is>
          <t>data/raw/vivo_postpaid_SP.html</t>
        </is>
      </c>
    </row>
    <row r="3601">
      <c r="A3601" s="5" t="inlineStr">
        <is>
          <t>2026-08-25</t>
        </is>
      </c>
      <c r="B3601" s="5" t="inlineStr">
        <is>
          <t>2026-08-25T18:23:38</t>
        </is>
      </c>
      <c r="C3601" s="5" t="inlineStr">
        <is>
          <t>vivo</t>
        </is>
      </c>
      <c r="D3601" s="5" t="inlineStr">
        <is>
          <t>postpaid</t>
        </is>
      </c>
      <c r="E3601" s="5" t="inlineStr">
        <is>
          <t>SP</t>
        </is>
      </c>
      <c r="F3601" s="5" t="inlineStr">
        <is>
          <t>Vivo Pós com Amazon</t>
        </is>
      </c>
      <c r="G3601" s="5" t="inlineStr">
        <is>
          <t>vivo:VIV202600034554</t>
        </is>
      </c>
      <c r="H3601" s="6" t="n">
        <v>150</v>
      </c>
      <c r="I3601" s="6" t="inlineStr"/>
      <c r="J3601" s="5" t="inlineStr"/>
      <c r="K3601" s="5" t="inlineStr"/>
      <c r="L3601" s="7" t="n">
        <v>60</v>
      </c>
      <c r="M3601" s="5" t="inlineStr">
        <is>
          <t>50 GB de franquia 10 GB de bônus</t>
        </is>
      </c>
      <c r="N3601" s="5" t="inlineStr"/>
      <c r="O3601" s="5" t="inlineStr"/>
      <c r="P3601" s="5" t="inlineStr"/>
      <c r="Q3601" s="5" t="inlineStr"/>
      <c r="R3601" s="5" t="inlineStr"/>
      <c r="S3601" s="5" t="inlineStr"/>
      <c r="T3601" s="5" t="inlineStr">
        <is>
          <t>Assinatura Amazon Prime inclusa</t>
        </is>
      </c>
      <c r="U3601" s="5" t="inlineStr">
        <is>
          <t>https://vivo.com.br/para-voce/produtos-e-servicos/para-o-celular/planos-pos-pago</t>
        </is>
      </c>
      <c r="V3601" s="5" t="inlineStr">
        <is>
          <t>data/raw/vivo_postpaid_SP.html</t>
        </is>
      </c>
    </row>
    <row r="3602">
      <c r="A3602" s="2" t="inlineStr">
        <is>
          <t>2026-08-25</t>
        </is>
      </c>
      <c r="B3602" s="2" t="inlineStr">
        <is>
          <t>2026-08-25T18:23:38</t>
        </is>
      </c>
      <c r="C3602" s="2" t="inlineStr">
        <is>
          <t>vivo</t>
        </is>
      </c>
      <c r="D3602" s="2" t="inlineStr">
        <is>
          <t>postpaid</t>
        </is>
      </c>
      <c r="E3602" s="2" t="inlineStr">
        <is>
          <t>SP</t>
        </is>
      </c>
      <c r="F3602" s="2" t="inlineStr">
        <is>
          <t>Vivo Pós com Disney+</t>
        </is>
      </c>
      <c r="G3602" s="2" t="inlineStr">
        <is>
          <t>vivo:VIV202600034532</t>
        </is>
      </c>
      <c r="H3602" s="3" t="n">
        <v>180</v>
      </c>
      <c r="I3602" s="3" t="inlineStr"/>
      <c r="J3602" s="2" t="inlineStr"/>
      <c r="K3602" s="2" t="inlineStr"/>
      <c r="L3602" s="4" t="n">
        <v>60</v>
      </c>
      <c r="M3602" s="2" t="inlineStr">
        <is>
          <t>50 GB de franquia 10 GB de bônus</t>
        </is>
      </c>
      <c r="N3602" s="2" t="inlineStr"/>
      <c r="O3602" s="2" t="inlineStr"/>
      <c r="P3602" s="2" t="inlineStr"/>
      <c r="Q3602" s="2" t="inlineStr"/>
      <c r="R3602" s="2" t="inlineStr">
        <is>
          <t>Disney+</t>
        </is>
      </c>
      <c r="S3602" s="2" t="inlineStr"/>
      <c r="T3602" s="2" t="inlineStr">
        <is>
          <t>Assinatura Disney+ Padrão inclusa</t>
        </is>
      </c>
      <c r="U3602" s="2" t="inlineStr">
        <is>
          <t>https://vivo.com.br/para-voce/produtos-e-servicos/para-o-celular/planos-pos-pago</t>
        </is>
      </c>
      <c r="V3602" s="2" t="inlineStr">
        <is>
          <t>data/raw/vivo_postpaid_SP.html</t>
        </is>
      </c>
    </row>
    <row r="3603">
      <c r="A3603" s="5" t="inlineStr">
        <is>
          <t>2026-08-25</t>
        </is>
      </c>
      <c r="B3603" s="5" t="inlineStr">
        <is>
          <t>2026-08-25T18:23:38</t>
        </is>
      </c>
      <c r="C3603" s="5" t="inlineStr">
        <is>
          <t>vivo</t>
        </is>
      </c>
      <c r="D3603" s="5" t="inlineStr">
        <is>
          <t>postpaid</t>
        </is>
      </c>
      <c r="E3603" s="5" t="inlineStr">
        <is>
          <t>SP</t>
        </is>
      </c>
      <c r="F3603" s="5" t="inlineStr">
        <is>
          <t>Vivo Pós com Globoplay</t>
        </is>
      </c>
      <c r="G3603" s="5" t="inlineStr">
        <is>
          <t>vivo:VIV202600034575</t>
        </is>
      </c>
      <c r="H3603" s="6" t="n">
        <v>165</v>
      </c>
      <c r="I3603" s="6" t="inlineStr"/>
      <c r="J3603" s="5" t="inlineStr"/>
      <c r="K3603" s="5" t="inlineStr"/>
      <c r="L3603" s="7" t="n">
        <v>60</v>
      </c>
      <c r="M3603" s="5" t="inlineStr">
        <is>
          <t>50 GB de franquia 10 GB de bônus</t>
        </is>
      </c>
      <c r="N3603" s="5" t="inlineStr"/>
      <c r="O3603" s="5" t="inlineStr"/>
      <c r="P3603" s="5" t="inlineStr"/>
      <c r="Q3603" s="5" t="inlineStr"/>
      <c r="R3603" s="5" t="inlineStr">
        <is>
          <t>Globoplay</t>
        </is>
      </c>
      <c r="S3603" s="5" t="inlineStr"/>
      <c r="T3603" s="5" t="inlineStr">
        <is>
          <t>Assinatura Globoplay inclusa</t>
        </is>
      </c>
      <c r="U3603" s="5" t="inlineStr">
        <is>
          <t>https://vivo.com.br/para-voce/produtos-e-servicos/para-o-celular/planos-pos-pago</t>
        </is>
      </c>
      <c r="V3603" s="5" t="inlineStr">
        <is>
          <t>data/raw/vivo_postpaid_SP.html</t>
        </is>
      </c>
    </row>
    <row r="3604">
      <c r="A3604" s="2" t="inlineStr">
        <is>
          <t>2026-08-25</t>
        </is>
      </c>
      <c r="B3604" s="2" t="inlineStr">
        <is>
          <t>2026-08-25T18:23:38</t>
        </is>
      </c>
      <c r="C3604" s="2" t="inlineStr">
        <is>
          <t>vivo</t>
        </is>
      </c>
      <c r="D3604" s="2" t="inlineStr">
        <is>
          <t>postpaid</t>
        </is>
      </c>
      <c r="E3604" s="2" t="inlineStr">
        <is>
          <t>SP</t>
        </is>
      </c>
      <c r="F3604" s="2" t="inlineStr">
        <is>
          <t>Vivo Pós com Netflix</t>
        </is>
      </c>
      <c r="G3604" s="2" t="inlineStr">
        <is>
          <t>vivo:VIV202600034562</t>
        </is>
      </c>
      <c r="H3604" s="3" t="n">
        <v>180</v>
      </c>
      <c r="I3604" s="3" t="inlineStr"/>
      <c r="J3604" s="2" t="inlineStr"/>
      <c r="K3604" s="2" t="inlineStr"/>
      <c r="L3604" s="4" t="n">
        <v>60</v>
      </c>
      <c r="M3604" s="2" t="inlineStr">
        <is>
          <t>50 GB de franquia 10 GB de bônus</t>
        </is>
      </c>
      <c r="N3604" s="2" t="inlineStr"/>
      <c r="O3604" s="2" t="inlineStr"/>
      <c r="P3604" s="2" t="inlineStr"/>
      <c r="Q3604" s="2" t="inlineStr"/>
      <c r="R3604" s="2" t="inlineStr">
        <is>
          <t>Netflix</t>
        </is>
      </c>
      <c r="S3604" s="2" t="inlineStr"/>
      <c r="T3604" s="2" t="inlineStr">
        <is>
          <t>Assinatura Netflix Padrão inclusa</t>
        </is>
      </c>
      <c r="U3604" s="2" t="inlineStr">
        <is>
          <t>https://vivo.com.br/para-voce/produtos-e-servicos/para-o-celular/planos-pos-pago</t>
        </is>
      </c>
      <c r="V3604" s="2" t="inlineStr">
        <is>
          <t>data/raw/vivo_postpaid_SP.html</t>
        </is>
      </c>
    </row>
    <row r="3605">
      <c r="A3605" s="5" t="inlineStr">
        <is>
          <t>2026-08-25</t>
        </is>
      </c>
      <c r="B3605" s="5" t="inlineStr">
        <is>
          <t>2026-08-25T18:23:38</t>
        </is>
      </c>
      <c r="C3605" s="5" t="inlineStr">
        <is>
          <t>vivo</t>
        </is>
      </c>
      <c r="D3605" s="5" t="inlineStr">
        <is>
          <t>postpaid</t>
        </is>
      </c>
      <c r="E3605" s="5" t="inlineStr">
        <is>
          <t>SP</t>
        </is>
      </c>
      <c r="F3605" s="5" t="inlineStr">
        <is>
          <t>Vivo Pós com Premiere</t>
        </is>
      </c>
      <c r="G3605" s="5" t="inlineStr">
        <is>
          <t>vivo:VIV202600034579</t>
        </is>
      </c>
      <c r="H3605" s="6" t="n">
        <v>180</v>
      </c>
      <c r="I3605" s="6" t="inlineStr"/>
      <c r="J3605" s="5" t="inlineStr"/>
      <c r="K3605" s="5" t="inlineStr"/>
      <c r="L3605" s="7" t="n">
        <v>60</v>
      </c>
      <c r="M3605" s="5" t="inlineStr">
        <is>
          <t>50 GB de franquia 10 GB de bônus</t>
        </is>
      </c>
      <c r="N3605" s="5" t="inlineStr"/>
      <c r="O3605" s="5" t="inlineStr"/>
      <c r="P3605" s="5" t="inlineStr"/>
      <c r="Q3605" s="5" t="inlineStr"/>
      <c r="R3605" s="5" t="inlineStr">
        <is>
          <t>Premiere</t>
        </is>
      </c>
      <c r="S3605" s="5" t="inlineStr"/>
      <c r="T3605" s="5" t="inlineStr">
        <is>
          <t>Assinatura Premiere inclusa</t>
        </is>
      </c>
      <c r="U3605" s="5" t="inlineStr">
        <is>
          <t>https://vivo.com.br/para-voce/produtos-e-servicos/para-o-celular/planos-pos-pago</t>
        </is>
      </c>
      <c r="V3605" s="5" t="inlineStr">
        <is>
          <t>data/raw/vivo_postpaid_SP.html</t>
        </is>
      </c>
    </row>
    <row r="3606">
      <c r="A3606" s="2" t="inlineStr">
        <is>
          <t>2026-08-25</t>
        </is>
      </c>
      <c r="B3606" s="2" t="inlineStr">
        <is>
          <t>2026-08-25T18:23:38</t>
        </is>
      </c>
      <c r="C3606" s="2" t="inlineStr">
        <is>
          <t>vivo</t>
        </is>
      </c>
      <c r="D3606" s="2" t="inlineStr">
        <is>
          <t>postpaid</t>
        </is>
      </c>
      <c r="E3606" s="2" t="inlineStr">
        <is>
          <t>SP</t>
        </is>
      </c>
      <c r="F3606" s="2" t="inlineStr">
        <is>
          <t>Vivo Pós com Spotify</t>
        </is>
      </c>
      <c r="G3606" s="2" t="inlineStr">
        <is>
          <t>vivo:VIV202600034556</t>
        </is>
      </c>
      <c r="H3606" s="3" t="n">
        <v>165</v>
      </c>
      <c r="I3606" s="3" t="inlineStr"/>
      <c r="J3606" s="2" t="inlineStr"/>
      <c r="K3606" s="2" t="inlineStr"/>
      <c r="L3606" s="4" t="n">
        <v>60</v>
      </c>
      <c r="M3606" s="2" t="inlineStr">
        <is>
          <t>50 GB de franquia 10 GB de bônus</t>
        </is>
      </c>
      <c r="N3606" s="2" t="inlineStr"/>
      <c r="O3606" s="2" t="inlineStr"/>
      <c r="P3606" s="2" t="inlineStr"/>
      <c r="Q3606" s="2" t="inlineStr"/>
      <c r="R3606" s="2" t="inlineStr">
        <is>
          <t>Spotify</t>
        </is>
      </c>
      <c r="S3606" s="2" t="inlineStr"/>
      <c r="T3606" s="2" t="inlineStr">
        <is>
          <t>Assinatura Spotify Premium inclusa</t>
        </is>
      </c>
      <c r="U3606" s="2" t="inlineStr">
        <is>
          <t>https://vivo.com.br/para-voce/produtos-e-servicos/para-o-celular/planos-pos-pago</t>
        </is>
      </c>
      <c r="V3606" s="2" t="inlineStr">
        <is>
          <t>data/raw/vivo_postpaid_SP.html</t>
        </is>
      </c>
    </row>
    <row r="3607">
      <c r="A3607" s="5" t="inlineStr">
        <is>
          <t>2026-08-25</t>
        </is>
      </c>
      <c r="B3607" s="5" t="inlineStr">
        <is>
          <t>2026-08-25T18:23:38</t>
        </is>
      </c>
      <c r="C3607" s="5" t="inlineStr">
        <is>
          <t>vivo</t>
        </is>
      </c>
      <c r="D3607" s="5" t="inlineStr">
        <is>
          <t>postpaid</t>
        </is>
      </c>
      <c r="E3607" s="5" t="inlineStr">
        <is>
          <t>SP</t>
        </is>
      </c>
      <c r="F3607" s="5" t="inlineStr">
        <is>
          <t>Vivo Pós com Travel</t>
        </is>
      </c>
      <c r="G3607" s="5" t="inlineStr">
        <is>
          <t>vivo:VIV202600034573</t>
        </is>
      </c>
      <c r="H3607" s="6" t="n">
        <v>215</v>
      </c>
      <c r="I3607" s="6" t="inlineStr"/>
      <c r="J3607" s="5" t="inlineStr"/>
      <c r="K3607" s="5" t="inlineStr"/>
      <c r="L3607" s="7" t="n">
        <v>70</v>
      </c>
      <c r="M3607" s="5" t="inlineStr">
        <is>
          <t>60 GB de franquia 10 GB de bônus</t>
        </is>
      </c>
      <c r="N3607" s="5" t="inlineStr"/>
      <c r="O3607" s="5" t="inlineStr"/>
      <c r="P3607" s="5" t="inlineStr"/>
      <c r="Q3607" s="5" t="inlineStr"/>
      <c r="R3607" s="5" t="inlineStr"/>
      <c r="S3607" s="5" t="inlineStr"/>
      <c r="T3607" s="5" t="inlineStr">
        <is>
          <t>2 meses de YouTube sem consumo no plano</t>
        </is>
      </c>
      <c r="U3607" s="5" t="inlineStr">
        <is>
          <t>https://vivo.com.br/para-voce/produtos-e-servicos/para-o-celular/planos-pos-pago</t>
        </is>
      </c>
      <c r="V3607" s="5" t="inlineStr">
        <is>
          <t>data/raw/vivo_postpaid_SP.html</t>
        </is>
      </c>
    </row>
    <row r="3608">
      <c r="A3608" s="2" t="inlineStr">
        <is>
          <t>2026-08-25</t>
        </is>
      </c>
      <c r="B3608" s="2" t="inlineStr">
        <is>
          <t>2026-08-25T18:23:38</t>
        </is>
      </c>
      <c r="C3608" s="2" t="inlineStr">
        <is>
          <t>vivo</t>
        </is>
      </c>
      <c r="D3608" s="2" t="inlineStr">
        <is>
          <t>prepaid</t>
        </is>
      </c>
      <c r="E3608" s="2" t="inlineStr">
        <is>
          <t>SP</t>
        </is>
      </c>
      <c r="F3608" s="2" t="inlineStr">
        <is>
          <t>Vivo Pré</t>
        </is>
      </c>
      <c r="G3608" s="2" t="inlineStr">
        <is>
          <t>vivo:VIV202600029370-30d</t>
        </is>
      </c>
      <c r="H3608" s="3" t="n">
        <v>30</v>
      </c>
      <c r="I3608" s="3" t="inlineStr"/>
      <c r="J3608" s="2" t="inlineStr"/>
      <c r="K3608" s="2" t="inlineStr"/>
      <c r="L3608" s="4" t="n">
        <v>25</v>
      </c>
      <c r="M3608" s="2" t="inlineStr">
        <is>
          <t>15 GB para navegar como quiser 5 GB de bônus 5 GB para navegar no Youtube</t>
        </is>
      </c>
      <c r="N3608" s="2" t="n">
        <v>30</v>
      </c>
      <c r="O3608" s="2" t="inlineStr"/>
      <c r="P3608" s="2" t="inlineStr"/>
      <c r="Q3608" s="2" t="inlineStr"/>
      <c r="R3608" s="2" t="inlineStr"/>
      <c r="S3608" s="2" t="inlineStr"/>
      <c r="T3608" s="2" t="inlineStr"/>
      <c r="U3608" s="2" t="inlineStr">
        <is>
          <t>https://vivo.com.br/para-voce/produtos-e-servicos/para-o-celular/pre-pago/vivo-pre</t>
        </is>
      </c>
      <c r="V3608" s="2" t="inlineStr">
        <is>
          <t>data/raw/vivo_prepaid_SP.html</t>
        </is>
      </c>
    </row>
    <row r="3609">
      <c r="A3609" s="5" t="inlineStr">
        <is>
          <t>2026-08-25</t>
        </is>
      </c>
      <c r="B3609" s="5" t="inlineStr">
        <is>
          <t>2026-08-25T18:23:38</t>
        </is>
      </c>
      <c r="C3609" s="5" t="inlineStr">
        <is>
          <t>vivo</t>
        </is>
      </c>
      <c r="D3609" s="5" t="inlineStr">
        <is>
          <t>prepaid</t>
        </is>
      </c>
      <c r="E3609" s="5" t="inlineStr">
        <is>
          <t>SP</t>
        </is>
      </c>
      <c r="F3609" s="5" t="inlineStr">
        <is>
          <t>Vivo Pré</t>
        </is>
      </c>
      <c r="G3609" s="5" t="inlineStr">
        <is>
          <t>vivo:VIV202600029370-22d</t>
        </is>
      </c>
      <c r="H3609" s="6" t="n">
        <v>25</v>
      </c>
      <c r="I3609" s="6" t="inlineStr"/>
      <c r="J3609" s="5" t="inlineStr"/>
      <c r="K3609" s="5" t="inlineStr"/>
      <c r="L3609" s="7" t="n">
        <v>9</v>
      </c>
      <c r="M3609" s="5" t="inlineStr">
        <is>
          <t>6 GB para navegar como quiser 3 GB para navegar no YouTube</t>
        </is>
      </c>
      <c r="N3609" s="5" t="n">
        <v>22</v>
      </c>
      <c r="O3609" s="5" t="inlineStr"/>
      <c r="P3609" s="5" t="inlineStr"/>
      <c r="Q3609" s="5" t="inlineStr"/>
      <c r="R3609" s="5" t="inlineStr"/>
      <c r="S3609" s="5" t="inlineStr"/>
      <c r="T3609" s="5" t="inlineStr"/>
      <c r="U3609" s="5" t="inlineStr">
        <is>
          <t>https://vivo.com.br/para-voce/produtos-e-servicos/para-o-celular/pre-pago/vivo-pre</t>
        </is>
      </c>
      <c r="V3609" s="5" t="inlineStr">
        <is>
          <t>data/raw/vivo_prepaid_SP.html</t>
        </is>
      </c>
    </row>
    <row r="3610">
      <c r="A3610" s="2" t="inlineStr">
        <is>
          <t>2026-08-25</t>
        </is>
      </c>
      <c r="B3610" s="2" t="inlineStr">
        <is>
          <t>2026-08-25T18:23:38</t>
        </is>
      </c>
      <c r="C3610" s="2" t="inlineStr">
        <is>
          <t>vivo</t>
        </is>
      </c>
      <c r="D3610" s="2" t="inlineStr">
        <is>
          <t>prepaid</t>
        </is>
      </c>
      <c r="E3610" s="2" t="inlineStr">
        <is>
          <t>SP</t>
        </is>
      </c>
      <c r="F3610" s="2" t="inlineStr">
        <is>
          <t>Vivo Pré</t>
        </is>
      </c>
      <c r="G3610" s="2" t="inlineStr">
        <is>
          <t>vivo:VIV202600029370-17d</t>
        </is>
      </c>
      <c r="H3610" s="3" t="n">
        <v>20</v>
      </c>
      <c r="I3610" s="3" t="inlineStr"/>
      <c r="J3610" s="2" t="inlineStr"/>
      <c r="K3610" s="2" t="inlineStr"/>
      <c r="L3610" s="4" t="n">
        <v>5</v>
      </c>
      <c r="M3610" s="2" t="inlineStr">
        <is>
          <t>5 GB para navegar como quiser</t>
        </is>
      </c>
      <c r="N3610" s="2" t="n">
        <v>17</v>
      </c>
      <c r="O3610" s="2" t="inlineStr"/>
      <c r="P3610" s="2" t="inlineStr"/>
      <c r="Q3610" s="2" t="inlineStr"/>
      <c r="R3610" s="2" t="inlineStr"/>
      <c r="S3610" s="2" t="inlineStr"/>
      <c r="T3610" s="2" t="inlineStr"/>
      <c r="U3610" s="2" t="inlineStr">
        <is>
          <t>https://vivo.com.br/para-voce/produtos-e-servicos/para-o-celular/pre-pago/vivo-pre</t>
        </is>
      </c>
      <c r="V3610" s="2" t="inlineStr">
        <is>
          <t>data/raw/vivo_prepaid_SP.html</t>
        </is>
      </c>
    </row>
    <row r="3611">
      <c r="A3611" s="5" t="inlineStr">
        <is>
          <t>2026-08-25</t>
        </is>
      </c>
      <c r="B3611" s="5" t="inlineStr">
        <is>
          <t>2026-08-25T18:23:38</t>
        </is>
      </c>
      <c r="C3611" s="5" t="inlineStr">
        <is>
          <t>vivo</t>
        </is>
      </c>
      <c r="D3611" s="5" t="inlineStr">
        <is>
          <t>prepaid</t>
        </is>
      </c>
      <c r="E3611" s="5" t="inlineStr">
        <is>
          <t>SP</t>
        </is>
      </c>
      <c r="F3611" s="5" t="inlineStr">
        <is>
          <t>Vivo Pré</t>
        </is>
      </c>
      <c r="G3611" s="5" t="inlineStr">
        <is>
          <t>vivo:VIV202600029370-15d</t>
        </is>
      </c>
      <c r="H3611" s="6" t="n">
        <v>17</v>
      </c>
      <c r="I3611" s="6" t="inlineStr"/>
      <c r="J3611" s="5" t="inlineStr"/>
      <c r="K3611" s="5" t="inlineStr"/>
      <c r="L3611" s="7" t="n">
        <v>4</v>
      </c>
      <c r="M3611" s="5" t="inlineStr">
        <is>
          <t>4 GB para navegar como quiser</t>
        </is>
      </c>
      <c r="N3611" s="5" t="n">
        <v>15</v>
      </c>
      <c r="O3611" s="5" t="inlineStr"/>
      <c r="P3611" s="5" t="inlineStr"/>
      <c r="Q3611" s="5" t="inlineStr"/>
      <c r="R3611" s="5" t="inlineStr"/>
      <c r="S3611" s="5" t="inlineStr"/>
      <c r="T3611" s="5" t="inlineStr"/>
      <c r="U3611" s="5" t="inlineStr">
        <is>
          <t>https://vivo.com.br/para-voce/produtos-e-servicos/para-o-celular/pre-pago/vivo-pre</t>
        </is>
      </c>
      <c r="V3611" s="5" t="inlineStr">
        <is>
          <t>data/raw/vivo_prepaid_SP.html</t>
        </is>
      </c>
    </row>
    <row r="3612">
      <c r="A3612" s="2" t="inlineStr">
        <is>
          <t>2026-08-26</t>
        </is>
      </c>
      <c r="B3612" s="2" t="inlineStr">
        <is>
          <t>2026-08-26T21:24:35</t>
        </is>
      </c>
      <c r="C3612" s="2" t="inlineStr">
        <is>
          <t>claro</t>
        </is>
      </c>
      <c r="D3612" s="2" t="inlineStr">
        <is>
          <t>control</t>
        </is>
      </c>
      <c r="E3612" s="2" t="inlineStr">
        <is>
          <t>SP</t>
        </is>
      </c>
      <c r="F3612" s="2" t="inlineStr">
        <is>
          <t>Controle 25GB</t>
        </is>
      </c>
      <c r="G3612" s="2" t="inlineStr">
        <is>
          <t>claro:plano-controle-25gb</t>
        </is>
      </c>
      <c r="H3612" s="3" t="n">
        <v>59.9</v>
      </c>
      <c r="I3612" s="3" t="n">
        <v>54.9</v>
      </c>
      <c r="J3612" s="2" t="inlineStr">
        <is>
          <t>De R$ 59,90 Por:</t>
        </is>
      </c>
      <c r="K3612" s="2" t="inlineStr"/>
      <c r="L3612" s="4" t="n">
        <v>25</v>
      </c>
      <c r="M3612" s="2" t="inlineStr"/>
      <c r="N3612" s="2" t="inlineStr"/>
      <c r="O3612" s="2" t="inlineStr">
        <is>
          <t>WhatsApp</t>
        </is>
      </c>
      <c r="P3612" s="2" t="inlineStr"/>
      <c r="Q3612" s="2" t="inlineStr"/>
      <c r="R3612" s="2" t="inlineStr"/>
      <c r="S3612" s="2" t="inlineStr"/>
      <c r="T3612" s="2" t="inlineStr">
        <is>
          <t>Para uso livre; Para redes sociais e vídeos; Bônus exclusivo; Aproveite na sua franquia; WhatsApp e ligações ilimitadas</t>
        </is>
      </c>
      <c r="U3612" s="2" t="inlineStr">
        <is>
          <t>https://www.claro.com.br/celular/controle</t>
        </is>
      </c>
      <c r="V3612" s="2" t="inlineStr">
        <is>
          <t>data/raw/claro_control_SP.json</t>
        </is>
      </c>
    </row>
    <row r="3613">
      <c r="A3613" s="5" t="inlineStr">
        <is>
          <t>2026-08-26</t>
        </is>
      </c>
      <c r="B3613" s="5" t="inlineStr">
        <is>
          <t>2026-08-26T21:24:35</t>
        </is>
      </c>
      <c r="C3613" s="5" t="inlineStr">
        <is>
          <t>claro</t>
        </is>
      </c>
      <c r="D3613" s="5" t="inlineStr">
        <is>
          <t>control</t>
        </is>
      </c>
      <c r="E3613" s="5" t="inlineStr">
        <is>
          <t>SP</t>
        </is>
      </c>
      <c r="F3613" s="5" t="inlineStr">
        <is>
          <t>Controle 30GB</t>
        </is>
      </c>
      <c r="G3613" s="5" t="inlineStr">
        <is>
          <t>claro:plano-controle-30gb</t>
        </is>
      </c>
      <c r="H3613" s="6" t="n">
        <v>69.90000000000001</v>
      </c>
      <c r="I3613" s="6" t="inlineStr"/>
      <c r="J3613" s="5" t="inlineStr"/>
      <c r="K3613" s="5" t="inlineStr"/>
      <c r="L3613" s="7" t="n">
        <v>30</v>
      </c>
      <c r="M3613" s="5" t="inlineStr"/>
      <c r="N3613" s="5" t="inlineStr"/>
      <c r="O3613" s="5" t="inlineStr">
        <is>
          <t>WhatsApp</t>
        </is>
      </c>
      <c r="P3613" s="5" t="inlineStr"/>
      <c r="Q3613" s="5" t="inlineStr"/>
      <c r="R3613" s="5" t="inlineStr"/>
      <c r="S3613" s="5" t="inlineStr"/>
      <c r="T3613" s="5" t="inlineStr">
        <is>
          <t>Para uso livre; Bônus para uso livre; Bônus para redes sociais e apps; Assinatura Amazon Prime por 3 meses; Redes sociais e apps; WhatsApp ilimitado</t>
        </is>
      </c>
      <c r="U3613" s="5" t="inlineStr">
        <is>
          <t>https://www.claro.com.br/celular/controle</t>
        </is>
      </c>
      <c r="V3613" s="5" t="inlineStr">
        <is>
          <t>data/raw/claro_control_SP.json</t>
        </is>
      </c>
    </row>
    <row r="3614">
      <c r="A3614" s="2" t="inlineStr">
        <is>
          <t>2026-08-26</t>
        </is>
      </c>
      <c r="B3614" s="2" t="inlineStr">
        <is>
          <t>2026-08-26T21:24:35</t>
        </is>
      </c>
      <c r="C3614" s="2" t="inlineStr">
        <is>
          <t>claro</t>
        </is>
      </c>
      <c r="D3614" s="2" t="inlineStr">
        <is>
          <t>control</t>
        </is>
      </c>
      <c r="E3614" s="2" t="inlineStr">
        <is>
          <t>SP</t>
        </is>
      </c>
      <c r="F3614" s="2" t="inlineStr">
        <is>
          <t>Controle 30GB</t>
        </is>
      </c>
      <c r="G3614" s="2" t="inlineStr">
        <is>
          <t>claro:plano-controle-30gb-gaming</t>
        </is>
      </c>
      <c r="H3614" s="3" t="n">
        <v>99.90000000000001</v>
      </c>
      <c r="I3614" s="3" t="inlineStr"/>
      <c r="J3614" s="2" t="inlineStr"/>
      <c r="K3614" s="2" t="inlineStr"/>
      <c r="L3614" s="4" t="n">
        <v>30</v>
      </c>
      <c r="M3614" s="2" t="inlineStr"/>
      <c r="N3614" s="2" t="inlineStr"/>
      <c r="O3614" s="2" t="inlineStr">
        <is>
          <t>WhatsApp</t>
        </is>
      </c>
      <c r="P3614" s="2" t="inlineStr"/>
      <c r="Q3614" s="2" t="inlineStr"/>
      <c r="R3614" s="2" t="inlineStr"/>
      <c r="S3614" s="2" t="inlineStr"/>
      <c r="T3614" s="2" t="inlineStr">
        <is>
          <t>Para uso livre; Bônus para redes sociais e apps; Bônus uso livre; Assinatura Amazon Prime por 3 meses; Redes sociais e apps; WhatsApp ilimitado</t>
        </is>
      </c>
      <c r="U3614" s="2" t="inlineStr">
        <is>
          <t>https://www.claro.com.br/celular/controle</t>
        </is>
      </c>
      <c r="V3614" s="2" t="inlineStr">
        <is>
          <t>data/raw/claro_control_SP.json</t>
        </is>
      </c>
    </row>
    <row r="3615">
      <c r="A3615" s="5" t="inlineStr">
        <is>
          <t>2026-08-26</t>
        </is>
      </c>
      <c r="B3615" s="5" t="inlineStr">
        <is>
          <t>2026-08-26T21:24:35</t>
        </is>
      </c>
      <c r="C3615" s="5" t="inlineStr">
        <is>
          <t>claro</t>
        </is>
      </c>
      <c r="D3615" s="5" t="inlineStr">
        <is>
          <t>flex</t>
        </is>
      </c>
      <c r="E3615" s="5" t="inlineStr">
        <is>
          <t>SP</t>
        </is>
      </c>
      <c r="F3615" s="5" t="inlineStr">
        <is>
          <t>Flex 15GB</t>
        </is>
      </c>
      <c r="G3615" s="5" t="inlineStr">
        <is>
          <t>claro:plano-flex-15gb</t>
        </is>
      </c>
      <c r="H3615" s="6" t="n">
        <v>44.9</v>
      </c>
      <c r="I3615" s="6" t="inlineStr"/>
      <c r="J3615" s="5" t="inlineStr"/>
      <c r="K3615" s="5" t="inlineStr"/>
      <c r="L3615" s="7" t="n">
        <v>15</v>
      </c>
      <c r="M3615" s="5" t="inlineStr"/>
      <c r="N3615" s="5" t="inlineStr"/>
      <c r="O3615" s="5" t="inlineStr">
        <is>
          <t>WhatsApp</t>
        </is>
      </c>
      <c r="P3615" s="5" t="inlineStr"/>
      <c r="Q3615" s="5" t="inlineStr"/>
      <c r="R3615" s="5" t="inlineStr"/>
      <c r="S3615" s="5" t="inlineStr"/>
      <c r="T3615" s="5" t="inlineStr">
        <is>
          <t>Para uso livre; Bônus Pais para uso livre; Para redes sociais e apps; Bônus extra nos apps; WhatsApp ilimitado</t>
        </is>
      </c>
      <c r="U3615" s="5" t="inlineStr">
        <is>
          <t>https://www.claro.com.br/celular/flex</t>
        </is>
      </c>
      <c r="V3615" s="5" t="inlineStr">
        <is>
          <t>data/raw/claro_flex_SP.json</t>
        </is>
      </c>
    </row>
    <row r="3616">
      <c r="A3616" s="2" t="inlineStr">
        <is>
          <t>2026-08-26</t>
        </is>
      </c>
      <c r="B3616" s="2" t="inlineStr">
        <is>
          <t>2026-08-26T21:24:35</t>
        </is>
      </c>
      <c r="C3616" s="2" t="inlineStr">
        <is>
          <t>claro</t>
        </is>
      </c>
      <c r="D3616" s="2" t="inlineStr">
        <is>
          <t>flex</t>
        </is>
      </c>
      <c r="E3616" s="2" t="inlineStr">
        <is>
          <t>SP</t>
        </is>
      </c>
      <c r="F3616" s="2" t="inlineStr">
        <is>
          <t>Flex 20GB</t>
        </is>
      </c>
      <c r="G3616" s="2" t="inlineStr">
        <is>
          <t>claro:plano-flex-20gb</t>
        </is>
      </c>
      <c r="H3616" s="3" t="n">
        <v>59.9</v>
      </c>
      <c r="I3616" s="3" t="inlineStr"/>
      <c r="J3616" s="2" t="inlineStr"/>
      <c r="K3616" s="2" t="inlineStr"/>
      <c r="L3616" s="4" t="n">
        <v>20</v>
      </c>
      <c r="M3616" s="2" t="inlineStr"/>
      <c r="N3616" s="2" t="inlineStr"/>
      <c r="O3616" s="2" t="inlineStr">
        <is>
          <t>WhatsApp</t>
        </is>
      </c>
      <c r="P3616" s="2" t="inlineStr"/>
      <c r="Q3616" s="2" t="inlineStr"/>
      <c r="R3616" s="2" t="inlineStr"/>
      <c r="S3616" s="2" t="inlineStr"/>
      <c r="T3616" s="2" t="inlineStr">
        <is>
          <t>Para uso livre; Bônus Pais para uso livre; Para redes sociais e apps; Bônus extra nos apps; WhatsApp ilimitado</t>
        </is>
      </c>
      <c r="U3616" s="2" t="inlineStr">
        <is>
          <t>https://www.claro.com.br/celular/flex</t>
        </is>
      </c>
      <c r="V3616" s="2" t="inlineStr">
        <is>
          <t>data/raw/claro_flex_SP.json</t>
        </is>
      </c>
    </row>
    <row r="3617">
      <c r="A3617" s="5" t="inlineStr">
        <is>
          <t>2026-08-26</t>
        </is>
      </c>
      <c r="B3617" s="5" t="inlineStr">
        <is>
          <t>2026-08-26T21:24:35</t>
        </is>
      </c>
      <c r="C3617" s="5" t="inlineStr">
        <is>
          <t>claro</t>
        </is>
      </c>
      <c r="D3617" s="5" t="inlineStr">
        <is>
          <t>flex</t>
        </is>
      </c>
      <c r="E3617" s="5" t="inlineStr">
        <is>
          <t>SP</t>
        </is>
      </c>
      <c r="F3617" s="5" t="inlineStr">
        <is>
          <t>Flex 30GB</t>
        </is>
      </c>
      <c r="G3617" s="5" t="inlineStr">
        <is>
          <t>claro:plano-flex-30gb</t>
        </is>
      </c>
      <c r="H3617" s="6" t="n">
        <v>69.90000000000001</v>
      </c>
      <c r="I3617" s="6" t="inlineStr"/>
      <c r="J3617" s="5" t="inlineStr"/>
      <c r="K3617" s="5" t="inlineStr"/>
      <c r="L3617" s="7" t="n">
        <v>30</v>
      </c>
      <c r="M3617" s="5" t="inlineStr"/>
      <c r="N3617" s="5" t="inlineStr"/>
      <c r="O3617" s="5" t="inlineStr">
        <is>
          <t>WhatsApp</t>
        </is>
      </c>
      <c r="P3617" s="5" t="inlineStr"/>
      <c r="Q3617" s="5" t="inlineStr"/>
      <c r="R3617" s="5" t="inlineStr"/>
      <c r="S3617" s="5" t="inlineStr"/>
      <c r="T3617" s="5" t="inlineStr">
        <is>
          <t>Para uso livre; Bônus Pais para uso livre; Para redes sociais e apps; Bônus extra nos apps; WhatsApp ilimitado; Assinatura Claro musica inclusa</t>
        </is>
      </c>
      <c r="U3617" s="5" t="inlineStr">
        <is>
          <t>https://www.claro.com.br/celular/flex</t>
        </is>
      </c>
      <c r="V3617" s="5" t="inlineStr">
        <is>
          <t>data/raw/claro_flex_SP.json</t>
        </is>
      </c>
    </row>
    <row r="3618">
      <c r="A3618" s="2" t="inlineStr">
        <is>
          <t>2026-08-26</t>
        </is>
      </c>
      <c r="B3618" s="2" t="inlineStr">
        <is>
          <t>2026-08-26T21:24:35</t>
        </is>
      </c>
      <c r="C3618" s="2" t="inlineStr">
        <is>
          <t>claro</t>
        </is>
      </c>
      <c r="D3618" s="2" t="inlineStr">
        <is>
          <t>flex</t>
        </is>
      </c>
      <c r="E3618" s="2" t="inlineStr">
        <is>
          <t>SP</t>
        </is>
      </c>
      <c r="F3618" s="2" t="inlineStr">
        <is>
          <t>Flex 40GB</t>
        </is>
      </c>
      <c r="G3618" s="2" t="inlineStr">
        <is>
          <t>claro:plano-flex-40gb</t>
        </is>
      </c>
      <c r="H3618" s="3" t="n">
        <v>119.9</v>
      </c>
      <c r="I3618" s="3" t="inlineStr"/>
      <c r="J3618" s="2" t="inlineStr"/>
      <c r="K3618" s="2" t="inlineStr"/>
      <c r="L3618" s="4" t="n">
        <v>40</v>
      </c>
      <c r="M3618" s="2" t="inlineStr"/>
      <c r="N3618" s="2" t="inlineStr"/>
      <c r="O3618" s="2" t="inlineStr">
        <is>
          <t>WhatsApp</t>
        </is>
      </c>
      <c r="P3618" s="2" t="inlineStr"/>
      <c r="Q3618" s="2" t="inlineStr"/>
      <c r="R3618" s="2" t="inlineStr"/>
      <c r="S3618" s="2" t="inlineStr"/>
      <c r="T3618" s="2" t="inlineStr">
        <is>
          <t>Para uso livre; Para redes sociais e apps; Bônus extra nos apps; WhatsApp ilimitado; Assinatura Claro musica inclusa</t>
        </is>
      </c>
      <c r="U3618" s="2" t="inlineStr">
        <is>
          <t>https://www.claro.com.br/celular/flex</t>
        </is>
      </c>
      <c r="V3618" s="2" t="inlineStr">
        <is>
          <t>data/raw/claro_flex_SP.json</t>
        </is>
      </c>
    </row>
    <row r="3619">
      <c r="A3619" s="5" t="inlineStr">
        <is>
          <t>2026-08-26</t>
        </is>
      </c>
      <c r="B3619" s="5" t="inlineStr">
        <is>
          <t>2026-08-26T21:24:35</t>
        </is>
      </c>
      <c r="C3619" s="5" t="inlineStr">
        <is>
          <t>claro</t>
        </is>
      </c>
      <c r="D3619" s="5" t="inlineStr">
        <is>
          <t>postpaid</t>
        </is>
      </c>
      <c r="E3619" s="5" t="inlineStr">
        <is>
          <t>SP</t>
        </is>
      </c>
      <c r="F3619" s="5" t="inlineStr">
        <is>
          <t>Pós 100GB</t>
        </is>
      </c>
      <c r="G3619" s="5" t="inlineStr">
        <is>
          <t>claro:plano-pos-100gb</t>
        </is>
      </c>
      <c r="H3619" s="6" t="n">
        <v>179.9</v>
      </c>
      <c r="I3619" s="6" t="inlineStr"/>
      <c r="J3619" s="5" t="inlineStr"/>
      <c r="K3619" s="5" t="inlineStr"/>
      <c r="L3619" s="7" t="n">
        <v>100</v>
      </c>
      <c r="M3619" s="5" t="inlineStr"/>
      <c r="N3619" s="5" t="inlineStr"/>
      <c r="O3619" s="5" t="inlineStr">
        <is>
          <t>WhatsApp</t>
        </is>
      </c>
      <c r="P3619" s="5" t="inlineStr"/>
      <c r="Q3619" s="5" t="inlineStr"/>
      <c r="R3619" s="5" t="inlineStr"/>
      <c r="S3619" s="5" t="inlineStr"/>
      <c r="T3619" s="5" t="inlineStr">
        <is>
          <t>Armazenamento na nuvem:; Google One ou iCloud+; WhatsApp ilimitado; Assinatura Amazon Prime por 3 meses; Roaming: Passaporte Américas; Claro Sync: Smartwatch conectado</t>
        </is>
      </c>
      <c r="U3619" s="5" t="inlineStr">
        <is>
          <t>https://www.claro.com.br/celular/pos</t>
        </is>
      </c>
      <c r="V3619" s="5" t="inlineStr">
        <is>
          <t>data/raw/claro_postpaid_SP.json</t>
        </is>
      </c>
    </row>
    <row r="3620">
      <c r="A3620" s="2" t="inlineStr">
        <is>
          <t>2026-08-26</t>
        </is>
      </c>
      <c r="B3620" s="2" t="inlineStr">
        <is>
          <t>2026-08-26T21:24:35</t>
        </is>
      </c>
      <c r="C3620" s="2" t="inlineStr">
        <is>
          <t>claro</t>
        </is>
      </c>
      <c r="D3620" s="2" t="inlineStr">
        <is>
          <t>postpaid</t>
        </is>
      </c>
      <c r="E3620" s="2" t="inlineStr">
        <is>
          <t>SP</t>
        </is>
      </c>
      <c r="F3620" s="2" t="inlineStr">
        <is>
          <t>Pós 150GB</t>
        </is>
      </c>
      <c r="G3620" s="2" t="inlineStr">
        <is>
          <t>claro:plano-pos-150gb</t>
        </is>
      </c>
      <c r="H3620" s="3" t="n">
        <v>239.9</v>
      </c>
      <c r="I3620" s="3" t="inlineStr"/>
      <c r="J3620" s="2" t="inlineStr"/>
      <c r="K3620" s="2" t="inlineStr"/>
      <c r="L3620" s="4" t="n">
        <v>150</v>
      </c>
      <c r="M3620" s="2" t="inlineStr"/>
      <c r="N3620" s="2" t="inlineStr"/>
      <c r="O3620" s="2" t="inlineStr">
        <is>
          <t>WhatsApp</t>
        </is>
      </c>
      <c r="P3620" s="2" t="inlineStr"/>
      <c r="Q3620" s="2" t="inlineStr"/>
      <c r="R3620" s="2" t="inlineStr"/>
      <c r="S3620" s="2" t="inlineStr"/>
      <c r="T362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20" s="2" t="inlineStr">
        <is>
          <t>https://www.claro.com.br/celular/pos</t>
        </is>
      </c>
      <c r="V3620" s="2" t="inlineStr">
        <is>
          <t>data/raw/claro_postpaid_SP.json</t>
        </is>
      </c>
    </row>
    <row r="3621">
      <c r="A3621" s="5" t="inlineStr">
        <is>
          <t>2026-08-26</t>
        </is>
      </c>
      <c r="B3621" s="5" t="inlineStr">
        <is>
          <t>2026-08-26T21:24:35</t>
        </is>
      </c>
      <c r="C3621" s="5" t="inlineStr">
        <is>
          <t>claro</t>
        </is>
      </c>
      <c r="D3621" s="5" t="inlineStr">
        <is>
          <t>postpaid</t>
        </is>
      </c>
      <c r="E3621" s="5" t="inlineStr">
        <is>
          <t>SP</t>
        </is>
      </c>
      <c r="F3621" s="5" t="inlineStr">
        <is>
          <t>Pós 200GB</t>
        </is>
      </c>
      <c r="G3621" s="5" t="inlineStr">
        <is>
          <t>claro:plano-pos-200gb</t>
        </is>
      </c>
      <c r="H3621" s="6" t="n">
        <v>339.9</v>
      </c>
      <c r="I3621" s="6" t="inlineStr"/>
      <c r="J3621" s="5" t="inlineStr"/>
      <c r="K3621" s="5" t="inlineStr"/>
      <c r="L3621" s="7" t="n">
        <v>200</v>
      </c>
      <c r="M3621" s="5" t="inlineStr"/>
      <c r="N3621" s="5" t="inlineStr"/>
      <c r="O3621" s="5" t="inlineStr">
        <is>
          <t>WhatsApp</t>
        </is>
      </c>
      <c r="P3621" s="5" t="inlineStr"/>
      <c r="Q3621" s="5" t="inlineStr"/>
      <c r="R3621" s="5" t="inlineStr"/>
      <c r="S3621" s="5" t="inlineStr"/>
      <c r="T3621" s="5" t="inlineStr">
        <is>
          <t>Armazenamento na nuvem:; Google One (AI Plus) ou iCloud+; WhatsApp ilimitado; Assinatura Amazon Prime por 3 meses; Roaming: Passaporte Mundo; Claro Sync: Smartwatch conectado</t>
        </is>
      </c>
      <c r="U3621" s="5" t="inlineStr">
        <is>
          <t>https://www.claro.com.br/celular/pos</t>
        </is>
      </c>
      <c r="V3621" s="5" t="inlineStr">
        <is>
          <t>data/raw/claro_postpaid_SP.json</t>
        </is>
      </c>
    </row>
    <row r="3622">
      <c r="A3622" s="2" t="inlineStr">
        <is>
          <t>2026-08-26</t>
        </is>
      </c>
      <c r="B3622" s="2" t="inlineStr">
        <is>
          <t>2026-08-26T21:24:35</t>
        </is>
      </c>
      <c r="C3622" s="2" t="inlineStr">
        <is>
          <t>claro</t>
        </is>
      </c>
      <c r="D3622" s="2" t="inlineStr">
        <is>
          <t>postpaid</t>
        </is>
      </c>
      <c r="E3622" s="2" t="inlineStr">
        <is>
          <t>SP</t>
        </is>
      </c>
      <c r="F3622" s="2" t="inlineStr">
        <is>
          <t>Pós 50GB com GeForce NOW</t>
        </is>
      </c>
      <c r="G3622" s="2" t="inlineStr">
        <is>
          <t>claro:plano-pos-60gb-geforce</t>
        </is>
      </c>
      <c r="H3622" s="3" t="n">
        <v>164.9</v>
      </c>
      <c r="I3622" s="3" t="inlineStr"/>
      <c r="J3622" s="2" t="inlineStr"/>
      <c r="K3622" s="2" t="inlineStr"/>
      <c r="L3622" s="4" t="n">
        <v>50</v>
      </c>
      <c r="M3622" s="2" t="inlineStr"/>
      <c r="N3622" s="2" t="inlineStr"/>
      <c r="O3622" s="2" t="inlineStr">
        <is>
          <t>WhatsApp</t>
        </is>
      </c>
      <c r="P3622" s="2" t="inlineStr"/>
      <c r="Q3622" s="2" t="inlineStr"/>
      <c r="R3622" s="2" t="inlineStr"/>
      <c r="S3622" s="2" t="inlineStr"/>
      <c r="T362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22" s="2" t="inlineStr">
        <is>
          <t>https://www.claro.com.br/celular/pos</t>
        </is>
      </c>
      <c r="V3622" s="2" t="inlineStr">
        <is>
          <t>data/raw/claro_postpaid_SP.json</t>
        </is>
      </c>
    </row>
    <row r="3623">
      <c r="A3623" s="5" t="inlineStr">
        <is>
          <t>2026-08-26</t>
        </is>
      </c>
      <c r="B3623" s="5" t="inlineStr">
        <is>
          <t>2026-08-26T21:24:35</t>
        </is>
      </c>
      <c r="C3623" s="5" t="inlineStr">
        <is>
          <t>claro</t>
        </is>
      </c>
      <c r="D3623" s="5" t="inlineStr">
        <is>
          <t>postpaid</t>
        </is>
      </c>
      <c r="E3623" s="5" t="inlineStr">
        <is>
          <t>SP</t>
        </is>
      </c>
      <c r="F3623" s="5" t="inlineStr">
        <is>
          <t>Pós 60GB</t>
        </is>
      </c>
      <c r="G3623" s="5" t="inlineStr">
        <is>
          <t>claro:plano-pos-60gb</t>
        </is>
      </c>
      <c r="H3623" s="6" t="n">
        <v>124.9</v>
      </c>
      <c r="I3623" s="6" t="inlineStr"/>
      <c r="J3623" s="5" t="inlineStr"/>
      <c r="K3623" s="5" t="inlineStr"/>
      <c r="L3623" s="7" t="n">
        <v>60</v>
      </c>
      <c r="M3623" s="5" t="inlineStr"/>
      <c r="N3623" s="5" t="inlineStr"/>
      <c r="O3623" s="5" t="inlineStr">
        <is>
          <t>WhatsApp</t>
        </is>
      </c>
      <c r="P3623" s="5" t="inlineStr"/>
      <c r="Q3623" s="5" t="inlineStr"/>
      <c r="R3623" s="5" t="inlineStr"/>
      <c r="S3623" s="5" t="inlineStr"/>
      <c r="T3623" s="5" t="inlineStr">
        <is>
          <t>Armazenamento na nuvem:; Google One ou iCloud+; WhatsApp ilimitado; Assinatura Amazon Prime por 3 meses; Roaming: Passaporte Américas; Claro Sync: Smartwatch conectado</t>
        </is>
      </c>
      <c r="U3623" s="5" t="inlineStr">
        <is>
          <t>https://www.claro.com.br/celular/pos</t>
        </is>
      </c>
      <c r="V3623" s="5" t="inlineStr">
        <is>
          <t>data/raw/claro_postpaid_SP.json</t>
        </is>
      </c>
    </row>
    <row r="3624">
      <c r="A3624" s="2" t="inlineStr">
        <is>
          <t>2026-08-26</t>
        </is>
      </c>
      <c r="B3624" s="2" t="inlineStr">
        <is>
          <t>2026-08-26T21:24:35</t>
        </is>
      </c>
      <c r="C3624" s="2" t="inlineStr">
        <is>
          <t>claro</t>
        </is>
      </c>
      <c r="D3624" s="2" t="inlineStr">
        <is>
          <t>prepaid</t>
        </is>
      </c>
      <c r="E3624" s="2" t="inlineStr">
        <is>
          <t>SP</t>
        </is>
      </c>
      <c r="F3624" s="2" t="inlineStr">
        <is>
          <t>Prezão 10GB (25 dias)</t>
        </is>
      </c>
      <c r="G3624" s="2" t="inlineStr">
        <is>
          <t>claro:prezao-25d-10gb</t>
        </is>
      </c>
      <c r="H3624" s="3" t="n">
        <v>25</v>
      </c>
      <c r="I3624" s="3" t="inlineStr"/>
      <c r="J3624" s="2" t="inlineStr">
        <is>
          <t>recarga Prezão R$25 — validade 25 dias</t>
        </is>
      </c>
      <c r="K3624" s="2" t="inlineStr"/>
      <c r="L3624" s="4" t="n">
        <v>10</v>
      </c>
      <c r="M3624" s="2" t="inlineStr"/>
      <c r="N3624" s="2" t="n">
        <v>25</v>
      </c>
      <c r="O3624" s="2" t="inlineStr"/>
      <c r="P3624" s="2" t="inlineStr"/>
      <c r="Q3624" s="2" t="inlineStr"/>
      <c r="R3624" s="2" t="inlineStr"/>
      <c r="S3624" s="2" t="inlineStr"/>
      <c r="T3624" s="2" t="inlineStr"/>
      <c r="U3624" s="2" t="inlineStr">
        <is>
          <t>https://www.claro.com.br/celular/planos-pre/prezao</t>
        </is>
      </c>
      <c r="V3624" s="2" t="inlineStr">
        <is>
          <t>data/raw/claro_prepaid_SP.json</t>
        </is>
      </c>
    </row>
    <row r="3625">
      <c r="A3625" s="5" t="inlineStr">
        <is>
          <t>2026-08-26</t>
        </is>
      </c>
      <c r="B3625" s="5" t="inlineStr">
        <is>
          <t>2026-08-26T21:24:35</t>
        </is>
      </c>
      <c r="C3625" s="5" t="inlineStr">
        <is>
          <t>claro</t>
        </is>
      </c>
      <c r="D3625" s="5" t="inlineStr">
        <is>
          <t>prepaid</t>
        </is>
      </c>
      <c r="E3625" s="5" t="inlineStr">
        <is>
          <t>SP</t>
        </is>
      </c>
      <c r="F3625" s="5" t="inlineStr">
        <is>
          <t>Prezão 12GB (30 dias)</t>
        </is>
      </c>
      <c r="G3625" s="5" t="inlineStr">
        <is>
          <t>claro:prezao-30d-12gb</t>
        </is>
      </c>
      <c r="H3625" s="6" t="n">
        <v>30</v>
      </c>
      <c r="I3625" s="6" t="inlineStr"/>
      <c r="J3625" s="5" t="inlineStr">
        <is>
          <t>recarga Prezão R$30 — validade 30 dias</t>
        </is>
      </c>
      <c r="K3625" s="5" t="inlineStr"/>
      <c r="L3625" s="7" t="n">
        <v>12</v>
      </c>
      <c r="M3625" s="5" t="inlineStr"/>
      <c r="N3625" s="5" t="n">
        <v>30</v>
      </c>
      <c r="O3625" s="5" t="inlineStr"/>
      <c r="P3625" s="5" t="inlineStr"/>
      <c r="Q3625" s="5" t="inlineStr"/>
      <c r="R3625" s="5" t="inlineStr"/>
      <c r="S3625" s="5" t="inlineStr"/>
      <c r="T3625" s="5" t="inlineStr"/>
      <c r="U3625" s="5" t="inlineStr">
        <is>
          <t>https://www.claro.com.br/celular/planos-pre/prezao</t>
        </is>
      </c>
      <c r="V3625" s="5" t="inlineStr">
        <is>
          <t>data/raw/claro_prepaid_SP.json</t>
        </is>
      </c>
    </row>
    <row r="3626">
      <c r="A3626" s="2" t="inlineStr">
        <is>
          <t>2026-08-26</t>
        </is>
      </c>
      <c r="B3626" s="2" t="inlineStr">
        <is>
          <t>2026-08-26T21:24:35</t>
        </is>
      </c>
      <c r="C3626" s="2" t="inlineStr">
        <is>
          <t>claro</t>
        </is>
      </c>
      <c r="D3626" s="2" t="inlineStr">
        <is>
          <t>prepaid</t>
        </is>
      </c>
      <c r="E3626" s="2" t="inlineStr">
        <is>
          <t>SP</t>
        </is>
      </c>
      <c r="F3626" s="2" t="inlineStr">
        <is>
          <t>Prezão 4GB (12 dias)</t>
        </is>
      </c>
      <c r="G3626" s="2" t="inlineStr">
        <is>
          <t>claro:prezao-12d-4gb</t>
        </is>
      </c>
      <c r="H3626" s="3" t="n">
        <v>15</v>
      </c>
      <c r="I3626" s="3" t="inlineStr"/>
      <c r="J3626" s="2" t="inlineStr">
        <is>
          <t>recarga Prezão R$15 — validade 12 dias</t>
        </is>
      </c>
      <c r="K3626" s="2" t="inlineStr"/>
      <c r="L3626" s="4" t="n">
        <v>4</v>
      </c>
      <c r="M3626" s="2" t="inlineStr"/>
      <c r="N3626" s="2" t="n">
        <v>12</v>
      </c>
      <c r="O3626" s="2" t="inlineStr"/>
      <c r="P3626" s="2" t="inlineStr"/>
      <c r="Q3626" s="2" t="inlineStr"/>
      <c r="R3626" s="2" t="inlineStr"/>
      <c r="S3626" s="2" t="inlineStr"/>
      <c r="T3626" s="2" t="inlineStr"/>
      <c r="U3626" s="2" t="inlineStr">
        <is>
          <t>https://www.claro.com.br/celular/planos-pre/prezao</t>
        </is>
      </c>
      <c r="V3626" s="2" t="inlineStr">
        <is>
          <t>data/raw/claro_prepaid_SP.json</t>
        </is>
      </c>
    </row>
    <row r="3627">
      <c r="A3627" s="5" t="inlineStr">
        <is>
          <t>2026-08-26</t>
        </is>
      </c>
      <c r="B3627" s="5" t="inlineStr">
        <is>
          <t>2026-08-26T21:24:35</t>
        </is>
      </c>
      <c r="C3627" s="5" t="inlineStr">
        <is>
          <t>claro</t>
        </is>
      </c>
      <c r="D3627" s="5" t="inlineStr">
        <is>
          <t>prepaid</t>
        </is>
      </c>
      <c r="E3627" s="5" t="inlineStr">
        <is>
          <t>SP</t>
        </is>
      </c>
      <c r="F3627" s="5" t="inlineStr">
        <is>
          <t>Prezão 5GB (15 dias)</t>
        </is>
      </c>
      <c r="G3627" s="5" t="inlineStr">
        <is>
          <t>claro:prezao-15d-5gb</t>
        </is>
      </c>
      <c r="H3627" s="6" t="n">
        <v>15</v>
      </c>
      <c r="I3627" s="6" t="inlineStr"/>
      <c r="J3627" s="5" t="inlineStr">
        <is>
          <t>recarga Prezão R$15 — validade 15 dias</t>
        </is>
      </c>
      <c r="K3627" s="5" t="inlineStr"/>
      <c r="L3627" s="7" t="n">
        <v>5</v>
      </c>
      <c r="M3627" s="5" t="inlineStr"/>
      <c r="N3627" s="5" t="n">
        <v>15</v>
      </c>
      <c r="O3627" s="5" t="inlineStr"/>
      <c r="P3627" s="5" t="inlineStr"/>
      <c r="Q3627" s="5" t="inlineStr"/>
      <c r="R3627" s="5" t="inlineStr"/>
      <c r="S3627" s="5" t="inlineStr"/>
      <c r="T3627" s="5" t="inlineStr"/>
      <c r="U3627" s="5" t="inlineStr">
        <is>
          <t>https://www.claro.com.br/celular/planos-pre/prezao</t>
        </is>
      </c>
      <c r="V3627" s="5" t="inlineStr">
        <is>
          <t>data/raw/claro_prepaid_SP.json</t>
        </is>
      </c>
    </row>
    <row r="3628">
      <c r="A3628" s="2" t="inlineStr">
        <is>
          <t>2026-08-26</t>
        </is>
      </c>
      <c r="B3628" s="2" t="inlineStr">
        <is>
          <t>2026-08-26T21:24:35</t>
        </is>
      </c>
      <c r="C3628" s="2" t="inlineStr">
        <is>
          <t>claro</t>
        </is>
      </c>
      <c r="D3628" s="2" t="inlineStr">
        <is>
          <t>prepaid</t>
        </is>
      </c>
      <c r="E3628" s="2" t="inlineStr">
        <is>
          <t>SP</t>
        </is>
      </c>
      <c r="F3628" s="2" t="inlineStr">
        <is>
          <t>Prezão 6GB (20 dias)</t>
        </is>
      </c>
      <c r="G3628" s="2" t="inlineStr">
        <is>
          <t>claro:prezao-20d-6gb</t>
        </is>
      </c>
      <c r="H3628" s="3" t="n">
        <v>20</v>
      </c>
      <c r="I3628" s="3" t="inlineStr"/>
      <c r="J3628" s="2" t="inlineStr">
        <is>
          <t>recarga Prezão R$20 — validade 20 dias</t>
        </is>
      </c>
      <c r="K3628" s="2" t="inlineStr"/>
      <c r="L3628" s="4" t="n">
        <v>6</v>
      </c>
      <c r="M3628" s="2" t="inlineStr"/>
      <c r="N3628" s="2" t="n">
        <v>20</v>
      </c>
      <c r="O3628" s="2" t="inlineStr"/>
      <c r="P3628" s="2" t="inlineStr"/>
      <c r="Q3628" s="2" t="inlineStr"/>
      <c r="R3628" s="2" t="inlineStr"/>
      <c r="S3628" s="2" t="inlineStr"/>
      <c r="T3628" s="2" t="inlineStr"/>
      <c r="U3628" s="2" t="inlineStr">
        <is>
          <t>https://www.claro.com.br/celular/planos-pre/prezao</t>
        </is>
      </c>
      <c r="V3628" s="2" t="inlineStr">
        <is>
          <t>data/raw/claro_prepaid_SP.json</t>
        </is>
      </c>
    </row>
    <row r="3629">
      <c r="A3629" s="5" t="inlineStr">
        <is>
          <t>2026-08-26</t>
        </is>
      </c>
      <c r="B3629" s="5" t="inlineStr">
        <is>
          <t>2026-08-26T21:24:35</t>
        </is>
      </c>
      <c r="C3629" s="5" t="inlineStr">
        <is>
          <t>claro</t>
        </is>
      </c>
      <c r="D3629" s="5" t="inlineStr">
        <is>
          <t>prepaid</t>
        </is>
      </c>
      <c r="E3629" s="5" t="inlineStr">
        <is>
          <t>SP</t>
        </is>
      </c>
      <c r="F3629" s="5" t="inlineStr">
        <is>
          <t>Prezão 8GB (20 dias)</t>
        </is>
      </c>
      <c r="G3629" s="5" t="inlineStr">
        <is>
          <t>claro:prezao-20d-8gb</t>
        </is>
      </c>
      <c r="H3629" s="6" t="n">
        <v>20</v>
      </c>
      <c r="I3629" s="6" t="inlineStr"/>
      <c r="J3629" s="5" t="inlineStr">
        <is>
          <t>recarga Prezão R$20 — validade 20 dias</t>
        </is>
      </c>
      <c r="K3629" s="5" t="inlineStr"/>
      <c r="L3629" s="7" t="n">
        <v>8</v>
      </c>
      <c r="M3629" s="5" t="inlineStr"/>
      <c r="N3629" s="5" t="n">
        <v>20</v>
      </c>
      <c r="O3629" s="5" t="inlineStr"/>
      <c r="P3629" s="5" t="inlineStr"/>
      <c r="Q3629" s="5" t="inlineStr"/>
      <c r="R3629" s="5" t="inlineStr"/>
      <c r="S3629" s="5" t="inlineStr"/>
      <c r="T3629" s="5" t="inlineStr"/>
      <c r="U3629" s="5" t="inlineStr">
        <is>
          <t>https://www.claro.com.br/celular/planos-pre/prezao</t>
        </is>
      </c>
      <c r="V3629" s="5" t="inlineStr">
        <is>
          <t>data/raw/claro_prepaid_SP.json</t>
        </is>
      </c>
    </row>
    <row r="3630">
      <c r="A3630" s="2" t="inlineStr">
        <is>
          <t>2026-08-26</t>
        </is>
      </c>
      <c r="B3630" s="2" t="inlineStr">
        <is>
          <t>2026-08-26T21:24:35</t>
        </is>
      </c>
      <c r="C3630" s="2" t="inlineStr">
        <is>
          <t>claro</t>
        </is>
      </c>
      <c r="D3630" s="2" t="inlineStr">
        <is>
          <t>prepaid</t>
        </is>
      </c>
      <c r="E3630" s="2" t="inlineStr">
        <is>
          <t>SP</t>
        </is>
      </c>
      <c r="F3630" s="2" t="inlineStr">
        <is>
          <t>Prezão 9GB (25 dias)</t>
        </is>
      </c>
      <c r="G3630" s="2" t="inlineStr">
        <is>
          <t>claro:prezao-25d-9gb</t>
        </is>
      </c>
      <c r="H3630" s="3" t="n">
        <v>25</v>
      </c>
      <c r="I3630" s="3" t="inlineStr"/>
      <c r="J3630" s="2" t="inlineStr">
        <is>
          <t>recarga Prezão R$25 — validade 25 dias</t>
        </is>
      </c>
      <c r="K3630" s="2" t="inlineStr"/>
      <c r="L3630" s="4" t="n">
        <v>9</v>
      </c>
      <c r="M3630" s="2" t="inlineStr"/>
      <c r="N3630" s="2" t="n">
        <v>25</v>
      </c>
      <c r="O3630" s="2" t="inlineStr"/>
      <c r="P3630" s="2" t="inlineStr"/>
      <c r="Q3630" s="2" t="inlineStr"/>
      <c r="R3630" s="2" t="inlineStr"/>
      <c r="S3630" s="2" t="inlineStr"/>
      <c r="T3630" s="2" t="inlineStr"/>
      <c r="U3630" s="2" t="inlineStr">
        <is>
          <t>https://www.claro.com.br/celular/planos-pre/prezao</t>
        </is>
      </c>
      <c r="V3630" s="2" t="inlineStr">
        <is>
          <t>data/raw/claro_prepaid_SP.json</t>
        </is>
      </c>
    </row>
    <row r="3631">
      <c r="A3631" s="5" t="inlineStr">
        <is>
          <t>2026-08-26</t>
        </is>
      </c>
      <c r="B3631" s="5" t="inlineStr">
        <is>
          <t>2026-08-26T21:24:35</t>
        </is>
      </c>
      <c r="C3631" s="5" t="inlineStr">
        <is>
          <t>tim</t>
        </is>
      </c>
      <c r="D3631" s="5" t="inlineStr">
        <is>
          <t>control</t>
        </is>
      </c>
      <c r="E3631" s="5" t="inlineStr">
        <is>
          <t>SP</t>
        </is>
      </c>
      <c r="F3631" s="5" t="inlineStr">
        <is>
          <t>TIM Controle 45GB</t>
        </is>
      </c>
      <c r="G3631" s="5" t="inlineStr">
        <is>
          <t>tim:181976</t>
        </is>
      </c>
      <c r="H3631" s="6" t="n">
        <v>58.99</v>
      </c>
      <c r="I3631" s="6" t="inlineStr"/>
      <c r="J3631" s="5" t="inlineStr"/>
      <c r="K3631" s="5" t="inlineStr"/>
      <c r="L3631" s="7" t="n">
        <v>45</v>
      </c>
      <c r="M3631" s="5" t="inlineStr"/>
      <c r="N3631" s="5" t="inlineStr"/>
      <c r="O3631" s="5" t="inlineStr"/>
      <c r="P3631" s="5" t="inlineStr"/>
      <c r="Q3631" s="5" t="inlineStr"/>
      <c r="R3631" s="5" t="inlineStr"/>
      <c r="S3631" s="5" t="inlineStr"/>
      <c r="T3631" s="5" t="inlineStr"/>
      <c r="U3631" s="5" t="inlineStr">
        <is>
          <t>https://www.tim.com.br/sp/para-voce/planos/controle</t>
        </is>
      </c>
      <c r="V3631" s="5" t="inlineStr">
        <is>
          <t>data/raw/tim_control_SP.html</t>
        </is>
      </c>
    </row>
    <row r="3632">
      <c r="A3632" s="2" t="inlineStr">
        <is>
          <t>2026-08-26</t>
        </is>
      </c>
      <c r="B3632" s="2" t="inlineStr">
        <is>
          <t>2026-08-26T21:24:35</t>
        </is>
      </c>
      <c r="C3632" s="2" t="inlineStr">
        <is>
          <t>tim</t>
        </is>
      </c>
      <c r="D3632" s="2" t="inlineStr">
        <is>
          <t>control</t>
        </is>
      </c>
      <c r="E3632" s="2" t="inlineStr">
        <is>
          <t>SP</t>
        </is>
      </c>
      <c r="F3632" s="2" t="inlineStr">
        <is>
          <t>TIM Controle Light Express 45GB</t>
        </is>
      </c>
      <c r="G3632" s="2" t="inlineStr">
        <is>
          <t>tim:167726</t>
        </is>
      </c>
      <c r="H3632" s="3" t="n">
        <v>60.99</v>
      </c>
      <c r="I3632" s="3" t="inlineStr"/>
      <c r="J3632" s="2" t="inlineStr"/>
      <c r="K3632" s="2" t="inlineStr"/>
      <c r="L3632" s="4" t="n">
        <v>45</v>
      </c>
      <c r="M3632" s="2" t="inlineStr"/>
      <c r="N3632" s="2" t="inlineStr"/>
      <c r="O3632" s="2" t="inlineStr"/>
      <c r="P3632" s="2" t="inlineStr"/>
      <c r="Q3632" s="2" t="inlineStr"/>
      <c r="R3632" s="2" t="inlineStr"/>
      <c r="S3632" s="2" t="inlineStr"/>
      <c r="T3632" s="2" t="inlineStr"/>
      <c r="U3632" s="2" t="inlineStr">
        <is>
          <t>https://www.tim.com.br/sp/para-voce/planos/controle</t>
        </is>
      </c>
      <c r="V3632" s="2" t="inlineStr">
        <is>
          <t>data/raw/tim_control_SP.html</t>
        </is>
      </c>
    </row>
    <row r="3633">
      <c r="A3633" s="5" t="inlineStr">
        <is>
          <t>2026-08-26</t>
        </is>
      </c>
      <c r="B3633" s="5" t="inlineStr">
        <is>
          <t>2026-08-26T21:24:35</t>
        </is>
      </c>
      <c r="C3633" s="5" t="inlineStr">
        <is>
          <t>tim</t>
        </is>
      </c>
      <c r="D3633" s="5" t="inlineStr">
        <is>
          <t>control</t>
        </is>
      </c>
      <c r="E3633" s="5" t="inlineStr">
        <is>
          <t>SP</t>
        </is>
      </c>
      <c r="F3633" s="5" t="inlineStr">
        <is>
          <t>TIM Controle Premium 55GB</t>
        </is>
      </c>
      <c r="G3633" s="5" t="inlineStr">
        <is>
          <t>tim:167041</t>
        </is>
      </c>
      <c r="H3633" s="6" t="n">
        <v>84.98999999999999</v>
      </c>
      <c r="I3633" s="6" t="inlineStr"/>
      <c r="J3633" s="5" t="inlineStr"/>
      <c r="K3633" s="5" t="inlineStr"/>
      <c r="L3633" s="7" t="n">
        <v>55</v>
      </c>
      <c r="M3633" s="5" t="inlineStr"/>
      <c r="N3633" s="5" t="inlineStr"/>
      <c r="O3633" s="5" t="inlineStr"/>
      <c r="P3633" s="5" t="inlineStr"/>
      <c r="Q3633" s="5" t="inlineStr"/>
      <c r="R3633" s="5" t="inlineStr"/>
      <c r="S3633" s="5" t="inlineStr"/>
      <c r="T3633" s="5" t="inlineStr"/>
      <c r="U3633" s="5" t="inlineStr">
        <is>
          <t>https://www.tim.com.br/sp/para-voce/planos/controle</t>
        </is>
      </c>
      <c r="V3633" s="5" t="inlineStr">
        <is>
          <t>data/raw/tim_control_SP.html</t>
        </is>
      </c>
    </row>
    <row r="3634">
      <c r="A3634" s="2" t="inlineStr">
        <is>
          <t>2026-08-26</t>
        </is>
      </c>
      <c r="B3634" s="2" t="inlineStr">
        <is>
          <t>2026-08-26T21:24:35</t>
        </is>
      </c>
      <c r="C3634" s="2" t="inlineStr">
        <is>
          <t>tim</t>
        </is>
      </c>
      <c r="D3634" s="2" t="inlineStr">
        <is>
          <t>control</t>
        </is>
      </c>
      <c r="E3634" s="2" t="inlineStr">
        <is>
          <t>SP</t>
        </is>
      </c>
      <c r="F3634" s="2" t="inlineStr">
        <is>
          <t>TIM Controle Pro Express 46GB</t>
        </is>
      </c>
      <c r="G3634" s="2" t="inlineStr">
        <is>
          <t>tim:167731</t>
        </is>
      </c>
      <c r="H3634" s="3" t="n">
        <v>64.98999999999999</v>
      </c>
      <c r="I3634" s="3" t="inlineStr"/>
      <c r="J3634" s="2" t="inlineStr"/>
      <c r="K3634" s="2" t="inlineStr"/>
      <c r="L3634" s="4" t="n">
        <v>46</v>
      </c>
      <c r="M3634" s="2" t="inlineStr"/>
      <c r="N3634" s="2" t="inlineStr"/>
      <c r="O3634" s="2" t="inlineStr"/>
      <c r="P3634" s="2" t="inlineStr"/>
      <c r="Q3634" s="2" t="inlineStr"/>
      <c r="R3634" s="2" t="inlineStr"/>
      <c r="S3634" s="2" t="inlineStr"/>
      <c r="T3634" s="2" t="inlineStr"/>
      <c r="U3634" s="2" t="inlineStr">
        <is>
          <t>https://www.tim.com.br/sp/para-voce/planos/controle</t>
        </is>
      </c>
      <c r="V3634" s="2" t="inlineStr">
        <is>
          <t>data/raw/tim_control_SP.html</t>
        </is>
      </c>
    </row>
    <row r="3635">
      <c r="A3635" s="5" t="inlineStr">
        <is>
          <t>2026-08-26</t>
        </is>
      </c>
      <c r="B3635" s="5" t="inlineStr">
        <is>
          <t>2026-08-26T21:24:35</t>
        </is>
      </c>
      <c r="C3635" s="5" t="inlineStr">
        <is>
          <t>tim</t>
        </is>
      </c>
      <c r="D3635" s="5" t="inlineStr">
        <is>
          <t>control</t>
        </is>
      </c>
      <c r="E3635" s="5" t="inlineStr">
        <is>
          <t>SP</t>
        </is>
      </c>
      <c r="F3635" s="5" t="inlineStr">
        <is>
          <t>TIM Controle Redes Sociais 46GB</t>
        </is>
      </c>
      <c r="G3635" s="5" t="inlineStr">
        <is>
          <t>tim:180746</t>
        </is>
      </c>
      <c r="H3635" s="6" t="n">
        <v>64.98999999999999</v>
      </c>
      <c r="I3635" s="6" t="inlineStr"/>
      <c r="J3635" s="5" t="inlineStr"/>
      <c r="K3635" s="5" t="inlineStr"/>
      <c r="L3635" s="7" t="n">
        <v>46</v>
      </c>
      <c r="M3635" s="5" t="inlineStr"/>
      <c r="N3635" s="5" t="inlineStr"/>
      <c r="O3635" s="5" t="inlineStr"/>
      <c r="P3635" s="5" t="inlineStr"/>
      <c r="Q3635" s="5" t="inlineStr"/>
      <c r="R3635" s="5" t="inlineStr"/>
      <c r="S3635" s="5" t="inlineStr"/>
      <c r="T3635" s="5" t="inlineStr"/>
      <c r="U3635" s="5" t="inlineStr">
        <is>
          <t>https://www.tim.com.br/sp/para-voce/planos/controle</t>
        </is>
      </c>
      <c r="V3635" s="5" t="inlineStr">
        <is>
          <t>data/raw/tim_control_SP.html</t>
        </is>
      </c>
    </row>
    <row r="3636">
      <c r="A3636" s="2" t="inlineStr">
        <is>
          <t>2026-08-26</t>
        </is>
      </c>
      <c r="B3636" s="2" t="inlineStr">
        <is>
          <t>2026-08-26T21:24:35</t>
        </is>
      </c>
      <c r="C3636" s="2" t="inlineStr">
        <is>
          <t>tim</t>
        </is>
      </c>
      <c r="D3636" s="2" t="inlineStr">
        <is>
          <t>fit</t>
        </is>
      </c>
      <c r="E3636" s="2" t="inlineStr">
        <is>
          <t>SP</t>
        </is>
      </c>
      <c r="F3636" s="2" t="inlineStr">
        <is>
          <t>TIM Controle Fit Anual 1.0</t>
        </is>
      </c>
      <c r="G3636" s="2" t="inlineStr">
        <is>
          <t>tim:TIM202600000306</t>
        </is>
      </c>
      <c r="H3636" s="3" t="n">
        <v>20</v>
      </c>
      <c r="I3636" s="3" t="inlineStr"/>
      <c r="J3636" s="2" t="inlineStr">
        <is>
          <t>plano anual 12x no cartão de crédito; a etiqueta TIM informa 'sem prazo de permanência'</t>
        </is>
      </c>
      <c r="K3636" s="2" t="inlineStr">
        <is>
          <t>credit_card</t>
        </is>
      </c>
      <c r="L3636" s="4" t="n">
        <v>25</v>
      </c>
      <c r="M3636" s="2" t="inlineStr"/>
      <c r="N3636" s="2" t="inlineStr"/>
      <c r="O3636" s="2" t="inlineStr"/>
      <c r="P3636" s="2" t="inlineStr"/>
      <c r="Q3636" s="2" t="inlineStr"/>
      <c r="R3636" s="2" t="inlineStr"/>
      <c r="S3636" s="2" t="n">
        <v>12</v>
      </c>
      <c r="T3636" s="2" t="inlineStr"/>
      <c r="U3636" s="2" t="inlineStr">
        <is>
          <t>https://www.tim.com.br/sp/para-voce/planos/controle</t>
        </is>
      </c>
      <c r="V3636" s="2" t="inlineStr">
        <is>
          <t>data/raw/tim_fit_SP.html</t>
        </is>
      </c>
    </row>
    <row r="3637">
      <c r="A3637" s="5" t="inlineStr">
        <is>
          <t>2026-08-26</t>
        </is>
      </c>
      <c r="B3637" s="5" t="inlineStr">
        <is>
          <t>2026-08-26T21:24:35</t>
        </is>
      </c>
      <c r="C3637" s="5" t="inlineStr">
        <is>
          <t>tim</t>
        </is>
      </c>
      <c r="D3637" s="5" t="inlineStr">
        <is>
          <t>fit</t>
        </is>
      </c>
      <c r="E3637" s="5" t="inlineStr">
        <is>
          <t>SP</t>
        </is>
      </c>
      <c r="F3637" s="5" t="inlineStr">
        <is>
          <t>TIM Controle Fit Anual 2.0</t>
        </is>
      </c>
      <c r="G3637" s="5" t="inlineStr">
        <is>
          <t>tim:TIM202600000271</t>
        </is>
      </c>
      <c r="H3637" s="6" t="n">
        <v>30</v>
      </c>
      <c r="I3637" s="6" t="inlineStr"/>
      <c r="J3637" s="5" t="inlineStr">
        <is>
          <t>plano anual 12x no cartão de crédito; a etiqueta TIM informa 'sem prazo de permanência'</t>
        </is>
      </c>
      <c r="K3637" s="5" t="inlineStr">
        <is>
          <t>credit_card</t>
        </is>
      </c>
      <c r="L3637" s="7" t="n">
        <v>35</v>
      </c>
      <c r="M3637" s="5" t="inlineStr"/>
      <c r="N3637" s="5" t="inlineStr"/>
      <c r="O3637" s="5" t="inlineStr"/>
      <c r="P3637" s="5" t="inlineStr"/>
      <c r="Q3637" s="5" t="inlineStr"/>
      <c r="R3637" s="5" t="inlineStr"/>
      <c r="S3637" s="5" t="n">
        <v>12</v>
      </c>
      <c r="T3637" s="5" t="inlineStr"/>
      <c r="U3637" s="5" t="inlineStr">
        <is>
          <t>https://www.tim.com.br/sp/para-voce/planos/controle</t>
        </is>
      </c>
      <c r="V3637" s="5" t="inlineStr">
        <is>
          <t>data/raw/tim_fit_SP.html</t>
        </is>
      </c>
    </row>
    <row r="3638">
      <c r="A3638" s="2" t="inlineStr">
        <is>
          <t>2026-08-26</t>
        </is>
      </c>
      <c r="B3638" s="2" t="inlineStr">
        <is>
          <t>2026-08-26T21:24:35</t>
        </is>
      </c>
      <c r="C3638" s="2" t="inlineStr">
        <is>
          <t>tim</t>
        </is>
      </c>
      <c r="D3638" s="2" t="inlineStr">
        <is>
          <t>fit</t>
        </is>
      </c>
      <c r="E3638" s="2" t="inlineStr">
        <is>
          <t>SP</t>
        </is>
      </c>
      <c r="F3638" s="2" t="inlineStr">
        <is>
          <t>TIM Controle Fit Mensal 1.0</t>
        </is>
      </c>
      <c r="G3638" s="2" t="inlineStr">
        <is>
          <t>tim:TIM202600000270</t>
        </is>
      </c>
      <c r="H3638" s="3" t="n">
        <v>20</v>
      </c>
      <c r="I3638" s="3" t="inlineStr"/>
      <c r="J363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638" s="2" t="inlineStr"/>
      <c r="L3638" s="4" t="n">
        <v>20</v>
      </c>
      <c r="M3638" s="2" t="inlineStr"/>
      <c r="N3638" s="2" t="inlineStr"/>
      <c r="O3638" s="2" t="inlineStr"/>
      <c r="P3638" s="2" t="inlineStr"/>
      <c r="Q3638" s="2" t="inlineStr"/>
      <c r="R3638" s="2" t="inlineStr"/>
      <c r="S3638" s="2" t="inlineStr"/>
      <c r="T3638" s="2" t="inlineStr"/>
      <c r="U3638" s="2" t="inlineStr">
        <is>
          <t>https://www.tim.com.br/sp/para-voce/planos/controle</t>
        </is>
      </c>
      <c r="V3638" s="2" t="inlineStr">
        <is>
          <t>data/raw/tim_fit_SP.html</t>
        </is>
      </c>
    </row>
    <row r="3639">
      <c r="A3639" s="5" t="inlineStr">
        <is>
          <t>2026-08-26</t>
        </is>
      </c>
      <c r="B3639" s="5" t="inlineStr">
        <is>
          <t>2026-08-26T21:24:35</t>
        </is>
      </c>
      <c r="C3639" s="5" t="inlineStr">
        <is>
          <t>tim</t>
        </is>
      </c>
      <c r="D3639" s="5" t="inlineStr">
        <is>
          <t>fit</t>
        </is>
      </c>
      <c r="E3639" s="5" t="inlineStr">
        <is>
          <t>SP</t>
        </is>
      </c>
      <c r="F3639" s="5" t="inlineStr">
        <is>
          <t>TIM Controle Fit Mensal 2.0</t>
        </is>
      </c>
      <c r="G3639" s="5" t="inlineStr">
        <is>
          <t>tim:TIM202600000305</t>
        </is>
      </c>
      <c r="H3639" s="6" t="n">
        <v>45</v>
      </c>
      <c r="I3639" s="6" t="inlineStr"/>
      <c r="J3639" s="5" t="inlineStr">
        <is>
          <t>plano mensal, sem prazo de permanência; a etiqueta TIM informa 'sem prazo de permanência'</t>
        </is>
      </c>
      <c r="K3639" s="5" t="inlineStr"/>
      <c r="L3639" s="7" t="n">
        <v>35</v>
      </c>
      <c r="M3639" s="5" t="inlineStr"/>
      <c r="N3639" s="5" t="inlineStr"/>
      <c r="O3639" s="5" t="inlineStr"/>
      <c r="P3639" s="5" t="inlineStr"/>
      <c r="Q3639" s="5" t="inlineStr"/>
      <c r="R3639" s="5" t="inlineStr"/>
      <c r="S3639" s="5" t="inlineStr"/>
      <c r="T3639" s="5" t="inlineStr"/>
      <c r="U3639" s="5" t="inlineStr">
        <is>
          <t>https://www.tim.com.br/sp/para-voce/planos/controle</t>
        </is>
      </c>
      <c r="V3639" s="5" t="inlineStr">
        <is>
          <t>data/raw/tim_fit_SP.html</t>
        </is>
      </c>
    </row>
    <row r="3640">
      <c r="A3640" s="2" t="inlineStr">
        <is>
          <t>2026-08-26</t>
        </is>
      </c>
      <c r="B3640" s="2" t="inlineStr">
        <is>
          <t>2026-08-26T21:24:35</t>
        </is>
      </c>
      <c r="C3640" s="2" t="inlineStr">
        <is>
          <t>tim</t>
        </is>
      </c>
      <c r="D3640" s="2" t="inlineStr">
        <is>
          <t>postpaid</t>
        </is>
      </c>
      <c r="E3640" s="2" t="inlineStr">
        <is>
          <t>SP</t>
        </is>
      </c>
      <c r="F3640" s="2" t="inlineStr">
        <is>
          <t>TIM Black 70GB</t>
        </is>
      </c>
      <c r="G3640" s="2" t="inlineStr">
        <is>
          <t>tim:54206</t>
        </is>
      </c>
      <c r="H3640" s="3" t="n">
        <v>129.99</v>
      </c>
      <c r="I3640" s="3" t="inlineStr"/>
      <c r="J3640" s="2" t="inlineStr"/>
      <c r="K3640" s="2" t="inlineStr">
        <is>
          <t>bill</t>
        </is>
      </c>
      <c r="L3640" s="4" t="n">
        <v>70</v>
      </c>
      <c r="M3640" s="2" t="inlineStr"/>
      <c r="N3640" s="2" t="inlineStr"/>
      <c r="O3640" s="2" t="inlineStr"/>
      <c r="P3640" s="2" t="inlineStr"/>
      <c r="Q3640" s="2" t="inlineStr"/>
      <c r="R3640" s="2" t="inlineStr"/>
      <c r="S3640" s="2" t="inlineStr"/>
      <c r="T3640" s="2" t="inlineStr"/>
      <c r="U3640" s="2" t="inlineStr">
        <is>
          <t>https://www.tim.com.br/sp/para-voce/planos/pos-pago/tim-black</t>
        </is>
      </c>
      <c r="V3640" s="2" t="inlineStr">
        <is>
          <t>data/raw/tim_postpaid_SP.html</t>
        </is>
      </c>
    </row>
    <row r="3641">
      <c r="A3641" s="5" t="inlineStr">
        <is>
          <t>2026-08-26</t>
        </is>
      </c>
      <c r="B3641" s="5" t="inlineStr">
        <is>
          <t>2026-08-26T21:24:35</t>
        </is>
      </c>
      <c r="C3641" s="5" t="inlineStr">
        <is>
          <t>tim</t>
        </is>
      </c>
      <c r="D3641" s="5" t="inlineStr">
        <is>
          <t>postpaid</t>
        </is>
      </c>
      <c r="E3641" s="5" t="inlineStr">
        <is>
          <t>SP</t>
        </is>
      </c>
      <c r="F3641" s="5" t="inlineStr">
        <is>
          <t>TIM Black A Express 67GB</t>
        </is>
      </c>
      <c r="G3641" s="5" t="inlineStr">
        <is>
          <t>tim:55121</t>
        </is>
      </c>
      <c r="H3641" s="6" t="n">
        <v>119.99</v>
      </c>
      <c r="I3641" s="6" t="inlineStr"/>
      <c r="J3641" s="5" t="inlineStr"/>
      <c r="K3641" s="5" t="inlineStr">
        <is>
          <t>credit_card</t>
        </is>
      </c>
      <c r="L3641" s="7" t="n">
        <v>67</v>
      </c>
      <c r="M3641" s="5" t="inlineStr"/>
      <c r="N3641" s="5" t="inlineStr"/>
      <c r="O3641" s="5" t="inlineStr"/>
      <c r="P3641" s="5" t="inlineStr"/>
      <c r="Q3641" s="5" t="inlineStr"/>
      <c r="R3641" s="5" t="inlineStr"/>
      <c r="S3641" s="5" t="inlineStr"/>
      <c r="T3641" s="5" t="inlineStr"/>
      <c r="U3641" s="5" t="inlineStr">
        <is>
          <t>https://www.tim.com.br/sp/para-voce/planos/pos-pago/tim-black</t>
        </is>
      </c>
      <c r="V3641" s="5" t="inlineStr">
        <is>
          <t>data/raw/tim_postpaid_SP.html</t>
        </is>
      </c>
    </row>
    <row r="3642">
      <c r="A3642" s="2" t="inlineStr">
        <is>
          <t>2026-08-26</t>
        </is>
      </c>
      <c r="B3642" s="2" t="inlineStr">
        <is>
          <t>2026-08-26T21:24:35</t>
        </is>
      </c>
      <c r="C3642" s="2" t="inlineStr">
        <is>
          <t>tim</t>
        </is>
      </c>
      <c r="D3642" s="2" t="inlineStr">
        <is>
          <t>postpaid</t>
        </is>
      </c>
      <c r="E3642" s="2" t="inlineStr">
        <is>
          <t>SP</t>
        </is>
      </c>
      <c r="F3642" s="2" t="inlineStr">
        <is>
          <t>TIM Black B Express 82GB</t>
        </is>
      </c>
      <c r="G3642" s="2" t="inlineStr">
        <is>
          <t>tim:52146</t>
        </is>
      </c>
      <c r="H3642" s="3" t="n">
        <v>144.99</v>
      </c>
      <c r="I3642" s="3" t="inlineStr"/>
      <c r="J3642" s="2" t="inlineStr"/>
      <c r="K3642" s="2" t="inlineStr">
        <is>
          <t>credit_card</t>
        </is>
      </c>
      <c r="L3642" s="4" t="n">
        <v>82</v>
      </c>
      <c r="M3642" s="2" t="inlineStr"/>
      <c r="N3642" s="2" t="inlineStr"/>
      <c r="O3642" s="2" t="inlineStr"/>
      <c r="P3642" s="2" t="inlineStr"/>
      <c r="Q3642" s="2" t="inlineStr"/>
      <c r="R3642" s="2" t="inlineStr"/>
      <c r="S3642" s="2" t="inlineStr"/>
      <c r="T3642" s="2" t="inlineStr"/>
      <c r="U3642" s="2" t="inlineStr">
        <is>
          <t>https://www.tim.com.br/sp/para-voce/planos/pos-pago/tim-black</t>
        </is>
      </c>
      <c r="V3642" s="2" t="inlineStr">
        <is>
          <t>data/raw/tim_postpaid_SP.html</t>
        </is>
      </c>
    </row>
    <row r="3643">
      <c r="A3643" s="5" t="inlineStr">
        <is>
          <t>2026-08-26</t>
        </is>
      </c>
      <c r="B3643" s="5" t="inlineStr">
        <is>
          <t>2026-08-26T21:24:35</t>
        </is>
      </c>
      <c r="C3643" s="5" t="inlineStr">
        <is>
          <t>tim</t>
        </is>
      </c>
      <c r="D3643" s="5" t="inlineStr">
        <is>
          <t>postpaid</t>
        </is>
      </c>
      <c r="E3643" s="5" t="inlineStr">
        <is>
          <t>SP</t>
        </is>
      </c>
      <c r="F3643" s="5" t="inlineStr">
        <is>
          <t>TIM Black C Express 107GB</t>
        </is>
      </c>
      <c r="G3643" s="5" t="inlineStr">
        <is>
          <t>tim:52151</t>
        </is>
      </c>
      <c r="H3643" s="6" t="n">
        <v>164.99</v>
      </c>
      <c r="I3643" s="6" t="inlineStr"/>
      <c r="J3643" s="5" t="inlineStr"/>
      <c r="K3643" s="5" t="inlineStr">
        <is>
          <t>credit_card</t>
        </is>
      </c>
      <c r="L3643" s="7" t="n">
        <v>107</v>
      </c>
      <c r="M3643" s="5" t="inlineStr"/>
      <c r="N3643" s="5" t="inlineStr"/>
      <c r="O3643" s="5" t="inlineStr"/>
      <c r="P3643" s="5" t="inlineStr"/>
      <c r="Q3643" s="5" t="inlineStr"/>
      <c r="R3643" s="5" t="inlineStr"/>
      <c r="S3643" s="5" t="inlineStr"/>
      <c r="T3643" s="5" t="inlineStr"/>
      <c r="U3643" s="5" t="inlineStr">
        <is>
          <t>https://www.tim.com.br/sp/para-voce/planos/pos-pago/tim-black</t>
        </is>
      </c>
      <c r="V3643" s="5" t="inlineStr">
        <is>
          <t>data/raw/tim_postpaid_SP.html</t>
        </is>
      </c>
    </row>
    <row r="3644">
      <c r="A3644" s="2" t="inlineStr">
        <is>
          <t>2026-08-26</t>
        </is>
      </c>
      <c r="B3644" s="2" t="inlineStr">
        <is>
          <t>2026-08-26T21:24:35</t>
        </is>
      </c>
      <c r="C3644" s="2" t="inlineStr">
        <is>
          <t>tim</t>
        </is>
      </c>
      <c r="D3644" s="2" t="inlineStr">
        <is>
          <t>postpaid</t>
        </is>
      </c>
      <c r="E3644" s="2" t="inlineStr">
        <is>
          <t>SP</t>
        </is>
      </c>
      <c r="F3644" s="2" t="inlineStr">
        <is>
          <t>TIM Black C Ultra 95GB</t>
        </is>
      </c>
      <c r="G3644" s="2" t="inlineStr">
        <is>
          <t>tim:100581</t>
        </is>
      </c>
      <c r="H3644" s="3" t="n">
        <v>159.99</v>
      </c>
      <c r="I3644" s="3" t="inlineStr"/>
      <c r="J3644" s="2" t="inlineStr"/>
      <c r="K3644" s="2" t="inlineStr">
        <is>
          <t>bill</t>
        </is>
      </c>
      <c r="L3644" s="4" t="n">
        <v>95</v>
      </c>
      <c r="M3644" s="2" t="inlineStr"/>
      <c r="N3644" s="2" t="inlineStr"/>
      <c r="O3644" s="2" t="inlineStr"/>
      <c r="P3644" s="2" t="inlineStr"/>
      <c r="Q3644" s="2" t="inlineStr"/>
      <c r="R3644" s="2" t="inlineStr"/>
      <c r="S3644" s="2" t="inlineStr"/>
      <c r="T3644" s="2" t="inlineStr"/>
      <c r="U3644" s="2" t="inlineStr">
        <is>
          <t>https://www.tim.com.br/sp/para-voce/planos/pos-pago/tim-black</t>
        </is>
      </c>
      <c r="V3644" s="2" t="inlineStr">
        <is>
          <t>data/raw/tim_postpaid_SP.html</t>
        </is>
      </c>
    </row>
    <row r="3645">
      <c r="A3645" s="5" t="inlineStr">
        <is>
          <t>2026-08-26</t>
        </is>
      </c>
      <c r="B3645" s="5" t="inlineStr">
        <is>
          <t>2026-08-26T21:24:35</t>
        </is>
      </c>
      <c r="C3645" s="5" t="inlineStr">
        <is>
          <t>tim</t>
        </is>
      </c>
      <c r="D3645" s="5" t="inlineStr">
        <is>
          <t>postpaid</t>
        </is>
      </c>
      <c r="E3645" s="5" t="inlineStr">
        <is>
          <t>SP</t>
        </is>
      </c>
      <c r="F3645" s="5" t="inlineStr">
        <is>
          <t>TIM Black Plus 80GB</t>
        </is>
      </c>
      <c r="G3645" s="5" t="inlineStr">
        <is>
          <t>tim:54256</t>
        </is>
      </c>
      <c r="H3645" s="6" t="n">
        <v>149.99</v>
      </c>
      <c r="I3645" s="6" t="inlineStr"/>
      <c r="J3645" s="5" t="inlineStr"/>
      <c r="K3645" s="5" t="inlineStr">
        <is>
          <t>bill</t>
        </is>
      </c>
      <c r="L3645" s="7" t="n">
        <v>80</v>
      </c>
      <c r="M3645" s="5" t="inlineStr"/>
      <c r="N3645" s="5" t="inlineStr"/>
      <c r="O3645" s="5" t="inlineStr"/>
      <c r="P3645" s="5" t="inlineStr"/>
      <c r="Q3645" s="5" t="inlineStr"/>
      <c r="R3645" s="5" t="inlineStr"/>
      <c r="S3645" s="5" t="inlineStr"/>
      <c r="T3645" s="5" t="inlineStr"/>
      <c r="U3645" s="5" t="inlineStr">
        <is>
          <t>https://www.tim.com.br/sp/para-voce/planos/pos-pago/tim-black</t>
        </is>
      </c>
      <c r="V3645" s="5" t="inlineStr">
        <is>
          <t>data/raw/tim_postpaid_SP.html</t>
        </is>
      </c>
    </row>
    <row r="3646">
      <c r="A3646" s="2" t="inlineStr">
        <is>
          <t>2026-08-26</t>
        </is>
      </c>
      <c r="B3646" s="2" t="inlineStr">
        <is>
          <t>2026-08-26T21:24:35</t>
        </is>
      </c>
      <c r="C3646" s="2" t="inlineStr">
        <is>
          <t>tim</t>
        </is>
      </c>
      <c r="D3646" s="2" t="inlineStr">
        <is>
          <t>postpaid</t>
        </is>
      </c>
      <c r="E3646" s="2" t="inlineStr">
        <is>
          <t>SP</t>
        </is>
      </c>
      <c r="F3646" s="2" t="inlineStr">
        <is>
          <t>TIM Black Premium 110GB</t>
        </is>
      </c>
      <c r="G3646" s="2" t="inlineStr">
        <is>
          <t>tim:54261</t>
        </is>
      </c>
      <c r="H3646" s="3" t="n">
        <v>159.99</v>
      </c>
      <c r="I3646" s="3" t="inlineStr"/>
      <c r="J3646" s="2" t="inlineStr"/>
      <c r="K3646" s="2" t="inlineStr">
        <is>
          <t>bill</t>
        </is>
      </c>
      <c r="L3646" s="4" t="n">
        <v>110</v>
      </c>
      <c r="M3646" s="2" t="inlineStr"/>
      <c r="N3646" s="2" t="inlineStr"/>
      <c r="O3646" s="2" t="inlineStr"/>
      <c r="P3646" s="2" t="inlineStr"/>
      <c r="Q3646" s="2" t="inlineStr"/>
      <c r="R3646" s="2" t="inlineStr"/>
      <c r="S3646" s="2" t="inlineStr"/>
      <c r="T3646" s="2" t="inlineStr"/>
      <c r="U3646" s="2" t="inlineStr">
        <is>
          <t>https://www.tim.com.br/sp/para-voce/planos/pos-pago/tim-black</t>
        </is>
      </c>
      <c r="V3646" s="2" t="inlineStr">
        <is>
          <t>data/raw/tim_postpaid_SP.html</t>
        </is>
      </c>
    </row>
    <row r="3647">
      <c r="A3647" s="5" t="inlineStr">
        <is>
          <t>2026-08-26</t>
        </is>
      </c>
      <c r="B3647" s="5" t="inlineStr">
        <is>
          <t>2026-08-26T21:24:35</t>
        </is>
      </c>
      <c r="C3647" s="5" t="inlineStr">
        <is>
          <t>tim</t>
        </is>
      </c>
      <c r="D3647" s="5" t="inlineStr">
        <is>
          <t>prepaid</t>
        </is>
      </c>
      <c r="E3647" s="5" t="inlineStr">
        <is>
          <t>SP</t>
        </is>
      </c>
      <c r="F3647" s="5" t="inlineStr">
        <is>
          <t>TIM Pré XIP Plus 16GB</t>
        </is>
      </c>
      <c r="G3647" s="5" t="inlineStr">
        <is>
          <t>tim:106306</t>
        </is>
      </c>
      <c r="H3647" s="6" t="n">
        <v>30</v>
      </c>
      <c r="I3647" s="6" t="inlineStr"/>
      <c r="J3647" s="5" t="inlineStr"/>
      <c r="K3647" s="5" t="inlineStr"/>
      <c r="L3647" s="7" t="n">
        <v>16</v>
      </c>
      <c r="M3647" s="5" t="inlineStr"/>
      <c r="N3647" s="5" t="n">
        <v>30</v>
      </c>
      <c r="O3647" s="5" t="inlineStr"/>
      <c r="P3647" s="5" t="inlineStr"/>
      <c r="Q3647" s="5" t="inlineStr"/>
      <c r="R3647" s="5" t="inlineStr"/>
      <c r="S3647" s="5" t="inlineStr"/>
      <c r="T3647" s="5" t="inlineStr"/>
      <c r="U3647" s="5" t="inlineStr">
        <is>
          <t>https://www.tim.com.br/sp/para-voce/planos/pre-pago</t>
        </is>
      </c>
      <c r="V3647" s="5" t="inlineStr">
        <is>
          <t>data/raw/tim_prepaid_SP.html</t>
        </is>
      </c>
    </row>
    <row r="3648">
      <c r="A3648" s="2" t="inlineStr">
        <is>
          <t>2026-08-26</t>
        </is>
      </c>
      <c r="B3648" s="2" t="inlineStr">
        <is>
          <t>2026-08-26T21:24:35</t>
        </is>
      </c>
      <c r="C3648" s="2" t="inlineStr">
        <is>
          <t>tim</t>
        </is>
      </c>
      <c r="D3648" s="2" t="inlineStr">
        <is>
          <t>prepaid</t>
        </is>
      </c>
      <c r="E3648" s="2" t="inlineStr">
        <is>
          <t>SP</t>
        </is>
      </c>
      <c r="F3648" s="2" t="inlineStr">
        <is>
          <t>TIM Pré XIP Plus 6GB</t>
        </is>
      </c>
      <c r="G3648" s="2" t="inlineStr">
        <is>
          <t>tim:59906</t>
        </is>
      </c>
      <c r="H3648" s="3" t="n">
        <v>20</v>
      </c>
      <c r="I3648" s="3" t="inlineStr"/>
      <c r="J3648" s="2" t="inlineStr"/>
      <c r="K3648" s="2" t="inlineStr"/>
      <c r="L3648" s="4" t="n">
        <v>6</v>
      </c>
      <c r="M3648" s="2" t="inlineStr"/>
      <c r="N3648" s="2" t="n">
        <v>17</v>
      </c>
      <c r="O3648" s="2" t="inlineStr"/>
      <c r="P3648" s="2" t="inlineStr"/>
      <c r="Q3648" s="2" t="inlineStr"/>
      <c r="R3648" s="2" t="inlineStr"/>
      <c r="S3648" s="2" t="inlineStr"/>
      <c r="T3648" s="2" t="inlineStr"/>
      <c r="U3648" s="2" t="inlineStr">
        <is>
          <t>https://www.tim.com.br/sp/para-voce/planos/pre-pago</t>
        </is>
      </c>
      <c r="V3648" s="2" t="inlineStr">
        <is>
          <t>data/raw/tim_prepaid_SP.html</t>
        </is>
      </c>
    </row>
    <row r="3649">
      <c r="A3649" s="5" t="inlineStr">
        <is>
          <t>2026-08-26</t>
        </is>
      </c>
      <c r="B3649" s="5" t="inlineStr">
        <is>
          <t>2026-08-26T21:24:35</t>
        </is>
      </c>
      <c r="C3649" s="5" t="inlineStr">
        <is>
          <t>tim</t>
        </is>
      </c>
      <c r="D3649" s="5" t="inlineStr">
        <is>
          <t>prepaid</t>
        </is>
      </c>
      <c r="E3649" s="5" t="inlineStr">
        <is>
          <t>SP</t>
        </is>
      </c>
      <c r="F3649" s="5" t="inlineStr">
        <is>
          <t>TIM Pré XIP Plus 8GB</t>
        </is>
      </c>
      <c r="G3649" s="5" t="inlineStr">
        <is>
          <t>tim:59901</t>
        </is>
      </c>
      <c r="H3649" s="6" t="n">
        <v>25</v>
      </c>
      <c r="I3649" s="6" t="inlineStr"/>
      <c r="J3649" s="5" t="inlineStr"/>
      <c r="K3649" s="5" t="inlineStr"/>
      <c r="L3649" s="7" t="n">
        <v>8</v>
      </c>
      <c r="M3649" s="5" t="inlineStr"/>
      <c r="N3649" s="5" t="n">
        <v>22</v>
      </c>
      <c r="O3649" s="5" t="inlineStr"/>
      <c r="P3649" s="5" t="inlineStr"/>
      <c r="Q3649" s="5" t="inlineStr"/>
      <c r="R3649" s="5" t="inlineStr"/>
      <c r="S3649" s="5" t="inlineStr"/>
      <c r="T3649" s="5" t="inlineStr"/>
      <c r="U3649" s="5" t="inlineStr">
        <is>
          <t>https://www.tim.com.br/sp/para-voce/planos/pre-pago</t>
        </is>
      </c>
      <c r="V3649" s="5" t="inlineStr">
        <is>
          <t>data/raw/tim_prepaid_SP.html</t>
        </is>
      </c>
    </row>
    <row r="3650">
      <c r="A3650" s="2" t="inlineStr">
        <is>
          <t>2026-08-26</t>
        </is>
      </c>
      <c r="B3650" s="2" t="inlineStr">
        <is>
          <t>2026-08-26T21:24:35</t>
        </is>
      </c>
      <c r="C3650" s="2" t="inlineStr">
        <is>
          <t>vivo</t>
        </is>
      </c>
      <c r="D3650" s="2" t="inlineStr">
        <is>
          <t>control</t>
        </is>
      </c>
      <c r="E3650" s="2" t="inlineStr">
        <is>
          <t>SP</t>
        </is>
      </c>
      <c r="F3650" s="2" t="inlineStr">
        <is>
          <t>Vivo Controle</t>
        </is>
      </c>
      <c r="G3650" s="2" t="inlineStr">
        <is>
          <t>vivo:VIV202600034591</t>
        </is>
      </c>
      <c r="H3650" s="3" t="n">
        <v>59</v>
      </c>
      <c r="I3650" s="3" t="inlineStr"/>
      <c r="J3650" s="2" t="inlineStr"/>
      <c r="K3650" s="2" t="inlineStr"/>
      <c r="L3650" s="4" t="n">
        <v>45</v>
      </c>
      <c r="M3650" s="2" t="inlineStr">
        <is>
          <t>15 GB de franquia 30 GB de bônus</t>
        </is>
      </c>
      <c r="N3650" s="2" t="inlineStr"/>
      <c r="O3650" s="2" t="inlineStr"/>
      <c r="P3650" s="2" t="inlineStr"/>
      <c r="Q3650" s="2" t="inlineStr"/>
      <c r="R3650" s="2" t="inlineStr"/>
      <c r="S3650" s="2" t="inlineStr"/>
      <c r="T3650" s="2" t="inlineStr">
        <is>
          <t>2 meses de YouTube sem consumo no plano</t>
        </is>
      </c>
      <c r="U3650" s="2" t="inlineStr">
        <is>
          <t>https://vivo.com.br/para-voce/produtos-e-servicos/para-o-celular/planos-controle</t>
        </is>
      </c>
      <c r="V3650" s="2" t="inlineStr">
        <is>
          <t>data/raw/vivo_control_SP.html</t>
        </is>
      </c>
    </row>
    <row r="3651">
      <c r="A3651" s="5" t="inlineStr">
        <is>
          <t>2026-08-26</t>
        </is>
      </c>
      <c r="B3651" s="5" t="inlineStr">
        <is>
          <t>2026-08-26T21:24:35</t>
        </is>
      </c>
      <c r="C3651" s="5" t="inlineStr">
        <is>
          <t>vivo</t>
        </is>
      </c>
      <c r="D3651" s="5" t="inlineStr">
        <is>
          <t>control</t>
        </is>
      </c>
      <c r="E3651" s="5" t="inlineStr">
        <is>
          <t>SP</t>
        </is>
      </c>
      <c r="F3651" s="5" t="inlineStr">
        <is>
          <t>Vivo Controle</t>
        </is>
      </c>
      <c r="G3651" s="5" t="inlineStr">
        <is>
          <t>vivo:VIV202600034599</t>
        </is>
      </c>
      <c r="H3651" s="6" t="n">
        <v>75</v>
      </c>
      <c r="I3651" s="6" t="inlineStr"/>
      <c r="J3651" s="5" t="inlineStr">
        <is>
          <t>preço-base do plano; a tela exibia R$ 80 com o adicional pré-selecionado (+R$ 5/mês, opcional); 60 GB na tela incluem +10 GB do adicional</t>
        </is>
      </c>
      <c r="K3651" s="5" t="inlineStr"/>
      <c r="L3651" s="7" t="n">
        <v>50</v>
      </c>
      <c r="M3651" s="5" t="inlineStr">
        <is>
          <t>20 GB de franquia 30 GB de bônus</t>
        </is>
      </c>
      <c r="N3651" s="5" t="inlineStr"/>
      <c r="O3651" s="5" t="inlineStr"/>
      <c r="P3651" s="5" t="inlineStr"/>
      <c r="Q3651" s="5" t="inlineStr"/>
      <c r="R3651" s="5" t="inlineStr"/>
      <c r="S3651" s="5" t="inlineStr"/>
      <c r="T3651" s="5" t="inlineStr">
        <is>
          <t>2 meses de YouTube sem consumo no plano</t>
        </is>
      </c>
      <c r="U3651" s="5" t="inlineStr">
        <is>
          <t>https://vivo.com.br/para-voce/produtos-e-servicos/para-o-celular/planos-controle</t>
        </is>
      </c>
      <c r="V3651" s="5" t="inlineStr">
        <is>
          <t>data/raw/vivo_control_SP.html</t>
        </is>
      </c>
    </row>
    <row r="3652">
      <c r="A3652" s="2" t="inlineStr">
        <is>
          <t>2026-08-26</t>
        </is>
      </c>
      <c r="B3652" s="2" t="inlineStr">
        <is>
          <t>2026-08-26T21:24:35</t>
        </is>
      </c>
      <c r="C3652" s="2" t="inlineStr">
        <is>
          <t>vivo</t>
        </is>
      </c>
      <c r="D3652" s="2" t="inlineStr">
        <is>
          <t>control</t>
        </is>
      </c>
      <c r="E3652" s="2" t="inlineStr">
        <is>
          <t>SP</t>
        </is>
      </c>
      <c r="F3652" s="2" t="inlineStr">
        <is>
          <t>Vivo Controle Educação</t>
        </is>
      </c>
      <c r="G3652" s="2" t="inlineStr">
        <is>
          <t>vivo:VIV202600034616</t>
        </is>
      </c>
      <c r="H3652" s="3" t="n">
        <v>85</v>
      </c>
      <c r="I3652" s="3" t="inlineStr"/>
      <c r="J3652" s="2" t="inlineStr">
        <is>
          <t>preço-base do plano; a tela exibia R$ 90 com o adicional pré-selecionado (+R$ 5/mês, opcional); 60 GB na tela incluem +10 GB do adicional</t>
        </is>
      </c>
      <c r="K3652" s="2" t="inlineStr"/>
      <c r="L3652" s="4" t="n">
        <v>50</v>
      </c>
      <c r="M3652" s="2" t="inlineStr">
        <is>
          <t>20 GB de franquia 30 GB de bônus</t>
        </is>
      </c>
      <c r="N3652" s="2" t="inlineStr"/>
      <c r="O3652" s="2" t="inlineStr"/>
      <c r="P3652" s="2" t="inlineStr"/>
      <c r="Q3652" s="2" t="inlineStr"/>
      <c r="R3652" s="2" t="inlineStr"/>
      <c r="S3652" s="2" t="inlineStr"/>
      <c r="T3652" s="2" t="inlineStr">
        <is>
          <t>Assinatura Vivae inclusa</t>
        </is>
      </c>
      <c r="U3652" s="2" t="inlineStr">
        <is>
          <t>https://vivo.com.br/para-voce/produtos-e-servicos/para-o-celular/planos-controle</t>
        </is>
      </c>
      <c r="V3652" s="2" t="inlineStr">
        <is>
          <t>data/raw/vivo_control_SP.html</t>
        </is>
      </c>
    </row>
    <row r="3653">
      <c r="A3653" s="5" t="inlineStr">
        <is>
          <t>2026-08-26</t>
        </is>
      </c>
      <c r="B3653" s="5" t="inlineStr">
        <is>
          <t>2026-08-26T21:24:35</t>
        </is>
      </c>
      <c r="C3653" s="5" t="inlineStr">
        <is>
          <t>vivo</t>
        </is>
      </c>
      <c r="D3653" s="5" t="inlineStr">
        <is>
          <t>control</t>
        </is>
      </c>
      <c r="E3653" s="5" t="inlineStr">
        <is>
          <t>SP</t>
        </is>
      </c>
      <c r="F3653" s="5" t="inlineStr">
        <is>
          <t>Vivo Controle Entretenimento</t>
        </is>
      </c>
      <c r="G3653" s="5" t="inlineStr">
        <is>
          <t>vivo:VIV202600034619</t>
        </is>
      </c>
      <c r="H3653" s="6" t="n">
        <v>105</v>
      </c>
      <c r="I3653" s="6" t="inlineStr"/>
      <c r="J3653" s="5" t="inlineStr">
        <is>
          <t>preço-base do plano; a tela exibia R$ 110 com o adicional pré-selecionado (+R$ 5/mês, opcional); 60 GB na tela incluem +10 GB do adicional</t>
        </is>
      </c>
      <c r="K3653" s="5" t="inlineStr"/>
      <c r="L3653" s="7" t="n">
        <v>50</v>
      </c>
      <c r="M3653" s="5" t="inlineStr">
        <is>
          <t>20 GB de franquia 30 GB de bônus</t>
        </is>
      </c>
      <c r="N3653" s="5" t="inlineStr"/>
      <c r="O3653" s="5" t="inlineStr"/>
      <c r="P3653" s="5" t="inlineStr"/>
      <c r="Q3653" s="5" t="inlineStr"/>
      <c r="R3653" s="5" t="inlineStr"/>
      <c r="S3653" s="5" t="inlineStr"/>
      <c r="T3653" s="5" t="inlineStr">
        <is>
          <t>Assinatura Vivo TV Inicial inclusa</t>
        </is>
      </c>
      <c r="U3653" s="5" t="inlineStr">
        <is>
          <t>https://vivo.com.br/para-voce/produtos-e-servicos/para-o-celular/planos-controle</t>
        </is>
      </c>
      <c r="V3653" s="5" t="inlineStr">
        <is>
          <t>data/raw/vivo_control_SP.html</t>
        </is>
      </c>
    </row>
    <row r="3654">
      <c r="A3654" s="2" t="inlineStr">
        <is>
          <t>2026-08-26</t>
        </is>
      </c>
      <c r="B3654" s="2" t="inlineStr">
        <is>
          <t>2026-08-26T21:24:35</t>
        </is>
      </c>
      <c r="C3654" s="2" t="inlineStr">
        <is>
          <t>vivo</t>
        </is>
      </c>
      <c r="D3654" s="2" t="inlineStr">
        <is>
          <t>control</t>
        </is>
      </c>
      <c r="E3654" s="2" t="inlineStr">
        <is>
          <t>SP</t>
        </is>
      </c>
      <c r="F3654" s="2" t="inlineStr">
        <is>
          <t>Vivo Controle Música</t>
        </is>
      </c>
      <c r="G3654" s="2" t="inlineStr">
        <is>
          <t>vivo:VIV202600034620</t>
        </is>
      </c>
      <c r="H3654" s="3" t="n">
        <v>85</v>
      </c>
      <c r="I3654" s="3" t="inlineStr"/>
      <c r="J3654" s="2" t="inlineStr">
        <is>
          <t>preço-base do plano; a tela exibia R$ 90 com o adicional pré-selecionado (+R$ 5/mês, opcional); 60 GB na tela incluem +10 GB do adicional</t>
        </is>
      </c>
      <c r="K3654" s="2" t="inlineStr"/>
      <c r="L3654" s="4" t="n">
        <v>50</v>
      </c>
      <c r="M3654" s="2" t="inlineStr">
        <is>
          <t>20 GB de franquia 30 GB de bônus</t>
        </is>
      </c>
      <c r="N3654" s="2" t="inlineStr"/>
      <c r="O3654" s="2" t="inlineStr"/>
      <c r="P3654" s="2" t="inlineStr"/>
      <c r="Q3654" s="2" t="inlineStr"/>
      <c r="R3654" s="2" t="inlineStr"/>
      <c r="S3654" s="2" t="inlineStr"/>
      <c r="T3654" s="2" t="inlineStr">
        <is>
          <t>Apple Music Individual</t>
        </is>
      </c>
      <c r="U3654" s="2" t="inlineStr">
        <is>
          <t>https://vivo.com.br/para-voce/produtos-e-servicos/para-o-celular/planos-controle</t>
        </is>
      </c>
      <c r="V3654" s="2" t="inlineStr">
        <is>
          <t>data/raw/vivo_control_SP.html</t>
        </is>
      </c>
    </row>
    <row r="3655">
      <c r="A3655" s="5" t="inlineStr">
        <is>
          <t>2026-08-26</t>
        </is>
      </c>
      <c r="B3655" s="5" t="inlineStr">
        <is>
          <t>2026-08-26T21:24:35</t>
        </is>
      </c>
      <c r="C3655" s="5" t="inlineStr">
        <is>
          <t>vivo</t>
        </is>
      </c>
      <c r="D3655" s="5" t="inlineStr">
        <is>
          <t>control</t>
        </is>
      </c>
      <c r="E3655" s="5" t="inlineStr">
        <is>
          <t>SP</t>
        </is>
      </c>
      <c r="F3655" s="5" t="inlineStr">
        <is>
          <t>Vivo Controle Netflix</t>
        </is>
      </c>
      <c r="G3655" s="5" t="inlineStr">
        <is>
          <t>vivo:VIV202600034623</t>
        </is>
      </c>
      <c r="H3655" s="6" t="n">
        <v>90</v>
      </c>
      <c r="I3655" s="6" t="inlineStr"/>
      <c r="J3655" s="5" t="inlineStr">
        <is>
          <t>preço-base do plano; a tela exibia R$ 95 com o adicional pré-selecionado (+R$ 5/mês, opcional); 60 GB na tela incluem +10 GB do adicional</t>
        </is>
      </c>
      <c r="K3655" s="5" t="inlineStr"/>
      <c r="L3655" s="7" t="n">
        <v>50</v>
      </c>
      <c r="M3655" s="5" t="inlineStr">
        <is>
          <t>20 GB de franquia 30 GB de bônus</t>
        </is>
      </c>
      <c r="N3655" s="5" t="inlineStr"/>
      <c r="O3655" s="5" t="inlineStr"/>
      <c r="P3655" s="5" t="inlineStr"/>
      <c r="Q3655" s="5" t="inlineStr"/>
      <c r="R3655" s="5" t="inlineStr"/>
      <c r="S3655" s="5" t="inlineStr"/>
      <c r="T3655" s="5" t="inlineStr">
        <is>
          <t>Assinatura Netflix Padrão com anúncios</t>
        </is>
      </c>
      <c r="U3655" s="5" t="inlineStr">
        <is>
          <t>https://vivo.com.br/para-voce/produtos-e-servicos/para-o-celular/planos-controle</t>
        </is>
      </c>
      <c r="V3655" s="5" t="inlineStr">
        <is>
          <t>data/raw/vivo_control_SP.html</t>
        </is>
      </c>
    </row>
    <row r="3656">
      <c r="A3656" s="2" t="inlineStr">
        <is>
          <t>2026-08-26</t>
        </is>
      </c>
      <c r="B3656" s="2" t="inlineStr">
        <is>
          <t>2026-08-26T21:24:35</t>
        </is>
      </c>
      <c r="C3656" s="2" t="inlineStr">
        <is>
          <t>vivo</t>
        </is>
      </c>
      <c r="D3656" s="2" t="inlineStr">
        <is>
          <t>control</t>
        </is>
      </c>
      <c r="E3656" s="2" t="inlineStr">
        <is>
          <t>SP</t>
        </is>
      </c>
      <c r="F3656" s="2" t="inlineStr">
        <is>
          <t>Vivo Controle Saúde</t>
        </is>
      </c>
      <c r="G3656" s="2" t="inlineStr">
        <is>
          <t>vivo:VIV202600034625</t>
        </is>
      </c>
      <c r="H3656" s="3" t="n">
        <v>85</v>
      </c>
      <c r="I3656" s="3" t="inlineStr"/>
      <c r="J3656" s="2" t="inlineStr">
        <is>
          <t>preço-base do plano; a tela exibia R$ 90 com o adicional pré-selecionado (+R$ 5/mês, opcional); 60 GB na tela incluem +10 GB do adicional</t>
        </is>
      </c>
      <c r="K3656" s="2" t="inlineStr"/>
      <c r="L3656" s="4" t="n">
        <v>50</v>
      </c>
      <c r="M3656" s="2" t="inlineStr">
        <is>
          <t>20 GB de franquia 30 GB de bônus</t>
        </is>
      </c>
      <c r="N3656" s="2" t="inlineStr"/>
      <c r="O3656" s="2" t="inlineStr"/>
      <c r="P3656" s="2" t="inlineStr"/>
      <c r="Q3656" s="2" t="inlineStr"/>
      <c r="R3656" s="2" t="inlineStr"/>
      <c r="S3656" s="2" t="inlineStr"/>
      <c r="T3656" s="2" t="inlineStr">
        <is>
          <t>Assinatura Vale Saúde Sempre inclusa</t>
        </is>
      </c>
      <c r="U3656" s="2" t="inlineStr">
        <is>
          <t>https://vivo.com.br/para-voce/produtos-e-servicos/para-o-celular/planos-controle</t>
        </is>
      </c>
      <c r="V3656" s="2" t="inlineStr">
        <is>
          <t>data/raw/vivo_control_SP.html</t>
        </is>
      </c>
    </row>
    <row r="3657">
      <c r="A3657" s="5" t="inlineStr">
        <is>
          <t>2026-08-26</t>
        </is>
      </c>
      <c r="B3657" s="5" t="inlineStr">
        <is>
          <t>2026-08-26T21:24:35</t>
        </is>
      </c>
      <c r="C3657" s="5" t="inlineStr">
        <is>
          <t>vivo</t>
        </is>
      </c>
      <c r="D3657" s="5" t="inlineStr">
        <is>
          <t>control</t>
        </is>
      </c>
      <c r="E3657" s="5" t="inlineStr">
        <is>
          <t>SP</t>
        </is>
      </c>
      <c r="F3657" s="5" t="inlineStr">
        <is>
          <t>Vivo Controle Youtube Lite</t>
        </is>
      </c>
      <c r="G3657" s="5" t="inlineStr">
        <is>
          <t>vivo:VIV202600034626</t>
        </is>
      </c>
      <c r="H3657" s="6" t="n">
        <v>85</v>
      </c>
      <c r="I3657" s="6" t="inlineStr"/>
      <c r="J3657" s="5" t="inlineStr">
        <is>
          <t>preço-base do plano; a tela exibia R$ 90 com o adicional pré-selecionado (+R$ 5/mês, opcional); 60 GB na tela incluem +10 GB do adicional</t>
        </is>
      </c>
      <c r="K3657" s="5" t="inlineStr"/>
      <c r="L3657" s="7" t="n">
        <v>50</v>
      </c>
      <c r="M3657" s="5" t="inlineStr">
        <is>
          <t>20 GB de franquia 30 GB de bônus</t>
        </is>
      </c>
      <c r="N3657" s="5" t="inlineStr"/>
      <c r="O3657" s="5" t="inlineStr"/>
      <c r="P3657" s="5" t="inlineStr"/>
      <c r="Q3657" s="5" t="inlineStr"/>
      <c r="R3657" s="5" t="inlineStr"/>
      <c r="S3657" s="5" t="inlineStr"/>
      <c r="T3657" s="5" t="inlineStr">
        <is>
          <t>2 meses de YouTube sem consumo no plano</t>
        </is>
      </c>
      <c r="U3657" s="5" t="inlineStr">
        <is>
          <t>https://vivo.com.br/para-voce/produtos-e-servicos/para-o-celular/planos-controle</t>
        </is>
      </c>
      <c r="V3657" s="5" t="inlineStr">
        <is>
          <t>data/raw/vivo_control_SP.html</t>
        </is>
      </c>
    </row>
    <row r="3658">
      <c r="A3658" s="2" t="inlineStr">
        <is>
          <t>2026-08-26</t>
        </is>
      </c>
      <c r="B3658" s="2" t="inlineStr">
        <is>
          <t>2026-08-26T21:24:35</t>
        </is>
      </c>
      <c r="C3658" s="2" t="inlineStr">
        <is>
          <t>vivo</t>
        </is>
      </c>
      <c r="D3658" s="2" t="inlineStr">
        <is>
          <t>lite</t>
        </is>
      </c>
      <c r="E3658" s="2" t="inlineStr">
        <is>
          <t>SP</t>
        </is>
      </c>
      <c r="F3658" s="2" t="inlineStr">
        <is>
          <t>Vivo Lite</t>
        </is>
      </c>
      <c r="G3658" s="2" t="inlineStr">
        <is>
          <t>vivo:VIV202600033987</t>
        </is>
      </c>
      <c r="H3658" s="3" t="n">
        <v>45</v>
      </c>
      <c r="I3658" s="3" t="n">
        <v>30</v>
      </c>
      <c r="J3658" s="2" t="inlineStr">
        <is>
          <t>preço sem fidelidade; fidelidade 12m no promo</t>
        </is>
      </c>
      <c r="K3658" s="2" t="inlineStr"/>
      <c r="L3658" s="4" t="n">
        <v>30</v>
      </c>
      <c r="M3658" s="2" t="inlineStr">
        <is>
          <t>30 GB de franquia</t>
        </is>
      </c>
      <c r="N3658" s="2" t="inlineStr"/>
      <c r="O3658" s="2" t="inlineStr"/>
      <c r="P3658" s="2" t="inlineStr"/>
      <c r="Q3658" s="2" t="inlineStr"/>
      <c r="R3658" s="2" t="inlineStr"/>
      <c r="S3658" s="2" t="n">
        <v>12</v>
      </c>
      <c r="T3658" s="2" t="inlineStr">
        <is>
          <t>2 meses de YouTube sem consumo no plano</t>
        </is>
      </c>
      <c r="U3658" s="2" t="inlineStr">
        <is>
          <t>https://vivo.com.br/para-voce/produtos-e-servicos/para-o-celular/easy-lite</t>
        </is>
      </c>
      <c r="V3658" s="2" t="inlineStr">
        <is>
          <t>data/raw/vivo_lite_SP.html</t>
        </is>
      </c>
    </row>
    <row r="3659">
      <c r="A3659" s="5" t="inlineStr">
        <is>
          <t>2026-08-26</t>
        </is>
      </c>
      <c r="B3659" s="5" t="inlineStr">
        <is>
          <t>2026-08-26T21:24:35</t>
        </is>
      </c>
      <c r="C3659" s="5" t="inlineStr">
        <is>
          <t>vivo</t>
        </is>
      </c>
      <c r="D3659" s="5" t="inlineStr">
        <is>
          <t>lite</t>
        </is>
      </c>
      <c r="E3659" s="5" t="inlineStr">
        <is>
          <t>SP</t>
        </is>
      </c>
      <c r="F3659" s="5" t="inlineStr">
        <is>
          <t>Vivo Lite</t>
        </is>
      </c>
      <c r="G3659" s="5" t="inlineStr">
        <is>
          <t>vivo:VIV202600033989</t>
        </is>
      </c>
      <c r="H3659" s="6" t="n">
        <v>55</v>
      </c>
      <c r="I3659" s="6" t="n">
        <v>40</v>
      </c>
      <c r="J3659" s="5" t="inlineStr">
        <is>
          <t>preço sem fidelidade; fidelidade 12m no promo</t>
        </is>
      </c>
      <c r="K3659" s="5" t="inlineStr"/>
      <c r="L3659" s="7" t="n">
        <v>40</v>
      </c>
      <c r="M3659" s="5" t="inlineStr">
        <is>
          <t>40 GB de franquia</t>
        </is>
      </c>
      <c r="N3659" s="5" t="inlineStr"/>
      <c r="O3659" s="5" t="inlineStr"/>
      <c r="P3659" s="5" t="inlineStr"/>
      <c r="Q3659" s="5" t="inlineStr"/>
      <c r="R3659" s="5" t="inlineStr"/>
      <c r="S3659" s="5" t="n">
        <v>12</v>
      </c>
      <c r="T3659" s="5" t="inlineStr">
        <is>
          <t>2 meses de YouTube sem consumo no plano</t>
        </is>
      </c>
      <c r="U3659" s="5" t="inlineStr">
        <is>
          <t>https://vivo.com.br/para-voce/produtos-e-servicos/para-o-celular/easy-lite</t>
        </is>
      </c>
      <c r="V3659" s="5" t="inlineStr">
        <is>
          <t>data/raw/vivo_lite_SP.html</t>
        </is>
      </c>
    </row>
    <row r="3660">
      <c r="A3660" s="2" t="inlineStr">
        <is>
          <t>2026-08-26</t>
        </is>
      </c>
      <c r="B3660" s="2" t="inlineStr">
        <is>
          <t>2026-08-26T21:24:35</t>
        </is>
      </c>
      <c r="C3660" s="2" t="inlineStr">
        <is>
          <t>vivo</t>
        </is>
      </c>
      <c r="D3660" s="2" t="inlineStr">
        <is>
          <t>lite</t>
        </is>
      </c>
      <c r="E3660" s="2" t="inlineStr">
        <is>
          <t>SP</t>
        </is>
      </c>
      <c r="F3660" s="2" t="inlineStr">
        <is>
          <t>Vivo Lite</t>
        </is>
      </c>
      <c r="G3660" s="2" t="inlineStr">
        <is>
          <t>vivo:VIV202600033992</t>
        </is>
      </c>
      <c r="H3660" s="3" t="n">
        <v>35</v>
      </c>
      <c r="I3660" s="3" t="inlineStr"/>
      <c r="J3660" s="2" t="inlineStr"/>
      <c r="K3660" s="2" t="inlineStr"/>
      <c r="L3660" s="4" t="n">
        <v>20</v>
      </c>
      <c r="M3660" s="2" t="inlineStr">
        <is>
          <t>20 GB de franquia</t>
        </is>
      </c>
      <c r="N3660" s="2" t="inlineStr"/>
      <c r="O3660" s="2" t="inlineStr"/>
      <c r="P3660" s="2" t="inlineStr"/>
      <c r="Q3660" s="2" t="inlineStr"/>
      <c r="R3660" s="2" t="inlineStr"/>
      <c r="S3660" s="2" t="inlineStr"/>
      <c r="T3660" s="2" t="inlineStr">
        <is>
          <t>2 meses de YouTube sem consumo no plano</t>
        </is>
      </c>
      <c r="U3660" s="2" t="inlineStr">
        <is>
          <t>https://vivo.com.br/para-voce/produtos-e-servicos/para-o-celular/easy-lite</t>
        </is>
      </c>
      <c r="V3660" s="2" t="inlineStr">
        <is>
          <t>data/raw/vivo_lite_SP.html</t>
        </is>
      </c>
    </row>
    <row r="3661">
      <c r="A3661" s="5" t="inlineStr">
        <is>
          <t>2026-08-26</t>
        </is>
      </c>
      <c r="B3661" s="5" t="inlineStr">
        <is>
          <t>2026-08-26T21:24:35</t>
        </is>
      </c>
      <c r="C3661" s="5" t="inlineStr">
        <is>
          <t>vivo</t>
        </is>
      </c>
      <c r="D3661" s="5" t="inlineStr">
        <is>
          <t>postpaid</t>
        </is>
      </c>
      <c r="E3661" s="5" t="inlineStr">
        <is>
          <t>SP</t>
        </is>
      </c>
      <c r="F3661" s="5" t="inlineStr">
        <is>
          <t>Vivo Família 2</t>
        </is>
      </c>
      <c r="G3661" s="5" t="inlineStr">
        <is>
          <t>vivo:VIV202600034547</t>
        </is>
      </c>
      <c r="H3661" s="6" t="n">
        <v>270</v>
      </c>
      <c r="I3661" s="6" t="inlineStr"/>
      <c r="J3661" s="5" t="inlineStr"/>
      <c r="K3661" s="5" t="inlineStr"/>
      <c r="L3661" s="7" t="n">
        <v>120</v>
      </c>
      <c r="M3661" s="5" t="inlineStr">
        <is>
          <t>120 GB de franquia Você + 1 linha adicional Roaming Internacional com Vivo Travel Américas e Europa</t>
        </is>
      </c>
      <c r="N3661" s="5" t="inlineStr"/>
      <c r="O3661" s="5" t="inlineStr"/>
      <c r="P3661" s="5" t="inlineStr"/>
      <c r="Q3661" s="5" t="inlineStr"/>
      <c r="R3661" s="5" t="inlineStr"/>
      <c r="S3661" s="5" t="inlineStr"/>
      <c r="T3661" s="5" t="inlineStr">
        <is>
          <t>2 meses de YouTube sem consumo no plano</t>
        </is>
      </c>
      <c r="U3661" s="5" t="inlineStr">
        <is>
          <t>https://vivo.com.br/para-voce/produtos-e-servicos/para-o-celular/planos-pos-pago</t>
        </is>
      </c>
      <c r="V3661" s="5" t="inlineStr">
        <is>
          <t>data/raw/vivo_postpaid_SP.html</t>
        </is>
      </c>
    </row>
    <row r="3662">
      <c r="A3662" s="2" t="inlineStr">
        <is>
          <t>2026-08-26</t>
        </is>
      </c>
      <c r="B3662" s="2" t="inlineStr">
        <is>
          <t>2026-08-26T21:24:35</t>
        </is>
      </c>
      <c r="C3662" s="2" t="inlineStr">
        <is>
          <t>vivo</t>
        </is>
      </c>
      <c r="D3662" s="2" t="inlineStr">
        <is>
          <t>postpaid</t>
        </is>
      </c>
      <c r="E3662" s="2" t="inlineStr">
        <is>
          <t>SP</t>
        </is>
      </c>
      <c r="F3662" s="2" t="inlineStr">
        <is>
          <t>Vivo Família 3</t>
        </is>
      </c>
      <c r="G3662" s="2" t="inlineStr">
        <is>
          <t>vivo:VIV202600034540</t>
        </is>
      </c>
      <c r="H3662" s="3" t="n">
        <v>340</v>
      </c>
      <c r="I3662" s="3" t="inlineStr"/>
      <c r="J3662" s="2" t="inlineStr"/>
      <c r="K3662" s="2" t="inlineStr"/>
      <c r="L3662" s="4" t="n">
        <v>180</v>
      </c>
      <c r="M3662" s="2" t="inlineStr">
        <is>
          <t>180 GB de franquia Você + 2 linhas adicionais Roaming Internacional com Vivo Travel Américas e Europa</t>
        </is>
      </c>
      <c r="N3662" s="2" t="inlineStr"/>
      <c r="O3662" s="2" t="inlineStr"/>
      <c r="P3662" s="2" t="inlineStr"/>
      <c r="Q3662" s="2" t="inlineStr"/>
      <c r="R3662" s="2" t="inlineStr"/>
      <c r="S3662" s="2" t="inlineStr"/>
      <c r="T3662" s="2" t="inlineStr">
        <is>
          <t>2 meses de YouTube sem consumo no plano</t>
        </is>
      </c>
      <c r="U3662" s="2" t="inlineStr">
        <is>
          <t>https://vivo.com.br/para-voce/produtos-e-servicos/para-o-celular/planos-pos-pago</t>
        </is>
      </c>
      <c r="V3662" s="2" t="inlineStr">
        <is>
          <t>data/raw/vivo_postpaid_SP.html</t>
        </is>
      </c>
    </row>
    <row r="3663">
      <c r="A3663" s="5" t="inlineStr">
        <is>
          <t>2026-08-26</t>
        </is>
      </c>
      <c r="B3663" s="5" t="inlineStr">
        <is>
          <t>2026-08-26T21:24:35</t>
        </is>
      </c>
      <c r="C3663" s="5" t="inlineStr">
        <is>
          <t>vivo</t>
        </is>
      </c>
      <c r="D3663" s="5" t="inlineStr">
        <is>
          <t>postpaid</t>
        </is>
      </c>
      <c r="E3663" s="5" t="inlineStr">
        <is>
          <t>SP</t>
        </is>
      </c>
      <c r="F3663" s="5" t="inlineStr">
        <is>
          <t>Vivo Família 4</t>
        </is>
      </c>
      <c r="G3663" s="5" t="inlineStr">
        <is>
          <t>vivo:VIV202600034531</t>
        </is>
      </c>
      <c r="H3663" s="6" t="n">
        <v>430</v>
      </c>
      <c r="I3663" s="6" t="inlineStr"/>
      <c r="J3663" s="5" t="inlineStr"/>
      <c r="K3663" s="5" t="inlineStr"/>
      <c r="L3663" s="7" t="n">
        <v>240</v>
      </c>
      <c r="M3663" s="5" t="inlineStr">
        <is>
          <t>240 GB de franquia Você + 3 linhas adicionais Roaming Internacional com Vivo Travel Américas e Europa</t>
        </is>
      </c>
      <c r="N3663" s="5" t="inlineStr"/>
      <c r="O3663" s="5" t="inlineStr"/>
      <c r="P3663" s="5" t="inlineStr"/>
      <c r="Q3663" s="5" t="inlineStr"/>
      <c r="R3663" s="5" t="inlineStr"/>
      <c r="S3663" s="5" t="inlineStr"/>
      <c r="T3663" s="5" t="inlineStr">
        <is>
          <t>2 meses de YouTube sem consumo no plano</t>
        </is>
      </c>
      <c r="U3663" s="5" t="inlineStr">
        <is>
          <t>https://vivo.com.br/para-voce/produtos-e-servicos/para-o-celular/planos-pos-pago</t>
        </is>
      </c>
      <c r="V3663" s="5" t="inlineStr">
        <is>
          <t>data/raw/vivo_postpaid_SP.html</t>
        </is>
      </c>
    </row>
    <row r="3664">
      <c r="A3664" s="2" t="inlineStr">
        <is>
          <t>2026-08-26</t>
        </is>
      </c>
      <c r="B3664" s="2" t="inlineStr">
        <is>
          <t>2026-08-26T21:24:35</t>
        </is>
      </c>
      <c r="C3664" s="2" t="inlineStr">
        <is>
          <t>vivo</t>
        </is>
      </c>
      <c r="D3664" s="2" t="inlineStr">
        <is>
          <t>postpaid</t>
        </is>
      </c>
      <c r="E3664" s="2" t="inlineStr">
        <is>
          <t>SP</t>
        </is>
      </c>
      <c r="F3664" s="2" t="inlineStr">
        <is>
          <t>Vivo Família 5</t>
        </is>
      </c>
      <c r="G3664" s="2" t="inlineStr">
        <is>
          <t>vivo:VIV202600034526</t>
        </is>
      </c>
      <c r="H3664" s="3" t="n">
        <v>530</v>
      </c>
      <c r="I3664" s="3" t="inlineStr"/>
      <c r="J3664" s="2" t="inlineStr"/>
      <c r="K3664" s="2" t="inlineStr"/>
      <c r="L3664" s="4" t="n">
        <v>300</v>
      </c>
      <c r="M3664" s="2" t="inlineStr">
        <is>
          <t>300 GB de franquia Você + 4 linhas adicionais Roaming Internacional com Vivo Travel Américas e Europa</t>
        </is>
      </c>
      <c r="N3664" s="2" t="inlineStr"/>
      <c r="O3664" s="2" t="inlineStr"/>
      <c r="P3664" s="2" t="inlineStr"/>
      <c r="Q3664" s="2" t="inlineStr"/>
      <c r="R3664" s="2" t="inlineStr"/>
      <c r="S3664" s="2" t="inlineStr"/>
      <c r="T3664" s="2" t="inlineStr">
        <is>
          <t>2 meses de YouTube sem consumo no plano</t>
        </is>
      </c>
      <c r="U3664" s="2" t="inlineStr">
        <is>
          <t>https://vivo.com.br/para-voce/produtos-e-servicos/para-o-celular/planos-pos-pago</t>
        </is>
      </c>
      <c r="V3664" s="2" t="inlineStr">
        <is>
          <t>data/raw/vivo_postpaid_SP.html</t>
        </is>
      </c>
    </row>
    <row r="3665">
      <c r="A3665" s="5" t="inlineStr">
        <is>
          <t>2026-08-26</t>
        </is>
      </c>
      <c r="B3665" s="5" t="inlineStr">
        <is>
          <t>2026-08-26T21:24:35</t>
        </is>
      </c>
      <c r="C3665" s="5" t="inlineStr">
        <is>
          <t>vivo</t>
        </is>
      </c>
      <c r="D3665" s="5" t="inlineStr">
        <is>
          <t>postpaid</t>
        </is>
      </c>
      <c r="E3665" s="5" t="inlineStr">
        <is>
          <t>SP</t>
        </is>
      </c>
      <c r="F3665" s="5" t="inlineStr">
        <is>
          <t>Vivo Pós com Amazon</t>
        </is>
      </c>
      <c r="G3665" s="5" t="inlineStr">
        <is>
          <t>vivo:VIV202600034554</t>
        </is>
      </c>
      <c r="H3665" s="6" t="n">
        <v>150</v>
      </c>
      <c r="I3665" s="6" t="inlineStr"/>
      <c r="J3665" s="5" t="inlineStr"/>
      <c r="K3665" s="5" t="inlineStr"/>
      <c r="L3665" s="7" t="n">
        <v>60</v>
      </c>
      <c r="M3665" s="5" t="inlineStr">
        <is>
          <t>50 GB de franquia 10 GB de bônus</t>
        </is>
      </c>
      <c r="N3665" s="5" t="inlineStr"/>
      <c r="O3665" s="5" t="inlineStr"/>
      <c r="P3665" s="5" t="inlineStr"/>
      <c r="Q3665" s="5" t="inlineStr"/>
      <c r="R3665" s="5" t="inlineStr"/>
      <c r="S3665" s="5" t="inlineStr"/>
      <c r="T3665" s="5" t="inlineStr">
        <is>
          <t>Assinatura Amazon Prime inclusa</t>
        </is>
      </c>
      <c r="U3665" s="5" t="inlineStr">
        <is>
          <t>https://vivo.com.br/para-voce/produtos-e-servicos/para-o-celular/planos-pos-pago</t>
        </is>
      </c>
      <c r="V3665" s="5" t="inlineStr">
        <is>
          <t>data/raw/vivo_postpaid_SP.html</t>
        </is>
      </c>
    </row>
    <row r="3666">
      <c r="A3666" s="2" t="inlineStr">
        <is>
          <t>2026-08-26</t>
        </is>
      </c>
      <c r="B3666" s="2" t="inlineStr">
        <is>
          <t>2026-08-26T21:24:35</t>
        </is>
      </c>
      <c r="C3666" s="2" t="inlineStr">
        <is>
          <t>vivo</t>
        </is>
      </c>
      <c r="D3666" s="2" t="inlineStr">
        <is>
          <t>postpaid</t>
        </is>
      </c>
      <c r="E3666" s="2" t="inlineStr">
        <is>
          <t>SP</t>
        </is>
      </c>
      <c r="F3666" s="2" t="inlineStr">
        <is>
          <t>Vivo Pós com Disney+</t>
        </is>
      </c>
      <c r="G3666" s="2" t="inlineStr">
        <is>
          <t>vivo:VIV202600034532</t>
        </is>
      </c>
      <c r="H3666" s="3" t="n">
        <v>180</v>
      </c>
      <c r="I3666" s="3" t="inlineStr"/>
      <c r="J3666" s="2" t="inlineStr"/>
      <c r="K3666" s="2" t="inlineStr"/>
      <c r="L3666" s="4" t="n">
        <v>60</v>
      </c>
      <c r="M3666" s="2" t="inlineStr">
        <is>
          <t>50 GB de franquia 10 GB de bônus</t>
        </is>
      </c>
      <c r="N3666" s="2" t="inlineStr"/>
      <c r="O3666" s="2" t="inlineStr"/>
      <c r="P3666" s="2" t="inlineStr"/>
      <c r="Q3666" s="2" t="inlineStr"/>
      <c r="R3666" s="2" t="inlineStr">
        <is>
          <t>Disney+</t>
        </is>
      </c>
      <c r="S3666" s="2" t="inlineStr"/>
      <c r="T3666" s="2" t="inlineStr">
        <is>
          <t>Assinatura Disney+ Padrão inclusa</t>
        </is>
      </c>
      <c r="U3666" s="2" t="inlineStr">
        <is>
          <t>https://vivo.com.br/para-voce/produtos-e-servicos/para-o-celular/planos-pos-pago</t>
        </is>
      </c>
      <c r="V3666" s="2" t="inlineStr">
        <is>
          <t>data/raw/vivo_postpaid_SP.html</t>
        </is>
      </c>
    </row>
    <row r="3667">
      <c r="A3667" s="5" t="inlineStr">
        <is>
          <t>2026-08-26</t>
        </is>
      </c>
      <c r="B3667" s="5" t="inlineStr">
        <is>
          <t>2026-08-26T21:24:35</t>
        </is>
      </c>
      <c r="C3667" s="5" t="inlineStr">
        <is>
          <t>vivo</t>
        </is>
      </c>
      <c r="D3667" s="5" t="inlineStr">
        <is>
          <t>postpaid</t>
        </is>
      </c>
      <c r="E3667" s="5" t="inlineStr">
        <is>
          <t>SP</t>
        </is>
      </c>
      <c r="F3667" s="5" t="inlineStr">
        <is>
          <t>Vivo Pós com Globoplay</t>
        </is>
      </c>
      <c r="G3667" s="5" t="inlineStr">
        <is>
          <t>vivo:VIV202600034575</t>
        </is>
      </c>
      <c r="H3667" s="6" t="n">
        <v>165</v>
      </c>
      <c r="I3667" s="6" t="inlineStr"/>
      <c r="J3667" s="5" t="inlineStr"/>
      <c r="K3667" s="5" t="inlineStr"/>
      <c r="L3667" s="7" t="n">
        <v>60</v>
      </c>
      <c r="M3667" s="5" t="inlineStr">
        <is>
          <t>50 GB de franquia 10 GB de bônus</t>
        </is>
      </c>
      <c r="N3667" s="5" t="inlineStr"/>
      <c r="O3667" s="5" t="inlineStr"/>
      <c r="P3667" s="5" t="inlineStr"/>
      <c r="Q3667" s="5" t="inlineStr"/>
      <c r="R3667" s="5" t="inlineStr">
        <is>
          <t>Globoplay</t>
        </is>
      </c>
      <c r="S3667" s="5" t="inlineStr"/>
      <c r="T3667" s="5" t="inlineStr">
        <is>
          <t>Assinatura Globoplay inclusa</t>
        </is>
      </c>
      <c r="U3667" s="5" t="inlineStr">
        <is>
          <t>https://vivo.com.br/para-voce/produtos-e-servicos/para-o-celular/planos-pos-pago</t>
        </is>
      </c>
      <c r="V3667" s="5" t="inlineStr">
        <is>
          <t>data/raw/vivo_postpaid_SP.html</t>
        </is>
      </c>
    </row>
    <row r="3668">
      <c r="A3668" s="2" t="inlineStr">
        <is>
          <t>2026-08-26</t>
        </is>
      </c>
      <c r="B3668" s="2" t="inlineStr">
        <is>
          <t>2026-08-26T21:24:35</t>
        </is>
      </c>
      <c r="C3668" s="2" t="inlineStr">
        <is>
          <t>vivo</t>
        </is>
      </c>
      <c r="D3668" s="2" t="inlineStr">
        <is>
          <t>postpaid</t>
        </is>
      </c>
      <c r="E3668" s="2" t="inlineStr">
        <is>
          <t>SP</t>
        </is>
      </c>
      <c r="F3668" s="2" t="inlineStr">
        <is>
          <t>Vivo Pós com Netflix</t>
        </is>
      </c>
      <c r="G3668" s="2" t="inlineStr">
        <is>
          <t>vivo:VIV202600034562</t>
        </is>
      </c>
      <c r="H3668" s="3" t="n">
        <v>180</v>
      </c>
      <c r="I3668" s="3" t="inlineStr"/>
      <c r="J3668" s="2" t="inlineStr"/>
      <c r="K3668" s="2" t="inlineStr"/>
      <c r="L3668" s="4" t="n">
        <v>60</v>
      </c>
      <c r="M3668" s="2" t="inlineStr">
        <is>
          <t>50 GB de franquia 10 GB de bônus</t>
        </is>
      </c>
      <c r="N3668" s="2" t="inlineStr"/>
      <c r="O3668" s="2" t="inlineStr"/>
      <c r="P3668" s="2" t="inlineStr"/>
      <c r="Q3668" s="2" t="inlineStr"/>
      <c r="R3668" s="2" t="inlineStr">
        <is>
          <t>Netflix</t>
        </is>
      </c>
      <c r="S3668" s="2" t="inlineStr"/>
      <c r="T3668" s="2" t="inlineStr">
        <is>
          <t>Assinatura Netflix Padrão inclusa</t>
        </is>
      </c>
      <c r="U3668" s="2" t="inlineStr">
        <is>
          <t>https://vivo.com.br/para-voce/produtos-e-servicos/para-o-celular/planos-pos-pago</t>
        </is>
      </c>
      <c r="V3668" s="2" t="inlineStr">
        <is>
          <t>data/raw/vivo_postpaid_SP.html</t>
        </is>
      </c>
    </row>
    <row r="3669">
      <c r="A3669" s="5" t="inlineStr">
        <is>
          <t>2026-08-26</t>
        </is>
      </c>
      <c r="B3669" s="5" t="inlineStr">
        <is>
          <t>2026-08-26T21:24:35</t>
        </is>
      </c>
      <c r="C3669" s="5" t="inlineStr">
        <is>
          <t>vivo</t>
        </is>
      </c>
      <c r="D3669" s="5" t="inlineStr">
        <is>
          <t>postpaid</t>
        </is>
      </c>
      <c r="E3669" s="5" t="inlineStr">
        <is>
          <t>SP</t>
        </is>
      </c>
      <c r="F3669" s="5" t="inlineStr">
        <is>
          <t>Vivo Pós com Premiere</t>
        </is>
      </c>
      <c r="G3669" s="5" t="inlineStr">
        <is>
          <t>vivo:VIV202600034579</t>
        </is>
      </c>
      <c r="H3669" s="6" t="n">
        <v>180</v>
      </c>
      <c r="I3669" s="6" t="inlineStr"/>
      <c r="J3669" s="5" t="inlineStr"/>
      <c r="K3669" s="5" t="inlineStr"/>
      <c r="L3669" s="7" t="n">
        <v>60</v>
      </c>
      <c r="M3669" s="5" t="inlineStr">
        <is>
          <t>50 GB de franquia 10 GB de bônus</t>
        </is>
      </c>
      <c r="N3669" s="5" t="inlineStr"/>
      <c r="O3669" s="5" t="inlineStr"/>
      <c r="P3669" s="5" t="inlineStr"/>
      <c r="Q3669" s="5" t="inlineStr"/>
      <c r="R3669" s="5" t="inlineStr">
        <is>
          <t>Premiere</t>
        </is>
      </c>
      <c r="S3669" s="5" t="inlineStr"/>
      <c r="T3669" s="5" t="inlineStr">
        <is>
          <t>Assinatura Premiere inclusa</t>
        </is>
      </c>
      <c r="U3669" s="5" t="inlineStr">
        <is>
          <t>https://vivo.com.br/para-voce/produtos-e-servicos/para-o-celular/planos-pos-pago</t>
        </is>
      </c>
      <c r="V3669" s="5" t="inlineStr">
        <is>
          <t>data/raw/vivo_postpaid_SP.html</t>
        </is>
      </c>
    </row>
    <row r="3670">
      <c r="A3670" s="2" t="inlineStr">
        <is>
          <t>2026-08-26</t>
        </is>
      </c>
      <c r="B3670" s="2" t="inlineStr">
        <is>
          <t>2026-08-26T21:24:35</t>
        </is>
      </c>
      <c r="C3670" s="2" t="inlineStr">
        <is>
          <t>vivo</t>
        </is>
      </c>
      <c r="D3670" s="2" t="inlineStr">
        <is>
          <t>postpaid</t>
        </is>
      </c>
      <c r="E3670" s="2" t="inlineStr">
        <is>
          <t>SP</t>
        </is>
      </c>
      <c r="F3670" s="2" t="inlineStr">
        <is>
          <t>Vivo Pós com Spotify</t>
        </is>
      </c>
      <c r="G3670" s="2" t="inlineStr">
        <is>
          <t>vivo:VIV202600034556</t>
        </is>
      </c>
      <c r="H3670" s="3" t="n">
        <v>165</v>
      </c>
      <c r="I3670" s="3" t="inlineStr"/>
      <c r="J3670" s="2" t="inlineStr"/>
      <c r="K3670" s="2" t="inlineStr"/>
      <c r="L3670" s="4" t="n">
        <v>60</v>
      </c>
      <c r="M3670" s="2" t="inlineStr">
        <is>
          <t>50 GB de franquia 10 GB de bônus</t>
        </is>
      </c>
      <c r="N3670" s="2" t="inlineStr"/>
      <c r="O3670" s="2" t="inlineStr"/>
      <c r="P3670" s="2" t="inlineStr"/>
      <c r="Q3670" s="2" t="inlineStr"/>
      <c r="R3670" s="2" t="inlineStr">
        <is>
          <t>Spotify</t>
        </is>
      </c>
      <c r="S3670" s="2" t="inlineStr"/>
      <c r="T3670" s="2" t="inlineStr">
        <is>
          <t>Assinatura Spotify Premium inclusa</t>
        </is>
      </c>
      <c r="U3670" s="2" t="inlineStr">
        <is>
          <t>https://vivo.com.br/para-voce/produtos-e-servicos/para-o-celular/planos-pos-pago</t>
        </is>
      </c>
      <c r="V3670" s="2" t="inlineStr">
        <is>
          <t>data/raw/vivo_postpaid_SP.html</t>
        </is>
      </c>
    </row>
    <row r="3671">
      <c r="A3671" s="5" t="inlineStr">
        <is>
          <t>2026-08-26</t>
        </is>
      </c>
      <c r="B3671" s="5" t="inlineStr">
        <is>
          <t>2026-08-26T21:24:35</t>
        </is>
      </c>
      <c r="C3671" s="5" t="inlineStr">
        <is>
          <t>vivo</t>
        </is>
      </c>
      <c r="D3671" s="5" t="inlineStr">
        <is>
          <t>postpaid</t>
        </is>
      </c>
      <c r="E3671" s="5" t="inlineStr">
        <is>
          <t>SP</t>
        </is>
      </c>
      <c r="F3671" s="5" t="inlineStr">
        <is>
          <t>Vivo Pós com Travel</t>
        </is>
      </c>
      <c r="G3671" s="5" t="inlineStr">
        <is>
          <t>vivo:VIV202600034573</t>
        </is>
      </c>
      <c r="H3671" s="6" t="n">
        <v>215</v>
      </c>
      <c r="I3671" s="6" t="inlineStr"/>
      <c r="J3671" s="5" t="inlineStr"/>
      <c r="K3671" s="5" t="inlineStr"/>
      <c r="L3671" s="7" t="n">
        <v>70</v>
      </c>
      <c r="M3671" s="5" t="inlineStr">
        <is>
          <t>60 GB de franquia 10 GB de bônus</t>
        </is>
      </c>
      <c r="N3671" s="5" t="inlineStr"/>
      <c r="O3671" s="5" t="inlineStr"/>
      <c r="P3671" s="5" t="inlineStr"/>
      <c r="Q3671" s="5" t="inlineStr"/>
      <c r="R3671" s="5" t="inlineStr"/>
      <c r="S3671" s="5" t="inlineStr"/>
      <c r="T3671" s="5" t="inlineStr">
        <is>
          <t>2 meses de YouTube sem consumo no plano</t>
        </is>
      </c>
      <c r="U3671" s="5" t="inlineStr">
        <is>
          <t>https://vivo.com.br/para-voce/produtos-e-servicos/para-o-celular/planos-pos-pago</t>
        </is>
      </c>
      <c r="V3671" s="5" t="inlineStr">
        <is>
          <t>data/raw/vivo_postpaid_SP.html</t>
        </is>
      </c>
    </row>
    <row r="3672">
      <c r="A3672" s="2" t="inlineStr">
        <is>
          <t>2026-08-26</t>
        </is>
      </c>
      <c r="B3672" s="2" t="inlineStr">
        <is>
          <t>2026-08-26T21:24:35</t>
        </is>
      </c>
      <c r="C3672" s="2" t="inlineStr">
        <is>
          <t>vivo</t>
        </is>
      </c>
      <c r="D3672" s="2" t="inlineStr">
        <is>
          <t>prepaid</t>
        </is>
      </c>
      <c r="E3672" s="2" t="inlineStr">
        <is>
          <t>SP</t>
        </is>
      </c>
      <c r="F3672" s="2" t="inlineStr">
        <is>
          <t>Vivo Pré</t>
        </is>
      </c>
      <c r="G3672" s="2" t="inlineStr">
        <is>
          <t>vivo:VIV202600029370-30d</t>
        </is>
      </c>
      <c r="H3672" s="3" t="n">
        <v>30</v>
      </c>
      <c r="I3672" s="3" t="inlineStr"/>
      <c r="J3672" s="2" t="inlineStr"/>
      <c r="K3672" s="2" t="inlineStr"/>
      <c r="L3672" s="4" t="n">
        <v>25</v>
      </c>
      <c r="M3672" s="2" t="inlineStr">
        <is>
          <t>15 GB para navegar como quiser 5 GB de bônus 5 GB para navegar no Youtube</t>
        </is>
      </c>
      <c r="N3672" s="2" t="n">
        <v>30</v>
      </c>
      <c r="O3672" s="2" t="inlineStr"/>
      <c r="P3672" s="2" t="inlineStr"/>
      <c r="Q3672" s="2" t="inlineStr"/>
      <c r="R3672" s="2" t="inlineStr"/>
      <c r="S3672" s="2" t="inlineStr"/>
      <c r="T3672" s="2" t="inlineStr"/>
      <c r="U3672" s="2" t="inlineStr">
        <is>
          <t>https://vivo.com.br/para-voce/produtos-e-servicos/para-o-celular/pre-pago/vivo-pre</t>
        </is>
      </c>
      <c r="V3672" s="2" t="inlineStr">
        <is>
          <t>data/raw/vivo_prepaid_SP.html</t>
        </is>
      </c>
    </row>
    <row r="3673">
      <c r="A3673" s="5" t="inlineStr">
        <is>
          <t>2026-08-26</t>
        </is>
      </c>
      <c r="B3673" s="5" t="inlineStr">
        <is>
          <t>2026-08-26T21:24:35</t>
        </is>
      </c>
      <c r="C3673" s="5" t="inlineStr">
        <is>
          <t>vivo</t>
        </is>
      </c>
      <c r="D3673" s="5" t="inlineStr">
        <is>
          <t>prepaid</t>
        </is>
      </c>
      <c r="E3673" s="5" t="inlineStr">
        <is>
          <t>SP</t>
        </is>
      </c>
      <c r="F3673" s="5" t="inlineStr">
        <is>
          <t>Vivo Pré</t>
        </is>
      </c>
      <c r="G3673" s="5" t="inlineStr">
        <is>
          <t>vivo:VIV202600029370-22d</t>
        </is>
      </c>
      <c r="H3673" s="6" t="n">
        <v>25</v>
      </c>
      <c r="I3673" s="6" t="inlineStr"/>
      <c r="J3673" s="5" t="inlineStr"/>
      <c r="K3673" s="5" t="inlineStr"/>
      <c r="L3673" s="7" t="n">
        <v>9</v>
      </c>
      <c r="M3673" s="5" t="inlineStr">
        <is>
          <t>6 GB para navegar como quiser 3 GB para navegar no YouTube</t>
        </is>
      </c>
      <c r="N3673" s="5" t="n">
        <v>22</v>
      </c>
      <c r="O3673" s="5" t="inlineStr"/>
      <c r="P3673" s="5" t="inlineStr"/>
      <c r="Q3673" s="5" t="inlineStr"/>
      <c r="R3673" s="5" t="inlineStr"/>
      <c r="S3673" s="5" t="inlineStr"/>
      <c r="T3673" s="5" t="inlineStr"/>
      <c r="U3673" s="5" t="inlineStr">
        <is>
          <t>https://vivo.com.br/para-voce/produtos-e-servicos/para-o-celular/pre-pago/vivo-pre</t>
        </is>
      </c>
      <c r="V3673" s="5" t="inlineStr">
        <is>
          <t>data/raw/vivo_prepaid_SP.html</t>
        </is>
      </c>
    </row>
    <row r="3674">
      <c r="A3674" s="2" t="inlineStr">
        <is>
          <t>2026-08-26</t>
        </is>
      </c>
      <c r="B3674" s="2" t="inlineStr">
        <is>
          <t>2026-08-26T21:24:35</t>
        </is>
      </c>
      <c r="C3674" s="2" t="inlineStr">
        <is>
          <t>vivo</t>
        </is>
      </c>
      <c r="D3674" s="2" t="inlineStr">
        <is>
          <t>prepaid</t>
        </is>
      </c>
      <c r="E3674" s="2" t="inlineStr">
        <is>
          <t>SP</t>
        </is>
      </c>
      <c r="F3674" s="2" t="inlineStr">
        <is>
          <t>Vivo Pré</t>
        </is>
      </c>
      <c r="G3674" s="2" t="inlineStr">
        <is>
          <t>vivo:VIV202600029370-17d</t>
        </is>
      </c>
      <c r="H3674" s="3" t="n">
        <v>20</v>
      </c>
      <c r="I3674" s="3" t="inlineStr"/>
      <c r="J3674" s="2" t="inlineStr"/>
      <c r="K3674" s="2" t="inlineStr"/>
      <c r="L3674" s="4" t="n">
        <v>5</v>
      </c>
      <c r="M3674" s="2" t="inlineStr">
        <is>
          <t>5 GB para navegar como quiser</t>
        </is>
      </c>
      <c r="N3674" s="2" t="n">
        <v>17</v>
      </c>
      <c r="O3674" s="2" t="inlineStr"/>
      <c r="P3674" s="2" t="inlineStr"/>
      <c r="Q3674" s="2" t="inlineStr"/>
      <c r="R3674" s="2" t="inlineStr"/>
      <c r="S3674" s="2" t="inlineStr"/>
      <c r="T3674" s="2" t="inlineStr"/>
      <c r="U3674" s="2" t="inlineStr">
        <is>
          <t>https://vivo.com.br/para-voce/produtos-e-servicos/para-o-celular/pre-pago/vivo-pre</t>
        </is>
      </c>
      <c r="V3674" s="2" t="inlineStr">
        <is>
          <t>data/raw/vivo_prepaid_SP.html</t>
        </is>
      </c>
    </row>
    <row r="3675">
      <c r="A3675" s="5" t="inlineStr">
        <is>
          <t>2026-08-26</t>
        </is>
      </c>
      <c r="B3675" s="5" t="inlineStr">
        <is>
          <t>2026-08-26T21:24:35</t>
        </is>
      </c>
      <c r="C3675" s="5" t="inlineStr">
        <is>
          <t>vivo</t>
        </is>
      </c>
      <c r="D3675" s="5" t="inlineStr">
        <is>
          <t>prepaid</t>
        </is>
      </c>
      <c r="E3675" s="5" t="inlineStr">
        <is>
          <t>SP</t>
        </is>
      </c>
      <c r="F3675" s="5" t="inlineStr">
        <is>
          <t>Vivo Pré</t>
        </is>
      </c>
      <c r="G3675" s="5" t="inlineStr">
        <is>
          <t>vivo:VIV202600029370-15d</t>
        </is>
      </c>
      <c r="H3675" s="6" t="n">
        <v>17</v>
      </c>
      <c r="I3675" s="6" t="inlineStr"/>
      <c r="J3675" s="5" t="inlineStr"/>
      <c r="K3675" s="5" t="inlineStr"/>
      <c r="L3675" s="7" t="n">
        <v>4</v>
      </c>
      <c r="M3675" s="5" t="inlineStr">
        <is>
          <t>4 GB para navegar como quiser</t>
        </is>
      </c>
      <c r="N3675" s="5" t="n">
        <v>15</v>
      </c>
      <c r="O3675" s="5" t="inlineStr"/>
      <c r="P3675" s="5" t="inlineStr"/>
      <c r="Q3675" s="5" t="inlineStr"/>
      <c r="R3675" s="5" t="inlineStr"/>
      <c r="S3675" s="5" t="inlineStr"/>
      <c r="T3675" s="5" t="inlineStr"/>
      <c r="U3675" s="5" t="inlineStr">
        <is>
          <t>https://vivo.com.br/para-voce/produtos-e-servicos/para-o-celular/pre-pago/vivo-pre</t>
        </is>
      </c>
      <c r="V3675" s="5" t="inlineStr">
        <is>
          <t>data/raw/vivo_prepaid_SP.html</t>
        </is>
      </c>
    </row>
    <row r="3676">
      <c r="A3676" s="2" t="inlineStr">
        <is>
          <t>2026-08-27</t>
        </is>
      </c>
      <c r="B3676" s="2" t="inlineStr">
        <is>
          <t>2026-08-27T01:25:48</t>
        </is>
      </c>
      <c r="C3676" s="2" t="inlineStr">
        <is>
          <t>claro</t>
        </is>
      </c>
      <c r="D3676" s="2" t="inlineStr">
        <is>
          <t>control</t>
        </is>
      </c>
      <c r="E3676" s="2" t="inlineStr">
        <is>
          <t>SP</t>
        </is>
      </c>
      <c r="F3676" s="2" t="inlineStr">
        <is>
          <t>Controle 25GB</t>
        </is>
      </c>
      <c r="G3676" s="2" t="inlineStr">
        <is>
          <t>claro:plano-controle-25gb</t>
        </is>
      </c>
      <c r="H3676" s="3" t="n">
        <v>59.9</v>
      </c>
      <c r="I3676" s="3" t="n">
        <v>54.9</v>
      </c>
      <c r="J3676" s="2" t="inlineStr">
        <is>
          <t>De R$ 59,90 Por:</t>
        </is>
      </c>
      <c r="K3676" s="2" t="inlineStr"/>
      <c r="L3676" s="4" t="n">
        <v>25</v>
      </c>
      <c r="M3676" s="2" t="inlineStr"/>
      <c r="N3676" s="2" t="inlineStr"/>
      <c r="O3676" s="2" t="inlineStr">
        <is>
          <t>WhatsApp</t>
        </is>
      </c>
      <c r="P3676" s="2" t="inlineStr"/>
      <c r="Q3676" s="2" t="inlineStr"/>
      <c r="R3676" s="2" t="inlineStr"/>
      <c r="S3676" s="2" t="inlineStr"/>
      <c r="T3676" s="2" t="inlineStr">
        <is>
          <t>Para uso livre; Para redes sociais e vídeos; Bônus exclusivo; Aproveite na sua franquia; WhatsApp e ligações ilimitadas</t>
        </is>
      </c>
      <c r="U3676" s="2" t="inlineStr">
        <is>
          <t>https://www.claro.com.br/celular/controle</t>
        </is>
      </c>
      <c r="V3676" s="2" t="inlineStr">
        <is>
          <t>data/raw/claro_control_SP.json</t>
        </is>
      </c>
    </row>
    <row r="3677">
      <c r="A3677" s="5" t="inlineStr">
        <is>
          <t>2026-08-27</t>
        </is>
      </c>
      <c r="B3677" s="5" t="inlineStr">
        <is>
          <t>2026-08-27T01:25:48</t>
        </is>
      </c>
      <c r="C3677" s="5" t="inlineStr">
        <is>
          <t>claro</t>
        </is>
      </c>
      <c r="D3677" s="5" t="inlineStr">
        <is>
          <t>control</t>
        </is>
      </c>
      <c r="E3677" s="5" t="inlineStr">
        <is>
          <t>SP</t>
        </is>
      </c>
      <c r="F3677" s="5" t="inlineStr">
        <is>
          <t>Controle 30GB</t>
        </is>
      </c>
      <c r="G3677" s="5" t="inlineStr">
        <is>
          <t>claro:plano-controle-30gb</t>
        </is>
      </c>
      <c r="H3677" s="6" t="n">
        <v>69.90000000000001</v>
      </c>
      <c r="I3677" s="6" t="inlineStr"/>
      <c r="J3677" s="5" t="inlineStr"/>
      <c r="K3677" s="5" t="inlineStr"/>
      <c r="L3677" s="7" t="n">
        <v>30</v>
      </c>
      <c r="M3677" s="5" t="inlineStr"/>
      <c r="N3677" s="5" t="inlineStr"/>
      <c r="O3677" s="5" t="inlineStr">
        <is>
          <t>WhatsApp</t>
        </is>
      </c>
      <c r="P3677" s="5" t="inlineStr"/>
      <c r="Q3677" s="5" t="inlineStr"/>
      <c r="R3677" s="5" t="inlineStr"/>
      <c r="S3677" s="5" t="inlineStr"/>
      <c r="T3677" s="5" t="inlineStr">
        <is>
          <t>Para uso livre; Bônus para uso livre; Bônus para redes sociais e apps; Assinatura Amazon Prime por 3 meses; Redes sociais e apps; WhatsApp ilimitado</t>
        </is>
      </c>
      <c r="U3677" s="5" t="inlineStr">
        <is>
          <t>https://www.claro.com.br/celular/controle</t>
        </is>
      </c>
      <c r="V3677" s="5" t="inlineStr">
        <is>
          <t>data/raw/claro_control_SP.json</t>
        </is>
      </c>
    </row>
    <row r="3678">
      <c r="A3678" s="2" t="inlineStr">
        <is>
          <t>2026-08-27</t>
        </is>
      </c>
      <c r="B3678" s="2" t="inlineStr">
        <is>
          <t>2026-08-27T01:25:48</t>
        </is>
      </c>
      <c r="C3678" s="2" t="inlineStr">
        <is>
          <t>claro</t>
        </is>
      </c>
      <c r="D3678" s="2" t="inlineStr">
        <is>
          <t>control</t>
        </is>
      </c>
      <c r="E3678" s="2" t="inlineStr">
        <is>
          <t>SP</t>
        </is>
      </c>
      <c r="F3678" s="2" t="inlineStr">
        <is>
          <t>Controle 30GB</t>
        </is>
      </c>
      <c r="G3678" s="2" t="inlineStr">
        <is>
          <t>claro:plano-controle-30gb-gaming</t>
        </is>
      </c>
      <c r="H3678" s="3" t="n">
        <v>99.90000000000001</v>
      </c>
      <c r="I3678" s="3" t="inlineStr"/>
      <c r="J3678" s="2" t="inlineStr"/>
      <c r="K3678" s="2" t="inlineStr"/>
      <c r="L3678" s="4" t="n">
        <v>30</v>
      </c>
      <c r="M3678" s="2" t="inlineStr"/>
      <c r="N3678" s="2" t="inlineStr"/>
      <c r="O3678" s="2" t="inlineStr">
        <is>
          <t>WhatsApp</t>
        </is>
      </c>
      <c r="P3678" s="2" t="inlineStr"/>
      <c r="Q3678" s="2" t="inlineStr"/>
      <c r="R3678" s="2" t="inlineStr"/>
      <c r="S3678" s="2" t="inlineStr"/>
      <c r="T3678" s="2" t="inlineStr">
        <is>
          <t>Para uso livre; Bônus para redes sociais e apps; Bônus uso livre; Assinatura Amazon Prime por 3 meses; Redes sociais e apps; WhatsApp ilimitado</t>
        </is>
      </c>
      <c r="U3678" s="2" t="inlineStr">
        <is>
          <t>https://www.claro.com.br/celular/controle</t>
        </is>
      </c>
      <c r="V3678" s="2" t="inlineStr">
        <is>
          <t>data/raw/claro_control_SP.json</t>
        </is>
      </c>
    </row>
    <row r="3679">
      <c r="A3679" s="5" t="inlineStr">
        <is>
          <t>2026-08-27</t>
        </is>
      </c>
      <c r="B3679" s="5" t="inlineStr">
        <is>
          <t>2026-08-27T01:25:48</t>
        </is>
      </c>
      <c r="C3679" s="5" t="inlineStr">
        <is>
          <t>claro</t>
        </is>
      </c>
      <c r="D3679" s="5" t="inlineStr">
        <is>
          <t>flex</t>
        </is>
      </c>
      <c r="E3679" s="5" t="inlineStr">
        <is>
          <t>SP</t>
        </is>
      </c>
      <c r="F3679" s="5" t="inlineStr">
        <is>
          <t>Flex 15GB</t>
        </is>
      </c>
      <c r="G3679" s="5" t="inlineStr">
        <is>
          <t>claro:plano-flex-15gb</t>
        </is>
      </c>
      <c r="H3679" s="6" t="n">
        <v>44.9</v>
      </c>
      <c r="I3679" s="6" t="inlineStr"/>
      <c r="J3679" s="5" t="inlineStr"/>
      <c r="K3679" s="5" t="inlineStr"/>
      <c r="L3679" s="7" t="n">
        <v>15</v>
      </c>
      <c r="M3679" s="5" t="inlineStr"/>
      <c r="N3679" s="5" t="inlineStr"/>
      <c r="O3679" s="5" t="inlineStr">
        <is>
          <t>WhatsApp</t>
        </is>
      </c>
      <c r="P3679" s="5" t="inlineStr"/>
      <c r="Q3679" s="5" t="inlineStr"/>
      <c r="R3679" s="5" t="inlineStr"/>
      <c r="S3679" s="5" t="inlineStr"/>
      <c r="T3679" s="5" t="inlineStr">
        <is>
          <t>Para uso livre; Bônus Pais para uso livre; Para redes sociais e apps; Bônus extra nos apps; WhatsApp ilimitado</t>
        </is>
      </c>
      <c r="U3679" s="5" t="inlineStr">
        <is>
          <t>https://www.claro.com.br/celular/flex</t>
        </is>
      </c>
      <c r="V3679" s="5" t="inlineStr">
        <is>
          <t>data/raw/claro_flex_SP.json</t>
        </is>
      </c>
    </row>
    <row r="3680">
      <c r="A3680" s="2" t="inlineStr">
        <is>
          <t>2026-08-27</t>
        </is>
      </c>
      <c r="B3680" s="2" t="inlineStr">
        <is>
          <t>2026-08-27T01:25:48</t>
        </is>
      </c>
      <c r="C3680" s="2" t="inlineStr">
        <is>
          <t>claro</t>
        </is>
      </c>
      <c r="D3680" s="2" t="inlineStr">
        <is>
          <t>flex</t>
        </is>
      </c>
      <c r="E3680" s="2" t="inlineStr">
        <is>
          <t>SP</t>
        </is>
      </c>
      <c r="F3680" s="2" t="inlineStr">
        <is>
          <t>Flex 20GB</t>
        </is>
      </c>
      <c r="G3680" s="2" t="inlineStr">
        <is>
          <t>claro:plano-flex-20gb</t>
        </is>
      </c>
      <c r="H3680" s="3" t="n">
        <v>59.9</v>
      </c>
      <c r="I3680" s="3" t="inlineStr"/>
      <c r="J3680" s="2" t="inlineStr"/>
      <c r="K3680" s="2" t="inlineStr"/>
      <c r="L3680" s="4" t="n">
        <v>20</v>
      </c>
      <c r="M3680" s="2" t="inlineStr"/>
      <c r="N3680" s="2" t="inlineStr"/>
      <c r="O3680" s="2" t="inlineStr">
        <is>
          <t>WhatsApp</t>
        </is>
      </c>
      <c r="P3680" s="2" t="inlineStr"/>
      <c r="Q3680" s="2" t="inlineStr"/>
      <c r="R3680" s="2" t="inlineStr"/>
      <c r="S3680" s="2" t="inlineStr"/>
      <c r="T3680" s="2" t="inlineStr">
        <is>
          <t>Para uso livre; Bônus Pais para uso livre; Para redes sociais e apps; Bônus extra nos apps; WhatsApp ilimitado</t>
        </is>
      </c>
      <c r="U3680" s="2" t="inlineStr">
        <is>
          <t>https://www.claro.com.br/celular/flex</t>
        </is>
      </c>
      <c r="V3680" s="2" t="inlineStr">
        <is>
          <t>data/raw/claro_flex_SP.json</t>
        </is>
      </c>
    </row>
    <row r="3681">
      <c r="A3681" s="5" t="inlineStr">
        <is>
          <t>2026-08-27</t>
        </is>
      </c>
      <c r="B3681" s="5" t="inlineStr">
        <is>
          <t>2026-08-27T01:25:48</t>
        </is>
      </c>
      <c r="C3681" s="5" t="inlineStr">
        <is>
          <t>claro</t>
        </is>
      </c>
      <c r="D3681" s="5" t="inlineStr">
        <is>
          <t>flex</t>
        </is>
      </c>
      <c r="E3681" s="5" t="inlineStr">
        <is>
          <t>SP</t>
        </is>
      </c>
      <c r="F3681" s="5" t="inlineStr">
        <is>
          <t>Flex 30GB</t>
        </is>
      </c>
      <c r="G3681" s="5" t="inlineStr">
        <is>
          <t>claro:plano-flex-30gb</t>
        </is>
      </c>
      <c r="H3681" s="6" t="n">
        <v>69.90000000000001</v>
      </c>
      <c r="I3681" s="6" t="inlineStr"/>
      <c r="J3681" s="5" t="inlineStr"/>
      <c r="K3681" s="5" t="inlineStr"/>
      <c r="L3681" s="7" t="n">
        <v>30</v>
      </c>
      <c r="M3681" s="5" t="inlineStr"/>
      <c r="N3681" s="5" t="inlineStr"/>
      <c r="O3681" s="5" t="inlineStr">
        <is>
          <t>WhatsApp</t>
        </is>
      </c>
      <c r="P3681" s="5" t="inlineStr"/>
      <c r="Q3681" s="5" t="inlineStr"/>
      <c r="R3681" s="5" t="inlineStr"/>
      <c r="S3681" s="5" t="inlineStr"/>
      <c r="T3681" s="5" t="inlineStr">
        <is>
          <t>Para uso livre; Bônus Pais para uso livre; Para redes sociais e apps; Bônus extra nos apps; WhatsApp ilimitado; Assinatura Claro musica inclusa</t>
        </is>
      </c>
      <c r="U3681" s="5" t="inlineStr">
        <is>
          <t>https://www.claro.com.br/celular/flex</t>
        </is>
      </c>
      <c r="V3681" s="5" t="inlineStr">
        <is>
          <t>data/raw/claro_flex_SP.json</t>
        </is>
      </c>
    </row>
    <row r="3682">
      <c r="A3682" s="2" t="inlineStr">
        <is>
          <t>2026-08-27</t>
        </is>
      </c>
      <c r="B3682" s="2" t="inlineStr">
        <is>
          <t>2026-08-27T01:25:48</t>
        </is>
      </c>
      <c r="C3682" s="2" t="inlineStr">
        <is>
          <t>claro</t>
        </is>
      </c>
      <c r="D3682" s="2" t="inlineStr">
        <is>
          <t>flex</t>
        </is>
      </c>
      <c r="E3682" s="2" t="inlineStr">
        <is>
          <t>SP</t>
        </is>
      </c>
      <c r="F3682" s="2" t="inlineStr">
        <is>
          <t>Flex 40GB</t>
        </is>
      </c>
      <c r="G3682" s="2" t="inlineStr">
        <is>
          <t>claro:plano-flex-40gb</t>
        </is>
      </c>
      <c r="H3682" s="3" t="n">
        <v>119.9</v>
      </c>
      <c r="I3682" s="3" t="inlineStr"/>
      <c r="J3682" s="2" t="inlineStr"/>
      <c r="K3682" s="2" t="inlineStr"/>
      <c r="L3682" s="4" t="n">
        <v>40</v>
      </c>
      <c r="M3682" s="2" t="inlineStr"/>
      <c r="N3682" s="2" t="inlineStr"/>
      <c r="O3682" s="2" t="inlineStr">
        <is>
          <t>WhatsApp</t>
        </is>
      </c>
      <c r="P3682" s="2" t="inlineStr"/>
      <c r="Q3682" s="2" t="inlineStr"/>
      <c r="R3682" s="2" t="inlineStr"/>
      <c r="S3682" s="2" t="inlineStr"/>
      <c r="T3682" s="2" t="inlineStr">
        <is>
          <t>Para uso livre; Para redes sociais e apps; Bônus extra nos apps; WhatsApp ilimitado; Assinatura Claro musica inclusa</t>
        </is>
      </c>
      <c r="U3682" s="2" t="inlineStr">
        <is>
          <t>https://www.claro.com.br/celular/flex</t>
        </is>
      </c>
      <c r="V3682" s="2" t="inlineStr">
        <is>
          <t>data/raw/claro_flex_SP.json</t>
        </is>
      </c>
    </row>
    <row r="3683">
      <c r="A3683" s="5" t="inlineStr">
        <is>
          <t>2026-08-27</t>
        </is>
      </c>
      <c r="B3683" s="5" t="inlineStr">
        <is>
          <t>2026-08-27T01:25:48</t>
        </is>
      </c>
      <c r="C3683" s="5" t="inlineStr">
        <is>
          <t>claro</t>
        </is>
      </c>
      <c r="D3683" s="5" t="inlineStr">
        <is>
          <t>postpaid</t>
        </is>
      </c>
      <c r="E3683" s="5" t="inlineStr">
        <is>
          <t>SP</t>
        </is>
      </c>
      <c r="F3683" s="5" t="inlineStr">
        <is>
          <t>Pós 100GB</t>
        </is>
      </c>
      <c r="G3683" s="5" t="inlineStr">
        <is>
          <t>claro:plano-pos-100gb</t>
        </is>
      </c>
      <c r="H3683" s="6" t="n">
        <v>179.9</v>
      </c>
      <c r="I3683" s="6" t="inlineStr"/>
      <c r="J3683" s="5" t="inlineStr"/>
      <c r="K3683" s="5" t="inlineStr"/>
      <c r="L3683" s="7" t="n">
        <v>100</v>
      </c>
      <c r="M3683" s="5" t="inlineStr"/>
      <c r="N3683" s="5" t="inlineStr"/>
      <c r="O3683" s="5" t="inlineStr">
        <is>
          <t>WhatsApp</t>
        </is>
      </c>
      <c r="P3683" s="5" t="inlineStr"/>
      <c r="Q3683" s="5" t="inlineStr"/>
      <c r="R3683" s="5" t="inlineStr"/>
      <c r="S3683" s="5" t="inlineStr"/>
      <c r="T3683" s="5" t="inlineStr">
        <is>
          <t>Armazenamento na nuvem:; Google One ou iCloud+; WhatsApp ilimitado; Assinatura Amazon Prime por 3 meses; Roaming: Passaporte Américas; Claro Sync: Smartwatch conectado</t>
        </is>
      </c>
      <c r="U3683" s="5" t="inlineStr">
        <is>
          <t>https://www.claro.com.br/celular/pos</t>
        </is>
      </c>
      <c r="V3683" s="5" t="inlineStr">
        <is>
          <t>data/raw/claro_postpaid_SP.json</t>
        </is>
      </c>
    </row>
    <row r="3684">
      <c r="A3684" s="2" t="inlineStr">
        <is>
          <t>2026-08-27</t>
        </is>
      </c>
      <c r="B3684" s="2" t="inlineStr">
        <is>
          <t>2026-08-27T01:25:48</t>
        </is>
      </c>
      <c r="C3684" s="2" t="inlineStr">
        <is>
          <t>claro</t>
        </is>
      </c>
      <c r="D3684" s="2" t="inlineStr">
        <is>
          <t>postpaid</t>
        </is>
      </c>
      <c r="E3684" s="2" t="inlineStr">
        <is>
          <t>SP</t>
        </is>
      </c>
      <c r="F3684" s="2" t="inlineStr">
        <is>
          <t>Pós 150GB</t>
        </is>
      </c>
      <c r="G3684" s="2" t="inlineStr">
        <is>
          <t>claro:plano-pos-150gb</t>
        </is>
      </c>
      <c r="H3684" s="3" t="n">
        <v>239.9</v>
      </c>
      <c r="I3684" s="3" t="inlineStr"/>
      <c r="J3684" s="2" t="inlineStr"/>
      <c r="K3684" s="2" t="inlineStr"/>
      <c r="L3684" s="4" t="n">
        <v>150</v>
      </c>
      <c r="M3684" s="2" t="inlineStr"/>
      <c r="N3684" s="2" t="inlineStr"/>
      <c r="O3684" s="2" t="inlineStr">
        <is>
          <t>WhatsApp</t>
        </is>
      </c>
      <c r="P3684" s="2" t="inlineStr"/>
      <c r="Q3684" s="2" t="inlineStr"/>
      <c r="R3684" s="2" t="inlineStr"/>
      <c r="S3684" s="2" t="inlineStr"/>
      <c r="T368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84" s="2" t="inlineStr">
        <is>
          <t>https://www.claro.com.br/celular/pos</t>
        </is>
      </c>
      <c r="V3684" s="2" t="inlineStr">
        <is>
          <t>data/raw/claro_postpaid_SP.json</t>
        </is>
      </c>
    </row>
    <row r="3685">
      <c r="A3685" s="5" t="inlineStr">
        <is>
          <t>2026-08-27</t>
        </is>
      </c>
      <c r="B3685" s="5" t="inlineStr">
        <is>
          <t>2026-08-27T01:25:48</t>
        </is>
      </c>
      <c r="C3685" s="5" t="inlineStr">
        <is>
          <t>claro</t>
        </is>
      </c>
      <c r="D3685" s="5" t="inlineStr">
        <is>
          <t>postpaid</t>
        </is>
      </c>
      <c r="E3685" s="5" t="inlineStr">
        <is>
          <t>SP</t>
        </is>
      </c>
      <c r="F3685" s="5" t="inlineStr">
        <is>
          <t>Pós 200GB</t>
        </is>
      </c>
      <c r="G3685" s="5" t="inlineStr">
        <is>
          <t>claro:plano-pos-200gb</t>
        </is>
      </c>
      <c r="H3685" s="6" t="n">
        <v>339.9</v>
      </c>
      <c r="I3685" s="6" t="inlineStr"/>
      <c r="J3685" s="5" t="inlineStr"/>
      <c r="K3685" s="5" t="inlineStr"/>
      <c r="L3685" s="7" t="n">
        <v>200</v>
      </c>
      <c r="M3685" s="5" t="inlineStr"/>
      <c r="N3685" s="5" t="inlineStr"/>
      <c r="O3685" s="5" t="inlineStr">
        <is>
          <t>WhatsApp</t>
        </is>
      </c>
      <c r="P3685" s="5" t="inlineStr"/>
      <c r="Q3685" s="5" t="inlineStr"/>
      <c r="R3685" s="5" t="inlineStr"/>
      <c r="S3685" s="5" t="inlineStr"/>
      <c r="T3685" s="5" t="inlineStr">
        <is>
          <t>Armazenamento na nuvem:; Google One (AI Plus) ou iCloud+; WhatsApp ilimitado; Assinatura Amazon Prime por 3 meses; Roaming: Passaporte Mundo; Claro Sync: Smartwatch conectado</t>
        </is>
      </c>
      <c r="U3685" s="5" t="inlineStr">
        <is>
          <t>https://www.claro.com.br/celular/pos</t>
        </is>
      </c>
      <c r="V3685" s="5" t="inlineStr">
        <is>
          <t>data/raw/claro_postpaid_SP.json</t>
        </is>
      </c>
    </row>
    <row r="3686">
      <c r="A3686" s="2" t="inlineStr">
        <is>
          <t>2026-08-27</t>
        </is>
      </c>
      <c r="B3686" s="2" t="inlineStr">
        <is>
          <t>2026-08-27T01:25:48</t>
        </is>
      </c>
      <c r="C3686" s="2" t="inlineStr">
        <is>
          <t>claro</t>
        </is>
      </c>
      <c r="D3686" s="2" t="inlineStr">
        <is>
          <t>postpaid</t>
        </is>
      </c>
      <c r="E3686" s="2" t="inlineStr">
        <is>
          <t>SP</t>
        </is>
      </c>
      <c r="F3686" s="2" t="inlineStr">
        <is>
          <t>Pós 50GB com GeForce NOW</t>
        </is>
      </c>
      <c r="G3686" s="2" t="inlineStr">
        <is>
          <t>claro:plano-pos-60gb-geforce</t>
        </is>
      </c>
      <c r="H3686" s="3" t="n">
        <v>164.9</v>
      </c>
      <c r="I3686" s="3" t="inlineStr"/>
      <c r="J3686" s="2" t="inlineStr"/>
      <c r="K3686" s="2" t="inlineStr"/>
      <c r="L3686" s="4" t="n">
        <v>50</v>
      </c>
      <c r="M3686" s="2" t="inlineStr"/>
      <c r="N3686" s="2" t="inlineStr"/>
      <c r="O3686" s="2" t="inlineStr">
        <is>
          <t>WhatsApp</t>
        </is>
      </c>
      <c r="P3686" s="2" t="inlineStr"/>
      <c r="Q3686" s="2" t="inlineStr"/>
      <c r="R3686" s="2" t="inlineStr"/>
      <c r="S3686" s="2" t="inlineStr"/>
      <c r="T368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86" s="2" t="inlineStr">
        <is>
          <t>https://www.claro.com.br/celular/pos</t>
        </is>
      </c>
      <c r="V3686" s="2" t="inlineStr">
        <is>
          <t>data/raw/claro_postpaid_SP.json</t>
        </is>
      </c>
    </row>
    <row r="3687">
      <c r="A3687" s="5" t="inlineStr">
        <is>
          <t>2026-08-27</t>
        </is>
      </c>
      <c r="B3687" s="5" t="inlineStr">
        <is>
          <t>2026-08-27T01:25:48</t>
        </is>
      </c>
      <c r="C3687" s="5" t="inlineStr">
        <is>
          <t>claro</t>
        </is>
      </c>
      <c r="D3687" s="5" t="inlineStr">
        <is>
          <t>postpaid</t>
        </is>
      </c>
      <c r="E3687" s="5" t="inlineStr">
        <is>
          <t>SP</t>
        </is>
      </c>
      <c r="F3687" s="5" t="inlineStr">
        <is>
          <t>Pós 60GB</t>
        </is>
      </c>
      <c r="G3687" s="5" t="inlineStr">
        <is>
          <t>claro:plano-pos-60gb</t>
        </is>
      </c>
      <c r="H3687" s="6" t="n">
        <v>124.9</v>
      </c>
      <c r="I3687" s="6" t="inlineStr"/>
      <c r="J3687" s="5" t="inlineStr"/>
      <c r="K3687" s="5" t="inlineStr"/>
      <c r="L3687" s="7" t="n">
        <v>60</v>
      </c>
      <c r="M3687" s="5" t="inlineStr"/>
      <c r="N3687" s="5" t="inlineStr"/>
      <c r="O3687" s="5" t="inlineStr">
        <is>
          <t>WhatsApp</t>
        </is>
      </c>
      <c r="P3687" s="5" t="inlineStr"/>
      <c r="Q3687" s="5" t="inlineStr"/>
      <c r="R3687" s="5" t="inlineStr"/>
      <c r="S3687" s="5" t="inlineStr"/>
      <c r="T3687" s="5" t="inlineStr">
        <is>
          <t>Armazenamento na nuvem:; Google One ou iCloud+; WhatsApp ilimitado; Assinatura Amazon Prime por 3 meses; Roaming: Passaporte Américas; Claro Sync: Smartwatch conectado</t>
        </is>
      </c>
      <c r="U3687" s="5" t="inlineStr">
        <is>
          <t>https://www.claro.com.br/celular/pos</t>
        </is>
      </c>
      <c r="V3687" s="5" t="inlineStr">
        <is>
          <t>data/raw/claro_postpaid_SP.json</t>
        </is>
      </c>
    </row>
    <row r="3688">
      <c r="A3688" s="2" t="inlineStr">
        <is>
          <t>2026-08-27</t>
        </is>
      </c>
      <c r="B3688" s="2" t="inlineStr">
        <is>
          <t>2026-08-27T01:25:48</t>
        </is>
      </c>
      <c r="C3688" s="2" t="inlineStr">
        <is>
          <t>claro</t>
        </is>
      </c>
      <c r="D3688" s="2" t="inlineStr">
        <is>
          <t>prepaid</t>
        </is>
      </c>
      <c r="E3688" s="2" t="inlineStr">
        <is>
          <t>SP</t>
        </is>
      </c>
      <c r="F3688" s="2" t="inlineStr">
        <is>
          <t>Prezão 10GB (25 dias)</t>
        </is>
      </c>
      <c r="G3688" s="2" t="inlineStr">
        <is>
          <t>claro:prezao-25d-10gb</t>
        </is>
      </c>
      <c r="H3688" s="3" t="n">
        <v>25</v>
      </c>
      <c r="I3688" s="3" t="inlineStr"/>
      <c r="J3688" s="2" t="inlineStr">
        <is>
          <t>recarga Prezão R$25 — validade 25 dias</t>
        </is>
      </c>
      <c r="K3688" s="2" t="inlineStr"/>
      <c r="L3688" s="4" t="n">
        <v>10</v>
      </c>
      <c r="M3688" s="2" t="inlineStr"/>
      <c r="N3688" s="2" t="n">
        <v>25</v>
      </c>
      <c r="O3688" s="2" t="inlineStr"/>
      <c r="P3688" s="2" t="inlineStr"/>
      <c r="Q3688" s="2" t="inlineStr"/>
      <c r="R3688" s="2" t="inlineStr"/>
      <c r="S3688" s="2" t="inlineStr"/>
      <c r="T3688" s="2" t="inlineStr"/>
      <c r="U3688" s="2" t="inlineStr">
        <is>
          <t>https://www.claro.com.br/celular/planos-pre/prezao</t>
        </is>
      </c>
      <c r="V3688" s="2" t="inlineStr">
        <is>
          <t>data/raw/claro_prepaid_SP.json</t>
        </is>
      </c>
    </row>
    <row r="3689">
      <c r="A3689" s="5" t="inlineStr">
        <is>
          <t>2026-08-27</t>
        </is>
      </c>
      <c r="B3689" s="5" t="inlineStr">
        <is>
          <t>2026-08-27T01:25:48</t>
        </is>
      </c>
      <c r="C3689" s="5" t="inlineStr">
        <is>
          <t>claro</t>
        </is>
      </c>
      <c r="D3689" s="5" t="inlineStr">
        <is>
          <t>prepaid</t>
        </is>
      </c>
      <c r="E3689" s="5" t="inlineStr">
        <is>
          <t>SP</t>
        </is>
      </c>
      <c r="F3689" s="5" t="inlineStr">
        <is>
          <t>Prezão 12GB (30 dias)</t>
        </is>
      </c>
      <c r="G3689" s="5" t="inlineStr">
        <is>
          <t>claro:prezao-30d-12gb</t>
        </is>
      </c>
      <c r="H3689" s="6" t="n">
        <v>30</v>
      </c>
      <c r="I3689" s="6" t="inlineStr"/>
      <c r="J3689" s="5" t="inlineStr">
        <is>
          <t>recarga Prezão R$30 — validade 30 dias</t>
        </is>
      </c>
      <c r="K3689" s="5" t="inlineStr"/>
      <c r="L3689" s="7" t="n">
        <v>12</v>
      </c>
      <c r="M3689" s="5" t="inlineStr"/>
      <c r="N3689" s="5" t="n">
        <v>30</v>
      </c>
      <c r="O3689" s="5" t="inlineStr"/>
      <c r="P3689" s="5" t="inlineStr"/>
      <c r="Q3689" s="5" t="inlineStr"/>
      <c r="R3689" s="5" t="inlineStr"/>
      <c r="S3689" s="5" t="inlineStr"/>
      <c r="T3689" s="5" t="inlineStr"/>
      <c r="U3689" s="5" t="inlineStr">
        <is>
          <t>https://www.claro.com.br/celular/planos-pre/prezao</t>
        </is>
      </c>
      <c r="V3689" s="5" t="inlineStr">
        <is>
          <t>data/raw/claro_prepaid_SP.json</t>
        </is>
      </c>
    </row>
    <row r="3690">
      <c r="A3690" s="2" t="inlineStr">
        <is>
          <t>2026-08-27</t>
        </is>
      </c>
      <c r="B3690" s="2" t="inlineStr">
        <is>
          <t>2026-08-27T01:25:48</t>
        </is>
      </c>
      <c r="C3690" s="2" t="inlineStr">
        <is>
          <t>claro</t>
        </is>
      </c>
      <c r="D3690" s="2" t="inlineStr">
        <is>
          <t>prepaid</t>
        </is>
      </c>
      <c r="E3690" s="2" t="inlineStr">
        <is>
          <t>SP</t>
        </is>
      </c>
      <c r="F3690" s="2" t="inlineStr">
        <is>
          <t>Prezão 4GB (12 dias)</t>
        </is>
      </c>
      <c r="G3690" s="2" t="inlineStr">
        <is>
          <t>claro:prezao-12d-4gb</t>
        </is>
      </c>
      <c r="H3690" s="3" t="n">
        <v>15</v>
      </c>
      <c r="I3690" s="3" t="inlineStr"/>
      <c r="J3690" s="2" t="inlineStr">
        <is>
          <t>recarga Prezão R$15 — validade 12 dias</t>
        </is>
      </c>
      <c r="K3690" s="2" t="inlineStr"/>
      <c r="L3690" s="4" t="n">
        <v>4</v>
      </c>
      <c r="M3690" s="2" t="inlineStr"/>
      <c r="N3690" s="2" t="n">
        <v>12</v>
      </c>
      <c r="O3690" s="2" t="inlineStr"/>
      <c r="P3690" s="2" t="inlineStr"/>
      <c r="Q3690" s="2" t="inlineStr"/>
      <c r="R3690" s="2" t="inlineStr"/>
      <c r="S3690" s="2" t="inlineStr"/>
      <c r="T3690" s="2" t="inlineStr"/>
      <c r="U3690" s="2" t="inlineStr">
        <is>
          <t>https://www.claro.com.br/celular/planos-pre/prezao</t>
        </is>
      </c>
      <c r="V3690" s="2" t="inlineStr">
        <is>
          <t>data/raw/claro_prepaid_SP.json</t>
        </is>
      </c>
    </row>
    <row r="3691">
      <c r="A3691" s="5" t="inlineStr">
        <is>
          <t>2026-08-27</t>
        </is>
      </c>
      <c r="B3691" s="5" t="inlineStr">
        <is>
          <t>2026-08-27T01:25:48</t>
        </is>
      </c>
      <c r="C3691" s="5" t="inlineStr">
        <is>
          <t>claro</t>
        </is>
      </c>
      <c r="D3691" s="5" t="inlineStr">
        <is>
          <t>prepaid</t>
        </is>
      </c>
      <c r="E3691" s="5" t="inlineStr">
        <is>
          <t>SP</t>
        </is>
      </c>
      <c r="F3691" s="5" t="inlineStr">
        <is>
          <t>Prezão 5GB (15 dias)</t>
        </is>
      </c>
      <c r="G3691" s="5" t="inlineStr">
        <is>
          <t>claro:prezao-15d-5gb</t>
        </is>
      </c>
      <c r="H3691" s="6" t="n">
        <v>15</v>
      </c>
      <c r="I3691" s="6" t="inlineStr"/>
      <c r="J3691" s="5" t="inlineStr">
        <is>
          <t>recarga Prezão R$15 — validade 15 dias</t>
        </is>
      </c>
      <c r="K3691" s="5" t="inlineStr"/>
      <c r="L3691" s="7" t="n">
        <v>5</v>
      </c>
      <c r="M3691" s="5" t="inlineStr"/>
      <c r="N3691" s="5" t="n">
        <v>15</v>
      </c>
      <c r="O3691" s="5" t="inlineStr"/>
      <c r="P3691" s="5" t="inlineStr"/>
      <c r="Q3691" s="5" t="inlineStr"/>
      <c r="R3691" s="5" t="inlineStr"/>
      <c r="S3691" s="5" t="inlineStr"/>
      <c r="T3691" s="5" t="inlineStr"/>
      <c r="U3691" s="5" t="inlineStr">
        <is>
          <t>https://www.claro.com.br/celular/planos-pre/prezao</t>
        </is>
      </c>
      <c r="V3691" s="5" t="inlineStr">
        <is>
          <t>data/raw/claro_prepaid_SP.json</t>
        </is>
      </c>
    </row>
    <row r="3692">
      <c r="A3692" s="2" t="inlineStr">
        <is>
          <t>2026-08-27</t>
        </is>
      </c>
      <c r="B3692" s="2" t="inlineStr">
        <is>
          <t>2026-08-27T01:25:48</t>
        </is>
      </c>
      <c r="C3692" s="2" t="inlineStr">
        <is>
          <t>claro</t>
        </is>
      </c>
      <c r="D3692" s="2" t="inlineStr">
        <is>
          <t>prepaid</t>
        </is>
      </c>
      <c r="E3692" s="2" t="inlineStr">
        <is>
          <t>SP</t>
        </is>
      </c>
      <c r="F3692" s="2" t="inlineStr">
        <is>
          <t>Prezão 6GB (20 dias)</t>
        </is>
      </c>
      <c r="G3692" s="2" t="inlineStr">
        <is>
          <t>claro:prezao-20d-6gb</t>
        </is>
      </c>
      <c r="H3692" s="3" t="n">
        <v>20</v>
      </c>
      <c r="I3692" s="3" t="inlineStr"/>
      <c r="J3692" s="2" t="inlineStr">
        <is>
          <t>recarga Prezão R$20 — validade 20 dias</t>
        </is>
      </c>
      <c r="K3692" s="2" t="inlineStr"/>
      <c r="L3692" s="4" t="n">
        <v>6</v>
      </c>
      <c r="M3692" s="2" t="inlineStr"/>
      <c r="N3692" s="2" t="n">
        <v>20</v>
      </c>
      <c r="O3692" s="2" t="inlineStr"/>
      <c r="P3692" s="2" t="inlineStr"/>
      <c r="Q3692" s="2" t="inlineStr"/>
      <c r="R3692" s="2" t="inlineStr"/>
      <c r="S3692" s="2" t="inlineStr"/>
      <c r="T3692" s="2" t="inlineStr"/>
      <c r="U3692" s="2" t="inlineStr">
        <is>
          <t>https://www.claro.com.br/celular/planos-pre/prezao</t>
        </is>
      </c>
      <c r="V3692" s="2" t="inlineStr">
        <is>
          <t>data/raw/claro_prepaid_SP.json</t>
        </is>
      </c>
    </row>
    <row r="3693">
      <c r="A3693" s="5" t="inlineStr">
        <is>
          <t>2026-08-27</t>
        </is>
      </c>
      <c r="B3693" s="5" t="inlineStr">
        <is>
          <t>2026-08-27T01:25:48</t>
        </is>
      </c>
      <c r="C3693" s="5" t="inlineStr">
        <is>
          <t>claro</t>
        </is>
      </c>
      <c r="D3693" s="5" t="inlineStr">
        <is>
          <t>prepaid</t>
        </is>
      </c>
      <c r="E3693" s="5" t="inlineStr">
        <is>
          <t>SP</t>
        </is>
      </c>
      <c r="F3693" s="5" t="inlineStr">
        <is>
          <t>Prezão 8GB (20 dias)</t>
        </is>
      </c>
      <c r="G3693" s="5" t="inlineStr">
        <is>
          <t>claro:prezao-20d-8gb</t>
        </is>
      </c>
      <c r="H3693" s="6" t="n">
        <v>20</v>
      </c>
      <c r="I3693" s="6" t="inlineStr"/>
      <c r="J3693" s="5" t="inlineStr">
        <is>
          <t>recarga Prezão R$20 — validade 20 dias</t>
        </is>
      </c>
      <c r="K3693" s="5" t="inlineStr"/>
      <c r="L3693" s="7" t="n">
        <v>8</v>
      </c>
      <c r="M3693" s="5" t="inlineStr"/>
      <c r="N3693" s="5" t="n">
        <v>20</v>
      </c>
      <c r="O3693" s="5" t="inlineStr"/>
      <c r="P3693" s="5" t="inlineStr"/>
      <c r="Q3693" s="5" t="inlineStr"/>
      <c r="R3693" s="5" t="inlineStr"/>
      <c r="S3693" s="5" t="inlineStr"/>
      <c r="T3693" s="5" t="inlineStr"/>
      <c r="U3693" s="5" t="inlineStr">
        <is>
          <t>https://www.claro.com.br/celular/planos-pre/prezao</t>
        </is>
      </c>
      <c r="V3693" s="5" t="inlineStr">
        <is>
          <t>data/raw/claro_prepaid_SP.json</t>
        </is>
      </c>
    </row>
    <row r="3694">
      <c r="A3694" s="2" t="inlineStr">
        <is>
          <t>2026-08-27</t>
        </is>
      </c>
      <c r="B3694" s="2" t="inlineStr">
        <is>
          <t>2026-08-27T01:25:48</t>
        </is>
      </c>
      <c r="C3694" s="2" t="inlineStr">
        <is>
          <t>claro</t>
        </is>
      </c>
      <c r="D3694" s="2" t="inlineStr">
        <is>
          <t>prepaid</t>
        </is>
      </c>
      <c r="E3694" s="2" t="inlineStr">
        <is>
          <t>SP</t>
        </is>
      </c>
      <c r="F3694" s="2" t="inlineStr">
        <is>
          <t>Prezão 9GB (25 dias)</t>
        </is>
      </c>
      <c r="G3694" s="2" t="inlineStr">
        <is>
          <t>claro:prezao-25d-9gb</t>
        </is>
      </c>
      <c r="H3694" s="3" t="n">
        <v>25</v>
      </c>
      <c r="I3694" s="3" t="inlineStr"/>
      <c r="J3694" s="2" t="inlineStr">
        <is>
          <t>recarga Prezão R$25 — validade 25 dias</t>
        </is>
      </c>
      <c r="K3694" s="2" t="inlineStr"/>
      <c r="L3694" s="4" t="n">
        <v>9</v>
      </c>
      <c r="M3694" s="2" t="inlineStr"/>
      <c r="N3694" s="2" t="n">
        <v>25</v>
      </c>
      <c r="O3694" s="2" t="inlineStr"/>
      <c r="P3694" s="2" t="inlineStr"/>
      <c r="Q3694" s="2" t="inlineStr"/>
      <c r="R3694" s="2" t="inlineStr"/>
      <c r="S3694" s="2" t="inlineStr"/>
      <c r="T3694" s="2" t="inlineStr"/>
      <c r="U3694" s="2" t="inlineStr">
        <is>
          <t>https://www.claro.com.br/celular/planos-pre/prezao</t>
        </is>
      </c>
      <c r="V3694" s="2" t="inlineStr">
        <is>
          <t>data/raw/claro_prepaid_SP.json</t>
        </is>
      </c>
    </row>
    <row r="3695">
      <c r="A3695" s="5" t="inlineStr">
        <is>
          <t>2026-08-27</t>
        </is>
      </c>
      <c r="B3695" s="5" t="inlineStr">
        <is>
          <t>2026-08-27T01:25:48</t>
        </is>
      </c>
      <c r="C3695" s="5" t="inlineStr">
        <is>
          <t>tim</t>
        </is>
      </c>
      <c r="D3695" s="5" t="inlineStr">
        <is>
          <t>control</t>
        </is>
      </c>
      <c r="E3695" s="5" t="inlineStr">
        <is>
          <t>SP</t>
        </is>
      </c>
      <c r="F3695" s="5" t="inlineStr">
        <is>
          <t>TIM Controle 45GB</t>
        </is>
      </c>
      <c r="G3695" s="5" t="inlineStr">
        <is>
          <t>tim:181976</t>
        </is>
      </c>
      <c r="H3695" s="6" t="n">
        <v>58.99</v>
      </c>
      <c r="I3695" s="6" t="inlineStr"/>
      <c r="J3695" s="5" t="inlineStr"/>
      <c r="K3695" s="5" t="inlineStr"/>
      <c r="L3695" s="7" t="n">
        <v>45</v>
      </c>
      <c r="M3695" s="5" t="inlineStr"/>
      <c r="N3695" s="5" t="inlineStr"/>
      <c r="O3695" s="5" t="inlineStr"/>
      <c r="P3695" s="5" t="inlineStr"/>
      <c r="Q3695" s="5" t="inlineStr"/>
      <c r="R3695" s="5" t="inlineStr"/>
      <c r="S3695" s="5" t="inlineStr"/>
      <c r="T3695" s="5" t="inlineStr"/>
      <c r="U3695" s="5" t="inlineStr">
        <is>
          <t>https://www.tim.com.br/sp/para-voce/planos/controle</t>
        </is>
      </c>
      <c r="V3695" s="5" t="inlineStr">
        <is>
          <t>data/raw/tim_control_SP.html</t>
        </is>
      </c>
    </row>
    <row r="3696">
      <c r="A3696" s="2" t="inlineStr">
        <is>
          <t>2026-08-27</t>
        </is>
      </c>
      <c r="B3696" s="2" t="inlineStr">
        <is>
          <t>2026-08-27T01:25:48</t>
        </is>
      </c>
      <c r="C3696" s="2" t="inlineStr">
        <is>
          <t>tim</t>
        </is>
      </c>
      <c r="D3696" s="2" t="inlineStr">
        <is>
          <t>control</t>
        </is>
      </c>
      <c r="E3696" s="2" t="inlineStr">
        <is>
          <t>SP</t>
        </is>
      </c>
      <c r="F3696" s="2" t="inlineStr">
        <is>
          <t>TIM Controle Light Express 45GB</t>
        </is>
      </c>
      <c r="G3696" s="2" t="inlineStr">
        <is>
          <t>tim:167726</t>
        </is>
      </c>
      <c r="H3696" s="3" t="n">
        <v>60.99</v>
      </c>
      <c r="I3696" s="3" t="inlineStr"/>
      <c r="J3696" s="2" t="inlineStr"/>
      <c r="K3696" s="2" t="inlineStr"/>
      <c r="L3696" s="4" t="n">
        <v>45</v>
      </c>
      <c r="M3696" s="2" t="inlineStr"/>
      <c r="N3696" s="2" t="inlineStr"/>
      <c r="O3696" s="2" t="inlineStr"/>
      <c r="P3696" s="2" t="inlineStr"/>
      <c r="Q3696" s="2" t="inlineStr"/>
      <c r="R3696" s="2" t="inlineStr"/>
      <c r="S3696" s="2" t="inlineStr"/>
      <c r="T3696" s="2" t="inlineStr"/>
      <c r="U3696" s="2" t="inlineStr">
        <is>
          <t>https://www.tim.com.br/sp/para-voce/planos/controle</t>
        </is>
      </c>
      <c r="V3696" s="2" t="inlineStr">
        <is>
          <t>data/raw/tim_control_SP.html</t>
        </is>
      </c>
    </row>
    <row r="3697">
      <c r="A3697" s="5" t="inlineStr">
        <is>
          <t>2026-08-27</t>
        </is>
      </c>
      <c r="B3697" s="5" t="inlineStr">
        <is>
          <t>2026-08-27T01:25:48</t>
        </is>
      </c>
      <c r="C3697" s="5" t="inlineStr">
        <is>
          <t>tim</t>
        </is>
      </c>
      <c r="D3697" s="5" t="inlineStr">
        <is>
          <t>control</t>
        </is>
      </c>
      <c r="E3697" s="5" t="inlineStr">
        <is>
          <t>SP</t>
        </is>
      </c>
      <c r="F3697" s="5" t="inlineStr">
        <is>
          <t>TIM Controle Premium 55GB</t>
        </is>
      </c>
      <c r="G3697" s="5" t="inlineStr">
        <is>
          <t>tim:167041</t>
        </is>
      </c>
      <c r="H3697" s="6" t="n">
        <v>84.98999999999999</v>
      </c>
      <c r="I3697" s="6" t="inlineStr"/>
      <c r="J3697" s="5" t="inlineStr"/>
      <c r="K3697" s="5" t="inlineStr"/>
      <c r="L3697" s="7" t="n">
        <v>55</v>
      </c>
      <c r="M3697" s="5" t="inlineStr"/>
      <c r="N3697" s="5" t="inlineStr"/>
      <c r="O3697" s="5" t="inlineStr"/>
      <c r="P3697" s="5" t="inlineStr"/>
      <c r="Q3697" s="5" t="inlineStr"/>
      <c r="R3697" s="5" t="inlineStr"/>
      <c r="S3697" s="5" t="inlineStr"/>
      <c r="T3697" s="5" t="inlineStr"/>
      <c r="U3697" s="5" t="inlineStr">
        <is>
          <t>https://www.tim.com.br/sp/para-voce/planos/controle</t>
        </is>
      </c>
      <c r="V3697" s="5" t="inlineStr">
        <is>
          <t>data/raw/tim_control_SP.html</t>
        </is>
      </c>
    </row>
    <row r="3698">
      <c r="A3698" s="2" t="inlineStr">
        <is>
          <t>2026-08-27</t>
        </is>
      </c>
      <c r="B3698" s="2" t="inlineStr">
        <is>
          <t>2026-08-27T01:25:48</t>
        </is>
      </c>
      <c r="C3698" s="2" t="inlineStr">
        <is>
          <t>tim</t>
        </is>
      </c>
      <c r="D3698" s="2" t="inlineStr">
        <is>
          <t>control</t>
        </is>
      </c>
      <c r="E3698" s="2" t="inlineStr">
        <is>
          <t>SP</t>
        </is>
      </c>
      <c r="F3698" s="2" t="inlineStr">
        <is>
          <t>TIM Controle Pro Express 46GB</t>
        </is>
      </c>
      <c r="G3698" s="2" t="inlineStr">
        <is>
          <t>tim:167731</t>
        </is>
      </c>
      <c r="H3698" s="3" t="n">
        <v>64.98999999999999</v>
      </c>
      <c r="I3698" s="3" t="inlineStr"/>
      <c r="J3698" s="2" t="inlineStr"/>
      <c r="K3698" s="2" t="inlineStr"/>
      <c r="L3698" s="4" t="n">
        <v>46</v>
      </c>
      <c r="M3698" s="2" t="inlineStr"/>
      <c r="N3698" s="2" t="inlineStr"/>
      <c r="O3698" s="2" t="inlineStr"/>
      <c r="P3698" s="2" t="inlineStr"/>
      <c r="Q3698" s="2" t="inlineStr"/>
      <c r="R3698" s="2" t="inlineStr"/>
      <c r="S3698" s="2" t="inlineStr"/>
      <c r="T3698" s="2" t="inlineStr"/>
      <c r="U3698" s="2" t="inlineStr">
        <is>
          <t>https://www.tim.com.br/sp/para-voce/planos/controle</t>
        </is>
      </c>
      <c r="V3698" s="2" t="inlineStr">
        <is>
          <t>data/raw/tim_control_SP.html</t>
        </is>
      </c>
    </row>
    <row r="3699">
      <c r="A3699" s="5" t="inlineStr">
        <is>
          <t>2026-08-27</t>
        </is>
      </c>
      <c r="B3699" s="5" t="inlineStr">
        <is>
          <t>2026-08-27T01:25:48</t>
        </is>
      </c>
      <c r="C3699" s="5" t="inlineStr">
        <is>
          <t>tim</t>
        </is>
      </c>
      <c r="D3699" s="5" t="inlineStr">
        <is>
          <t>control</t>
        </is>
      </c>
      <c r="E3699" s="5" t="inlineStr">
        <is>
          <t>SP</t>
        </is>
      </c>
      <c r="F3699" s="5" t="inlineStr">
        <is>
          <t>TIM Controle Redes Sociais 46GB</t>
        </is>
      </c>
      <c r="G3699" s="5" t="inlineStr">
        <is>
          <t>tim:180746</t>
        </is>
      </c>
      <c r="H3699" s="6" t="n">
        <v>64.98999999999999</v>
      </c>
      <c r="I3699" s="6" t="inlineStr"/>
      <c r="J3699" s="5" t="inlineStr"/>
      <c r="K3699" s="5" t="inlineStr"/>
      <c r="L3699" s="7" t="n">
        <v>46</v>
      </c>
      <c r="M3699" s="5" t="inlineStr"/>
      <c r="N3699" s="5" t="inlineStr"/>
      <c r="O3699" s="5" t="inlineStr"/>
      <c r="P3699" s="5" t="inlineStr"/>
      <c r="Q3699" s="5" t="inlineStr"/>
      <c r="R3699" s="5" t="inlineStr"/>
      <c r="S3699" s="5" t="inlineStr"/>
      <c r="T3699" s="5" t="inlineStr"/>
      <c r="U3699" s="5" t="inlineStr">
        <is>
          <t>https://www.tim.com.br/sp/para-voce/planos/controle</t>
        </is>
      </c>
      <c r="V3699" s="5" t="inlineStr">
        <is>
          <t>data/raw/tim_control_SP.html</t>
        </is>
      </c>
    </row>
    <row r="3700">
      <c r="A3700" s="2" t="inlineStr">
        <is>
          <t>2026-08-27</t>
        </is>
      </c>
      <c r="B3700" s="2" t="inlineStr">
        <is>
          <t>2026-08-27T01:25:48</t>
        </is>
      </c>
      <c r="C3700" s="2" t="inlineStr">
        <is>
          <t>tim</t>
        </is>
      </c>
      <c r="D3700" s="2" t="inlineStr">
        <is>
          <t>fit</t>
        </is>
      </c>
      <c r="E3700" s="2" t="inlineStr">
        <is>
          <t>SP</t>
        </is>
      </c>
      <c r="F3700" s="2" t="inlineStr">
        <is>
          <t>TIM Controle Fit Anual 1.0</t>
        </is>
      </c>
      <c r="G3700" s="2" t="inlineStr">
        <is>
          <t>tim:TIM202600000306</t>
        </is>
      </c>
      <c r="H3700" s="3" t="n">
        <v>20</v>
      </c>
      <c r="I3700" s="3" t="inlineStr"/>
      <c r="J3700" s="2" t="inlineStr">
        <is>
          <t>plano anual 12x no cartão de crédito; a etiqueta TIM informa 'sem prazo de permanência'</t>
        </is>
      </c>
      <c r="K3700" s="2" t="inlineStr">
        <is>
          <t>credit_card</t>
        </is>
      </c>
      <c r="L3700" s="4" t="n">
        <v>25</v>
      </c>
      <c r="M3700" s="2" t="inlineStr"/>
      <c r="N3700" s="2" t="inlineStr"/>
      <c r="O3700" s="2" t="inlineStr"/>
      <c r="P3700" s="2" t="inlineStr"/>
      <c r="Q3700" s="2" t="inlineStr"/>
      <c r="R3700" s="2" t="inlineStr"/>
      <c r="S3700" s="2" t="n">
        <v>12</v>
      </c>
      <c r="T3700" s="2" t="inlineStr"/>
      <c r="U3700" s="2" t="inlineStr">
        <is>
          <t>https://www.tim.com.br/sp/para-voce/planos/controle</t>
        </is>
      </c>
      <c r="V3700" s="2" t="inlineStr">
        <is>
          <t>data/raw/tim_fit_SP.html</t>
        </is>
      </c>
    </row>
    <row r="3701">
      <c r="A3701" s="5" t="inlineStr">
        <is>
          <t>2026-08-27</t>
        </is>
      </c>
      <c r="B3701" s="5" t="inlineStr">
        <is>
          <t>2026-08-27T01:25:48</t>
        </is>
      </c>
      <c r="C3701" s="5" t="inlineStr">
        <is>
          <t>tim</t>
        </is>
      </c>
      <c r="D3701" s="5" t="inlineStr">
        <is>
          <t>fit</t>
        </is>
      </c>
      <c r="E3701" s="5" t="inlineStr">
        <is>
          <t>SP</t>
        </is>
      </c>
      <c r="F3701" s="5" t="inlineStr">
        <is>
          <t>TIM Controle Fit Anual 2.0</t>
        </is>
      </c>
      <c r="G3701" s="5" t="inlineStr">
        <is>
          <t>tim:TIM202600000271</t>
        </is>
      </c>
      <c r="H3701" s="6" t="n">
        <v>30</v>
      </c>
      <c r="I3701" s="6" t="inlineStr"/>
      <c r="J3701" s="5" t="inlineStr">
        <is>
          <t>plano anual 12x no cartão de crédito; a etiqueta TIM informa 'sem prazo de permanência'</t>
        </is>
      </c>
      <c r="K3701" s="5" t="inlineStr">
        <is>
          <t>credit_card</t>
        </is>
      </c>
      <c r="L3701" s="7" t="n">
        <v>35</v>
      </c>
      <c r="M3701" s="5" t="inlineStr"/>
      <c r="N3701" s="5" t="inlineStr"/>
      <c r="O3701" s="5" t="inlineStr"/>
      <c r="P3701" s="5" t="inlineStr"/>
      <c r="Q3701" s="5" t="inlineStr"/>
      <c r="R3701" s="5" t="inlineStr"/>
      <c r="S3701" s="5" t="n">
        <v>12</v>
      </c>
      <c r="T3701" s="5" t="inlineStr"/>
      <c r="U3701" s="5" t="inlineStr">
        <is>
          <t>https://www.tim.com.br/sp/para-voce/planos/controle</t>
        </is>
      </c>
      <c r="V3701" s="5" t="inlineStr">
        <is>
          <t>data/raw/tim_fit_SP.html</t>
        </is>
      </c>
    </row>
    <row r="3702">
      <c r="A3702" s="2" t="inlineStr">
        <is>
          <t>2026-08-27</t>
        </is>
      </c>
      <c r="B3702" s="2" t="inlineStr">
        <is>
          <t>2026-08-27T01:25:48</t>
        </is>
      </c>
      <c r="C3702" s="2" t="inlineStr">
        <is>
          <t>tim</t>
        </is>
      </c>
      <c r="D3702" s="2" t="inlineStr">
        <is>
          <t>fit</t>
        </is>
      </c>
      <c r="E3702" s="2" t="inlineStr">
        <is>
          <t>SP</t>
        </is>
      </c>
      <c r="F3702" s="2" t="inlineStr">
        <is>
          <t>TIM Controle Fit Mensal 1.0</t>
        </is>
      </c>
      <c r="G3702" s="2" t="inlineStr">
        <is>
          <t>tim:TIM202600000270</t>
        </is>
      </c>
      <c r="H3702" s="3" t="n">
        <v>20</v>
      </c>
      <c r="I3702" s="3" t="inlineStr"/>
      <c r="J370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02" s="2" t="inlineStr"/>
      <c r="L3702" s="4" t="n">
        <v>20</v>
      </c>
      <c r="M3702" s="2" t="inlineStr"/>
      <c r="N3702" s="2" t="inlineStr"/>
      <c r="O3702" s="2" t="inlineStr"/>
      <c r="P3702" s="2" t="inlineStr"/>
      <c r="Q3702" s="2" t="inlineStr"/>
      <c r="R3702" s="2" t="inlineStr"/>
      <c r="S3702" s="2" t="inlineStr"/>
      <c r="T3702" s="2" t="inlineStr"/>
      <c r="U3702" s="2" t="inlineStr">
        <is>
          <t>https://www.tim.com.br/sp/para-voce/planos/controle</t>
        </is>
      </c>
      <c r="V3702" s="2" t="inlineStr">
        <is>
          <t>data/raw/tim_fit_SP.html</t>
        </is>
      </c>
    </row>
    <row r="3703">
      <c r="A3703" s="5" t="inlineStr">
        <is>
          <t>2026-08-27</t>
        </is>
      </c>
      <c r="B3703" s="5" t="inlineStr">
        <is>
          <t>2026-08-27T01:25:48</t>
        </is>
      </c>
      <c r="C3703" s="5" t="inlineStr">
        <is>
          <t>tim</t>
        </is>
      </c>
      <c r="D3703" s="5" t="inlineStr">
        <is>
          <t>fit</t>
        </is>
      </c>
      <c r="E3703" s="5" t="inlineStr">
        <is>
          <t>SP</t>
        </is>
      </c>
      <c r="F3703" s="5" t="inlineStr">
        <is>
          <t>TIM Controle Fit Mensal 2.0</t>
        </is>
      </c>
      <c r="G3703" s="5" t="inlineStr">
        <is>
          <t>tim:TIM202600000305</t>
        </is>
      </c>
      <c r="H3703" s="6" t="n">
        <v>45</v>
      </c>
      <c r="I3703" s="6" t="inlineStr"/>
      <c r="J3703" s="5" t="inlineStr">
        <is>
          <t>plano mensal, sem prazo de permanência; a etiqueta TIM informa 'sem prazo de permanência'</t>
        </is>
      </c>
      <c r="K3703" s="5" t="inlineStr"/>
      <c r="L3703" s="7" t="n">
        <v>35</v>
      </c>
      <c r="M3703" s="5" t="inlineStr"/>
      <c r="N3703" s="5" t="inlineStr"/>
      <c r="O3703" s="5" t="inlineStr"/>
      <c r="P3703" s="5" t="inlineStr"/>
      <c r="Q3703" s="5" t="inlineStr"/>
      <c r="R3703" s="5" t="inlineStr"/>
      <c r="S3703" s="5" t="inlineStr"/>
      <c r="T3703" s="5" t="inlineStr"/>
      <c r="U3703" s="5" t="inlineStr">
        <is>
          <t>https://www.tim.com.br/sp/para-voce/planos/controle</t>
        </is>
      </c>
      <c r="V3703" s="5" t="inlineStr">
        <is>
          <t>data/raw/tim_fit_SP.html</t>
        </is>
      </c>
    </row>
    <row r="3704">
      <c r="A3704" s="2" t="inlineStr">
        <is>
          <t>2026-08-27</t>
        </is>
      </c>
      <c r="B3704" s="2" t="inlineStr">
        <is>
          <t>2026-08-27T01:25:48</t>
        </is>
      </c>
      <c r="C3704" s="2" t="inlineStr">
        <is>
          <t>tim</t>
        </is>
      </c>
      <c r="D3704" s="2" t="inlineStr">
        <is>
          <t>postpaid</t>
        </is>
      </c>
      <c r="E3704" s="2" t="inlineStr">
        <is>
          <t>SP</t>
        </is>
      </c>
      <c r="F3704" s="2" t="inlineStr">
        <is>
          <t>TIM Black 70GB</t>
        </is>
      </c>
      <c r="G3704" s="2" t="inlineStr">
        <is>
          <t>tim:54206</t>
        </is>
      </c>
      <c r="H3704" s="3" t="n">
        <v>129.99</v>
      </c>
      <c r="I3704" s="3" t="inlineStr"/>
      <c r="J3704" s="2" t="inlineStr"/>
      <c r="K3704" s="2" t="inlineStr">
        <is>
          <t>bill</t>
        </is>
      </c>
      <c r="L3704" s="4" t="n">
        <v>70</v>
      </c>
      <c r="M3704" s="2" t="inlineStr"/>
      <c r="N3704" s="2" t="inlineStr"/>
      <c r="O3704" s="2" t="inlineStr"/>
      <c r="P3704" s="2" t="inlineStr"/>
      <c r="Q3704" s="2" t="inlineStr"/>
      <c r="R3704" s="2" t="inlineStr"/>
      <c r="S3704" s="2" t="inlineStr"/>
      <c r="T3704" s="2" t="inlineStr"/>
      <c r="U3704" s="2" t="inlineStr">
        <is>
          <t>https://www.tim.com.br/sp/para-voce/planos/pos-pago/tim-black</t>
        </is>
      </c>
      <c r="V3704" s="2" t="inlineStr">
        <is>
          <t>data/raw/tim_postpaid_SP.html</t>
        </is>
      </c>
    </row>
    <row r="3705">
      <c r="A3705" s="5" t="inlineStr">
        <is>
          <t>2026-08-27</t>
        </is>
      </c>
      <c r="B3705" s="5" t="inlineStr">
        <is>
          <t>2026-08-27T01:25:48</t>
        </is>
      </c>
      <c r="C3705" s="5" t="inlineStr">
        <is>
          <t>tim</t>
        </is>
      </c>
      <c r="D3705" s="5" t="inlineStr">
        <is>
          <t>postpaid</t>
        </is>
      </c>
      <c r="E3705" s="5" t="inlineStr">
        <is>
          <t>SP</t>
        </is>
      </c>
      <c r="F3705" s="5" t="inlineStr">
        <is>
          <t>TIM Black A Express 67GB</t>
        </is>
      </c>
      <c r="G3705" s="5" t="inlineStr">
        <is>
          <t>tim:55121</t>
        </is>
      </c>
      <c r="H3705" s="6" t="n">
        <v>119.99</v>
      </c>
      <c r="I3705" s="6" t="inlineStr"/>
      <c r="J3705" s="5" t="inlineStr"/>
      <c r="K3705" s="5" t="inlineStr">
        <is>
          <t>credit_card</t>
        </is>
      </c>
      <c r="L3705" s="7" t="n">
        <v>67</v>
      </c>
      <c r="M3705" s="5" t="inlineStr"/>
      <c r="N3705" s="5" t="inlineStr"/>
      <c r="O3705" s="5" t="inlineStr"/>
      <c r="P3705" s="5" t="inlineStr"/>
      <c r="Q3705" s="5" t="inlineStr"/>
      <c r="R3705" s="5" t="inlineStr"/>
      <c r="S3705" s="5" t="inlineStr"/>
      <c r="T3705" s="5" t="inlineStr"/>
      <c r="U3705" s="5" t="inlineStr">
        <is>
          <t>https://www.tim.com.br/sp/para-voce/planos/pos-pago/tim-black</t>
        </is>
      </c>
      <c r="V3705" s="5" t="inlineStr">
        <is>
          <t>data/raw/tim_postpaid_SP.html</t>
        </is>
      </c>
    </row>
    <row r="3706">
      <c r="A3706" s="2" t="inlineStr">
        <is>
          <t>2026-08-27</t>
        </is>
      </c>
      <c r="B3706" s="2" t="inlineStr">
        <is>
          <t>2026-08-27T01:25:48</t>
        </is>
      </c>
      <c r="C3706" s="2" t="inlineStr">
        <is>
          <t>tim</t>
        </is>
      </c>
      <c r="D3706" s="2" t="inlineStr">
        <is>
          <t>postpaid</t>
        </is>
      </c>
      <c r="E3706" s="2" t="inlineStr">
        <is>
          <t>SP</t>
        </is>
      </c>
      <c r="F3706" s="2" t="inlineStr">
        <is>
          <t>TIM Black B Express 82GB</t>
        </is>
      </c>
      <c r="G3706" s="2" t="inlineStr">
        <is>
          <t>tim:52146</t>
        </is>
      </c>
      <c r="H3706" s="3" t="n">
        <v>144.99</v>
      </c>
      <c r="I3706" s="3" t="inlineStr"/>
      <c r="J3706" s="2" t="inlineStr"/>
      <c r="K3706" s="2" t="inlineStr">
        <is>
          <t>credit_card</t>
        </is>
      </c>
      <c r="L3706" s="4" t="n">
        <v>82</v>
      </c>
      <c r="M3706" s="2" t="inlineStr"/>
      <c r="N3706" s="2" t="inlineStr"/>
      <c r="O3706" s="2" t="inlineStr"/>
      <c r="P3706" s="2" t="inlineStr"/>
      <c r="Q3706" s="2" t="inlineStr"/>
      <c r="R3706" s="2" t="inlineStr"/>
      <c r="S3706" s="2" t="inlineStr"/>
      <c r="T3706" s="2" t="inlineStr"/>
      <c r="U3706" s="2" t="inlineStr">
        <is>
          <t>https://www.tim.com.br/sp/para-voce/planos/pos-pago/tim-black</t>
        </is>
      </c>
      <c r="V3706" s="2" t="inlineStr">
        <is>
          <t>data/raw/tim_postpaid_SP.html</t>
        </is>
      </c>
    </row>
    <row r="3707">
      <c r="A3707" s="5" t="inlineStr">
        <is>
          <t>2026-08-27</t>
        </is>
      </c>
      <c r="B3707" s="5" t="inlineStr">
        <is>
          <t>2026-08-27T01:25:48</t>
        </is>
      </c>
      <c r="C3707" s="5" t="inlineStr">
        <is>
          <t>tim</t>
        </is>
      </c>
      <c r="D3707" s="5" t="inlineStr">
        <is>
          <t>postpaid</t>
        </is>
      </c>
      <c r="E3707" s="5" t="inlineStr">
        <is>
          <t>SP</t>
        </is>
      </c>
      <c r="F3707" s="5" t="inlineStr">
        <is>
          <t>TIM Black C Express 107GB</t>
        </is>
      </c>
      <c r="G3707" s="5" t="inlineStr">
        <is>
          <t>tim:52151</t>
        </is>
      </c>
      <c r="H3707" s="6" t="n">
        <v>164.99</v>
      </c>
      <c r="I3707" s="6" t="inlineStr"/>
      <c r="J3707" s="5" t="inlineStr"/>
      <c r="K3707" s="5" t="inlineStr">
        <is>
          <t>credit_card</t>
        </is>
      </c>
      <c r="L3707" s="7" t="n">
        <v>107</v>
      </c>
      <c r="M3707" s="5" t="inlineStr"/>
      <c r="N3707" s="5" t="inlineStr"/>
      <c r="O3707" s="5" t="inlineStr"/>
      <c r="P3707" s="5" t="inlineStr"/>
      <c r="Q3707" s="5" t="inlineStr"/>
      <c r="R3707" s="5" t="inlineStr"/>
      <c r="S3707" s="5" t="inlineStr"/>
      <c r="T3707" s="5" t="inlineStr"/>
      <c r="U3707" s="5" t="inlineStr">
        <is>
          <t>https://www.tim.com.br/sp/para-voce/planos/pos-pago/tim-black</t>
        </is>
      </c>
      <c r="V3707" s="5" t="inlineStr">
        <is>
          <t>data/raw/tim_postpaid_SP.html</t>
        </is>
      </c>
    </row>
    <row r="3708">
      <c r="A3708" s="2" t="inlineStr">
        <is>
          <t>2026-08-27</t>
        </is>
      </c>
      <c r="B3708" s="2" t="inlineStr">
        <is>
          <t>2026-08-27T01:25:48</t>
        </is>
      </c>
      <c r="C3708" s="2" t="inlineStr">
        <is>
          <t>tim</t>
        </is>
      </c>
      <c r="D3708" s="2" t="inlineStr">
        <is>
          <t>postpaid</t>
        </is>
      </c>
      <c r="E3708" s="2" t="inlineStr">
        <is>
          <t>SP</t>
        </is>
      </c>
      <c r="F3708" s="2" t="inlineStr">
        <is>
          <t>TIM Black C Ultra 95GB</t>
        </is>
      </c>
      <c r="G3708" s="2" t="inlineStr">
        <is>
          <t>tim:100581</t>
        </is>
      </c>
      <c r="H3708" s="3" t="n">
        <v>159.99</v>
      </c>
      <c r="I3708" s="3" t="inlineStr"/>
      <c r="J3708" s="2" t="inlineStr"/>
      <c r="K3708" s="2" t="inlineStr">
        <is>
          <t>bill</t>
        </is>
      </c>
      <c r="L3708" s="4" t="n">
        <v>95</v>
      </c>
      <c r="M3708" s="2" t="inlineStr"/>
      <c r="N3708" s="2" t="inlineStr"/>
      <c r="O3708" s="2" t="inlineStr"/>
      <c r="P3708" s="2" t="inlineStr"/>
      <c r="Q3708" s="2" t="inlineStr"/>
      <c r="R3708" s="2" t="inlineStr"/>
      <c r="S3708" s="2" t="inlineStr"/>
      <c r="T3708" s="2" t="inlineStr"/>
      <c r="U3708" s="2" t="inlineStr">
        <is>
          <t>https://www.tim.com.br/sp/para-voce/planos/pos-pago/tim-black</t>
        </is>
      </c>
      <c r="V3708" s="2" t="inlineStr">
        <is>
          <t>data/raw/tim_postpaid_SP.html</t>
        </is>
      </c>
    </row>
    <row r="3709">
      <c r="A3709" s="5" t="inlineStr">
        <is>
          <t>2026-08-27</t>
        </is>
      </c>
      <c r="B3709" s="5" t="inlineStr">
        <is>
          <t>2026-08-27T01:25:48</t>
        </is>
      </c>
      <c r="C3709" s="5" t="inlineStr">
        <is>
          <t>tim</t>
        </is>
      </c>
      <c r="D3709" s="5" t="inlineStr">
        <is>
          <t>postpaid</t>
        </is>
      </c>
      <c r="E3709" s="5" t="inlineStr">
        <is>
          <t>SP</t>
        </is>
      </c>
      <c r="F3709" s="5" t="inlineStr">
        <is>
          <t>TIM Black Plus 80GB</t>
        </is>
      </c>
      <c r="G3709" s="5" t="inlineStr">
        <is>
          <t>tim:54256</t>
        </is>
      </c>
      <c r="H3709" s="6" t="n">
        <v>149.99</v>
      </c>
      <c r="I3709" s="6" t="inlineStr"/>
      <c r="J3709" s="5" t="inlineStr"/>
      <c r="K3709" s="5" t="inlineStr">
        <is>
          <t>bill</t>
        </is>
      </c>
      <c r="L3709" s="7" t="n">
        <v>80</v>
      </c>
      <c r="M3709" s="5" t="inlineStr"/>
      <c r="N3709" s="5" t="inlineStr"/>
      <c r="O3709" s="5" t="inlineStr"/>
      <c r="P3709" s="5" t="inlineStr"/>
      <c r="Q3709" s="5" t="inlineStr"/>
      <c r="R3709" s="5" t="inlineStr"/>
      <c r="S3709" s="5" t="inlineStr"/>
      <c r="T3709" s="5" t="inlineStr"/>
      <c r="U3709" s="5" t="inlineStr">
        <is>
          <t>https://www.tim.com.br/sp/para-voce/planos/pos-pago/tim-black</t>
        </is>
      </c>
      <c r="V3709" s="5" t="inlineStr">
        <is>
          <t>data/raw/tim_postpaid_SP.html</t>
        </is>
      </c>
    </row>
    <row r="3710">
      <c r="A3710" s="2" t="inlineStr">
        <is>
          <t>2026-08-27</t>
        </is>
      </c>
      <c r="B3710" s="2" t="inlineStr">
        <is>
          <t>2026-08-27T01:25:48</t>
        </is>
      </c>
      <c r="C3710" s="2" t="inlineStr">
        <is>
          <t>tim</t>
        </is>
      </c>
      <c r="D3710" s="2" t="inlineStr">
        <is>
          <t>postpaid</t>
        </is>
      </c>
      <c r="E3710" s="2" t="inlineStr">
        <is>
          <t>SP</t>
        </is>
      </c>
      <c r="F3710" s="2" t="inlineStr">
        <is>
          <t>TIM Black Premium 110GB</t>
        </is>
      </c>
      <c r="G3710" s="2" t="inlineStr">
        <is>
          <t>tim:54261</t>
        </is>
      </c>
      <c r="H3710" s="3" t="n">
        <v>159.99</v>
      </c>
      <c r="I3710" s="3" t="inlineStr"/>
      <c r="J3710" s="2" t="inlineStr"/>
      <c r="K3710" s="2" t="inlineStr">
        <is>
          <t>bill</t>
        </is>
      </c>
      <c r="L3710" s="4" t="n">
        <v>110</v>
      </c>
      <c r="M3710" s="2" t="inlineStr"/>
      <c r="N3710" s="2" t="inlineStr"/>
      <c r="O3710" s="2" t="inlineStr"/>
      <c r="P3710" s="2" t="inlineStr"/>
      <c r="Q3710" s="2" t="inlineStr"/>
      <c r="R3710" s="2" t="inlineStr"/>
      <c r="S3710" s="2" t="inlineStr"/>
      <c r="T3710" s="2" t="inlineStr"/>
      <c r="U3710" s="2" t="inlineStr">
        <is>
          <t>https://www.tim.com.br/sp/para-voce/planos/pos-pago/tim-black</t>
        </is>
      </c>
      <c r="V3710" s="2" t="inlineStr">
        <is>
          <t>data/raw/tim_postpaid_SP.html</t>
        </is>
      </c>
    </row>
    <row r="3711">
      <c r="A3711" s="5" t="inlineStr">
        <is>
          <t>2026-08-27</t>
        </is>
      </c>
      <c r="B3711" s="5" t="inlineStr">
        <is>
          <t>2026-08-27T01:25:48</t>
        </is>
      </c>
      <c r="C3711" s="5" t="inlineStr">
        <is>
          <t>tim</t>
        </is>
      </c>
      <c r="D3711" s="5" t="inlineStr">
        <is>
          <t>prepaid</t>
        </is>
      </c>
      <c r="E3711" s="5" t="inlineStr">
        <is>
          <t>SP</t>
        </is>
      </c>
      <c r="F3711" s="5" t="inlineStr">
        <is>
          <t>TIM Pré XIP Plus 16GB</t>
        </is>
      </c>
      <c r="G3711" s="5" t="inlineStr">
        <is>
          <t>tim:106306</t>
        </is>
      </c>
      <c r="H3711" s="6" t="n">
        <v>30</v>
      </c>
      <c r="I3711" s="6" t="inlineStr"/>
      <c r="J3711" s="5" t="inlineStr"/>
      <c r="K3711" s="5" t="inlineStr"/>
      <c r="L3711" s="7" t="n">
        <v>16</v>
      </c>
      <c r="M3711" s="5" t="inlineStr"/>
      <c r="N3711" s="5" t="n">
        <v>30</v>
      </c>
      <c r="O3711" s="5" t="inlineStr"/>
      <c r="P3711" s="5" t="inlineStr"/>
      <c r="Q3711" s="5" t="inlineStr"/>
      <c r="R3711" s="5" t="inlineStr"/>
      <c r="S3711" s="5" t="inlineStr"/>
      <c r="T3711" s="5" t="inlineStr"/>
      <c r="U3711" s="5" t="inlineStr">
        <is>
          <t>https://www.tim.com.br/sp/para-voce/planos/pre-pago</t>
        </is>
      </c>
      <c r="V3711" s="5" t="inlineStr">
        <is>
          <t>data/raw/tim_prepaid_SP.html</t>
        </is>
      </c>
    </row>
    <row r="3712">
      <c r="A3712" s="2" t="inlineStr">
        <is>
          <t>2026-08-27</t>
        </is>
      </c>
      <c r="B3712" s="2" t="inlineStr">
        <is>
          <t>2026-08-27T01:25:48</t>
        </is>
      </c>
      <c r="C3712" s="2" t="inlineStr">
        <is>
          <t>tim</t>
        </is>
      </c>
      <c r="D3712" s="2" t="inlineStr">
        <is>
          <t>prepaid</t>
        </is>
      </c>
      <c r="E3712" s="2" t="inlineStr">
        <is>
          <t>SP</t>
        </is>
      </c>
      <c r="F3712" s="2" t="inlineStr">
        <is>
          <t>TIM Pré XIP Plus 6GB</t>
        </is>
      </c>
      <c r="G3712" s="2" t="inlineStr">
        <is>
          <t>tim:59906</t>
        </is>
      </c>
      <c r="H3712" s="3" t="n">
        <v>20</v>
      </c>
      <c r="I3712" s="3" t="inlineStr"/>
      <c r="J3712" s="2" t="inlineStr"/>
      <c r="K3712" s="2" t="inlineStr"/>
      <c r="L3712" s="4" t="n">
        <v>6</v>
      </c>
      <c r="M3712" s="2" t="inlineStr"/>
      <c r="N3712" s="2" t="n">
        <v>17</v>
      </c>
      <c r="O3712" s="2" t="inlineStr"/>
      <c r="P3712" s="2" t="inlineStr"/>
      <c r="Q3712" s="2" t="inlineStr"/>
      <c r="R3712" s="2" t="inlineStr"/>
      <c r="S3712" s="2" t="inlineStr"/>
      <c r="T3712" s="2" t="inlineStr"/>
      <c r="U3712" s="2" t="inlineStr">
        <is>
          <t>https://www.tim.com.br/sp/para-voce/planos/pre-pago</t>
        </is>
      </c>
      <c r="V3712" s="2" t="inlineStr">
        <is>
          <t>data/raw/tim_prepaid_SP.html</t>
        </is>
      </c>
    </row>
    <row r="3713">
      <c r="A3713" s="5" t="inlineStr">
        <is>
          <t>2026-08-27</t>
        </is>
      </c>
      <c r="B3713" s="5" t="inlineStr">
        <is>
          <t>2026-08-27T01:25:48</t>
        </is>
      </c>
      <c r="C3713" s="5" t="inlineStr">
        <is>
          <t>tim</t>
        </is>
      </c>
      <c r="D3713" s="5" t="inlineStr">
        <is>
          <t>prepaid</t>
        </is>
      </c>
      <c r="E3713" s="5" t="inlineStr">
        <is>
          <t>SP</t>
        </is>
      </c>
      <c r="F3713" s="5" t="inlineStr">
        <is>
          <t>TIM Pré XIP Plus 8GB</t>
        </is>
      </c>
      <c r="G3713" s="5" t="inlineStr">
        <is>
          <t>tim:59901</t>
        </is>
      </c>
      <c r="H3713" s="6" t="n">
        <v>25</v>
      </c>
      <c r="I3713" s="6" t="inlineStr"/>
      <c r="J3713" s="5" t="inlineStr"/>
      <c r="K3713" s="5" t="inlineStr"/>
      <c r="L3713" s="7" t="n">
        <v>8</v>
      </c>
      <c r="M3713" s="5" t="inlineStr"/>
      <c r="N3713" s="5" t="n">
        <v>22</v>
      </c>
      <c r="O3713" s="5" t="inlineStr"/>
      <c r="P3713" s="5" t="inlineStr"/>
      <c r="Q3713" s="5" t="inlineStr"/>
      <c r="R3713" s="5" t="inlineStr"/>
      <c r="S3713" s="5" t="inlineStr"/>
      <c r="T3713" s="5" t="inlineStr"/>
      <c r="U3713" s="5" t="inlineStr">
        <is>
          <t>https://www.tim.com.br/sp/para-voce/planos/pre-pago</t>
        </is>
      </c>
      <c r="V3713" s="5" t="inlineStr">
        <is>
          <t>data/raw/tim_prepaid_SP.html</t>
        </is>
      </c>
    </row>
    <row r="3714">
      <c r="A3714" s="2" t="inlineStr">
        <is>
          <t>2026-08-27</t>
        </is>
      </c>
      <c r="B3714" s="2" t="inlineStr">
        <is>
          <t>2026-08-27T01:25:48</t>
        </is>
      </c>
      <c r="C3714" s="2" t="inlineStr">
        <is>
          <t>vivo</t>
        </is>
      </c>
      <c r="D3714" s="2" t="inlineStr">
        <is>
          <t>control</t>
        </is>
      </c>
      <c r="E3714" s="2" t="inlineStr">
        <is>
          <t>SP</t>
        </is>
      </c>
      <c r="F3714" s="2" t="inlineStr">
        <is>
          <t>Vivo Controle</t>
        </is>
      </c>
      <c r="G3714" s="2" t="inlineStr">
        <is>
          <t>vivo:VIV202600034591</t>
        </is>
      </c>
      <c r="H3714" s="3" t="n">
        <v>59</v>
      </c>
      <c r="I3714" s="3" t="inlineStr"/>
      <c r="J3714" s="2" t="inlineStr"/>
      <c r="K3714" s="2" t="inlineStr"/>
      <c r="L3714" s="4" t="n">
        <v>45</v>
      </c>
      <c r="M3714" s="2" t="inlineStr">
        <is>
          <t>15 GB de franquia 30 GB de bônus</t>
        </is>
      </c>
      <c r="N3714" s="2" t="inlineStr"/>
      <c r="O3714" s="2" t="inlineStr"/>
      <c r="P3714" s="2" t="inlineStr"/>
      <c r="Q3714" s="2" t="inlineStr"/>
      <c r="R3714" s="2" t="inlineStr"/>
      <c r="S3714" s="2" t="inlineStr"/>
      <c r="T3714" s="2" t="inlineStr">
        <is>
          <t>2 meses de YouTube sem consumo no plano</t>
        </is>
      </c>
      <c r="U3714" s="2" t="inlineStr">
        <is>
          <t>https://vivo.com.br/para-voce/produtos-e-servicos/para-o-celular/planos-controle</t>
        </is>
      </c>
      <c r="V3714" s="2" t="inlineStr">
        <is>
          <t>data/raw/vivo_control_SP.html</t>
        </is>
      </c>
    </row>
    <row r="3715">
      <c r="A3715" s="5" t="inlineStr">
        <is>
          <t>2026-08-27</t>
        </is>
      </c>
      <c r="B3715" s="5" t="inlineStr">
        <is>
          <t>2026-08-27T01:25:48</t>
        </is>
      </c>
      <c r="C3715" s="5" t="inlineStr">
        <is>
          <t>vivo</t>
        </is>
      </c>
      <c r="D3715" s="5" t="inlineStr">
        <is>
          <t>control</t>
        </is>
      </c>
      <c r="E3715" s="5" t="inlineStr">
        <is>
          <t>SP</t>
        </is>
      </c>
      <c r="F3715" s="5" t="inlineStr">
        <is>
          <t>Vivo Controle</t>
        </is>
      </c>
      <c r="G3715" s="5" t="inlineStr">
        <is>
          <t>vivo:VIV202600034599</t>
        </is>
      </c>
      <c r="H3715" s="6" t="n">
        <v>75</v>
      </c>
      <c r="I3715" s="6" t="inlineStr"/>
      <c r="J3715" s="5" t="inlineStr">
        <is>
          <t>preço-base do plano; a tela exibia R$ 80 com o adicional pré-selecionado (+R$ 5/mês, opcional); 60 GB na tela incluem +10 GB do adicional</t>
        </is>
      </c>
      <c r="K3715" s="5" t="inlineStr"/>
      <c r="L3715" s="7" t="n">
        <v>50</v>
      </c>
      <c r="M3715" s="5" t="inlineStr">
        <is>
          <t>20 GB de franquia 30 GB de bônus</t>
        </is>
      </c>
      <c r="N3715" s="5" t="inlineStr"/>
      <c r="O3715" s="5" t="inlineStr"/>
      <c r="P3715" s="5" t="inlineStr"/>
      <c r="Q3715" s="5" t="inlineStr"/>
      <c r="R3715" s="5" t="inlineStr"/>
      <c r="S3715" s="5" t="inlineStr"/>
      <c r="T3715" s="5" t="inlineStr">
        <is>
          <t>2 meses de YouTube sem consumo no plano</t>
        </is>
      </c>
      <c r="U3715" s="5" t="inlineStr">
        <is>
          <t>https://vivo.com.br/para-voce/produtos-e-servicos/para-o-celular/planos-controle</t>
        </is>
      </c>
      <c r="V3715" s="5" t="inlineStr">
        <is>
          <t>data/raw/vivo_control_SP.html</t>
        </is>
      </c>
    </row>
    <row r="3716">
      <c r="A3716" s="2" t="inlineStr">
        <is>
          <t>2026-08-27</t>
        </is>
      </c>
      <c r="B3716" s="2" t="inlineStr">
        <is>
          <t>2026-08-27T01:25:48</t>
        </is>
      </c>
      <c r="C3716" s="2" t="inlineStr">
        <is>
          <t>vivo</t>
        </is>
      </c>
      <c r="D3716" s="2" t="inlineStr">
        <is>
          <t>control</t>
        </is>
      </c>
      <c r="E3716" s="2" t="inlineStr">
        <is>
          <t>SP</t>
        </is>
      </c>
      <c r="F3716" s="2" t="inlineStr">
        <is>
          <t>Vivo Controle Educação</t>
        </is>
      </c>
      <c r="G3716" s="2" t="inlineStr">
        <is>
          <t>vivo:VIV202600034616</t>
        </is>
      </c>
      <c r="H3716" s="3" t="n">
        <v>85</v>
      </c>
      <c r="I3716" s="3" t="inlineStr"/>
      <c r="J3716" s="2" t="inlineStr">
        <is>
          <t>preço-base do plano; a tela exibia R$ 90 com o adicional pré-selecionado (+R$ 5/mês, opcional); 60 GB na tela incluem +10 GB do adicional</t>
        </is>
      </c>
      <c r="K3716" s="2" t="inlineStr"/>
      <c r="L3716" s="4" t="n">
        <v>50</v>
      </c>
      <c r="M3716" s="2" t="inlineStr">
        <is>
          <t>20 GB de franquia 30 GB de bônus</t>
        </is>
      </c>
      <c r="N3716" s="2" t="inlineStr"/>
      <c r="O3716" s="2" t="inlineStr"/>
      <c r="P3716" s="2" t="inlineStr"/>
      <c r="Q3716" s="2" t="inlineStr"/>
      <c r="R3716" s="2" t="inlineStr"/>
      <c r="S3716" s="2" t="inlineStr"/>
      <c r="T3716" s="2" t="inlineStr">
        <is>
          <t>Assinatura Vivae inclusa</t>
        </is>
      </c>
      <c r="U3716" s="2" t="inlineStr">
        <is>
          <t>https://vivo.com.br/para-voce/produtos-e-servicos/para-o-celular/planos-controle</t>
        </is>
      </c>
      <c r="V3716" s="2" t="inlineStr">
        <is>
          <t>data/raw/vivo_control_SP.html</t>
        </is>
      </c>
    </row>
    <row r="3717">
      <c r="A3717" s="5" t="inlineStr">
        <is>
          <t>2026-08-27</t>
        </is>
      </c>
      <c r="B3717" s="5" t="inlineStr">
        <is>
          <t>2026-08-27T01:25:48</t>
        </is>
      </c>
      <c r="C3717" s="5" t="inlineStr">
        <is>
          <t>vivo</t>
        </is>
      </c>
      <c r="D3717" s="5" t="inlineStr">
        <is>
          <t>control</t>
        </is>
      </c>
      <c r="E3717" s="5" t="inlineStr">
        <is>
          <t>SP</t>
        </is>
      </c>
      <c r="F3717" s="5" t="inlineStr">
        <is>
          <t>Vivo Controle Entretenimento</t>
        </is>
      </c>
      <c r="G3717" s="5" t="inlineStr">
        <is>
          <t>vivo:VIV202600034619</t>
        </is>
      </c>
      <c r="H3717" s="6" t="n">
        <v>105</v>
      </c>
      <c r="I3717" s="6" t="inlineStr"/>
      <c r="J3717" s="5" t="inlineStr">
        <is>
          <t>preço-base do plano; a tela exibia R$ 110 com o adicional pré-selecionado (+R$ 5/mês, opcional); 60 GB na tela incluem +10 GB do adicional</t>
        </is>
      </c>
      <c r="K3717" s="5" t="inlineStr"/>
      <c r="L3717" s="7" t="n">
        <v>50</v>
      </c>
      <c r="M3717" s="5" t="inlineStr">
        <is>
          <t>20 GB de franquia 30 GB de bônus</t>
        </is>
      </c>
      <c r="N3717" s="5" t="inlineStr"/>
      <c r="O3717" s="5" t="inlineStr"/>
      <c r="P3717" s="5" t="inlineStr"/>
      <c r="Q3717" s="5" t="inlineStr"/>
      <c r="R3717" s="5" t="inlineStr"/>
      <c r="S3717" s="5" t="inlineStr"/>
      <c r="T3717" s="5" t="inlineStr">
        <is>
          <t>Assinatura Vivo TV Inicial inclusa</t>
        </is>
      </c>
      <c r="U3717" s="5" t="inlineStr">
        <is>
          <t>https://vivo.com.br/para-voce/produtos-e-servicos/para-o-celular/planos-controle</t>
        </is>
      </c>
      <c r="V3717" s="5" t="inlineStr">
        <is>
          <t>data/raw/vivo_control_SP.html</t>
        </is>
      </c>
    </row>
    <row r="3718">
      <c r="A3718" s="2" t="inlineStr">
        <is>
          <t>2026-08-27</t>
        </is>
      </c>
      <c r="B3718" s="2" t="inlineStr">
        <is>
          <t>2026-08-27T01:25:48</t>
        </is>
      </c>
      <c r="C3718" s="2" t="inlineStr">
        <is>
          <t>vivo</t>
        </is>
      </c>
      <c r="D3718" s="2" t="inlineStr">
        <is>
          <t>control</t>
        </is>
      </c>
      <c r="E3718" s="2" t="inlineStr">
        <is>
          <t>SP</t>
        </is>
      </c>
      <c r="F3718" s="2" t="inlineStr">
        <is>
          <t>Vivo Controle Música</t>
        </is>
      </c>
      <c r="G3718" s="2" t="inlineStr">
        <is>
          <t>vivo:VIV202600034620</t>
        </is>
      </c>
      <c r="H3718" s="3" t="n">
        <v>85</v>
      </c>
      <c r="I3718" s="3" t="inlineStr"/>
      <c r="J3718" s="2" t="inlineStr">
        <is>
          <t>preço-base do plano; a tela exibia R$ 90 com o adicional pré-selecionado (+R$ 5/mês, opcional); 60 GB na tela incluem +10 GB do adicional</t>
        </is>
      </c>
      <c r="K3718" s="2" t="inlineStr"/>
      <c r="L3718" s="4" t="n">
        <v>50</v>
      </c>
      <c r="M3718" s="2" t="inlineStr">
        <is>
          <t>20 GB de franquia 30 GB de bônus</t>
        </is>
      </c>
      <c r="N3718" s="2" t="inlineStr"/>
      <c r="O3718" s="2" t="inlineStr"/>
      <c r="P3718" s="2" t="inlineStr"/>
      <c r="Q3718" s="2" t="inlineStr"/>
      <c r="R3718" s="2" t="inlineStr"/>
      <c r="S3718" s="2" t="inlineStr"/>
      <c r="T3718" s="2" t="inlineStr">
        <is>
          <t>Apple Music Individual</t>
        </is>
      </c>
      <c r="U3718" s="2" t="inlineStr">
        <is>
          <t>https://vivo.com.br/para-voce/produtos-e-servicos/para-o-celular/planos-controle</t>
        </is>
      </c>
      <c r="V3718" s="2" t="inlineStr">
        <is>
          <t>data/raw/vivo_control_SP.html</t>
        </is>
      </c>
    </row>
    <row r="3719">
      <c r="A3719" s="5" t="inlineStr">
        <is>
          <t>2026-08-27</t>
        </is>
      </c>
      <c r="B3719" s="5" t="inlineStr">
        <is>
          <t>2026-08-27T01:25:48</t>
        </is>
      </c>
      <c r="C3719" s="5" t="inlineStr">
        <is>
          <t>vivo</t>
        </is>
      </c>
      <c r="D3719" s="5" t="inlineStr">
        <is>
          <t>control</t>
        </is>
      </c>
      <c r="E3719" s="5" t="inlineStr">
        <is>
          <t>SP</t>
        </is>
      </c>
      <c r="F3719" s="5" t="inlineStr">
        <is>
          <t>Vivo Controle Netflix</t>
        </is>
      </c>
      <c r="G3719" s="5" t="inlineStr">
        <is>
          <t>vivo:VIV202600034623</t>
        </is>
      </c>
      <c r="H3719" s="6" t="n">
        <v>90</v>
      </c>
      <c r="I3719" s="6" t="inlineStr"/>
      <c r="J3719" s="5" t="inlineStr">
        <is>
          <t>preço-base do plano; a tela exibia R$ 95 com o adicional pré-selecionado (+R$ 5/mês, opcional); 60 GB na tela incluem +10 GB do adicional</t>
        </is>
      </c>
      <c r="K3719" s="5" t="inlineStr"/>
      <c r="L3719" s="7" t="n">
        <v>50</v>
      </c>
      <c r="M3719" s="5" t="inlineStr">
        <is>
          <t>20 GB de franquia 30 GB de bônus</t>
        </is>
      </c>
      <c r="N3719" s="5" t="inlineStr"/>
      <c r="O3719" s="5" t="inlineStr"/>
      <c r="P3719" s="5" t="inlineStr"/>
      <c r="Q3719" s="5" t="inlineStr"/>
      <c r="R3719" s="5" t="inlineStr"/>
      <c r="S3719" s="5" t="inlineStr"/>
      <c r="T3719" s="5" t="inlineStr">
        <is>
          <t>Assinatura Netflix Padrão com anúncios</t>
        </is>
      </c>
      <c r="U3719" s="5" t="inlineStr">
        <is>
          <t>https://vivo.com.br/para-voce/produtos-e-servicos/para-o-celular/planos-controle</t>
        </is>
      </c>
      <c r="V3719" s="5" t="inlineStr">
        <is>
          <t>data/raw/vivo_control_SP.html</t>
        </is>
      </c>
    </row>
    <row r="3720">
      <c r="A3720" s="2" t="inlineStr">
        <is>
          <t>2026-08-27</t>
        </is>
      </c>
      <c r="B3720" s="2" t="inlineStr">
        <is>
          <t>2026-08-27T01:25:48</t>
        </is>
      </c>
      <c r="C3720" s="2" t="inlineStr">
        <is>
          <t>vivo</t>
        </is>
      </c>
      <c r="D3720" s="2" t="inlineStr">
        <is>
          <t>control</t>
        </is>
      </c>
      <c r="E3720" s="2" t="inlineStr">
        <is>
          <t>SP</t>
        </is>
      </c>
      <c r="F3720" s="2" t="inlineStr">
        <is>
          <t>Vivo Controle Saúde</t>
        </is>
      </c>
      <c r="G3720" s="2" t="inlineStr">
        <is>
          <t>vivo:VIV202600034625</t>
        </is>
      </c>
      <c r="H3720" s="3" t="n">
        <v>85</v>
      </c>
      <c r="I3720" s="3" t="inlineStr"/>
      <c r="J3720" s="2" t="inlineStr">
        <is>
          <t>preço-base do plano; a tela exibia R$ 90 com o adicional pré-selecionado (+R$ 5/mês, opcional); 60 GB na tela incluem +10 GB do adicional</t>
        </is>
      </c>
      <c r="K3720" s="2" t="inlineStr"/>
      <c r="L3720" s="4" t="n">
        <v>50</v>
      </c>
      <c r="M3720" s="2" t="inlineStr">
        <is>
          <t>20 GB de franquia 30 GB de bônus</t>
        </is>
      </c>
      <c r="N3720" s="2" t="inlineStr"/>
      <c r="O3720" s="2" t="inlineStr"/>
      <c r="P3720" s="2" t="inlineStr"/>
      <c r="Q3720" s="2" t="inlineStr"/>
      <c r="R3720" s="2" t="inlineStr"/>
      <c r="S3720" s="2" t="inlineStr"/>
      <c r="T3720" s="2" t="inlineStr">
        <is>
          <t>Assinatura Vale Saúde Sempre inclusa</t>
        </is>
      </c>
      <c r="U3720" s="2" t="inlineStr">
        <is>
          <t>https://vivo.com.br/para-voce/produtos-e-servicos/para-o-celular/planos-controle</t>
        </is>
      </c>
      <c r="V3720" s="2" t="inlineStr">
        <is>
          <t>data/raw/vivo_control_SP.html</t>
        </is>
      </c>
    </row>
    <row r="3721">
      <c r="A3721" s="5" t="inlineStr">
        <is>
          <t>2026-08-27</t>
        </is>
      </c>
      <c r="B3721" s="5" t="inlineStr">
        <is>
          <t>2026-08-27T01:25:48</t>
        </is>
      </c>
      <c r="C3721" s="5" t="inlineStr">
        <is>
          <t>vivo</t>
        </is>
      </c>
      <c r="D3721" s="5" t="inlineStr">
        <is>
          <t>control</t>
        </is>
      </c>
      <c r="E3721" s="5" t="inlineStr">
        <is>
          <t>SP</t>
        </is>
      </c>
      <c r="F3721" s="5" t="inlineStr">
        <is>
          <t>Vivo Controle Youtube Lite</t>
        </is>
      </c>
      <c r="G3721" s="5" t="inlineStr">
        <is>
          <t>vivo:VIV202600034626</t>
        </is>
      </c>
      <c r="H3721" s="6" t="n">
        <v>85</v>
      </c>
      <c r="I3721" s="6" t="inlineStr"/>
      <c r="J3721" s="5" t="inlineStr">
        <is>
          <t>preço-base do plano; a tela exibia R$ 90 com o adicional pré-selecionado (+R$ 5/mês, opcional); 60 GB na tela incluem +10 GB do adicional</t>
        </is>
      </c>
      <c r="K3721" s="5" t="inlineStr"/>
      <c r="L3721" s="7" t="n">
        <v>50</v>
      </c>
      <c r="M3721" s="5" t="inlineStr">
        <is>
          <t>20 GB de franquia 30 GB de bônus</t>
        </is>
      </c>
      <c r="N3721" s="5" t="inlineStr"/>
      <c r="O3721" s="5" t="inlineStr"/>
      <c r="P3721" s="5" t="inlineStr"/>
      <c r="Q3721" s="5" t="inlineStr"/>
      <c r="R3721" s="5" t="inlineStr"/>
      <c r="S3721" s="5" t="inlineStr"/>
      <c r="T3721" s="5" t="inlineStr">
        <is>
          <t>2 meses de YouTube sem consumo no plano</t>
        </is>
      </c>
      <c r="U3721" s="5" t="inlineStr">
        <is>
          <t>https://vivo.com.br/para-voce/produtos-e-servicos/para-o-celular/planos-controle</t>
        </is>
      </c>
      <c r="V3721" s="5" t="inlineStr">
        <is>
          <t>data/raw/vivo_control_SP.html</t>
        </is>
      </c>
    </row>
    <row r="3722">
      <c r="A3722" s="2" t="inlineStr">
        <is>
          <t>2026-08-27</t>
        </is>
      </c>
      <c r="B3722" s="2" t="inlineStr">
        <is>
          <t>2026-08-27T01:25:48</t>
        </is>
      </c>
      <c r="C3722" s="2" t="inlineStr">
        <is>
          <t>vivo</t>
        </is>
      </c>
      <c r="D3722" s="2" t="inlineStr">
        <is>
          <t>lite</t>
        </is>
      </c>
      <c r="E3722" s="2" t="inlineStr">
        <is>
          <t>SP</t>
        </is>
      </c>
      <c r="F3722" s="2" t="inlineStr">
        <is>
          <t>Vivo Lite</t>
        </is>
      </c>
      <c r="G3722" s="2" t="inlineStr">
        <is>
          <t>vivo:VIV202600033987</t>
        </is>
      </c>
      <c r="H3722" s="3" t="n">
        <v>45</v>
      </c>
      <c r="I3722" s="3" t="n">
        <v>30</v>
      </c>
      <c r="J3722" s="2" t="inlineStr">
        <is>
          <t>preço sem fidelidade; fidelidade 12m no promo</t>
        </is>
      </c>
      <c r="K3722" s="2" t="inlineStr"/>
      <c r="L3722" s="4" t="n">
        <v>30</v>
      </c>
      <c r="M3722" s="2" t="inlineStr">
        <is>
          <t>30 GB de franquia</t>
        </is>
      </c>
      <c r="N3722" s="2" t="inlineStr"/>
      <c r="O3722" s="2" t="inlineStr"/>
      <c r="P3722" s="2" t="inlineStr"/>
      <c r="Q3722" s="2" t="inlineStr"/>
      <c r="R3722" s="2" t="inlineStr"/>
      <c r="S3722" s="2" t="n">
        <v>12</v>
      </c>
      <c r="T3722" s="2" t="inlineStr">
        <is>
          <t>2 meses de YouTube sem consumo no plano</t>
        </is>
      </c>
      <c r="U3722" s="2" t="inlineStr">
        <is>
          <t>https://vivo.com.br/para-voce/produtos-e-servicos/para-o-celular/easy-lite</t>
        </is>
      </c>
      <c r="V3722" s="2" t="inlineStr">
        <is>
          <t>data/raw/vivo_lite_SP.html</t>
        </is>
      </c>
    </row>
    <row r="3723">
      <c r="A3723" s="5" t="inlineStr">
        <is>
          <t>2026-08-27</t>
        </is>
      </c>
      <c r="B3723" s="5" t="inlineStr">
        <is>
          <t>2026-08-27T01:25:48</t>
        </is>
      </c>
      <c r="C3723" s="5" t="inlineStr">
        <is>
          <t>vivo</t>
        </is>
      </c>
      <c r="D3723" s="5" t="inlineStr">
        <is>
          <t>lite</t>
        </is>
      </c>
      <c r="E3723" s="5" t="inlineStr">
        <is>
          <t>SP</t>
        </is>
      </c>
      <c r="F3723" s="5" t="inlineStr">
        <is>
          <t>Vivo Lite</t>
        </is>
      </c>
      <c r="G3723" s="5" t="inlineStr">
        <is>
          <t>vivo:VIV202600033989</t>
        </is>
      </c>
      <c r="H3723" s="6" t="n">
        <v>55</v>
      </c>
      <c r="I3723" s="6" t="n">
        <v>40</v>
      </c>
      <c r="J3723" s="5" t="inlineStr">
        <is>
          <t>preço sem fidelidade; fidelidade 12m no promo</t>
        </is>
      </c>
      <c r="K3723" s="5" t="inlineStr"/>
      <c r="L3723" s="7" t="n">
        <v>40</v>
      </c>
      <c r="M3723" s="5" t="inlineStr">
        <is>
          <t>40 GB de franquia</t>
        </is>
      </c>
      <c r="N3723" s="5" t="inlineStr"/>
      <c r="O3723" s="5" t="inlineStr"/>
      <c r="P3723" s="5" t="inlineStr"/>
      <c r="Q3723" s="5" t="inlineStr"/>
      <c r="R3723" s="5" t="inlineStr"/>
      <c r="S3723" s="5" t="n">
        <v>12</v>
      </c>
      <c r="T3723" s="5" t="inlineStr">
        <is>
          <t>2 meses de YouTube sem consumo no plano</t>
        </is>
      </c>
      <c r="U3723" s="5" t="inlineStr">
        <is>
          <t>https://vivo.com.br/para-voce/produtos-e-servicos/para-o-celular/easy-lite</t>
        </is>
      </c>
      <c r="V3723" s="5" t="inlineStr">
        <is>
          <t>data/raw/vivo_lite_SP.html</t>
        </is>
      </c>
    </row>
    <row r="3724">
      <c r="A3724" s="2" t="inlineStr">
        <is>
          <t>2026-08-27</t>
        </is>
      </c>
      <c r="B3724" s="2" t="inlineStr">
        <is>
          <t>2026-08-27T01:25:48</t>
        </is>
      </c>
      <c r="C3724" s="2" t="inlineStr">
        <is>
          <t>vivo</t>
        </is>
      </c>
      <c r="D3724" s="2" t="inlineStr">
        <is>
          <t>lite</t>
        </is>
      </c>
      <c r="E3724" s="2" t="inlineStr">
        <is>
          <t>SP</t>
        </is>
      </c>
      <c r="F3724" s="2" t="inlineStr">
        <is>
          <t>Vivo Lite</t>
        </is>
      </c>
      <c r="G3724" s="2" t="inlineStr">
        <is>
          <t>vivo:VIV202600033992</t>
        </is>
      </c>
      <c r="H3724" s="3" t="n">
        <v>35</v>
      </c>
      <c r="I3724" s="3" t="inlineStr"/>
      <c r="J3724" s="2" t="inlineStr"/>
      <c r="K3724" s="2" t="inlineStr"/>
      <c r="L3724" s="4" t="n">
        <v>20</v>
      </c>
      <c r="M3724" s="2" t="inlineStr">
        <is>
          <t>20 GB de franquia</t>
        </is>
      </c>
      <c r="N3724" s="2" t="inlineStr"/>
      <c r="O3724" s="2" t="inlineStr"/>
      <c r="P3724" s="2" t="inlineStr"/>
      <c r="Q3724" s="2" t="inlineStr"/>
      <c r="R3724" s="2" t="inlineStr"/>
      <c r="S3724" s="2" t="inlineStr"/>
      <c r="T3724" s="2" t="inlineStr">
        <is>
          <t>2 meses de YouTube sem consumo no plano</t>
        </is>
      </c>
      <c r="U3724" s="2" t="inlineStr">
        <is>
          <t>https://vivo.com.br/para-voce/produtos-e-servicos/para-o-celular/easy-lite</t>
        </is>
      </c>
      <c r="V3724" s="2" t="inlineStr">
        <is>
          <t>data/raw/vivo_lite_SP.html</t>
        </is>
      </c>
    </row>
    <row r="3725">
      <c r="A3725" s="5" t="inlineStr">
        <is>
          <t>2026-08-27</t>
        </is>
      </c>
      <c r="B3725" s="5" t="inlineStr">
        <is>
          <t>2026-08-27T01:25:48</t>
        </is>
      </c>
      <c r="C3725" s="5" t="inlineStr">
        <is>
          <t>vivo</t>
        </is>
      </c>
      <c r="D3725" s="5" t="inlineStr">
        <is>
          <t>postpaid</t>
        </is>
      </c>
      <c r="E3725" s="5" t="inlineStr">
        <is>
          <t>SP</t>
        </is>
      </c>
      <c r="F3725" s="5" t="inlineStr">
        <is>
          <t>Vivo Família 2</t>
        </is>
      </c>
      <c r="G3725" s="5" t="inlineStr">
        <is>
          <t>vivo:VIV202600034547</t>
        </is>
      </c>
      <c r="H3725" s="6" t="n">
        <v>270</v>
      </c>
      <c r="I3725" s="6" t="inlineStr"/>
      <c r="J3725" s="5" t="inlineStr"/>
      <c r="K3725" s="5" t="inlineStr"/>
      <c r="L3725" s="7" t="n">
        <v>120</v>
      </c>
      <c r="M3725" s="5" t="inlineStr">
        <is>
          <t>120 GB de franquia Você + 1 linha adicional Roaming Internacional com Vivo Travel Américas e Europa</t>
        </is>
      </c>
      <c r="N3725" s="5" t="inlineStr"/>
      <c r="O3725" s="5" t="inlineStr"/>
      <c r="P3725" s="5" t="inlineStr"/>
      <c r="Q3725" s="5" t="inlineStr"/>
      <c r="R3725" s="5" t="inlineStr"/>
      <c r="S3725" s="5" t="inlineStr"/>
      <c r="T3725" s="5" t="inlineStr">
        <is>
          <t>2 meses de YouTube sem consumo no plano</t>
        </is>
      </c>
      <c r="U3725" s="5" t="inlineStr">
        <is>
          <t>https://vivo.com.br/para-voce/produtos-e-servicos/para-o-celular/planos-pos-pago</t>
        </is>
      </c>
      <c r="V3725" s="5" t="inlineStr">
        <is>
          <t>data/raw/vivo_postpaid_SP.html</t>
        </is>
      </c>
    </row>
    <row r="3726">
      <c r="A3726" s="2" t="inlineStr">
        <is>
          <t>2026-08-27</t>
        </is>
      </c>
      <c r="B3726" s="2" t="inlineStr">
        <is>
          <t>2026-08-27T01:25:48</t>
        </is>
      </c>
      <c r="C3726" s="2" t="inlineStr">
        <is>
          <t>vivo</t>
        </is>
      </c>
      <c r="D3726" s="2" t="inlineStr">
        <is>
          <t>postpaid</t>
        </is>
      </c>
      <c r="E3726" s="2" t="inlineStr">
        <is>
          <t>SP</t>
        </is>
      </c>
      <c r="F3726" s="2" t="inlineStr">
        <is>
          <t>Vivo Família 3</t>
        </is>
      </c>
      <c r="G3726" s="2" t="inlineStr">
        <is>
          <t>vivo:VIV202600034540</t>
        </is>
      </c>
      <c r="H3726" s="3" t="n">
        <v>340</v>
      </c>
      <c r="I3726" s="3" t="inlineStr"/>
      <c r="J3726" s="2" t="inlineStr"/>
      <c r="K3726" s="2" t="inlineStr"/>
      <c r="L3726" s="4" t="n">
        <v>180</v>
      </c>
      <c r="M3726" s="2" t="inlineStr">
        <is>
          <t>180 GB de franquia Você + 2 linhas adicionais Roaming Internacional com Vivo Travel Américas e Europa</t>
        </is>
      </c>
      <c r="N3726" s="2" t="inlineStr"/>
      <c r="O3726" s="2" t="inlineStr"/>
      <c r="P3726" s="2" t="inlineStr"/>
      <c r="Q3726" s="2" t="inlineStr"/>
      <c r="R3726" s="2" t="inlineStr"/>
      <c r="S3726" s="2" t="inlineStr"/>
      <c r="T3726" s="2" t="inlineStr">
        <is>
          <t>2 meses de YouTube sem consumo no plano</t>
        </is>
      </c>
      <c r="U3726" s="2" t="inlineStr">
        <is>
          <t>https://vivo.com.br/para-voce/produtos-e-servicos/para-o-celular/planos-pos-pago</t>
        </is>
      </c>
      <c r="V3726" s="2" t="inlineStr">
        <is>
          <t>data/raw/vivo_postpaid_SP.html</t>
        </is>
      </c>
    </row>
    <row r="3727">
      <c r="A3727" s="5" t="inlineStr">
        <is>
          <t>2026-08-27</t>
        </is>
      </c>
      <c r="B3727" s="5" t="inlineStr">
        <is>
          <t>2026-08-27T01:25:48</t>
        </is>
      </c>
      <c r="C3727" s="5" t="inlineStr">
        <is>
          <t>vivo</t>
        </is>
      </c>
      <c r="D3727" s="5" t="inlineStr">
        <is>
          <t>postpaid</t>
        </is>
      </c>
      <c r="E3727" s="5" t="inlineStr">
        <is>
          <t>SP</t>
        </is>
      </c>
      <c r="F3727" s="5" t="inlineStr">
        <is>
          <t>Vivo Família 4</t>
        </is>
      </c>
      <c r="G3727" s="5" t="inlineStr">
        <is>
          <t>vivo:VIV202600034531</t>
        </is>
      </c>
      <c r="H3727" s="6" t="n">
        <v>430</v>
      </c>
      <c r="I3727" s="6" t="inlineStr"/>
      <c r="J3727" s="5" t="inlineStr"/>
      <c r="K3727" s="5" t="inlineStr"/>
      <c r="L3727" s="7" t="n">
        <v>240</v>
      </c>
      <c r="M3727" s="5" t="inlineStr">
        <is>
          <t>240 GB de franquia Você + 3 linhas adicionais Roaming Internacional com Vivo Travel Américas e Europa</t>
        </is>
      </c>
      <c r="N3727" s="5" t="inlineStr"/>
      <c r="O3727" s="5" t="inlineStr"/>
      <c r="P3727" s="5" t="inlineStr"/>
      <c r="Q3727" s="5" t="inlineStr"/>
      <c r="R3727" s="5" t="inlineStr"/>
      <c r="S3727" s="5" t="inlineStr"/>
      <c r="T3727" s="5" t="inlineStr">
        <is>
          <t>2 meses de YouTube sem consumo no plano</t>
        </is>
      </c>
      <c r="U3727" s="5" t="inlineStr">
        <is>
          <t>https://vivo.com.br/para-voce/produtos-e-servicos/para-o-celular/planos-pos-pago</t>
        </is>
      </c>
      <c r="V3727" s="5" t="inlineStr">
        <is>
          <t>data/raw/vivo_postpaid_SP.html</t>
        </is>
      </c>
    </row>
    <row r="3728">
      <c r="A3728" s="2" t="inlineStr">
        <is>
          <t>2026-08-27</t>
        </is>
      </c>
      <c r="B3728" s="2" t="inlineStr">
        <is>
          <t>2026-08-27T01:25:48</t>
        </is>
      </c>
      <c r="C3728" s="2" t="inlineStr">
        <is>
          <t>vivo</t>
        </is>
      </c>
      <c r="D3728" s="2" t="inlineStr">
        <is>
          <t>postpaid</t>
        </is>
      </c>
      <c r="E3728" s="2" t="inlineStr">
        <is>
          <t>SP</t>
        </is>
      </c>
      <c r="F3728" s="2" t="inlineStr">
        <is>
          <t>Vivo Família 5</t>
        </is>
      </c>
      <c r="G3728" s="2" t="inlineStr">
        <is>
          <t>vivo:VIV202600034526</t>
        </is>
      </c>
      <c r="H3728" s="3" t="n">
        <v>530</v>
      </c>
      <c r="I3728" s="3" t="inlineStr"/>
      <c r="J3728" s="2" t="inlineStr"/>
      <c r="K3728" s="2" t="inlineStr"/>
      <c r="L3728" s="4" t="n">
        <v>300</v>
      </c>
      <c r="M3728" s="2" t="inlineStr">
        <is>
          <t>300 GB de franquia Você + 4 linhas adicionais Roaming Internacional com Vivo Travel Américas e Europa</t>
        </is>
      </c>
      <c r="N3728" s="2" t="inlineStr"/>
      <c r="O3728" s="2" t="inlineStr"/>
      <c r="P3728" s="2" t="inlineStr"/>
      <c r="Q3728" s="2" t="inlineStr"/>
      <c r="R3728" s="2" t="inlineStr"/>
      <c r="S3728" s="2" t="inlineStr"/>
      <c r="T3728" s="2" t="inlineStr">
        <is>
          <t>2 meses de YouTube sem consumo no plano</t>
        </is>
      </c>
      <c r="U3728" s="2" t="inlineStr">
        <is>
          <t>https://vivo.com.br/para-voce/produtos-e-servicos/para-o-celular/planos-pos-pago</t>
        </is>
      </c>
      <c r="V3728" s="2" t="inlineStr">
        <is>
          <t>data/raw/vivo_postpaid_SP.html</t>
        </is>
      </c>
    </row>
    <row r="3729">
      <c r="A3729" s="5" t="inlineStr">
        <is>
          <t>2026-08-27</t>
        </is>
      </c>
      <c r="B3729" s="5" t="inlineStr">
        <is>
          <t>2026-08-27T01:25:48</t>
        </is>
      </c>
      <c r="C3729" s="5" t="inlineStr">
        <is>
          <t>vivo</t>
        </is>
      </c>
      <c r="D3729" s="5" t="inlineStr">
        <is>
          <t>postpaid</t>
        </is>
      </c>
      <c r="E3729" s="5" t="inlineStr">
        <is>
          <t>SP</t>
        </is>
      </c>
      <c r="F3729" s="5" t="inlineStr">
        <is>
          <t>Vivo Pós com Amazon</t>
        </is>
      </c>
      <c r="G3729" s="5" t="inlineStr">
        <is>
          <t>vivo:VIV202600034554</t>
        </is>
      </c>
      <c r="H3729" s="6" t="n">
        <v>150</v>
      </c>
      <c r="I3729" s="6" t="inlineStr"/>
      <c r="J3729" s="5" t="inlineStr"/>
      <c r="K3729" s="5" t="inlineStr"/>
      <c r="L3729" s="7" t="n">
        <v>60</v>
      </c>
      <c r="M3729" s="5" t="inlineStr">
        <is>
          <t>50 GB de franquia 10 GB de bônus</t>
        </is>
      </c>
      <c r="N3729" s="5" t="inlineStr"/>
      <c r="O3729" s="5" t="inlineStr"/>
      <c r="P3729" s="5" t="inlineStr"/>
      <c r="Q3729" s="5" t="inlineStr"/>
      <c r="R3729" s="5" t="inlineStr"/>
      <c r="S3729" s="5" t="inlineStr"/>
      <c r="T3729" s="5" t="inlineStr">
        <is>
          <t>Assinatura Amazon Prime inclusa</t>
        </is>
      </c>
      <c r="U3729" s="5" t="inlineStr">
        <is>
          <t>https://vivo.com.br/para-voce/produtos-e-servicos/para-o-celular/planos-pos-pago</t>
        </is>
      </c>
      <c r="V3729" s="5" t="inlineStr">
        <is>
          <t>data/raw/vivo_postpaid_SP.html</t>
        </is>
      </c>
    </row>
    <row r="3730">
      <c r="A3730" s="2" t="inlineStr">
        <is>
          <t>2026-08-27</t>
        </is>
      </c>
      <c r="B3730" s="2" t="inlineStr">
        <is>
          <t>2026-08-27T01:25:48</t>
        </is>
      </c>
      <c r="C3730" s="2" t="inlineStr">
        <is>
          <t>vivo</t>
        </is>
      </c>
      <c r="D3730" s="2" t="inlineStr">
        <is>
          <t>postpaid</t>
        </is>
      </c>
      <c r="E3730" s="2" t="inlineStr">
        <is>
          <t>SP</t>
        </is>
      </c>
      <c r="F3730" s="2" t="inlineStr">
        <is>
          <t>Vivo Pós com Disney+</t>
        </is>
      </c>
      <c r="G3730" s="2" t="inlineStr">
        <is>
          <t>vivo:VIV202600034532</t>
        </is>
      </c>
      <c r="H3730" s="3" t="n">
        <v>180</v>
      </c>
      <c r="I3730" s="3" t="inlineStr"/>
      <c r="J3730" s="2" t="inlineStr"/>
      <c r="K3730" s="2" t="inlineStr"/>
      <c r="L3730" s="4" t="n">
        <v>60</v>
      </c>
      <c r="M3730" s="2" t="inlineStr">
        <is>
          <t>50 GB de franquia 10 GB de bônus</t>
        </is>
      </c>
      <c r="N3730" s="2" t="inlineStr"/>
      <c r="O3730" s="2" t="inlineStr"/>
      <c r="P3730" s="2" t="inlineStr"/>
      <c r="Q3730" s="2" t="inlineStr"/>
      <c r="R3730" s="2" t="inlineStr">
        <is>
          <t>Disney+</t>
        </is>
      </c>
      <c r="S3730" s="2" t="inlineStr"/>
      <c r="T3730" s="2" t="inlineStr">
        <is>
          <t>Assinatura Disney+ Padrão inclusa</t>
        </is>
      </c>
      <c r="U3730" s="2" t="inlineStr">
        <is>
          <t>https://vivo.com.br/para-voce/produtos-e-servicos/para-o-celular/planos-pos-pago</t>
        </is>
      </c>
      <c r="V3730" s="2" t="inlineStr">
        <is>
          <t>data/raw/vivo_postpaid_SP.html</t>
        </is>
      </c>
    </row>
    <row r="3731">
      <c r="A3731" s="5" t="inlineStr">
        <is>
          <t>2026-08-27</t>
        </is>
      </c>
      <c r="B3731" s="5" t="inlineStr">
        <is>
          <t>2026-08-27T01:25:48</t>
        </is>
      </c>
      <c r="C3731" s="5" t="inlineStr">
        <is>
          <t>vivo</t>
        </is>
      </c>
      <c r="D3731" s="5" t="inlineStr">
        <is>
          <t>postpaid</t>
        </is>
      </c>
      <c r="E3731" s="5" t="inlineStr">
        <is>
          <t>SP</t>
        </is>
      </c>
      <c r="F3731" s="5" t="inlineStr">
        <is>
          <t>Vivo Pós com Globoplay</t>
        </is>
      </c>
      <c r="G3731" s="5" t="inlineStr">
        <is>
          <t>vivo:VIV202600034575</t>
        </is>
      </c>
      <c r="H3731" s="6" t="n">
        <v>165</v>
      </c>
      <c r="I3731" s="6" t="inlineStr"/>
      <c r="J3731" s="5" t="inlineStr"/>
      <c r="K3731" s="5" t="inlineStr"/>
      <c r="L3731" s="7" t="n">
        <v>60</v>
      </c>
      <c r="M3731" s="5" t="inlineStr">
        <is>
          <t>50 GB de franquia 10 GB de bônus</t>
        </is>
      </c>
      <c r="N3731" s="5" t="inlineStr"/>
      <c r="O3731" s="5" t="inlineStr"/>
      <c r="P3731" s="5" t="inlineStr"/>
      <c r="Q3731" s="5" t="inlineStr"/>
      <c r="R3731" s="5" t="inlineStr">
        <is>
          <t>Globoplay</t>
        </is>
      </c>
      <c r="S3731" s="5" t="inlineStr"/>
      <c r="T3731" s="5" t="inlineStr">
        <is>
          <t>Assinatura Globoplay inclusa</t>
        </is>
      </c>
      <c r="U3731" s="5" t="inlineStr">
        <is>
          <t>https://vivo.com.br/para-voce/produtos-e-servicos/para-o-celular/planos-pos-pago</t>
        </is>
      </c>
      <c r="V3731" s="5" t="inlineStr">
        <is>
          <t>data/raw/vivo_postpaid_SP.html</t>
        </is>
      </c>
    </row>
    <row r="3732">
      <c r="A3732" s="2" t="inlineStr">
        <is>
          <t>2026-08-27</t>
        </is>
      </c>
      <c r="B3732" s="2" t="inlineStr">
        <is>
          <t>2026-08-27T01:25:48</t>
        </is>
      </c>
      <c r="C3732" s="2" t="inlineStr">
        <is>
          <t>vivo</t>
        </is>
      </c>
      <c r="D3732" s="2" t="inlineStr">
        <is>
          <t>postpaid</t>
        </is>
      </c>
      <c r="E3732" s="2" t="inlineStr">
        <is>
          <t>SP</t>
        </is>
      </c>
      <c r="F3732" s="2" t="inlineStr">
        <is>
          <t>Vivo Pós com Netflix</t>
        </is>
      </c>
      <c r="G3732" s="2" t="inlineStr">
        <is>
          <t>vivo:VIV202600034562</t>
        </is>
      </c>
      <c r="H3732" s="3" t="n">
        <v>180</v>
      </c>
      <c r="I3732" s="3" t="inlineStr"/>
      <c r="J3732" s="2" t="inlineStr"/>
      <c r="K3732" s="2" t="inlineStr"/>
      <c r="L3732" s="4" t="n">
        <v>60</v>
      </c>
      <c r="M3732" s="2" t="inlineStr">
        <is>
          <t>50 GB de franquia 10 GB de bônus</t>
        </is>
      </c>
      <c r="N3732" s="2" t="inlineStr"/>
      <c r="O3732" s="2" t="inlineStr"/>
      <c r="P3732" s="2" t="inlineStr"/>
      <c r="Q3732" s="2" t="inlineStr"/>
      <c r="R3732" s="2" t="inlineStr">
        <is>
          <t>Netflix</t>
        </is>
      </c>
      <c r="S3732" s="2" t="inlineStr"/>
      <c r="T3732" s="2" t="inlineStr">
        <is>
          <t>Assinatura Netflix Padrão inclusa</t>
        </is>
      </c>
      <c r="U3732" s="2" t="inlineStr">
        <is>
          <t>https://vivo.com.br/para-voce/produtos-e-servicos/para-o-celular/planos-pos-pago</t>
        </is>
      </c>
      <c r="V3732" s="2" t="inlineStr">
        <is>
          <t>data/raw/vivo_postpaid_SP.html</t>
        </is>
      </c>
    </row>
    <row r="3733">
      <c r="A3733" s="5" t="inlineStr">
        <is>
          <t>2026-08-27</t>
        </is>
      </c>
      <c r="B3733" s="5" t="inlineStr">
        <is>
          <t>2026-08-27T01:25:48</t>
        </is>
      </c>
      <c r="C3733" s="5" t="inlineStr">
        <is>
          <t>vivo</t>
        </is>
      </c>
      <c r="D3733" s="5" t="inlineStr">
        <is>
          <t>postpaid</t>
        </is>
      </c>
      <c r="E3733" s="5" t="inlineStr">
        <is>
          <t>SP</t>
        </is>
      </c>
      <c r="F3733" s="5" t="inlineStr">
        <is>
          <t>Vivo Pós com Premiere</t>
        </is>
      </c>
      <c r="G3733" s="5" t="inlineStr">
        <is>
          <t>vivo:VIV202600034579</t>
        </is>
      </c>
      <c r="H3733" s="6" t="n">
        <v>180</v>
      </c>
      <c r="I3733" s="6" t="inlineStr"/>
      <c r="J3733" s="5" t="inlineStr"/>
      <c r="K3733" s="5" t="inlineStr"/>
      <c r="L3733" s="7" t="n">
        <v>60</v>
      </c>
      <c r="M3733" s="5" t="inlineStr">
        <is>
          <t>50 GB de franquia 10 GB de bônus</t>
        </is>
      </c>
      <c r="N3733" s="5" t="inlineStr"/>
      <c r="O3733" s="5" t="inlineStr"/>
      <c r="P3733" s="5" t="inlineStr"/>
      <c r="Q3733" s="5" t="inlineStr"/>
      <c r="R3733" s="5" t="inlineStr">
        <is>
          <t>Premiere</t>
        </is>
      </c>
      <c r="S3733" s="5" t="inlineStr"/>
      <c r="T3733" s="5" t="inlineStr">
        <is>
          <t>Assinatura Premiere inclusa</t>
        </is>
      </c>
      <c r="U3733" s="5" t="inlineStr">
        <is>
          <t>https://vivo.com.br/para-voce/produtos-e-servicos/para-o-celular/planos-pos-pago</t>
        </is>
      </c>
      <c r="V3733" s="5" t="inlineStr">
        <is>
          <t>data/raw/vivo_postpaid_SP.html</t>
        </is>
      </c>
    </row>
    <row r="3734">
      <c r="A3734" s="2" t="inlineStr">
        <is>
          <t>2026-08-27</t>
        </is>
      </c>
      <c r="B3734" s="2" t="inlineStr">
        <is>
          <t>2026-08-27T01:25:48</t>
        </is>
      </c>
      <c r="C3734" s="2" t="inlineStr">
        <is>
          <t>vivo</t>
        </is>
      </c>
      <c r="D3734" s="2" t="inlineStr">
        <is>
          <t>postpaid</t>
        </is>
      </c>
      <c r="E3734" s="2" t="inlineStr">
        <is>
          <t>SP</t>
        </is>
      </c>
      <c r="F3734" s="2" t="inlineStr">
        <is>
          <t>Vivo Pós com Spotify</t>
        </is>
      </c>
      <c r="G3734" s="2" t="inlineStr">
        <is>
          <t>vivo:VIV202600034556</t>
        </is>
      </c>
      <c r="H3734" s="3" t="n">
        <v>165</v>
      </c>
      <c r="I3734" s="3" t="inlineStr"/>
      <c r="J3734" s="2" t="inlineStr"/>
      <c r="K3734" s="2" t="inlineStr"/>
      <c r="L3734" s="4" t="n">
        <v>60</v>
      </c>
      <c r="M3734" s="2" t="inlineStr">
        <is>
          <t>50 GB de franquia 10 GB de bônus</t>
        </is>
      </c>
      <c r="N3734" s="2" t="inlineStr"/>
      <c r="O3734" s="2" t="inlineStr"/>
      <c r="P3734" s="2" t="inlineStr"/>
      <c r="Q3734" s="2" t="inlineStr"/>
      <c r="R3734" s="2" t="inlineStr">
        <is>
          <t>Spotify</t>
        </is>
      </c>
      <c r="S3734" s="2" t="inlineStr"/>
      <c r="T3734" s="2" t="inlineStr">
        <is>
          <t>Assinatura Spotify Premium inclusa</t>
        </is>
      </c>
      <c r="U3734" s="2" t="inlineStr">
        <is>
          <t>https://vivo.com.br/para-voce/produtos-e-servicos/para-o-celular/planos-pos-pago</t>
        </is>
      </c>
      <c r="V3734" s="2" t="inlineStr">
        <is>
          <t>data/raw/vivo_postpaid_SP.html</t>
        </is>
      </c>
    </row>
    <row r="3735">
      <c r="A3735" s="5" t="inlineStr">
        <is>
          <t>2026-08-27</t>
        </is>
      </c>
      <c r="B3735" s="5" t="inlineStr">
        <is>
          <t>2026-08-27T01:25:48</t>
        </is>
      </c>
      <c r="C3735" s="5" t="inlineStr">
        <is>
          <t>vivo</t>
        </is>
      </c>
      <c r="D3735" s="5" t="inlineStr">
        <is>
          <t>postpaid</t>
        </is>
      </c>
      <c r="E3735" s="5" t="inlineStr">
        <is>
          <t>SP</t>
        </is>
      </c>
      <c r="F3735" s="5" t="inlineStr">
        <is>
          <t>Vivo Pós com Travel</t>
        </is>
      </c>
      <c r="G3735" s="5" t="inlineStr">
        <is>
          <t>vivo:VIV202600034573</t>
        </is>
      </c>
      <c r="H3735" s="6" t="n">
        <v>215</v>
      </c>
      <c r="I3735" s="6" t="inlineStr"/>
      <c r="J3735" s="5" t="inlineStr"/>
      <c r="K3735" s="5" t="inlineStr"/>
      <c r="L3735" s="7" t="n">
        <v>70</v>
      </c>
      <c r="M3735" s="5" t="inlineStr">
        <is>
          <t>60 GB de franquia 10 GB de bônus</t>
        </is>
      </c>
      <c r="N3735" s="5" t="inlineStr"/>
      <c r="O3735" s="5" t="inlineStr"/>
      <c r="P3735" s="5" t="inlineStr"/>
      <c r="Q3735" s="5" t="inlineStr"/>
      <c r="R3735" s="5" t="inlineStr"/>
      <c r="S3735" s="5" t="inlineStr"/>
      <c r="T3735" s="5" t="inlineStr">
        <is>
          <t>2 meses de YouTube sem consumo no plano</t>
        </is>
      </c>
      <c r="U3735" s="5" t="inlineStr">
        <is>
          <t>https://vivo.com.br/para-voce/produtos-e-servicos/para-o-celular/planos-pos-pago</t>
        </is>
      </c>
      <c r="V3735" s="5" t="inlineStr">
        <is>
          <t>data/raw/vivo_postpaid_SP.html</t>
        </is>
      </c>
    </row>
    <row r="3736">
      <c r="A3736" s="2" t="inlineStr">
        <is>
          <t>2026-08-27</t>
        </is>
      </c>
      <c r="B3736" s="2" t="inlineStr">
        <is>
          <t>2026-08-27T01:25:48</t>
        </is>
      </c>
      <c r="C3736" s="2" t="inlineStr">
        <is>
          <t>vivo</t>
        </is>
      </c>
      <c r="D3736" s="2" t="inlineStr">
        <is>
          <t>prepaid</t>
        </is>
      </c>
      <c r="E3736" s="2" t="inlineStr">
        <is>
          <t>SP</t>
        </is>
      </c>
      <c r="F3736" s="2" t="inlineStr">
        <is>
          <t>Vivo Pré</t>
        </is>
      </c>
      <c r="G3736" s="2" t="inlineStr">
        <is>
          <t>vivo:VIV202600029370-30d</t>
        </is>
      </c>
      <c r="H3736" s="3" t="n">
        <v>30</v>
      </c>
      <c r="I3736" s="3" t="inlineStr"/>
      <c r="J3736" s="2" t="inlineStr"/>
      <c r="K3736" s="2" t="inlineStr"/>
      <c r="L3736" s="4" t="n">
        <v>25</v>
      </c>
      <c r="M3736" s="2" t="inlineStr">
        <is>
          <t>15 GB para navegar como quiser 5 GB de bônus 5 GB para navegar no Youtube</t>
        </is>
      </c>
      <c r="N3736" s="2" t="n">
        <v>30</v>
      </c>
      <c r="O3736" s="2" t="inlineStr"/>
      <c r="P3736" s="2" t="inlineStr"/>
      <c r="Q3736" s="2" t="inlineStr"/>
      <c r="R3736" s="2" t="inlineStr"/>
      <c r="S3736" s="2" t="inlineStr"/>
      <c r="T3736" s="2" t="inlineStr"/>
      <c r="U3736" s="2" t="inlineStr">
        <is>
          <t>https://vivo.com.br/para-voce/produtos-e-servicos/para-o-celular/pre-pago/vivo-pre</t>
        </is>
      </c>
      <c r="V3736" s="2" t="inlineStr">
        <is>
          <t>data/raw/vivo_prepaid_SP.html</t>
        </is>
      </c>
    </row>
    <row r="3737">
      <c r="A3737" s="5" t="inlineStr">
        <is>
          <t>2026-08-27</t>
        </is>
      </c>
      <c r="B3737" s="5" t="inlineStr">
        <is>
          <t>2026-08-27T01:25:48</t>
        </is>
      </c>
      <c r="C3737" s="5" t="inlineStr">
        <is>
          <t>vivo</t>
        </is>
      </c>
      <c r="D3737" s="5" t="inlineStr">
        <is>
          <t>prepaid</t>
        </is>
      </c>
      <c r="E3737" s="5" t="inlineStr">
        <is>
          <t>SP</t>
        </is>
      </c>
      <c r="F3737" s="5" t="inlineStr">
        <is>
          <t>Vivo Pré</t>
        </is>
      </c>
      <c r="G3737" s="5" t="inlineStr">
        <is>
          <t>vivo:VIV202600029370-22d</t>
        </is>
      </c>
      <c r="H3737" s="6" t="n">
        <v>25</v>
      </c>
      <c r="I3737" s="6" t="inlineStr"/>
      <c r="J3737" s="5" t="inlineStr"/>
      <c r="K3737" s="5" t="inlineStr"/>
      <c r="L3737" s="7" t="n">
        <v>9</v>
      </c>
      <c r="M3737" s="5" t="inlineStr">
        <is>
          <t>6 GB para navegar como quiser 3 GB para navegar no YouTube</t>
        </is>
      </c>
      <c r="N3737" s="5" t="n">
        <v>22</v>
      </c>
      <c r="O3737" s="5" t="inlineStr"/>
      <c r="P3737" s="5" t="inlineStr"/>
      <c r="Q3737" s="5" t="inlineStr"/>
      <c r="R3737" s="5" t="inlineStr"/>
      <c r="S3737" s="5" t="inlineStr"/>
      <c r="T3737" s="5" t="inlineStr"/>
      <c r="U3737" s="5" t="inlineStr">
        <is>
          <t>https://vivo.com.br/para-voce/produtos-e-servicos/para-o-celular/pre-pago/vivo-pre</t>
        </is>
      </c>
      <c r="V3737" s="5" t="inlineStr">
        <is>
          <t>data/raw/vivo_prepaid_SP.html</t>
        </is>
      </c>
    </row>
    <row r="3738">
      <c r="A3738" s="2" t="inlineStr">
        <is>
          <t>2026-08-27</t>
        </is>
      </c>
      <c r="B3738" s="2" t="inlineStr">
        <is>
          <t>2026-08-27T01:25:48</t>
        </is>
      </c>
      <c r="C3738" s="2" t="inlineStr">
        <is>
          <t>vivo</t>
        </is>
      </c>
      <c r="D3738" s="2" t="inlineStr">
        <is>
          <t>prepaid</t>
        </is>
      </c>
      <c r="E3738" s="2" t="inlineStr">
        <is>
          <t>SP</t>
        </is>
      </c>
      <c r="F3738" s="2" t="inlineStr">
        <is>
          <t>Vivo Pré</t>
        </is>
      </c>
      <c r="G3738" s="2" t="inlineStr">
        <is>
          <t>vivo:VIV202600029370-17d</t>
        </is>
      </c>
      <c r="H3738" s="3" t="n">
        <v>20</v>
      </c>
      <c r="I3738" s="3" t="inlineStr"/>
      <c r="J3738" s="2" t="inlineStr"/>
      <c r="K3738" s="2" t="inlineStr"/>
      <c r="L3738" s="4" t="n">
        <v>5</v>
      </c>
      <c r="M3738" s="2" t="inlineStr">
        <is>
          <t>5 GB para navegar como quiser</t>
        </is>
      </c>
      <c r="N3738" s="2" t="n">
        <v>17</v>
      </c>
      <c r="O3738" s="2" t="inlineStr"/>
      <c r="P3738" s="2" t="inlineStr"/>
      <c r="Q3738" s="2" t="inlineStr"/>
      <c r="R3738" s="2" t="inlineStr"/>
      <c r="S3738" s="2" t="inlineStr"/>
      <c r="T3738" s="2" t="inlineStr"/>
      <c r="U3738" s="2" t="inlineStr">
        <is>
          <t>https://vivo.com.br/para-voce/produtos-e-servicos/para-o-celular/pre-pago/vivo-pre</t>
        </is>
      </c>
      <c r="V3738" s="2" t="inlineStr">
        <is>
          <t>data/raw/vivo_prepaid_SP.html</t>
        </is>
      </c>
    </row>
    <row r="3739">
      <c r="A3739" s="5" t="inlineStr">
        <is>
          <t>2026-08-27</t>
        </is>
      </c>
      <c r="B3739" s="5" t="inlineStr">
        <is>
          <t>2026-08-27T01:25:48</t>
        </is>
      </c>
      <c r="C3739" s="5" t="inlineStr">
        <is>
          <t>vivo</t>
        </is>
      </c>
      <c r="D3739" s="5" t="inlineStr">
        <is>
          <t>prepaid</t>
        </is>
      </c>
      <c r="E3739" s="5" t="inlineStr">
        <is>
          <t>SP</t>
        </is>
      </c>
      <c r="F3739" s="5" t="inlineStr">
        <is>
          <t>Vivo Pré</t>
        </is>
      </c>
      <c r="G3739" s="5" t="inlineStr">
        <is>
          <t>vivo:VIV202600029370-15d</t>
        </is>
      </c>
      <c r="H3739" s="6" t="n">
        <v>17</v>
      </c>
      <c r="I3739" s="6" t="inlineStr"/>
      <c r="J3739" s="5" t="inlineStr"/>
      <c r="K3739" s="5" t="inlineStr"/>
      <c r="L3739" s="7" t="n">
        <v>4</v>
      </c>
      <c r="M3739" s="5" t="inlineStr">
        <is>
          <t>4 GB para navegar como quiser</t>
        </is>
      </c>
      <c r="N3739" s="5" t="n">
        <v>15</v>
      </c>
      <c r="O3739" s="5" t="inlineStr"/>
      <c r="P3739" s="5" t="inlineStr"/>
      <c r="Q3739" s="5" t="inlineStr"/>
      <c r="R3739" s="5" t="inlineStr"/>
      <c r="S3739" s="5" t="inlineStr"/>
      <c r="T3739" s="5" t="inlineStr"/>
      <c r="U3739" s="5" t="inlineStr">
        <is>
          <t>https://vivo.com.br/para-voce/produtos-e-servicos/para-o-celular/pre-pago/vivo-pre</t>
        </is>
      </c>
      <c r="V3739" s="5" t="inlineStr">
        <is>
          <t>data/raw/vivo_prepaid_SP.html</t>
        </is>
      </c>
    </row>
    <row r="3740">
      <c r="A3740" s="2" t="inlineStr">
        <is>
          <t>2026-08-28</t>
        </is>
      </c>
      <c r="B3740" s="2" t="inlineStr">
        <is>
          <t>2026-08-28T02:04:32</t>
        </is>
      </c>
      <c r="C3740" s="2" t="inlineStr">
        <is>
          <t>claro</t>
        </is>
      </c>
      <c r="D3740" s="2" t="inlineStr">
        <is>
          <t>control</t>
        </is>
      </c>
      <c r="E3740" s="2" t="inlineStr">
        <is>
          <t>SP</t>
        </is>
      </c>
      <c r="F3740" s="2" t="inlineStr">
        <is>
          <t>Controle 25GB</t>
        </is>
      </c>
      <c r="G3740" s="2" t="inlineStr">
        <is>
          <t>claro:plano-controle-25gb</t>
        </is>
      </c>
      <c r="H3740" s="3" t="n">
        <v>59.9</v>
      </c>
      <c r="I3740" s="3" t="n">
        <v>54.9</v>
      </c>
      <c r="J3740" s="2" t="inlineStr">
        <is>
          <t>De R$ 59,90 Por:</t>
        </is>
      </c>
      <c r="K3740" s="2" t="inlineStr"/>
      <c r="L3740" s="4" t="n">
        <v>25</v>
      </c>
      <c r="M3740" s="2" t="inlineStr"/>
      <c r="N3740" s="2" t="inlineStr"/>
      <c r="O3740" s="2" t="inlineStr">
        <is>
          <t>WhatsApp</t>
        </is>
      </c>
      <c r="P3740" s="2" t="inlineStr"/>
      <c r="Q3740" s="2" t="inlineStr"/>
      <c r="R3740" s="2" t="inlineStr"/>
      <c r="S3740" s="2" t="inlineStr"/>
      <c r="T3740" s="2" t="inlineStr">
        <is>
          <t>Para uso livre; Para redes sociais e vídeos; Bônus exclusivo; Aproveite na sua franquia; WhatsApp e ligações ilimitadas</t>
        </is>
      </c>
      <c r="U3740" s="2" t="inlineStr">
        <is>
          <t>https://www.claro.com.br/celular/controle</t>
        </is>
      </c>
      <c r="V3740" s="2" t="inlineStr">
        <is>
          <t>data/raw/claro_control_SP.json</t>
        </is>
      </c>
    </row>
    <row r="3741">
      <c r="A3741" s="5" t="inlineStr">
        <is>
          <t>2026-08-28</t>
        </is>
      </c>
      <c r="B3741" s="5" t="inlineStr">
        <is>
          <t>2026-08-28T02:04:32</t>
        </is>
      </c>
      <c r="C3741" s="5" t="inlineStr">
        <is>
          <t>claro</t>
        </is>
      </c>
      <c r="D3741" s="5" t="inlineStr">
        <is>
          <t>control</t>
        </is>
      </c>
      <c r="E3741" s="5" t="inlineStr">
        <is>
          <t>SP</t>
        </is>
      </c>
      <c r="F3741" s="5" t="inlineStr">
        <is>
          <t>Controle 30GB</t>
        </is>
      </c>
      <c r="G3741" s="5" t="inlineStr">
        <is>
          <t>claro:plano-controle-30gb</t>
        </is>
      </c>
      <c r="H3741" s="6" t="n">
        <v>69.90000000000001</v>
      </c>
      <c r="I3741" s="6" t="inlineStr"/>
      <c r="J3741" s="5" t="inlineStr"/>
      <c r="K3741" s="5" t="inlineStr"/>
      <c r="L3741" s="7" t="n">
        <v>30</v>
      </c>
      <c r="M3741" s="5" t="inlineStr"/>
      <c r="N3741" s="5" t="inlineStr"/>
      <c r="O3741" s="5" t="inlineStr">
        <is>
          <t>WhatsApp</t>
        </is>
      </c>
      <c r="P3741" s="5" t="inlineStr"/>
      <c r="Q3741" s="5" t="inlineStr"/>
      <c r="R3741" s="5" t="inlineStr"/>
      <c r="S3741" s="5" t="inlineStr"/>
      <c r="T3741" s="5" t="inlineStr">
        <is>
          <t>Para uso livre; Bônus para uso livre; Bônus para redes sociais e apps; Assinatura Amazon Prime por 3 meses; Redes sociais e apps; WhatsApp ilimitado</t>
        </is>
      </c>
      <c r="U3741" s="5" t="inlineStr">
        <is>
          <t>https://www.claro.com.br/celular/controle</t>
        </is>
      </c>
      <c r="V3741" s="5" t="inlineStr">
        <is>
          <t>data/raw/claro_control_SP.json</t>
        </is>
      </c>
    </row>
    <row r="3742">
      <c r="A3742" s="2" t="inlineStr">
        <is>
          <t>2026-08-28</t>
        </is>
      </c>
      <c r="B3742" s="2" t="inlineStr">
        <is>
          <t>2026-08-28T02:04:32</t>
        </is>
      </c>
      <c r="C3742" s="2" t="inlineStr">
        <is>
          <t>claro</t>
        </is>
      </c>
      <c r="D3742" s="2" t="inlineStr">
        <is>
          <t>control</t>
        </is>
      </c>
      <c r="E3742" s="2" t="inlineStr">
        <is>
          <t>SP</t>
        </is>
      </c>
      <c r="F3742" s="2" t="inlineStr">
        <is>
          <t>Controle 30GB</t>
        </is>
      </c>
      <c r="G3742" s="2" t="inlineStr">
        <is>
          <t>claro:plano-controle-30gb-gaming</t>
        </is>
      </c>
      <c r="H3742" s="3" t="n">
        <v>99.90000000000001</v>
      </c>
      <c r="I3742" s="3" t="inlineStr"/>
      <c r="J3742" s="2" t="inlineStr"/>
      <c r="K3742" s="2" t="inlineStr"/>
      <c r="L3742" s="4" t="n">
        <v>30</v>
      </c>
      <c r="M3742" s="2" t="inlineStr"/>
      <c r="N3742" s="2" t="inlineStr"/>
      <c r="O3742" s="2" t="inlineStr">
        <is>
          <t>WhatsApp</t>
        </is>
      </c>
      <c r="P3742" s="2" t="inlineStr"/>
      <c r="Q3742" s="2" t="inlineStr"/>
      <c r="R3742" s="2" t="inlineStr"/>
      <c r="S3742" s="2" t="inlineStr"/>
      <c r="T3742" s="2" t="inlineStr">
        <is>
          <t>Para uso livre; Bônus para redes sociais e apps; Bônus uso livre; Assinatura Amazon Prime por 3 meses; Redes sociais e apps; WhatsApp ilimitado</t>
        </is>
      </c>
      <c r="U3742" s="2" t="inlineStr">
        <is>
          <t>https://www.claro.com.br/celular/controle</t>
        </is>
      </c>
      <c r="V3742" s="2" t="inlineStr">
        <is>
          <t>data/raw/claro_control_SP.json</t>
        </is>
      </c>
    </row>
    <row r="3743">
      <c r="A3743" s="5" t="inlineStr">
        <is>
          <t>2026-08-28</t>
        </is>
      </c>
      <c r="B3743" s="5" t="inlineStr">
        <is>
          <t>2026-08-28T02:04:32</t>
        </is>
      </c>
      <c r="C3743" s="5" t="inlineStr">
        <is>
          <t>claro</t>
        </is>
      </c>
      <c r="D3743" s="5" t="inlineStr">
        <is>
          <t>flex</t>
        </is>
      </c>
      <c r="E3743" s="5" t="inlineStr">
        <is>
          <t>SP</t>
        </is>
      </c>
      <c r="F3743" s="5" t="inlineStr">
        <is>
          <t>Flex 15GB</t>
        </is>
      </c>
      <c r="G3743" s="5" t="inlineStr">
        <is>
          <t>claro:plano-flex-15gb</t>
        </is>
      </c>
      <c r="H3743" s="6" t="n">
        <v>44.9</v>
      </c>
      <c r="I3743" s="6" t="inlineStr"/>
      <c r="J3743" s="5" t="inlineStr"/>
      <c r="K3743" s="5" t="inlineStr"/>
      <c r="L3743" s="7" t="n">
        <v>15</v>
      </c>
      <c r="M3743" s="5" t="inlineStr"/>
      <c r="N3743" s="5" t="inlineStr"/>
      <c r="O3743" s="5" t="inlineStr">
        <is>
          <t>WhatsApp</t>
        </is>
      </c>
      <c r="P3743" s="5" t="inlineStr"/>
      <c r="Q3743" s="5" t="inlineStr"/>
      <c r="R3743" s="5" t="inlineStr"/>
      <c r="S3743" s="5" t="inlineStr"/>
      <c r="T3743" s="5" t="inlineStr">
        <is>
          <t>Para uso livre; Bônus Pais para uso livre; Para redes sociais e apps; Bônus extra nos apps; WhatsApp ilimitado</t>
        </is>
      </c>
      <c r="U3743" s="5" t="inlineStr">
        <is>
          <t>https://www.claro.com.br/celular/flex</t>
        </is>
      </c>
      <c r="V3743" s="5" t="inlineStr">
        <is>
          <t>data/raw/claro_flex_SP.json</t>
        </is>
      </c>
    </row>
    <row r="3744">
      <c r="A3744" s="2" t="inlineStr">
        <is>
          <t>2026-08-28</t>
        </is>
      </c>
      <c r="B3744" s="2" t="inlineStr">
        <is>
          <t>2026-08-28T02:04:32</t>
        </is>
      </c>
      <c r="C3744" s="2" t="inlineStr">
        <is>
          <t>claro</t>
        </is>
      </c>
      <c r="D3744" s="2" t="inlineStr">
        <is>
          <t>flex</t>
        </is>
      </c>
      <c r="E3744" s="2" t="inlineStr">
        <is>
          <t>SP</t>
        </is>
      </c>
      <c r="F3744" s="2" t="inlineStr">
        <is>
          <t>Flex 20GB</t>
        </is>
      </c>
      <c r="G3744" s="2" t="inlineStr">
        <is>
          <t>claro:plano-flex-20gb</t>
        </is>
      </c>
      <c r="H3744" s="3" t="n">
        <v>59.9</v>
      </c>
      <c r="I3744" s="3" t="inlineStr"/>
      <c r="J3744" s="2" t="inlineStr"/>
      <c r="K3744" s="2" t="inlineStr"/>
      <c r="L3744" s="4" t="n">
        <v>20</v>
      </c>
      <c r="M3744" s="2" t="inlineStr"/>
      <c r="N3744" s="2" t="inlineStr"/>
      <c r="O3744" s="2" t="inlineStr">
        <is>
          <t>WhatsApp</t>
        </is>
      </c>
      <c r="P3744" s="2" t="inlineStr"/>
      <c r="Q3744" s="2" t="inlineStr"/>
      <c r="R3744" s="2" t="inlineStr"/>
      <c r="S3744" s="2" t="inlineStr"/>
      <c r="T3744" s="2" t="inlineStr">
        <is>
          <t>Para uso livre; Bônus Pais para uso livre; Para redes sociais e apps; Bônus extra nos apps; WhatsApp ilimitado</t>
        </is>
      </c>
      <c r="U3744" s="2" t="inlineStr">
        <is>
          <t>https://www.claro.com.br/celular/flex</t>
        </is>
      </c>
      <c r="V3744" s="2" t="inlineStr">
        <is>
          <t>data/raw/claro_flex_SP.json</t>
        </is>
      </c>
    </row>
    <row r="3745">
      <c r="A3745" s="5" t="inlineStr">
        <is>
          <t>2026-08-28</t>
        </is>
      </c>
      <c r="B3745" s="5" t="inlineStr">
        <is>
          <t>2026-08-28T02:04:32</t>
        </is>
      </c>
      <c r="C3745" s="5" t="inlineStr">
        <is>
          <t>claro</t>
        </is>
      </c>
      <c r="D3745" s="5" t="inlineStr">
        <is>
          <t>flex</t>
        </is>
      </c>
      <c r="E3745" s="5" t="inlineStr">
        <is>
          <t>SP</t>
        </is>
      </c>
      <c r="F3745" s="5" t="inlineStr">
        <is>
          <t>Flex 30GB</t>
        </is>
      </c>
      <c r="G3745" s="5" t="inlineStr">
        <is>
          <t>claro:plano-flex-30gb</t>
        </is>
      </c>
      <c r="H3745" s="6" t="n">
        <v>69.90000000000001</v>
      </c>
      <c r="I3745" s="6" t="inlineStr"/>
      <c r="J3745" s="5" t="inlineStr"/>
      <c r="K3745" s="5" t="inlineStr"/>
      <c r="L3745" s="7" t="n">
        <v>30</v>
      </c>
      <c r="M3745" s="5" t="inlineStr"/>
      <c r="N3745" s="5" t="inlineStr"/>
      <c r="O3745" s="5" t="inlineStr">
        <is>
          <t>WhatsApp</t>
        </is>
      </c>
      <c r="P3745" s="5" t="inlineStr"/>
      <c r="Q3745" s="5" t="inlineStr"/>
      <c r="R3745" s="5" t="inlineStr"/>
      <c r="S3745" s="5" t="inlineStr"/>
      <c r="T3745" s="5" t="inlineStr">
        <is>
          <t>Para uso livre; Bônus Pais para uso livre; Para redes sociais e apps; Bônus extra nos apps; WhatsApp ilimitado; Assinatura Claro musica inclusa</t>
        </is>
      </c>
      <c r="U3745" s="5" t="inlineStr">
        <is>
          <t>https://www.claro.com.br/celular/flex</t>
        </is>
      </c>
      <c r="V3745" s="5" t="inlineStr">
        <is>
          <t>data/raw/claro_flex_SP.json</t>
        </is>
      </c>
    </row>
    <row r="3746">
      <c r="A3746" s="2" t="inlineStr">
        <is>
          <t>2026-08-28</t>
        </is>
      </c>
      <c r="B3746" s="2" t="inlineStr">
        <is>
          <t>2026-08-28T02:04:32</t>
        </is>
      </c>
      <c r="C3746" s="2" t="inlineStr">
        <is>
          <t>claro</t>
        </is>
      </c>
      <c r="D3746" s="2" t="inlineStr">
        <is>
          <t>flex</t>
        </is>
      </c>
      <c r="E3746" s="2" t="inlineStr">
        <is>
          <t>SP</t>
        </is>
      </c>
      <c r="F3746" s="2" t="inlineStr">
        <is>
          <t>Flex 40GB</t>
        </is>
      </c>
      <c r="G3746" s="2" t="inlineStr">
        <is>
          <t>claro:plano-flex-40gb</t>
        </is>
      </c>
      <c r="H3746" s="3" t="n">
        <v>119.9</v>
      </c>
      <c r="I3746" s="3" t="inlineStr"/>
      <c r="J3746" s="2" t="inlineStr"/>
      <c r="K3746" s="2" t="inlineStr"/>
      <c r="L3746" s="4" t="n">
        <v>40</v>
      </c>
      <c r="M3746" s="2" t="inlineStr"/>
      <c r="N3746" s="2" t="inlineStr"/>
      <c r="O3746" s="2" t="inlineStr">
        <is>
          <t>WhatsApp</t>
        </is>
      </c>
      <c r="P3746" s="2" t="inlineStr"/>
      <c r="Q3746" s="2" t="inlineStr"/>
      <c r="R3746" s="2" t="inlineStr"/>
      <c r="S3746" s="2" t="inlineStr"/>
      <c r="T3746" s="2" t="inlineStr">
        <is>
          <t>Para uso livre; Para redes sociais e apps; Bônus extra nos apps; WhatsApp ilimitado; Assinatura Claro musica inclusa</t>
        </is>
      </c>
      <c r="U3746" s="2" t="inlineStr">
        <is>
          <t>https://www.claro.com.br/celular/flex</t>
        </is>
      </c>
      <c r="V3746" s="2" t="inlineStr">
        <is>
          <t>data/raw/claro_flex_SP.json</t>
        </is>
      </c>
    </row>
    <row r="3747">
      <c r="A3747" s="5" t="inlineStr">
        <is>
          <t>2026-08-28</t>
        </is>
      </c>
      <c r="B3747" s="5" t="inlineStr">
        <is>
          <t>2026-08-28T02:04:32</t>
        </is>
      </c>
      <c r="C3747" s="5" t="inlineStr">
        <is>
          <t>claro</t>
        </is>
      </c>
      <c r="D3747" s="5" t="inlineStr">
        <is>
          <t>postpaid</t>
        </is>
      </c>
      <c r="E3747" s="5" t="inlineStr">
        <is>
          <t>SP</t>
        </is>
      </c>
      <c r="F3747" s="5" t="inlineStr">
        <is>
          <t>Pós 100GB</t>
        </is>
      </c>
      <c r="G3747" s="5" t="inlineStr">
        <is>
          <t>claro:plano-pos-100gb</t>
        </is>
      </c>
      <c r="H3747" s="6" t="n">
        <v>179.9</v>
      </c>
      <c r="I3747" s="6" t="inlineStr"/>
      <c r="J3747" s="5" t="inlineStr"/>
      <c r="K3747" s="5" t="inlineStr"/>
      <c r="L3747" s="7" t="n">
        <v>100</v>
      </c>
      <c r="M3747" s="5" t="inlineStr"/>
      <c r="N3747" s="5" t="inlineStr"/>
      <c r="O3747" s="5" t="inlineStr">
        <is>
          <t>WhatsApp</t>
        </is>
      </c>
      <c r="P3747" s="5" t="inlineStr"/>
      <c r="Q3747" s="5" t="inlineStr"/>
      <c r="R3747" s="5" t="inlineStr"/>
      <c r="S3747" s="5" t="inlineStr"/>
      <c r="T3747" s="5" t="inlineStr">
        <is>
          <t>Armazenamento na nuvem:; Google One ou iCloud+; WhatsApp ilimitado; Assinatura Amazon Prime por 3 meses; Roaming: Passaporte Américas; Claro Sync: Smartwatch conectado</t>
        </is>
      </c>
      <c r="U3747" s="5" t="inlineStr">
        <is>
          <t>https://www.claro.com.br/celular/pos</t>
        </is>
      </c>
      <c r="V3747" s="5" t="inlineStr">
        <is>
          <t>data/raw/claro_postpaid_SP.json</t>
        </is>
      </c>
    </row>
    <row r="3748">
      <c r="A3748" s="2" t="inlineStr">
        <is>
          <t>2026-08-28</t>
        </is>
      </c>
      <c r="B3748" s="2" t="inlineStr">
        <is>
          <t>2026-08-28T02:04:32</t>
        </is>
      </c>
      <c r="C3748" s="2" t="inlineStr">
        <is>
          <t>claro</t>
        </is>
      </c>
      <c r="D3748" s="2" t="inlineStr">
        <is>
          <t>postpaid</t>
        </is>
      </c>
      <c r="E3748" s="2" t="inlineStr">
        <is>
          <t>SP</t>
        </is>
      </c>
      <c r="F3748" s="2" t="inlineStr">
        <is>
          <t>Pós 150GB</t>
        </is>
      </c>
      <c r="G3748" s="2" t="inlineStr">
        <is>
          <t>claro:plano-pos-150gb</t>
        </is>
      </c>
      <c r="H3748" s="3" t="n">
        <v>239.9</v>
      </c>
      <c r="I3748" s="3" t="inlineStr"/>
      <c r="J3748" s="2" t="inlineStr"/>
      <c r="K3748" s="2" t="inlineStr"/>
      <c r="L3748" s="4" t="n">
        <v>150</v>
      </c>
      <c r="M3748" s="2" t="inlineStr"/>
      <c r="N3748" s="2" t="inlineStr"/>
      <c r="O3748" s="2" t="inlineStr">
        <is>
          <t>WhatsApp</t>
        </is>
      </c>
      <c r="P3748" s="2" t="inlineStr"/>
      <c r="Q3748" s="2" t="inlineStr"/>
      <c r="R3748" s="2" t="inlineStr"/>
      <c r="S3748" s="2" t="inlineStr"/>
      <c r="T374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748" s="2" t="inlineStr">
        <is>
          <t>https://www.claro.com.br/celular/pos</t>
        </is>
      </c>
      <c r="V3748" s="2" t="inlineStr">
        <is>
          <t>data/raw/claro_postpaid_SP.json</t>
        </is>
      </c>
    </row>
    <row r="3749">
      <c r="A3749" s="5" t="inlineStr">
        <is>
          <t>2026-08-28</t>
        </is>
      </c>
      <c r="B3749" s="5" t="inlineStr">
        <is>
          <t>2026-08-28T02:04:32</t>
        </is>
      </c>
      <c r="C3749" s="5" t="inlineStr">
        <is>
          <t>claro</t>
        </is>
      </c>
      <c r="D3749" s="5" t="inlineStr">
        <is>
          <t>postpaid</t>
        </is>
      </c>
      <c r="E3749" s="5" t="inlineStr">
        <is>
          <t>SP</t>
        </is>
      </c>
      <c r="F3749" s="5" t="inlineStr">
        <is>
          <t>Pós 200GB</t>
        </is>
      </c>
      <c r="G3749" s="5" t="inlineStr">
        <is>
          <t>claro:plano-pos-200gb</t>
        </is>
      </c>
      <c r="H3749" s="6" t="n">
        <v>339.9</v>
      </c>
      <c r="I3749" s="6" t="inlineStr"/>
      <c r="J3749" s="5" t="inlineStr"/>
      <c r="K3749" s="5" t="inlineStr"/>
      <c r="L3749" s="7" t="n">
        <v>200</v>
      </c>
      <c r="M3749" s="5" t="inlineStr"/>
      <c r="N3749" s="5" t="inlineStr"/>
      <c r="O3749" s="5" t="inlineStr">
        <is>
          <t>WhatsApp</t>
        </is>
      </c>
      <c r="P3749" s="5" t="inlineStr"/>
      <c r="Q3749" s="5" t="inlineStr"/>
      <c r="R3749" s="5" t="inlineStr"/>
      <c r="S3749" s="5" t="inlineStr"/>
      <c r="T3749" s="5" t="inlineStr">
        <is>
          <t>Armazenamento na nuvem:; Google One (AI Plus) ou iCloud+; WhatsApp ilimitado; Assinatura Amazon Prime por 3 meses; Roaming: Passaporte Mundo; Claro Sync: Smartwatch conectado</t>
        </is>
      </c>
      <c r="U3749" s="5" t="inlineStr">
        <is>
          <t>https://www.claro.com.br/celular/pos</t>
        </is>
      </c>
      <c r="V3749" s="5" t="inlineStr">
        <is>
          <t>data/raw/claro_postpaid_SP.json</t>
        </is>
      </c>
    </row>
    <row r="3750">
      <c r="A3750" s="2" t="inlineStr">
        <is>
          <t>2026-08-28</t>
        </is>
      </c>
      <c r="B3750" s="2" t="inlineStr">
        <is>
          <t>2026-08-28T02:04:32</t>
        </is>
      </c>
      <c r="C3750" s="2" t="inlineStr">
        <is>
          <t>claro</t>
        </is>
      </c>
      <c r="D3750" s="2" t="inlineStr">
        <is>
          <t>postpaid</t>
        </is>
      </c>
      <c r="E3750" s="2" t="inlineStr">
        <is>
          <t>SP</t>
        </is>
      </c>
      <c r="F3750" s="2" t="inlineStr">
        <is>
          <t>Pós 50GB com GeForce NOW</t>
        </is>
      </c>
      <c r="G3750" s="2" t="inlineStr">
        <is>
          <t>claro:plano-pos-60gb-geforce</t>
        </is>
      </c>
      <c r="H3750" s="3" t="n">
        <v>164.9</v>
      </c>
      <c r="I3750" s="3" t="inlineStr"/>
      <c r="J3750" s="2" t="inlineStr"/>
      <c r="K3750" s="2" t="inlineStr"/>
      <c r="L3750" s="4" t="n">
        <v>50</v>
      </c>
      <c r="M3750" s="2" t="inlineStr"/>
      <c r="N3750" s="2" t="inlineStr"/>
      <c r="O3750" s="2" t="inlineStr">
        <is>
          <t>WhatsApp</t>
        </is>
      </c>
      <c r="P3750" s="2" t="inlineStr"/>
      <c r="Q3750" s="2" t="inlineStr"/>
      <c r="R3750" s="2" t="inlineStr"/>
      <c r="S3750" s="2" t="inlineStr"/>
      <c r="T375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750" s="2" t="inlineStr">
        <is>
          <t>https://www.claro.com.br/celular/pos</t>
        </is>
      </c>
      <c r="V3750" s="2" t="inlineStr">
        <is>
          <t>data/raw/claro_postpaid_SP.json</t>
        </is>
      </c>
    </row>
    <row r="3751">
      <c r="A3751" s="5" t="inlineStr">
        <is>
          <t>2026-08-28</t>
        </is>
      </c>
      <c r="B3751" s="5" t="inlineStr">
        <is>
          <t>2026-08-28T02:04:32</t>
        </is>
      </c>
      <c r="C3751" s="5" t="inlineStr">
        <is>
          <t>claro</t>
        </is>
      </c>
      <c r="D3751" s="5" t="inlineStr">
        <is>
          <t>postpaid</t>
        </is>
      </c>
      <c r="E3751" s="5" t="inlineStr">
        <is>
          <t>SP</t>
        </is>
      </c>
      <c r="F3751" s="5" t="inlineStr">
        <is>
          <t>Pós 60GB</t>
        </is>
      </c>
      <c r="G3751" s="5" t="inlineStr">
        <is>
          <t>claro:plano-pos-60gb</t>
        </is>
      </c>
      <c r="H3751" s="6" t="n">
        <v>124.9</v>
      </c>
      <c r="I3751" s="6" t="inlineStr"/>
      <c r="J3751" s="5" t="inlineStr"/>
      <c r="K3751" s="5" t="inlineStr"/>
      <c r="L3751" s="7" t="n">
        <v>60</v>
      </c>
      <c r="M3751" s="5" t="inlineStr"/>
      <c r="N3751" s="5" t="inlineStr"/>
      <c r="O3751" s="5" t="inlineStr">
        <is>
          <t>WhatsApp</t>
        </is>
      </c>
      <c r="P3751" s="5" t="inlineStr"/>
      <c r="Q3751" s="5" t="inlineStr"/>
      <c r="R3751" s="5" t="inlineStr"/>
      <c r="S3751" s="5" t="inlineStr"/>
      <c r="T3751" s="5" t="inlineStr">
        <is>
          <t>Armazenamento na nuvem:; Google One ou iCloud+; WhatsApp ilimitado; Assinatura Amazon Prime por 3 meses; Roaming: Passaporte Américas; Claro Sync: Smartwatch conectado</t>
        </is>
      </c>
      <c r="U3751" s="5" t="inlineStr">
        <is>
          <t>https://www.claro.com.br/celular/pos</t>
        </is>
      </c>
      <c r="V3751" s="5" t="inlineStr">
        <is>
          <t>data/raw/claro_postpaid_SP.json</t>
        </is>
      </c>
    </row>
    <row r="3752">
      <c r="A3752" s="2" t="inlineStr">
        <is>
          <t>2026-08-28</t>
        </is>
      </c>
      <c r="B3752" s="2" t="inlineStr">
        <is>
          <t>2026-08-28T02:04:32</t>
        </is>
      </c>
      <c r="C3752" s="2" t="inlineStr">
        <is>
          <t>claro</t>
        </is>
      </c>
      <c r="D3752" s="2" t="inlineStr">
        <is>
          <t>prepaid</t>
        </is>
      </c>
      <c r="E3752" s="2" t="inlineStr">
        <is>
          <t>SP</t>
        </is>
      </c>
      <c r="F3752" s="2" t="inlineStr">
        <is>
          <t>Prezão 10GB (25 dias)</t>
        </is>
      </c>
      <c r="G3752" s="2" t="inlineStr">
        <is>
          <t>claro:prezao-25d-10gb</t>
        </is>
      </c>
      <c r="H3752" s="3" t="n">
        <v>25</v>
      </c>
      <c r="I3752" s="3" t="inlineStr"/>
      <c r="J3752" s="2" t="inlineStr">
        <is>
          <t>recarga Prezão R$25 — validade 25 dias</t>
        </is>
      </c>
      <c r="K3752" s="2" t="inlineStr"/>
      <c r="L3752" s="4" t="n">
        <v>10</v>
      </c>
      <c r="M3752" s="2" t="inlineStr"/>
      <c r="N3752" s="2" t="n">
        <v>25</v>
      </c>
      <c r="O3752" s="2" t="inlineStr"/>
      <c r="P3752" s="2" t="inlineStr"/>
      <c r="Q3752" s="2" t="inlineStr"/>
      <c r="R3752" s="2" t="inlineStr"/>
      <c r="S3752" s="2" t="inlineStr"/>
      <c r="T3752" s="2" t="inlineStr"/>
      <c r="U3752" s="2" t="inlineStr">
        <is>
          <t>https://www.claro.com.br/celular/planos-pre/prezao</t>
        </is>
      </c>
      <c r="V3752" s="2" t="inlineStr">
        <is>
          <t>data/raw/claro_prepaid_SP.json</t>
        </is>
      </c>
    </row>
    <row r="3753">
      <c r="A3753" s="5" t="inlineStr">
        <is>
          <t>2026-08-28</t>
        </is>
      </c>
      <c r="B3753" s="5" t="inlineStr">
        <is>
          <t>2026-08-28T02:04:32</t>
        </is>
      </c>
      <c r="C3753" s="5" t="inlineStr">
        <is>
          <t>claro</t>
        </is>
      </c>
      <c r="D3753" s="5" t="inlineStr">
        <is>
          <t>prepaid</t>
        </is>
      </c>
      <c r="E3753" s="5" t="inlineStr">
        <is>
          <t>SP</t>
        </is>
      </c>
      <c r="F3753" s="5" t="inlineStr">
        <is>
          <t>Prezão 12GB (30 dias)</t>
        </is>
      </c>
      <c r="G3753" s="5" t="inlineStr">
        <is>
          <t>claro:prezao-30d-12gb</t>
        </is>
      </c>
      <c r="H3753" s="6" t="n">
        <v>30</v>
      </c>
      <c r="I3753" s="6" t="inlineStr"/>
      <c r="J3753" s="5" t="inlineStr">
        <is>
          <t>recarga Prezão R$30 — validade 30 dias</t>
        </is>
      </c>
      <c r="K3753" s="5" t="inlineStr"/>
      <c r="L3753" s="7" t="n">
        <v>12</v>
      </c>
      <c r="M3753" s="5" t="inlineStr"/>
      <c r="N3753" s="5" t="n">
        <v>30</v>
      </c>
      <c r="O3753" s="5" t="inlineStr"/>
      <c r="P3753" s="5" t="inlineStr"/>
      <c r="Q3753" s="5" t="inlineStr"/>
      <c r="R3753" s="5" t="inlineStr"/>
      <c r="S3753" s="5" t="inlineStr"/>
      <c r="T3753" s="5" t="inlineStr"/>
      <c r="U3753" s="5" t="inlineStr">
        <is>
          <t>https://www.claro.com.br/celular/planos-pre/prezao</t>
        </is>
      </c>
      <c r="V3753" s="5" t="inlineStr">
        <is>
          <t>data/raw/claro_prepaid_SP.json</t>
        </is>
      </c>
    </row>
    <row r="3754">
      <c r="A3754" s="2" t="inlineStr">
        <is>
          <t>2026-08-28</t>
        </is>
      </c>
      <c r="B3754" s="2" t="inlineStr">
        <is>
          <t>2026-08-28T02:04:32</t>
        </is>
      </c>
      <c r="C3754" s="2" t="inlineStr">
        <is>
          <t>claro</t>
        </is>
      </c>
      <c r="D3754" s="2" t="inlineStr">
        <is>
          <t>prepaid</t>
        </is>
      </c>
      <c r="E3754" s="2" t="inlineStr">
        <is>
          <t>SP</t>
        </is>
      </c>
      <c r="F3754" s="2" t="inlineStr">
        <is>
          <t>Prezão 4GB (12 dias)</t>
        </is>
      </c>
      <c r="G3754" s="2" t="inlineStr">
        <is>
          <t>claro:prezao-12d-4gb</t>
        </is>
      </c>
      <c r="H3754" s="3" t="n">
        <v>15</v>
      </c>
      <c r="I3754" s="3" t="inlineStr"/>
      <c r="J3754" s="2" t="inlineStr">
        <is>
          <t>recarga Prezão R$15 — validade 12 dias</t>
        </is>
      </c>
      <c r="K3754" s="2" t="inlineStr"/>
      <c r="L3754" s="4" t="n">
        <v>4</v>
      </c>
      <c r="M3754" s="2" t="inlineStr"/>
      <c r="N3754" s="2" t="n">
        <v>12</v>
      </c>
      <c r="O3754" s="2" t="inlineStr"/>
      <c r="P3754" s="2" t="inlineStr"/>
      <c r="Q3754" s="2" t="inlineStr"/>
      <c r="R3754" s="2" t="inlineStr"/>
      <c r="S3754" s="2" t="inlineStr"/>
      <c r="T3754" s="2" t="inlineStr"/>
      <c r="U3754" s="2" t="inlineStr">
        <is>
          <t>https://www.claro.com.br/celular/planos-pre/prezao</t>
        </is>
      </c>
      <c r="V3754" s="2" t="inlineStr">
        <is>
          <t>data/raw/claro_prepaid_SP.json</t>
        </is>
      </c>
    </row>
    <row r="3755">
      <c r="A3755" s="5" t="inlineStr">
        <is>
          <t>2026-08-28</t>
        </is>
      </c>
      <c r="B3755" s="5" t="inlineStr">
        <is>
          <t>2026-08-28T02:04:32</t>
        </is>
      </c>
      <c r="C3755" s="5" t="inlineStr">
        <is>
          <t>claro</t>
        </is>
      </c>
      <c r="D3755" s="5" t="inlineStr">
        <is>
          <t>prepaid</t>
        </is>
      </c>
      <c r="E3755" s="5" t="inlineStr">
        <is>
          <t>SP</t>
        </is>
      </c>
      <c r="F3755" s="5" t="inlineStr">
        <is>
          <t>Prezão 5GB (15 dias)</t>
        </is>
      </c>
      <c r="G3755" s="5" t="inlineStr">
        <is>
          <t>claro:prezao-15d-5gb</t>
        </is>
      </c>
      <c r="H3755" s="6" t="n">
        <v>15</v>
      </c>
      <c r="I3755" s="6" t="inlineStr"/>
      <c r="J3755" s="5" t="inlineStr">
        <is>
          <t>recarga Prezão R$15 — validade 15 dias</t>
        </is>
      </c>
      <c r="K3755" s="5" t="inlineStr"/>
      <c r="L3755" s="7" t="n">
        <v>5</v>
      </c>
      <c r="M3755" s="5" t="inlineStr"/>
      <c r="N3755" s="5" t="n">
        <v>15</v>
      </c>
      <c r="O3755" s="5" t="inlineStr"/>
      <c r="P3755" s="5" t="inlineStr"/>
      <c r="Q3755" s="5" t="inlineStr"/>
      <c r="R3755" s="5" t="inlineStr"/>
      <c r="S3755" s="5" t="inlineStr"/>
      <c r="T3755" s="5" t="inlineStr"/>
      <c r="U3755" s="5" t="inlineStr">
        <is>
          <t>https://www.claro.com.br/celular/planos-pre/prezao</t>
        </is>
      </c>
      <c r="V3755" s="5" t="inlineStr">
        <is>
          <t>data/raw/claro_prepaid_SP.json</t>
        </is>
      </c>
    </row>
    <row r="3756">
      <c r="A3756" s="2" t="inlineStr">
        <is>
          <t>2026-08-28</t>
        </is>
      </c>
      <c r="B3756" s="2" t="inlineStr">
        <is>
          <t>2026-08-28T02:04:32</t>
        </is>
      </c>
      <c r="C3756" s="2" t="inlineStr">
        <is>
          <t>claro</t>
        </is>
      </c>
      <c r="D3756" s="2" t="inlineStr">
        <is>
          <t>prepaid</t>
        </is>
      </c>
      <c r="E3756" s="2" t="inlineStr">
        <is>
          <t>SP</t>
        </is>
      </c>
      <c r="F3756" s="2" t="inlineStr">
        <is>
          <t>Prezão 6GB (20 dias)</t>
        </is>
      </c>
      <c r="G3756" s="2" t="inlineStr">
        <is>
          <t>claro:prezao-20d-6gb</t>
        </is>
      </c>
      <c r="H3756" s="3" t="n">
        <v>20</v>
      </c>
      <c r="I3756" s="3" t="inlineStr"/>
      <c r="J3756" s="2" t="inlineStr">
        <is>
          <t>recarga Prezão R$20 — validade 20 dias</t>
        </is>
      </c>
      <c r="K3756" s="2" t="inlineStr"/>
      <c r="L3756" s="4" t="n">
        <v>6</v>
      </c>
      <c r="M3756" s="2" t="inlineStr"/>
      <c r="N3756" s="2" t="n">
        <v>20</v>
      </c>
      <c r="O3756" s="2" t="inlineStr"/>
      <c r="P3756" s="2" t="inlineStr"/>
      <c r="Q3756" s="2" t="inlineStr"/>
      <c r="R3756" s="2" t="inlineStr"/>
      <c r="S3756" s="2" t="inlineStr"/>
      <c r="T3756" s="2" t="inlineStr"/>
      <c r="U3756" s="2" t="inlineStr">
        <is>
          <t>https://www.claro.com.br/celular/planos-pre/prezao</t>
        </is>
      </c>
      <c r="V3756" s="2" t="inlineStr">
        <is>
          <t>data/raw/claro_prepaid_SP.json</t>
        </is>
      </c>
    </row>
    <row r="3757">
      <c r="A3757" s="5" t="inlineStr">
        <is>
          <t>2026-08-28</t>
        </is>
      </c>
      <c r="B3757" s="5" t="inlineStr">
        <is>
          <t>2026-08-28T02:04:32</t>
        </is>
      </c>
      <c r="C3757" s="5" t="inlineStr">
        <is>
          <t>claro</t>
        </is>
      </c>
      <c r="D3757" s="5" t="inlineStr">
        <is>
          <t>prepaid</t>
        </is>
      </c>
      <c r="E3757" s="5" t="inlineStr">
        <is>
          <t>SP</t>
        </is>
      </c>
      <c r="F3757" s="5" t="inlineStr">
        <is>
          <t>Prezão 8GB (20 dias)</t>
        </is>
      </c>
      <c r="G3757" s="5" t="inlineStr">
        <is>
          <t>claro:prezao-20d-8gb</t>
        </is>
      </c>
      <c r="H3757" s="6" t="n">
        <v>20</v>
      </c>
      <c r="I3757" s="6" t="inlineStr"/>
      <c r="J3757" s="5" t="inlineStr">
        <is>
          <t>recarga Prezão R$20 — validade 20 dias</t>
        </is>
      </c>
      <c r="K3757" s="5" t="inlineStr"/>
      <c r="L3757" s="7" t="n">
        <v>8</v>
      </c>
      <c r="M3757" s="5" t="inlineStr"/>
      <c r="N3757" s="5" t="n">
        <v>20</v>
      </c>
      <c r="O3757" s="5" t="inlineStr"/>
      <c r="P3757" s="5" t="inlineStr"/>
      <c r="Q3757" s="5" t="inlineStr"/>
      <c r="R3757" s="5" t="inlineStr"/>
      <c r="S3757" s="5" t="inlineStr"/>
      <c r="T3757" s="5" t="inlineStr"/>
      <c r="U3757" s="5" t="inlineStr">
        <is>
          <t>https://www.claro.com.br/celular/planos-pre/prezao</t>
        </is>
      </c>
      <c r="V3757" s="5" t="inlineStr">
        <is>
          <t>data/raw/claro_prepaid_SP.json</t>
        </is>
      </c>
    </row>
    <row r="3758">
      <c r="A3758" s="2" t="inlineStr">
        <is>
          <t>2026-08-28</t>
        </is>
      </c>
      <c r="B3758" s="2" t="inlineStr">
        <is>
          <t>2026-08-28T02:04:32</t>
        </is>
      </c>
      <c r="C3758" s="2" t="inlineStr">
        <is>
          <t>claro</t>
        </is>
      </c>
      <c r="D3758" s="2" t="inlineStr">
        <is>
          <t>prepaid</t>
        </is>
      </c>
      <c r="E3758" s="2" t="inlineStr">
        <is>
          <t>SP</t>
        </is>
      </c>
      <c r="F3758" s="2" t="inlineStr">
        <is>
          <t>Prezão 9GB (25 dias)</t>
        </is>
      </c>
      <c r="G3758" s="2" t="inlineStr">
        <is>
          <t>claro:prezao-25d-9gb</t>
        </is>
      </c>
      <c r="H3758" s="3" t="n">
        <v>25</v>
      </c>
      <c r="I3758" s="3" t="inlineStr"/>
      <c r="J3758" s="2" t="inlineStr">
        <is>
          <t>recarga Prezão R$25 — validade 25 dias</t>
        </is>
      </c>
      <c r="K3758" s="2" t="inlineStr"/>
      <c r="L3758" s="4" t="n">
        <v>9</v>
      </c>
      <c r="M3758" s="2" t="inlineStr"/>
      <c r="N3758" s="2" t="n">
        <v>25</v>
      </c>
      <c r="O3758" s="2" t="inlineStr"/>
      <c r="P3758" s="2" t="inlineStr"/>
      <c r="Q3758" s="2" t="inlineStr"/>
      <c r="R3758" s="2" t="inlineStr"/>
      <c r="S3758" s="2" t="inlineStr"/>
      <c r="T3758" s="2" t="inlineStr"/>
      <c r="U3758" s="2" t="inlineStr">
        <is>
          <t>https://www.claro.com.br/celular/planos-pre/prezao</t>
        </is>
      </c>
      <c r="V3758" s="2" t="inlineStr">
        <is>
          <t>data/raw/claro_prepaid_SP.json</t>
        </is>
      </c>
    </row>
    <row r="3759">
      <c r="A3759" s="5" t="inlineStr">
        <is>
          <t>2026-08-28</t>
        </is>
      </c>
      <c r="B3759" s="5" t="inlineStr">
        <is>
          <t>2026-08-28T02:04:32</t>
        </is>
      </c>
      <c r="C3759" s="5" t="inlineStr">
        <is>
          <t>tim</t>
        </is>
      </c>
      <c r="D3759" s="5" t="inlineStr">
        <is>
          <t>control</t>
        </is>
      </c>
      <c r="E3759" s="5" t="inlineStr">
        <is>
          <t>SP</t>
        </is>
      </c>
      <c r="F3759" s="5" t="inlineStr">
        <is>
          <t>TIM Controle 45GB</t>
        </is>
      </c>
      <c r="G3759" s="5" t="inlineStr">
        <is>
          <t>tim:181976</t>
        </is>
      </c>
      <c r="H3759" s="6" t="n">
        <v>58.99</v>
      </c>
      <c r="I3759" s="6" t="inlineStr"/>
      <c r="J3759" s="5" t="inlineStr"/>
      <c r="K3759" s="5" t="inlineStr"/>
      <c r="L3759" s="7" t="n">
        <v>45</v>
      </c>
      <c r="M3759" s="5" t="inlineStr"/>
      <c r="N3759" s="5" t="inlineStr"/>
      <c r="O3759" s="5" t="inlineStr"/>
      <c r="P3759" s="5" t="inlineStr"/>
      <c r="Q3759" s="5" t="inlineStr"/>
      <c r="R3759" s="5" t="inlineStr"/>
      <c r="S3759" s="5" t="inlineStr"/>
      <c r="T3759" s="5" t="inlineStr"/>
      <c r="U3759" s="5" t="inlineStr">
        <is>
          <t>https://www.tim.com.br/sp/para-voce/planos/controle</t>
        </is>
      </c>
      <c r="V3759" s="5" t="inlineStr">
        <is>
          <t>data/raw/tim_control_SP.html</t>
        </is>
      </c>
    </row>
    <row r="3760">
      <c r="A3760" s="2" t="inlineStr">
        <is>
          <t>2026-08-28</t>
        </is>
      </c>
      <c r="B3760" s="2" t="inlineStr">
        <is>
          <t>2026-08-28T02:04:32</t>
        </is>
      </c>
      <c r="C3760" s="2" t="inlineStr">
        <is>
          <t>tim</t>
        </is>
      </c>
      <c r="D3760" s="2" t="inlineStr">
        <is>
          <t>control</t>
        </is>
      </c>
      <c r="E3760" s="2" t="inlineStr">
        <is>
          <t>SP</t>
        </is>
      </c>
      <c r="F3760" s="2" t="inlineStr">
        <is>
          <t>TIM Controle Light Express 45GB</t>
        </is>
      </c>
      <c r="G3760" s="2" t="inlineStr">
        <is>
          <t>tim:167726</t>
        </is>
      </c>
      <c r="H3760" s="3" t="n">
        <v>60.99</v>
      </c>
      <c r="I3760" s="3" t="inlineStr"/>
      <c r="J3760" s="2" t="inlineStr"/>
      <c r="K3760" s="2" t="inlineStr"/>
      <c r="L3760" s="4" t="n">
        <v>45</v>
      </c>
      <c r="M3760" s="2" t="inlineStr"/>
      <c r="N3760" s="2" t="inlineStr"/>
      <c r="O3760" s="2" t="inlineStr"/>
      <c r="P3760" s="2" t="inlineStr"/>
      <c r="Q3760" s="2" t="inlineStr"/>
      <c r="R3760" s="2" t="inlineStr"/>
      <c r="S3760" s="2" t="inlineStr"/>
      <c r="T3760" s="2" t="inlineStr"/>
      <c r="U3760" s="2" t="inlineStr">
        <is>
          <t>https://www.tim.com.br/sp/para-voce/planos/controle</t>
        </is>
      </c>
      <c r="V3760" s="2" t="inlineStr">
        <is>
          <t>data/raw/tim_control_SP.html</t>
        </is>
      </c>
    </row>
    <row r="3761">
      <c r="A3761" s="5" t="inlineStr">
        <is>
          <t>2026-08-28</t>
        </is>
      </c>
      <c r="B3761" s="5" t="inlineStr">
        <is>
          <t>2026-08-28T02:04:32</t>
        </is>
      </c>
      <c r="C3761" s="5" t="inlineStr">
        <is>
          <t>tim</t>
        </is>
      </c>
      <c r="D3761" s="5" t="inlineStr">
        <is>
          <t>control</t>
        </is>
      </c>
      <c r="E3761" s="5" t="inlineStr">
        <is>
          <t>SP</t>
        </is>
      </c>
      <c r="F3761" s="5" t="inlineStr">
        <is>
          <t>TIM Controle Premium 55GB</t>
        </is>
      </c>
      <c r="G3761" s="5" t="inlineStr">
        <is>
          <t>tim:167041</t>
        </is>
      </c>
      <c r="H3761" s="6" t="n">
        <v>84.98999999999999</v>
      </c>
      <c r="I3761" s="6" t="inlineStr"/>
      <c r="J3761" s="5" t="inlineStr"/>
      <c r="K3761" s="5" t="inlineStr"/>
      <c r="L3761" s="7" t="n">
        <v>55</v>
      </c>
      <c r="M3761" s="5" t="inlineStr"/>
      <c r="N3761" s="5" t="inlineStr"/>
      <c r="O3761" s="5" t="inlineStr"/>
      <c r="P3761" s="5" t="inlineStr"/>
      <c r="Q3761" s="5" t="inlineStr"/>
      <c r="R3761" s="5" t="inlineStr"/>
      <c r="S3761" s="5" t="inlineStr"/>
      <c r="T3761" s="5" t="inlineStr"/>
      <c r="U3761" s="5" t="inlineStr">
        <is>
          <t>https://www.tim.com.br/sp/para-voce/planos/controle</t>
        </is>
      </c>
      <c r="V3761" s="5" t="inlineStr">
        <is>
          <t>data/raw/tim_control_SP.html</t>
        </is>
      </c>
    </row>
    <row r="3762">
      <c r="A3762" s="2" t="inlineStr">
        <is>
          <t>2026-08-28</t>
        </is>
      </c>
      <c r="B3762" s="2" t="inlineStr">
        <is>
          <t>2026-08-28T02:04:32</t>
        </is>
      </c>
      <c r="C3762" s="2" t="inlineStr">
        <is>
          <t>tim</t>
        </is>
      </c>
      <c r="D3762" s="2" t="inlineStr">
        <is>
          <t>control</t>
        </is>
      </c>
      <c r="E3762" s="2" t="inlineStr">
        <is>
          <t>SP</t>
        </is>
      </c>
      <c r="F3762" s="2" t="inlineStr">
        <is>
          <t>TIM Controle Pro Express 46GB</t>
        </is>
      </c>
      <c r="G3762" s="2" t="inlineStr">
        <is>
          <t>tim:167731</t>
        </is>
      </c>
      <c r="H3762" s="3" t="n">
        <v>64.98999999999999</v>
      </c>
      <c r="I3762" s="3" t="inlineStr"/>
      <c r="J3762" s="2" t="inlineStr"/>
      <c r="K3762" s="2" t="inlineStr"/>
      <c r="L3762" s="4" t="n">
        <v>46</v>
      </c>
      <c r="M3762" s="2" t="inlineStr"/>
      <c r="N3762" s="2" t="inlineStr"/>
      <c r="O3762" s="2" t="inlineStr"/>
      <c r="P3762" s="2" t="inlineStr"/>
      <c r="Q3762" s="2" t="inlineStr"/>
      <c r="R3762" s="2" t="inlineStr"/>
      <c r="S3762" s="2" t="inlineStr"/>
      <c r="T3762" s="2" t="inlineStr"/>
      <c r="U3762" s="2" t="inlineStr">
        <is>
          <t>https://www.tim.com.br/sp/para-voce/planos/controle</t>
        </is>
      </c>
      <c r="V3762" s="2" t="inlineStr">
        <is>
          <t>data/raw/tim_control_SP.html</t>
        </is>
      </c>
    </row>
    <row r="3763">
      <c r="A3763" s="5" t="inlineStr">
        <is>
          <t>2026-08-28</t>
        </is>
      </c>
      <c r="B3763" s="5" t="inlineStr">
        <is>
          <t>2026-08-28T02:04:32</t>
        </is>
      </c>
      <c r="C3763" s="5" t="inlineStr">
        <is>
          <t>tim</t>
        </is>
      </c>
      <c r="D3763" s="5" t="inlineStr">
        <is>
          <t>control</t>
        </is>
      </c>
      <c r="E3763" s="5" t="inlineStr">
        <is>
          <t>SP</t>
        </is>
      </c>
      <c r="F3763" s="5" t="inlineStr">
        <is>
          <t>TIM Controle Redes Sociais 46GB</t>
        </is>
      </c>
      <c r="G3763" s="5" t="inlineStr">
        <is>
          <t>tim:180746</t>
        </is>
      </c>
      <c r="H3763" s="6" t="n">
        <v>64.98999999999999</v>
      </c>
      <c r="I3763" s="6" t="inlineStr"/>
      <c r="J3763" s="5" t="inlineStr"/>
      <c r="K3763" s="5" t="inlineStr"/>
      <c r="L3763" s="7" t="n">
        <v>46</v>
      </c>
      <c r="M3763" s="5" t="inlineStr"/>
      <c r="N3763" s="5" t="inlineStr"/>
      <c r="O3763" s="5" t="inlineStr"/>
      <c r="P3763" s="5" t="inlineStr"/>
      <c r="Q3763" s="5" t="inlineStr"/>
      <c r="R3763" s="5" t="inlineStr"/>
      <c r="S3763" s="5" t="inlineStr"/>
      <c r="T3763" s="5" t="inlineStr"/>
      <c r="U3763" s="5" t="inlineStr">
        <is>
          <t>https://www.tim.com.br/sp/para-voce/planos/controle</t>
        </is>
      </c>
      <c r="V3763" s="5" t="inlineStr">
        <is>
          <t>data/raw/tim_control_SP.html</t>
        </is>
      </c>
    </row>
    <row r="3764">
      <c r="A3764" s="2" t="inlineStr">
        <is>
          <t>2026-08-28</t>
        </is>
      </c>
      <c r="B3764" s="2" t="inlineStr">
        <is>
          <t>2026-08-28T02:04:32</t>
        </is>
      </c>
      <c r="C3764" s="2" t="inlineStr">
        <is>
          <t>tim</t>
        </is>
      </c>
      <c r="D3764" s="2" t="inlineStr">
        <is>
          <t>fit</t>
        </is>
      </c>
      <c r="E3764" s="2" t="inlineStr">
        <is>
          <t>SP</t>
        </is>
      </c>
      <c r="F3764" s="2" t="inlineStr">
        <is>
          <t>TIM Controle Fit Anual 1.0</t>
        </is>
      </c>
      <c r="G3764" s="2" t="inlineStr">
        <is>
          <t>tim:TIM202600000306</t>
        </is>
      </c>
      <c r="H3764" s="3" t="n">
        <v>20</v>
      </c>
      <c r="I3764" s="3" t="inlineStr"/>
      <c r="J3764" s="2" t="inlineStr">
        <is>
          <t>plano anual 12x no cartão de crédito; a etiqueta TIM informa 'sem prazo de permanência'</t>
        </is>
      </c>
      <c r="K3764" s="2" t="inlineStr">
        <is>
          <t>credit_card</t>
        </is>
      </c>
      <c r="L3764" s="4" t="n">
        <v>25</v>
      </c>
      <c r="M3764" s="2" t="inlineStr"/>
      <c r="N3764" s="2" t="inlineStr"/>
      <c r="O3764" s="2" t="inlineStr"/>
      <c r="P3764" s="2" t="inlineStr"/>
      <c r="Q3764" s="2" t="inlineStr"/>
      <c r="R3764" s="2" t="inlineStr"/>
      <c r="S3764" s="2" t="n">
        <v>12</v>
      </c>
      <c r="T3764" s="2" t="inlineStr"/>
      <c r="U3764" s="2" t="inlineStr">
        <is>
          <t>https://www.tim.com.br/sp/para-voce/planos/controle</t>
        </is>
      </c>
      <c r="V3764" s="2" t="inlineStr">
        <is>
          <t>data/raw/tim_fit_SP.html</t>
        </is>
      </c>
    </row>
    <row r="3765">
      <c r="A3765" s="5" t="inlineStr">
        <is>
          <t>2026-08-28</t>
        </is>
      </c>
      <c r="B3765" s="5" t="inlineStr">
        <is>
          <t>2026-08-28T02:04:32</t>
        </is>
      </c>
      <c r="C3765" s="5" t="inlineStr">
        <is>
          <t>tim</t>
        </is>
      </c>
      <c r="D3765" s="5" t="inlineStr">
        <is>
          <t>fit</t>
        </is>
      </c>
      <c r="E3765" s="5" t="inlineStr">
        <is>
          <t>SP</t>
        </is>
      </c>
      <c r="F3765" s="5" t="inlineStr">
        <is>
          <t>TIM Controle Fit Anual 2.0</t>
        </is>
      </c>
      <c r="G3765" s="5" t="inlineStr">
        <is>
          <t>tim:TIM202600000271</t>
        </is>
      </c>
      <c r="H3765" s="6" t="n">
        <v>30</v>
      </c>
      <c r="I3765" s="6" t="inlineStr"/>
      <c r="J3765" s="5" t="inlineStr">
        <is>
          <t>plano anual 12x no cartão de crédito; a etiqueta TIM informa 'sem prazo de permanência'</t>
        </is>
      </c>
      <c r="K3765" s="5" t="inlineStr">
        <is>
          <t>credit_card</t>
        </is>
      </c>
      <c r="L3765" s="7" t="n">
        <v>35</v>
      </c>
      <c r="M3765" s="5" t="inlineStr"/>
      <c r="N3765" s="5" t="inlineStr"/>
      <c r="O3765" s="5" t="inlineStr"/>
      <c r="P3765" s="5" t="inlineStr"/>
      <c r="Q3765" s="5" t="inlineStr"/>
      <c r="R3765" s="5" t="inlineStr"/>
      <c r="S3765" s="5" t="n">
        <v>12</v>
      </c>
      <c r="T3765" s="5" t="inlineStr"/>
      <c r="U3765" s="5" t="inlineStr">
        <is>
          <t>https://www.tim.com.br/sp/para-voce/planos/controle</t>
        </is>
      </c>
      <c r="V3765" s="5" t="inlineStr">
        <is>
          <t>data/raw/tim_fit_SP.html</t>
        </is>
      </c>
    </row>
    <row r="3766">
      <c r="A3766" s="2" t="inlineStr">
        <is>
          <t>2026-08-28</t>
        </is>
      </c>
      <c r="B3766" s="2" t="inlineStr">
        <is>
          <t>2026-08-28T02:04:32</t>
        </is>
      </c>
      <c r="C3766" s="2" t="inlineStr">
        <is>
          <t>tim</t>
        </is>
      </c>
      <c r="D3766" s="2" t="inlineStr">
        <is>
          <t>fit</t>
        </is>
      </c>
      <c r="E3766" s="2" t="inlineStr">
        <is>
          <t>SP</t>
        </is>
      </c>
      <c r="F3766" s="2" t="inlineStr">
        <is>
          <t>TIM Controle Fit Mensal 1.0</t>
        </is>
      </c>
      <c r="G3766" s="2" t="inlineStr">
        <is>
          <t>tim:TIM202600000270</t>
        </is>
      </c>
      <c r="H3766" s="3" t="n">
        <v>20</v>
      </c>
      <c r="I3766" s="3" t="inlineStr"/>
      <c r="J376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66" s="2" t="inlineStr"/>
      <c r="L3766" s="4" t="n">
        <v>20</v>
      </c>
      <c r="M3766" s="2" t="inlineStr"/>
      <c r="N3766" s="2" t="inlineStr"/>
      <c r="O3766" s="2" t="inlineStr"/>
      <c r="P3766" s="2" t="inlineStr"/>
      <c r="Q3766" s="2" t="inlineStr"/>
      <c r="R3766" s="2" t="inlineStr"/>
      <c r="S3766" s="2" t="inlineStr"/>
      <c r="T3766" s="2" t="inlineStr"/>
      <c r="U3766" s="2" t="inlineStr">
        <is>
          <t>https://www.tim.com.br/sp/para-voce/planos/controle</t>
        </is>
      </c>
      <c r="V3766" s="2" t="inlineStr">
        <is>
          <t>data/raw/tim_fit_SP.html</t>
        </is>
      </c>
    </row>
    <row r="3767">
      <c r="A3767" s="5" t="inlineStr">
        <is>
          <t>2026-08-28</t>
        </is>
      </c>
      <c r="B3767" s="5" t="inlineStr">
        <is>
          <t>2026-08-28T02:04:32</t>
        </is>
      </c>
      <c r="C3767" s="5" t="inlineStr">
        <is>
          <t>tim</t>
        </is>
      </c>
      <c r="D3767" s="5" t="inlineStr">
        <is>
          <t>fit</t>
        </is>
      </c>
      <c r="E3767" s="5" t="inlineStr">
        <is>
          <t>SP</t>
        </is>
      </c>
      <c r="F3767" s="5" t="inlineStr">
        <is>
          <t>TIM Controle Fit Mensal 2.0</t>
        </is>
      </c>
      <c r="G3767" s="5" t="inlineStr">
        <is>
          <t>tim:TIM202600000305</t>
        </is>
      </c>
      <c r="H3767" s="6" t="n">
        <v>45</v>
      </c>
      <c r="I3767" s="6" t="inlineStr"/>
      <c r="J3767" s="5" t="inlineStr">
        <is>
          <t>plano mensal, sem prazo de permanência; a etiqueta TIM informa 'sem prazo de permanência'</t>
        </is>
      </c>
      <c r="K3767" s="5" t="inlineStr"/>
      <c r="L3767" s="7" t="n">
        <v>35</v>
      </c>
      <c r="M3767" s="5" t="inlineStr"/>
      <c r="N3767" s="5" t="inlineStr"/>
      <c r="O3767" s="5" t="inlineStr"/>
      <c r="P3767" s="5" t="inlineStr"/>
      <c r="Q3767" s="5" t="inlineStr"/>
      <c r="R3767" s="5" t="inlineStr"/>
      <c r="S3767" s="5" t="inlineStr"/>
      <c r="T3767" s="5" t="inlineStr"/>
      <c r="U3767" s="5" t="inlineStr">
        <is>
          <t>https://www.tim.com.br/sp/para-voce/planos/controle</t>
        </is>
      </c>
      <c r="V3767" s="5" t="inlineStr">
        <is>
          <t>data/raw/tim_fit_SP.html</t>
        </is>
      </c>
    </row>
    <row r="3768">
      <c r="A3768" s="2" t="inlineStr">
        <is>
          <t>2026-08-28</t>
        </is>
      </c>
      <c r="B3768" s="2" t="inlineStr">
        <is>
          <t>2026-08-28T02:04:32</t>
        </is>
      </c>
      <c r="C3768" s="2" t="inlineStr">
        <is>
          <t>tim</t>
        </is>
      </c>
      <c r="D3768" s="2" t="inlineStr">
        <is>
          <t>postpaid</t>
        </is>
      </c>
      <c r="E3768" s="2" t="inlineStr">
        <is>
          <t>SP</t>
        </is>
      </c>
      <c r="F3768" s="2" t="inlineStr">
        <is>
          <t>TIM Black 70GB</t>
        </is>
      </c>
      <c r="G3768" s="2" t="inlineStr">
        <is>
          <t>tim:54206</t>
        </is>
      </c>
      <c r="H3768" s="3" t="n">
        <v>129.99</v>
      </c>
      <c r="I3768" s="3" t="inlineStr"/>
      <c r="J3768" s="2" t="inlineStr"/>
      <c r="K3768" s="2" t="inlineStr">
        <is>
          <t>bill</t>
        </is>
      </c>
      <c r="L3768" s="4" t="n">
        <v>70</v>
      </c>
      <c r="M3768" s="2" t="inlineStr"/>
      <c r="N3768" s="2" t="inlineStr"/>
      <c r="O3768" s="2" t="inlineStr"/>
      <c r="P3768" s="2" t="inlineStr"/>
      <c r="Q3768" s="2" t="inlineStr"/>
      <c r="R3768" s="2" t="inlineStr"/>
      <c r="S3768" s="2" t="inlineStr"/>
      <c r="T3768" s="2" t="inlineStr"/>
      <c r="U3768" s="2" t="inlineStr">
        <is>
          <t>https://www.tim.com.br/sp/para-voce/planos/pos-pago/tim-black</t>
        </is>
      </c>
      <c r="V3768" s="2" t="inlineStr">
        <is>
          <t>data/raw/tim_postpaid_SP.html</t>
        </is>
      </c>
    </row>
    <row r="3769">
      <c r="A3769" s="5" t="inlineStr">
        <is>
          <t>2026-08-28</t>
        </is>
      </c>
      <c r="B3769" s="5" t="inlineStr">
        <is>
          <t>2026-08-28T02:04:32</t>
        </is>
      </c>
      <c r="C3769" s="5" t="inlineStr">
        <is>
          <t>tim</t>
        </is>
      </c>
      <c r="D3769" s="5" t="inlineStr">
        <is>
          <t>postpaid</t>
        </is>
      </c>
      <c r="E3769" s="5" t="inlineStr">
        <is>
          <t>SP</t>
        </is>
      </c>
      <c r="F3769" s="5" t="inlineStr">
        <is>
          <t>TIM Black A Express 67GB</t>
        </is>
      </c>
      <c r="G3769" s="5" t="inlineStr">
        <is>
          <t>tim:55121</t>
        </is>
      </c>
      <c r="H3769" s="6" t="n">
        <v>119.99</v>
      </c>
      <c r="I3769" s="6" t="inlineStr"/>
      <c r="J3769" s="5" t="inlineStr"/>
      <c r="K3769" s="5" t="inlineStr">
        <is>
          <t>credit_card</t>
        </is>
      </c>
      <c r="L3769" s="7" t="n">
        <v>67</v>
      </c>
      <c r="M3769" s="5" t="inlineStr"/>
      <c r="N3769" s="5" t="inlineStr"/>
      <c r="O3769" s="5" t="inlineStr"/>
      <c r="P3769" s="5" t="inlineStr"/>
      <c r="Q3769" s="5" t="inlineStr"/>
      <c r="R3769" s="5" t="inlineStr"/>
      <c r="S3769" s="5" t="inlineStr"/>
      <c r="T3769" s="5" t="inlineStr"/>
      <c r="U3769" s="5" t="inlineStr">
        <is>
          <t>https://www.tim.com.br/sp/para-voce/planos/pos-pago/tim-black</t>
        </is>
      </c>
      <c r="V3769" s="5" t="inlineStr">
        <is>
          <t>data/raw/tim_postpaid_SP.html</t>
        </is>
      </c>
    </row>
    <row r="3770">
      <c r="A3770" s="2" t="inlineStr">
        <is>
          <t>2026-08-28</t>
        </is>
      </c>
      <c r="B3770" s="2" t="inlineStr">
        <is>
          <t>2026-08-28T02:04:32</t>
        </is>
      </c>
      <c r="C3770" s="2" t="inlineStr">
        <is>
          <t>tim</t>
        </is>
      </c>
      <c r="D3770" s="2" t="inlineStr">
        <is>
          <t>postpaid</t>
        </is>
      </c>
      <c r="E3770" s="2" t="inlineStr">
        <is>
          <t>SP</t>
        </is>
      </c>
      <c r="F3770" s="2" t="inlineStr">
        <is>
          <t>TIM Black B Express 82GB</t>
        </is>
      </c>
      <c r="G3770" s="2" t="inlineStr">
        <is>
          <t>tim:52146</t>
        </is>
      </c>
      <c r="H3770" s="3" t="n">
        <v>144.99</v>
      </c>
      <c r="I3770" s="3" t="inlineStr"/>
      <c r="J3770" s="2" t="inlineStr"/>
      <c r="K3770" s="2" t="inlineStr">
        <is>
          <t>credit_card</t>
        </is>
      </c>
      <c r="L3770" s="4" t="n">
        <v>82</v>
      </c>
      <c r="M3770" s="2" t="inlineStr"/>
      <c r="N3770" s="2" t="inlineStr"/>
      <c r="O3770" s="2" t="inlineStr"/>
      <c r="P3770" s="2" t="inlineStr"/>
      <c r="Q3770" s="2" t="inlineStr"/>
      <c r="R3770" s="2" t="inlineStr"/>
      <c r="S3770" s="2" t="inlineStr"/>
      <c r="T3770" s="2" t="inlineStr"/>
      <c r="U3770" s="2" t="inlineStr">
        <is>
          <t>https://www.tim.com.br/sp/para-voce/planos/pos-pago/tim-black</t>
        </is>
      </c>
      <c r="V3770" s="2" t="inlineStr">
        <is>
          <t>data/raw/tim_postpaid_SP.html</t>
        </is>
      </c>
    </row>
    <row r="3771">
      <c r="A3771" s="5" t="inlineStr">
        <is>
          <t>2026-08-28</t>
        </is>
      </c>
      <c r="B3771" s="5" t="inlineStr">
        <is>
          <t>2026-08-28T02:04:32</t>
        </is>
      </c>
      <c r="C3771" s="5" t="inlineStr">
        <is>
          <t>tim</t>
        </is>
      </c>
      <c r="D3771" s="5" t="inlineStr">
        <is>
          <t>postpaid</t>
        </is>
      </c>
      <c r="E3771" s="5" t="inlineStr">
        <is>
          <t>SP</t>
        </is>
      </c>
      <c r="F3771" s="5" t="inlineStr">
        <is>
          <t>TIM Black C Express 107GB</t>
        </is>
      </c>
      <c r="G3771" s="5" t="inlineStr">
        <is>
          <t>tim:52151</t>
        </is>
      </c>
      <c r="H3771" s="6" t="n">
        <v>164.99</v>
      </c>
      <c r="I3771" s="6" t="inlineStr"/>
      <c r="J3771" s="5" t="inlineStr"/>
      <c r="K3771" s="5" t="inlineStr">
        <is>
          <t>credit_card</t>
        </is>
      </c>
      <c r="L3771" s="7" t="n">
        <v>107</v>
      </c>
      <c r="M3771" s="5" t="inlineStr"/>
      <c r="N3771" s="5" t="inlineStr"/>
      <c r="O3771" s="5" t="inlineStr"/>
      <c r="P3771" s="5" t="inlineStr"/>
      <c r="Q3771" s="5" t="inlineStr"/>
      <c r="R3771" s="5" t="inlineStr"/>
      <c r="S3771" s="5" t="inlineStr"/>
      <c r="T3771" s="5" t="inlineStr"/>
      <c r="U3771" s="5" t="inlineStr">
        <is>
          <t>https://www.tim.com.br/sp/para-voce/planos/pos-pago/tim-black</t>
        </is>
      </c>
      <c r="V3771" s="5" t="inlineStr">
        <is>
          <t>data/raw/tim_postpaid_SP.html</t>
        </is>
      </c>
    </row>
    <row r="3772">
      <c r="A3772" s="2" t="inlineStr">
        <is>
          <t>2026-08-28</t>
        </is>
      </c>
      <c r="B3772" s="2" t="inlineStr">
        <is>
          <t>2026-08-28T02:04:32</t>
        </is>
      </c>
      <c r="C3772" s="2" t="inlineStr">
        <is>
          <t>tim</t>
        </is>
      </c>
      <c r="D3772" s="2" t="inlineStr">
        <is>
          <t>postpaid</t>
        </is>
      </c>
      <c r="E3772" s="2" t="inlineStr">
        <is>
          <t>SP</t>
        </is>
      </c>
      <c r="F3772" s="2" t="inlineStr">
        <is>
          <t>TIM Black C Ultra 95GB</t>
        </is>
      </c>
      <c r="G3772" s="2" t="inlineStr">
        <is>
          <t>tim:100581</t>
        </is>
      </c>
      <c r="H3772" s="3" t="n">
        <v>159.99</v>
      </c>
      <c r="I3772" s="3" t="inlineStr"/>
      <c r="J3772" s="2" t="inlineStr"/>
      <c r="K3772" s="2" t="inlineStr">
        <is>
          <t>bill</t>
        </is>
      </c>
      <c r="L3772" s="4" t="n">
        <v>95</v>
      </c>
      <c r="M3772" s="2" t="inlineStr"/>
      <c r="N3772" s="2" t="inlineStr"/>
      <c r="O3772" s="2" t="inlineStr"/>
      <c r="P3772" s="2" t="inlineStr"/>
      <c r="Q3772" s="2" t="inlineStr"/>
      <c r="R3772" s="2" t="inlineStr"/>
      <c r="S3772" s="2" t="inlineStr"/>
      <c r="T3772" s="2" t="inlineStr"/>
      <c r="U3772" s="2" t="inlineStr">
        <is>
          <t>https://www.tim.com.br/sp/para-voce/planos/pos-pago/tim-black</t>
        </is>
      </c>
      <c r="V3772" s="2" t="inlineStr">
        <is>
          <t>data/raw/tim_postpaid_SP.html</t>
        </is>
      </c>
    </row>
    <row r="3773">
      <c r="A3773" s="5" t="inlineStr">
        <is>
          <t>2026-08-28</t>
        </is>
      </c>
      <c r="B3773" s="5" t="inlineStr">
        <is>
          <t>2026-08-28T02:04:32</t>
        </is>
      </c>
      <c r="C3773" s="5" t="inlineStr">
        <is>
          <t>tim</t>
        </is>
      </c>
      <c r="D3773" s="5" t="inlineStr">
        <is>
          <t>postpaid</t>
        </is>
      </c>
      <c r="E3773" s="5" t="inlineStr">
        <is>
          <t>SP</t>
        </is>
      </c>
      <c r="F3773" s="5" t="inlineStr">
        <is>
          <t>TIM Black Plus 80GB</t>
        </is>
      </c>
      <c r="G3773" s="5" t="inlineStr">
        <is>
          <t>tim:54256</t>
        </is>
      </c>
      <c r="H3773" s="6" t="n">
        <v>149.99</v>
      </c>
      <c r="I3773" s="6" t="inlineStr"/>
      <c r="J3773" s="5" t="inlineStr"/>
      <c r="K3773" s="5" t="inlineStr">
        <is>
          <t>bill</t>
        </is>
      </c>
      <c r="L3773" s="7" t="n">
        <v>80</v>
      </c>
      <c r="M3773" s="5" t="inlineStr"/>
      <c r="N3773" s="5" t="inlineStr"/>
      <c r="O3773" s="5" t="inlineStr"/>
      <c r="P3773" s="5" t="inlineStr"/>
      <c r="Q3773" s="5" t="inlineStr"/>
      <c r="R3773" s="5" t="inlineStr"/>
      <c r="S3773" s="5" t="inlineStr"/>
      <c r="T3773" s="5" t="inlineStr"/>
      <c r="U3773" s="5" t="inlineStr">
        <is>
          <t>https://www.tim.com.br/sp/para-voce/planos/pos-pago/tim-black</t>
        </is>
      </c>
      <c r="V3773" s="5" t="inlineStr">
        <is>
          <t>data/raw/tim_postpaid_SP.html</t>
        </is>
      </c>
    </row>
    <row r="3774">
      <c r="A3774" s="2" t="inlineStr">
        <is>
          <t>2026-08-28</t>
        </is>
      </c>
      <c r="B3774" s="2" t="inlineStr">
        <is>
          <t>2026-08-28T02:04:32</t>
        </is>
      </c>
      <c r="C3774" s="2" t="inlineStr">
        <is>
          <t>tim</t>
        </is>
      </c>
      <c r="D3774" s="2" t="inlineStr">
        <is>
          <t>postpaid</t>
        </is>
      </c>
      <c r="E3774" s="2" t="inlineStr">
        <is>
          <t>SP</t>
        </is>
      </c>
      <c r="F3774" s="2" t="inlineStr">
        <is>
          <t>TIM Black Premium 110GB</t>
        </is>
      </c>
      <c r="G3774" s="2" t="inlineStr">
        <is>
          <t>tim:54261</t>
        </is>
      </c>
      <c r="H3774" s="3" t="n">
        <v>159.99</v>
      </c>
      <c r="I3774" s="3" t="inlineStr"/>
      <c r="J3774" s="2" t="inlineStr"/>
      <c r="K3774" s="2" t="inlineStr">
        <is>
          <t>bill</t>
        </is>
      </c>
      <c r="L3774" s="4" t="n">
        <v>110</v>
      </c>
      <c r="M3774" s="2" t="inlineStr"/>
      <c r="N3774" s="2" t="inlineStr"/>
      <c r="O3774" s="2" t="inlineStr"/>
      <c r="P3774" s="2" t="inlineStr"/>
      <c r="Q3774" s="2" t="inlineStr"/>
      <c r="R3774" s="2" t="inlineStr"/>
      <c r="S3774" s="2" t="inlineStr"/>
      <c r="T3774" s="2" t="inlineStr"/>
      <c r="U3774" s="2" t="inlineStr">
        <is>
          <t>https://www.tim.com.br/sp/para-voce/planos/pos-pago/tim-black</t>
        </is>
      </c>
      <c r="V3774" s="2" t="inlineStr">
        <is>
          <t>data/raw/tim_postpaid_SP.html</t>
        </is>
      </c>
    </row>
    <row r="3775">
      <c r="A3775" s="5" t="inlineStr">
        <is>
          <t>2026-08-28</t>
        </is>
      </c>
      <c r="B3775" s="5" t="inlineStr">
        <is>
          <t>2026-08-28T02:04:32</t>
        </is>
      </c>
      <c r="C3775" s="5" t="inlineStr">
        <is>
          <t>tim</t>
        </is>
      </c>
      <c r="D3775" s="5" t="inlineStr">
        <is>
          <t>prepaid</t>
        </is>
      </c>
      <c r="E3775" s="5" t="inlineStr">
        <is>
          <t>SP</t>
        </is>
      </c>
      <c r="F3775" s="5" t="inlineStr">
        <is>
          <t>TIM Pré XIP Plus 16GB</t>
        </is>
      </c>
      <c r="G3775" s="5" t="inlineStr">
        <is>
          <t>tim:106306</t>
        </is>
      </c>
      <c r="H3775" s="6" t="n">
        <v>30</v>
      </c>
      <c r="I3775" s="6" t="inlineStr"/>
      <c r="J3775" s="5" t="inlineStr"/>
      <c r="K3775" s="5" t="inlineStr"/>
      <c r="L3775" s="7" t="n">
        <v>16</v>
      </c>
      <c r="M3775" s="5" t="inlineStr"/>
      <c r="N3775" s="5" t="n">
        <v>30</v>
      </c>
      <c r="O3775" s="5" t="inlineStr"/>
      <c r="P3775" s="5" t="inlineStr"/>
      <c r="Q3775" s="5" t="inlineStr"/>
      <c r="R3775" s="5" t="inlineStr"/>
      <c r="S3775" s="5" t="inlineStr"/>
      <c r="T3775" s="5" t="inlineStr"/>
      <c r="U3775" s="5" t="inlineStr">
        <is>
          <t>https://www.tim.com.br/sp/para-voce/planos/pre-pago</t>
        </is>
      </c>
      <c r="V3775" s="5" t="inlineStr">
        <is>
          <t>data/raw/tim_prepaid_SP.html</t>
        </is>
      </c>
    </row>
    <row r="3776">
      <c r="A3776" s="2" t="inlineStr">
        <is>
          <t>2026-08-28</t>
        </is>
      </c>
      <c r="B3776" s="2" t="inlineStr">
        <is>
          <t>2026-08-28T02:04:32</t>
        </is>
      </c>
      <c r="C3776" s="2" t="inlineStr">
        <is>
          <t>tim</t>
        </is>
      </c>
      <c r="D3776" s="2" t="inlineStr">
        <is>
          <t>prepaid</t>
        </is>
      </c>
      <c r="E3776" s="2" t="inlineStr">
        <is>
          <t>SP</t>
        </is>
      </c>
      <c r="F3776" s="2" t="inlineStr">
        <is>
          <t>TIM Pré XIP Plus 6GB</t>
        </is>
      </c>
      <c r="G3776" s="2" t="inlineStr">
        <is>
          <t>tim:59906</t>
        </is>
      </c>
      <c r="H3776" s="3" t="n">
        <v>20</v>
      </c>
      <c r="I3776" s="3" t="inlineStr"/>
      <c r="J3776" s="2" t="inlineStr"/>
      <c r="K3776" s="2" t="inlineStr"/>
      <c r="L3776" s="4" t="n">
        <v>6</v>
      </c>
      <c r="M3776" s="2" t="inlineStr"/>
      <c r="N3776" s="2" t="n">
        <v>17</v>
      </c>
      <c r="O3776" s="2" t="inlineStr"/>
      <c r="P3776" s="2" t="inlineStr"/>
      <c r="Q3776" s="2" t="inlineStr"/>
      <c r="R3776" s="2" t="inlineStr"/>
      <c r="S3776" s="2" t="inlineStr"/>
      <c r="T3776" s="2" t="inlineStr"/>
      <c r="U3776" s="2" t="inlineStr">
        <is>
          <t>https://www.tim.com.br/sp/para-voce/planos/pre-pago</t>
        </is>
      </c>
      <c r="V3776" s="2" t="inlineStr">
        <is>
          <t>data/raw/tim_prepaid_SP.html</t>
        </is>
      </c>
    </row>
    <row r="3777">
      <c r="A3777" s="5" t="inlineStr">
        <is>
          <t>2026-08-28</t>
        </is>
      </c>
      <c r="B3777" s="5" t="inlineStr">
        <is>
          <t>2026-08-28T02:04:32</t>
        </is>
      </c>
      <c r="C3777" s="5" t="inlineStr">
        <is>
          <t>tim</t>
        </is>
      </c>
      <c r="D3777" s="5" t="inlineStr">
        <is>
          <t>prepaid</t>
        </is>
      </c>
      <c r="E3777" s="5" t="inlineStr">
        <is>
          <t>SP</t>
        </is>
      </c>
      <c r="F3777" s="5" t="inlineStr">
        <is>
          <t>TIM Pré XIP Plus 8GB</t>
        </is>
      </c>
      <c r="G3777" s="5" t="inlineStr">
        <is>
          <t>tim:59901</t>
        </is>
      </c>
      <c r="H3777" s="6" t="n">
        <v>25</v>
      </c>
      <c r="I3777" s="6" t="inlineStr"/>
      <c r="J3777" s="5" t="inlineStr"/>
      <c r="K3777" s="5" t="inlineStr"/>
      <c r="L3777" s="7" t="n">
        <v>8</v>
      </c>
      <c r="M3777" s="5" t="inlineStr"/>
      <c r="N3777" s="5" t="n">
        <v>22</v>
      </c>
      <c r="O3777" s="5" t="inlineStr"/>
      <c r="P3777" s="5" t="inlineStr"/>
      <c r="Q3777" s="5" t="inlineStr"/>
      <c r="R3777" s="5" t="inlineStr"/>
      <c r="S3777" s="5" t="inlineStr"/>
      <c r="T3777" s="5" t="inlineStr"/>
      <c r="U3777" s="5" t="inlineStr">
        <is>
          <t>https://www.tim.com.br/sp/para-voce/planos/pre-pago</t>
        </is>
      </c>
      <c r="V3777" s="5" t="inlineStr">
        <is>
          <t>data/raw/tim_prepaid_SP.html</t>
        </is>
      </c>
    </row>
    <row r="3778">
      <c r="A3778" s="2" t="inlineStr">
        <is>
          <t>2026-08-28</t>
        </is>
      </c>
      <c r="B3778" s="2" t="inlineStr">
        <is>
          <t>2026-08-28T02:04:32</t>
        </is>
      </c>
      <c r="C3778" s="2" t="inlineStr">
        <is>
          <t>vivo</t>
        </is>
      </c>
      <c r="D3778" s="2" t="inlineStr">
        <is>
          <t>control</t>
        </is>
      </c>
      <c r="E3778" s="2" t="inlineStr">
        <is>
          <t>SP</t>
        </is>
      </c>
      <c r="F3778" s="2" t="inlineStr">
        <is>
          <t>Vivo Controle</t>
        </is>
      </c>
      <c r="G3778" s="2" t="inlineStr">
        <is>
          <t>vivo:VIV202600034591</t>
        </is>
      </c>
      <c r="H3778" s="3" t="n">
        <v>59</v>
      </c>
      <c r="I3778" s="3" t="inlineStr"/>
      <c r="J3778" s="2" t="inlineStr"/>
      <c r="K3778" s="2" t="inlineStr"/>
      <c r="L3778" s="4" t="n">
        <v>45</v>
      </c>
      <c r="M3778" s="2" t="inlineStr">
        <is>
          <t>15 GB de franquia 30 GB de bônus</t>
        </is>
      </c>
      <c r="N3778" s="2" t="inlineStr"/>
      <c r="O3778" s="2" t="inlineStr"/>
      <c r="P3778" s="2" t="inlineStr"/>
      <c r="Q3778" s="2" t="inlineStr"/>
      <c r="R3778" s="2" t="inlineStr"/>
      <c r="S3778" s="2" t="inlineStr"/>
      <c r="T3778" s="2" t="inlineStr">
        <is>
          <t>6 meses grátis de Gemini com AI Plus</t>
        </is>
      </c>
      <c r="U3778" s="2" t="inlineStr">
        <is>
          <t>https://vivo.com.br/para-voce/produtos-e-servicos/para-o-celular/planos-controle</t>
        </is>
      </c>
      <c r="V3778" s="2" t="inlineStr">
        <is>
          <t>data/raw/vivo_control_SP.html</t>
        </is>
      </c>
    </row>
    <row r="3779">
      <c r="A3779" s="5" t="inlineStr">
        <is>
          <t>2026-08-28</t>
        </is>
      </c>
      <c r="B3779" s="5" t="inlineStr">
        <is>
          <t>2026-08-28T02:04:32</t>
        </is>
      </c>
      <c r="C3779" s="5" t="inlineStr">
        <is>
          <t>vivo</t>
        </is>
      </c>
      <c r="D3779" s="5" t="inlineStr">
        <is>
          <t>control</t>
        </is>
      </c>
      <c r="E3779" s="5" t="inlineStr">
        <is>
          <t>SP</t>
        </is>
      </c>
      <c r="F3779" s="5" t="inlineStr">
        <is>
          <t>Vivo Controle</t>
        </is>
      </c>
      <c r="G3779" s="5" t="inlineStr">
        <is>
          <t>vivo:VIV202600034599</t>
        </is>
      </c>
      <c r="H3779" s="6" t="n">
        <v>75</v>
      </c>
      <c r="I3779" s="6" t="inlineStr"/>
      <c r="J3779" s="5" t="inlineStr">
        <is>
          <t>preço-base do plano; a tela exibia R$ 80 com o adicional pré-selecionado (+R$ 5/mês, opcional); 60 GB na tela incluem +10 GB do adicional</t>
        </is>
      </c>
      <c r="K3779" s="5" t="inlineStr"/>
      <c r="L3779" s="7" t="n">
        <v>50</v>
      </c>
      <c r="M3779" s="5" t="inlineStr">
        <is>
          <t>20 GB de franquia 30 GB de bônus</t>
        </is>
      </c>
      <c r="N3779" s="5" t="inlineStr"/>
      <c r="O3779" s="5" t="inlineStr"/>
      <c r="P3779" s="5" t="inlineStr"/>
      <c r="Q3779" s="5" t="inlineStr"/>
      <c r="R3779" s="5" t="inlineStr"/>
      <c r="S3779" s="5" t="inlineStr"/>
      <c r="T3779" s="5" t="inlineStr">
        <is>
          <t>6 meses grátis de Gemini com AI Plus</t>
        </is>
      </c>
      <c r="U3779" s="5" t="inlineStr">
        <is>
          <t>https://vivo.com.br/para-voce/produtos-e-servicos/para-o-celular/planos-controle</t>
        </is>
      </c>
      <c r="V3779" s="5" t="inlineStr">
        <is>
          <t>data/raw/vivo_control_SP.html</t>
        </is>
      </c>
    </row>
    <row r="3780">
      <c r="A3780" s="2" t="inlineStr">
        <is>
          <t>2026-08-28</t>
        </is>
      </c>
      <c r="B3780" s="2" t="inlineStr">
        <is>
          <t>2026-08-28T02:04:32</t>
        </is>
      </c>
      <c r="C3780" s="2" t="inlineStr">
        <is>
          <t>vivo</t>
        </is>
      </c>
      <c r="D3780" s="2" t="inlineStr">
        <is>
          <t>control</t>
        </is>
      </c>
      <c r="E3780" s="2" t="inlineStr">
        <is>
          <t>SP</t>
        </is>
      </c>
      <c r="F3780" s="2" t="inlineStr">
        <is>
          <t>Vivo Controle Educação</t>
        </is>
      </c>
      <c r="G3780" s="2" t="inlineStr">
        <is>
          <t>vivo:VIV202600034616</t>
        </is>
      </c>
      <c r="H3780" s="3" t="n">
        <v>85</v>
      </c>
      <c r="I3780" s="3" t="inlineStr"/>
      <c r="J3780" s="2" t="inlineStr">
        <is>
          <t>preço-base do plano; a tela exibia R$ 90 com o adicional pré-selecionado (+R$ 5/mês, opcional); 60 GB na tela incluem +10 GB do adicional</t>
        </is>
      </c>
      <c r="K3780" s="2" t="inlineStr"/>
      <c r="L3780" s="4" t="n">
        <v>50</v>
      </c>
      <c r="M3780" s="2" t="inlineStr">
        <is>
          <t>20 GB de franquia 30 GB de bônus</t>
        </is>
      </c>
      <c r="N3780" s="2" t="inlineStr"/>
      <c r="O3780" s="2" t="inlineStr"/>
      <c r="P3780" s="2" t="inlineStr"/>
      <c r="Q3780" s="2" t="inlineStr"/>
      <c r="R3780" s="2" t="inlineStr"/>
      <c r="S3780" s="2" t="inlineStr"/>
      <c r="T3780" s="2" t="inlineStr">
        <is>
          <t>Assinatura Vivae inclusa</t>
        </is>
      </c>
      <c r="U3780" s="2" t="inlineStr">
        <is>
          <t>https://vivo.com.br/para-voce/produtos-e-servicos/para-o-celular/planos-controle</t>
        </is>
      </c>
      <c r="V3780" s="2" t="inlineStr">
        <is>
          <t>data/raw/vivo_control_SP.html</t>
        </is>
      </c>
    </row>
    <row r="3781">
      <c r="A3781" s="5" t="inlineStr">
        <is>
          <t>2026-08-28</t>
        </is>
      </c>
      <c r="B3781" s="5" t="inlineStr">
        <is>
          <t>2026-08-28T02:04:32</t>
        </is>
      </c>
      <c r="C3781" s="5" t="inlineStr">
        <is>
          <t>vivo</t>
        </is>
      </c>
      <c r="D3781" s="5" t="inlineStr">
        <is>
          <t>control</t>
        </is>
      </c>
      <c r="E3781" s="5" t="inlineStr">
        <is>
          <t>SP</t>
        </is>
      </c>
      <c r="F3781" s="5" t="inlineStr">
        <is>
          <t>Vivo Controle Entretenimento</t>
        </is>
      </c>
      <c r="G3781" s="5" t="inlineStr">
        <is>
          <t>vivo:VIV202600034619</t>
        </is>
      </c>
      <c r="H3781" s="6" t="n">
        <v>105</v>
      </c>
      <c r="I3781" s="6" t="inlineStr"/>
      <c r="J3781" s="5" t="inlineStr">
        <is>
          <t>preço-base do plano; a tela exibia R$ 110 com o adicional pré-selecionado (+R$ 5/mês, opcional); 60 GB na tela incluem +10 GB do adicional</t>
        </is>
      </c>
      <c r="K3781" s="5" t="inlineStr"/>
      <c r="L3781" s="7" t="n">
        <v>50</v>
      </c>
      <c r="M3781" s="5" t="inlineStr">
        <is>
          <t>20 GB de franquia 30 GB de bônus</t>
        </is>
      </c>
      <c r="N3781" s="5" t="inlineStr"/>
      <c r="O3781" s="5" t="inlineStr"/>
      <c r="P3781" s="5" t="inlineStr"/>
      <c r="Q3781" s="5" t="inlineStr"/>
      <c r="R3781" s="5" t="inlineStr"/>
      <c r="S3781" s="5" t="inlineStr"/>
      <c r="T3781" s="5" t="inlineStr">
        <is>
          <t>Assinatura Vivo TV Inicial inclusa</t>
        </is>
      </c>
      <c r="U3781" s="5" t="inlineStr">
        <is>
          <t>https://vivo.com.br/para-voce/produtos-e-servicos/para-o-celular/planos-controle</t>
        </is>
      </c>
      <c r="V3781" s="5" t="inlineStr">
        <is>
          <t>data/raw/vivo_control_SP.html</t>
        </is>
      </c>
    </row>
    <row r="3782">
      <c r="A3782" s="2" t="inlineStr">
        <is>
          <t>2026-08-28</t>
        </is>
      </c>
      <c r="B3782" s="2" t="inlineStr">
        <is>
          <t>2026-08-28T02:04:32</t>
        </is>
      </c>
      <c r="C3782" s="2" t="inlineStr">
        <is>
          <t>vivo</t>
        </is>
      </c>
      <c r="D3782" s="2" t="inlineStr">
        <is>
          <t>control</t>
        </is>
      </c>
      <c r="E3782" s="2" t="inlineStr">
        <is>
          <t>SP</t>
        </is>
      </c>
      <c r="F3782" s="2" t="inlineStr">
        <is>
          <t>Vivo Controle Música</t>
        </is>
      </c>
      <c r="G3782" s="2" t="inlineStr">
        <is>
          <t>vivo:VIV202600034620</t>
        </is>
      </c>
      <c r="H3782" s="3" t="n">
        <v>85</v>
      </c>
      <c r="I3782" s="3" t="inlineStr"/>
      <c r="J3782" s="2" t="inlineStr">
        <is>
          <t>preço-base do plano; a tela exibia R$ 90 com o adicional pré-selecionado (+R$ 5/mês, opcional); 60 GB na tela incluem +10 GB do adicional</t>
        </is>
      </c>
      <c r="K3782" s="2" t="inlineStr"/>
      <c r="L3782" s="4" t="n">
        <v>50</v>
      </c>
      <c r="M3782" s="2" t="inlineStr">
        <is>
          <t>20 GB de franquia 30 GB de bônus</t>
        </is>
      </c>
      <c r="N3782" s="2" t="inlineStr"/>
      <c r="O3782" s="2" t="inlineStr"/>
      <c r="P3782" s="2" t="inlineStr"/>
      <c r="Q3782" s="2" t="inlineStr"/>
      <c r="R3782" s="2" t="inlineStr"/>
      <c r="S3782" s="2" t="inlineStr"/>
      <c r="T3782" s="2" t="inlineStr">
        <is>
          <t>Apple Music Individual</t>
        </is>
      </c>
      <c r="U3782" s="2" t="inlineStr">
        <is>
          <t>https://vivo.com.br/para-voce/produtos-e-servicos/para-o-celular/planos-controle</t>
        </is>
      </c>
      <c r="V3782" s="2" t="inlineStr">
        <is>
          <t>data/raw/vivo_control_SP.html</t>
        </is>
      </c>
    </row>
    <row r="3783">
      <c r="A3783" s="5" t="inlineStr">
        <is>
          <t>2026-08-28</t>
        </is>
      </c>
      <c r="B3783" s="5" t="inlineStr">
        <is>
          <t>2026-08-28T02:04:32</t>
        </is>
      </c>
      <c r="C3783" s="5" t="inlineStr">
        <is>
          <t>vivo</t>
        </is>
      </c>
      <c r="D3783" s="5" t="inlineStr">
        <is>
          <t>control</t>
        </is>
      </c>
      <c r="E3783" s="5" t="inlineStr">
        <is>
          <t>SP</t>
        </is>
      </c>
      <c r="F3783" s="5" t="inlineStr">
        <is>
          <t>Vivo Controle Netflix</t>
        </is>
      </c>
      <c r="G3783" s="5" t="inlineStr">
        <is>
          <t>vivo:VIV202600034623</t>
        </is>
      </c>
      <c r="H3783" s="6" t="n">
        <v>90</v>
      </c>
      <c r="I3783" s="6" t="inlineStr"/>
      <c r="J3783" s="5" t="inlineStr">
        <is>
          <t>preço-base do plano; a tela exibia R$ 95 com o adicional pré-selecionado (+R$ 5/mês, opcional); 60 GB na tela incluem +10 GB do adicional</t>
        </is>
      </c>
      <c r="K3783" s="5" t="inlineStr"/>
      <c r="L3783" s="7" t="n">
        <v>50</v>
      </c>
      <c r="M3783" s="5" t="inlineStr">
        <is>
          <t>20 GB de franquia 30 GB de bônus</t>
        </is>
      </c>
      <c r="N3783" s="5" t="inlineStr"/>
      <c r="O3783" s="5" t="inlineStr"/>
      <c r="P3783" s="5" t="inlineStr"/>
      <c r="Q3783" s="5" t="inlineStr"/>
      <c r="R3783" s="5" t="inlineStr"/>
      <c r="S3783" s="5" t="inlineStr"/>
      <c r="T3783" s="5" t="inlineStr">
        <is>
          <t>Assinatura Netflix Padrão com anúncios</t>
        </is>
      </c>
      <c r="U3783" s="5" t="inlineStr">
        <is>
          <t>https://vivo.com.br/para-voce/produtos-e-servicos/para-o-celular/planos-controle</t>
        </is>
      </c>
      <c r="V3783" s="5" t="inlineStr">
        <is>
          <t>data/raw/vivo_control_SP.html</t>
        </is>
      </c>
    </row>
    <row r="3784">
      <c r="A3784" s="2" t="inlineStr">
        <is>
          <t>2026-08-28</t>
        </is>
      </c>
      <c r="B3784" s="2" t="inlineStr">
        <is>
          <t>2026-08-28T02:04:32</t>
        </is>
      </c>
      <c r="C3784" s="2" t="inlineStr">
        <is>
          <t>vivo</t>
        </is>
      </c>
      <c r="D3784" s="2" t="inlineStr">
        <is>
          <t>control</t>
        </is>
      </c>
      <c r="E3784" s="2" t="inlineStr">
        <is>
          <t>SP</t>
        </is>
      </c>
      <c r="F3784" s="2" t="inlineStr">
        <is>
          <t>Vivo Controle Saúde</t>
        </is>
      </c>
      <c r="G3784" s="2" t="inlineStr">
        <is>
          <t>vivo:VIV202600034625</t>
        </is>
      </c>
      <c r="H3784" s="3" t="n">
        <v>85</v>
      </c>
      <c r="I3784" s="3" t="inlineStr"/>
      <c r="J3784" s="2" t="inlineStr">
        <is>
          <t>preço-base do plano; a tela exibia R$ 90 com o adicional pré-selecionado (+R$ 5/mês, opcional); 60 GB na tela incluem +10 GB do adicional</t>
        </is>
      </c>
      <c r="K3784" s="2" t="inlineStr"/>
      <c r="L3784" s="4" t="n">
        <v>50</v>
      </c>
      <c r="M3784" s="2" t="inlineStr">
        <is>
          <t>20 GB de franquia 30 GB de bônus</t>
        </is>
      </c>
      <c r="N3784" s="2" t="inlineStr"/>
      <c r="O3784" s="2" t="inlineStr"/>
      <c r="P3784" s="2" t="inlineStr"/>
      <c r="Q3784" s="2" t="inlineStr"/>
      <c r="R3784" s="2" t="inlineStr"/>
      <c r="S3784" s="2" t="inlineStr"/>
      <c r="T3784" s="2" t="inlineStr">
        <is>
          <t>Assinatura Vale Saúde Sempre inclusa</t>
        </is>
      </c>
      <c r="U3784" s="2" t="inlineStr">
        <is>
          <t>https://vivo.com.br/para-voce/produtos-e-servicos/para-o-celular/planos-controle</t>
        </is>
      </c>
      <c r="V3784" s="2" t="inlineStr">
        <is>
          <t>data/raw/vivo_control_SP.html</t>
        </is>
      </c>
    </row>
    <row r="3785">
      <c r="A3785" s="5" t="inlineStr">
        <is>
          <t>2026-08-28</t>
        </is>
      </c>
      <c r="B3785" s="5" t="inlineStr">
        <is>
          <t>2026-08-28T02:04:32</t>
        </is>
      </c>
      <c r="C3785" s="5" t="inlineStr">
        <is>
          <t>vivo</t>
        </is>
      </c>
      <c r="D3785" s="5" t="inlineStr">
        <is>
          <t>control</t>
        </is>
      </c>
      <c r="E3785" s="5" t="inlineStr">
        <is>
          <t>SP</t>
        </is>
      </c>
      <c r="F3785" s="5" t="inlineStr">
        <is>
          <t>Vivo Controle Youtube Lite</t>
        </is>
      </c>
      <c r="G3785" s="5" t="inlineStr">
        <is>
          <t>vivo:VIV202600034626</t>
        </is>
      </c>
      <c r="H3785" s="6" t="n">
        <v>85</v>
      </c>
      <c r="I3785" s="6" t="inlineStr"/>
      <c r="J3785" s="5" t="inlineStr">
        <is>
          <t>preço-base do plano; a tela exibia R$ 90 com o adicional pré-selecionado (+R$ 5/mês, opcional); 60 GB na tela incluem +10 GB do adicional</t>
        </is>
      </c>
      <c r="K3785" s="5" t="inlineStr"/>
      <c r="L3785" s="7" t="n">
        <v>50</v>
      </c>
      <c r="M3785" s="5" t="inlineStr">
        <is>
          <t>20 GB de franquia 30 GB de bônus</t>
        </is>
      </c>
      <c r="N3785" s="5" t="inlineStr"/>
      <c r="O3785" s="5" t="inlineStr"/>
      <c r="P3785" s="5" t="inlineStr"/>
      <c r="Q3785" s="5" t="inlineStr"/>
      <c r="R3785" s="5" t="inlineStr"/>
      <c r="S3785" s="5" t="inlineStr"/>
      <c r="T3785" s="5" t="inlineStr">
        <is>
          <t>Assinatura Youtube Premium Lite Inclusa</t>
        </is>
      </c>
      <c r="U3785" s="5" t="inlineStr">
        <is>
          <t>https://vivo.com.br/para-voce/produtos-e-servicos/para-o-celular/planos-controle</t>
        </is>
      </c>
      <c r="V3785" s="5" t="inlineStr">
        <is>
          <t>data/raw/vivo_control_SP.html</t>
        </is>
      </c>
    </row>
    <row r="3786">
      <c r="A3786" s="2" t="inlineStr">
        <is>
          <t>2026-08-28</t>
        </is>
      </c>
      <c r="B3786" s="2" t="inlineStr">
        <is>
          <t>2026-08-28T02:04:32</t>
        </is>
      </c>
      <c r="C3786" s="2" t="inlineStr">
        <is>
          <t>vivo</t>
        </is>
      </c>
      <c r="D3786" s="2" t="inlineStr">
        <is>
          <t>lite</t>
        </is>
      </c>
      <c r="E3786" s="2" t="inlineStr">
        <is>
          <t>SP</t>
        </is>
      </c>
      <c r="F3786" s="2" t="inlineStr">
        <is>
          <t>Vivo Lite</t>
        </is>
      </c>
      <c r="G3786" s="2" t="inlineStr">
        <is>
          <t>vivo:VIV202600033987</t>
        </is>
      </c>
      <c r="H3786" s="3" t="n">
        <v>45</v>
      </c>
      <c r="I3786" s="3" t="n">
        <v>30</v>
      </c>
      <c r="J3786" s="2" t="inlineStr">
        <is>
          <t>preço sem fidelidade; fidelidade 12m no promo</t>
        </is>
      </c>
      <c r="K3786" s="2" t="inlineStr"/>
      <c r="L3786" s="4" t="n">
        <v>30</v>
      </c>
      <c r="M3786" s="2" t="inlineStr">
        <is>
          <t>30 GB de franquia</t>
        </is>
      </c>
      <c r="N3786" s="2" t="inlineStr"/>
      <c r="O3786" s="2" t="inlineStr"/>
      <c r="P3786" s="2" t="inlineStr"/>
      <c r="Q3786" s="2" t="inlineStr"/>
      <c r="R3786" s="2" t="inlineStr"/>
      <c r="S3786" s="2" t="n">
        <v>12</v>
      </c>
      <c r="T3786" s="2" t="inlineStr"/>
      <c r="U3786" s="2" t="inlineStr">
        <is>
          <t>https://vivo.com.br/para-voce/produtos-e-servicos/para-o-celular/easy-lite</t>
        </is>
      </c>
      <c r="V3786" s="2" t="inlineStr">
        <is>
          <t>data/raw/vivo_lite_SP.html</t>
        </is>
      </c>
    </row>
    <row r="3787">
      <c r="A3787" s="5" t="inlineStr">
        <is>
          <t>2026-08-28</t>
        </is>
      </c>
      <c r="B3787" s="5" t="inlineStr">
        <is>
          <t>2026-08-28T02:04:32</t>
        </is>
      </c>
      <c r="C3787" s="5" t="inlineStr">
        <is>
          <t>vivo</t>
        </is>
      </c>
      <c r="D3787" s="5" t="inlineStr">
        <is>
          <t>lite</t>
        </is>
      </c>
      <c r="E3787" s="5" t="inlineStr">
        <is>
          <t>SP</t>
        </is>
      </c>
      <c r="F3787" s="5" t="inlineStr">
        <is>
          <t>Vivo Lite</t>
        </is>
      </c>
      <c r="G3787" s="5" t="inlineStr">
        <is>
          <t>vivo:VIV202600033989</t>
        </is>
      </c>
      <c r="H3787" s="6" t="n">
        <v>55</v>
      </c>
      <c r="I3787" s="6" t="n">
        <v>40</v>
      </c>
      <c r="J3787" s="5" t="inlineStr">
        <is>
          <t>preço sem fidelidade; fidelidade 12m no promo</t>
        </is>
      </c>
      <c r="K3787" s="5" t="inlineStr"/>
      <c r="L3787" s="7" t="n">
        <v>40</v>
      </c>
      <c r="M3787" s="5" t="inlineStr">
        <is>
          <t>40 GB de franquia</t>
        </is>
      </c>
      <c r="N3787" s="5" t="inlineStr"/>
      <c r="O3787" s="5" t="inlineStr"/>
      <c r="P3787" s="5" t="inlineStr"/>
      <c r="Q3787" s="5" t="inlineStr"/>
      <c r="R3787" s="5" t="inlineStr"/>
      <c r="S3787" s="5" t="n">
        <v>12</v>
      </c>
      <c r="T3787" s="5" t="inlineStr"/>
      <c r="U3787" s="5" t="inlineStr">
        <is>
          <t>https://vivo.com.br/para-voce/produtos-e-servicos/para-o-celular/easy-lite</t>
        </is>
      </c>
      <c r="V3787" s="5" t="inlineStr">
        <is>
          <t>data/raw/vivo_lite_SP.html</t>
        </is>
      </c>
    </row>
    <row r="3788">
      <c r="A3788" s="2" t="inlineStr">
        <is>
          <t>2026-08-28</t>
        </is>
      </c>
      <c r="B3788" s="2" t="inlineStr">
        <is>
          <t>2026-08-28T02:04:32</t>
        </is>
      </c>
      <c r="C3788" s="2" t="inlineStr">
        <is>
          <t>vivo</t>
        </is>
      </c>
      <c r="D3788" s="2" t="inlineStr">
        <is>
          <t>lite</t>
        </is>
      </c>
      <c r="E3788" s="2" t="inlineStr">
        <is>
          <t>SP</t>
        </is>
      </c>
      <c r="F3788" s="2" t="inlineStr">
        <is>
          <t>Vivo Lite</t>
        </is>
      </c>
      <c r="G3788" s="2" t="inlineStr">
        <is>
          <t>vivo:VIV202600033992</t>
        </is>
      </c>
      <c r="H3788" s="3" t="n">
        <v>35</v>
      </c>
      <c r="I3788" s="3" t="inlineStr"/>
      <c r="J3788" s="2" t="inlineStr"/>
      <c r="K3788" s="2" t="inlineStr"/>
      <c r="L3788" s="4" t="n">
        <v>20</v>
      </c>
      <c r="M3788" s="2" t="inlineStr">
        <is>
          <t>20 GB de franquia</t>
        </is>
      </c>
      <c r="N3788" s="2" t="inlineStr"/>
      <c r="O3788" s="2" t="inlineStr"/>
      <c r="P3788" s="2" t="inlineStr"/>
      <c r="Q3788" s="2" t="inlineStr"/>
      <c r="R3788" s="2" t="inlineStr"/>
      <c r="S3788" s="2" t="inlineStr"/>
      <c r="T3788" s="2" t="inlineStr"/>
      <c r="U3788" s="2" t="inlineStr">
        <is>
          <t>https://vivo.com.br/para-voce/produtos-e-servicos/para-o-celular/easy-lite</t>
        </is>
      </c>
      <c r="V3788" s="2" t="inlineStr">
        <is>
          <t>data/raw/vivo_lite_SP.html</t>
        </is>
      </c>
    </row>
    <row r="3789">
      <c r="A3789" s="5" t="inlineStr">
        <is>
          <t>2026-08-28</t>
        </is>
      </c>
      <c r="B3789" s="5" t="inlineStr">
        <is>
          <t>2026-08-28T02:04:32</t>
        </is>
      </c>
      <c r="C3789" s="5" t="inlineStr">
        <is>
          <t>vivo</t>
        </is>
      </c>
      <c r="D3789" s="5" t="inlineStr">
        <is>
          <t>postpaid</t>
        </is>
      </c>
      <c r="E3789" s="5" t="inlineStr">
        <is>
          <t>SP</t>
        </is>
      </c>
      <c r="F3789" s="5" t="inlineStr">
        <is>
          <t>Vivo Família 2</t>
        </is>
      </c>
      <c r="G3789" s="5" t="inlineStr">
        <is>
          <t>vivo:VIV202600034547</t>
        </is>
      </c>
      <c r="H3789" s="6" t="n">
        <v>270</v>
      </c>
      <c r="I3789" s="6" t="inlineStr"/>
      <c r="J3789" s="5" t="inlineStr"/>
      <c r="K3789" s="5" t="inlineStr"/>
      <c r="L3789" s="7" t="n">
        <v>120</v>
      </c>
      <c r="M3789" s="5" t="inlineStr">
        <is>
          <t>120 GB de franquia Você + 1 linha adicional Roaming Internacional com Vivo Travel Américas e Europa</t>
        </is>
      </c>
      <c r="N3789" s="5" t="inlineStr"/>
      <c r="O3789" s="5" t="inlineStr"/>
      <c r="P3789" s="5" t="inlineStr"/>
      <c r="Q3789" s="5" t="inlineStr"/>
      <c r="R3789" s="5" t="inlineStr"/>
      <c r="S3789" s="5" t="inlineStr"/>
      <c r="T3789" s="5" t="inlineStr">
        <is>
          <t>12 meses grátis de Gemini com AI Plus</t>
        </is>
      </c>
      <c r="U3789" s="5" t="inlineStr">
        <is>
          <t>https://vivo.com.br/para-voce/produtos-e-servicos/para-o-celular/planos-pos-pago</t>
        </is>
      </c>
      <c r="V3789" s="5" t="inlineStr">
        <is>
          <t>data/raw/vivo_postpaid_SP.html</t>
        </is>
      </c>
    </row>
    <row r="3790">
      <c r="A3790" s="2" t="inlineStr">
        <is>
          <t>2026-08-28</t>
        </is>
      </c>
      <c r="B3790" s="2" t="inlineStr">
        <is>
          <t>2026-08-28T02:04:32</t>
        </is>
      </c>
      <c r="C3790" s="2" t="inlineStr">
        <is>
          <t>vivo</t>
        </is>
      </c>
      <c r="D3790" s="2" t="inlineStr">
        <is>
          <t>postpaid</t>
        </is>
      </c>
      <c r="E3790" s="2" t="inlineStr">
        <is>
          <t>SP</t>
        </is>
      </c>
      <c r="F3790" s="2" t="inlineStr">
        <is>
          <t>Vivo Família 3</t>
        </is>
      </c>
      <c r="G3790" s="2" t="inlineStr">
        <is>
          <t>vivo:VIV202600034540</t>
        </is>
      </c>
      <c r="H3790" s="3" t="n">
        <v>340</v>
      </c>
      <c r="I3790" s="3" t="inlineStr"/>
      <c r="J3790" s="2" t="inlineStr"/>
      <c r="K3790" s="2" t="inlineStr"/>
      <c r="L3790" s="4" t="n">
        <v>180</v>
      </c>
      <c r="M3790" s="2" t="inlineStr">
        <is>
          <t>180 GB de franquia Você + 2 linhas adicionais Roaming Internacional com Vivo Travel Américas e Europa</t>
        </is>
      </c>
      <c r="N3790" s="2" t="inlineStr"/>
      <c r="O3790" s="2" t="inlineStr"/>
      <c r="P3790" s="2" t="inlineStr"/>
      <c r="Q3790" s="2" t="inlineStr"/>
      <c r="R3790" s="2" t="inlineStr"/>
      <c r="S3790" s="2" t="inlineStr"/>
      <c r="T3790" s="2" t="inlineStr">
        <is>
          <t>12 meses grátis de Gemini com AI Plus</t>
        </is>
      </c>
      <c r="U3790" s="2" t="inlineStr">
        <is>
          <t>https://vivo.com.br/para-voce/produtos-e-servicos/para-o-celular/planos-pos-pago</t>
        </is>
      </c>
      <c r="V3790" s="2" t="inlineStr">
        <is>
          <t>data/raw/vivo_postpaid_SP.html</t>
        </is>
      </c>
    </row>
    <row r="3791">
      <c r="A3791" s="5" t="inlineStr">
        <is>
          <t>2026-08-28</t>
        </is>
      </c>
      <c r="B3791" s="5" t="inlineStr">
        <is>
          <t>2026-08-28T02:04:32</t>
        </is>
      </c>
      <c r="C3791" s="5" t="inlineStr">
        <is>
          <t>vivo</t>
        </is>
      </c>
      <c r="D3791" s="5" t="inlineStr">
        <is>
          <t>postpaid</t>
        </is>
      </c>
      <c r="E3791" s="5" t="inlineStr">
        <is>
          <t>SP</t>
        </is>
      </c>
      <c r="F3791" s="5" t="inlineStr">
        <is>
          <t>Vivo Família 4</t>
        </is>
      </c>
      <c r="G3791" s="5" t="inlineStr">
        <is>
          <t>vivo:VIV202600034531</t>
        </is>
      </c>
      <c r="H3791" s="6" t="n">
        <v>430</v>
      </c>
      <c r="I3791" s="6" t="inlineStr"/>
      <c r="J3791" s="5" t="inlineStr"/>
      <c r="K3791" s="5" t="inlineStr"/>
      <c r="L3791" s="7" t="n">
        <v>240</v>
      </c>
      <c r="M3791" s="5" t="inlineStr">
        <is>
          <t>240 GB de franquia Você + 3 linhas adicionais Roaming Internacional com Vivo Travel Américas e Europa</t>
        </is>
      </c>
      <c r="N3791" s="5" t="inlineStr"/>
      <c r="O3791" s="5" t="inlineStr"/>
      <c r="P3791" s="5" t="inlineStr"/>
      <c r="Q3791" s="5" t="inlineStr"/>
      <c r="R3791" s="5" t="inlineStr"/>
      <c r="S3791" s="5" t="inlineStr"/>
      <c r="T3791" s="5" t="inlineStr">
        <is>
          <t>12 meses grátis de Gemini com AI Plus</t>
        </is>
      </c>
      <c r="U3791" s="5" t="inlineStr">
        <is>
          <t>https://vivo.com.br/para-voce/produtos-e-servicos/para-o-celular/planos-pos-pago</t>
        </is>
      </c>
      <c r="V3791" s="5" t="inlineStr">
        <is>
          <t>data/raw/vivo_postpaid_SP.html</t>
        </is>
      </c>
    </row>
    <row r="3792">
      <c r="A3792" s="2" t="inlineStr">
        <is>
          <t>2026-08-28</t>
        </is>
      </c>
      <c r="B3792" s="2" t="inlineStr">
        <is>
          <t>2026-08-28T02:04:32</t>
        </is>
      </c>
      <c r="C3792" s="2" t="inlineStr">
        <is>
          <t>vivo</t>
        </is>
      </c>
      <c r="D3792" s="2" t="inlineStr">
        <is>
          <t>postpaid</t>
        </is>
      </c>
      <c r="E3792" s="2" t="inlineStr">
        <is>
          <t>SP</t>
        </is>
      </c>
      <c r="F3792" s="2" t="inlineStr">
        <is>
          <t>Vivo Família 5</t>
        </is>
      </c>
      <c r="G3792" s="2" t="inlineStr">
        <is>
          <t>vivo:VIV202600034526</t>
        </is>
      </c>
      <c r="H3792" s="3" t="n">
        <v>530</v>
      </c>
      <c r="I3792" s="3" t="inlineStr"/>
      <c r="J3792" s="2" t="inlineStr"/>
      <c r="K3792" s="2" t="inlineStr"/>
      <c r="L3792" s="4" t="n">
        <v>300</v>
      </c>
      <c r="M3792" s="2" t="inlineStr">
        <is>
          <t>300 GB de franquia Você + 4 linhas adicionais Roaming Internacional com Vivo Travel Américas e Europa</t>
        </is>
      </c>
      <c r="N3792" s="2" t="inlineStr"/>
      <c r="O3792" s="2" t="inlineStr"/>
      <c r="P3792" s="2" t="inlineStr"/>
      <c r="Q3792" s="2" t="inlineStr"/>
      <c r="R3792" s="2" t="inlineStr"/>
      <c r="S3792" s="2" t="inlineStr"/>
      <c r="T3792" s="2" t="inlineStr">
        <is>
          <t>12 meses grátis de Gemini com AI Plus</t>
        </is>
      </c>
      <c r="U3792" s="2" t="inlineStr">
        <is>
          <t>https://vivo.com.br/para-voce/produtos-e-servicos/para-o-celular/planos-pos-pago</t>
        </is>
      </c>
      <c r="V3792" s="2" t="inlineStr">
        <is>
          <t>data/raw/vivo_postpaid_SP.html</t>
        </is>
      </c>
    </row>
    <row r="3793">
      <c r="A3793" s="5" t="inlineStr">
        <is>
          <t>2026-08-28</t>
        </is>
      </c>
      <c r="B3793" s="5" t="inlineStr">
        <is>
          <t>2026-08-28T02:04:32</t>
        </is>
      </c>
      <c r="C3793" s="5" t="inlineStr">
        <is>
          <t>vivo</t>
        </is>
      </c>
      <c r="D3793" s="5" t="inlineStr">
        <is>
          <t>postpaid</t>
        </is>
      </c>
      <c r="E3793" s="5" t="inlineStr">
        <is>
          <t>SP</t>
        </is>
      </c>
      <c r="F3793" s="5" t="inlineStr">
        <is>
          <t>Vivo Pós com Amazon</t>
        </is>
      </c>
      <c r="G3793" s="5" t="inlineStr">
        <is>
          <t>vivo:VIV202600034554</t>
        </is>
      </c>
      <c r="H3793" s="6" t="n">
        <v>150</v>
      </c>
      <c r="I3793" s="6" t="inlineStr"/>
      <c r="J3793" s="5" t="inlineStr"/>
      <c r="K3793" s="5" t="inlineStr"/>
      <c r="L3793" s="7" t="n">
        <v>60</v>
      </c>
      <c r="M3793" s="5" t="inlineStr">
        <is>
          <t>50 GB de franquia 10 GB de bônus</t>
        </is>
      </c>
      <c r="N3793" s="5" t="inlineStr"/>
      <c r="O3793" s="5" t="inlineStr"/>
      <c r="P3793" s="5" t="inlineStr"/>
      <c r="Q3793" s="5" t="inlineStr"/>
      <c r="R3793" s="5" t="inlineStr"/>
      <c r="S3793" s="5" t="inlineStr"/>
      <c r="T3793" s="5" t="inlineStr">
        <is>
          <t>Assinatura Amazon Prime inclusa</t>
        </is>
      </c>
      <c r="U3793" s="5" t="inlineStr">
        <is>
          <t>https://vivo.com.br/para-voce/produtos-e-servicos/para-o-celular/planos-pos-pago</t>
        </is>
      </c>
      <c r="V3793" s="5" t="inlineStr">
        <is>
          <t>data/raw/vivo_postpaid_SP.html</t>
        </is>
      </c>
    </row>
    <row r="3794">
      <c r="A3794" s="2" t="inlineStr">
        <is>
          <t>2026-08-28</t>
        </is>
      </c>
      <c r="B3794" s="2" t="inlineStr">
        <is>
          <t>2026-08-28T02:04:32</t>
        </is>
      </c>
      <c r="C3794" s="2" t="inlineStr">
        <is>
          <t>vivo</t>
        </is>
      </c>
      <c r="D3794" s="2" t="inlineStr">
        <is>
          <t>postpaid</t>
        </is>
      </c>
      <c r="E3794" s="2" t="inlineStr">
        <is>
          <t>SP</t>
        </is>
      </c>
      <c r="F3794" s="2" t="inlineStr">
        <is>
          <t>Vivo Pós com Disney+</t>
        </is>
      </c>
      <c r="G3794" s="2" t="inlineStr">
        <is>
          <t>vivo:VIV202600034532</t>
        </is>
      </c>
      <c r="H3794" s="3" t="n">
        <v>180</v>
      </c>
      <c r="I3794" s="3" t="inlineStr"/>
      <c r="J3794" s="2" t="inlineStr"/>
      <c r="K3794" s="2" t="inlineStr"/>
      <c r="L3794" s="4" t="n">
        <v>60</v>
      </c>
      <c r="M3794" s="2" t="inlineStr">
        <is>
          <t>50 GB de franquia 10 GB de bônus</t>
        </is>
      </c>
      <c r="N3794" s="2" t="inlineStr"/>
      <c r="O3794" s="2" t="inlineStr"/>
      <c r="P3794" s="2" t="inlineStr"/>
      <c r="Q3794" s="2" t="inlineStr"/>
      <c r="R3794" s="2" t="inlineStr">
        <is>
          <t>Disney+</t>
        </is>
      </c>
      <c r="S3794" s="2" t="inlineStr"/>
      <c r="T3794" s="2" t="inlineStr">
        <is>
          <t>Assinatura Disney+ Padrão inclusa</t>
        </is>
      </c>
      <c r="U3794" s="2" t="inlineStr">
        <is>
          <t>https://vivo.com.br/para-voce/produtos-e-servicos/para-o-celular/planos-pos-pago</t>
        </is>
      </c>
      <c r="V3794" s="2" t="inlineStr">
        <is>
          <t>data/raw/vivo_postpaid_SP.html</t>
        </is>
      </c>
    </row>
    <row r="3795">
      <c r="A3795" s="5" t="inlineStr">
        <is>
          <t>2026-08-28</t>
        </is>
      </c>
      <c r="B3795" s="5" t="inlineStr">
        <is>
          <t>2026-08-28T02:04:32</t>
        </is>
      </c>
      <c r="C3795" s="5" t="inlineStr">
        <is>
          <t>vivo</t>
        </is>
      </c>
      <c r="D3795" s="5" t="inlineStr">
        <is>
          <t>postpaid</t>
        </is>
      </c>
      <c r="E3795" s="5" t="inlineStr">
        <is>
          <t>SP</t>
        </is>
      </c>
      <c r="F3795" s="5" t="inlineStr">
        <is>
          <t>Vivo Pós com Globoplay</t>
        </is>
      </c>
      <c r="G3795" s="5" t="inlineStr">
        <is>
          <t>vivo:VIV202600034575</t>
        </is>
      </c>
      <c r="H3795" s="6" t="n">
        <v>165</v>
      </c>
      <c r="I3795" s="6" t="inlineStr"/>
      <c r="J3795" s="5" t="inlineStr"/>
      <c r="K3795" s="5" t="inlineStr"/>
      <c r="L3795" s="7" t="n">
        <v>60</v>
      </c>
      <c r="M3795" s="5" t="inlineStr">
        <is>
          <t>50 GB de franquia 10 GB de bônus</t>
        </is>
      </c>
      <c r="N3795" s="5" t="inlineStr"/>
      <c r="O3795" s="5" t="inlineStr"/>
      <c r="P3795" s="5" t="inlineStr"/>
      <c r="Q3795" s="5" t="inlineStr"/>
      <c r="R3795" s="5" t="inlineStr">
        <is>
          <t>Globoplay</t>
        </is>
      </c>
      <c r="S3795" s="5" t="inlineStr"/>
      <c r="T3795" s="5" t="inlineStr">
        <is>
          <t>Assinatura Globoplay inclusa</t>
        </is>
      </c>
      <c r="U3795" s="5" t="inlineStr">
        <is>
          <t>https://vivo.com.br/para-voce/produtos-e-servicos/para-o-celular/planos-pos-pago</t>
        </is>
      </c>
      <c r="V3795" s="5" t="inlineStr">
        <is>
          <t>data/raw/vivo_postpaid_SP.html</t>
        </is>
      </c>
    </row>
    <row r="3796">
      <c r="A3796" s="2" t="inlineStr">
        <is>
          <t>2026-08-28</t>
        </is>
      </c>
      <c r="B3796" s="2" t="inlineStr">
        <is>
          <t>2026-08-28T02:04:32</t>
        </is>
      </c>
      <c r="C3796" s="2" t="inlineStr">
        <is>
          <t>vivo</t>
        </is>
      </c>
      <c r="D3796" s="2" t="inlineStr">
        <is>
          <t>postpaid</t>
        </is>
      </c>
      <c r="E3796" s="2" t="inlineStr">
        <is>
          <t>SP</t>
        </is>
      </c>
      <c r="F3796" s="2" t="inlineStr">
        <is>
          <t>Vivo Pós com Netflix</t>
        </is>
      </c>
      <c r="G3796" s="2" t="inlineStr">
        <is>
          <t>vivo:VIV202600034562</t>
        </is>
      </c>
      <c r="H3796" s="3" t="n">
        <v>180</v>
      </c>
      <c r="I3796" s="3" t="inlineStr"/>
      <c r="J3796" s="2" t="inlineStr"/>
      <c r="K3796" s="2" t="inlineStr"/>
      <c r="L3796" s="4" t="n">
        <v>60</v>
      </c>
      <c r="M3796" s="2" t="inlineStr">
        <is>
          <t>50 GB de franquia 10 GB de bônus</t>
        </is>
      </c>
      <c r="N3796" s="2" t="inlineStr"/>
      <c r="O3796" s="2" t="inlineStr"/>
      <c r="P3796" s="2" t="inlineStr"/>
      <c r="Q3796" s="2" t="inlineStr"/>
      <c r="R3796" s="2" t="inlineStr">
        <is>
          <t>Netflix</t>
        </is>
      </c>
      <c r="S3796" s="2" t="inlineStr"/>
      <c r="T3796" s="2" t="inlineStr">
        <is>
          <t>Assinatura Netflix Padrão inclusa</t>
        </is>
      </c>
      <c r="U3796" s="2" t="inlineStr">
        <is>
          <t>https://vivo.com.br/para-voce/produtos-e-servicos/para-o-celular/planos-pos-pago</t>
        </is>
      </c>
      <c r="V3796" s="2" t="inlineStr">
        <is>
          <t>data/raw/vivo_postpaid_SP.html</t>
        </is>
      </c>
    </row>
    <row r="3797">
      <c r="A3797" s="5" t="inlineStr">
        <is>
          <t>2026-08-28</t>
        </is>
      </c>
      <c r="B3797" s="5" t="inlineStr">
        <is>
          <t>2026-08-28T02:04:32</t>
        </is>
      </c>
      <c r="C3797" s="5" t="inlineStr">
        <is>
          <t>vivo</t>
        </is>
      </c>
      <c r="D3797" s="5" t="inlineStr">
        <is>
          <t>postpaid</t>
        </is>
      </c>
      <c r="E3797" s="5" t="inlineStr">
        <is>
          <t>SP</t>
        </is>
      </c>
      <c r="F3797" s="5" t="inlineStr">
        <is>
          <t>Vivo Pós com Premiere</t>
        </is>
      </c>
      <c r="G3797" s="5" t="inlineStr">
        <is>
          <t>vivo:VIV202600034579</t>
        </is>
      </c>
      <c r="H3797" s="6" t="n">
        <v>180</v>
      </c>
      <c r="I3797" s="6" t="inlineStr"/>
      <c r="J3797" s="5" t="inlineStr"/>
      <c r="K3797" s="5" t="inlineStr"/>
      <c r="L3797" s="7" t="n">
        <v>60</v>
      </c>
      <c r="M3797" s="5" t="inlineStr">
        <is>
          <t>50 GB de franquia 10 GB de bônus</t>
        </is>
      </c>
      <c r="N3797" s="5" t="inlineStr"/>
      <c r="O3797" s="5" t="inlineStr"/>
      <c r="P3797" s="5" t="inlineStr"/>
      <c r="Q3797" s="5" t="inlineStr"/>
      <c r="R3797" s="5" t="inlineStr">
        <is>
          <t>Premiere</t>
        </is>
      </c>
      <c r="S3797" s="5" t="inlineStr"/>
      <c r="T3797" s="5" t="inlineStr">
        <is>
          <t>Assinatura Premiere inclusa</t>
        </is>
      </c>
      <c r="U3797" s="5" t="inlineStr">
        <is>
          <t>https://vivo.com.br/para-voce/produtos-e-servicos/para-o-celular/planos-pos-pago</t>
        </is>
      </c>
      <c r="V3797" s="5" t="inlineStr">
        <is>
          <t>data/raw/vivo_postpaid_SP.html</t>
        </is>
      </c>
    </row>
    <row r="3798">
      <c r="A3798" s="2" t="inlineStr">
        <is>
          <t>2026-08-28</t>
        </is>
      </c>
      <c r="B3798" s="2" t="inlineStr">
        <is>
          <t>2026-08-28T02:04:32</t>
        </is>
      </c>
      <c r="C3798" s="2" t="inlineStr">
        <is>
          <t>vivo</t>
        </is>
      </c>
      <c r="D3798" s="2" t="inlineStr">
        <is>
          <t>postpaid</t>
        </is>
      </c>
      <c r="E3798" s="2" t="inlineStr">
        <is>
          <t>SP</t>
        </is>
      </c>
      <c r="F3798" s="2" t="inlineStr">
        <is>
          <t>Vivo Pós com Spotify</t>
        </is>
      </c>
      <c r="G3798" s="2" t="inlineStr">
        <is>
          <t>vivo:VIV202600034556</t>
        </is>
      </c>
      <c r="H3798" s="3" t="n">
        <v>165</v>
      </c>
      <c r="I3798" s="3" t="inlineStr"/>
      <c r="J3798" s="2" t="inlineStr"/>
      <c r="K3798" s="2" t="inlineStr"/>
      <c r="L3798" s="4" t="n">
        <v>60</v>
      </c>
      <c r="M3798" s="2" t="inlineStr">
        <is>
          <t>50 GB de franquia 10 GB de bônus</t>
        </is>
      </c>
      <c r="N3798" s="2" t="inlineStr"/>
      <c r="O3798" s="2" t="inlineStr"/>
      <c r="P3798" s="2" t="inlineStr"/>
      <c r="Q3798" s="2" t="inlineStr"/>
      <c r="R3798" s="2" t="inlineStr">
        <is>
          <t>Spotify</t>
        </is>
      </c>
      <c r="S3798" s="2" t="inlineStr"/>
      <c r="T3798" s="2" t="inlineStr">
        <is>
          <t>Assinatura Spotify Premium inclusa</t>
        </is>
      </c>
      <c r="U3798" s="2" t="inlineStr">
        <is>
          <t>https://vivo.com.br/para-voce/produtos-e-servicos/para-o-celular/planos-pos-pago</t>
        </is>
      </c>
      <c r="V3798" s="2" t="inlineStr">
        <is>
          <t>data/raw/vivo_postpaid_SP.html</t>
        </is>
      </c>
    </row>
    <row r="3799">
      <c r="A3799" s="5" t="inlineStr">
        <is>
          <t>2026-08-28</t>
        </is>
      </c>
      <c r="B3799" s="5" t="inlineStr">
        <is>
          <t>2026-08-28T02:04:32</t>
        </is>
      </c>
      <c r="C3799" s="5" t="inlineStr">
        <is>
          <t>vivo</t>
        </is>
      </c>
      <c r="D3799" s="5" t="inlineStr">
        <is>
          <t>postpaid</t>
        </is>
      </c>
      <c r="E3799" s="5" t="inlineStr">
        <is>
          <t>SP</t>
        </is>
      </c>
      <c r="F3799" s="5" t="inlineStr">
        <is>
          <t>Vivo Pós com Travel</t>
        </is>
      </c>
      <c r="G3799" s="5" t="inlineStr">
        <is>
          <t>vivo:VIV202600034573</t>
        </is>
      </c>
      <c r="H3799" s="6" t="n">
        <v>215</v>
      </c>
      <c r="I3799" s="6" t="inlineStr"/>
      <c r="J3799" s="5" t="inlineStr"/>
      <c r="K3799" s="5" t="inlineStr"/>
      <c r="L3799" s="7" t="n">
        <v>70</v>
      </c>
      <c r="M3799" s="5" t="inlineStr">
        <is>
          <t>60 GB de franquia 10 GB de bônus</t>
        </is>
      </c>
      <c r="N3799" s="5" t="inlineStr"/>
      <c r="O3799" s="5" t="inlineStr"/>
      <c r="P3799" s="5" t="inlineStr"/>
      <c r="Q3799" s="5" t="inlineStr"/>
      <c r="R3799" s="5" t="inlineStr"/>
      <c r="S3799" s="5" t="inlineStr"/>
      <c r="T3799" s="5" t="inlineStr">
        <is>
          <t>6 meses grátis de Gemini com AI Plus</t>
        </is>
      </c>
      <c r="U3799" s="5" t="inlineStr">
        <is>
          <t>https://vivo.com.br/para-voce/produtos-e-servicos/para-o-celular/planos-pos-pago</t>
        </is>
      </c>
      <c r="V3799" s="5" t="inlineStr">
        <is>
          <t>data/raw/vivo_postpaid_SP.html</t>
        </is>
      </c>
    </row>
    <row r="3800">
      <c r="A3800" s="2" t="inlineStr">
        <is>
          <t>2026-08-28</t>
        </is>
      </c>
      <c r="B3800" s="2" t="inlineStr">
        <is>
          <t>2026-08-28T02:04:32</t>
        </is>
      </c>
      <c r="C3800" s="2" t="inlineStr">
        <is>
          <t>vivo</t>
        </is>
      </c>
      <c r="D3800" s="2" t="inlineStr">
        <is>
          <t>prepaid</t>
        </is>
      </c>
      <c r="E3800" s="2" t="inlineStr">
        <is>
          <t>SP</t>
        </is>
      </c>
      <c r="F3800" s="2" t="inlineStr">
        <is>
          <t>Vivo Pré</t>
        </is>
      </c>
      <c r="G3800" s="2" t="inlineStr">
        <is>
          <t>vivo:VIV202600029370-30d</t>
        </is>
      </c>
      <c r="H3800" s="3" t="n">
        <v>30</v>
      </c>
      <c r="I3800" s="3" t="inlineStr"/>
      <c r="J3800" s="2" t="inlineStr"/>
      <c r="K3800" s="2" t="inlineStr"/>
      <c r="L3800" s="4" t="n">
        <v>25</v>
      </c>
      <c r="M3800" s="2" t="inlineStr">
        <is>
          <t>15 GB para navegar como quiser 5 GB de bônus 5 GB para navegar no Youtube</t>
        </is>
      </c>
      <c r="N3800" s="2" t="n">
        <v>30</v>
      </c>
      <c r="O3800" s="2" t="inlineStr"/>
      <c r="P3800" s="2" t="inlineStr"/>
      <c r="Q3800" s="2" t="inlineStr"/>
      <c r="R3800" s="2" t="inlineStr"/>
      <c r="S3800" s="2" t="inlineStr"/>
      <c r="T3800" s="2" t="inlineStr"/>
      <c r="U3800" s="2" t="inlineStr">
        <is>
          <t>https://vivo.com.br/para-voce/produtos-e-servicos/para-o-celular/pre-pago/vivo-pre</t>
        </is>
      </c>
      <c r="V3800" s="2" t="inlineStr">
        <is>
          <t>data/raw/vivo_prepaid_SP.html</t>
        </is>
      </c>
    </row>
    <row r="3801">
      <c r="A3801" s="5" t="inlineStr">
        <is>
          <t>2026-08-28</t>
        </is>
      </c>
      <c r="B3801" s="5" t="inlineStr">
        <is>
          <t>2026-08-28T02:04:32</t>
        </is>
      </c>
      <c r="C3801" s="5" t="inlineStr">
        <is>
          <t>vivo</t>
        </is>
      </c>
      <c r="D3801" s="5" t="inlineStr">
        <is>
          <t>prepaid</t>
        </is>
      </c>
      <c r="E3801" s="5" t="inlineStr">
        <is>
          <t>SP</t>
        </is>
      </c>
      <c r="F3801" s="5" t="inlineStr">
        <is>
          <t>Vivo Pré</t>
        </is>
      </c>
      <c r="G3801" s="5" t="inlineStr">
        <is>
          <t>vivo:VIV202600029370-22d</t>
        </is>
      </c>
      <c r="H3801" s="6" t="n">
        <v>25</v>
      </c>
      <c r="I3801" s="6" t="inlineStr"/>
      <c r="J3801" s="5" t="inlineStr"/>
      <c r="K3801" s="5" t="inlineStr"/>
      <c r="L3801" s="7" t="n">
        <v>9</v>
      </c>
      <c r="M3801" s="5" t="inlineStr">
        <is>
          <t>6 GB para navegar como quiser 3 GB para navegar no YouTube</t>
        </is>
      </c>
      <c r="N3801" s="5" t="n">
        <v>22</v>
      </c>
      <c r="O3801" s="5" t="inlineStr"/>
      <c r="P3801" s="5" t="inlineStr"/>
      <c r="Q3801" s="5" t="inlineStr"/>
      <c r="R3801" s="5" t="inlineStr"/>
      <c r="S3801" s="5" t="inlineStr"/>
      <c r="T3801" s="5" t="inlineStr"/>
      <c r="U3801" s="5" t="inlineStr">
        <is>
          <t>https://vivo.com.br/para-voce/produtos-e-servicos/para-o-celular/pre-pago/vivo-pre</t>
        </is>
      </c>
      <c r="V3801" s="5" t="inlineStr">
        <is>
          <t>data/raw/vivo_prepaid_SP.html</t>
        </is>
      </c>
    </row>
    <row r="3802">
      <c r="A3802" s="2" t="inlineStr">
        <is>
          <t>2026-08-28</t>
        </is>
      </c>
      <c r="B3802" s="2" t="inlineStr">
        <is>
          <t>2026-08-28T02:04:32</t>
        </is>
      </c>
      <c r="C3802" s="2" t="inlineStr">
        <is>
          <t>vivo</t>
        </is>
      </c>
      <c r="D3802" s="2" t="inlineStr">
        <is>
          <t>prepaid</t>
        </is>
      </c>
      <c r="E3802" s="2" t="inlineStr">
        <is>
          <t>SP</t>
        </is>
      </c>
      <c r="F3802" s="2" t="inlineStr">
        <is>
          <t>Vivo Pré</t>
        </is>
      </c>
      <c r="G3802" s="2" t="inlineStr">
        <is>
          <t>vivo:VIV202600029370-17d</t>
        </is>
      </c>
      <c r="H3802" s="3" t="n">
        <v>20</v>
      </c>
      <c r="I3802" s="3" t="inlineStr"/>
      <c r="J3802" s="2" t="inlineStr"/>
      <c r="K3802" s="2" t="inlineStr"/>
      <c r="L3802" s="4" t="n">
        <v>5</v>
      </c>
      <c r="M3802" s="2" t="inlineStr">
        <is>
          <t>5 GB para navegar como quiser</t>
        </is>
      </c>
      <c r="N3802" s="2" t="n">
        <v>17</v>
      </c>
      <c r="O3802" s="2" t="inlineStr"/>
      <c r="P3802" s="2" t="inlineStr"/>
      <c r="Q3802" s="2" t="inlineStr"/>
      <c r="R3802" s="2" t="inlineStr"/>
      <c r="S3802" s="2" t="inlineStr"/>
      <c r="T3802" s="2" t="inlineStr"/>
      <c r="U3802" s="2" t="inlineStr">
        <is>
          <t>https://vivo.com.br/para-voce/produtos-e-servicos/para-o-celular/pre-pago/vivo-pre</t>
        </is>
      </c>
      <c r="V3802" s="2" t="inlineStr">
        <is>
          <t>data/raw/vivo_prepaid_SP.html</t>
        </is>
      </c>
    </row>
    <row r="3803">
      <c r="A3803" s="5" t="inlineStr">
        <is>
          <t>2026-08-28</t>
        </is>
      </c>
      <c r="B3803" s="5" t="inlineStr">
        <is>
          <t>2026-08-28T02:04:32</t>
        </is>
      </c>
      <c r="C3803" s="5" t="inlineStr">
        <is>
          <t>vivo</t>
        </is>
      </c>
      <c r="D3803" s="5" t="inlineStr">
        <is>
          <t>prepaid</t>
        </is>
      </c>
      <c r="E3803" s="5" t="inlineStr">
        <is>
          <t>SP</t>
        </is>
      </c>
      <c r="F3803" s="5" t="inlineStr">
        <is>
          <t>Vivo Pré</t>
        </is>
      </c>
      <c r="G3803" s="5" t="inlineStr">
        <is>
          <t>vivo:VIV202600029370-15d</t>
        </is>
      </c>
      <c r="H3803" s="6" t="n">
        <v>17</v>
      </c>
      <c r="I3803" s="6" t="inlineStr"/>
      <c r="J3803" s="5" t="inlineStr"/>
      <c r="K3803" s="5" t="inlineStr"/>
      <c r="L3803" s="7" t="n">
        <v>4</v>
      </c>
      <c r="M3803" s="5" t="inlineStr">
        <is>
          <t>4 GB para navegar como quiser</t>
        </is>
      </c>
      <c r="N3803" s="5" t="n">
        <v>15</v>
      </c>
      <c r="O3803" s="5" t="inlineStr"/>
      <c r="P3803" s="5" t="inlineStr"/>
      <c r="Q3803" s="5" t="inlineStr"/>
      <c r="R3803" s="5" t="inlineStr"/>
      <c r="S3803" s="5" t="inlineStr"/>
      <c r="T3803" s="5" t="inlineStr"/>
      <c r="U3803" s="5" t="inlineStr">
        <is>
          <t>https://vivo.com.br/para-voce/produtos-e-servicos/para-o-celular/pre-pago/vivo-pre</t>
        </is>
      </c>
      <c r="V3803" s="5" t="inlineStr">
        <is>
          <t>data/raw/vivo_prepaid_SP.html</t>
        </is>
      </c>
    </row>
    <row r="3804">
      <c r="A3804" s="2" t="inlineStr">
        <is>
          <t>2026-08-29</t>
        </is>
      </c>
      <c r="B3804" s="2" t="inlineStr">
        <is>
          <t>2026-08-29T00:03:20</t>
        </is>
      </c>
      <c r="C3804" s="2" t="inlineStr">
        <is>
          <t>claro</t>
        </is>
      </c>
      <c r="D3804" s="2" t="inlineStr">
        <is>
          <t>control</t>
        </is>
      </c>
      <c r="E3804" s="2" t="inlineStr">
        <is>
          <t>SP</t>
        </is>
      </c>
      <c r="F3804" s="2" t="inlineStr">
        <is>
          <t>Controle 25GB</t>
        </is>
      </c>
      <c r="G3804" s="2" t="inlineStr">
        <is>
          <t>claro:plano-controle-25gb</t>
        </is>
      </c>
      <c r="H3804" s="3" t="n">
        <v>59.9</v>
      </c>
      <c r="I3804" s="3" t="n">
        <v>54.9</v>
      </c>
      <c r="J3804" s="2" t="inlineStr">
        <is>
          <t>De R$ 59,90 Por:</t>
        </is>
      </c>
      <c r="K3804" s="2" t="inlineStr"/>
      <c r="L3804" s="4" t="n">
        <v>25</v>
      </c>
      <c r="M3804" s="2" t="inlineStr"/>
      <c r="N3804" s="2" t="inlineStr"/>
      <c r="O3804" s="2" t="inlineStr">
        <is>
          <t>WhatsApp</t>
        </is>
      </c>
      <c r="P3804" s="2" t="inlineStr"/>
      <c r="Q3804" s="2" t="inlineStr"/>
      <c r="R3804" s="2" t="inlineStr"/>
      <c r="S3804" s="2" t="inlineStr"/>
      <c r="T3804" s="2" t="inlineStr">
        <is>
          <t>Para uso livre; Para redes sociais e vídeos; Bônus exclusivo; Aproveite na sua franquia; WhatsApp e ligações ilimitadas</t>
        </is>
      </c>
      <c r="U3804" s="2" t="inlineStr">
        <is>
          <t>https://www.claro.com.br/celular/controle</t>
        </is>
      </c>
      <c r="V3804" s="2" t="inlineStr">
        <is>
          <t>data/raw/claro_control_SP.json</t>
        </is>
      </c>
    </row>
    <row r="3805">
      <c r="A3805" s="5" t="inlineStr">
        <is>
          <t>2026-08-29</t>
        </is>
      </c>
      <c r="B3805" s="5" t="inlineStr">
        <is>
          <t>2026-08-29T00:03:20</t>
        </is>
      </c>
      <c r="C3805" s="5" t="inlineStr">
        <is>
          <t>claro</t>
        </is>
      </c>
      <c r="D3805" s="5" t="inlineStr">
        <is>
          <t>control</t>
        </is>
      </c>
      <c r="E3805" s="5" t="inlineStr">
        <is>
          <t>SP</t>
        </is>
      </c>
      <c r="F3805" s="5" t="inlineStr">
        <is>
          <t>Controle 30GB</t>
        </is>
      </c>
      <c r="G3805" s="5" t="inlineStr">
        <is>
          <t>claro:plano-controle-30gb</t>
        </is>
      </c>
      <c r="H3805" s="6" t="n">
        <v>69.90000000000001</v>
      </c>
      <c r="I3805" s="6" t="inlineStr"/>
      <c r="J3805" s="5" t="inlineStr"/>
      <c r="K3805" s="5" t="inlineStr"/>
      <c r="L3805" s="7" t="n">
        <v>30</v>
      </c>
      <c r="M3805" s="5" t="inlineStr"/>
      <c r="N3805" s="5" t="inlineStr"/>
      <c r="O3805" s="5" t="inlineStr">
        <is>
          <t>WhatsApp</t>
        </is>
      </c>
      <c r="P3805" s="5" t="inlineStr"/>
      <c r="Q3805" s="5" t="inlineStr"/>
      <c r="R3805" s="5" t="inlineStr"/>
      <c r="S3805" s="5" t="inlineStr"/>
      <c r="T3805" s="5" t="inlineStr">
        <is>
          <t>Para uso livre; Bônus para uso livre; Bônus para redes sociais e apps; Assinatura Amazon Prime por 3 meses; Redes sociais e apps; WhatsApp ilimitado</t>
        </is>
      </c>
      <c r="U3805" s="5" t="inlineStr">
        <is>
          <t>https://www.claro.com.br/celular/controle</t>
        </is>
      </c>
      <c r="V3805" s="5" t="inlineStr">
        <is>
          <t>data/raw/claro_control_SP.json</t>
        </is>
      </c>
    </row>
    <row r="3806">
      <c r="A3806" s="2" t="inlineStr">
        <is>
          <t>2026-08-29</t>
        </is>
      </c>
      <c r="B3806" s="2" t="inlineStr">
        <is>
          <t>2026-08-29T00:03:20</t>
        </is>
      </c>
      <c r="C3806" s="2" t="inlineStr">
        <is>
          <t>claro</t>
        </is>
      </c>
      <c r="D3806" s="2" t="inlineStr">
        <is>
          <t>control</t>
        </is>
      </c>
      <c r="E3806" s="2" t="inlineStr">
        <is>
          <t>SP</t>
        </is>
      </c>
      <c r="F3806" s="2" t="inlineStr">
        <is>
          <t>Controle 30GB</t>
        </is>
      </c>
      <c r="G3806" s="2" t="inlineStr">
        <is>
          <t>claro:plano-controle-30gb-gaming</t>
        </is>
      </c>
      <c r="H3806" s="3" t="n">
        <v>99.90000000000001</v>
      </c>
      <c r="I3806" s="3" t="inlineStr"/>
      <c r="J3806" s="2" t="inlineStr"/>
      <c r="K3806" s="2" t="inlineStr"/>
      <c r="L3806" s="4" t="n">
        <v>30</v>
      </c>
      <c r="M3806" s="2" t="inlineStr"/>
      <c r="N3806" s="2" t="inlineStr"/>
      <c r="O3806" s="2" t="inlineStr">
        <is>
          <t>WhatsApp</t>
        </is>
      </c>
      <c r="P3806" s="2" t="inlineStr"/>
      <c r="Q3806" s="2" t="inlineStr"/>
      <c r="R3806" s="2" t="inlineStr"/>
      <c r="S3806" s="2" t="inlineStr"/>
      <c r="T3806" s="2" t="inlineStr">
        <is>
          <t>Para uso livre; Bônus para redes sociais e apps; Bônus uso livre; Assinatura Amazon Prime por 3 meses; Redes sociais e apps; WhatsApp ilimitado</t>
        </is>
      </c>
      <c r="U3806" s="2" t="inlineStr">
        <is>
          <t>https://www.claro.com.br/celular/controle</t>
        </is>
      </c>
      <c r="V3806" s="2" t="inlineStr">
        <is>
          <t>data/raw/claro_control_SP.json</t>
        </is>
      </c>
    </row>
    <row r="3807">
      <c r="A3807" s="5" t="inlineStr">
        <is>
          <t>2026-08-29</t>
        </is>
      </c>
      <c r="B3807" s="5" t="inlineStr">
        <is>
          <t>2026-08-29T00:03:20</t>
        </is>
      </c>
      <c r="C3807" s="5" t="inlineStr">
        <is>
          <t>claro</t>
        </is>
      </c>
      <c r="D3807" s="5" t="inlineStr">
        <is>
          <t>flex</t>
        </is>
      </c>
      <c r="E3807" s="5" t="inlineStr">
        <is>
          <t>SP</t>
        </is>
      </c>
      <c r="F3807" s="5" t="inlineStr">
        <is>
          <t>Flex 15GB</t>
        </is>
      </c>
      <c r="G3807" s="5" t="inlineStr">
        <is>
          <t>claro:plano-flex-15gb</t>
        </is>
      </c>
      <c r="H3807" s="6" t="n">
        <v>44.9</v>
      </c>
      <c r="I3807" s="6" t="inlineStr"/>
      <c r="J3807" s="5" t="inlineStr"/>
      <c r="K3807" s="5" t="inlineStr"/>
      <c r="L3807" s="7" t="n">
        <v>15</v>
      </c>
      <c r="M3807" s="5" t="inlineStr"/>
      <c r="N3807" s="5" t="inlineStr"/>
      <c r="O3807" s="5" t="inlineStr">
        <is>
          <t>WhatsApp</t>
        </is>
      </c>
      <c r="P3807" s="5" t="inlineStr"/>
      <c r="Q3807" s="5" t="inlineStr"/>
      <c r="R3807" s="5" t="inlineStr"/>
      <c r="S3807" s="5" t="inlineStr"/>
      <c r="T3807" s="5" t="inlineStr">
        <is>
          <t>Para uso livre; Bônus Pais para uso livre; Para redes sociais e apps; Bônus extra nos apps; WhatsApp ilimitado</t>
        </is>
      </c>
      <c r="U3807" s="5" t="inlineStr">
        <is>
          <t>https://www.claro.com.br/celular/flex</t>
        </is>
      </c>
      <c r="V3807" s="5" t="inlineStr">
        <is>
          <t>data/raw/claro_flex_SP.json</t>
        </is>
      </c>
    </row>
    <row r="3808">
      <c r="A3808" s="2" t="inlineStr">
        <is>
          <t>2026-08-29</t>
        </is>
      </c>
      <c r="B3808" s="2" t="inlineStr">
        <is>
          <t>2026-08-29T00:03:20</t>
        </is>
      </c>
      <c r="C3808" s="2" t="inlineStr">
        <is>
          <t>claro</t>
        </is>
      </c>
      <c r="D3808" s="2" t="inlineStr">
        <is>
          <t>flex</t>
        </is>
      </c>
      <c r="E3808" s="2" t="inlineStr">
        <is>
          <t>SP</t>
        </is>
      </c>
      <c r="F3808" s="2" t="inlineStr">
        <is>
          <t>Flex 20GB</t>
        </is>
      </c>
      <c r="G3808" s="2" t="inlineStr">
        <is>
          <t>claro:plano-flex-20gb</t>
        </is>
      </c>
      <c r="H3808" s="3" t="n">
        <v>59.9</v>
      </c>
      <c r="I3808" s="3" t="inlineStr"/>
      <c r="J3808" s="2" t="inlineStr"/>
      <c r="K3808" s="2" t="inlineStr"/>
      <c r="L3808" s="4" t="n">
        <v>20</v>
      </c>
      <c r="M3808" s="2" t="inlineStr"/>
      <c r="N3808" s="2" t="inlineStr"/>
      <c r="O3808" s="2" t="inlineStr">
        <is>
          <t>WhatsApp</t>
        </is>
      </c>
      <c r="P3808" s="2" t="inlineStr"/>
      <c r="Q3808" s="2" t="inlineStr"/>
      <c r="R3808" s="2" t="inlineStr"/>
      <c r="S3808" s="2" t="inlineStr"/>
      <c r="T3808" s="2" t="inlineStr">
        <is>
          <t>Para uso livre; Bônus Pais para uso livre; Para redes sociais e apps; Bônus extra nos apps; WhatsApp ilimitado</t>
        </is>
      </c>
      <c r="U3808" s="2" t="inlineStr">
        <is>
          <t>https://www.claro.com.br/celular/flex</t>
        </is>
      </c>
      <c r="V3808" s="2" t="inlineStr">
        <is>
          <t>data/raw/claro_flex_SP.json</t>
        </is>
      </c>
    </row>
    <row r="3809">
      <c r="A3809" s="5" t="inlineStr">
        <is>
          <t>2026-08-29</t>
        </is>
      </c>
      <c r="B3809" s="5" t="inlineStr">
        <is>
          <t>2026-08-29T00:03:20</t>
        </is>
      </c>
      <c r="C3809" s="5" t="inlineStr">
        <is>
          <t>claro</t>
        </is>
      </c>
      <c r="D3809" s="5" t="inlineStr">
        <is>
          <t>flex</t>
        </is>
      </c>
      <c r="E3809" s="5" t="inlineStr">
        <is>
          <t>SP</t>
        </is>
      </c>
      <c r="F3809" s="5" t="inlineStr">
        <is>
          <t>Flex 30GB</t>
        </is>
      </c>
      <c r="G3809" s="5" t="inlineStr">
        <is>
          <t>claro:plano-flex-30gb</t>
        </is>
      </c>
      <c r="H3809" s="6" t="n">
        <v>69.90000000000001</v>
      </c>
      <c r="I3809" s="6" t="inlineStr"/>
      <c r="J3809" s="5" t="inlineStr"/>
      <c r="K3809" s="5" t="inlineStr"/>
      <c r="L3809" s="7" t="n">
        <v>30</v>
      </c>
      <c r="M3809" s="5" t="inlineStr"/>
      <c r="N3809" s="5" t="inlineStr"/>
      <c r="O3809" s="5" t="inlineStr">
        <is>
          <t>WhatsApp</t>
        </is>
      </c>
      <c r="P3809" s="5" t="inlineStr"/>
      <c r="Q3809" s="5" t="inlineStr"/>
      <c r="R3809" s="5" t="inlineStr"/>
      <c r="S3809" s="5" t="inlineStr"/>
      <c r="T3809" s="5" t="inlineStr">
        <is>
          <t>Para uso livre; Bônus Pais para uso livre; Para redes sociais e apps; Bônus extra nos apps; WhatsApp ilimitado; Assinatura Claro musica inclusa</t>
        </is>
      </c>
      <c r="U3809" s="5" t="inlineStr">
        <is>
          <t>https://www.claro.com.br/celular/flex</t>
        </is>
      </c>
      <c r="V3809" s="5" t="inlineStr">
        <is>
          <t>data/raw/claro_flex_SP.json</t>
        </is>
      </c>
    </row>
    <row r="3810">
      <c r="A3810" s="2" t="inlineStr">
        <is>
          <t>2026-08-29</t>
        </is>
      </c>
      <c r="B3810" s="2" t="inlineStr">
        <is>
          <t>2026-08-29T00:03:20</t>
        </is>
      </c>
      <c r="C3810" s="2" t="inlineStr">
        <is>
          <t>claro</t>
        </is>
      </c>
      <c r="D3810" s="2" t="inlineStr">
        <is>
          <t>flex</t>
        </is>
      </c>
      <c r="E3810" s="2" t="inlineStr">
        <is>
          <t>SP</t>
        </is>
      </c>
      <c r="F3810" s="2" t="inlineStr">
        <is>
          <t>Flex 40GB</t>
        </is>
      </c>
      <c r="G3810" s="2" t="inlineStr">
        <is>
          <t>claro:plano-flex-40gb</t>
        </is>
      </c>
      <c r="H3810" s="3" t="n">
        <v>119.9</v>
      </c>
      <c r="I3810" s="3" t="inlineStr"/>
      <c r="J3810" s="2" t="inlineStr"/>
      <c r="K3810" s="2" t="inlineStr"/>
      <c r="L3810" s="4" t="n">
        <v>40</v>
      </c>
      <c r="M3810" s="2" t="inlineStr"/>
      <c r="N3810" s="2" t="inlineStr"/>
      <c r="O3810" s="2" t="inlineStr">
        <is>
          <t>WhatsApp</t>
        </is>
      </c>
      <c r="P3810" s="2" t="inlineStr"/>
      <c r="Q3810" s="2" t="inlineStr"/>
      <c r="R3810" s="2" t="inlineStr"/>
      <c r="S3810" s="2" t="inlineStr"/>
      <c r="T3810" s="2" t="inlineStr">
        <is>
          <t>Para uso livre; Para redes sociais e apps; Bônus extra nos apps; WhatsApp ilimitado; Assinatura Claro musica inclusa</t>
        </is>
      </c>
      <c r="U3810" s="2" t="inlineStr">
        <is>
          <t>https://www.claro.com.br/celular/flex</t>
        </is>
      </c>
      <c r="V3810" s="2" t="inlineStr">
        <is>
          <t>data/raw/claro_flex_SP.json</t>
        </is>
      </c>
    </row>
    <row r="3811">
      <c r="A3811" s="5" t="inlineStr">
        <is>
          <t>2026-08-29</t>
        </is>
      </c>
      <c r="B3811" s="5" t="inlineStr">
        <is>
          <t>2026-08-29T00:03:20</t>
        </is>
      </c>
      <c r="C3811" s="5" t="inlineStr">
        <is>
          <t>claro</t>
        </is>
      </c>
      <c r="D3811" s="5" t="inlineStr">
        <is>
          <t>postpaid</t>
        </is>
      </c>
      <c r="E3811" s="5" t="inlineStr">
        <is>
          <t>SP</t>
        </is>
      </c>
      <c r="F3811" s="5" t="inlineStr">
        <is>
          <t>Pós 100GB</t>
        </is>
      </c>
      <c r="G3811" s="5" t="inlineStr">
        <is>
          <t>claro:plano-pos-100gb</t>
        </is>
      </c>
      <c r="H3811" s="6" t="n">
        <v>179.9</v>
      </c>
      <c r="I3811" s="6" t="inlineStr"/>
      <c r="J3811" s="5" t="inlineStr"/>
      <c r="K3811" s="5" t="inlineStr"/>
      <c r="L3811" s="7" t="n">
        <v>100</v>
      </c>
      <c r="M3811" s="5" t="inlineStr"/>
      <c r="N3811" s="5" t="inlineStr"/>
      <c r="O3811" s="5" t="inlineStr">
        <is>
          <t>WhatsApp</t>
        </is>
      </c>
      <c r="P3811" s="5" t="inlineStr"/>
      <c r="Q3811" s="5" t="inlineStr"/>
      <c r="R3811" s="5" t="inlineStr"/>
      <c r="S3811" s="5" t="inlineStr"/>
      <c r="T3811" s="5" t="inlineStr">
        <is>
          <t>Armazenamento na nuvem:; Google One ou iCloud+; WhatsApp ilimitado; Assinatura Amazon Prime por 3 meses; Roaming: Passaporte Américas; Claro Sync: Smartwatch conectado</t>
        </is>
      </c>
      <c r="U3811" s="5" t="inlineStr">
        <is>
          <t>https://www.claro.com.br/celular/pos</t>
        </is>
      </c>
      <c r="V3811" s="5" t="inlineStr">
        <is>
          <t>data/raw/claro_postpaid_SP.json</t>
        </is>
      </c>
    </row>
    <row r="3812">
      <c r="A3812" s="2" t="inlineStr">
        <is>
          <t>2026-08-29</t>
        </is>
      </c>
      <c r="B3812" s="2" t="inlineStr">
        <is>
          <t>2026-08-29T00:03:20</t>
        </is>
      </c>
      <c r="C3812" s="2" t="inlineStr">
        <is>
          <t>claro</t>
        </is>
      </c>
      <c r="D3812" s="2" t="inlineStr">
        <is>
          <t>postpaid</t>
        </is>
      </c>
      <c r="E3812" s="2" t="inlineStr">
        <is>
          <t>SP</t>
        </is>
      </c>
      <c r="F3812" s="2" t="inlineStr">
        <is>
          <t>Pós 150GB</t>
        </is>
      </c>
      <c r="G3812" s="2" t="inlineStr">
        <is>
          <t>claro:plano-pos-150gb</t>
        </is>
      </c>
      <c r="H3812" s="3" t="n">
        <v>239.9</v>
      </c>
      <c r="I3812" s="3" t="inlineStr"/>
      <c r="J3812" s="2" t="inlineStr"/>
      <c r="K3812" s="2" t="inlineStr"/>
      <c r="L3812" s="4" t="n">
        <v>150</v>
      </c>
      <c r="M3812" s="2" t="inlineStr"/>
      <c r="N3812" s="2" t="inlineStr"/>
      <c r="O3812" s="2" t="inlineStr">
        <is>
          <t>WhatsApp</t>
        </is>
      </c>
      <c r="P3812" s="2" t="inlineStr"/>
      <c r="Q3812" s="2" t="inlineStr"/>
      <c r="R3812" s="2" t="inlineStr"/>
      <c r="S3812" s="2" t="inlineStr"/>
      <c r="T381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12" s="2" t="inlineStr">
        <is>
          <t>https://www.claro.com.br/celular/pos</t>
        </is>
      </c>
      <c r="V3812" s="2" t="inlineStr">
        <is>
          <t>data/raw/claro_postpaid_SP.json</t>
        </is>
      </c>
    </row>
    <row r="3813">
      <c r="A3813" s="5" t="inlineStr">
        <is>
          <t>2026-08-29</t>
        </is>
      </c>
      <c r="B3813" s="5" t="inlineStr">
        <is>
          <t>2026-08-29T00:03:20</t>
        </is>
      </c>
      <c r="C3813" s="5" t="inlineStr">
        <is>
          <t>claro</t>
        </is>
      </c>
      <c r="D3813" s="5" t="inlineStr">
        <is>
          <t>postpaid</t>
        </is>
      </c>
      <c r="E3813" s="5" t="inlineStr">
        <is>
          <t>SP</t>
        </is>
      </c>
      <c r="F3813" s="5" t="inlineStr">
        <is>
          <t>Pós 200GB</t>
        </is>
      </c>
      <c r="G3813" s="5" t="inlineStr">
        <is>
          <t>claro:plano-pos-200gb</t>
        </is>
      </c>
      <c r="H3813" s="6" t="n">
        <v>339.9</v>
      </c>
      <c r="I3813" s="6" t="inlineStr"/>
      <c r="J3813" s="5" t="inlineStr"/>
      <c r="K3813" s="5" t="inlineStr"/>
      <c r="L3813" s="7" t="n">
        <v>200</v>
      </c>
      <c r="M3813" s="5" t="inlineStr"/>
      <c r="N3813" s="5" t="inlineStr"/>
      <c r="O3813" s="5" t="inlineStr">
        <is>
          <t>WhatsApp</t>
        </is>
      </c>
      <c r="P3813" s="5" t="inlineStr"/>
      <c r="Q3813" s="5" t="inlineStr"/>
      <c r="R3813" s="5" t="inlineStr"/>
      <c r="S3813" s="5" t="inlineStr"/>
      <c r="T3813" s="5" t="inlineStr">
        <is>
          <t>Armazenamento na nuvem:; Google One (AI Plus) ou iCloud+; WhatsApp ilimitado; Assinatura Amazon Prime por 3 meses; Roaming: Passaporte Mundo; Claro Sync: Smartwatch conectado</t>
        </is>
      </c>
      <c r="U3813" s="5" t="inlineStr">
        <is>
          <t>https://www.claro.com.br/celular/pos</t>
        </is>
      </c>
      <c r="V3813" s="5" t="inlineStr">
        <is>
          <t>data/raw/claro_postpaid_SP.json</t>
        </is>
      </c>
    </row>
    <row r="3814">
      <c r="A3814" s="2" t="inlineStr">
        <is>
          <t>2026-08-29</t>
        </is>
      </c>
      <c r="B3814" s="2" t="inlineStr">
        <is>
          <t>2026-08-29T00:03:20</t>
        </is>
      </c>
      <c r="C3814" s="2" t="inlineStr">
        <is>
          <t>claro</t>
        </is>
      </c>
      <c r="D3814" s="2" t="inlineStr">
        <is>
          <t>postpaid</t>
        </is>
      </c>
      <c r="E3814" s="2" t="inlineStr">
        <is>
          <t>SP</t>
        </is>
      </c>
      <c r="F3814" s="2" t="inlineStr">
        <is>
          <t>Pós 50GB com GeForce NOW</t>
        </is>
      </c>
      <c r="G3814" s="2" t="inlineStr">
        <is>
          <t>claro:plano-pos-60gb-geforce</t>
        </is>
      </c>
      <c r="H3814" s="3" t="n">
        <v>164.9</v>
      </c>
      <c r="I3814" s="3" t="inlineStr"/>
      <c r="J3814" s="2" t="inlineStr"/>
      <c r="K3814" s="2" t="inlineStr"/>
      <c r="L3814" s="4" t="n">
        <v>50</v>
      </c>
      <c r="M3814" s="2" t="inlineStr"/>
      <c r="N3814" s="2" t="inlineStr"/>
      <c r="O3814" s="2" t="inlineStr">
        <is>
          <t>WhatsApp</t>
        </is>
      </c>
      <c r="P3814" s="2" t="inlineStr"/>
      <c r="Q3814" s="2" t="inlineStr"/>
      <c r="R3814" s="2" t="inlineStr"/>
      <c r="S3814" s="2" t="inlineStr"/>
      <c r="T381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14" s="2" t="inlineStr">
        <is>
          <t>https://www.claro.com.br/celular/pos</t>
        </is>
      </c>
      <c r="V3814" s="2" t="inlineStr">
        <is>
          <t>data/raw/claro_postpaid_SP.json</t>
        </is>
      </c>
    </row>
    <row r="3815">
      <c r="A3815" s="5" t="inlineStr">
        <is>
          <t>2026-08-29</t>
        </is>
      </c>
      <c r="B3815" s="5" t="inlineStr">
        <is>
          <t>2026-08-29T00:03:20</t>
        </is>
      </c>
      <c r="C3815" s="5" t="inlineStr">
        <is>
          <t>claro</t>
        </is>
      </c>
      <c r="D3815" s="5" t="inlineStr">
        <is>
          <t>postpaid</t>
        </is>
      </c>
      <c r="E3815" s="5" t="inlineStr">
        <is>
          <t>SP</t>
        </is>
      </c>
      <c r="F3815" s="5" t="inlineStr">
        <is>
          <t>Pós 60GB</t>
        </is>
      </c>
      <c r="G3815" s="5" t="inlineStr">
        <is>
          <t>claro:plano-pos-60gb</t>
        </is>
      </c>
      <c r="H3815" s="6" t="n">
        <v>124.9</v>
      </c>
      <c r="I3815" s="6" t="inlineStr"/>
      <c r="J3815" s="5" t="inlineStr"/>
      <c r="K3815" s="5" t="inlineStr"/>
      <c r="L3815" s="7" t="n">
        <v>60</v>
      </c>
      <c r="M3815" s="5" t="inlineStr"/>
      <c r="N3815" s="5" t="inlineStr"/>
      <c r="O3815" s="5" t="inlineStr">
        <is>
          <t>WhatsApp</t>
        </is>
      </c>
      <c r="P3815" s="5" t="inlineStr"/>
      <c r="Q3815" s="5" t="inlineStr"/>
      <c r="R3815" s="5" t="inlineStr"/>
      <c r="S3815" s="5" t="inlineStr"/>
      <c r="T3815" s="5" t="inlineStr">
        <is>
          <t>Armazenamento na nuvem:; Google One ou iCloud+; WhatsApp ilimitado; Assinatura Amazon Prime por 3 meses; Roaming: Passaporte Américas; Claro Sync: Smartwatch conectado</t>
        </is>
      </c>
      <c r="U3815" s="5" t="inlineStr">
        <is>
          <t>https://www.claro.com.br/celular/pos</t>
        </is>
      </c>
      <c r="V3815" s="5" t="inlineStr">
        <is>
          <t>data/raw/claro_postpaid_SP.json</t>
        </is>
      </c>
    </row>
    <row r="3816">
      <c r="A3816" s="2" t="inlineStr">
        <is>
          <t>2026-08-29</t>
        </is>
      </c>
      <c r="B3816" s="2" t="inlineStr">
        <is>
          <t>2026-08-29T00:03:20</t>
        </is>
      </c>
      <c r="C3816" s="2" t="inlineStr">
        <is>
          <t>claro</t>
        </is>
      </c>
      <c r="D3816" s="2" t="inlineStr">
        <is>
          <t>prepaid</t>
        </is>
      </c>
      <c r="E3816" s="2" t="inlineStr">
        <is>
          <t>SP</t>
        </is>
      </c>
      <c r="F3816" s="2" t="inlineStr">
        <is>
          <t>Prezão 10GB (25 dias)</t>
        </is>
      </c>
      <c r="G3816" s="2" t="inlineStr">
        <is>
          <t>claro:prezao-25d-10gb</t>
        </is>
      </c>
      <c r="H3816" s="3" t="n">
        <v>25</v>
      </c>
      <c r="I3816" s="3" t="inlineStr"/>
      <c r="J3816" s="2" t="inlineStr">
        <is>
          <t>recarga Prezão R$25 — validade 25 dias</t>
        </is>
      </c>
      <c r="K3816" s="2" t="inlineStr"/>
      <c r="L3816" s="4" t="n">
        <v>10</v>
      </c>
      <c r="M3816" s="2" t="inlineStr"/>
      <c r="N3816" s="2" t="n">
        <v>25</v>
      </c>
      <c r="O3816" s="2" t="inlineStr"/>
      <c r="P3816" s="2" t="inlineStr"/>
      <c r="Q3816" s="2" t="inlineStr"/>
      <c r="R3816" s="2" t="inlineStr"/>
      <c r="S3816" s="2" t="inlineStr"/>
      <c r="T3816" s="2" t="inlineStr"/>
      <c r="U3816" s="2" t="inlineStr">
        <is>
          <t>https://www.claro.com.br/celular/planos-pre/prezao</t>
        </is>
      </c>
      <c r="V3816" s="2" t="inlineStr">
        <is>
          <t>data/raw/claro_prepaid_SP.json</t>
        </is>
      </c>
    </row>
    <row r="3817">
      <c r="A3817" s="5" t="inlineStr">
        <is>
          <t>2026-08-29</t>
        </is>
      </c>
      <c r="B3817" s="5" t="inlineStr">
        <is>
          <t>2026-08-29T00:03:20</t>
        </is>
      </c>
      <c r="C3817" s="5" t="inlineStr">
        <is>
          <t>claro</t>
        </is>
      </c>
      <c r="D3817" s="5" t="inlineStr">
        <is>
          <t>prepaid</t>
        </is>
      </c>
      <c r="E3817" s="5" t="inlineStr">
        <is>
          <t>SP</t>
        </is>
      </c>
      <c r="F3817" s="5" t="inlineStr">
        <is>
          <t>Prezão 12GB (30 dias)</t>
        </is>
      </c>
      <c r="G3817" s="5" t="inlineStr">
        <is>
          <t>claro:prezao-30d-12gb</t>
        </is>
      </c>
      <c r="H3817" s="6" t="n">
        <v>30</v>
      </c>
      <c r="I3817" s="6" t="inlineStr"/>
      <c r="J3817" s="5" t="inlineStr">
        <is>
          <t>recarga Prezão R$30 — validade 30 dias</t>
        </is>
      </c>
      <c r="K3817" s="5" t="inlineStr"/>
      <c r="L3817" s="7" t="n">
        <v>12</v>
      </c>
      <c r="M3817" s="5" t="inlineStr"/>
      <c r="N3817" s="5" t="n">
        <v>30</v>
      </c>
      <c r="O3817" s="5" t="inlineStr"/>
      <c r="P3817" s="5" t="inlineStr"/>
      <c r="Q3817" s="5" t="inlineStr"/>
      <c r="R3817" s="5" t="inlineStr"/>
      <c r="S3817" s="5" t="inlineStr"/>
      <c r="T3817" s="5" t="inlineStr"/>
      <c r="U3817" s="5" t="inlineStr">
        <is>
          <t>https://www.claro.com.br/celular/planos-pre/prezao</t>
        </is>
      </c>
      <c r="V3817" s="5" t="inlineStr">
        <is>
          <t>data/raw/claro_prepaid_SP.json</t>
        </is>
      </c>
    </row>
    <row r="3818">
      <c r="A3818" s="2" t="inlineStr">
        <is>
          <t>2026-08-29</t>
        </is>
      </c>
      <c r="B3818" s="2" t="inlineStr">
        <is>
          <t>2026-08-29T00:03:20</t>
        </is>
      </c>
      <c r="C3818" s="2" t="inlineStr">
        <is>
          <t>claro</t>
        </is>
      </c>
      <c r="D3818" s="2" t="inlineStr">
        <is>
          <t>prepaid</t>
        </is>
      </c>
      <c r="E3818" s="2" t="inlineStr">
        <is>
          <t>SP</t>
        </is>
      </c>
      <c r="F3818" s="2" t="inlineStr">
        <is>
          <t>Prezão 4GB (12 dias)</t>
        </is>
      </c>
      <c r="G3818" s="2" t="inlineStr">
        <is>
          <t>claro:prezao-12d-4gb</t>
        </is>
      </c>
      <c r="H3818" s="3" t="n">
        <v>15</v>
      </c>
      <c r="I3818" s="3" t="inlineStr"/>
      <c r="J3818" s="2" t="inlineStr">
        <is>
          <t>recarga Prezão R$15 — validade 12 dias</t>
        </is>
      </c>
      <c r="K3818" s="2" t="inlineStr"/>
      <c r="L3818" s="4" t="n">
        <v>4</v>
      </c>
      <c r="M3818" s="2" t="inlineStr"/>
      <c r="N3818" s="2" t="n">
        <v>12</v>
      </c>
      <c r="O3818" s="2" t="inlineStr"/>
      <c r="P3818" s="2" t="inlineStr"/>
      <c r="Q3818" s="2" t="inlineStr"/>
      <c r="R3818" s="2" t="inlineStr"/>
      <c r="S3818" s="2" t="inlineStr"/>
      <c r="T3818" s="2" t="inlineStr"/>
      <c r="U3818" s="2" t="inlineStr">
        <is>
          <t>https://www.claro.com.br/celular/planos-pre/prezao</t>
        </is>
      </c>
      <c r="V3818" s="2" t="inlineStr">
        <is>
          <t>data/raw/claro_prepaid_SP.json</t>
        </is>
      </c>
    </row>
    <row r="3819">
      <c r="A3819" s="5" t="inlineStr">
        <is>
          <t>2026-08-29</t>
        </is>
      </c>
      <c r="B3819" s="5" t="inlineStr">
        <is>
          <t>2026-08-29T00:03:20</t>
        </is>
      </c>
      <c r="C3819" s="5" t="inlineStr">
        <is>
          <t>claro</t>
        </is>
      </c>
      <c r="D3819" s="5" t="inlineStr">
        <is>
          <t>prepaid</t>
        </is>
      </c>
      <c r="E3819" s="5" t="inlineStr">
        <is>
          <t>SP</t>
        </is>
      </c>
      <c r="F3819" s="5" t="inlineStr">
        <is>
          <t>Prezão 5GB (15 dias)</t>
        </is>
      </c>
      <c r="G3819" s="5" t="inlineStr">
        <is>
          <t>claro:prezao-15d-5gb</t>
        </is>
      </c>
      <c r="H3819" s="6" t="n">
        <v>15</v>
      </c>
      <c r="I3819" s="6" t="inlineStr"/>
      <c r="J3819" s="5" t="inlineStr">
        <is>
          <t>recarga Prezão R$15 — validade 15 dias</t>
        </is>
      </c>
      <c r="K3819" s="5" t="inlineStr"/>
      <c r="L3819" s="7" t="n">
        <v>5</v>
      </c>
      <c r="M3819" s="5" t="inlineStr"/>
      <c r="N3819" s="5" t="n">
        <v>15</v>
      </c>
      <c r="O3819" s="5" t="inlineStr"/>
      <c r="P3819" s="5" t="inlineStr"/>
      <c r="Q3819" s="5" t="inlineStr"/>
      <c r="R3819" s="5" t="inlineStr"/>
      <c r="S3819" s="5" t="inlineStr"/>
      <c r="T3819" s="5" t="inlineStr"/>
      <c r="U3819" s="5" t="inlineStr">
        <is>
          <t>https://www.claro.com.br/celular/planos-pre/prezao</t>
        </is>
      </c>
      <c r="V3819" s="5" t="inlineStr">
        <is>
          <t>data/raw/claro_prepaid_SP.json</t>
        </is>
      </c>
    </row>
    <row r="3820">
      <c r="A3820" s="2" t="inlineStr">
        <is>
          <t>2026-08-29</t>
        </is>
      </c>
      <c r="B3820" s="2" t="inlineStr">
        <is>
          <t>2026-08-29T00:03:20</t>
        </is>
      </c>
      <c r="C3820" s="2" t="inlineStr">
        <is>
          <t>claro</t>
        </is>
      </c>
      <c r="D3820" s="2" t="inlineStr">
        <is>
          <t>prepaid</t>
        </is>
      </c>
      <c r="E3820" s="2" t="inlineStr">
        <is>
          <t>SP</t>
        </is>
      </c>
      <c r="F3820" s="2" t="inlineStr">
        <is>
          <t>Prezão 6GB (20 dias)</t>
        </is>
      </c>
      <c r="G3820" s="2" t="inlineStr">
        <is>
          <t>claro:prezao-20d-6gb</t>
        </is>
      </c>
      <c r="H3820" s="3" t="n">
        <v>20</v>
      </c>
      <c r="I3820" s="3" t="inlineStr"/>
      <c r="J3820" s="2" t="inlineStr">
        <is>
          <t>recarga Prezão R$20 — validade 20 dias</t>
        </is>
      </c>
      <c r="K3820" s="2" t="inlineStr"/>
      <c r="L3820" s="4" t="n">
        <v>6</v>
      </c>
      <c r="M3820" s="2" t="inlineStr"/>
      <c r="N3820" s="2" t="n">
        <v>20</v>
      </c>
      <c r="O3820" s="2" t="inlineStr"/>
      <c r="P3820" s="2" t="inlineStr"/>
      <c r="Q3820" s="2" t="inlineStr"/>
      <c r="R3820" s="2" t="inlineStr"/>
      <c r="S3820" s="2" t="inlineStr"/>
      <c r="T3820" s="2" t="inlineStr"/>
      <c r="U3820" s="2" t="inlineStr">
        <is>
          <t>https://www.claro.com.br/celular/planos-pre/prezao</t>
        </is>
      </c>
      <c r="V3820" s="2" t="inlineStr">
        <is>
          <t>data/raw/claro_prepaid_SP.json</t>
        </is>
      </c>
    </row>
    <row r="3821">
      <c r="A3821" s="5" t="inlineStr">
        <is>
          <t>2026-08-29</t>
        </is>
      </c>
      <c r="B3821" s="5" t="inlineStr">
        <is>
          <t>2026-08-29T00:03:20</t>
        </is>
      </c>
      <c r="C3821" s="5" t="inlineStr">
        <is>
          <t>claro</t>
        </is>
      </c>
      <c r="D3821" s="5" t="inlineStr">
        <is>
          <t>prepaid</t>
        </is>
      </c>
      <c r="E3821" s="5" t="inlineStr">
        <is>
          <t>SP</t>
        </is>
      </c>
      <c r="F3821" s="5" t="inlineStr">
        <is>
          <t>Prezão 8GB (20 dias)</t>
        </is>
      </c>
      <c r="G3821" s="5" t="inlineStr">
        <is>
          <t>claro:prezao-20d-8gb</t>
        </is>
      </c>
      <c r="H3821" s="6" t="n">
        <v>20</v>
      </c>
      <c r="I3821" s="6" t="inlineStr"/>
      <c r="J3821" s="5" t="inlineStr">
        <is>
          <t>recarga Prezão R$20 — validade 20 dias</t>
        </is>
      </c>
      <c r="K3821" s="5" t="inlineStr"/>
      <c r="L3821" s="7" t="n">
        <v>8</v>
      </c>
      <c r="M3821" s="5" t="inlineStr"/>
      <c r="N3821" s="5" t="n">
        <v>20</v>
      </c>
      <c r="O3821" s="5" t="inlineStr"/>
      <c r="P3821" s="5" t="inlineStr"/>
      <c r="Q3821" s="5" t="inlineStr"/>
      <c r="R3821" s="5" t="inlineStr"/>
      <c r="S3821" s="5" t="inlineStr"/>
      <c r="T3821" s="5" t="inlineStr"/>
      <c r="U3821" s="5" t="inlineStr">
        <is>
          <t>https://www.claro.com.br/celular/planos-pre/prezao</t>
        </is>
      </c>
      <c r="V3821" s="5" t="inlineStr">
        <is>
          <t>data/raw/claro_prepaid_SP.json</t>
        </is>
      </c>
    </row>
    <row r="3822">
      <c r="A3822" s="2" t="inlineStr">
        <is>
          <t>2026-08-29</t>
        </is>
      </c>
      <c r="B3822" s="2" t="inlineStr">
        <is>
          <t>2026-08-29T00:03:20</t>
        </is>
      </c>
      <c r="C3822" s="2" t="inlineStr">
        <is>
          <t>claro</t>
        </is>
      </c>
      <c r="D3822" s="2" t="inlineStr">
        <is>
          <t>prepaid</t>
        </is>
      </c>
      <c r="E3822" s="2" t="inlineStr">
        <is>
          <t>SP</t>
        </is>
      </c>
      <c r="F3822" s="2" t="inlineStr">
        <is>
          <t>Prezão 9GB (25 dias)</t>
        </is>
      </c>
      <c r="G3822" s="2" t="inlineStr">
        <is>
          <t>claro:prezao-25d-9gb</t>
        </is>
      </c>
      <c r="H3822" s="3" t="n">
        <v>25</v>
      </c>
      <c r="I3822" s="3" t="inlineStr"/>
      <c r="J3822" s="2" t="inlineStr">
        <is>
          <t>recarga Prezão R$25 — validade 25 dias</t>
        </is>
      </c>
      <c r="K3822" s="2" t="inlineStr"/>
      <c r="L3822" s="4" t="n">
        <v>9</v>
      </c>
      <c r="M3822" s="2" t="inlineStr"/>
      <c r="N3822" s="2" t="n">
        <v>25</v>
      </c>
      <c r="O3822" s="2" t="inlineStr"/>
      <c r="P3822" s="2" t="inlineStr"/>
      <c r="Q3822" s="2" t="inlineStr"/>
      <c r="R3822" s="2" t="inlineStr"/>
      <c r="S3822" s="2" t="inlineStr"/>
      <c r="T3822" s="2" t="inlineStr"/>
      <c r="U3822" s="2" t="inlineStr">
        <is>
          <t>https://www.claro.com.br/celular/planos-pre/prezao</t>
        </is>
      </c>
      <c r="V3822" s="2" t="inlineStr">
        <is>
          <t>data/raw/claro_prepaid_SP.json</t>
        </is>
      </c>
    </row>
    <row r="3823">
      <c r="A3823" s="5" t="inlineStr">
        <is>
          <t>2026-08-29</t>
        </is>
      </c>
      <c r="B3823" s="5" t="inlineStr">
        <is>
          <t>2026-08-29T00:03:20</t>
        </is>
      </c>
      <c r="C3823" s="5" t="inlineStr">
        <is>
          <t>tim</t>
        </is>
      </c>
      <c r="D3823" s="5" t="inlineStr">
        <is>
          <t>control</t>
        </is>
      </c>
      <c r="E3823" s="5" t="inlineStr">
        <is>
          <t>SP</t>
        </is>
      </c>
      <c r="F3823" s="5" t="inlineStr">
        <is>
          <t>TIM Controle 45GB</t>
        </is>
      </c>
      <c r="G3823" s="5" t="inlineStr">
        <is>
          <t>tim:182766</t>
        </is>
      </c>
      <c r="H3823" s="6" t="n">
        <v>49.99</v>
      </c>
      <c r="I3823" s="6" t="inlineStr"/>
      <c r="J3823" s="5" t="inlineStr"/>
      <c r="K3823" s="5" t="inlineStr"/>
      <c r="L3823" s="7" t="n">
        <v>45</v>
      </c>
      <c r="M3823" s="5" t="inlineStr"/>
      <c r="N3823" s="5" t="inlineStr"/>
      <c r="O3823" s="5" t="inlineStr"/>
      <c r="P3823" s="5" t="inlineStr"/>
      <c r="Q3823" s="5" t="inlineStr"/>
      <c r="R3823" s="5" t="inlineStr"/>
      <c r="S3823" s="5" t="inlineStr"/>
      <c r="T3823" s="5" t="inlineStr"/>
      <c r="U3823" s="5" t="inlineStr">
        <is>
          <t>https://www.tim.com.br/sp/para-voce/planos/controle</t>
        </is>
      </c>
      <c r="V3823" s="5" t="inlineStr">
        <is>
          <t>data/raw/tim_control_SP.html</t>
        </is>
      </c>
    </row>
    <row r="3824">
      <c r="A3824" s="2" t="inlineStr">
        <is>
          <t>2026-08-29</t>
        </is>
      </c>
      <c r="B3824" s="2" t="inlineStr">
        <is>
          <t>2026-08-29T00:03:20</t>
        </is>
      </c>
      <c r="C3824" s="2" t="inlineStr">
        <is>
          <t>tim</t>
        </is>
      </c>
      <c r="D3824" s="2" t="inlineStr">
        <is>
          <t>control</t>
        </is>
      </c>
      <c r="E3824" s="2" t="inlineStr">
        <is>
          <t>SP</t>
        </is>
      </c>
      <c r="F3824" s="2" t="inlineStr">
        <is>
          <t>TIM Controle Light Express 45GB</t>
        </is>
      </c>
      <c r="G3824" s="2" t="inlineStr">
        <is>
          <t>tim:167726</t>
        </is>
      </c>
      <c r="H3824" s="3" t="n">
        <v>60.99</v>
      </c>
      <c r="I3824" s="3" t="inlineStr"/>
      <c r="J3824" s="2" t="inlineStr"/>
      <c r="K3824" s="2" t="inlineStr"/>
      <c r="L3824" s="4" t="n">
        <v>45</v>
      </c>
      <c r="M3824" s="2" t="inlineStr"/>
      <c r="N3824" s="2" t="inlineStr"/>
      <c r="O3824" s="2" t="inlineStr"/>
      <c r="P3824" s="2" t="inlineStr"/>
      <c r="Q3824" s="2" t="inlineStr"/>
      <c r="R3824" s="2" t="inlineStr"/>
      <c r="S3824" s="2" t="inlineStr"/>
      <c r="T3824" s="2" t="inlineStr"/>
      <c r="U3824" s="2" t="inlineStr">
        <is>
          <t>https://www.tim.com.br/sp/para-voce/planos/controle</t>
        </is>
      </c>
      <c r="V3824" s="2" t="inlineStr">
        <is>
          <t>data/raw/tim_control_SP.html</t>
        </is>
      </c>
    </row>
    <row r="3825">
      <c r="A3825" s="5" t="inlineStr">
        <is>
          <t>2026-08-29</t>
        </is>
      </c>
      <c r="B3825" s="5" t="inlineStr">
        <is>
          <t>2026-08-29T00:03:20</t>
        </is>
      </c>
      <c r="C3825" s="5" t="inlineStr">
        <is>
          <t>tim</t>
        </is>
      </c>
      <c r="D3825" s="5" t="inlineStr">
        <is>
          <t>control</t>
        </is>
      </c>
      <c r="E3825" s="5" t="inlineStr">
        <is>
          <t>SP</t>
        </is>
      </c>
      <c r="F3825" s="5" t="inlineStr">
        <is>
          <t>TIM Controle Premium 55GB</t>
        </is>
      </c>
      <c r="G3825" s="5" t="inlineStr">
        <is>
          <t>tim:180756</t>
        </is>
      </c>
      <c r="H3825" s="6" t="n">
        <v>69.98999999999999</v>
      </c>
      <c r="I3825" s="6" t="inlineStr"/>
      <c r="J3825" s="5" t="inlineStr"/>
      <c r="K3825" s="5" t="inlineStr"/>
      <c r="L3825" s="7" t="n">
        <v>55</v>
      </c>
      <c r="M3825" s="5" t="inlineStr"/>
      <c r="N3825" s="5" t="inlineStr"/>
      <c r="O3825" s="5" t="inlineStr"/>
      <c r="P3825" s="5" t="inlineStr"/>
      <c r="Q3825" s="5" t="inlineStr"/>
      <c r="R3825" s="5" t="inlineStr"/>
      <c r="S3825" s="5" t="inlineStr"/>
      <c r="T3825" s="5" t="inlineStr"/>
      <c r="U3825" s="5" t="inlineStr">
        <is>
          <t>https://www.tim.com.br/sp/para-voce/planos/controle</t>
        </is>
      </c>
      <c r="V3825" s="5" t="inlineStr">
        <is>
          <t>data/raw/tim_control_SP.html</t>
        </is>
      </c>
    </row>
    <row r="3826">
      <c r="A3826" s="2" t="inlineStr">
        <is>
          <t>2026-08-29</t>
        </is>
      </c>
      <c r="B3826" s="2" t="inlineStr">
        <is>
          <t>2026-08-29T00:03:20</t>
        </is>
      </c>
      <c r="C3826" s="2" t="inlineStr">
        <is>
          <t>tim</t>
        </is>
      </c>
      <c r="D3826" s="2" t="inlineStr">
        <is>
          <t>control</t>
        </is>
      </c>
      <c r="E3826" s="2" t="inlineStr">
        <is>
          <t>SP</t>
        </is>
      </c>
      <c r="F3826" s="2" t="inlineStr">
        <is>
          <t>TIM Controle Pro Express 46GB</t>
        </is>
      </c>
      <c r="G3826" s="2" t="inlineStr">
        <is>
          <t>tim:167731</t>
        </is>
      </c>
      <c r="H3826" s="3" t="n">
        <v>64.98999999999999</v>
      </c>
      <c r="I3826" s="3" t="inlineStr"/>
      <c r="J3826" s="2" t="inlineStr"/>
      <c r="K3826" s="2" t="inlineStr"/>
      <c r="L3826" s="4" t="n">
        <v>46</v>
      </c>
      <c r="M3826" s="2" t="inlineStr"/>
      <c r="N3826" s="2" t="inlineStr"/>
      <c r="O3826" s="2" t="inlineStr"/>
      <c r="P3826" s="2" t="inlineStr"/>
      <c r="Q3826" s="2" t="inlineStr"/>
      <c r="R3826" s="2" t="inlineStr"/>
      <c r="S3826" s="2" t="inlineStr"/>
      <c r="T3826" s="2" t="inlineStr"/>
      <c r="U3826" s="2" t="inlineStr">
        <is>
          <t>https://www.tim.com.br/sp/para-voce/planos/controle</t>
        </is>
      </c>
      <c r="V3826" s="2" t="inlineStr">
        <is>
          <t>data/raw/tim_control_SP.html</t>
        </is>
      </c>
    </row>
    <row r="3827">
      <c r="A3827" s="5" t="inlineStr">
        <is>
          <t>2026-08-29</t>
        </is>
      </c>
      <c r="B3827" s="5" t="inlineStr">
        <is>
          <t>2026-08-29T00:03:20</t>
        </is>
      </c>
      <c r="C3827" s="5" t="inlineStr">
        <is>
          <t>tim</t>
        </is>
      </c>
      <c r="D3827" s="5" t="inlineStr">
        <is>
          <t>control</t>
        </is>
      </c>
      <c r="E3827" s="5" t="inlineStr">
        <is>
          <t>SP</t>
        </is>
      </c>
      <c r="F3827" s="5" t="inlineStr">
        <is>
          <t>TIM Controle Redes Sociais 46GB</t>
        </is>
      </c>
      <c r="G3827" s="5" t="inlineStr">
        <is>
          <t>tim:167031</t>
        </is>
      </c>
      <c r="H3827" s="6" t="n">
        <v>59.99</v>
      </c>
      <c r="I3827" s="6" t="inlineStr"/>
      <c r="J3827" s="5" t="inlineStr"/>
      <c r="K3827" s="5" t="inlineStr"/>
      <c r="L3827" s="7" t="n">
        <v>46</v>
      </c>
      <c r="M3827" s="5" t="inlineStr"/>
      <c r="N3827" s="5" t="inlineStr"/>
      <c r="O3827" s="5" t="inlineStr"/>
      <c r="P3827" s="5" t="inlineStr"/>
      <c r="Q3827" s="5" t="inlineStr"/>
      <c r="R3827" s="5" t="inlineStr"/>
      <c r="S3827" s="5" t="inlineStr"/>
      <c r="T3827" s="5" t="inlineStr"/>
      <c r="U3827" s="5" t="inlineStr">
        <is>
          <t>https://www.tim.com.br/sp/para-voce/planos/controle</t>
        </is>
      </c>
      <c r="V3827" s="5" t="inlineStr">
        <is>
          <t>data/raw/tim_control_SP.html</t>
        </is>
      </c>
    </row>
    <row r="3828">
      <c r="A3828" s="2" t="inlineStr">
        <is>
          <t>2026-08-29</t>
        </is>
      </c>
      <c r="B3828" s="2" t="inlineStr">
        <is>
          <t>2026-08-29T00:03:20</t>
        </is>
      </c>
      <c r="C3828" s="2" t="inlineStr">
        <is>
          <t>tim</t>
        </is>
      </c>
      <c r="D3828" s="2" t="inlineStr">
        <is>
          <t>fit</t>
        </is>
      </c>
      <c r="E3828" s="2" t="inlineStr">
        <is>
          <t>SP</t>
        </is>
      </c>
      <c r="F3828" s="2" t="inlineStr">
        <is>
          <t>TIM Controle Fit Anual 1.0</t>
        </is>
      </c>
      <c r="G3828" s="2" t="inlineStr">
        <is>
          <t>tim:TIM202600000306</t>
        </is>
      </c>
      <c r="H3828" s="3" t="n">
        <v>20</v>
      </c>
      <c r="I3828" s="3" t="inlineStr"/>
      <c r="J3828" s="2" t="inlineStr">
        <is>
          <t>plano anual 12x no cartão de crédito; a etiqueta TIM informa 'sem prazo de permanência'</t>
        </is>
      </c>
      <c r="K3828" s="2" t="inlineStr">
        <is>
          <t>credit_card</t>
        </is>
      </c>
      <c r="L3828" s="4" t="n">
        <v>25</v>
      </c>
      <c r="M3828" s="2" t="inlineStr"/>
      <c r="N3828" s="2" t="inlineStr"/>
      <c r="O3828" s="2" t="inlineStr"/>
      <c r="P3828" s="2" t="inlineStr"/>
      <c r="Q3828" s="2" t="inlineStr"/>
      <c r="R3828" s="2" t="inlineStr"/>
      <c r="S3828" s="2" t="n">
        <v>12</v>
      </c>
      <c r="T3828" s="2" t="inlineStr"/>
      <c r="U3828" s="2" t="inlineStr">
        <is>
          <t>https://www.tim.com.br/sp/para-voce/planos/controle</t>
        </is>
      </c>
      <c r="V3828" s="2" t="inlineStr">
        <is>
          <t>data/raw/tim_fit_SP.html</t>
        </is>
      </c>
    </row>
    <row r="3829">
      <c r="A3829" s="5" t="inlineStr">
        <is>
          <t>2026-08-29</t>
        </is>
      </c>
      <c r="B3829" s="5" t="inlineStr">
        <is>
          <t>2026-08-29T00:03:20</t>
        </is>
      </c>
      <c r="C3829" s="5" t="inlineStr">
        <is>
          <t>tim</t>
        </is>
      </c>
      <c r="D3829" s="5" t="inlineStr">
        <is>
          <t>fit</t>
        </is>
      </c>
      <c r="E3829" s="5" t="inlineStr">
        <is>
          <t>SP</t>
        </is>
      </c>
      <c r="F3829" s="5" t="inlineStr">
        <is>
          <t>TIM Controle Fit Anual 2.0</t>
        </is>
      </c>
      <c r="G3829" s="5" t="inlineStr">
        <is>
          <t>tim:TIM202600000271</t>
        </is>
      </c>
      <c r="H3829" s="6" t="n">
        <v>30</v>
      </c>
      <c r="I3829" s="6" t="inlineStr"/>
      <c r="J3829" s="5" t="inlineStr">
        <is>
          <t>plano anual 12x no cartão de crédito; a etiqueta TIM informa 'sem prazo de permanência'</t>
        </is>
      </c>
      <c r="K3829" s="5" t="inlineStr">
        <is>
          <t>credit_card</t>
        </is>
      </c>
      <c r="L3829" s="7" t="n">
        <v>35</v>
      </c>
      <c r="M3829" s="5" t="inlineStr"/>
      <c r="N3829" s="5" t="inlineStr"/>
      <c r="O3829" s="5" t="inlineStr"/>
      <c r="P3829" s="5" t="inlineStr"/>
      <c r="Q3829" s="5" t="inlineStr"/>
      <c r="R3829" s="5" t="inlineStr"/>
      <c r="S3829" s="5" t="n">
        <v>12</v>
      </c>
      <c r="T3829" s="5" t="inlineStr"/>
      <c r="U3829" s="5" t="inlineStr">
        <is>
          <t>https://www.tim.com.br/sp/para-voce/planos/controle</t>
        </is>
      </c>
      <c r="V3829" s="5" t="inlineStr">
        <is>
          <t>data/raw/tim_fit_SP.html</t>
        </is>
      </c>
    </row>
    <row r="3830">
      <c r="A3830" s="2" t="inlineStr">
        <is>
          <t>2026-08-29</t>
        </is>
      </c>
      <c r="B3830" s="2" t="inlineStr">
        <is>
          <t>2026-08-29T00:03:20</t>
        </is>
      </c>
      <c r="C3830" s="2" t="inlineStr">
        <is>
          <t>tim</t>
        </is>
      </c>
      <c r="D3830" s="2" t="inlineStr">
        <is>
          <t>fit</t>
        </is>
      </c>
      <c r="E3830" s="2" t="inlineStr">
        <is>
          <t>SP</t>
        </is>
      </c>
      <c r="F3830" s="2" t="inlineStr">
        <is>
          <t>TIM Controle Fit Mensal 1.0</t>
        </is>
      </c>
      <c r="G3830" s="2" t="inlineStr">
        <is>
          <t>tim:TIM202600000270</t>
        </is>
      </c>
      <c r="H3830" s="3" t="n">
        <v>20</v>
      </c>
      <c r="I3830" s="3" t="inlineStr"/>
      <c r="J383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30" s="2" t="inlineStr"/>
      <c r="L3830" s="4" t="n">
        <v>20</v>
      </c>
      <c r="M3830" s="2" t="inlineStr"/>
      <c r="N3830" s="2" t="inlineStr"/>
      <c r="O3830" s="2" t="inlineStr"/>
      <c r="P3830" s="2" t="inlineStr"/>
      <c r="Q3830" s="2" t="inlineStr"/>
      <c r="R3830" s="2" t="inlineStr"/>
      <c r="S3830" s="2" t="inlineStr"/>
      <c r="T3830" s="2" t="inlineStr"/>
      <c r="U3830" s="2" t="inlineStr">
        <is>
          <t>https://www.tim.com.br/sp/para-voce/planos/controle</t>
        </is>
      </c>
      <c r="V3830" s="2" t="inlineStr">
        <is>
          <t>data/raw/tim_fit_SP.html</t>
        </is>
      </c>
    </row>
    <row r="3831">
      <c r="A3831" s="5" t="inlineStr">
        <is>
          <t>2026-08-29</t>
        </is>
      </c>
      <c r="B3831" s="5" t="inlineStr">
        <is>
          <t>2026-08-29T00:03:20</t>
        </is>
      </c>
      <c r="C3831" s="5" t="inlineStr">
        <is>
          <t>tim</t>
        </is>
      </c>
      <c r="D3831" s="5" t="inlineStr">
        <is>
          <t>fit</t>
        </is>
      </c>
      <c r="E3831" s="5" t="inlineStr">
        <is>
          <t>SP</t>
        </is>
      </c>
      <c r="F3831" s="5" t="inlineStr">
        <is>
          <t>TIM Controle Fit Mensal 2.0</t>
        </is>
      </c>
      <c r="G3831" s="5" t="inlineStr">
        <is>
          <t>tim:TIM202600000305</t>
        </is>
      </c>
      <c r="H3831" s="6" t="n">
        <v>45</v>
      </c>
      <c r="I3831" s="6" t="inlineStr"/>
      <c r="J3831" s="5" t="inlineStr">
        <is>
          <t>plano mensal, sem prazo de permanência; a etiqueta TIM informa 'sem prazo de permanência'</t>
        </is>
      </c>
      <c r="K3831" s="5" t="inlineStr"/>
      <c r="L3831" s="7" t="n">
        <v>35</v>
      </c>
      <c r="M3831" s="5" t="inlineStr"/>
      <c r="N3831" s="5" t="inlineStr"/>
      <c r="O3831" s="5" t="inlineStr"/>
      <c r="P3831" s="5" t="inlineStr"/>
      <c r="Q3831" s="5" t="inlineStr"/>
      <c r="R3831" s="5" t="inlineStr"/>
      <c r="S3831" s="5" t="inlineStr"/>
      <c r="T3831" s="5" t="inlineStr"/>
      <c r="U3831" s="5" t="inlineStr">
        <is>
          <t>https://www.tim.com.br/sp/para-voce/planos/controle</t>
        </is>
      </c>
      <c r="V3831" s="5" t="inlineStr">
        <is>
          <t>data/raw/tim_fit_SP.html</t>
        </is>
      </c>
    </row>
    <row r="3832">
      <c r="A3832" s="2" t="inlineStr">
        <is>
          <t>2026-08-29</t>
        </is>
      </c>
      <c r="B3832" s="2" t="inlineStr">
        <is>
          <t>2026-08-29T00:03:20</t>
        </is>
      </c>
      <c r="C3832" s="2" t="inlineStr">
        <is>
          <t>tim</t>
        </is>
      </c>
      <c r="D3832" s="2" t="inlineStr">
        <is>
          <t>postpaid</t>
        </is>
      </c>
      <c r="E3832" s="2" t="inlineStr">
        <is>
          <t>SP</t>
        </is>
      </c>
      <c r="F3832" s="2" t="inlineStr">
        <is>
          <t>TIM Black 70GB</t>
        </is>
      </c>
      <c r="G3832" s="2" t="inlineStr">
        <is>
          <t>tim:54206</t>
        </is>
      </c>
      <c r="H3832" s="3" t="n">
        <v>129.99</v>
      </c>
      <c r="I3832" s="3" t="inlineStr"/>
      <c r="J3832" s="2" t="inlineStr"/>
      <c r="K3832" s="2" t="inlineStr">
        <is>
          <t>bill</t>
        </is>
      </c>
      <c r="L3832" s="4" t="n">
        <v>70</v>
      </c>
      <c r="M3832" s="2" t="inlineStr"/>
      <c r="N3832" s="2" t="inlineStr"/>
      <c r="O3832" s="2" t="inlineStr"/>
      <c r="P3832" s="2" t="inlineStr"/>
      <c r="Q3832" s="2" t="inlineStr"/>
      <c r="R3832" s="2" t="inlineStr"/>
      <c r="S3832" s="2" t="inlineStr"/>
      <c r="T3832" s="2" t="inlineStr"/>
      <c r="U3832" s="2" t="inlineStr">
        <is>
          <t>https://www.tim.com.br/sp/para-voce/planos/pos-pago/tim-black</t>
        </is>
      </c>
      <c r="V3832" s="2" t="inlineStr">
        <is>
          <t>data/raw/tim_postpaid_SP.html</t>
        </is>
      </c>
    </row>
    <row r="3833">
      <c r="A3833" s="5" t="inlineStr">
        <is>
          <t>2026-08-29</t>
        </is>
      </c>
      <c r="B3833" s="5" t="inlineStr">
        <is>
          <t>2026-08-29T00:03:20</t>
        </is>
      </c>
      <c r="C3833" s="5" t="inlineStr">
        <is>
          <t>tim</t>
        </is>
      </c>
      <c r="D3833" s="5" t="inlineStr">
        <is>
          <t>postpaid</t>
        </is>
      </c>
      <c r="E3833" s="5" t="inlineStr">
        <is>
          <t>SP</t>
        </is>
      </c>
      <c r="F3833" s="5" t="inlineStr">
        <is>
          <t>TIM Black B Express 82GB</t>
        </is>
      </c>
      <c r="G3833" s="5" t="inlineStr">
        <is>
          <t>tim:52146</t>
        </is>
      </c>
      <c r="H3833" s="6" t="n">
        <v>144.99</v>
      </c>
      <c r="I3833" s="6" t="inlineStr"/>
      <c r="J3833" s="5" t="inlineStr"/>
      <c r="K3833" s="5" t="inlineStr">
        <is>
          <t>credit_card</t>
        </is>
      </c>
      <c r="L3833" s="7" t="n">
        <v>82</v>
      </c>
      <c r="M3833" s="5" t="inlineStr"/>
      <c r="N3833" s="5" t="inlineStr"/>
      <c r="O3833" s="5" t="inlineStr"/>
      <c r="P3833" s="5" t="inlineStr"/>
      <c r="Q3833" s="5" t="inlineStr"/>
      <c r="R3833" s="5" t="inlineStr"/>
      <c r="S3833" s="5" t="inlineStr"/>
      <c r="T3833" s="5" t="inlineStr"/>
      <c r="U3833" s="5" t="inlineStr">
        <is>
          <t>https://www.tim.com.br/sp/para-voce/planos/pos-pago/tim-black</t>
        </is>
      </c>
      <c r="V3833" s="5" t="inlineStr">
        <is>
          <t>data/raw/tim_postpaid_SP.html</t>
        </is>
      </c>
    </row>
    <row r="3834">
      <c r="A3834" s="2" t="inlineStr">
        <is>
          <t>2026-08-29</t>
        </is>
      </c>
      <c r="B3834" s="2" t="inlineStr">
        <is>
          <t>2026-08-29T00:03:20</t>
        </is>
      </c>
      <c r="C3834" s="2" t="inlineStr">
        <is>
          <t>tim</t>
        </is>
      </c>
      <c r="D3834" s="2" t="inlineStr">
        <is>
          <t>postpaid</t>
        </is>
      </c>
      <c r="E3834" s="2" t="inlineStr">
        <is>
          <t>SP</t>
        </is>
      </c>
      <c r="F3834" s="2" t="inlineStr">
        <is>
          <t>TIM Black C Express 107GB</t>
        </is>
      </c>
      <c r="G3834" s="2" t="inlineStr">
        <is>
          <t>tim:52151</t>
        </is>
      </c>
      <c r="H3834" s="3" t="n">
        <v>164.99</v>
      </c>
      <c r="I3834" s="3" t="inlineStr"/>
      <c r="J3834" s="2" t="inlineStr"/>
      <c r="K3834" s="2" t="inlineStr">
        <is>
          <t>credit_card</t>
        </is>
      </c>
      <c r="L3834" s="4" t="n">
        <v>107</v>
      </c>
      <c r="M3834" s="2" t="inlineStr"/>
      <c r="N3834" s="2" t="inlineStr"/>
      <c r="O3834" s="2" t="inlineStr"/>
      <c r="P3834" s="2" t="inlineStr"/>
      <c r="Q3834" s="2" t="inlineStr"/>
      <c r="R3834" s="2" t="inlineStr"/>
      <c r="S3834" s="2" t="inlineStr"/>
      <c r="T3834" s="2" t="inlineStr"/>
      <c r="U3834" s="2" t="inlineStr">
        <is>
          <t>https://www.tim.com.br/sp/para-voce/planos/pos-pago/tim-black</t>
        </is>
      </c>
      <c r="V3834" s="2" t="inlineStr">
        <is>
          <t>data/raw/tim_postpaid_SP.html</t>
        </is>
      </c>
    </row>
    <row r="3835">
      <c r="A3835" s="5" t="inlineStr">
        <is>
          <t>2026-08-29</t>
        </is>
      </c>
      <c r="B3835" s="5" t="inlineStr">
        <is>
          <t>2026-08-29T00:03:20</t>
        </is>
      </c>
      <c r="C3835" s="5" t="inlineStr">
        <is>
          <t>tim</t>
        </is>
      </c>
      <c r="D3835" s="5" t="inlineStr">
        <is>
          <t>postpaid</t>
        </is>
      </c>
      <c r="E3835" s="5" t="inlineStr">
        <is>
          <t>SP</t>
        </is>
      </c>
      <c r="F3835" s="5" t="inlineStr">
        <is>
          <t>TIM Black Plus 80GB</t>
        </is>
      </c>
      <c r="G3835" s="5" t="inlineStr">
        <is>
          <t>tim:54256</t>
        </is>
      </c>
      <c r="H3835" s="6" t="n">
        <v>149.99</v>
      </c>
      <c r="I3835" s="6" t="inlineStr"/>
      <c r="J3835" s="5" t="inlineStr"/>
      <c r="K3835" s="5" t="inlineStr">
        <is>
          <t>bill</t>
        </is>
      </c>
      <c r="L3835" s="7" t="n">
        <v>80</v>
      </c>
      <c r="M3835" s="5" t="inlineStr"/>
      <c r="N3835" s="5" t="inlineStr"/>
      <c r="O3835" s="5" t="inlineStr"/>
      <c r="P3835" s="5" t="inlineStr"/>
      <c r="Q3835" s="5" t="inlineStr"/>
      <c r="R3835" s="5" t="inlineStr"/>
      <c r="S3835" s="5" t="inlineStr"/>
      <c r="T3835" s="5" t="inlineStr"/>
      <c r="U3835" s="5" t="inlineStr">
        <is>
          <t>https://www.tim.com.br/sp/para-voce/planos/pos-pago/tim-black</t>
        </is>
      </c>
      <c r="V3835" s="5" t="inlineStr">
        <is>
          <t>data/raw/tim_postpaid_SP.html</t>
        </is>
      </c>
    </row>
    <row r="3836">
      <c r="A3836" s="2" t="inlineStr">
        <is>
          <t>2026-08-29</t>
        </is>
      </c>
      <c r="B3836" s="2" t="inlineStr">
        <is>
          <t>2026-08-29T00:03:20</t>
        </is>
      </c>
      <c r="C3836" s="2" t="inlineStr">
        <is>
          <t>tim</t>
        </is>
      </c>
      <c r="D3836" s="2" t="inlineStr">
        <is>
          <t>postpaid</t>
        </is>
      </c>
      <c r="E3836" s="2" t="inlineStr">
        <is>
          <t>SP</t>
        </is>
      </c>
      <c r="F3836" s="2" t="inlineStr">
        <is>
          <t>TIM Black Premium 110GB</t>
        </is>
      </c>
      <c r="G3836" s="2" t="inlineStr">
        <is>
          <t>tim:54261</t>
        </is>
      </c>
      <c r="H3836" s="3" t="n">
        <v>159.99</v>
      </c>
      <c r="I3836" s="3" t="inlineStr"/>
      <c r="J3836" s="2" t="inlineStr"/>
      <c r="K3836" s="2" t="inlineStr">
        <is>
          <t>bill</t>
        </is>
      </c>
      <c r="L3836" s="4" t="n">
        <v>110</v>
      </c>
      <c r="M3836" s="2" t="inlineStr"/>
      <c r="N3836" s="2" t="inlineStr"/>
      <c r="O3836" s="2" t="inlineStr"/>
      <c r="P3836" s="2" t="inlineStr"/>
      <c r="Q3836" s="2" t="inlineStr"/>
      <c r="R3836" s="2" t="inlineStr"/>
      <c r="S3836" s="2" t="inlineStr"/>
      <c r="T3836" s="2" t="inlineStr"/>
      <c r="U3836" s="2" t="inlineStr">
        <is>
          <t>https://www.tim.com.br/sp/para-voce/planos/pos-pago/tim-black</t>
        </is>
      </c>
      <c r="V3836" s="2" t="inlineStr">
        <is>
          <t>data/raw/tim_postpaid_SP.html</t>
        </is>
      </c>
    </row>
    <row r="3837">
      <c r="A3837" s="5" t="inlineStr">
        <is>
          <t>2026-08-29</t>
        </is>
      </c>
      <c r="B3837" s="5" t="inlineStr">
        <is>
          <t>2026-08-29T00:03:20</t>
        </is>
      </c>
      <c r="C3837" s="5" t="inlineStr">
        <is>
          <t>tim</t>
        </is>
      </c>
      <c r="D3837" s="5" t="inlineStr">
        <is>
          <t>prepaid</t>
        </is>
      </c>
      <c r="E3837" s="5" t="inlineStr">
        <is>
          <t>SP</t>
        </is>
      </c>
      <c r="F3837" s="5" t="inlineStr">
        <is>
          <t>TIM Pré XIP Plus 16GB</t>
        </is>
      </c>
      <c r="G3837" s="5" t="inlineStr">
        <is>
          <t>tim:106306</t>
        </is>
      </c>
      <c r="H3837" s="6" t="n">
        <v>30</v>
      </c>
      <c r="I3837" s="6" t="inlineStr"/>
      <c r="J3837" s="5" t="inlineStr"/>
      <c r="K3837" s="5" t="inlineStr"/>
      <c r="L3837" s="7" t="n">
        <v>16</v>
      </c>
      <c r="M3837" s="5" t="inlineStr"/>
      <c r="N3837" s="5" t="n">
        <v>30</v>
      </c>
      <c r="O3837" s="5" t="inlineStr"/>
      <c r="P3837" s="5" t="inlineStr"/>
      <c r="Q3837" s="5" t="inlineStr"/>
      <c r="R3837" s="5" t="inlineStr"/>
      <c r="S3837" s="5" t="inlineStr"/>
      <c r="T3837" s="5" t="inlineStr"/>
      <c r="U3837" s="5" t="inlineStr">
        <is>
          <t>https://www.tim.com.br/sp/para-voce/planos/pre-pago</t>
        </is>
      </c>
      <c r="V3837" s="5" t="inlineStr">
        <is>
          <t>data/raw/tim_prepaid_SP.html</t>
        </is>
      </c>
    </row>
    <row r="3838">
      <c r="A3838" s="2" t="inlineStr">
        <is>
          <t>2026-08-29</t>
        </is>
      </c>
      <c r="B3838" s="2" t="inlineStr">
        <is>
          <t>2026-08-29T00:03:20</t>
        </is>
      </c>
      <c r="C3838" s="2" t="inlineStr">
        <is>
          <t>tim</t>
        </is>
      </c>
      <c r="D3838" s="2" t="inlineStr">
        <is>
          <t>prepaid</t>
        </is>
      </c>
      <c r="E3838" s="2" t="inlineStr">
        <is>
          <t>SP</t>
        </is>
      </c>
      <c r="F3838" s="2" t="inlineStr">
        <is>
          <t>TIM Pré XIP Plus 6GB</t>
        </is>
      </c>
      <c r="G3838" s="2" t="inlineStr">
        <is>
          <t>tim:59906</t>
        </is>
      </c>
      <c r="H3838" s="3" t="n">
        <v>20</v>
      </c>
      <c r="I3838" s="3" t="inlineStr"/>
      <c r="J3838" s="2" t="inlineStr"/>
      <c r="K3838" s="2" t="inlineStr"/>
      <c r="L3838" s="4" t="n">
        <v>6</v>
      </c>
      <c r="M3838" s="2" t="inlineStr"/>
      <c r="N3838" s="2" t="n">
        <v>17</v>
      </c>
      <c r="O3838" s="2" t="inlineStr"/>
      <c r="P3838" s="2" t="inlineStr"/>
      <c r="Q3838" s="2" t="inlineStr"/>
      <c r="R3838" s="2" t="inlineStr"/>
      <c r="S3838" s="2" t="inlineStr"/>
      <c r="T3838" s="2" t="inlineStr"/>
      <c r="U3838" s="2" t="inlineStr">
        <is>
          <t>https://www.tim.com.br/sp/para-voce/planos/pre-pago</t>
        </is>
      </c>
      <c r="V3838" s="2" t="inlineStr">
        <is>
          <t>data/raw/tim_prepaid_SP.html</t>
        </is>
      </c>
    </row>
    <row r="3839">
      <c r="A3839" s="5" t="inlineStr">
        <is>
          <t>2026-08-29</t>
        </is>
      </c>
      <c r="B3839" s="5" t="inlineStr">
        <is>
          <t>2026-08-29T00:03:20</t>
        </is>
      </c>
      <c r="C3839" s="5" t="inlineStr">
        <is>
          <t>tim</t>
        </is>
      </c>
      <c r="D3839" s="5" t="inlineStr">
        <is>
          <t>prepaid</t>
        </is>
      </c>
      <c r="E3839" s="5" t="inlineStr">
        <is>
          <t>SP</t>
        </is>
      </c>
      <c r="F3839" s="5" t="inlineStr">
        <is>
          <t>TIM Pré XIP Plus 8GB</t>
        </is>
      </c>
      <c r="G3839" s="5" t="inlineStr">
        <is>
          <t>tim:59901</t>
        </is>
      </c>
      <c r="H3839" s="6" t="n">
        <v>25</v>
      </c>
      <c r="I3839" s="6" t="inlineStr"/>
      <c r="J3839" s="5" t="inlineStr"/>
      <c r="K3839" s="5" t="inlineStr"/>
      <c r="L3839" s="7" t="n">
        <v>8</v>
      </c>
      <c r="M3839" s="5" t="inlineStr"/>
      <c r="N3839" s="5" t="n">
        <v>22</v>
      </c>
      <c r="O3839" s="5" t="inlineStr"/>
      <c r="P3839" s="5" t="inlineStr"/>
      <c r="Q3839" s="5" t="inlineStr"/>
      <c r="R3839" s="5" t="inlineStr"/>
      <c r="S3839" s="5" t="inlineStr"/>
      <c r="T3839" s="5" t="inlineStr"/>
      <c r="U3839" s="5" t="inlineStr">
        <is>
          <t>https://www.tim.com.br/sp/para-voce/planos/pre-pago</t>
        </is>
      </c>
      <c r="V3839" s="5" t="inlineStr">
        <is>
          <t>data/raw/tim_prepaid_SP.html</t>
        </is>
      </c>
    </row>
    <row r="3840">
      <c r="A3840" s="2" t="inlineStr">
        <is>
          <t>2026-08-29</t>
        </is>
      </c>
      <c r="B3840" s="2" t="inlineStr">
        <is>
          <t>2026-08-29T00:03:20</t>
        </is>
      </c>
      <c r="C3840" s="2" t="inlineStr">
        <is>
          <t>vivo</t>
        </is>
      </c>
      <c r="D3840" s="2" t="inlineStr">
        <is>
          <t>control</t>
        </is>
      </c>
      <c r="E3840" s="2" t="inlineStr">
        <is>
          <t>SP</t>
        </is>
      </c>
      <c r="F3840" s="2" t="inlineStr">
        <is>
          <t>Vivo Controle</t>
        </is>
      </c>
      <c r="G3840" s="2" t="inlineStr">
        <is>
          <t>vivo:VIV202600034591</t>
        </is>
      </c>
      <c r="H3840" s="3" t="n">
        <v>59</v>
      </c>
      <c r="I3840" s="3" t="inlineStr"/>
      <c r="J3840" s="2" t="inlineStr"/>
      <c r="K3840" s="2" t="inlineStr"/>
      <c r="L3840" s="4" t="n">
        <v>45</v>
      </c>
      <c r="M3840" s="2" t="inlineStr">
        <is>
          <t>15 GB de franquia 30 GB de bônus</t>
        </is>
      </c>
      <c r="N3840" s="2" t="inlineStr"/>
      <c r="O3840" s="2" t="inlineStr"/>
      <c r="P3840" s="2" t="inlineStr"/>
      <c r="Q3840" s="2" t="inlineStr"/>
      <c r="R3840" s="2" t="inlineStr"/>
      <c r="S3840" s="2" t="inlineStr"/>
      <c r="T3840" s="2" t="inlineStr">
        <is>
          <t>6 meses grátis de Gemini com AI Plus</t>
        </is>
      </c>
      <c r="U3840" s="2" t="inlineStr">
        <is>
          <t>https://vivo.com.br/para-voce/produtos-e-servicos/para-o-celular/planos-controle</t>
        </is>
      </c>
      <c r="V3840" s="2" t="inlineStr">
        <is>
          <t>data/raw/vivo_control_SP.html</t>
        </is>
      </c>
    </row>
    <row r="3841">
      <c r="A3841" s="5" t="inlineStr">
        <is>
          <t>2026-08-29</t>
        </is>
      </c>
      <c r="B3841" s="5" t="inlineStr">
        <is>
          <t>2026-08-29T00:03:20</t>
        </is>
      </c>
      <c r="C3841" s="5" t="inlineStr">
        <is>
          <t>vivo</t>
        </is>
      </c>
      <c r="D3841" s="5" t="inlineStr">
        <is>
          <t>control</t>
        </is>
      </c>
      <c r="E3841" s="5" t="inlineStr">
        <is>
          <t>SP</t>
        </is>
      </c>
      <c r="F3841" s="5" t="inlineStr">
        <is>
          <t>Vivo Controle</t>
        </is>
      </c>
      <c r="G3841" s="5" t="inlineStr">
        <is>
          <t>vivo:VIV202600034599</t>
        </is>
      </c>
      <c r="H3841" s="6" t="n">
        <v>75</v>
      </c>
      <c r="I3841" s="6" t="inlineStr"/>
      <c r="J3841" s="5" t="inlineStr">
        <is>
          <t>preço-base do plano; a tela exibia R$ 80 com o adicional pré-selecionado (+R$ 5/mês, opcional); 60 GB na tela incluem +10 GB do adicional</t>
        </is>
      </c>
      <c r="K3841" s="5" t="inlineStr"/>
      <c r="L3841" s="7" t="n">
        <v>50</v>
      </c>
      <c r="M3841" s="5" t="inlineStr">
        <is>
          <t>20 GB de franquia 30 GB de bônus</t>
        </is>
      </c>
      <c r="N3841" s="5" t="inlineStr"/>
      <c r="O3841" s="5" t="inlineStr"/>
      <c r="P3841" s="5" t="inlineStr"/>
      <c r="Q3841" s="5" t="inlineStr"/>
      <c r="R3841" s="5" t="inlineStr"/>
      <c r="S3841" s="5" t="inlineStr"/>
      <c r="T3841" s="5" t="inlineStr">
        <is>
          <t>6 meses grátis de Gemini com AI Plus</t>
        </is>
      </c>
      <c r="U3841" s="5" t="inlineStr">
        <is>
          <t>https://vivo.com.br/para-voce/produtos-e-servicos/para-o-celular/planos-controle</t>
        </is>
      </c>
      <c r="V3841" s="5" t="inlineStr">
        <is>
          <t>data/raw/vivo_control_SP.html</t>
        </is>
      </c>
    </row>
    <row r="3842">
      <c r="A3842" s="2" t="inlineStr">
        <is>
          <t>2026-08-29</t>
        </is>
      </c>
      <c r="B3842" s="2" t="inlineStr">
        <is>
          <t>2026-08-29T00:03:20</t>
        </is>
      </c>
      <c r="C3842" s="2" t="inlineStr">
        <is>
          <t>vivo</t>
        </is>
      </c>
      <c r="D3842" s="2" t="inlineStr">
        <is>
          <t>control</t>
        </is>
      </c>
      <c r="E3842" s="2" t="inlineStr">
        <is>
          <t>SP</t>
        </is>
      </c>
      <c r="F3842" s="2" t="inlineStr">
        <is>
          <t>Vivo Controle Educação</t>
        </is>
      </c>
      <c r="G3842" s="2" t="inlineStr">
        <is>
          <t>vivo:VIV202600034616</t>
        </is>
      </c>
      <c r="H3842" s="3" t="n">
        <v>85</v>
      </c>
      <c r="I3842" s="3" t="inlineStr"/>
      <c r="J3842" s="2" t="inlineStr">
        <is>
          <t>preço-base do plano; a tela exibia R$ 90 com o adicional pré-selecionado (+R$ 5/mês, opcional); 60 GB na tela incluem +10 GB do adicional</t>
        </is>
      </c>
      <c r="K3842" s="2" t="inlineStr"/>
      <c r="L3842" s="4" t="n">
        <v>50</v>
      </c>
      <c r="M3842" s="2" t="inlineStr">
        <is>
          <t>20 GB de franquia 30 GB de bônus</t>
        </is>
      </c>
      <c r="N3842" s="2" t="inlineStr"/>
      <c r="O3842" s="2" t="inlineStr"/>
      <c r="P3842" s="2" t="inlineStr"/>
      <c r="Q3842" s="2" t="inlineStr"/>
      <c r="R3842" s="2" t="inlineStr"/>
      <c r="S3842" s="2" t="inlineStr"/>
      <c r="T3842" s="2" t="inlineStr">
        <is>
          <t>Assinatura Vivae inclusa</t>
        </is>
      </c>
      <c r="U3842" s="2" t="inlineStr">
        <is>
          <t>https://vivo.com.br/para-voce/produtos-e-servicos/para-o-celular/planos-controle</t>
        </is>
      </c>
      <c r="V3842" s="2" t="inlineStr">
        <is>
          <t>data/raw/vivo_control_SP.html</t>
        </is>
      </c>
    </row>
    <row r="3843">
      <c r="A3843" s="5" t="inlineStr">
        <is>
          <t>2026-08-29</t>
        </is>
      </c>
      <c r="B3843" s="5" t="inlineStr">
        <is>
          <t>2026-08-29T00:03:20</t>
        </is>
      </c>
      <c r="C3843" s="5" t="inlineStr">
        <is>
          <t>vivo</t>
        </is>
      </c>
      <c r="D3843" s="5" t="inlineStr">
        <is>
          <t>control</t>
        </is>
      </c>
      <c r="E3843" s="5" t="inlineStr">
        <is>
          <t>SP</t>
        </is>
      </c>
      <c r="F3843" s="5" t="inlineStr">
        <is>
          <t>Vivo Controle Entretenimento</t>
        </is>
      </c>
      <c r="G3843" s="5" t="inlineStr">
        <is>
          <t>vivo:VIV202600034619</t>
        </is>
      </c>
      <c r="H3843" s="6" t="n">
        <v>105</v>
      </c>
      <c r="I3843" s="6" t="inlineStr"/>
      <c r="J3843" s="5" t="inlineStr">
        <is>
          <t>preço-base do plano; a tela exibia R$ 110 com o adicional pré-selecionado (+R$ 5/mês, opcional); 60 GB na tela incluem +10 GB do adicional</t>
        </is>
      </c>
      <c r="K3843" s="5" t="inlineStr"/>
      <c r="L3843" s="7" t="n">
        <v>50</v>
      </c>
      <c r="M3843" s="5" t="inlineStr">
        <is>
          <t>20 GB de franquia 30 GB de bônus</t>
        </is>
      </c>
      <c r="N3843" s="5" t="inlineStr"/>
      <c r="O3843" s="5" t="inlineStr"/>
      <c r="P3843" s="5" t="inlineStr"/>
      <c r="Q3843" s="5" t="inlineStr"/>
      <c r="R3843" s="5" t="inlineStr"/>
      <c r="S3843" s="5" t="inlineStr"/>
      <c r="T3843" s="5" t="inlineStr">
        <is>
          <t>Assinatura Vivo TV Inicial inclusa</t>
        </is>
      </c>
      <c r="U3843" s="5" t="inlineStr">
        <is>
          <t>https://vivo.com.br/para-voce/produtos-e-servicos/para-o-celular/planos-controle</t>
        </is>
      </c>
      <c r="V3843" s="5" t="inlineStr">
        <is>
          <t>data/raw/vivo_control_SP.html</t>
        </is>
      </c>
    </row>
    <row r="3844">
      <c r="A3844" s="2" t="inlineStr">
        <is>
          <t>2026-08-29</t>
        </is>
      </c>
      <c r="B3844" s="2" t="inlineStr">
        <is>
          <t>2026-08-29T00:03:20</t>
        </is>
      </c>
      <c r="C3844" s="2" t="inlineStr">
        <is>
          <t>vivo</t>
        </is>
      </c>
      <c r="D3844" s="2" t="inlineStr">
        <is>
          <t>control</t>
        </is>
      </c>
      <c r="E3844" s="2" t="inlineStr">
        <is>
          <t>SP</t>
        </is>
      </c>
      <c r="F3844" s="2" t="inlineStr">
        <is>
          <t>Vivo Controle Música</t>
        </is>
      </c>
      <c r="G3844" s="2" t="inlineStr">
        <is>
          <t>vivo:VIV202600034620</t>
        </is>
      </c>
      <c r="H3844" s="3" t="n">
        <v>85</v>
      </c>
      <c r="I3844" s="3" t="inlineStr"/>
      <c r="J3844" s="2" t="inlineStr">
        <is>
          <t>preço-base do plano; a tela exibia R$ 90 com o adicional pré-selecionado (+R$ 5/mês, opcional); 60 GB na tela incluem +10 GB do adicional</t>
        </is>
      </c>
      <c r="K3844" s="2" t="inlineStr"/>
      <c r="L3844" s="4" t="n">
        <v>50</v>
      </c>
      <c r="M3844" s="2" t="inlineStr">
        <is>
          <t>20 GB de franquia 30 GB de bônus</t>
        </is>
      </c>
      <c r="N3844" s="2" t="inlineStr"/>
      <c r="O3844" s="2" t="inlineStr"/>
      <c r="P3844" s="2" t="inlineStr"/>
      <c r="Q3844" s="2" t="inlineStr"/>
      <c r="R3844" s="2" t="inlineStr"/>
      <c r="S3844" s="2" t="inlineStr"/>
      <c r="T3844" s="2" t="inlineStr">
        <is>
          <t>Apple Music Individual</t>
        </is>
      </c>
      <c r="U3844" s="2" t="inlineStr">
        <is>
          <t>https://vivo.com.br/para-voce/produtos-e-servicos/para-o-celular/planos-controle</t>
        </is>
      </c>
      <c r="V3844" s="2" t="inlineStr">
        <is>
          <t>data/raw/vivo_control_SP.html</t>
        </is>
      </c>
    </row>
    <row r="3845">
      <c r="A3845" s="5" t="inlineStr">
        <is>
          <t>2026-08-29</t>
        </is>
      </c>
      <c r="B3845" s="5" t="inlineStr">
        <is>
          <t>2026-08-29T00:03:20</t>
        </is>
      </c>
      <c r="C3845" s="5" t="inlineStr">
        <is>
          <t>vivo</t>
        </is>
      </c>
      <c r="D3845" s="5" t="inlineStr">
        <is>
          <t>control</t>
        </is>
      </c>
      <c r="E3845" s="5" t="inlineStr">
        <is>
          <t>SP</t>
        </is>
      </c>
      <c r="F3845" s="5" t="inlineStr">
        <is>
          <t>Vivo Controle Netflix</t>
        </is>
      </c>
      <c r="G3845" s="5" t="inlineStr">
        <is>
          <t>vivo:VIV202600034623</t>
        </is>
      </c>
      <c r="H3845" s="6" t="n">
        <v>90</v>
      </c>
      <c r="I3845" s="6" t="inlineStr"/>
      <c r="J3845" s="5" t="inlineStr">
        <is>
          <t>preço-base do plano; a tela exibia R$ 95 com o adicional pré-selecionado (+R$ 5/mês, opcional); 60 GB na tela incluem +10 GB do adicional</t>
        </is>
      </c>
      <c r="K3845" s="5" t="inlineStr"/>
      <c r="L3845" s="7" t="n">
        <v>50</v>
      </c>
      <c r="M3845" s="5" t="inlineStr">
        <is>
          <t>20 GB de franquia 30 GB de bônus</t>
        </is>
      </c>
      <c r="N3845" s="5" t="inlineStr"/>
      <c r="O3845" s="5" t="inlineStr"/>
      <c r="P3845" s="5" t="inlineStr"/>
      <c r="Q3845" s="5" t="inlineStr"/>
      <c r="R3845" s="5" t="inlineStr"/>
      <c r="S3845" s="5" t="inlineStr"/>
      <c r="T3845" s="5" t="inlineStr">
        <is>
          <t>Assinatura Netflix Padrão com anúncios</t>
        </is>
      </c>
      <c r="U3845" s="5" t="inlineStr">
        <is>
          <t>https://vivo.com.br/para-voce/produtos-e-servicos/para-o-celular/planos-controle</t>
        </is>
      </c>
      <c r="V3845" s="5" t="inlineStr">
        <is>
          <t>data/raw/vivo_control_SP.html</t>
        </is>
      </c>
    </row>
    <row r="3846">
      <c r="A3846" s="2" t="inlineStr">
        <is>
          <t>2026-08-29</t>
        </is>
      </c>
      <c r="B3846" s="2" t="inlineStr">
        <is>
          <t>2026-08-29T00:03:20</t>
        </is>
      </c>
      <c r="C3846" s="2" t="inlineStr">
        <is>
          <t>vivo</t>
        </is>
      </c>
      <c r="D3846" s="2" t="inlineStr">
        <is>
          <t>control</t>
        </is>
      </c>
      <c r="E3846" s="2" t="inlineStr">
        <is>
          <t>SP</t>
        </is>
      </c>
      <c r="F3846" s="2" t="inlineStr">
        <is>
          <t>Vivo Controle Saúde</t>
        </is>
      </c>
      <c r="G3846" s="2" t="inlineStr">
        <is>
          <t>vivo:VIV202600034625</t>
        </is>
      </c>
      <c r="H3846" s="3" t="n">
        <v>85</v>
      </c>
      <c r="I3846" s="3" t="inlineStr"/>
      <c r="J3846" s="2" t="inlineStr">
        <is>
          <t>preço-base do plano; a tela exibia R$ 90 com o adicional pré-selecionado (+R$ 5/mês, opcional); 60 GB na tela incluem +10 GB do adicional</t>
        </is>
      </c>
      <c r="K3846" s="2" t="inlineStr"/>
      <c r="L3846" s="4" t="n">
        <v>50</v>
      </c>
      <c r="M3846" s="2" t="inlineStr">
        <is>
          <t>20 GB de franquia 30 GB de bônus</t>
        </is>
      </c>
      <c r="N3846" s="2" t="inlineStr"/>
      <c r="O3846" s="2" t="inlineStr"/>
      <c r="P3846" s="2" t="inlineStr"/>
      <c r="Q3846" s="2" t="inlineStr"/>
      <c r="R3846" s="2" t="inlineStr"/>
      <c r="S3846" s="2" t="inlineStr"/>
      <c r="T3846" s="2" t="inlineStr">
        <is>
          <t>Assinatura Vale Saúde Sempre inclusa</t>
        </is>
      </c>
      <c r="U3846" s="2" t="inlineStr">
        <is>
          <t>https://vivo.com.br/para-voce/produtos-e-servicos/para-o-celular/planos-controle</t>
        </is>
      </c>
      <c r="V3846" s="2" t="inlineStr">
        <is>
          <t>data/raw/vivo_control_SP.html</t>
        </is>
      </c>
    </row>
    <row r="3847">
      <c r="A3847" s="5" t="inlineStr">
        <is>
          <t>2026-08-29</t>
        </is>
      </c>
      <c r="B3847" s="5" t="inlineStr">
        <is>
          <t>2026-08-29T00:03:20</t>
        </is>
      </c>
      <c r="C3847" s="5" t="inlineStr">
        <is>
          <t>vivo</t>
        </is>
      </c>
      <c r="D3847" s="5" t="inlineStr">
        <is>
          <t>control</t>
        </is>
      </c>
      <c r="E3847" s="5" t="inlineStr">
        <is>
          <t>SP</t>
        </is>
      </c>
      <c r="F3847" s="5" t="inlineStr">
        <is>
          <t>Vivo Controle Youtube Lite</t>
        </is>
      </c>
      <c r="G3847" s="5" t="inlineStr">
        <is>
          <t>vivo:VIV202600034626</t>
        </is>
      </c>
      <c r="H3847" s="6" t="n">
        <v>85</v>
      </c>
      <c r="I3847" s="6" t="inlineStr"/>
      <c r="J3847" s="5" t="inlineStr">
        <is>
          <t>preço-base do plano; a tela exibia R$ 90 com o adicional pré-selecionado (+R$ 5/mês, opcional); 60 GB na tela incluem +10 GB do adicional</t>
        </is>
      </c>
      <c r="K3847" s="5" t="inlineStr"/>
      <c r="L3847" s="7" t="n">
        <v>50</v>
      </c>
      <c r="M3847" s="5" t="inlineStr">
        <is>
          <t>20 GB de franquia 30 GB de bônus</t>
        </is>
      </c>
      <c r="N3847" s="5" t="inlineStr"/>
      <c r="O3847" s="5" t="inlineStr"/>
      <c r="P3847" s="5" t="inlineStr"/>
      <c r="Q3847" s="5" t="inlineStr"/>
      <c r="R3847" s="5" t="inlineStr"/>
      <c r="S3847" s="5" t="inlineStr"/>
      <c r="T3847" s="5" t="inlineStr">
        <is>
          <t>Assinatura Youtube Premium Lite Inclusa</t>
        </is>
      </c>
      <c r="U3847" s="5" t="inlineStr">
        <is>
          <t>https://vivo.com.br/para-voce/produtos-e-servicos/para-o-celular/planos-controle</t>
        </is>
      </c>
      <c r="V3847" s="5" t="inlineStr">
        <is>
          <t>data/raw/vivo_control_SP.html</t>
        </is>
      </c>
    </row>
    <row r="3848">
      <c r="A3848" s="2" t="inlineStr">
        <is>
          <t>2026-08-29</t>
        </is>
      </c>
      <c r="B3848" s="2" t="inlineStr">
        <is>
          <t>2026-08-29T00:03:20</t>
        </is>
      </c>
      <c r="C3848" s="2" t="inlineStr">
        <is>
          <t>vivo</t>
        </is>
      </c>
      <c r="D3848" s="2" t="inlineStr">
        <is>
          <t>lite</t>
        </is>
      </c>
      <c r="E3848" s="2" t="inlineStr">
        <is>
          <t>SP</t>
        </is>
      </c>
      <c r="F3848" s="2" t="inlineStr">
        <is>
          <t>Vivo Lite</t>
        </is>
      </c>
      <c r="G3848" s="2" t="inlineStr">
        <is>
          <t>vivo:VIV202600033987</t>
        </is>
      </c>
      <c r="H3848" s="3" t="n">
        <v>45</v>
      </c>
      <c r="I3848" s="3" t="n">
        <v>30</v>
      </c>
      <c r="J3848" s="2" t="inlineStr">
        <is>
          <t>preço sem fidelidade; fidelidade 12m no promo</t>
        </is>
      </c>
      <c r="K3848" s="2" t="inlineStr"/>
      <c r="L3848" s="4" t="n">
        <v>30</v>
      </c>
      <c r="M3848" s="2" t="inlineStr">
        <is>
          <t>30 GB de franquia</t>
        </is>
      </c>
      <c r="N3848" s="2" t="inlineStr"/>
      <c r="O3848" s="2" t="inlineStr"/>
      <c r="P3848" s="2" t="inlineStr"/>
      <c r="Q3848" s="2" t="inlineStr"/>
      <c r="R3848" s="2" t="inlineStr"/>
      <c r="S3848" s="2" t="n">
        <v>12</v>
      </c>
      <c r="T3848" s="2" t="inlineStr"/>
      <c r="U3848" s="2" t="inlineStr">
        <is>
          <t>https://vivo.com.br/para-voce/produtos-e-servicos/para-o-celular/easy-lite</t>
        </is>
      </c>
      <c r="V3848" s="2" t="inlineStr">
        <is>
          <t>data/raw/vivo_lite_SP.html</t>
        </is>
      </c>
    </row>
    <row r="3849">
      <c r="A3849" s="5" t="inlineStr">
        <is>
          <t>2026-08-29</t>
        </is>
      </c>
      <c r="B3849" s="5" t="inlineStr">
        <is>
          <t>2026-08-29T00:03:20</t>
        </is>
      </c>
      <c r="C3849" s="5" t="inlineStr">
        <is>
          <t>vivo</t>
        </is>
      </c>
      <c r="D3849" s="5" t="inlineStr">
        <is>
          <t>lite</t>
        </is>
      </c>
      <c r="E3849" s="5" t="inlineStr">
        <is>
          <t>SP</t>
        </is>
      </c>
      <c r="F3849" s="5" t="inlineStr">
        <is>
          <t>Vivo Lite</t>
        </is>
      </c>
      <c r="G3849" s="5" t="inlineStr">
        <is>
          <t>vivo:VIV202600033989</t>
        </is>
      </c>
      <c r="H3849" s="6" t="n">
        <v>55</v>
      </c>
      <c r="I3849" s="6" t="n">
        <v>40</v>
      </c>
      <c r="J3849" s="5" t="inlineStr">
        <is>
          <t>preço sem fidelidade; fidelidade 12m no promo</t>
        </is>
      </c>
      <c r="K3849" s="5" t="inlineStr"/>
      <c r="L3849" s="7" t="n">
        <v>40</v>
      </c>
      <c r="M3849" s="5" t="inlineStr">
        <is>
          <t>40 GB de franquia</t>
        </is>
      </c>
      <c r="N3849" s="5" t="inlineStr"/>
      <c r="O3849" s="5" t="inlineStr"/>
      <c r="P3849" s="5" t="inlineStr"/>
      <c r="Q3849" s="5" t="inlineStr"/>
      <c r="R3849" s="5" t="inlineStr"/>
      <c r="S3849" s="5" t="n">
        <v>12</v>
      </c>
      <c r="T3849" s="5" t="inlineStr"/>
      <c r="U3849" s="5" t="inlineStr">
        <is>
          <t>https://vivo.com.br/para-voce/produtos-e-servicos/para-o-celular/easy-lite</t>
        </is>
      </c>
      <c r="V3849" s="5" t="inlineStr">
        <is>
          <t>data/raw/vivo_lite_SP.html</t>
        </is>
      </c>
    </row>
    <row r="3850">
      <c r="A3850" s="2" t="inlineStr">
        <is>
          <t>2026-08-29</t>
        </is>
      </c>
      <c r="B3850" s="2" t="inlineStr">
        <is>
          <t>2026-08-29T00:03:20</t>
        </is>
      </c>
      <c r="C3850" s="2" t="inlineStr">
        <is>
          <t>vivo</t>
        </is>
      </c>
      <c r="D3850" s="2" t="inlineStr">
        <is>
          <t>lite</t>
        </is>
      </c>
      <c r="E3850" s="2" t="inlineStr">
        <is>
          <t>SP</t>
        </is>
      </c>
      <c r="F3850" s="2" t="inlineStr">
        <is>
          <t>Vivo Lite</t>
        </is>
      </c>
      <c r="G3850" s="2" t="inlineStr">
        <is>
          <t>vivo:VIV202600033992</t>
        </is>
      </c>
      <c r="H3850" s="3" t="n">
        <v>35</v>
      </c>
      <c r="I3850" s="3" t="inlineStr"/>
      <c r="J3850" s="2" t="inlineStr"/>
      <c r="K3850" s="2" t="inlineStr"/>
      <c r="L3850" s="4" t="n">
        <v>20</v>
      </c>
      <c r="M3850" s="2" t="inlineStr">
        <is>
          <t>20 GB de franquia</t>
        </is>
      </c>
      <c r="N3850" s="2" t="inlineStr"/>
      <c r="O3850" s="2" t="inlineStr"/>
      <c r="P3850" s="2" t="inlineStr"/>
      <c r="Q3850" s="2" t="inlineStr"/>
      <c r="R3850" s="2" t="inlineStr"/>
      <c r="S3850" s="2" t="inlineStr"/>
      <c r="T3850" s="2" t="inlineStr"/>
      <c r="U3850" s="2" t="inlineStr">
        <is>
          <t>https://vivo.com.br/para-voce/produtos-e-servicos/para-o-celular/easy-lite</t>
        </is>
      </c>
      <c r="V3850" s="2" t="inlineStr">
        <is>
          <t>data/raw/vivo_lite_SP.html</t>
        </is>
      </c>
    </row>
    <row r="3851">
      <c r="A3851" s="5" t="inlineStr">
        <is>
          <t>2026-08-29</t>
        </is>
      </c>
      <c r="B3851" s="5" t="inlineStr">
        <is>
          <t>2026-08-29T00:03:20</t>
        </is>
      </c>
      <c r="C3851" s="5" t="inlineStr">
        <is>
          <t>vivo</t>
        </is>
      </c>
      <c r="D3851" s="5" t="inlineStr">
        <is>
          <t>postpaid</t>
        </is>
      </c>
      <c r="E3851" s="5" t="inlineStr">
        <is>
          <t>SP</t>
        </is>
      </c>
      <c r="F3851" s="5" t="inlineStr">
        <is>
          <t>Vivo Família 2</t>
        </is>
      </c>
      <c r="G3851" s="5" t="inlineStr">
        <is>
          <t>vivo:VIV202600034547</t>
        </is>
      </c>
      <c r="H3851" s="6" t="n">
        <v>270</v>
      </c>
      <c r="I3851" s="6" t="inlineStr"/>
      <c r="J3851" s="5" t="inlineStr"/>
      <c r="K3851" s="5" t="inlineStr"/>
      <c r="L3851" s="7" t="n">
        <v>120</v>
      </c>
      <c r="M3851" s="5" t="inlineStr">
        <is>
          <t>120 GB de franquia Você + 1 linha adicional Roaming Internacional com Vivo Travel Américas e Europa</t>
        </is>
      </c>
      <c r="N3851" s="5" t="inlineStr"/>
      <c r="O3851" s="5" t="inlineStr"/>
      <c r="P3851" s="5" t="inlineStr"/>
      <c r="Q3851" s="5" t="inlineStr"/>
      <c r="R3851" s="5" t="inlineStr"/>
      <c r="S3851" s="5" t="inlineStr"/>
      <c r="T3851" s="5" t="inlineStr">
        <is>
          <t>12 meses grátis de Gemini com AI Plus</t>
        </is>
      </c>
      <c r="U3851" s="5" t="inlineStr">
        <is>
          <t>https://vivo.com.br/para-voce/produtos-e-servicos/para-o-celular/planos-pos-pago</t>
        </is>
      </c>
      <c r="V3851" s="5" t="inlineStr">
        <is>
          <t>data/raw/vivo_postpaid_SP.html</t>
        </is>
      </c>
    </row>
    <row r="3852">
      <c r="A3852" s="2" t="inlineStr">
        <is>
          <t>2026-08-29</t>
        </is>
      </c>
      <c r="B3852" s="2" t="inlineStr">
        <is>
          <t>2026-08-29T00:03:20</t>
        </is>
      </c>
      <c r="C3852" s="2" t="inlineStr">
        <is>
          <t>vivo</t>
        </is>
      </c>
      <c r="D3852" s="2" t="inlineStr">
        <is>
          <t>postpaid</t>
        </is>
      </c>
      <c r="E3852" s="2" t="inlineStr">
        <is>
          <t>SP</t>
        </is>
      </c>
      <c r="F3852" s="2" t="inlineStr">
        <is>
          <t>Vivo Família 3</t>
        </is>
      </c>
      <c r="G3852" s="2" t="inlineStr">
        <is>
          <t>vivo:VIV202600034540</t>
        </is>
      </c>
      <c r="H3852" s="3" t="n">
        <v>340</v>
      </c>
      <c r="I3852" s="3" t="inlineStr"/>
      <c r="J3852" s="2" t="inlineStr"/>
      <c r="K3852" s="2" t="inlineStr"/>
      <c r="L3852" s="4" t="n">
        <v>180</v>
      </c>
      <c r="M3852" s="2" t="inlineStr">
        <is>
          <t>180 GB de franquia Você + 2 linhas adicionais Roaming Internacional com Vivo Travel Américas e Europa</t>
        </is>
      </c>
      <c r="N3852" s="2" t="inlineStr"/>
      <c r="O3852" s="2" t="inlineStr"/>
      <c r="P3852" s="2" t="inlineStr"/>
      <c r="Q3852" s="2" t="inlineStr"/>
      <c r="R3852" s="2" t="inlineStr"/>
      <c r="S3852" s="2" t="inlineStr"/>
      <c r="T3852" s="2" t="inlineStr">
        <is>
          <t>12 meses grátis de Gemini com AI Plus</t>
        </is>
      </c>
      <c r="U3852" s="2" t="inlineStr">
        <is>
          <t>https://vivo.com.br/para-voce/produtos-e-servicos/para-o-celular/planos-pos-pago</t>
        </is>
      </c>
      <c r="V3852" s="2" t="inlineStr">
        <is>
          <t>data/raw/vivo_postpaid_SP.html</t>
        </is>
      </c>
    </row>
    <row r="3853">
      <c r="A3853" s="5" t="inlineStr">
        <is>
          <t>2026-08-29</t>
        </is>
      </c>
      <c r="B3853" s="5" t="inlineStr">
        <is>
          <t>2026-08-29T00:03:20</t>
        </is>
      </c>
      <c r="C3853" s="5" t="inlineStr">
        <is>
          <t>vivo</t>
        </is>
      </c>
      <c r="D3853" s="5" t="inlineStr">
        <is>
          <t>postpaid</t>
        </is>
      </c>
      <c r="E3853" s="5" t="inlineStr">
        <is>
          <t>SP</t>
        </is>
      </c>
      <c r="F3853" s="5" t="inlineStr">
        <is>
          <t>Vivo Família 4</t>
        </is>
      </c>
      <c r="G3853" s="5" t="inlineStr">
        <is>
          <t>vivo:VIV202600034531</t>
        </is>
      </c>
      <c r="H3853" s="6" t="n">
        <v>430</v>
      </c>
      <c r="I3853" s="6" t="inlineStr"/>
      <c r="J3853" s="5" t="inlineStr"/>
      <c r="K3853" s="5" t="inlineStr"/>
      <c r="L3853" s="7" t="n">
        <v>240</v>
      </c>
      <c r="M3853" s="5" t="inlineStr">
        <is>
          <t>240 GB de franquia Você + 3 linhas adicionais Roaming Internacional com Vivo Travel Américas e Europa</t>
        </is>
      </c>
      <c r="N3853" s="5" t="inlineStr"/>
      <c r="O3853" s="5" t="inlineStr"/>
      <c r="P3853" s="5" t="inlineStr"/>
      <c r="Q3853" s="5" t="inlineStr"/>
      <c r="R3853" s="5" t="inlineStr"/>
      <c r="S3853" s="5" t="inlineStr"/>
      <c r="T3853" s="5" t="inlineStr">
        <is>
          <t>12 meses grátis de Gemini com AI Plus</t>
        </is>
      </c>
      <c r="U3853" s="5" t="inlineStr">
        <is>
          <t>https://vivo.com.br/para-voce/produtos-e-servicos/para-o-celular/planos-pos-pago</t>
        </is>
      </c>
      <c r="V3853" s="5" t="inlineStr">
        <is>
          <t>data/raw/vivo_postpaid_SP.html</t>
        </is>
      </c>
    </row>
    <row r="3854">
      <c r="A3854" s="2" t="inlineStr">
        <is>
          <t>2026-08-29</t>
        </is>
      </c>
      <c r="B3854" s="2" t="inlineStr">
        <is>
          <t>2026-08-29T00:03:20</t>
        </is>
      </c>
      <c r="C3854" s="2" t="inlineStr">
        <is>
          <t>vivo</t>
        </is>
      </c>
      <c r="D3854" s="2" t="inlineStr">
        <is>
          <t>postpaid</t>
        </is>
      </c>
      <c r="E3854" s="2" t="inlineStr">
        <is>
          <t>SP</t>
        </is>
      </c>
      <c r="F3854" s="2" t="inlineStr">
        <is>
          <t>Vivo Família 5</t>
        </is>
      </c>
      <c r="G3854" s="2" t="inlineStr">
        <is>
          <t>vivo:VIV202600034526</t>
        </is>
      </c>
      <c r="H3854" s="3" t="n">
        <v>530</v>
      </c>
      <c r="I3854" s="3" t="inlineStr"/>
      <c r="J3854" s="2" t="inlineStr"/>
      <c r="K3854" s="2" t="inlineStr"/>
      <c r="L3854" s="4" t="n">
        <v>300</v>
      </c>
      <c r="M3854" s="2" t="inlineStr">
        <is>
          <t>300 GB de franquia Você + 4 linhas adicionais Roaming Internacional com Vivo Travel Américas e Europa</t>
        </is>
      </c>
      <c r="N3854" s="2" t="inlineStr"/>
      <c r="O3854" s="2" t="inlineStr"/>
      <c r="P3854" s="2" t="inlineStr"/>
      <c r="Q3854" s="2" t="inlineStr"/>
      <c r="R3854" s="2" t="inlineStr"/>
      <c r="S3854" s="2" t="inlineStr"/>
      <c r="T3854" s="2" t="inlineStr">
        <is>
          <t>12 meses grátis de Gemini com AI Plus</t>
        </is>
      </c>
      <c r="U3854" s="2" t="inlineStr">
        <is>
          <t>https://vivo.com.br/para-voce/produtos-e-servicos/para-o-celular/planos-pos-pago</t>
        </is>
      </c>
      <c r="V3854" s="2" t="inlineStr">
        <is>
          <t>data/raw/vivo_postpaid_SP.html</t>
        </is>
      </c>
    </row>
    <row r="3855">
      <c r="A3855" s="5" t="inlineStr">
        <is>
          <t>2026-08-29</t>
        </is>
      </c>
      <c r="B3855" s="5" t="inlineStr">
        <is>
          <t>2026-08-29T00:03:20</t>
        </is>
      </c>
      <c r="C3855" s="5" t="inlineStr">
        <is>
          <t>vivo</t>
        </is>
      </c>
      <c r="D3855" s="5" t="inlineStr">
        <is>
          <t>postpaid</t>
        </is>
      </c>
      <c r="E3855" s="5" t="inlineStr">
        <is>
          <t>SP</t>
        </is>
      </c>
      <c r="F3855" s="5" t="inlineStr">
        <is>
          <t>Vivo Pós com Amazon</t>
        </is>
      </c>
      <c r="G3855" s="5" t="inlineStr">
        <is>
          <t>vivo:VIV202600034554</t>
        </is>
      </c>
      <c r="H3855" s="6" t="n">
        <v>150</v>
      </c>
      <c r="I3855" s="6" t="inlineStr"/>
      <c r="J3855" s="5" t="inlineStr"/>
      <c r="K3855" s="5" t="inlineStr"/>
      <c r="L3855" s="7" t="n">
        <v>60</v>
      </c>
      <c r="M3855" s="5" t="inlineStr">
        <is>
          <t>50 GB de franquia 10 GB de bônus</t>
        </is>
      </c>
      <c r="N3855" s="5" t="inlineStr"/>
      <c r="O3855" s="5" t="inlineStr"/>
      <c r="P3855" s="5" t="inlineStr"/>
      <c r="Q3855" s="5" t="inlineStr"/>
      <c r="R3855" s="5" t="inlineStr"/>
      <c r="S3855" s="5" t="inlineStr"/>
      <c r="T3855" s="5" t="inlineStr">
        <is>
          <t>Assinatura Amazon Prime inclusa</t>
        </is>
      </c>
      <c r="U3855" s="5" t="inlineStr">
        <is>
          <t>https://vivo.com.br/para-voce/produtos-e-servicos/para-o-celular/planos-pos-pago</t>
        </is>
      </c>
      <c r="V3855" s="5" t="inlineStr">
        <is>
          <t>data/raw/vivo_postpaid_SP.html</t>
        </is>
      </c>
    </row>
    <row r="3856">
      <c r="A3856" s="2" t="inlineStr">
        <is>
          <t>2026-08-29</t>
        </is>
      </c>
      <c r="B3856" s="2" t="inlineStr">
        <is>
          <t>2026-08-29T00:03:20</t>
        </is>
      </c>
      <c r="C3856" s="2" t="inlineStr">
        <is>
          <t>vivo</t>
        </is>
      </c>
      <c r="D3856" s="2" t="inlineStr">
        <is>
          <t>postpaid</t>
        </is>
      </c>
      <c r="E3856" s="2" t="inlineStr">
        <is>
          <t>SP</t>
        </is>
      </c>
      <c r="F3856" s="2" t="inlineStr">
        <is>
          <t>Vivo Pós com Disney+</t>
        </is>
      </c>
      <c r="G3856" s="2" t="inlineStr">
        <is>
          <t>vivo:VIV202600034532</t>
        </is>
      </c>
      <c r="H3856" s="3" t="n">
        <v>180</v>
      </c>
      <c r="I3856" s="3" t="inlineStr"/>
      <c r="J3856" s="2" t="inlineStr"/>
      <c r="K3856" s="2" t="inlineStr"/>
      <c r="L3856" s="4" t="n">
        <v>60</v>
      </c>
      <c r="M3856" s="2" t="inlineStr">
        <is>
          <t>50 GB de franquia 10 GB de bônus</t>
        </is>
      </c>
      <c r="N3856" s="2" t="inlineStr"/>
      <c r="O3856" s="2" t="inlineStr"/>
      <c r="P3856" s="2" t="inlineStr"/>
      <c r="Q3856" s="2" t="inlineStr"/>
      <c r="R3856" s="2" t="inlineStr">
        <is>
          <t>Disney+</t>
        </is>
      </c>
      <c r="S3856" s="2" t="inlineStr"/>
      <c r="T3856" s="2" t="inlineStr">
        <is>
          <t>Assinatura Disney+ Padrão inclusa</t>
        </is>
      </c>
      <c r="U3856" s="2" t="inlineStr">
        <is>
          <t>https://vivo.com.br/para-voce/produtos-e-servicos/para-o-celular/planos-pos-pago</t>
        </is>
      </c>
      <c r="V3856" s="2" t="inlineStr">
        <is>
          <t>data/raw/vivo_postpaid_SP.html</t>
        </is>
      </c>
    </row>
    <row r="3857">
      <c r="A3857" s="5" t="inlineStr">
        <is>
          <t>2026-08-29</t>
        </is>
      </c>
      <c r="B3857" s="5" t="inlineStr">
        <is>
          <t>2026-08-29T00:03:20</t>
        </is>
      </c>
      <c r="C3857" s="5" t="inlineStr">
        <is>
          <t>vivo</t>
        </is>
      </c>
      <c r="D3857" s="5" t="inlineStr">
        <is>
          <t>postpaid</t>
        </is>
      </c>
      <c r="E3857" s="5" t="inlineStr">
        <is>
          <t>SP</t>
        </is>
      </c>
      <c r="F3857" s="5" t="inlineStr">
        <is>
          <t>Vivo Pós com Globoplay</t>
        </is>
      </c>
      <c r="G3857" s="5" t="inlineStr">
        <is>
          <t>vivo:VIV202600034575</t>
        </is>
      </c>
      <c r="H3857" s="6" t="n">
        <v>165</v>
      </c>
      <c r="I3857" s="6" t="inlineStr"/>
      <c r="J3857" s="5" t="inlineStr"/>
      <c r="K3857" s="5" t="inlineStr"/>
      <c r="L3857" s="7" t="n">
        <v>60</v>
      </c>
      <c r="M3857" s="5" t="inlineStr">
        <is>
          <t>50 GB de franquia 10 GB de bônus</t>
        </is>
      </c>
      <c r="N3857" s="5" t="inlineStr"/>
      <c r="O3857" s="5" t="inlineStr"/>
      <c r="P3857" s="5" t="inlineStr"/>
      <c r="Q3857" s="5" t="inlineStr"/>
      <c r="R3857" s="5" t="inlineStr">
        <is>
          <t>Globoplay</t>
        </is>
      </c>
      <c r="S3857" s="5" t="inlineStr"/>
      <c r="T3857" s="5" t="inlineStr">
        <is>
          <t>Assinatura Globoplay inclusa</t>
        </is>
      </c>
      <c r="U3857" s="5" t="inlineStr">
        <is>
          <t>https://vivo.com.br/para-voce/produtos-e-servicos/para-o-celular/planos-pos-pago</t>
        </is>
      </c>
      <c r="V3857" s="5" t="inlineStr">
        <is>
          <t>data/raw/vivo_postpaid_SP.html</t>
        </is>
      </c>
    </row>
    <row r="3858">
      <c r="A3858" s="2" t="inlineStr">
        <is>
          <t>2026-08-29</t>
        </is>
      </c>
      <c r="B3858" s="2" t="inlineStr">
        <is>
          <t>2026-08-29T00:03:20</t>
        </is>
      </c>
      <c r="C3858" s="2" t="inlineStr">
        <is>
          <t>vivo</t>
        </is>
      </c>
      <c r="D3858" s="2" t="inlineStr">
        <is>
          <t>postpaid</t>
        </is>
      </c>
      <c r="E3858" s="2" t="inlineStr">
        <is>
          <t>SP</t>
        </is>
      </c>
      <c r="F3858" s="2" t="inlineStr">
        <is>
          <t>Vivo Pós com Netflix</t>
        </is>
      </c>
      <c r="G3858" s="2" t="inlineStr">
        <is>
          <t>vivo:VIV202600034562</t>
        </is>
      </c>
      <c r="H3858" s="3" t="n">
        <v>180</v>
      </c>
      <c r="I3858" s="3" t="inlineStr"/>
      <c r="J3858" s="2" t="inlineStr"/>
      <c r="K3858" s="2" t="inlineStr"/>
      <c r="L3858" s="4" t="n">
        <v>60</v>
      </c>
      <c r="M3858" s="2" t="inlineStr">
        <is>
          <t>50 GB de franquia 10 GB de bônus</t>
        </is>
      </c>
      <c r="N3858" s="2" t="inlineStr"/>
      <c r="O3858" s="2" t="inlineStr"/>
      <c r="P3858" s="2" t="inlineStr"/>
      <c r="Q3858" s="2" t="inlineStr"/>
      <c r="R3858" s="2" t="inlineStr">
        <is>
          <t>Netflix</t>
        </is>
      </c>
      <c r="S3858" s="2" t="inlineStr"/>
      <c r="T3858" s="2" t="inlineStr">
        <is>
          <t>Assinatura Netflix Padrão inclusa</t>
        </is>
      </c>
      <c r="U3858" s="2" t="inlineStr">
        <is>
          <t>https://vivo.com.br/para-voce/produtos-e-servicos/para-o-celular/planos-pos-pago</t>
        </is>
      </c>
      <c r="V3858" s="2" t="inlineStr">
        <is>
          <t>data/raw/vivo_postpaid_SP.html</t>
        </is>
      </c>
    </row>
    <row r="3859">
      <c r="A3859" s="5" t="inlineStr">
        <is>
          <t>2026-08-29</t>
        </is>
      </c>
      <c r="B3859" s="5" t="inlineStr">
        <is>
          <t>2026-08-29T00:03:20</t>
        </is>
      </c>
      <c r="C3859" s="5" t="inlineStr">
        <is>
          <t>vivo</t>
        </is>
      </c>
      <c r="D3859" s="5" t="inlineStr">
        <is>
          <t>postpaid</t>
        </is>
      </c>
      <c r="E3859" s="5" t="inlineStr">
        <is>
          <t>SP</t>
        </is>
      </c>
      <c r="F3859" s="5" t="inlineStr">
        <is>
          <t>Vivo Pós com Premiere</t>
        </is>
      </c>
      <c r="G3859" s="5" t="inlineStr">
        <is>
          <t>vivo:VIV202600034579</t>
        </is>
      </c>
      <c r="H3859" s="6" t="n">
        <v>180</v>
      </c>
      <c r="I3859" s="6" t="inlineStr"/>
      <c r="J3859" s="5" t="inlineStr"/>
      <c r="K3859" s="5" t="inlineStr"/>
      <c r="L3859" s="7" t="n">
        <v>60</v>
      </c>
      <c r="M3859" s="5" t="inlineStr">
        <is>
          <t>50 GB de franquia 10 GB de bônus</t>
        </is>
      </c>
      <c r="N3859" s="5" t="inlineStr"/>
      <c r="O3859" s="5" t="inlineStr"/>
      <c r="P3859" s="5" t="inlineStr"/>
      <c r="Q3859" s="5" t="inlineStr"/>
      <c r="R3859" s="5" t="inlineStr">
        <is>
          <t>Premiere</t>
        </is>
      </c>
      <c r="S3859" s="5" t="inlineStr"/>
      <c r="T3859" s="5" t="inlineStr">
        <is>
          <t>Assinatura Premiere inclusa</t>
        </is>
      </c>
      <c r="U3859" s="5" t="inlineStr">
        <is>
          <t>https://vivo.com.br/para-voce/produtos-e-servicos/para-o-celular/planos-pos-pago</t>
        </is>
      </c>
      <c r="V3859" s="5" t="inlineStr">
        <is>
          <t>data/raw/vivo_postpaid_SP.html</t>
        </is>
      </c>
    </row>
    <row r="3860">
      <c r="A3860" s="2" t="inlineStr">
        <is>
          <t>2026-08-29</t>
        </is>
      </c>
      <c r="B3860" s="2" t="inlineStr">
        <is>
          <t>2026-08-29T00:03:20</t>
        </is>
      </c>
      <c r="C3860" s="2" t="inlineStr">
        <is>
          <t>vivo</t>
        </is>
      </c>
      <c r="D3860" s="2" t="inlineStr">
        <is>
          <t>postpaid</t>
        </is>
      </c>
      <c r="E3860" s="2" t="inlineStr">
        <is>
          <t>SP</t>
        </is>
      </c>
      <c r="F3860" s="2" t="inlineStr">
        <is>
          <t>Vivo Pós com Spotify</t>
        </is>
      </c>
      <c r="G3860" s="2" t="inlineStr">
        <is>
          <t>vivo:VIV202600034556</t>
        </is>
      </c>
      <c r="H3860" s="3" t="n">
        <v>165</v>
      </c>
      <c r="I3860" s="3" t="inlineStr"/>
      <c r="J3860" s="2" t="inlineStr"/>
      <c r="K3860" s="2" t="inlineStr"/>
      <c r="L3860" s="4" t="n">
        <v>60</v>
      </c>
      <c r="M3860" s="2" t="inlineStr">
        <is>
          <t>50 GB de franquia 10 GB de bônus</t>
        </is>
      </c>
      <c r="N3860" s="2" t="inlineStr"/>
      <c r="O3860" s="2" t="inlineStr"/>
      <c r="P3860" s="2" t="inlineStr"/>
      <c r="Q3860" s="2" t="inlineStr"/>
      <c r="R3860" s="2" t="inlineStr">
        <is>
          <t>Spotify</t>
        </is>
      </c>
      <c r="S3860" s="2" t="inlineStr"/>
      <c r="T3860" s="2" t="inlineStr">
        <is>
          <t>Assinatura Spotify Premium inclusa</t>
        </is>
      </c>
      <c r="U3860" s="2" t="inlineStr">
        <is>
          <t>https://vivo.com.br/para-voce/produtos-e-servicos/para-o-celular/planos-pos-pago</t>
        </is>
      </c>
      <c r="V3860" s="2" t="inlineStr">
        <is>
          <t>data/raw/vivo_postpaid_SP.html</t>
        </is>
      </c>
    </row>
    <row r="3861">
      <c r="A3861" s="5" t="inlineStr">
        <is>
          <t>2026-08-29</t>
        </is>
      </c>
      <c r="B3861" s="5" t="inlineStr">
        <is>
          <t>2026-08-29T00:03:20</t>
        </is>
      </c>
      <c r="C3861" s="5" t="inlineStr">
        <is>
          <t>vivo</t>
        </is>
      </c>
      <c r="D3861" s="5" t="inlineStr">
        <is>
          <t>postpaid</t>
        </is>
      </c>
      <c r="E3861" s="5" t="inlineStr">
        <is>
          <t>SP</t>
        </is>
      </c>
      <c r="F3861" s="5" t="inlineStr">
        <is>
          <t>Vivo Pós com Travel</t>
        </is>
      </c>
      <c r="G3861" s="5" t="inlineStr">
        <is>
          <t>vivo:VIV202600034573</t>
        </is>
      </c>
      <c r="H3861" s="6" t="n">
        <v>215</v>
      </c>
      <c r="I3861" s="6" t="inlineStr"/>
      <c r="J3861" s="5" t="inlineStr"/>
      <c r="K3861" s="5" t="inlineStr"/>
      <c r="L3861" s="7" t="n">
        <v>70</v>
      </c>
      <c r="M3861" s="5" t="inlineStr">
        <is>
          <t>60 GB de franquia 10 GB de bônus</t>
        </is>
      </c>
      <c r="N3861" s="5" t="inlineStr"/>
      <c r="O3861" s="5" t="inlineStr"/>
      <c r="P3861" s="5" t="inlineStr"/>
      <c r="Q3861" s="5" t="inlineStr"/>
      <c r="R3861" s="5" t="inlineStr"/>
      <c r="S3861" s="5" t="inlineStr"/>
      <c r="T3861" s="5" t="inlineStr">
        <is>
          <t>6 meses grátis de Gemini com AI Plus</t>
        </is>
      </c>
      <c r="U3861" s="5" t="inlineStr">
        <is>
          <t>https://vivo.com.br/para-voce/produtos-e-servicos/para-o-celular/planos-pos-pago</t>
        </is>
      </c>
      <c r="V3861" s="5" t="inlineStr">
        <is>
          <t>data/raw/vivo_postpaid_SP.html</t>
        </is>
      </c>
    </row>
    <row r="3862">
      <c r="A3862" s="2" t="inlineStr">
        <is>
          <t>2026-08-29</t>
        </is>
      </c>
      <c r="B3862" s="2" t="inlineStr">
        <is>
          <t>2026-08-29T00:03:20</t>
        </is>
      </c>
      <c r="C3862" s="2" t="inlineStr">
        <is>
          <t>vivo</t>
        </is>
      </c>
      <c r="D3862" s="2" t="inlineStr">
        <is>
          <t>prepaid</t>
        </is>
      </c>
      <c r="E3862" s="2" t="inlineStr">
        <is>
          <t>SP</t>
        </is>
      </c>
      <c r="F3862" s="2" t="inlineStr">
        <is>
          <t>Vivo Pré</t>
        </is>
      </c>
      <c r="G3862" s="2" t="inlineStr">
        <is>
          <t>vivo:VIV202600029370-30d</t>
        </is>
      </c>
      <c r="H3862" s="3" t="n">
        <v>30</v>
      </c>
      <c r="I3862" s="3" t="inlineStr"/>
      <c r="J3862" s="2" t="inlineStr"/>
      <c r="K3862" s="2" t="inlineStr"/>
      <c r="L3862" s="4" t="n">
        <v>25</v>
      </c>
      <c r="M3862" s="2" t="inlineStr">
        <is>
          <t>15 GB para navegar como quiser 5 GB de bônus 5 GB para navegar no Youtube</t>
        </is>
      </c>
      <c r="N3862" s="2" t="n">
        <v>30</v>
      </c>
      <c r="O3862" s="2" t="inlineStr"/>
      <c r="P3862" s="2" t="inlineStr"/>
      <c r="Q3862" s="2" t="inlineStr"/>
      <c r="R3862" s="2" t="inlineStr"/>
      <c r="S3862" s="2" t="inlineStr"/>
      <c r="T3862" s="2" t="inlineStr"/>
      <c r="U3862" s="2" t="inlineStr">
        <is>
          <t>https://vivo.com.br/para-voce/produtos-e-servicos/para-o-celular/pre-pago/vivo-pre</t>
        </is>
      </c>
      <c r="V3862" s="2" t="inlineStr">
        <is>
          <t>data/raw/vivo_prepaid_SP.html</t>
        </is>
      </c>
    </row>
    <row r="3863">
      <c r="A3863" s="5" t="inlineStr">
        <is>
          <t>2026-08-29</t>
        </is>
      </c>
      <c r="B3863" s="5" t="inlineStr">
        <is>
          <t>2026-08-29T00:03:20</t>
        </is>
      </c>
      <c r="C3863" s="5" t="inlineStr">
        <is>
          <t>vivo</t>
        </is>
      </c>
      <c r="D3863" s="5" t="inlineStr">
        <is>
          <t>prepaid</t>
        </is>
      </c>
      <c r="E3863" s="5" t="inlineStr">
        <is>
          <t>SP</t>
        </is>
      </c>
      <c r="F3863" s="5" t="inlineStr">
        <is>
          <t>Vivo Pré</t>
        </is>
      </c>
      <c r="G3863" s="5" t="inlineStr">
        <is>
          <t>vivo:VIV202600029370-22d</t>
        </is>
      </c>
      <c r="H3863" s="6" t="n">
        <v>25</v>
      </c>
      <c r="I3863" s="6" t="inlineStr"/>
      <c r="J3863" s="5" t="inlineStr"/>
      <c r="K3863" s="5" t="inlineStr"/>
      <c r="L3863" s="7" t="n">
        <v>9</v>
      </c>
      <c r="M3863" s="5" t="inlineStr">
        <is>
          <t>6 GB para navegar como quiser 3 GB para navegar no YouTube</t>
        </is>
      </c>
      <c r="N3863" s="5" t="n">
        <v>22</v>
      </c>
      <c r="O3863" s="5" t="inlineStr"/>
      <c r="P3863" s="5" t="inlineStr"/>
      <c r="Q3863" s="5" t="inlineStr"/>
      <c r="R3863" s="5" t="inlineStr"/>
      <c r="S3863" s="5" t="inlineStr"/>
      <c r="T3863" s="5" t="inlineStr"/>
      <c r="U3863" s="5" t="inlineStr">
        <is>
          <t>https://vivo.com.br/para-voce/produtos-e-servicos/para-o-celular/pre-pago/vivo-pre</t>
        </is>
      </c>
      <c r="V3863" s="5" t="inlineStr">
        <is>
          <t>data/raw/vivo_prepaid_SP.html</t>
        </is>
      </c>
    </row>
    <row r="3864">
      <c r="A3864" s="2" t="inlineStr">
        <is>
          <t>2026-08-29</t>
        </is>
      </c>
      <c r="B3864" s="2" t="inlineStr">
        <is>
          <t>2026-08-29T00:03:20</t>
        </is>
      </c>
      <c r="C3864" s="2" t="inlineStr">
        <is>
          <t>vivo</t>
        </is>
      </c>
      <c r="D3864" s="2" t="inlineStr">
        <is>
          <t>prepaid</t>
        </is>
      </c>
      <c r="E3864" s="2" t="inlineStr">
        <is>
          <t>SP</t>
        </is>
      </c>
      <c r="F3864" s="2" t="inlineStr">
        <is>
          <t>Vivo Pré</t>
        </is>
      </c>
      <c r="G3864" s="2" t="inlineStr">
        <is>
          <t>vivo:VIV202600029370-17d</t>
        </is>
      </c>
      <c r="H3864" s="3" t="n">
        <v>20</v>
      </c>
      <c r="I3864" s="3" t="inlineStr"/>
      <c r="J3864" s="2" t="inlineStr"/>
      <c r="K3864" s="2" t="inlineStr"/>
      <c r="L3864" s="4" t="n">
        <v>5</v>
      </c>
      <c r="M3864" s="2" t="inlineStr">
        <is>
          <t>5 GB para navegar como quiser</t>
        </is>
      </c>
      <c r="N3864" s="2" t="n">
        <v>17</v>
      </c>
      <c r="O3864" s="2" t="inlineStr"/>
      <c r="P3864" s="2" t="inlineStr"/>
      <c r="Q3864" s="2" t="inlineStr"/>
      <c r="R3864" s="2" t="inlineStr"/>
      <c r="S3864" s="2" t="inlineStr"/>
      <c r="T3864" s="2" t="inlineStr"/>
      <c r="U3864" s="2" t="inlineStr">
        <is>
          <t>https://vivo.com.br/para-voce/produtos-e-servicos/para-o-celular/pre-pago/vivo-pre</t>
        </is>
      </c>
      <c r="V3864" s="2" t="inlineStr">
        <is>
          <t>data/raw/vivo_prepaid_SP.html</t>
        </is>
      </c>
    </row>
    <row r="3865">
      <c r="A3865" s="5" t="inlineStr">
        <is>
          <t>2026-08-29</t>
        </is>
      </c>
      <c r="B3865" s="5" t="inlineStr">
        <is>
          <t>2026-08-29T00:03:20</t>
        </is>
      </c>
      <c r="C3865" s="5" t="inlineStr">
        <is>
          <t>vivo</t>
        </is>
      </c>
      <c r="D3865" s="5" t="inlineStr">
        <is>
          <t>prepaid</t>
        </is>
      </c>
      <c r="E3865" s="5" t="inlineStr">
        <is>
          <t>SP</t>
        </is>
      </c>
      <c r="F3865" s="5" t="inlineStr">
        <is>
          <t>Vivo Pré</t>
        </is>
      </c>
      <c r="G3865" s="5" t="inlineStr">
        <is>
          <t>vivo:VIV202600029370-15d</t>
        </is>
      </c>
      <c r="H3865" s="6" t="n">
        <v>17</v>
      </c>
      <c r="I3865" s="6" t="inlineStr"/>
      <c r="J3865" s="5" t="inlineStr"/>
      <c r="K3865" s="5" t="inlineStr"/>
      <c r="L3865" s="7" t="n">
        <v>4</v>
      </c>
      <c r="M3865" s="5" t="inlineStr">
        <is>
          <t>4 GB para navegar como quiser</t>
        </is>
      </c>
      <c r="N3865" s="5" t="n">
        <v>15</v>
      </c>
      <c r="O3865" s="5" t="inlineStr"/>
      <c r="P3865" s="5" t="inlineStr"/>
      <c r="Q3865" s="5" t="inlineStr"/>
      <c r="R3865" s="5" t="inlineStr"/>
      <c r="S3865" s="5" t="inlineStr"/>
      <c r="T3865" s="5" t="inlineStr"/>
      <c r="U3865" s="5" t="inlineStr">
        <is>
          <t>https://vivo.com.br/para-voce/produtos-e-servicos/para-o-celular/pre-pago/vivo-pre</t>
        </is>
      </c>
      <c r="V3865" s="5" t="inlineStr">
        <is>
          <t>data/raw/vivo_prepaid_SP.html</t>
        </is>
      </c>
    </row>
  </sheetData>
  <autoFilter ref="A1:V38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3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2026-08-29</t>
        </is>
      </c>
      <c r="B2" s="2" t="inlineStr">
        <is>
          <t>2026-08-29T00:03:20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2026-08-29</t>
        </is>
      </c>
      <c r="B3" s="5" t="inlineStr">
        <is>
          <t>2026-08-29T00:03:20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2026-08-29</t>
        </is>
      </c>
      <c r="B4" s="2" t="inlineStr">
        <is>
          <t>2026-08-29T00:03:20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2026-08-29</t>
        </is>
      </c>
      <c r="B5" s="5" t="inlineStr">
        <is>
          <t>2026-08-29T00:03:20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2026-08-29</t>
        </is>
      </c>
      <c r="B6" s="2" t="inlineStr">
        <is>
          <t>2026-08-29T00:03:20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2026-08-29</t>
        </is>
      </c>
      <c r="B7" s="5" t="inlineStr">
        <is>
          <t>2026-08-29T00:03:20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2026-08-29</t>
        </is>
      </c>
      <c r="B8" s="2" t="inlineStr">
        <is>
          <t>2026-08-29T00:03:20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2026-08-29</t>
        </is>
      </c>
      <c r="B9" s="5" t="inlineStr">
        <is>
          <t>2026-08-29T00:03:20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2026-08-29</t>
        </is>
      </c>
      <c r="B10" s="2" t="inlineStr">
        <is>
          <t>2026-08-29T00:03:20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2026-08-29</t>
        </is>
      </c>
      <c r="B11" s="5" t="inlineStr">
        <is>
          <t>2026-08-29T00:03:20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2026-08-29</t>
        </is>
      </c>
      <c r="B12" s="2" t="inlineStr">
        <is>
          <t>2026-08-29T00:03:20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2026-08-29</t>
        </is>
      </c>
      <c r="B13" s="5" t="inlineStr">
        <is>
          <t>2026-08-29T00:03:20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2026-08-29</t>
        </is>
      </c>
      <c r="B14" s="2" t="inlineStr">
        <is>
          <t>2026-08-29T00:03:20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2026-08-29</t>
        </is>
      </c>
      <c r="B15" s="5" t="inlineStr">
        <is>
          <t>2026-08-29T00:03:20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2026-08-29</t>
        </is>
      </c>
      <c r="B16" s="2" t="inlineStr">
        <is>
          <t>2026-08-29T00:03:20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2026-08-29</t>
        </is>
      </c>
      <c r="B17" s="5" t="inlineStr">
        <is>
          <t>2026-08-29T00:03:20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2026-08-29</t>
        </is>
      </c>
      <c r="B18" s="2" t="inlineStr">
        <is>
          <t>2026-08-29T00:03:20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2026-08-29</t>
        </is>
      </c>
      <c r="B19" s="5" t="inlineStr">
        <is>
          <t>2026-08-29T00:03:20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2026-08-29</t>
        </is>
      </c>
      <c r="B20" s="2" t="inlineStr">
        <is>
          <t>2026-08-29T00:03:20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2026-08-29</t>
        </is>
      </c>
      <c r="B21" s="5" t="inlineStr">
        <is>
          <t>2026-08-29T00:03:20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tim:182766</t>
        </is>
      </c>
      <c r="H21" s="6" t="n">
        <v>49.99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2026-08-29</t>
        </is>
      </c>
      <c r="B22" s="2" t="inlineStr">
        <is>
          <t>2026-08-29T00:03:20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2026-08-29</t>
        </is>
      </c>
      <c r="B23" s="5" t="inlineStr">
        <is>
          <t>2026-08-29T00:03:20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tim:180756</t>
        </is>
      </c>
      <c r="H23" s="6" t="n">
        <v>69.98999999999999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2026-08-29</t>
        </is>
      </c>
      <c r="B24" s="2" t="inlineStr">
        <is>
          <t>2026-08-29T00:03:20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2026-08-29</t>
        </is>
      </c>
      <c r="B25" s="5" t="inlineStr">
        <is>
          <t>2026-08-29T00:03:20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tim:167031</t>
        </is>
      </c>
      <c r="H25" s="6" t="n">
        <v>59.99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2026-08-29</t>
        </is>
      </c>
      <c r="B26" s="2" t="inlineStr">
        <is>
          <t>2026-08-29T00:03:20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2026-08-29</t>
        </is>
      </c>
      <c r="B27" s="5" t="inlineStr">
        <is>
          <t>2026-08-29T00:03:20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2026-08-29</t>
        </is>
      </c>
      <c r="B28" s="2" t="inlineStr">
        <is>
          <t>2026-08-29T00:03:20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2026-08-29</t>
        </is>
      </c>
      <c r="B29" s="5" t="inlineStr">
        <is>
          <t>2026-08-29T00:03:20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2026-08-29</t>
        </is>
      </c>
      <c r="B30" s="2" t="inlineStr">
        <is>
          <t>2026-08-29T00:03:20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2026-08-29</t>
        </is>
      </c>
      <c r="B31" s="5" t="inlineStr">
        <is>
          <t>2026-08-29T00:03:20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B Express 82GB</t>
        </is>
      </c>
      <c r="G31" s="5" t="inlineStr">
        <is>
          <t>tim:52146</t>
        </is>
      </c>
      <c r="H31" s="6" t="n">
        <v>144.99</v>
      </c>
      <c r="I31" s="6" t="inlineStr"/>
      <c r="J31" s="5" t="inlineStr"/>
      <c r="K31" s="5" t="inlineStr">
        <is>
          <t>credit_card</t>
        </is>
      </c>
      <c r="L31" s="7" t="n">
        <v>82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2026-08-29</t>
        </is>
      </c>
      <c r="B32" s="2" t="inlineStr">
        <is>
          <t>2026-08-29T00:03:20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Express 107GB</t>
        </is>
      </c>
      <c r="G32" s="2" t="inlineStr">
        <is>
          <t>tim:52151</t>
        </is>
      </c>
      <c r="H32" s="3" t="n">
        <v>164.99</v>
      </c>
      <c r="I32" s="3" t="inlineStr"/>
      <c r="J32" s="2" t="inlineStr"/>
      <c r="K32" s="2" t="inlineStr">
        <is>
          <t>credit_card</t>
        </is>
      </c>
      <c r="L32" s="4" t="n">
        <v>107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2026-08-29</t>
        </is>
      </c>
      <c r="B33" s="5" t="inlineStr">
        <is>
          <t>2026-08-29T00:03:20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2026-08-29</t>
        </is>
      </c>
      <c r="B34" s="2" t="inlineStr">
        <is>
          <t>2026-08-29T00:03:20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2026-08-29</t>
        </is>
      </c>
      <c r="B35" s="5" t="inlineStr">
        <is>
          <t>2026-08-29T00:03:20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2026-08-29</t>
        </is>
      </c>
      <c r="B36" s="2" t="inlineStr">
        <is>
          <t>2026-08-29T00:03:20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2026-08-29</t>
        </is>
      </c>
      <c r="B37" s="5" t="inlineStr">
        <is>
          <t>2026-08-29T00:03:20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2026-08-29</t>
        </is>
      </c>
      <c r="B38" s="2" t="inlineStr">
        <is>
          <t>2026-08-29T00:03:20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vivo:VIV202600034591</t>
        </is>
      </c>
      <c r="H38" s="3" t="n">
        <v>59</v>
      </c>
      <c r="I38" s="3" t="inlineStr"/>
      <c r="J38" s="2" t="inlineStr"/>
      <c r="K38" s="2" t="inlineStr"/>
      <c r="L38" s="4" t="n">
        <v>45</v>
      </c>
      <c r="M38" s="2" t="inlineStr">
        <is>
          <t>15 GB de franquia 30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6 meses grátis de Gemini com AI Plus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2026-08-29</t>
        </is>
      </c>
      <c r="B39" s="5" t="inlineStr">
        <is>
          <t>2026-08-29T00:03:20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vivo:VIV202600034599</t>
        </is>
      </c>
      <c r="H39" s="6" t="n">
        <v>75</v>
      </c>
      <c r="I39" s="6" t="inlineStr"/>
      <c r="J39" s="5" t="inlineStr">
        <is>
          <t>preço-base do plano; a tela exibia R$ 80 com o adicional pré-selecionado (+R$ 5/mês, opcional); 60 GB na tela incluem +10 GB do adicional</t>
        </is>
      </c>
      <c r="K39" s="5" t="inlineStr"/>
      <c r="L39" s="7" t="n">
        <v>50</v>
      </c>
      <c r="M39" s="5" t="inlineStr">
        <is>
          <t>20 GB de franquia 30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6 meses grátis de Gemini com AI Plus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2026-08-29</t>
        </is>
      </c>
      <c r="B40" s="2" t="inlineStr">
        <is>
          <t>2026-08-29T00:03:20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Educação</t>
        </is>
      </c>
      <c r="G40" s="2" t="inlineStr">
        <is>
          <t>vivo:VIV202600034616</t>
        </is>
      </c>
      <c r="H40" s="3" t="n">
        <v>85</v>
      </c>
      <c r="I40" s="3" t="inlineStr"/>
      <c r="J40" s="2" t="inlineStr">
        <is>
          <t>preço-base do plano; a tela exibia R$ 90 com o adicional pré-selecionado (+R$ 5/mês, opcional); 60 GB na tela incluem +10 GB do adicional</t>
        </is>
      </c>
      <c r="K40" s="2" t="inlineStr"/>
      <c r="L40" s="4" t="n">
        <v>50</v>
      </c>
      <c r="M40" s="2" t="inlineStr">
        <is>
          <t>20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Vivae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2026-08-29</t>
        </is>
      </c>
      <c r="B41" s="5" t="inlineStr">
        <is>
          <t>2026-08-29T00:03:20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Entretenimento</t>
        </is>
      </c>
      <c r="G41" s="5" t="inlineStr">
        <is>
          <t>vivo:VIV202600034619</t>
        </is>
      </c>
      <c r="H41" s="6" t="n">
        <v>105</v>
      </c>
      <c r="I41" s="6" t="inlineStr"/>
      <c r="J41" s="5" t="inlineStr">
        <is>
          <t>preço-base do plano; a tela exibia R$ 110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Vivo TV Inicial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2026-08-29</t>
        </is>
      </c>
      <c r="B42" s="2" t="inlineStr">
        <is>
          <t>2026-08-29T00:03:20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Música</t>
        </is>
      </c>
      <c r="G42" s="2" t="inlineStr">
        <is>
          <t>vivo:VIV202600034620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Apple Music Individual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2026-08-29</t>
        </is>
      </c>
      <c r="B43" s="5" t="inlineStr">
        <is>
          <t>2026-08-29T00:03:20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Netflix</t>
        </is>
      </c>
      <c r="G43" s="5" t="inlineStr">
        <is>
          <t>vivo:VIV202600034623</t>
        </is>
      </c>
      <c r="H43" s="6" t="n">
        <v>90</v>
      </c>
      <c r="I43" s="6" t="inlineStr"/>
      <c r="J43" s="5" t="inlineStr">
        <is>
          <t>preço-base do plano; a tela exibia R$ 95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Netflix Padrão com anúncios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2026-08-29</t>
        </is>
      </c>
      <c r="B44" s="2" t="inlineStr">
        <is>
          <t>2026-08-29T00:03:20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Saúde</t>
        </is>
      </c>
      <c r="G44" s="2" t="inlineStr">
        <is>
          <t>vivo:VIV202600034625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Vale Saúde Sempre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2026-08-29</t>
        </is>
      </c>
      <c r="B45" s="5" t="inlineStr">
        <is>
          <t>2026-08-29T00:03:20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Youtube Lite</t>
        </is>
      </c>
      <c r="G45" s="5" t="inlineStr">
        <is>
          <t>vivo:VIV202600034626</t>
        </is>
      </c>
      <c r="H45" s="6" t="n">
        <v>85</v>
      </c>
      <c r="I45" s="6" t="inlineStr"/>
      <c r="J45" s="5" t="inlineStr">
        <is>
          <t>preço-base do plano; a tela exibia R$ 90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Youtube Premium Lite Inclusa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2026-08-29</t>
        </is>
      </c>
      <c r="B46" s="2" t="inlineStr">
        <is>
          <t>2026-08-29T00:03:20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Vivo Lite</t>
        </is>
      </c>
      <c r="G46" s="2" t="inlineStr">
        <is>
          <t>vivo:VIV202600033987</t>
        </is>
      </c>
      <c r="H46" s="3" t="n">
        <v>45</v>
      </c>
      <c r="I46" s="3" t="n">
        <v>30</v>
      </c>
      <c r="J46" s="2" t="inlineStr">
        <is>
          <t>preço sem fidelidade; fidelidade 12m no promo</t>
        </is>
      </c>
      <c r="K46" s="2" t="inlineStr"/>
      <c r="L46" s="4" t="n">
        <v>30</v>
      </c>
      <c r="M46" s="2" t="inlineStr">
        <is>
          <t>30 GB de franquia</t>
        </is>
      </c>
      <c r="N46" s="2" t="inlineStr"/>
      <c r="O46" s="2" t="inlineStr"/>
      <c r="P46" s="2" t="inlineStr"/>
      <c r="Q46" s="2" t="inlineStr"/>
      <c r="R46" s="2" t="inlineStr"/>
      <c r="S46" s="2" t="n">
        <v>12</v>
      </c>
      <c r="T46" s="2" t="inlineStr"/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2026-08-29</t>
        </is>
      </c>
      <c r="B47" s="5" t="inlineStr">
        <is>
          <t>2026-08-29T00:03:20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Vivo Lite</t>
        </is>
      </c>
      <c r="G47" s="5" t="inlineStr">
        <is>
          <t>vivo:VIV202600033989</t>
        </is>
      </c>
      <c r="H47" s="6" t="n">
        <v>55</v>
      </c>
      <c r="I47" s="6" t="n">
        <v>40</v>
      </c>
      <c r="J47" s="5" t="inlineStr">
        <is>
          <t>preço sem fidelidade; fidelidade 12m no promo</t>
        </is>
      </c>
      <c r="K47" s="5" t="inlineStr"/>
      <c r="L47" s="7" t="n">
        <v>40</v>
      </c>
      <c r="M47" s="5" t="inlineStr">
        <is>
          <t>40 GB de franquia</t>
        </is>
      </c>
      <c r="N47" s="5" t="inlineStr"/>
      <c r="O47" s="5" t="inlineStr"/>
      <c r="P47" s="5" t="inlineStr"/>
      <c r="Q47" s="5" t="inlineStr"/>
      <c r="R47" s="5" t="inlineStr"/>
      <c r="S47" s="5" t="n">
        <v>12</v>
      </c>
      <c r="T47" s="5" t="inlineStr"/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2026-08-29</t>
        </is>
      </c>
      <c r="B48" s="2" t="inlineStr">
        <is>
          <t>2026-08-29T00:03:20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vivo:VIV202600033992</t>
        </is>
      </c>
      <c r="H48" s="3" t="n">
        <v>35</v>
      </c>
      <c r="I48" s="3" t="inlineStr"/>
      <c r="J48" s="2" t="inlineStr"/>
      <c r="K48" s="2" t="inlineStr"/>
      <c r="L48" s="4" t="n">
        <v>20</v>
      </c>
      <c r="M48" s="2" t="inlineStr">
        <is>
          <t>20 GB de franquia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2026-08-29</t>
        </is>
      </c>
      <c r="B49" s="5" t="inlineStr">
        <is>
          <t>2026-08-29T00:03:20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Família 2</t>
        </is>
      </c>
      <c r="G49" s="5" t="inlineStr">
        <is>
          <t>vivo:VIV202600034547</t>
        </is>
      </c>
      <c r="H49" s="6" t="n">
        <v>270</v>
      </c>
      <c r="I49" s="6" t="inlineStr"/>
      <c r="J49" s="5" t="inlineStr"/>
      <c r="K49" s="5" t="inlineStr"/>
      <c r="L49" s="7" t="n">
        <v>120</v>
      </c>
      <c r="M49" s="5" t="inlineStr">
        <is>
          <t>120 GB de franquia Você + 1 linha adicional Roaming Internacional com Vivo Travel Américas e Europa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>
        <is>
          <t>12 meses grátis de Gemini com AI Plus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2026-08-29</t>
        </is>
      </c>
      <c r="B50" s="2" t="inlineStr">
        <is>
          <t>2026-08-29T00:03:20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Família 3</t>
        </is>
      </c>
      <c r="G50" s="2" t="inlineStr">
        <is>
          <t>vivo:VIV202600034540</t>
        </is>
      </c>
      <c r="H50" s="3" t="n">
        <v>340</v>
      </c>
      <c r="I50" s="3" t="inlineStr"/>
      <c r="J50" s="2" t="inlineStr"/>
      <c r="K50" s="2" t="inlineStr"/>
      <c r="L50" s="4" t="n">
        <v>180</v>
      </c>
      <c r="M50" s="2" t="inlineStr">
        <is>
          <t>180 GB de franquia Você + 2 linhas adicionais Roaming Internacional com Vivo Travel Américas e Europa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12 meses grátis de Gemini com AI Plus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2026-08-29</t>
        </is>
      </c>
      <c r="B51" s="5" t="inlineStr">
        <is>
          <t>2026-08-29T00:03:20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4</t>
        </is>
      </c>
      <c r="G51" s="5" t="inlineStr">
        <is>
          <t>vivo:VIV202600034531</t>
        </is>
      </c>
      <c r="H51" s="6" t="n">
        <v>430</v>
      </c>
      <c r="I51" s="6" t="inlineStr"/>
      <c r="J51" s="5" t="inlineStr"/>
      <c r="K51" s="5" t="inlineStr"/>
      <c r="L51" s="7" t="n">
        <v>240</v>
      </c>
      <c r="M51" s="5" t="inlineStr">
        <is>
          <t>240 GB de franquia Você + 3 linhas adicionais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12 meses grátis de Gemini com AI Plus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2026-08-29</t>
        </is>
      </c>
      <c r="B52" s="2" t="inlineStr">
        <is>
          <t>2026-08-29T00:03:20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5</t>
        </is>
      </c>
      <c r="G52" s="2" t="inlineStr">
        <is>
          <t>vivo:VIV202600034526</t>
        </is>
      </c>
      <c r="H52" s="3" t="n">
        <v>530</v>
      </c>
      <c r="I52" s="3" t="inlineStr"/>
      <c r="J52" s="2" t="inlineStr"/>
      <c r="K52" s="2" t="inlineStr"/>
      <c r="L52" s="4" t="n">
        <v>300</v>
      </c>
      <c r="M52" s="2" t="inlineStr">
        <is>
          <t>300 GB de franquia Você + 4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12 meses grátis de Gemini com AI Plus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2026-08-29</t>
        </is>
      </c>
      <c r="B53" s="5" t="inlineStr">
        <is>
          <t>2026-08-29T00:03:20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Amazon</t>
        </is>
      </c>
      <c r="G53" s="5" t="inlineStr">
        <is>
          <t>vivo:VIV202600034554</t>
        </is>
      </c>
      <c r="H53" s="6" t="n">
        <v>150</v>
      </c>
      <c r="I53" s="6" t="inlineStr"/>
      <c r="J53" s="5" t="inlineStr"/>
      <c r="K53" s="5" t="inlineStr"/>
      <c r="L53" s="7" t="n">
        <v>60</v>
      </c>
      <c r="M53" s="5" t="inlineStr">
        <is>
          <t>50 GB de franquia 10 GB de bônus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Assinatura Amazon Prime inclusa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2026-08-29</t>
        </is>
      </c>
      <c r="B54" s="2" t="inlineStr">
        <is>
          <t>2026-08-29T00:03:20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Disney+</t>
        </is>
      </c>
      <c r="G54" s="2" t="inlineStr">
        <is>
          <t>vivo:VIV202600034532</t>
        </is>
      </c>
      <c r="H54" s="3" t="n">
        <v>180</v>
      </c>
      <c r="I54" s="3" t="inlineStr"/>
      <c r="J54" s="2" t="inlineStr"/>
      <c r="K54" s="2" t="inlineStr"/>
      <c r="L54" s="4" t="n">
        <v>60</v>
      </c>
      <c r="M54" s="2" t="inlineStr">
        <is>
          <t>50 GB de franquia 10 GB de bônus</t>
        </is>
      </c>
      <c r="N54" s="2" t="inlineStr"/>
      <c r="O54" s="2" t="inlineStr"/>
      <c r="P54" s="2" t="inlineStr"/>
      <c r="Q54" s="2" t="inlineStr"/>
      <c r="R54" s="2" t="inlineStr">
        <is>
          <t>Disney+</t>
        </is>
      </c>
      <c r="S54" s="2" t="inlineStr"/>
      <c r="T54" s="2" t="inlineStr">
        <is>
          <t>Assinatura Disney+ Padrão inclusa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2026-08-29</t>
        </is>
      </c>
      <c r="B55" s="5" t="inlineStr">
        <is>
          <t>2026-08-29T00:03:20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Globoplay</t>
        </is>
      </c>
      <c r="G55" s="5" t="inlineStr">
        <is>
          <t>vivo:VIV202600034575</t>
        </is>
      </c>
      <c r="H55" s="6" t="n">
        <v>165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>
        <is>
          <t>Globoplay</t>
        </is>
      </c>
      <c r="S55" s="5" t="inlineStr"/>
      <c r="T55" s="5" t="inlineStr">
        <is>
          <t>Assinatura Globoplay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2026-08-29</t>
        </is>
      </c>
      <c r="B56" s="2" t="inlineStr">
        <is>
          <t>2026-08-29T00:03:20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Netflix</t>
        </is>
      </c>
      <c r="G56" s="2" t="inlineStr">
        <is>
          <t>vivo:VIV202600034562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Netflix</t>
        </is>
      </c>
      <c r="S56" s="2" t="inlineStr"/>
      <c r="T56" s="2" t="inlineStr">
        <is>
          <t>Assinatura Netflix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2026-08-29</t>
        </is>
      </c>
      <c r="B57" s="5" t="inlineStr">
        <is>
          <t>2026-08-29T00:03:20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Premiere</t>
        </is>
      </c>
      <c r="G57" s="5" t="inlineStr">
        <is>
          <t>vivo:VIV202600034579</t>
        </is>
      </c>
      <c r="H57" s="6" t="n">
        <v>180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Premiere</t>
        </is>
      </c>
      <c r="S57" s="5" t="inlineStr"/>
      <c r="T57" s="5" t="inlineStr">
        <is>
          <t>Assinatura Premiere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2026-08-29</t>
        </is>
      </c>
      <c r="B58" s="2" t="inlineStr">
        <is>
          <t>2026-08-29T00:03:20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Spotify</t>
        </is>
      </c>
      <c r="G58" s="2" t="inlineStr">
        <is>
          <t>vivo:VIV202600034556</t>
        </is>
      </c>
      <c r="H58" s="3" t="n">
        <v>165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Spotify</t>
        </is>
      </c>
      <c r="S58" s="2" t="inlineStr"/>
      <c r="T58" s="2" t="inlineStr">
        <is>
          <t>Assinatura Spotify Premium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2026-08-29</t>
        </is>
      </c>
      <c r="B59" s="5" t="inlineStr">
        <is>
          <t>2026-08-29T00:03:20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Travel</t>
        </is>
      </c>
      <c r="G59" s="5" t="inlineStr">
        <is>
          <t>vivo:VIV202600034573</t>
        </is>
      </c>
      <c r="H59" s="6" t="n">
        <v>215</v>
      </c>
      <c r="I59" s="6" t="inlineStr"/>
      <c r="J59" s="5" t="inlineStr"/>
      <c r="K59" s="5" t="inlineStr"/>
      <c r="L59" s="7" t="n">
        <v>70</v>
      </c>
      <c r="M59" s="5" t="inlineStr">
        <is>
          <t>60 GB de franquia 10 GB de bônus</t>
        </is>
      </c>
      <c r="N59" s="5" t="inlineStr"/>
      <c r="O59" s="5" t="inlineStr"/>
      <c r="P59" s="5" t="inlineStr"/>
      <c r="Q59" s="5" t="inlineStr"/>
      <c r="R59" s="5" t="inlineStr"/>
      <c r="S59" s="5" t="inlineStr"/>
      <c r="T59" s="5" t="inlineStr">
        <is>
          <t>6 meses grátis de Gemini com AI Plus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2026-08-29</t>
        </is>
      </c>
      <c r="B60" s="2" t="inlineStr">
        <is>
          <t>2026-08-29T00:03:20</t>
        </is>
      </c>
      <c r="C60" s="2" t="inlineStr">
        <is>
          <t>vivo</t>
        </is>
      </c>
      <c r="D60" s="2" t="inlineStr">
        <is>
          <t>prepaid</t>
        </is>
      </c>
      <c r="E60" s="2" t="inlineStr">
        <is>
          <t>SP</t>
        </is>
      </c>
      <c r="F60" s="2" t="inlineStr">
        <is>
          <t>Vivo Pré</t>
        </is>
      </c>
      <c r="G60" s="2" t="inlineStr">
        <is>
          <t>vivo:VIV202600029370-30d</t>
        </is>
      </c>
      <c r="H60" s="3" t="n">
        <v>30</v>
      </c>
      <c r="I60" s="3" t="inlineStr"/>
      <c r="J60" s="2" t="inlineStr"/>
      <c r="K60" s="2" t="inlineStr"/>
      <c r="L60" s="4" t="n">
        <v>25</v>
      </c>
      <c r="M60" s="2" t="inlineStr">
        <is>
          <t>15 GB para navegar como quiser 5 GB de bônus 5 GB para navegar no Youtube</t>
        </is>
      </c>
      <c r="N60" s="2" t="n">
        <v>30</v>
      </c>
      <c r="O60" s="2" t="inlineStr"/>
      <c r="P60" s="2" t="inlineStr"/>
      <c r="Q60" s="2" t="inlineStr"/>
      <c r="R60" s="2" t="inlineStr"/>
      <c r="S60" s="2" t="inlineStr"/>
      <c r="T60" s="2" t="inlineStr"/>
      <c r="U60" s="2" t="inlineStr">
        <is>
          <t>https://vivo.com.br/para-voce/produtos-e-servicos/para-o-celular/pre-pago/vivo-pre</t>
        </is>
      </c>
      <c r="V60" s="2" t="inlineStr">
        <is>
          <t>data/raw/vivo_prepaid_SP.html</t>
        </is>
      </c>
    </row>
    <row r="61">
      <c r="A61" s="5" t="inlineStr">
        <is>
          <t>2026-08-29</t>
        </is>
      </c>
      <c r="B61" s="5" t="inlineStr">
        <is>
          <t>2026-08-29T00:03:20</t>
        </is>
      </c>
      <c r="C61" s="5" t="inlineStr">
        <is>
          <t>vivo</t>
        </is>
      </c>
      <c r="D61" s="5" t="inlineStr">
        <is>
          <t>prepaid</t>
        </is>
      </c>
      <c r="E61" s="5" t="inlineStr">
        <is>
          <t>SP</t>
        </is>
      </c>
      <c r="F61" s="5" t="inlineStr">
        <is>
          <t>Vivo Pré</t>
        </is>
      </c>
      <c r="G61" s="5" t="inlineStr">
        <is>
          <t>vivo:VIV202600029370-22d</t>
        </is>
      </c>
      <c r="H61" s="6" t="n">
        <v>25</v>
      </c>
      <c r="I61" s="6" t="inlineStr"/>
      <c r="J61" s="5" t="inlineStr"/>
      <c r="K61" s="5" t="inlineStr"/>
      <c r="L61" s="7" t="n">
        <v>9</v>
      </c>
      <c r="M61" s="5" t="inlineStr">
        <is>
          <t>6 GB para navegar como quiser 3 GB para navegar no YouTube</t>
        </is>
      </c>
      <c r="N61" s="5" t="n">
        <v>22</v>
      </c>
      <c r="O61" s="5" t="inlineStr"/>
      <c r="P61" s="5" t="inlineStr"/>
      <c r="Q61" s="5" t="inlineStr"/>
      <c r="R61" s="5" t="inlineStr"/>
      <c r="S61" s="5" t="inlineStr"/>
      <c r="T61" s="5" t="inlineStr"/>
      <c r="U61" s="5" t="inlineStr">
        <is>
          <t>https://vivo.com.br/para-voce/produtos-e-servicos/para-o-celular/pre-pago/vivo-pre</t>
        </is>
      </c>
      <c r="V61" s="5" t="inlineStr">
        <is>
          <t>data/raw/vivo_prepaid_SP.html</t>
        </is>
      </c>
    </row>
    <row r="62">
      <c r="A62" s="2" t="inlineStr">
        <is>
          <t>2026-08-29</t>
        </is>
      </c>
      <c r="B62" s="2" t="inlineStr">
        <is>
          <t>2026-08-29T00:03:20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vivo:VIV202600029370-17d</t>
        </is>
      </c>
      <c r="H62" s="3" t="n">
        <v>20</v>
      </c>
      <c r="I62" s="3" t="inlineStr"/>
      <c r="J62" s="2" t="inlineStr"/>
      <c r="K62" s="2" t="inlineStr"/>
      <c r="L62" s="4" t="n">
        <v>5</v>
      </c>
      <c r="M62" s="2" t="inlineStr">
        <is>
          <t>5 GB para navegar como quiser</t>
        </is>
      </c>
      <c r="N62" s="2" t="n">
        <v>17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2026-08-29</t>
        </is>
      </c>
      <c r="B63" s="5" t="inlineStr">
        <is>
          <t>2026-08-29T00:03:20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vivo:VIV202600029370-15d</t>
        </is>
      </c>
      <c r="H63" s="6" t="n">
        <v>17</v>
      </c>
      <c r="I63" s="6" t="inlineStr"/>
      <c r="J63" s="5" t="inlineStr"/>
      <c r="K63" s="5" t="inlineStr"/>
      <c r="L63" s="7" t="n">
        <v>4</v>
      </c>
      <c r="M63" s="5" t="inlineStr">
        <is>
          <t>4 GB para navegar como quiser</t>
        </is>
      </c>
      <c r="N63" s="5" t="n">
        <v>15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</sheetData>
  <autoFilter ref="A1:V63"/>
  <conditionalFormatting sqref="H2:H6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3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price_change</t>
        </is>
      </c>
      <c r="B2" s="2" t="inlineStr">
        <is>
          <t>tim</t>
        </is>
      </c>
      <c r="C2" s="2" t="inlineStr">
        <is>
          <t>control</t>
        </is>
      </c>
      <c r="D2" s="2" t="inlineStr">
        <is>
          <t>SP</t>
        </is>
      </c>
      <c r="E2" s="2" t="inlineStr">
        <is>
          <t>tim:167031</t>
        </is>
      </c>
      <c r="F2" s="2" t="inlineStr">
        <is>
          <t>TIM Controle Redes Sociais 46GB</t>
        </is>
      </c>
      <c r="G2" s="3" t="n">
        <v>64.98999999999999</v>
      </c>
      <c r="H2" s="3" t="n">
        <v>59.99</v>
      </c>
      <c r="I2" s="3" t="n">
        <v>-4.999999999999993</v>
      </c>
    </row>
    <row r="3">
      <c r="A3" s="5" t="inlineStr">
        <is>
          <t>price_change</t>
        </is>
      </c>
      <c r="B3" s="5" t="inlineStr">
        <is>
          <t>tim</t>
        </is>
      </c>
      <c r="C3" s="5" t="inlineStr">
        <is>
          <t>control</t>
        </is>
      </c>
      <c r="D3" s="5" t="inlineStr">
        <is>
          <t>SP</t>
        </is>
      </c>
      <c r="E3" s="5" t="inlineStr">
        <is>
          <t>tim:180756</t>
        </is>
      </c>
      <c r="F3" s="5" t="inlineStr">
        <is>
          <t>TIM Controle Premium 55GB</t>
        </is>
      </c>
      <c r="G3" s="6" t="n">
        <v>84.98999999999999</v>
      </c>
      <c r="H3" s="6" t="n">
        <v>69.98999999999999</v>
      </c>
      <c r="I3" s="6" t="n">
        <v>-15</v>
      </c>
    </row>
    <row r="4">
      <c r="A4" s="2" t="inlineStr">
        <is>
          <t>price_change</t>
        </is>
      </c>
      <c r="B4" s="2" t="inlineStr">
        <is>
          <t>tim</t>
        </is>
      </c>
      <c r="C4" s="2" t="inlineStr">
        <is>
          <t>control</t>
        </is>
      </c>
      <c r="D4" s="2" t="inlineStr">
        <is>
          <t>SP</t>
        </is>
      </c>
      <c r="E4" s="2" t="inlineStr">
        <is>
          <t>tim:182766</t>
        </is>
      </c>
      <c r="F4" s="2" t="inlineStr">
        <is>
          <t>TIM Controle 45GB</t>
        </is>
      </c>
      <c r="G4" s="3" t="n">
        <v>58.99</v>
      </c>
      <c r="H4" s="3" t="n">
        <v>49.99</v>
      </c>
      <c r="I4" s="3" t="n">
        <v>-9</v>
      </c>
    </row>
    <row r="5">
      <c r="A5" s="5" t="inlineStr">
        <is>
          <t>removed</t>
        </is>
      </c>
      <c r="B5" s="5" t="inlineStr">
        <is>
          <t>tim</t>
        </is>
      </c>
      <c r="C5" s="5" t="inlineStr">
        <is>
          <t>postpaid</t>
        </is>
      </c>
      <c r="D5" s="5" t="inlineStr">
        <is>
          <t>SP</t>
        </is>
      </c>
      <c r="E5" s="5" t="inlineStr">
        <is>
          <t>tim:100581</t>
        </is>
      </c>
      <c r="F5" s="5" t="inlineStr">
        <is>
          <t>TIM Black C Ultra 95GB</t>
        </is>
      </c>
      <c r="G5" s="6" t="n">
        <v>159.99</v>
      </c>
      <c r="H5" s="6" t="inlineStr"/>
      <c r="I5" s="6" t="inlineStr"/>
    </row>
    <row r="6">
      <c r="A6" s="2" t="inlineStr">
        <is>
          <t>removed</t>
        </is>
      </c>
      <c r="B6" s="2" t="inlineStr">
        <is>
          <t>tim</t>
        </is>
      </c>
      <c r="C6" s="2" t="inlineStr">
        <is>
          <t>postpaid</t>
        </is>
      </c>
      <c r="D6" s="2" t="inlineStr">
        <is>
          <t>SP</t>
        </is>
      </c>
      <c r="E6" s="2" t="inlineStr">
        <is>
          <t>tim:55121</t>
        </is>
      </c>
      <c r="F6" s="2" t="inlineStr">
        <is>
          <t>TIM Black A Express 67GB</t>
        </is>
      </c>
      <c r="G6" s="3" t="n">
        <v>119.99</v>
      </c>
      <c r="H6" s="3" t="inlineStr"/>
      <c r="I6" s="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2026-08-29T00:03:20</t>
        </is>
      </c>
    </row>
    <row r="4">
      <c r="A4" s="9" t="inlineStr">
        <is>
          <t>Latest snapshot</t>
        </is>
      </c>
      <c r="B4" s="2" t="inlineStr">
        <is>
          <t>2026-08-29</t>
        </is>
      </c>
    </row>
    <row r="5">
      <c r="A5" s="9" t="inlineStr">
        <is>
          <t>Plans in latest</t>
        </is>
      </c>
      <c r="B5" s="2" t="n">
        <v>62</v>
      </c>
    </row>
    <row r="6">
      <c r="A6" s="9" t="inlineStr">
        <is>
          <t>Snapshots in history</t>
        </is>
      </c>
      <c r="B6" s="2" t="n">
        <v>66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73.29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71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2">
      <c r="A62" s="12" t="n">
        <v>46257</v>
      </c>
      <c r="B62" s="3">
        <f>IFERROR(IF(_xlfn.MINIFS(history!$H:$H,history!$C:$C,"tim",history!$D:$D,"control",history!$A:$A,YEAR($A62)&amp;"-"&amp;TEXT(MONTH($A62),"00")&amp;"-"&amp;TEXT(DAY($A62),"00"))=0,"",_xlfn.MINIFS(history!$H:$H,history!$C:$C,"tim",history!$D:$D,"control",history!$A:$A,YEAR($A62)&amp;"-"&amp;TEXT(MONTH($A62),"00")&amp;"-"&amp;TEXT(DAY($A62),"00"))),"")</f>
        <v>58.99</v>
      </c>
      <c r="C62" s="3">
        <f>IFERROR(IF(_xlfn.MINIFS(history!$H:$H,history!$C:$C,"vivo",history!$D:$D,"control",history!$A:$A,YEAR($A62)&amp;"-"&amp;TEXT(MONTH($A62),"00")&amp;"-"&amp;TEXT(DAY($A62),"00"))=0,"",_xlfn.MINIFS(history!$H:$H,history!$C:$C,"vivo",history!$D:$D,"control",history!$A:$A,YEAR($A62)&amp;"-"&amp;TEXT(MONTH($A62),"00")&amp;"-"&amp;TEXT(DAY($A62),"00"))),"")</f>
        <v>59</v>
      </c>
      <c r="D62" s="3">
        <f>IFERROR(IF(_xlfn.MINIFS(history!$H:$H,history!$C:$C,"claro",history!$D:$D,"control",history!$A:$A,YEAR($A62)&amp;"-"&amp;TEXT(MONTH($A62),"00")&amp;"-"&amp;TEXT(DAY($A62),"00"))=0,"",_xlfn.MINIFS(history!$H:$H,history!$C:$C,"claro",history!$D:$D,"control",history!$A:$A,YEAR($A62)&amp;"-"&amp;TEXT(MONTH($A62),"00")&amp;"-"&amp;TEXT(DAY($A62),"00"))),"")</f>
        <v>59.9</v>
      </c>
      <c r="E62" s="3">
        <f>IFERROR(IF(_xlfn.MINIFS(history!$H:$H,history!$C:$C,"tim",history!$D:$D,"postpaid",history!$A:$A,YEAR($A62)&amp;"-"&amp;TEXT(MONTH($A62),"00")&amp;"-"&amp;TEXT(DAY($A62),"00"))=0,"",_xlfn.MINIFS(history!$H:$H,history!$C:$C,"tim",history!$D:$D,"postpaid",history!$A:$A,YEAR($A62)&amp;"-"&amp;TEXT(MONTH($A62),"00")&amp;"-"&amp;TEXT(DAY($A62),"00"))),"")</f>
        <v>119.99</v>
      </c>
      <c r="F62" s="3">
        <f>IFERROR(IF(_xlfn.MINIFS(history!$H:$H,history!$C:$C,"vivo",history!$D:$D,"postpaid",history!$A:$A,YEAR($A62)&amp;"-"&amp;TEXT(MONTH($A62),"00")&amp;"-"&amp;TEXT(DAY($A62),"00"))=0,"",_xlfn.MINIFS(history!$H:$H,history!$C:$C,"vivo",history!$D:$D,"postpaid",history!$A:$A,YEAR($A62)&amp;"-"&amp;TEXT(MONTH($A62),"00")&amp;"-"&amp;TEXT(DAY($A62),"00"))),"")</f>
        <v>150</v>
      </c>
      <c r="G62" s="3">
        <f>IFERROR(IF(_xlfn.MINIFS(history!$H:$H,history!$C:$C,"claro",history!$D:$D,"postpaid",history!$A:$A,YEAR($A62)&amp;"-"&amp;TEXT(MONTH($A62),"00")&amp;"-"&amp;TEXT(DAY($A62),"00"))=0,"",_xlfn.MINIFS(history!$H:$H,history!$C:$C,"claro",history!$D:$D,"postpaid",history!$A:$A,YEAR($A62)&amp;"-"&amp;TEXT(MONTH($A62),"00")&amp;"-"&amp;TEXT(DAY($A62),"00"))),"")</f>
        <v>124.9</v>
      </c>
      <c r="H62" s="3">
        <f>IFERROR(IF(_xlfn.MINIFS(history!$H:$H,history!$C:$C,"tim",history!$D:$D,"prepaid",history!$A:$A,YEAR($A62)&amp;"-"&amp;TEXT(MONTH($A62),"00")&amp;"-"&amp;TEXT(DAY($A62),"00"),history!$N:$N,"&gt;=28")=0,"",_xlfn.MINIFS(history!$H:$H,history!$C:$C,"tim",history!$D:$D,"prepaid",history!$A:$A,YEAR($A62)&amp;"-"&amp;TEXT(MONTH($A62),"00")&amp;"-"&amp;TEXT(DAY($A62),"00"),history!$N:$N,"&gt;=28")),"")</f>
        <v>30</v>
      </c>
      <c r="I62" s="3">
        <f>IFERROR(IF(_xlfn.MINIFS(history!$H:$H,history!$C:$C,"vivo",history!$D:$D,"prepaid",history!$A:$A,YEAR($A62)&amp;"-"&amp;TEXT(MONTH($A62),"00")&amp;"-"&amp;TEXT(DAY($A62),"00"),history!$N:$N,"&gt;=28")=0,"",_xlfn.MINIFS(history!$H:$H,history!$C:$C,"vivo",history!$D:$D,"prepaid",history!$A:$A,YEAR($A62)&amp;"-"&amp;TEXT(MONTH($A62),"00")&amp;"-"&amp;TEXT(DAY($A62),"00"),history!$N:$N,"&gt;=28")),"")</f>
        <v>30</v>
      </c>
      <c r="J62" s="3">
        <f>IFERROR(IF(_xlfn.MINIFS(history!$H:$H,history!$C:$C,"claro",history!$D:$D,"prepaid",history!$A:$A,YEAR($A62)&amp;"-"&amp;TEXT(MONTH($A62),"00")&amp;"-"&amp;TEXT(DAY($A62),"00"),history!$N:$N,"&gt;=28")=0,"",_xlfn.MINIFS(history!$H:$H,history!$C:$C,"claro",history!$D:$D,"prepaid",history!$A:$A,YEAR($A62)&amp;"-"&amp;TEXT(MONTH($A62),"00")&amp;"-"&amp;TEXT(DAY($A62),"00"),history!$N:$N,"&gt;=28")),"")</f>
        <v>30</v>
      </c>
      <c r="K62" s="3">
        <f>IFERROR(1/MAX(IFERROR(1/_xlfn.MINIFS(history!$H:$H,history!$C:$C,"tim",history!$D:$D,"lite",history!$A:$A,YEAR($A62)&amp;"-"&amp;TEXT(MONTH($A62),"00")&amp;"-"&amp;TEXT(DAY($A62),"00"),history!$S:$S,"&gt;0"),0),IFERROR(1/_xlfn.MINIFS(history!$H:$H,history!$C:$C,"tim",history!$D:$D,"flex",history!$A:$A,YEAR($A62)&amp;"-"&amp;TEXT(MONTH($A62),"00")&amp;"-"&amp;TEXT(DAY($A62),"00")),0),IFERROR(1/_xlfn.MINIFS(history!$H:$H,history!$C:$C,"tim",history!$D:$D,"fit",history!$A:$A,YEAR($A62)&amp;"-"&amp;TEXT(MONTH($A62),"00")&amp;"-"&amp;TEXT(DAY($A62),"00"),history!$S:$S,"="),0)),"")</f>
        <v>20</v>
      </c>
      <c r="L62" s="3">
        <f>IFERROR(1/MAX(IFERROR(1/_xlfn.MINIFS(history!$H:$H,history!$C:$C,"vivo",history!$D:$D,"lite",history!$A:$A,YEAR($A62)&amp;"-"&amp;TEXT(MONTH($A62),"00")&amp;"-"&amp;TEXT(DAY($A62),"00"),history!$S:$S,"&gt;0"),0),IFERROR(1/_xlfn.MINIFS(history!$H:$H,history!$C:$C,"vivo",history!$D:$D,"flex",history!$A:$A,YEAR($A62)&amp;"-"&amp;TEXT(MONTH($A62),"00")&amp;"-"&amp;TEXT(DAY($A62),"00")),0),IFERROR(1/_xlfn.MINIFS(history!$H:$H,history!$C:$C,"vivo",history!$D:$D,"fit",history!$A:$A,YEAR($A62)&amp;"-"&amp;TEXT(MONTH($A62),"00")&amp;"-"&amp;TEXT(DAY($A62),"00"),history!$S:$S,"="),0)),"")</f>
        <v>45</v>
      </c>
      <c r="M62" s="3">
        <f>IFERROR(1/MAX(IFERROR(1/_xlfn.MINIFS(history!$H:$H,history!$C:$C,"claro",history!$D:$D,"lite",history!$A:$A,YEAR($A62)&amp;"-"&amp;TEXT(MONTH($A62),"00")&amp;"-"&amp;TEXT(DAY($A62),"00"),history!$S:$S,"&gt;0"),0),IFERROR(1/_xlfn.MINIFS(history!$H:$H,history!$C:$C,"claro",history!$D:$D,"flex",history!$A:$A,YEAR($A62)&amp;"-"&amp;TEXT(MONTH($A62),"00")&amp;"-"&amp;TEXT(DAY($A62),"00")),0),IFERROR(1/_xlfn.MINIFS(history!$H:$H,history!$C:$C,"claro",history!$D:$D,"fit",history!$A:$A,YEAR($A62)&amp;"-"&amp;TEXT(MONTH($A62),"00")&amp;"-"&amp;TEXT(DAY($A62),"00"),history!$S:$S,"="),0)),"")</f>
        <v>44.9</v>
      </c>
    </row>
    <row r="63">
      <c r="A63" s="12" t="n">
        <v>46258</v>
      </c>
      <c r="B63" s="3">
        <f>IFERROR(IF(_xlfn.MINIFS(history!$H:$H,history!$C:$C,"tim",history!$D:$D,"control",history!$A:$A,YEAR($A63)&amp;"-"&amp;TEXT(MONTH($A63),"00")&amp;"-"&amp;TEXT(DAY($A63),"00"))=0,"",_xlfn.MINIFS(history!$H:$H,history!$C:$C,"tim",history!$D:$D,"control",history!$A:$A,YEAR($A63)&amp;"-"&amp;TEXT(MONTH($A63),"00")&amp;"-"&amp;TEXT(DAY($A63),"00"))),"")</f>
        <v>58.99</v>
      </c>
      <c r="C63" s="3">
        <f>IFERROR(IF(_xlfn.MINIFS(history!$H:$H,history!$C:$C,"vivo",history!$D:$D,"control",history!$A:$A,YEAR($A63)&amp;"-"&amp;TEXT(MONTH($A63),"00")&amp;"-"&amp;TEXT(DAY($A63),"00"))=0,"",_xlfn.MINIFS(history!$H:$H,history!$C:$C,"vivo",history!$D:$D,"control",history!$A:$A,YEAR($A63)&amp;"-"&amp;TEXT(MONTH($A63),"00")&amp;"-"&amp;TEXT(DAY($A63),"00"))),"")</f>
        <v>59</v>
      </c>
      <c r="D63" s="3">
        <f>IFERROR(IF(_xlfn.MINIFS(history!$H:$H,history!$C:$C,"claro",history!$D:$D,"control",history!$A:$A,YEAR($A63)&amp;"-"&amp;TEXT(MONTH($A63),"00")&amp;"-"&amp;TEXT(DAY($A63),"00"))=0,"",_xlfn.MINIFS(history!$H:$H,history!$C:$C,"claro",history!$D:$D,"control",history!$A:$A,YEAR($A63)&amp;"-"&amp;TEXT(MONTH($A63),"00")&amp;"-"&amp;TEXT(DAY($A63),"00"))),"")</f>
        <v>59.9</v>
      </c>
      <c r="E63" s="3">
        <f>IFERROR(IF(_xlfn.MINIFS(history!$H:$H,history!$C:$C,"tim",history!$D:$D,"postpaid",history!$A:$A,YEAR($A63)&amp;"-"&amp;TEXT(MONTH($A63),"00")&amp;"-"&amp;TEXT(DAY($A63),"00"))=0,"",_xlfn.MINIFS(history!$H:$H,history!$C:$C,"tim",history!$D:$D,"postpaid",history!$A:$A,YEAR($A63)&amp;"-"&amp;TEXT(MONTH($A63),"00")&amp;"-"&amp;TEXT(DAY($A63),"00"))),"")</f>
        <v>119.99</v>
      </c>
      <c r="F63" s="3">
        <f>IFERROR(IF(_xlfn.MINIFS(history!$H:$H,history!$C:$C,"vivo",history!$D:$D,"postpaid",history!$A:$A,YEAR($A63)&amp;"-"&amp;TEXT(MONTH($A63),"00")&amp;"-"&amp;TEXT(DAY($A63),"00"))=0,"",_xlfn.MINIFS(history!$H:$H,history!$C:$C,"vivo",history!$D:$D,"postpaid",history!$A:$A,YEAR($A63)&amp;"-"&amp;TEXT(MONTH($A63),"00")&amp;"-"&amp;TEXT(DAY($A63),"00"))),"")</f>
        <v>150</v>
      </c>
      <c r="G63" s="3">
        <f>IFERROR(IF(_xlfn.MINIFS(history!$H:$H,history!$C:$C,"claro",history!$D:$D,"postpaid",history!$A:$A,YEAR($A63)&amp;"-"&amp;TEXT(MONTH($A63),"00")&amp;"-"&amp;TEXT(DAY($A63),"00"))=0,"",_xlfn.MINIFS(history!$H:$H,history!$C:$C,"claro",history!$D:$D,"postpaid",history!$A:$A,YEAR($A63)&amp;"-"&amp;TEXT(MONTH($A63),"00")&amp;"-"&amp;TEXT(DAY($A63),"00"))),"")</f>
        <v>124.9</v>
      </c>
      <c r="H63" s="3">
        <f>IFERROR(IF(_xlfn.MINIFS(history!$H:$H,history!$C:$C,"tim",history!$D:$D,"prepaid",history!$A:$A,YEAR($A63)&amp;"-"&amp;TEXT(MONTH($A63),"00")&amp;"-"&amp;TEXT(DAY($A63),"00"),history!$N:$N,"&gt;=28")=0,"",_xlfn.MINIFS(history!$H:$H,history!$C:$C,"tim",history!$D:$D,"prepaid",history!$A:$A,YEAR($A63)&amp;"-"&amp;TEXT(MONTH($A63),"00")&amp;"-"&amp;TEXT(DAY($A63),"00"),history!$N:$N,"&gt;=28")),"")</f>
        <v>30</v>
      </c>
      <c r="I63" s="3">
        <f>IFERROR(IF(_xlfn.MINIFS(history!$H:$H,history!$C:$C,"vivo",history!$D:$D,"prepaid",history!$A:$A,YEAR($A63)&amp;"-"&amp;TEXT(MONTH($A63),"00")&amp;"-"&amp;TEXT(DAY($A63),"00"),history!$N:$N,"&gt;=28")=0,"",_xlfn.MINIFS(history!$H:$H,history!$C:$C,"vivo",history!$D:$D,"prepaid",history!$A:$A,YEAR($A63)&amp;"-"&amp;TEXT(MONTH($A63),"00")&amp;"-"&amp;TEXT(DAY($A63),"00"),history!$N:$N,"&gt;=28")),"")</f>
        <v>30</v>
      </c>
      <c r="J63" s="3">
        <f>IFERROR(IF(_xlfn.MINIFS(history!$H:$H,history!$C:$C,"claro",history!$D:$D,"prepaid",history!$A:$A,YEAR($A63)&amp;"-"&amp;TEXT(MONTH($A63),"00")&amp;"-"&amp;TEXT(DAY($A63),"00"),history!$N:$N,"&gt;=28")=0,"",_xlfn.MINIFS(history!$H:$H,history!$C:$C,"claro",history!$D:$D,"prepaid",history!$A:$A,YEAR($A63)&amp;"-"&amp;TEXT(MONTH($A63),"00")&amp;"-"&amp;TEXT(DAY($A63),"00"),history!$N:$N,"&gt;=28")),"")</f>
        <v>30</v>
      </c>
      <c r="K63" s="3">
        <f>IFERROR(1/MAX(IFERROR(1/_xlfn.MINIFS(history!$H:$H,history!$C:$C,"tim",history!$D:$D,"lite",history!$A:$A,YEAR($A63)&amp;"-"&amp;TEXT(MONTH($A63),"00")&amp;"-"&amp;TEXT(DAY($A63),"00"),history!$S:$S,"&gt;0"),0),IFERROR(1/_xlfn.MINIFS(history!$H:$H,history!$C:$C,"tim",history!$D:$D,"flex",history!$A:$A,YEAR($A63)&amp;"-"&amp;TEXT(MONTH($A63),"00")&amp;"-"&amp;TEXT(DAY($A63),"00")),0),IFERROR(1/_xlfn.MINIFS(history!$H:$H,history!$C:$C,"tim",history!$D:$D,"fit",history!$A:$A,YEAR($A63)&amp;"-"&amp;TEXT(MONTH($A63),"00")&amp;"-"&amp;TEXT(DAY($A63),"00"),history!$S:$S,"="),0)),"")</f>
        <v>20</v>
      </c>
      <c r="L63" s="3">
        <f>IFERROR(1/MAX(IFERROR(1/_xlfn.MINIFS(history!$H:$H,history!$C:$C,"vivo",history!$D:$D,"lite",history!$A:$A,YEAR($A63)&amp;"-"&amp;TEXT(MONTH($A63),"00")&amp;"-"&amp;TEXT(DAY($A63),"00"),history!$S:$S,"&gt;0"),0),IFERROR(1/_xlfn.MINIFS(history!$H:$H,history!$C:$C,"vivo",history!$D:$D,"flex",history!$A:$A,YEAR($A63)&amp;"-"&amp;TEXT(MONTH($A63),"00")&amp;"-"&amp;TEXT(DAY($A63),"00")),0),IFERROR(1/_xlfn.MINIFS(history!$H:$H,history!$C:$C,"vivo",history!$D:$D,"fit",history!$A:$A,YEAR($A63)&amp;"-"&amp;TEXT(MONTH($A63),"00")&amp;"-"&amp;TEXT(DAY($A63),"00"),history!$S:$S,"="),0)),"")</f>
        <v>45</v>
      </c>
      <c r="M63" s="3">
        <f>IFERROR(1/MAX(IFERROR(1/_xlfn.MINIFS(history!$H:$H,history!$C:$C,"claro",history!$D:$D,"lite",history!$A:$A,YEAR($A63)&amp;"-"&amp;TEXT(MONTH($A63),"00")&amp;"-"&amp;TEXT(DAY($A63),"00"),history!$S:$S,"&gt;0"),0),IFERROR(1/_xlfn.MINIFS(history!$H:$H,history!$C:$C,"claro",history!$D:$D,"flex",history!$A:$A,YEAR($A63)&amp;"-"&amp;TEXT(MONTH($A63),"00")&amp;"-"&amp;TEXT(DAY($A63),"00")),0),IFERROR(1/_xlfn.MINIFS(history!$H:$H,history!$C:$C,"claro",history!$D:$D,"fit",history!$A:$A,YEAR($A63)&amp;"-"&amp;TEXT(MONTH($A63),"00")&amp;"-"&amp;TEXT(DAY($A63),"00"),history!$S:$S,"="),0)),"")</f>
        <v>44.9</v>
      </c>
    </row>
    <row r="64">
      <c r="A64" s="12" t="n">
        <v>46259</v>
      </c>
      <c r="B64" s="3">
        <f>IFERROR(IF(_xlfn.MINIFS(history!$H:$H,history!$C:$C,"tim",history!$D:$D,"control",history!$A:$A,YEAR($A64)&amp;"-"&amp;TEXT(MONTH($A64),"00")&amp;"-"&amp;TEXT(DAY($A64),"00"))=0,"",_xlfn.MINIFS(history!$H:$H,history!$C:$C,"tim",history!$D:$D,"control",history!$A:$A,YEAR($A64)&amp;"-"&amp;TEXT(MONTH($A64),"00")&amp;"-"&amp;TEXT(DAY($A64),"00"))),"")</f>
        <v>58.99</v>
      </c>
      <c r="C64" s="3">
        <f>IFERROR(IF(_xlfn.MINIFS(history!$H:$H,history!$C:$C,"vivo",history!$D:$D,"control",history!$A:$A,YEAR($A64)&amp;"-"&amp;TEXT(MONTH($A64),"00")&amp;"-"&amp;TEXT(DAY($A64),"00"))=0,"",_xlfn.MINIFS(history!$H:$H,history!$C:$C,"vivo",history!$D:$D,"control",history!$A:$A,YEAR($A64)&amp;"-"&amp;TEXT(MONTH($A64),"00")&amp;"-"&amp;TEXT(DAY($A64),"00"))),"")</f>
        <v>59</v>
      </c>
      <c r="D64" s="3">
        <f>IFERROR(IF(_xlfn.MINIFS(history!$H:$H,history!$C:$C,"claro",history!$D:$D,"control",history!$A:$A,YEAR($A64)&amp;"-"&amp;TEXT(MONTH($A64),"00")&amp;"-"&amp;TEXT(DAY($A64),"00"))=0,"",_xlfn.MINIFS(history!$H:$H,history!$C:$C,"claro",history!$D:$D,"control",history!$A:$A,YEAR($A64)&amp;"-"&amp;TEXT(MONTH($A64),"00")&amp;"-"&amp;TEXT(DAY($A64),"00"))),"")</f>
        <v>59.9</v>
      </c>
      <c r="E64" s="3">
        <f>IFERROR(IF(_xlfn.MINIFS(history!$H:$H,history!$C:$C,"tim",history!$D:$D,"postpaid",history!$A:$A,YEAR($A64)&amp;"-"&amp;TEXT(MONTH($A64),"00")&amp;"-"&amp;TEXT(DAY($A64),"00"))=0,"",_xlfn.MINIFS(history!$H:$H,history!$C:$C,"tim",history!$D:$D,"postpaid",history!$A:$A,YEAR($A64)&amp;"-"&amp;TEXT(MONTH($A64),"00")&amp;"-"&amp;TEXT(DAY($A64),"00"))),"")</f>
        <v>119.99</v>
      </c>
      <c r="F64" s="3">
        <f>IFERROR(IF(_xlfn.MINIFS(history!$H:$H,history!$C:$C,"vivo",history!$D:$D,"postpaid",history!$A:$A,YEAR($A64)&amp;"-"&amp;TEXT(MONTH($A64),"00")&amp;"-"&amp;TEXT(DAY($A64),"00"))=0,"",_xlfn.MINIFS(history!$H:$H,history!$C:$C,"vivo",history!$D:$D,"postpaid",history!$A:$A,YEAR($A64)&amp;"-"&amp;TEXT(MONTH($A64),"00")&amp;"-"&amp;TEXT(DAY($A64),"00"))),"")</f>
        <v>150</v>
      </c>
      <c r="G64" s="3">
        <f>IFERROR(IF(_xlfn.MINIFS(history!$H:$H,history!$C:$C,"claro",history!$D:$D,"postpaid",history!$A:$A,YEAR($A64)&amp;"-"&amp;TEXT(MONTH($A64),"00")&amp;"-"&amp;TEXT(DAY($A64),"00"))=0,"",_xlfn.MINIFS(history!$H:$H,history!$C:$C,"claro",history!$D:$D,"postpaid",history!$A:$A,YEAR($A64)&amp;"-"&amp;TEXT(MONTH($A64),"00")&amp;"-"&amp;TEXT(DAY($A64),"00"))),"")</f>
        <v>124.9</v>
      </c>
      <c r="H64" s="3">
        <f>IFERROR(IF(_xlfn.MINIFS(history!$H:$H,history!$C:$C,"tim",history!$D:$D,"prepaid",history!$A:$A,YEAR($A64)&amp;"-"&amp;TEXT(MONTH($A64),"00")&amp;"-"&amp;TEXT(DAY($A64),"00"),history!$N:$N,"&gt;=28")=0,"",_xlfn.MINIFS(history!$H:$H,history!$C:$C,"tim",history!$D:$D,"prepaid",history!$A:$A,YEAR($A64)&amp;"-"&amp;TEXT(MONTH($A64),"00")&amp;"-"&amp;TEXT(DAY($A64),"00"),history!$N:$N,"&gt;=28")),"")</f>
        <v>30</v>
      </c>
      <c r="I64" s="3">
        <f>IFERROR(IF(_xlfn.MINIFS(history!$H:$H,history!$C:$C,"vivo",history!$D:$D,"prepaid",history!$A:$A,YEAR($A64)&amp;"-"&amp;TEXT(MONTH($A64),"00")&amp;"-"&amp;TEXT(DAY($A64),"00"),history!$N:$N,"&gt;=28")=0,"",_xlfn.MINIFS(history!$H:$H,history!$C:$C,"vivo",history!$D:$D,"prepaid",history!$A:$A,YEAR($A64)&amp;"-"&amp;TEXT(MONTH($A64),"00")&amp;"-"&amp;TEXT(DAY($A64),"00"),history!$N:$N,"&gt;=28")),"")</f>
        <v>30</v>
      </c>
      <c r="J64" s="3">
        <f>IFERROR(IF(_xlfn.MINIFS(history!$H:$H,history!$C:$C,"claro",history!$D:$D,"prepaid",history!$A:$A,YEAR($A64)&amp;"-"&amp;TEXT(MONTH($A64),"00")&amp;"-"&amp;TEXT(DAY($A64),"00"),history!$N:$N,"&gt;=28")=0,"",_xlfn.MINIFS(history!$H:$H,history!$C:$C,"claro",history!$D:$D,"prepaid",history!$A:$A,YEAR($A64)&amp;"-"&amp;TEXT(MONTH($A64),"00")&amp;"-"&amp;TEXT(DAY($A64),"00"),history!$N:$N,"&gt;=28")),"")</f>
        <v>30</v>
      </c>
      <c r="K64" s="3">
        <f>IFERROR(1/MAX(IFERROR(1/_xlfn.MINIFS(history!$H:$H,history!$C:$C,"tim",history!$D:$D,"lite",history!$A:$A,YEAR($A64)&amp;"-"&amp;TEXT(MONTH($A64),"00")&amp;"-"&amp;TEXT(DAY($A64),"00"),history!$S:$S,"&gt;0"),0),IFERROR(1/_xlfn.MINIFS(history!$H:$H,history!$C:$C,"tim",history!$D:$D,"flex",history!$A:$A,YEAR($A64)&amp;"-"&amp;TEXT(MONTH($A64),"00")&amp;"-"&amp;TEXT(DAY($A64),"00")),0),IFERROR(1/_xlfn.MINIFS(history!$H:$H,history!$C:$C,"tim",history!$D:$D,"fit",history!$A:$A,YEAR($A64)&amp;"-"&amp;TEXT(MONTH($A64),"00")&amp;"-"&amp;TEXT(DAY($A64),"00"),history!$S:$S,"="),0)),"")</f>
        <v>20</v>
      </c>
      <c r="L64" s="3">
        <f>IFERROR(1/MAX(IFERROR(1/_xlfn.MINIFS(history!$H:$H,history!$C:$C,"vivo",history!$D:$D,"lite",history!$A:$A,YEAR($A64)&amp;"-"&amp;TEXT(MONTH($A64),"00")&amp;"-"&amp;TEXT(DAY($A64),"00"),history!$S:$S,"&gt;0"),0),IFERROR(1/_xlfn.MINIFS(history!$H:$H,history!$C:$C,"vivo",history!$D:$D,"flex",history!$A:$A,YEAR($A64)&amp;"-"&amp;TEXT(MONTH($A64),"00")&amp;"-"&amp;TEXT(DAY($A64),"00")),0),IFERROR(1/_xlfn.MINIFS(history!$H:$H,history!$C:$C,"vivo",history!$D:$D,"fit",history!$A:$A,YEAR($A64)&amp;"-"&amp;TEXT(MONTH($A64),"00")&amp;"-"&amp;TEXT(DAY($A64),"00"),history!$S:$S,"="),0)),"")</f>
        <v>45</v>
      </c>
      <c r="M64" s="3">
        <f>IFERROR(1/MAX(IFERROR(1/_xlfn.MINIFS(history!$H:$H,history!$C:$C,"claro",history!$D:$D,"lite",history!$A:$A,YEAR($A64)&amp;"-"&amp;TEXT(MONTH($A64),"00")&amp;"-"&amp;TEXT(DAY($A64),"00"),history!$S:$S,"&gt;0"),0),IFERROR(1/_xlfn.MINIFS(history!$H:$H,history!$C:$C,"claro",history!$D:$D,"flex",history!$A:$A,YEAR($A64)&amp;"-"&amp;TEXT(MONTH($A64),"00")&amp;"-"&amp;TEXT(DAY($A64),"00")),0),IFERROR(1/_xlfn.MINIFS(history!$H:$H,history!$C:$C,"claro",history!$D:$D,"fit",history!$A:$A,YEAR($A64)&amp;"-"&amp;TEXT(MONTH($A64),"00")&amp;"-"&amp;TEXT(DAY($A64),"00"),history!$S:$S,"="),0)),"")</f>
        <v>44.9</v>
      </c>
    </row>
    <row r="65">
      <c r="A65" s="12" t="n">
        <v>46260</v>
      </c>
      <c r="B65" s="3">
        <f>IFERROR(IF(_xlfn.MINIFS(history!$H:$H,history!$C:$C,"tim",history!$D:$D,"control",history!$A:$A,YEAR($A65)&amp;"-"&amp;TEXT(MONTH($A65),"00")&amp;"-"&amp;TEXT(DAY($A65),"00"))=0,"",_xlfn.MINIFS(history!$H:$H,history!$C:$C,"tim",history!$D:$D,"control",history!$A:$A,YEAR($A65)&amp;"-"&amp;TEXT(MONTH($A65),"00")&amp;"-"&amp;TEXT(DAY($A65),"00"))),"")</f>
        <v>58.99</v>
      </c>
      <c r="C65" s="3">
        <f>IFERROR(IF(_xlfn.MINIFS(history!$H:$H,history!$C:$C,"vivo",history!$D:$D,"control",history!$A:$A,YEAR($A65)&amp;"-"&amp;TEXT(MONTH($A65),"00")&amp;"-"&amp;TEXT(DAY($A65),"00"))=0,"",_xlfn.MINIFS(history!$H:$H,history!$C:$C,"vivo",history!$D:$D,"control",history!$A:$A,YEAR($A65)&amp;"-"&amp;TEXT(MONTH($A65),"00")&amp;"-"&amp;TEXT(DAY($A65),"00"))),"")</f>
        <v>59</v>
      </c>
      <c r="D65" s="3">
        <f>IFERROR(IF(_xlfn.MINIFS(history!$H:$H,history!$C:$C,"claro",history!$D:$D,"control",history!$A:$A,YEAR($A65)&amp;"-"&amp;TEXT(MONTH($A65),"00")&amp;"-"&amp;TEXT(DAY($A65),"00"))=0,"",_xlfn.MINIFS(history!$H:$H,history!$C:$C,"claro",history!$D:$D,"control",history!$A:$A,YEAR($A65)&amp;"-"&amp;TEXT(MONTH($A65),"00")&amp;"-"&amp;TEXT(DAY($A65),"00"))),"")</f>
        <v>59.9</v>
      </c>
      <c r="E65" s="3">
        <f>IFERROR(IF(_xlfn.MINIFS(history!$H:$H,history!$C:$C,"tim",history!$D:$D,"postpaid",history!$A:$A,YEAR($A65)&amp;"-"&amp;TEXT(MONTH($A65),"00")&amp;"-"&amp;TEXT(DAY($A65),"00"))=0,"",_xlfn.MINIFS(history!$H:$H,history!$C:$C,"tim",history!$D:$D,"postpaid",history!$A:$A,YEAR($A65)&amp;"-"&amp;TEXT(MONTH($A65),"00")&amp;"-"&amp;TEXT(DAY($A65),"00"))),"")</f>
        <v>119.99</v>
      </c>
      <c r="F65" s="3">
        <f>IFERROR(IF(_xlfn.MINIFS(history!$H:$H,history!$C:$C,"vivo",history!$D:$D,"postpaid",history!$A:$A,YEAR($A65)&amp;"-"&amp;TEXT(MONTH($A65),"00")&amp;"-"&amp;TEXT(DAY($A65),"00"))=0,"",_xlfn.MINIFS(history!$H:$H,history!$C:$C,"vivo",history!$D:$D,"postpaid",history!$A:$A,YEAR($A65)&amp;"-"&amp;TEXT(MONTH($A65),"00")&amp;"-"&amp;TEXT(DAY($A65),"00"))),"")</f>
        <v>150</v>
      </c>
      <c r="G65" s="3">
        <f>IFERROR(IF(_xlfn.MINIFS(history!$H:$H,history!$C:$C,"claro",history!$D:$D,"postpaid",history!$A:$A,YEAR($A65)&amp;"-"&amp;TEXT(MONTH($A65),"00")&amp;"-"&amp;TEXT(DAY($A65),"00"))=0,"",_xlfn.MINIFS(history!$H:$H,history!$C:$C,"claro",history!$D:$D,"postpaid",history!$A:$A,YEAR($A65)&amp;"-"&amp;TEXT(MONTH($A65),"00")&amp;"-"&amp;TEXT(DAY($A65),"00"))),"")</f>
        <v>124.9</v>
      </c>
      <c r="H65" s="3">
        <f>IFERROR(IF(_xlfn.MINIFS(history!$H:$H,history!$C:$C,"tim",history!$D:$D,"prepaid",history!$A:$A,YEAR($A65)&amp;"-"&amp;TEXT(MONTH($A65),"00")&amp;"-"&amp;TEXT(DAY($A65),"00"),history!$N:$N,"&gt;=28")=0,"",_xlfn.MINIFS(history!$H:$H,history!$C:$C,"tim",history!$D:$D,"prepaid",history!$A:$A,YEAR($A65)&amp;"-"&amp;TEXT(MONTH($A65),"00")&amp;"-"&amp;TEXT(DAY($A65),"00"),history!$N:$N,"&gt;=28")),"")</f>
        <v>30</v>
      </c>
      <c r="I65" s="3">
        <f>IFERROR(IF(_xlfn.MINIFS(history!$H:$H,history!$C:$C,"vivo",history!$D:$D,"prepaid",history!$A:$A,YEAR($A65)&amp;"-"&amp;TEXT(MONTH($A65),"00")&amp;"-"&amp;TEXT(DAY($A65),"00"),history!$N:$N,"&gt;=28")=0,"",_xlfn.MINIFS(history!$H:$H,history!$C:$C,"vivo",history!$D:$D,"prepaid",history!$A:$A,YEAR($A65)&amp;"-"&amp;TEXT(MONTH($A65),"00")&amp;"-"&amp;TEXT(DAY($A65),"00"),history!$N:$N,"&gt;=28")),"")</f>
        <v>30</v>
      </c>
      <c r="J65" s="3">
        <f>IFERROR(IF(_xlfn.MINIFS(history!$H:$H,history!$C:$C,"claro",history!$D:$D,"prepaid",history!$A:$A,YEAR($A65)&amp;"-"&amp;TEXT(MONTH($A65),"00")&amp;"-"&amp;TEXT(DAY($A65),"00"),history!$N:$N,"&gt;=28")=0,"",_xlfn.MINIFS(history!$H:$H,history!$C:$C,"claro",history!$D:$D,"prepaid",history!$A:$A,YEAR($A65)&amp;"-"&amp;TEXT(MONTH($A65),"00")&amp;"-"&amp;TEXT(DAY($A65),"00"),history!$N:$N,"&gt;=28")),"")</f>
        <v>30</v>
      </c>
      <c r="K65" s="3">
        <f>IFERROR(1/MAX(IFERROR(1/_xlfn.MINIFS(history!$H:$H,history!$C:$C,"tim",history!$D:$D,"lite",history!$A:$A,YEAR($A65)&amp;"-"&amp;TEXT(MONTH($A65),"00")&amp;"-"&amp;TEXT(DAY($A65),"00"),history!$S:$S,"&gt;0"),0),IFERROR(1/_xlfn.MINIFS(history!$H:$H,history!$C:$C,"tim",history!$D:$D,"flex",history!$A:$A,YEAR($A65)&amp;"-"&amp;TEXT(MONTH($A65),"00")&amp;"-"&amp;TEXT(DAY($A65),"00")),0),IFERROR(1/_xlfn.MINIFS(history!$H:$H,history!$C:$C,"tim",history!$D:$D,"fit",history!$A:$A,YEAR($A65)&amp;"-"&amp;TEXT(MONTH($A65),"00")&amp;"-"&amp;TEXT(DAY($A65),"00"),history!$S:$S,"="),0)),"")</f>
        <v>20</v>
      </c>
      <c r="L65" s="3">
        <f>IFERROR(1/MAX(IFERROR(1/_xlfn.MINIFS(history!$H:$H,history!$C:$C,"vivo",history!$D:$D,"lite",history!$A:$A,YEAR($A65)&amp;"-"&amp;TEXT(MONTH($A65),"00")&amp;"-"&amp;TEXT(DAY($A65),"00"),history!$S:$S,"&gt;0"),0),IFERROR(1/_xlfn.MINIFS(history!$H:$H,history!$C:$C,"vivo",history!$D:$D,"flex",history!$A:$A,YEAR($A65)&amp;"-"&amp;TEXT(MONTH($A65),"00")&amp;"-"&amp;TEXT(DAY($A65),"00")),0),IFERROR(1/_xlfn.MINIFS(history!$H:$H,history!$C:$C,"vivo",history!$D:$D,"fit",history!$A:$A,YEAR($A65)&amp;"-"&amp;TEXT(MONTH($A65),"00")&amp;"-"&amp;TEXT(DAY($A65),"00"),history!$S:$S,"="),0)),"")</f>
        <v>45</v>
      </c>
      <c r="M65" s="3">
        <f>IFERROR(1/MAX(IFERROR(1/_xlfn.MINIFS(history!$H:$H,history!$C:$C,"claro",history!$D:$D,"lite",history!$A:$A,YEAR($A65)&amp;"-"&amp;TEXT(MONTH($A65),"00")&amp;"-"&amp;TEXT(DAY($A65),"00"),history!$S:$S,"&gt;0"),0),IFERROR(1/_xlfn.MINIFS(history!$H:$H,history!$C:$C,"claro",history!$D:$D,"flex",history!$A:$A,YEAR($A65)&amp;"-"&amp;TEXT(MONTH($A65),"00")&amp;"-"&amp;TEXT(DAY($A65),"00")),0),IFERROR(1/_xlfn.MINIFS(history!$H:$H,history!$C:$C,"claro",history!$D:$D,"fit",history!$A:$A,YEAR($A65)&amp;"-"&amp;TEXT(MONTH($A65),"00")&amp;"-"&amp;TEXT(DAY($A65),"00"),history!$S:$S,"="),0)),"")</f>
        <v>44.9</v>
      </c>
    </row>
    <row r="66">
      <c r="A66" s="12" t="n">
        <v>46261</v>
      </c>
      <c r="B66" s="3">
        <f>IFERROR(IF(_xlfn.MINIFS(history!$H:$H,history!$C:$C,"tim",history!$D:$D,"control",history!$A:$A,YEAR($A66)&amp;"-"&amp;TEXT(MONTH($A66),"00")&amp;"-"&amp;TEXT(DAY($A66),"00"))=0,"",_xlfn.MINIFS(history!$H:$H,history!$C:$C,"tim",history!$D:$D,"control",history!$A:$A,YEAR($A66)&amp;"-"&amp;TEXT(MONTH($A66),"00")&amp;"-"&amp;TEXT(DAY($A66),"00"))),"")</f>
        <v>58.99</v>
      </c>
      <c r="C66" s="3">
        <f>IFERROR(IF(_xlfn.MINIFS(history!$H:$H,history!$C:$C,"vivo",history!$D:$D,"control",history!$A:$A,YEAR($A66)&amp;"-"&amp;TEXT(MONTH($A66),"00")&amp;"-"&amp;TEXT(DAY($A66),"00"))=0,"",_xlfn.MINIFS(history!$H:$H,history!$C:$C,"vivo",history!$D:$D,"control",history!$A:$A,YEAR($A66)&amp;"-"&amp;TEXT(MONTH($A66),"00")&amp;"-"&amp;TEXT(DAY($A66),"00"))),"")</f>
        <v>59</v>
      </c>
      <c r="D66" s="3">
        <f>IFERROR(IF(_xlfn.MINIFS(history!$H:$H,history!$C:$C,"claro",history!$D:$D,"control",history!$A:$A,YEAR($A66)&amp;"-"&amp;TEXT(MONTH($A66),"00")&amp;"-"&amp;TEXT(DAY($A66),"00"))=0,"",_xlfn.MINIFS(history!$H:$H,history!$C:$C,"claro",history!$D:$D,"control",history!$A:$A,YEAR($A66)&amp;"-"&amp;TEXT(MONTH($A66),"00")&amp;"-"&amp;TEXT(DAY($A66),"00"))),"")</f>
        <v>59.9</v>
      </c>
      <c r="E66" s="3">
        <f>IFERROR(IF(_xlfn.MINIFS(history!$H:$H,history!$C:$C,"tim",history!$D:$D,"postpaid",history!$A:$A,YEAR($A66)&amp;"-"&amp;TEXT(MONTH($A66),"00")&amp;"-"&amp;TEXT(DAY($A66),"00"))=0,"",_xlfn.MINIFS(history!$H:$H,history!$C:$C,"tim",history!$D:$D,"postpaid",history!$A:$A,YEAR($A66)&amp;"-"&amp;TEXT(MONTH($A66),"00")&amp;"-"&amp;TEXT(DAY($A66),"00"))),"")</f>
        <v>119.99</v>
      </c>
      <c r="F66" s="3">
        <f>IFERROR(IF(_xlfn.MINIFS(history!$H:$H,history!$C:$C,"vivo",history!$D:$D,"postpaid",history!$A:$A,YEAR($A66)&amp;"-"&amp;TEXT(MONTH($A66),"00")&amp;"-"&amp;TEXT(DAY($A66),"00"))=0,"",_xlfn.MINIFS(history!$H:$H,history!$C:$C,"vivo",history!$D:$D,"postpaid",history!$A:$A,YEAR($A66)&amp;"-"&amp;TEXT(MONTH($A66),"00")&amp;"-"&amp;TEXT(DAY($A66),"00"))),"")</f>
        <v>150</v>
      </c>
      <c r="G66" s="3">
        <f>IFERROR(IF(_xlfn.MINIFS(history!$H:$H,history!$C:$C,"claro",history!$D:$D,"postpaid",history!$A:$A,YEAR($A66)&amp;"-"&amp;TEXT(MONTH($A66),"00")&amp;"-"&amp;TEXT(DAY($A66),"00"))=0,"",_xlfn.MINIFS(history!$H:$H,history!$C:$C,"claro",history!$D:$D,"postpaid",history!$A:$A,YEAR($A66)&amp;"-"&amp;TEXT(MONTH($A66),"00")&amp;"-"&amp;TEXT(DAY($A66),"00"))),"")</f>
        <v>124.9</v>
      </c>
      <c r="H66" s="3">
        <f>IFERROR(IF(_xlfn.MINIFS(history!$H:$H,history!$C:$C,"tim",history!$D:$D,"prepaid",history!$A:$A,YEAR($A66)&amp;"-"&amp;TEXT(MONTH($A66),"00")&amp;"-"&amp;TEXT(DAY($A66),"00"),history!$N:$N,"&gt;=28")=0,"",_xlfn.MINIFS(history!$H:$H,history!$C:$C,"tim",history!$D:$D,"prepaid",history!$A:$A,YEAR($A66)&amp;"-"&amp;TEXT(MONTH($A66),"00")&amp;"-"&amp;TEXT(DAY($A66),"00"),history!$N:$N,"&gt;=28")),"")</f>
        <v>30</v>
      </c>
      <c r="I66" s="3">
        <f>IFERROR(IF(_xlfn.MINIFS(history!$H:$H,history!$C:$C,"vivo",history!$D:$D,"prepaid",history!$A:$A,YEAR($A66)&amp;"-"&amp;TEXT(MONTH($A66),"00")&amp;"-"&amp;TEXT(DAY($A66),"00"),history!$N:$N,"&gt;=28")=0,"",_xlfn.MINIFS(history!$H:$H,history!$C:$C,"vivo",history!$D:$D,"prepaid",history!$A:$A,YEAR($A66)&amp;"-"&amp;TEXT(MONTH($A66),"00")&amp;"-"&amp;TEXT(DAY($A66),"00"),history!$N:$N,"&gt;=28")),"")</f>
        <v>30</v>
      </c>
      <c r="J66" s="3">
        <f>IFERROR(IF(_xlfn.MINIFS(history!$H:$H,history!$C:$C,"claro",history!$D:$D,"prepaid",history!$A:$A,YEAR($A66)&amp;"-"&amp;TEXT(MONTH($A66),"00")&amp;"-"&amp;TEXT(DAY($A66),"00"),history!$N:$N,"&gt;=28")=0,"",_xlfn.MINIFS(history!$H:$H,history!$C:$C,"claro",history!$D:$D,"prepaid",history!$A:$A,YEAR($A66)&amp;"-"&amp;TEXT(MONTH($A66),"00")&amp;"-"&amp;TEXT(DAY($A66),"00"),history!$N:$N,"&gt;=28")),"")</f>
        <v>30</v>
      </c>
      <c r="K66" s="3">
        <f>IFERROR(1/MAX(IFERROR(1/_xlfn.MINIFS(history!$H:$H,history!$C:$C,"tim",history!$D:$D,"lite",history!$A:$A,YEAR($A66)&amp;"-"&amp;TEXT(MONTH($A66),"00")&amp;"-"&amp;TEXT(DAY($A66),"00"),history!$S:$S,"&gt;0"),0),IFERROR(1/_xlfn.MINIFS(history!$H:$H,history!$C:$C,"tim",history!$D:$D,"flex",history!$A:$A,YEAR($A66)&amp;"-"&amp;TEXT(MONTH($A66),"00")&amp;"-"&amp;TEXT(DAY($A66),"00")),0),IFERROR(1/_xlfn.MINIFS(history!$H:$H,history!$C:$C,"tim",history!$D:$D,"fit",history!$A:$A,YEAR($A66)&amp;"-"&amp;TEXT(MONTH($A66),"00")&amp;"-"&amp;TEXT(DAY($A66),"00"),history!$S:$S,"="),0)),"")</f>
        <v>20</v>
      </c>
      <c r="L66" s="3">
        <f>IFERROR(1/MAX(IFERROR(1/_xlfn.MINIFS(history!$H:$H,history!$C:$C,"vivo",history!$D:$D,"lite",history!$A:$A,YEAR($A66)&amp;"-"&amp;TEXT(MONTH($A66),"00")&amp;"-"&amp;TEXT(DAY($A66),"00"),history!$S:$S,"&gt;0"),0),IFERROR(1/_xlfn.MINIFS(history!$H:$H,history!$C:$C,"vivo",history!$D:$D,"flex",history!$A:$A,YEAR($A66)&amp;"-"&amp;TEXT(MONTH($A66),"00")&amp;"-"&amp;TEXT(DAY($A66),"00")),0),IFERROR(1/_xlfn.MINIFS(history!$H:$H,history!$C:$C,"vivo",history!$D:$D,"fit",history!$A:$A,YEAR($A66)&amp;"-"&amp;TEXT(MONTH($A66),"00")&amp;"-"&amp;TEXT(DAY($A66),"00"),history!$S:$S,"="),0)),"")</f>
        <v>45</v>
      </c>
      <c r="M66" s="3">
        <f>IFERROR(1/MAX(IFERROR(1/_xlfn.MINIFS(history!$H:$H,history!$C:$C,"claro",history!$D:$D,"lite",history!$A:$A,YEAR($A66)&amp;"-"&amp;TEXT(MONTH($A66),"00")&amp;"-"&amp;TEXT(DAY($A66),"00"),history!$S:$S,"&gt;0"),0),IFERROR(1/_xlfn.MINIFS(history!$H:$H,history!$C:$C,"claro",history!$D:$D,"flex",history!$A:$A,YEAR($A66)&amp;"-"&amp;TEXT(MONTH($A66),"00")&amp;"-"&amp;TEXT(DAY($A66),"00")),0),IFERROR(1/_xlfn.MINIFS(history!$H:$H,history!$C:$C,"claro",history!$D:$D,"fit",history!$A:$A,YEAR($A66)&amp;"-"&amp;TEXT(MONTH($A66),"00")&amp;"-"&amp;TEXT(DAY($A66),"00"),history!$S:$S,"="),0)),"")</f>
        <v>44.9</v>
      </c>
    </row>
    <row r="67">
      <c r="A67" s="12" t="n">
        <v>46262</v>
      </c>
      <c r="B67" s="3">
        <f>IFERROR(IF(_xlfn.MINIFS(history!$H:$H,history!$C:$C,"tim",history!$D:$D,"control",history!$A:$A,YEAR($A67)&amp;"-"&amp;TEXT(MONTH($A67),"00")&amp;"-"&amp;TEXT(DAY($A67),"00"))=0,"",_xlfn.MINIFS(history!$H:$H,history!$C:$C,"tim",history!$D:$D,"control",history!$A:$A,YEAR($A67)&amp;"-"&amp;TEXT(MONTH($A67),"00")&amp;"-"&amp;TEXT(DAY($A67),"00"))),"")</f>
        <v>58.99</v>
      </c>
      <c r="C67" s="3">
        <f>IFERROR(IF(_xlfn.MINIFS(history!$H:$H,history!$C:$C,"vivo",history!$D:$D,"control",history!$A:$A,YEAR($A67)&amp;"-"&amp;TEXT(MONTH($A67),"00")&amp;"-"&amp;TEXT(DAY($A67),"00"))=0,"",_xlfn.MINIFS(history!$H:$H,history!$C:$C,"vivo",history!$D:$D,"control",history!$A:$A,YEAR($A67)&amp;"-"&amp;TEXT(MONTH($A67),"00")&amp;"-"&amp;TEXT(DAY($A67),"00"))),"")</f>
        <v>59</v>
      </c>
      <c r="D67" s="3">
        <f>IFERROR(IF(_xlfn.MINIFS(history!$H:$H,history!$C:$C,"claro",history!$D:$D,"control",history!$A:$A,YEAR($A67)&amp;"-"&amp;TEXT(MONTH($A67),"00")&amp;"-"&amp;TEXT(DAY($A67),"00"))=0,"",_xlfn.MINIFS(history!$H:$H,history!$C:$C,"claro",history!$D:$D,"control",history!$A:$A,YEAR($A67)&amp;"-"&amp;TEXT(MONTH($A67),"00")&amp;"-"&amp;TEXT(DAY($A67),"00"))),"")</f>
        <v>59.9</v>
      </c>
      <c r="E67" s="3">
        <f>IFERROR(IF(_xlfn.MINIFS(history!$H:$H,history!$C:$C,"tim",history!$D:$D,"postpaid",history!$A:$A,YEAR($A67)&amp;"-"&amp;TEXT(MONTH($A67),"00")&amp;"-"&amp;TEXT(DAY($A67),"00"))=0,"",_xlfn.MINIFS(history!$H:$H,history!$C:$C,"tim",history!$D:$D,"postpaid",history!$A:$A,YEAR($A67)&amp;"-"&amp;TEXT(MONTH($A67),"00")&amp;"-"&amp;TEXT(DAY($A67),"00"))),"")</f>
        <v>119.99</v>
      </c>
      <c r="F67" s="3">
        <f>IFERROR(IF(_xlfn.MINIFS(history!$H:$H,history!$C:$C,"vivo",history!$D:$D,"postpaid",history!$A:$A,YEAR($A67)&amp;"-"&amp;TEXT(MONTH($A67),"00")&amp;"-"&amp;TEXT(DAY($A67),"00"))=0,"",_xlfn.MINIFS(history!$H:$H,history!$C:$C,"vivo",history!$D:$D,"postpaid",history!$A:$A,YEAR($A67)&amp;"-"&amp;TEXT(MONTH($A67),"00")&amp;"-"&amp;TEXT(DAY($A67),"00"))),"")</f>
        <v>150</v>
      </c>
      <c r="G67" s="3">
        <f>IFERROR(IF(_xlfn.MINIFS(history!$H:$H,history!$C:$C,"claro",history!$D:$D,"postpaid",history!$A:$A,YEAR($A67)&amp;"-"&amp;TEXT(MONTH($A67),"00")&amp;"-"&amp;TEXT(DAY($A67),"00"))=0,"",_xlfn.MINIFS(history!$H:$H,history!$C:$C,"claro",history!$D:$D,"postpaid",history!$A:$A,YEAR($A67)&amp;"-"&amp;TEXT(MONTH($A67),"00")&amp;"-"&amp;TEXT(DAY($A67),"00"))),"")</f>
        <v>124.9</v>
      </c>
      <c r="H67" s="3">
        <f>IFERROR(IF(_xlfn.MINIFS(history!$H:$H,history!$C:$C,"tim",history!$D:$D,"prepaid",history!$A:$A,YEAR($A67)&amp;"-"&amp;TEXT(MONTH($A67),"00")&amp;"-"&amp;TEXT(DAY($A67),"00"),history!$N:$N,"&gt;=28")=0,"",_xlfn.MINIFS(history!$H:$H,history!$C:$C,"tim",history!$D:$D,"prepaid",history!$A:$A,YEAR($A67)&amp;"-"&amp;TEXT(MONTH($A67),"00")&amp;"-"&amp;TEXT(DAY($A67),"00"),history!$N:$N,"&gt;=28")),"")</f>
        <v>30</v>
      </c>
      <c r="I67" s="3">
        <f>IFERROR(IF(_xlfn.MINIFS(history!$H:$H,history!$C:$C,"vivo",history!$D:$D,"prepaid",history!$A:$A,YEAR($A67)&amp;"-"&amp;TEXT(MONTH($A67),"00")&amp;"-"&amp;TEXT(DAY($A67),"00"),history!$N:$N,"&gt;=28")=0,"",_xlfn.MINIFS(history!$H:$H,history!$C:$C,"vivo",history!$D:$D,"prepaid",history!$A:$A,YEAR($A67)&amp;"-"&amp;TEXT(MONTH($A67),"00")&amp;"-"&amp;TEXT(DAY($A67),"00"),history!$N:$N,"&gt;=28")),"")</f>
        <v>30</v>
      </c>
      <c r="J67" s="3">
        <f>IFERROR(IF(_xlfn.MINIFS(history!$H:$H,history!$C:$C,"claro",history!$D:$D,"prepaid",history!$A:$A,YEAR($A67)&amp;"-"&amp;TEXT(MONTH($A67),"00")&amp;"-"&amp;TEXT(DAY($A67),"00"),history!$N:$N,"&gt;=28")=0,"",_xlfn.MINIFS(history!$H:$H,history!$C:$C,"claro",history!$D:$D,"prepaid",history!$A:$A,YEAR($A67)&amp;"-"&amp;TEXT(MONTH($A67),"00")&amp;"-"&amp;TEXT(DAY($A67),"00"),history!$N:$N,"&gt;=28")),"")</f>
        <v>30</v>
      </c>
      <c r="K67" s="3">
        <f>IFERROR(1/MAX(IFERROR(1/_xlfn.MINIFS(history!$H:$H,history!$C:$C,"tim",history!$D:$D,"lite",history!$A:$A,YEAR($A67)&amp;"-"&amp;TEXT(MONTH($A67),"00")&amp;"-"&amp;TEXT(DAY($A67),"00"),history!$S:$S,"&gt;0"),0),IFERROR(1/_xlfn.MINIFS(history!$H:$H,history!$C:$C,"tim",history!$D:$D,"flex",history!$A:$A,YEAR($A67)&amp;"-"&amp;TEXT(MONTH($A67),"00")&amp;"-"&amp;TEXT(DAY($A67),"00")),0),IFERROR(1/_xlfn.MINIFS(history!$H:$H,history!$C:$C,"tim",history!$D:$D,"fit",history!$A:$A,YEAR($A67)&amp;"-"&amp;TEXT(MONTH($A67),"00")&amp;"-"&amp;TEXT(DAY($A67),"00"),history!$S:$S,"="),0)),"")</f>
        <v>20</v>
      </c>
      <c r="L67" s="3">
        <f>IFERROR(1/MAX(IFERROR(1/_xlfn.MINIFS(history!$H:$H,history!$C:$C,"vivo",history!$D:$D,"lite",history!$A:$A,YEAR($A67)&amp;"-"&amp;TEXT(MONTH($A67),"00")&amp;"-"&amp;TEXT(DAY($A67),"00"),history!$S:$S,"&gt;0"),0),IFERROR(1/_xlfn.MINIFS(history!$H:$H,history!$C:$C,"vivo",history!$D:$D,"flex",history!$A:$A,YEAR($A67)&amp;"-"&amp;TEXT(MONTH($A67),"00")&amp;"-"&amp;TEXT(DAY($A67),"00")),0),IFERROR(1/_xlfn.MINIFS(history!$H:$H,history!$C:$C,"vivo",history!$D:$D,"fit",history!$A:$A,YEAR($A67)&amp;"-"&amp;TEXT(MONTH($A67),"00")&amp;"-"&amp;TEXT(DAY($A67),"00"),history!$S:$S,"="),0)),"")</f>
        <v>45</v>
      </c>
      <c r="M67" s="3">
        <f>IFERROR(1/MAX(IFERROR(1/_xlfn.MINIFS(history!$H:$H,history!$C:$C,"claro",history!$D:$D,"lite",history!$A:$A,YEAR($A67)&amp;"-"&amp;TEXT(MONTH($A67),"00")&amp;"-"&amp;TEXT(DAY($A67),"00"),history!$S:$S,"&gt;0"),0),IFERROR(1/_xlfn.MINIFS(history!$H:$H,history!$C:$C,"claro",history!$D:$D,"flex",history!$A:$A,YEAR($A67)&amp;"-"&amp;TEXT(MONTH($A67),"00")&amp;"-"&amp;TEXT(DAY($A67),"00")),0),IFERROR(1/_xlfn.MINIFS(history!$H:$H,history!$C:$C,"claro",history!$D:$D,"fit",history!$A:$A,YEAR($A67)&amp;"-"&amp;TEXT(MONTH($A67),"00")&amp;"-"&amp;TEXT(DAY($A67),"00"),history!$S:$S,"="),0)),"")</f>
        <v>44.9</v>
      </c>
    </row>
    <row r="68">
      <c r="A68" s="12" t="n">
        <v>46263</v>
      </c>
      <c r="B68" s="3">
        <f>IFERROR(IF(_xlfn.MINIFS(history!$H:$H,history!$C:$C,"tim",history!$D:$D,"control",history!$A:$A,YEAR($A68)&amp;"-"&amp;TEXT(MONTH($A68),"00")&amp;"-"&amp;TEXT(DAY($A68),"00"))=0,"",_xlfn.MINIFS(history!$H:$H,history!$C:$C,"tim",history!$D:$D,"control",history!$A:$A,YEAR($A68)&amp;"-"&amp;TEXT(MONTH($A68),"00")&amp;"-"&amp;TEXT(DAY($A68),"00"))),"")</f>
        <v>49.99</v>
      </c>
      <c r="C68" s="3">
        <f>IFERROR(IF(_xlfn.MINIFS(history!$H:$H,history!$C:$C,"vivo",history!$D:$D,"control",history!$A:$A,YEAR($A68)&amp;"-"&amp;TEXT(MONTH($A68),"00")&amp;"-"&amp;TEXT(DAY($A68),"00"))=0,"",_xlfn.MINIFS(history!$H:$H,history!$C:$C,"vivo",history!$D:$D,"control",history!$A:$A,YEAR($A68)&amp;"-"&amp;TEXT(MONTH($A68),"00")&amp;"-"&amp;TEXT(DAY($A68),"00"))),"")</f>
        <v>59</v>
      </c>
      <c r="D68" s="3">
        <f>IFERROR(IF(_xlfn.MINIFS(history!$H:$H,history!$C:$C,"claro",history!$D:$D,"control",history!$A:$A,YEAR($A68)&amp;"-"&amp;TEXT(MONTH($A68),"00")&amp;"-"&amp;TEXT(DAY($A68),"00"))=0,"",_xlfn.MINIFS(history!$H:$H,history!$C:$C,"claro",history!$D:$D,"control",history!$A:$A,YEAR($A68)&amp;"-"&amp;TEXT(MONTH($A68),"00")&amp;"-"&amp;TEXT(DAY($A68),"00"))),"")</f>
        <v>59.9</v>
      </c>
      <c r="E68" s="3">
        <f>IFERROR(IF(_xlfn.MINIFS(history!$H:$H,history!$C:$C,"tim",history!$D:$D,"postpaid",history!$A:$A,YEAR($A68)&amp;"-"&amp;TEXT(MONTH($A68),"00")&amp;"-"&amp;TEXT(DAY($A68),"00"))=0,"",_xlfn.MINIFS(history!$H:$H,history!$C:$C,"tim",history!$D:$D,"postpaid",history!$A:$A,YEAR($A68)&amp;"-"&amp;TEXT(MONTH($A68),"00")&amp;"-"&amp;TEXT(DAY($A68),"00"))),"")</f>
        <v>129.99</v>
      </c>
      <c r="F68" s="3">
        <f>IFERROR(IF(_xlfn.MINIFS(history!$H:$H,history!$C:$C,"vivo",history!$D:$D,"postpaid",history!$A:$A,YEAR($A68)&amp;"-"&amp;TEXT(MONTH($A68),"00")&amp;"-"&amp;TEXT(DAY($A68),"00"))=0,"",_xlfn.MINIFS(history!$H:$H,history!$C:$C,"vivo",history!$D:$D,"postpaid",history!$A:$A,YEAR($A68)&amp;"-"&amp;TEXT(MONTH($A68),"00")&amp;"-"&amp;TEXT(DAY($A68),"00"))),"")</f>
        <v>150</v>
      </c>
      <c r="G68" s="3">
        <f>IFERROR(IF(_xlfn.MINIFS(history!$H:$H,history!$C:$C,"claro",history!$D:$D,"postpaid",history!$A:$A,YEAR($A68)&amp;"-"&amp;TEXT(MONTH($A68),"00")&amp;"-"&amp;TEXT(DAY($A68),"00"))=0,"",_xlfn.MINIFS(history!$H:$H,history!$C:$C,"claro",history!$D:$D,"postpaid",history!$A:$A,YEAR($A68)&amp;"-"&amp;TEXT(MONTH($A68),"00")&amp;"-"&amp;TEXT(DAY($A68),"00"))),"")</f>
        <v>124.9</v>
      </c>
      <c r="H68" s="3">
        <f>IFERROR(IF(_xlfn.MINIFS(history!$H:$H,history!$C:$C,"tim",history!$D:$D,"prepaid",history!$A:$A,YEAR($A68)&amp;"-"&amp;TEXT(MONTH($A68),"00")&amp;"-"&amp;TEXT(DAY($A68),"00"),history!$N:$N,"&gt;=28")=0,"",_xlfn.MINIFS(history!$H:$H,history!$C:$C,"tim",history!$D:$D,"prepaid",history!$A:$A,YEAR($A68)&amp;"-"&amp;TEXT(MONTH($A68),"00")&amp;"-"&amp;TEXT(DAY($A68),"00"),history!$N:$N,"&gt;=28")),"")</f>
        <v>30</v>
      </c>
      <c r="I68" s="3">
        <f>IFERROR(IF(_xlfn.MINIFS(history!$H:$H,history!$C:$C,"vivo",history!$D:$D,"prepaid",history!$A:$A,YEAR($A68)&amp;"-"&amp;TEXT(MONTH($A68),"00")&amp;"-"&amp;TEXT(DAY($A68),"00"),history!$N:$N,"&gt;=28")=0,"",_xlfn.MINIFS(history!$H:$H,history!$C:$C,"vivo",history!$D:$D,"prepaid",history!$A:$A,YEAR($A68)&amp;"-"&amp;TEXT(MONTH($A68),"00")&amp;"-"&amp;TEXT(DAY($A68),"00"),history!$N:$N,"&gt;=28")),"")</f>
        <v>30</v>
      </c>
      <c r="J68" s="3">
        <f>IFERROR(IF(_xlfn.MINIFS(history!$H:$H,history!$C:$C,"claro",history!$D:$D,"prepaid",history!$A:$A,YEAR($A68)&amp;"-"&amp;TEXT(MONTH($A68),"00")&amp;"-"&amp;TEXT(DAY($A68),"00"),history!$N:$N,"&gt;=28")=0,"",_xlfn.MINIFS(history!$H:$H,history!$C:$C,"claro",history!$D:$D,"prepaid",history!$A:$A,YEAR($A68)&amp;"-"&amp;TEXT(MONTH($A68),"00")&amp;"-"&amp;TEXT(DAY($A68),"00"),history!$N:$N,"&gt;=28")),"")</f>
        <v>30</v>
      </c>
      <c r="K68" s="3">
        <f>IFERROR(1/MAX(IFERROR(1/_xlfn.MINIFS(history!$H:$H,history!$C:$C,"tim",history!$D:$D,"lite",history!$A:$A,YEAR($A68)&amp;"-"&amp;TEXT(MONTH($A68),"00")&amp;"-"&amp;TEXT(DAY($A68),"00"),history!$S:$S,"&gt;0"),0),IFERROR(1/_xlfn.MINIFS(history!$H:$H,history!$C:$C,"tim",history!$D:$D,"flex",history!$A:$A,YEAR($A68)&amp;"-"&amp;TEXT(MONTH($A68),"00")&amp;"-"&amp;TEXT(DAY($A68),"00")),0),IFERROR(1/_xlfn.MINIFS(history!$H:$H,history!$C:$C,"tim",history!$D:$D,"fit",history!$A:$A,YEAR($A68)&amp;"-"&amp;TEXT(MONTH($A68),"00")&amp;"-"&amp;TEXT(DAY($A68),"00"),history!$S:$S,"="),0)),"")</f>
        <v>20</v>
      </c>
      <c r="L68" s="3">
        <f>IFERROR(1/MAX(IFERROR(1/_xlfn.MINIFS(history!$H:$H,history!$C:$C,"vivo",history!$D:$D,"lite",history!$A:$A,YEAR($A68)&amp;"-"&amp;TEXT(MONTH($A68),"00")&amp;"-"&amp;TEXT(DAY($A68),"00"),history!$S:$S,"&gt;0"),0),IFERROR(1/_xlfn.MINIFS(history!$H:$H,history!$C:$C,"vivo",history!$D:$D,"flex",history!$A:$A,YEAR($A68)&amp;"-"&amp;TEXT(MONTH($A68),"00")&amp;"-"&amp;TEXT(DAY($A68),"00")),0),IFERROR(1/_xlfn.MINIFS(history!$H:$H,history!$C:$C,"vivo",history!$D:$D,"fit",history!$A:$A,YEAR($A68)&amp;"-"&amp;TEXT(MONTH($A68),"00")&amp;"-"&amp;TEXT(DAY($A68),"00"),history!$S:$S,"="),0)),"")</f>
        <v>45</v>
      </c>
      <c r="M68" s="3">
        <f>IFERROR(1/MAX(IFERROR(1/_xlfn.MINIFS(history!$H:$H,history!$C:$C,"claro",history!$D:$D,"lite",history!$A:$A,YEAR($A68)&amp;"-"&amp;TEXT(MONTH($A68),"00")&amp;"-"&amp;TEXT(DAY($A68),"00"),history!$S:$S,"&gt;0"),0),IFERROR(1/_xlfn.MINIFS(history!$H:$H,history!$C:$C,"claro",history!$D:$D,"flex",history!$A:$A,YEAR($A68)&amp;"-"&amp;TEXT(MONTH($A68),"00")&amp;"-"&amp;TEXT(DAY($A68),"00")),0),IFERROR(1/_xlfn.MINIFS(history!$H:$H,history!$C:$C,"claro",history!$D:$D,"fit",history!$A:$A,YEAR($A68)&amp;"-"&amp;TEXT(MONTH($A68),"00")&amp;"-"&amp;TEXT(DAY($A68),"00"),history!$S:$S,"="),0)),"")</f>
        <v>44.9</v>
      </c>
    </row>
    <row r="70">
      <c r="A70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71">
      <c r="A71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68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68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68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68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IF('comparison'!B68="",NA(),'comparison'!B68)</f>
        <v/>
      </c>
      <c r="R38" s="10">
        <f>IF('comparison'!C68="",NA(),'comparison'!C68)</f>
        <v/>
      </c>
      <c r="S38" s="10">
        <f>IF('comparison'!D68="",NA(),'comparison'!D68)</f>
        <v/>
      </c>
    </row>
    <row r="39">
      <c r="P39" s="2" t="inlineStr">
        <is>
          <t>Post</t>
        </is>
      </c>
      <c r="Q39" s="10">
        <f>IF('comparison'!E68="",NA(),'comparison'!E68)</f>
        <v/>
      </c>
      <c r="R39" s="10">
        <f>IF('comparison'!F68="",NA(),'comparison'!F68)</f>
        <v/>
      </c>
      <c r="S39" s="10">
        <f>IF('comparison'!G68="",NA(),'comparison'!G68)</f>
        <v/>
      </c>
    </row>
    <row r="40">
      <c r="P40" s="2" t="inlineStr">
        <is>
          <t>Pre</t>
        </is>
      </c>
      <c r="Q40" s="10">
        <f>IF('comparison'!H68="",NA(),'comparison'!H68)</f>
        <v/>
      </c>
      <c r="R40" s="10">
        <f>IF('comparison'!I68="",NA(),'comparison'!I68)</f>
        <v/>
      </c>
      <c r="S40" s="10">
        <f>IF('comparison'!J68="",NA(),'comparison'!J68)</f>
        <v/>
      </c>
    </row>
    <row r="41">
      <c r="P41" s="2" t="inlineStr">
        <is>
          <t>Digital</t>
        </is>
      </c>
      <c r="Q41" s="10">
        <f>IF('comparison'!K68="",NA(),'comparison'!K68)</f>
        <v/>
      </c>
      <c r="R41" s="10">
        <f>IF('comparison'!L68="",NA(),'comparison'!L68)</f>
        <v/>
      </c>
      <c r="S41" s="10">
        <f>IF('comparison'!M68="",NA(),'comparison'!M68)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129.99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70GB (70GB)</t>
        </is>
      </c>
    </row>
    <row r="6">
      <c r="A6" s="5" t="n">
        <v>2</v>
      </c>
      <c r="B6" s="6" t="n">
        <v>165</v>
      </c>
      <c r="C6" s="6" t="n">
        <v>164.9</v>
      </c>
      <c r="D6" s="6" t="n">
        <v>144.99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B Express 82GB (82GB)</t>
        </is>
      </c>
    </row>
    <row r="7">
      <c r="A7" s="2" t="n">
        <v>3</v>
      </c>
      <c r="B7" s="3" t="n">
        <v>165</v>
      </c>
      <c r="C7" s="3" t="n">
        <v>179.9</v>
      </c>
      <c r="D7" s="3" t="n">
        <v>149.99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Plus 80GB (80GB)</t>
        </is>
      </c>
    </row>
    <row r="8">
      <c r="A8" s="5" t="n">
        <v>4</v>
      </c>
      <c r="B8" s="6" t="n">
        <v>180</v>
      </c>
      <c r="C8" s="6" t="n">
        <v>239.9</v>
      </c>
      <c r="D8" s="6" t="n">
        <v>159.99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Premium 110GB (110GB)</t>
        </is>
      </c>
    </row>
    <row r="9">
      <c r="A9" s="2" t="n">
        <v>5</v>
      </c>
      <c r="B9" s="3" t="n">
        <v>180</v>
      </c>
      <c r="C9" s="3" t="n">
        <v>339.9</v>
      </c>
      <c r="D9" s="3" t="n">
        <v>164.99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Express 107GB (107GB)</t>
        </is>
      </c>
    </row>
    <row r="10">
      <c r="A10" s="5" t="n">
        <v>6</v>
      </c>
      <c r="B10" s="6" t="n">
        <v>180</v>
      </c>
      <c r="C10" s="15" t="n"/>
      <c r="D10" s="15" t="n"/>
      <c r="E10" s="5" t="inlineStr">
        <is>
          <t>Vivo Pós com Premiere (60GB)</t>
        </is>
      </c>
      <c r="F10" s="15" t="n"/>
      <c r="G10" s="15" t="n"/>
    </row>
    <row r="11">
      <c r="A11" s="2" t="n">
        <v>7</v>
      </c>
      <c r="B11" s="3" t="n">
        <v>215</v>
      </c>
      <c r="E11" s="2" t="inlineStr">
        <is>
          <t>Vivo Pós com Travel (70GB)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49.99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75</v>
      </c>
      <c r="C20" s="6" t="n">
        <v>69.90000000000001</v>
      </c>
      <c r="D20" s="6" t="n">
        <v>59.99</v>
      </c>
      <c r="E20" s="5" t="inlineStr">
        <is>
          <t>Vivo Controle (50GB)</t>
        </is>
      </c>
      <c r="F20" s="5" t="inlineStr">
        <is>
          <t>Controle 30GB (30GB)</t>
        </is>
      </c>
      <c r="G20" s="5" t="inlineStr">
        <is>
          <t>TIM Controle Redes Sociais 46GB (46GB)</t>
        </is>
      </c>
    </row>
    <row r="21">
      <c r="A21" s="2" t="n">
        <v>3</v>
      </c>
      <c r="B21" s="3" t="n">
        <v>85</v>
      </c>
      <c r="C21" s="3" t="n">
        <v>99.90000000000001</v>
      </c>
      <c r="D21" s="3" t="n">
        <v>60.99</v>
      </c>
      <c r="E21" s="2" t="inlineStr">
        <is>
          <t>Vivo Controle Educação (50GB)</t>
        </is>
      </c>
      <c r="F21" s="2" t="inlineStr">
        <is>
          <t>Controle 30GB (30GB)</t>
        </is>
      </c>
      <c r="G21" s="2" t="inlineStr">
        <is>
          <t>TIM Controle Light Express 45GB (45GB)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Música (50GB)</t>
        </is>
      </c>
      <c r="F22" s="15" t="n"/>
      <c r="G22" s="5" t="inlineStr">
        <is>
          <t>TIM Controle Pro Express 46GB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Saúde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(50GB)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(50GB)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(50GB)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6 meses grátis de Gemini com AI Plus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12 meses grátis de Gemini com AI Plus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12 meses grátis de Gemini com AI Plus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12 meses grátis de Gemini com AI Plus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12 meses grátis de Gemini com AI Plus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6 meses grátis de Gemini com AI Plus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50 GB (20 GB de franquia 30 GB de bônus)</t>
        </is>
      </c>
      <c r="E16" s="5" t="n"/>
      <c r="F16" s="5" t="n"/>
      <c r="G16" s="5" t="n"/>
      <c r="H16" s="5" t="inlineStr">
        <is>
          <t>6 meses grátis de Gemini com AI Plus · preço-base do plano; a tela exibia R$ 80 com o adicional pré-selecionado (+R$ 5/mês, opcional); 60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60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Assinatura Youtube Premium Lite Inclusa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60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n"/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70GB</t>
        </is>
      </c>
      <c r="B3" s="3" t="n">
        <v>129.99</v>
      </c>
      <c r="C3" s="3" t="n"/>
      <c r="D3" s="2" t="inlineStr">
        <is>
          <t>70 GB</t>
        </is>
      </c>
      <c r="E3" s="2" t="n"/>
      <c r="F3" s="2" t="n"/>
      <c r="G3" s="2" t="n"/>
      <c r="H3" s="2" t="n"/>
    </row>
    <row r="4">
      <c r="A4" s="5" t="inlineStr">
        <is>
          <t>TIM Black B Express 82GB</t>
        </is>
      </c>
      <c r="B4" s="6" t="n">
        <v>144.99</v>
      </c>
      <c r="C4" s="6" t="n"/>
      <c r="D4" s="5" t="inlineStr">
        <is>
          <t>82 GB</t>
        </is>
      </c>
      <c r="E4" s="5" t="n"/>
      <c r="F4" s="5" t="n"/>
      <c r="G4" s="5" t="n"/>
      <c r="H4" s="5" t="n"/>
    </row>
    <row r="5">
      <c r="A5" s="2" t="inlineStr">
        <is>
          <t>TIM Black Plus 80GB</t>
        </is>
      </c>
      <c r="B5" s="3" t="n">
        <v>149.99</v>
      </c>
      <c r="C5" s="3" t="n"/>
      <c r="D5" s="2" t="inlineStr">
        <is>
          <t>80 GB</t>
        </is>
      </c>
      <c r="E5" s="2" t="n"/>
      <c r="F5" s="2" t="n"/>
      <c r="G5" s="2" t="n"/>
      <c r="H5" s="2" t="n"/>
    </row>
    <row r="6">
      <c r="A6" s="5" t="inlineStr">
        <is>
          <t>TIM Black Premium 110GB</t>
        </is>
      </c>
      <c r="B6" s="6" t="n">
        <v>159.99</v>
      </c>
      <c r="C6" s="6" t="n"/>
      <c r="D6" s="5" t="inlineStr">
        <is>
          <t>110 GB</t>
        </is>
      </c>
      <c r="E6" s="5" t="n"/>
      <c r="F6" s="5" t="n"/>
      <c r="G6" s="5" t="n"/>
      <c r="H6" s="5" t="n"/>
    </row>
    <row r="7">
      <c r="A7" s="2" t="inlineStr">
        <is>
          <t>TIM Black C Express 107GB</t>
        </is>
      </c>
      <c r="B7" s="3" t="n">
        <v>164.99</v>
      </c>
      <c r="C7" s="3" t="n"/>
      <c r="D7" s="2" t="inlineStr">
        <is>
          <t>107 GB</t>
        </is>
      </c>
      <c r="E7" s="2" t="n"/>
      <c r="F7" s="2" t="n"/>
      <c r="G7" s="2" t="n"/>
      <c r="H7" s="2" t="n"/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TIM Controle 45GB</t>
        </is>
      </c>
      <c r="B9" s="3" t="n">
        <v>49.99</v>
      </c>
      <c r="C9" s="3" t="n"/>
      <c r="D9" s="2" t="inlineStr">
        <is>
          <t>45 GB</t>
        </is>
      </c>
      <c r="E9" s="2" t="n"/>
      <c r="F9" s="2" t="n"/>
      <c r="G9" s="2" t="n"/>
      <c r="H9" s="2" t="n"/>
    </row>
    <row r="10">
      <c r="A10" s="5" t="inlineStr">
        <is>
          <t>TIM Controle Redes Sociais 46GB</t>
        </is>
      </c>
      <c r="B10" s="6" t="n">
        <v>59.99</v>
      </c>
      <c r="C10" s="6" t="n"/>
      <c r="D10" s="5" t="inlineStr">
        <is>
          <t>46 GB</t>
        </is>
      </c>
      <c r="E10" s="5" t="n"/>
      <c r="F10" s="5" t="n"/>
      <c r="G10" s="5" t="n"/>
      <c r="H10" s="5" t="n"/>
    </row>
    <row r="11">
      <c r="A11" s="2" t="inlineStr">
        <is>
          <t>TIM Controle Light Express 45GB</t>
        </is>
      </c>
      <c r="B11" s="3" t="n">
        <v>60.99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Pro Express 46GB</t>
        </is>
      </c>
      <c r="B12" s="6" t="n">
        <v>64.98999999999999</v>
      </c>
      <c r="C12" s="6" t="n"/>
      <c r="D12" s="5" t="inlineStr">
        <is>
          <t>46 GB</t>
        </is>
      </c>
      <c r="E12" s="5" t="n"/>
      <c r="F12" s="5" t="n"/>
      <c r="G12" s="5" t="n"/>
      <c r="H12" s="5" t="n"/>
    </row>
    <row r="13">
      <c r="A13" s="2" t="inlineStr">
        <is>
          <t>TIM Controle Premium 55GB</t>
        </is>
      </c>
      <c r="B13" s="3" t="n">
        <v>69.98999999999999</v>
      </c>
      <c r="C13" s="3" t="n"/>
      <c r="D13" s="2" t="inlineStr">
        <is>
          <t>55 GB</t>
        </is>
      </c>
      <c r="E13" s="2" t="n"/>
      <c r="F13" s="2" t="n"/>
      <c r="G13" s="2" t="n"/>
      <c r="H13" s="2" t="n"/>
    </row>
    <row r="14">
      <c r="A14" s="16" t="inlineStr">
        <is>
          <t>Digital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TIM Controle Fit Anual 1.0</t>
        </is>
      </c>
      <c r="B15" s="3" t="n">
        <v>20</v>
      </c>
      <c r="C15" s="3" t="n"/>
      <c r="D15" s="2" t="inlineStr">
        <is>
          <t>25 GB</t>
        </is>
      </c>
      <c r="E15" s="2" t="n"/>
      <c r="F15" s="2" t="n"/>
      <c r="G15" s="2" t="n"/>
      <c r="H15" s="2" t="inlineStr">
        <is>
          <t>plano anual 12x no cartão de crédito; a etiqueta TIM informa 'sem prazo de permanência'</t>
        </is>
      </c>
    </row>
    <row r="16">
      <c r="A16" s="5" t="inlineStr">
        <is>
          <t>TIM Controle Fit Mensal 1.0</t>
        </is>
      </c>
      <c r="B16" s="6" t="n">
        <v>20</v>
      </c>
      <c r="C16" s="6" t="n"/>
      <c r="D16" s="5" t="inlineStr">
        <is>
          <t>20 GB</t>
        </is>
      </c>
      <c r="E16" s="5" t="n"/>
      <c r="F16" s="5" t="n"/>
      <c r="G16" s="5" t="n"/>
      <c r="H16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7">
      <c r="A17" s="2" t="inlineStr">
        <is>
          <t>TIM Controle Fit Anual 2.0</t>
        </is>
      </c>
      <c r="B17" s="3" t="n">
        <v>30</v>
      </c>
      <c r="C17" s="3" t="n"/>
      <c r="D17" s="2" t="inlineStr">
        <is>
          <t>35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2.0</t>
        </is>
      </c>
      <c r="B18" s="6" t="n">
        <v>45</v>
      </c>
      <c r="C18" s="6" t="n"/>
      <c r="D18" s="5" t="inlineStr">
        <is>
          <t>35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64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2026-08-22T18:17:41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2026-08-22T18:17:41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2026-08-22T18:17:41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2026-08-22T18:17:41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2026-08-22T18:17:41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2026-08-22T18:17:41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2026-08-22T18:17:41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2026-08-22T18:17:41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2026-08-22T18:17:41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2026-08-22T18:17:41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2026-08-22T18:17:41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2026-08-22T18:17:41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2026-08-22T18:17:41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2026-08-22T18:17:41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2026-08-22T18:17:41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2026-08-22T18:17:41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2026-08-22T18:17:41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2026-08-22T18:17:41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2026-08-22T18:17:41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2026-08-22T18:17:41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2026-08-22T18:17:41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2026-08-22T18:17:41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2026-08-22T18:17:41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2026-08-22T18:17:41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2026-08-22T18:17:41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2026-08-22T18:17:41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2026-08-22T18:17:41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2026-08-22T18:17:41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  <row r="447">
      <c r="A447" s="5" t="inlineStr">
        <is>
          <t>2026-08-23</t>
        </is>
      </c>
      <c r="B447" s="5" t="inlineStr">
        <is>
          <t>2026-08-23T18:17:10</t>
        </is>
      </c>
      <c r="C447" s="5" t="inlineStr">
        <is>
          <t>claro</t>
        </is>
      </c>
      <c r="D447" s="5" t="inlineStr">
        <is>
          <t>SP</t>
        </is>
      </c>
      <c r="E447" s="5" t="inlineStr">
        <is>
          <t>1 Giga com Globoplay incluso + Claro tv+ Box + Disney+ Amazon Prime + Netflix + HBO Max + Apple TV + Globoplay</t>
        </is>
      </c>
      <c r="F447" s="5" t="inlineStr">
        <is>
          <t>claro:af8152be-4aa7-4aa8-819a-a79687a3a9a0</t>
        </is>
      </c>
      <c r="G447" s="6" t="n">
        <v>299.8</v>
      </c>
      <c r="H447" s="6" t="inlineStr"/>
      <c r="I447" s="5" t="inlineStr"/>
      <c r="J447" s="5" t="inlineStr"/>
      <c r="K447" s="5" t="inlineStr">
        <is>
          <t>tab: Fibra + TV</t>
        </is>
      </c>
      <c r="L447" s="5" t="inlineStr">
        <is>
          <t>broadband+tv</t>
        </is>
      </c>
      <c r="M447" s="5" t="inlineStr">
        <is>
          <t>Fiber + TV</t>
        </is>
      </c>
      <c r="N447" s="5" t="b">
        <v>0</v>
      </c>
      <c r="O447" s="5" t="b">
        <v>1</v>
      </c>
      <c r="P447" s="5" t="b">
        <v>1</v>
      </c>
      <c r="Q447" s="5" t="b">
        <v>0</v>
      </c>
      <c r="R447" s="7" t="n">
        <v>1000</v>
      </c>
      <c r="S447" s="7" t="inlineStr"/>
      <c r="T447" s="7" t="inlineStr"/>
      <c r="U447" s="5" t="inlineStr">
        <is>
          <t>Claro tv+ Box + Disney+ Amazon Prime + Netflix + HBO Max + Apple TV + Globoplay</t>
        </is>
      </c>
      <c r="V447" s="5" t="inlineStr"/>
      <c r="W447" s="5" t="inlineStr"/>
      <c r="X447" s="5" t="inlineStr"/>
      <c r="Y447" s="5" t="inlineStr">
        <is>
          <t>https://www.claro.com.br/multi</t>
        </is>
      </c>
      <c r="Z447" s="5" t="inlineStr">
        <is>
          <t>data/raw/claro_convergent_multi_SP.html</t>
        </is>
      </c>
    </row>
    <row r="448">
      <c r="A448" s="2" t="inlineStr">
        <is>
          <t>2026-08-23</t>
        </is>
      </c>
      <c r="B448" s="2" t="inlineStr">
        <is>
          <t>2026-08-23T18:17:10</t>
        </is>
      </c>
      <c r="C448" s="2" t="inlineStr">
        <is>
          <t>claro</t>
        </is>
      </c>
      <c r="D448" s="2" t="inlineStr">
        <is>
          <t>SP</t>
        </is>
      </c>
      <c r="E448" s="2" t="inlineStr">
        <is>
          <t>1 Giga com Globoplay incluso + Claro tv+ Soundbox + Disney+ Amazon Prime + Netflix + HBO Max + Apple TV + Globoplay</t>
        </is>
      </c>
      <c r="F448" s="2" t="inlineStr">
        <is>
          <t>claro:ceb9fd87-0897-4dd2-a2f2-e7f09e714e49</t>
        </is>
      </c>
      <c r="G448" s="3" t="n">
        <v>429.8</v>
      </c>
      <c r="H448" s="3" t="inlineStr"/>
      <c r="I448" s="2" t="inlineStr"/>
      <c r="J448" s="2" t="inlineStr"/>
      <c r="K448" s="2" t="inlineStr">
        <is>
          <t>tab: Fibra + TV</t>
        </is>
      </c>
      <c r="L448" s="2" t="inlineStr">
        <is>
          <t>broadband+tv</t>
        </is>
      </c>
      <c r="M448" s="2" t="inlineStr">
        <is>
          <t>Fiber + TV</t>
        </is>
      </c>
      <c r="N448" s="2" t="b">
        <v>0</v>
      </c>
      <c r="O448" s="2" t="b">
        <v>1</v>
      </c>
      <c r="P448" s="2" t="b">
        <v>1</v>
      </c>
      <c r="Q448" s="2" t="b">
        <v>0</v>
      </c>
      <c r="R448" s="4" t="n">
        <v>1000</v>
      </c>
      <c r="S448" s="4" t="inlineStr"/>
      <c r="T448" s="4" t="inlineStr"/>
      <c r="U448" s="2" t="inlineStr">
        <is>
          <t>Claro tv+ Soundbox + Disney+ Amazon Prime + Netflix + HBO Max + Apple TV + Globoplay</t>
        </is>
      </c>
      <c r="V448" s="2" t="inlineStr"/>
      <c r="W448" s="2" t="inlineStr"/>
      <c r="X448" s="2" t="inlineStr"/>
      <c r="Y448" s="2" t="inlineStr">
        <is>
          <t>https://www.claro.com.br/multi</t>
        </is>
      </c>
      <c r="Z448" s="2" t="inlineStr">
        <is>
          <t>data/raw/claro_convergent_multi_SP.html</t>
        </is>
      </c>
    </row>
    <row r="449">
      <c r="A449" s="5" t="inlineStr">
        <is>
          <t>2026-08-23</t>
        </is>
      </c>
      <c r="B449" s="5" t="inlineStr">
        <is>
          <t>2026-08-23T18:17:10</t>
        </is>
      </c>
      <c r="C449" s="5" t="inlineStr">
        <is>
          <t>claro</t>
        </is>
      </c>
      <c r="D449" s="5" t="inlineStr">
        <is>
          <t>SP</t>
        </is>
      </c>
      <c r="E449" s="5" t="inlineStr">
        <is>
          <t>1 Giga com Globoplay incluso + Pós 100GB</t>
        </is>
      </c>
      <c r="F449" s="5" t="inlineStr">
        <is>
          <t>claro:a1de0ac1-61bb-4e97-a744-1ae4c3541673</t>
        </is>
      </c>
      <c r="G449" s="6" t="n">
        <v>179.9</v>
      </c>
      <c r="H449" s="6" t="inlineStr"/>
      <c r="I449" s="5" t="inlineStr"/>
      <c r="J449" s="5" t="inlineStr"/>
      <c r="K449" s="5" t="inlineStr">
        <is>
          <t>tab: Fibra + Móvel</t>
        </is>
      </c>
      <c r="L449" s="5" t="inlineStr">
        <is>
          <t>mobile+broadband</t>
        </is>
      </c>
      <c r="M449" s="5" t="inlineStr">
        <is>
          <t>Fiber + Mobile</t>
        </is>
      </c>
      <c r="N449" s="5" t="b">
        <v>1</v>
      </c>
      <c r="O449" s="5" t="b">
        <v>1</v>
      </c>
      <c r="P449" s="5" t="b">
        <v>0</v>
      </c>
      <c r="Q449" s="5" t="b">
        <v>0</v>
      </c>
      <c r="R449" s="7" t="n">
        <v>1000</v>
      </c>
      <c r="S449" s="7" t="n">
        <v>100</v>
      </c>
      <c r="T449" s="7" t="n">
        <v>1</v>
      </c>
      <c r="U449" s="5" t="inlineStr"/>
      <c r="V449" s="5" t="inlineStr"/>
      <c r="W449" s="5" t="inlineStr"/>
      <c r="X449" s="5" t="inlineStr">
        <is>
          <t>Pós 100GB</t>
        </is>
      </c>
      <c r="Y449" s="5" t="inlineStr">
        <is>
          <t>https://www.claro.com.br/multi</t>
        </is>
      </c>
      <c r="Z449" s="5" t="inlineStr">
        <is>
          <t>data/raw/claro_convergent_multi_SP.html</t>
        </is>
      </c>
    </row>
    <row r="450">
      <c r="A450" s="2" t="inlineStr">
        <is>
          <t>2026-08-23</t>
        </is>
      </c>
      <c r="B450" s="2" t="inlineStr">
        <is>
          <t>2026-08-23T18:17:10</t>
        </is>
      </c>
      <c r="C450" s="2" t="inlineStr">
        <is>
          <t>claro</t>
        </is>
      </c>
      <c r="D450" s="2" t="inlineStr">
        <is>
          <t>SP</t>
        </is>
      </c>
      <c r="E450" s="2" t="inlineStr">
        <is>
          <t>1 Giga com Globoplay incluso + Pós 100GB + Claro tv+ Box + Disney+ Amazon Prime + Netflix + HBO Max + Apple TV + Globoplay</t>
        </is>
      </c>
      <c r="F450" s="2" t="inlineStr">
        <is>
          <t>claro:548c4bad-7857-4c0c-94d5-45d33d66c57f</t>
        </is>
      </c>
      <c r="G450" s="3" t="n">
        <v>279.8</v>
      </c>
      <c r="H450" s="3" t="inlineStr"/>
      <c r="I450" s="2" t="inlineStr"/>
      <c r="J450" s="2" t="inlineStr"/>
      <c r="K450" s="2" t="inlineStr">
        <is>
          <t>tab: Fibra + Móvel + TV</t>
        </is>
      </c>
      <c r="L450" s="2" t="inlineStr">
        <is>
          <t>mobile+broadband+tv</t>
        </is>
      </c>
      <c r="M450" s="2" t="inlineStr">
        <is>
          <t>Fiber + Mobile + TV</t>
        </is>
      </c>
      <c r="N450" s="2" t="b">
        <v>1</v>
      </c>
      <c r="O450" s="2" t="b">
        <v>1</v>
      </c>
      <c r="P450" s="2" t="b">
        <v>1</v>
      </c>
      <c r="Q450" s="2" t="b">
        <v>0</v>
      </c>
      <c r="R450" s="4" t="n">
        <v>1000</v>
      </c>
      <c r="S450" s="4" t="n">
        <v>100</v>
      </c>
      <c r="T450" s="4" t="n">
        <v>1</v>
      </c>
      <c r="U450" s="2" t="inlineStr">
        <is>
          <t>Claro tv+ Box + Disney+ Amazon Prime + Netflix + HBO Max + Apple TV + Globoplay</t>
        </is>
      </c>
      <c r="V450" s="2" t="inlineStr"/>
      <c r="W450" s="2" t="inlineStr"/>
      <c r="X450" s="2" t="inlineStr">
        <is>
          <t>Pós 100GB</t>
        </is>
      </c>
      <c r="Y450" s="2" t="inlineStr">
        <is>
          <t>https://www.claro.com.br/multi</t>
        </is>
      </c>
      <c r="Z450" s="2" t="inlineStr">
        <is>
          <t>data/raw/claro_convergent_multi_SP.html</t>
        </is>
      </c>
    </row>
    <row r="451">
      <c r="A451" s="5" t="inlineStr">
        <is>
          <t>2026-08-23</t>
        </is>
      </c>
      <c r="B451" s="5" t="inlineStr">
        <is>
          <t>2026-08-23T18:17:10</t>
        </is>
      </c>
      <c r="C451" s="5" t="inlineStr">
        <is>
          <t>claro</t>
        </is>
      </c>
      <c r="D451" s="5" t="inlineStr">
        <is>
          <t>SP</t>
        </is>
      </c>
      <c r="E451" s="5" t="inlineStr">
        <is>
          <t>1 Giga com Globoplay incluso + Pós 150GB</t>
        </is>
      </c>
      <c r="F451" s="5" t="inlineStr">
        <is>
          <t>claro:d47e2a3b-dfd0-410e-9c24-d07a334d01d4</t>
        </is>
      </c>
      <c r="G451" s="6" t="n">
        <v>299.9</v>
      </c>
      <c r="H451" s="6" t="inlineStr"/>
      <c r="I451" s="5" t="inlineStr"/>
      <c r="J451" s="5" t="inlineStr"/>
      <c r="K451" s="5" t="inlineStr">
        <is>
          <t>tab: Fibra + Móvel</t>
        </is>
      </c>
      <c r="L451" s="5" t="inlineStr">
        <is>
          <t>mobile+broadband</t>
        </is>
      </c>
      <c r="M451" s="5" t="inlineStr">
        <is>
          <t>Fiber + Mobile</t>
        </is>
      </c>
      <c r="N451" s="5" t="b">
        <v>1</v>
      </c>
      <c r="O451" s="5" t="b">
        <v>1</v>
      </c>
      <c r="P451" s="5" t="b">
        <v>0</v>
      </c>
      <c r="Q451" s="5" t="b">
        <v>0</v>
      </c>
      <c r="R451" s="7" t="n">
        <v>1000</v>
      </c>
      <c r="S451" s="7" t="n">
        <v>150</v>
      </c>
      <c r="T451" s="7" t="n">
        <v>2</v>
      </c>
      <c r="U451" s="5" t="inlineStr"/>
      <c r="V451" s="5" t="inlineStr"/>
      <c r="W451" s="5" t="inlineStr"/>
      <c r="X451" s="5" t="inlineStr">
        <is>
          <t>Pós 150GB</t>
        </is>
      </c>
      <c r="Y451" s="5" t="inlineStr">
        <is>
          <t>https://www.claro.com.br/multi</t>
        </is>
      </c>
      <c r="Z451" s="5" t="inlineStr">
        <is>
          <t>data/raw/claro_convergent_multi_SP.html</t>
        </is>
      </c>
    </row>
    <row r="452">
      <c r="A452" s="2" t="inlineStr">
        <is>
          <t>2026-08-23</t>
        </is>
      </c>
      <c r="B452" s="2" t="inlineStr">
        <is>
          <t>2026-08-23T18:17:10</t>
        </is>
      </c>
      <c r="C452" s="2" t="inlineStr">
        <is>
          <t>claro</t>
        </is>
      </c>
      <c r="D452" s="2" t="inlineStr">
        <is>
          <t>SP</t>
        </is>
      </c>
      <c r="E452" s="2" t="inlineStr">
        <is>
          <t>1 Giga com Globoplay incluso + Pós 150GB + Claro tv+ Box + Disney+ Amazon Prime + Netflix + HBO Max + Apple TV + Globoplay</t>
        </is>
      </c>
      <c r="F452" s="2" t="inlineStr">
        <is>
          <t>claro:7785b449-69f2-4234-9e24-8837e32a55c0</t>
        </is>
      </c>
      <c r="G452" s="3" t="n">
        <v>399.8</v>
      </c>
      <c r="H452" s="3" t="inlineStr"/>
      <c r="I452" s="2" t="inlineStr"/>
      <c r="J452" s="2" t="inlineStr"/>
      <c r="K452" s="2" t="inlineStr">
        <is>
          <t>tab: Fibra + Móvel + TV</t>
        </is>
      </c>
      <c r="L452" s="2" t="inlineStr">
        <is>
          <t>mobile+broadband+tv</t>
        </is>
      </c>
      <c r="M452" s="2" t="inlineStr">
        <is>
          <t>Fiber + Mobile + TV</t>
        </is>
      </c>
      <c r="N452" s="2" t="b">
        <v>1</v>
      </c>
      <c r="O452" s="2" t="b">
        <v>1</v>
      </c>
      <c r="P452" s="2" t="b">
        <v>1</v>
      </c>
      <c r="Q452" s="2" t="b">
        <v>0</v>
      </c>
      <c r="R452" s="4" t="n">
        <v>1000</v>
      </c>
      <c r="S452" s="4" t="n">
        <v>150</v>
      </c>
      <c r="T452" s="4" t="n">
        <v>1</v>
      </c>
      <c r="U452" s="2" t="inlineStr">
        <is>
          <t>Claro tv+ Box + Disney+ Amazon Prime + Netflix + HBO Max + Apple TV + Globoplay</t>
        </is>
      </c>
      <c r="V452" s="2" t="inlineStr"/>
      <c r="W452" s="2" t="inlineStr"/>
      <c r="X452" s="2" t="inlineStr">
        <is>
          <t>Pós 150GB</t>
        </is>
      </c>
      <c r="Y452" s="2" t="inlineStr">
        <is>
          <t>https://www.claro.com.br/multi</t>
        </is>
      </c>
      <c r="Z452" s="2" t="inlineStr">
        <is>
          <t>data/raw/claro_convergent_multi_SP.html</t>
        </is>
      </c>
    </row>
    <row r="453">
      <c r="A453" s="5" t="inlineStr">
        <is>
          <t>2026-08-23</t>
        </is>
      </c>
      <c r="B453" s="5" t="inlineStr">
        <is>
          <t>2026-08-23T18:17:10</t>
        </is>
      </c>
      <c r="C453" s="5" t="inlineStr">
        <is>
          <t>claro</t>
        </is>
      </c>
      <c r="D453" s="5" t="inlineStr">
        <is>
          <t>SP</t>
        </is>
      </c>
      <c r="E453" s="5" t="inlineStr">
        <is>
          <t>1 Giga com Globoplay incluso + Pós 200GB</t>
        </is>
      </c>
      <c r="F453" s="5" t="inlineStr">
        <is>
          <t>claro:1961a62d-3213-4ff0-a152-401a45c5b1b5</t>
        </is>
      </c>
      <c r="G453" s="6" t="n">
        <v>359.9</v>
      </c>
      <c r="H453" s="6" t="inlineStr"/>
      <c r="I453" s="5" t="inlineStr"/>
      <c r="J453" s="5" t="inlineStr"/>
      <c r="K453" s="5" t="inlineStr">
        <is>
          <t>tab: Fibra + Móvel</t>
        </is>
      </c>
      <c r="L453" s="5" t="inlineStr">
        <is>
          <t>mobile+broadband</t>
        </is>
      </c>
      <c r="M453" s="5" t="inlineStr">
        <is>
          <t>Fiber + Mobile</t>
        </is>
      </c>
      <c r="N453" s="5" t="b">
        <v>1</v>
      </c>
      <c r="O453" s="5" t="b">
        <v>1</v>
      </c>
      <c r="P453" s="5" t="b">
        <v>0</v>
      </c>
      <c r="Q453" s="5" t="b">
        <v>0</v>
      </c>
      <c r="R453" s="7" t="n">
        <v>1000</v>
      </c>
      <c r="S453" s="7" t="n">
        <v>200</v>
      </c>
      <c r="T453" s="7" t="n">
        <v>3</v>
      </c>
      <c r="U453" s="5" t="inlineStr"/>
      <c r="V453" s="5" t="inlineStr"/>
      <c r="W453" s="5" t="inlineStr"/>
      <c r="X453" s="5" t="inlineStr">
        <is>
          <t>Pós 200GB</t>
        </is>
      </c>
      <c r="Y453" s="5" t="inlineStr">
        <is>
          <t>https://www.claro.com.br/multi</t>
        </is>
      </c>
      <c r="Z453" s="5" t="inlineStr">
        <is>
          <t>data/raw/claro_convergent_multi_SP.html</t>
        </is>
      </c>
    </row>
    <row r="454">
      <c r="A454" s="2" t="inlineStr">
        <is>
          <t>2026-08-23</t>
        </is>
      </c>
      <c r="B454" s="2" t="inlineStr">
        <is>
          <t>2026-08-23T18:17:10</t>
        </is>
      </c>
      <c r="C454" s="2" t="inlineStr">
        <is>
          <t>claro</t>
        </is>
      </c>
      <c r="D454" s="2" t="inlineStr">
        <is>
          <t>SP</t>
        </is>
      </c>
      <c r="E454" s="2" t="inlineStr">
        <is>
          <t>1 Giga com Globoplay incluso + Pós 200GB + Claro tv+ Box + Disney+ Amazon Prime + Netflix + HBO Max + Apple TV + Globoplay</t>
        </is>
      </c>
      <c r="F454" s="2" t="inlineStr">
        <is>
          <t>claro:312815a2-b3a5-43bb-89a1-272d53ccb212</t>
        </is>
      </c>
      <c r="G454" s="3" t="n">
        <v>459.8</v>
      </c>
      <c r="H454" s="3" t="inlineStr"/>
      <c r="I454" s="2" t="inlineStr"/>
      <c r="J454" s="2" t="inlineStr"/>
      <c r="K454" s="2" t="inlineStr">
        <is>
          <t>tab: Fibra + Móvel + TV</t>
        </is>
      </c>
      <c r="L454" s="2" t="inlineStr">
        <is>
          <t>mobile+broadband+tv</t>
        </is>
      </c>
      <c r="M454" s="2" t="inlineStr">
        <is>
          <t>Fiber + Mobile + TV</t>
        </is>
      </c>
      <c r="N454" s="2" t="b">
        <v>1</v>
      </c>
      <c r="O454" s="2" t="b">
        <v>1</v>
      </c>
      <c r="P454" s="2" t="b">
        <v>1</v>
      </c>
      <c r="Q454" s="2" t="b">
        <v>0</v>
      </c>
      <c r="R454" s="4" t="n">
        <v>1000</v>
      </c>
      <c r="S454" s="4" t="n">
        <v>200</v>
      </c>
      <c r="T454" s="4" t="n">
        <v>1</v>
      </c>
      <c r="U454" s="2" t="inlineStr">
        <is>
          <t>Claro tv+ Box + Disney+ Amazon Prime + Netflix + HBO Max + Apple TV + Globoplay</t>
        </is>
      </c>
      <c r="V454" s="2" t="inlineStr"/>
      <c r="W454" s="2" t="inlineStr"/>
      <c r="X454" s="2" t="inlineStr">
        <is>
          <t>Pós 200GB</t>
        </is>
      </c>
      <c r="Y454" s="2" t="inlineStr">
        <is>
          <t>https://www.claro.com.br/multi</t>
        </is>
      </c>
      <c r="Z454" s="2" t="inlineStr">
        <is>
          <t>data/raw/claro_convergent_multi_SP.html</t>
        </is>
      </c>
    </row>
    <row r="455">
      <c r="A455" s="5" t="inlineStr">
        <is>
          <t>2026-08-23</t>
        </is>
      </c>
      <c r="B455" s="5" t="inlineStr">
        <is>
          <t>2026-08-23T18:17:10</t>
        </is>
      </c>
      <c r="C455" s="5" t="inlineStr">
        <is>
          <t>claro</t>
        </is>
      </c>
      <c r="D455" s="5" t="inlineStr">
        <is>
          <t>SP</t>
        </is>
      </c>
      <c r="E455" s="5" t="inlineStr">
        <is>
          <t>350 Mega com Globoplay incluso + Claro tv+ Box + Disney+ Amazon Prime + Netflix + HBO Max + Apple TV + Globoplay</t>
        </is>
      </c>
      <c r="F455" s="5" t="inlineStr">
        <is>
          <t>claro:97b00450-6f21-4349-8363-83d624b18328</t>
        </is>
      </c>
      <c r="G455" s="6" t="n">
        <v>209.8</v>
      </c>
      <c r="H455" s="6" t="inlineStr"/>
      <c r="I455" s="5" t="inlineStr"/>
      <c r="J455" s="5" t="inlineStr"/>
      <c r="K455" s="5" t="inlineStr">
        <is>
          <t>tab: Fibra + TV</t>
        </is>
      </c>
      <c r="L455" s="5" t="inlineStr">
        <is>
          <t>broadband+tv</t>
        </is>
      </c>
      <c r="M455" s="5" t="inlineStr">
        <is>
          <t>Fiber + TV</t>
        </is>
      </c>
      <c r="N455" s="5" t="b">
        <v>0</v>
      </c>
      <c r="O455" s="5" t="b">
        <v>1</v>
      </c>
      <c r="P455" s="5" t="b">
        <v>1</v>
      </c>
      <c r="Q455" s="5" t="b">
        <v>0</v>
      </c>
      <c r="R455" s="7" t="n">
        <v>350</v>
      </c>
      <c r="S455" s="7" t="inlineStr"/>
      <c r="T455" s="7" t="inlineStr"/>
      <c r="U455" s="5" t="inlineStr">
        <is>
          <t>Claro tv+ Box + Disney+ Amazon Prime + Netflix + HBO Max + Apple TV + Globoplay</t>
        </is>
      </c>
      <c r="V455" s="5" t="inlineStr"/>
      <c r="W455" s="5" t="inlineStr"/>
      <c r="X455" s="5" t="inlineStr"/>
      <c r="Y455" s="5" t="inlineStr">
        <is>
          <t>https://www.claro.com.br/multi</t>
        </is>
      </c>
      <c r="Z455" s="5" t="inlineStr">
        <is>
          <t>data/raw/claro_convergent_multi_SP.html</t>
        </is>
      </c>
    </row>
    <row r="456">
      <c r="A456" s="2" t="inlineStr">
        <is>
          <t>2026-08-23</t>
        </is>
      </c>
      <c r="B456" s="2" t="inlineStr">
        <is>
          <t>2026-08-23T18:17:10</t>
        </is>
      </c>
      <c r="C456" s="2" t="inlineStr">
        <is>
          <t>claro</t>
        </is>
      </c>
      <c r="D456" s="2" t="inlineStr">
        <is>
          <t>SP</t>
        </is>
      </c>
      <c r="E456" s="2" t="inlineStr">
        <is>
          <t>350 Mega com Globoplay incluso + Controle 40GB</t>
        </is>
      </c>
      <c r="F456" s="2" t="inlineStr">
        <is>
          <t>claro:a866ea9a-6a70-4b6e-b886-f8178086ca91</t>
        </is>
      </c>
      <c r="G456" s="3" t="n">
        <v>129.8</v>
      </c>
      <c r="H456" s="3" t="inlineStr"/>
      <c r="I456" s="2" t="inlineStr"/>
      <c r="J456" s="2" t="inlineStr">
        <is>
          <t>debit_auto</t>
        </is>
      </c>
      <c r="K456" s="2" t="inlineStr">
        <is>
          <t>tab: Fibra + Móvel; preço em débito em conta; +R$ 5.00 sem débito automático</t>
        </is>
      </c>
      <c r="L456" s="2" t="inlineStr">
        <is>
          <t>mobile+broadband</t>
        </is>
      </c>
      <c r="M456" s="2" t="inlineStr">
        <is>
          <t>Fiber + Mobile</t>
        </is>
      </c>
      <c r="N456" s="2" t="b">
        <v>1</v>
      </c>
      <c r="O456" s="2" t="b">
        <v>1</v>
      </c>
      <c r="P456" s="2" t="b">
        <v>0</v>
      </c>
      <c r="Q456" s="2" t="b">
        <v>0</v>
      </c>
      <c r="R456" s="4" t="n">
        <v>350</v>
      </c>
      <c r="S456" s="4" t="n">
        <v>40</v>
      </c>
      <c r="T456" s="4" t="n">
        <v>1</v>
      </c>
      <c r="U456" s="2" t="inlineStr"/>
      <c r="V456" s="2" t="inlineStr"/>
      <c r="W456" s="2" t="inlineStr"/>
      <c r="X456" s="2" t="inlineStr">
        <is>
          <t>Controle 40GB</t>
        </is>
      </c>
      <c r="Y456" s="2" t="inlineStr">
        <is>
          <t>https://www.claro.com.br/multi</t>
        </is>
      </c>
      <c r="Z456" s="2" t="inlineStr">
        <is>
          <t>data/raw/claro_convergent_multi_SP.html</t>
        </is>
      </c>
    </row>
    <row r="457">
      <c r="A457" s="5" t="inlineStr">
        <is>
          <t>2026-08-23</t>
        </is>
      </c>
      <c r="B457" s="5" t="inlineStr">
        <is>
          <t>2026-08-23T18:17:10</t>
        </is>
      </c>
      <c r="C457" s="5" t="inlineStr">
        <is>
          <t>claro</t>
        </is>
      </c>
      <c r="D457" s="5" t="inlineStr">
        <is>
          <t>SP</t>
        </is>
      </c>
      <c r="E457" s="5" t="inlineStr">
        <is>
          <t>350 Mega com Globoplay incluso + Pós 100GB + Claro tv+ Box + Disney+ Amazon Prime + Netflix + HBO Max + Apple TV + Globoplay</t>
        </is>
      </c>
      <c r="F457" s="5" t="inlineStr">
        <is>
          <t>claro:746fa9cf-ea2b-40de-ad2c-5803b3e0ab08</t>
        </is>
      </c>
      <c r="G457" s="6" t="n">
        <v>239.8</v>
      </c>
      <c r="H457" s="6" t="inlineStr"/>
      <c r="I457" s="5" t="inlineStr"/>
      <c r="J457" s="5" t="inlineStr"/>
      <c r="K457" s="5" t="inlineStr">
        <is>
          <t>tab: Fibra + Móvel + TV</t>
        </is>
      </c>
      <c r="L457" s="5" t="inlineStr">
        <is>
          <t>mobile+broadband+tv</t>
        </is>
      </c>
      <c r="M457" s="5" t="inlineStr">
        <is>
          <t>Fiber + Mobile + TV</t>
        </is>
      </c>
      <c r="N457" s="5" t="b">
        <v>1</v>
      </c>
      <c r="O457" s="5" t="b">
        <v>1</v>
      </c>
      <c r="P457" s="5" t="b">
        <v>1</v>
      </c>
      <c r="Q457" s="5" t="b">
        <v>0</v>
      </c>
      <c r="R457" s="7" t="n">
        <v>350</v>
      </c>
      <c r="S457" s="7" t="n">
        <v>100</v>
      </c>
      <c r="T457" s="7" t="n">
        <v>1</v>
      </c>
      <c r="U457" s="5" t="inlineStr">
        <is>
          <t>Claro tv+ Box + Disney+ Amazon Prime + Netflix + HBO Max + Apple TV + Globoplay</t>
        </is>
      </c>
      <c r="V457" s="5" t="inlineStr"/>
      <c r="W457" s="5" t="inlineStr"/>
      <c r="X457" s="5" t="inlineStr">
        <is>
          <t>Pós 100GB</t>
        </is>
      </c>
      <c r="Y457" s="5" t="inlineStr">
        <is>
          <t>https://www.claro.com.br/multi</t>
        </is>
      </c>
      <c r="Z457" s="5" t="inlineStr">
        <is>
          <t>data/raw/claro_convergent_multi_SP.html</t>
        </is>
      </c>
    </row>
    <row r="458">
      <c r="A458" s="2" t="inlineStr">
        <is>
          <t>2026-08-23</t>
        </is>
      </c>
      <c r="B458" s="2" t="inlineStr">
        <is>
          <t>2026-08-23T18:17:10</t>
        </is>
      </c>
      <c r="C458" s="2" t="inlineStr">
        <is>
          <t>claro</t>
        </is>
      </c>
      <c r="D458" s="2" t="inlineStr">
        <is>
          <t>SP</t>
        </is>
      </c>
      <c r="E458" s="2" t="inlineStr">
        <is>
          <t>600 Mega com Globoplay incluso + Claro tv+ Box + Disney+ Amazon Prime + Netflix + HBO Max + Apple TV + Globoplay</t>
        </is>
      </c>
      <c r="F458" s="2" t="inlineStr">
        <is>
          <t>claro:545261b1-2f4d-4dab-82a6-02d9e66c5d3d</t>
        </is>
      </c>
      <c r="G458" s="3" t="n">
        <v>219.8</v>
      </c>
      <c r="H458" s="3" t="inlineStr"/>
      <c r="I458" s="2" t="inlineStr"/>
      <c r="J458" s="2" t="inlineStr"/>
      <c r="K458" s="2" t="inlineStr">
        <is>
          <t>tab: Fibra + TV</t>
        </is>
      </c>
      <c r="L458" s="2" t="inlineStr">
        <is>
          <t>broadband+tv</t>
        </is>
      </c>
      <c r="M458" s="2" t="inlineStr">
        <is>
          <t>Fiber + TV</t>
        </is>
      </c>
      <c r="N458" s="2" t="b">
        <v>0</v>
      </c>
      <c r="O458" s="2" t="b">
        <v>1</v>
      </c>
      <c r="P458" s="2" t="b">
        <v>1</v>
      </c>
      <c r="Q458" s="2" t="b">
        <v>0</v>
      </c>
      <c r="R458" s="4" t="n">
        <v>600</v>
      </c>
      <c r="S458" s="4" t="inlineStr"/>
      <c r="T458" s="4" t="inlineStr"/>
      <c r="U458" s="2" t="inlineStr">
        <is>
          <t>Claro tv+ Box + Disney+ Amazon Prime + Netflix + HBO Max + Apple TV + Globoplay</t>
        </is>
      </c>
      <c r="V458" s="2" t="inlineStr"/>
      <c r="W458" s="2" t="inlineStr"/>
      <c r="X458" s="2" t="inlineStr"/>
      <c r="Y458" s="2" t="inlineStr">
        <is>
          <t>https://www.claro.com.br/multi</t>
        </is>
      </c>
      <c r="Z458" s="2" t="inlineStr">
        <is>
          <t>data/raw/claro_convergent_multi_SP.html</t>
        </is>
      </c>
    </row>
    <row r="459">
      <c r="A459" s="5" t="inlineStr">
        <is>
          <t>2026-08-23</t>
        </is>
      </c>
      <c r="B459" s="5" t="inlineStr">
        <is>
          <t>2026-08-23T18:17:10</t>
        </is>
      </c>
      <c r="C459" s="5" t="inlineStr">
        <is>
          <t>claro</t>
        </is>
      </c>
      <c r="D459" s="5" t="inlineStr">
        <is>
          <t>SP</t>
        </is>
      </c>
      <c r="E459" s="5" t="inlineStr">
        <is>
          <t>600 Mega com Globoplay incluso + Pós 100GB</t>
        </is>
      </c>
      <c r="F459" s="5" t="inlineStr">
        <is>
          <t>claro:350ac58a-533c-4858-83be-be3ea39c8874</t>
        </is>
      </c>
      <c r="G459" s="6" t="n">
        <v>159.9</v>
      </c>
      <c r="H459" s="6" t="inlineStr"/>
      <c r="I459" s="5" t="inlineStr"/>
      <c r="J459" s="5" t="inlineStr"/>
      <c r="K459" s="5" t="inlineStr">
        <is>
          <t>tab: Fibra + Móvel</t>
        </is>
      </c>
      <c r="L459" s="5" t="inlineStr">
        <is>
          <t>mobile+broadband</t>
        </is>
      </c>
      <c r="M459" s="5" t="inlineStr">
        <is>
          <t>Fiber + Mobile</t>
        </is>
      </c>
      <c r="N459" s="5" t="b">
        <v>1</v>
      </c>
      <c r="O459" s="5" t="b">
        <v>1</v>
      </c>
      <c r="P459" s="5" t="b">
        <v>0</v>
      </c>
      <c r="Q459" s="5" t="b">
        <v>0</v>
      </c>
      <c r="R459" s="7" t="n">
        <v>600</v>
      </c>
      <c r="S459" s="7" t="n">
        <v>100</v>
      </c>
      <c r="T459" s="7" t="n">
        <v>1</v>
      </c>
      <c r="U459" s="5" t="inlineStr"/>
      <c r="V459" s="5" t="inlineStr"/>
      <c r="W459" s="5" t="inlineStr"/>
      <c r="X459" s="5" t="inlineStr">
        <is>
          <t>Pós 100GB</t>
        </is>
      </c>
      <c r="Y459" s="5" t="inlineStr">
        <is>
          <t>https://www.claro.com.br/multi</t>
        </is>
      </c>
      <c r="Z459" s="5" t="inlineStr">
        <is>
          <t>data/raw/claro_convergent_multi_SP.html</t>
        </is>
      </c>
    </row>
    <row r="460">
      <c r="A460" s="2" t="inlineStr">
        <is>
          <t>2026-08-23</t>
        </is>
      </c>
      <c r="B460" s="2" t="inlineStr">
        <is>
          <t>2026-08-23T18:17:10</t>
        </is>
      </c>
      <c r="C460" s="2" t="inlineStr">
        <is>
          <t>claro</t>
        </is>
      </c>
      <c r="D460" s="2" t="inlineStr">
        <is>
          <t>SP</t>
        </is>
      </c>
      <c r="E460" s="2" t="inlineStr">
        <is>
          <t>600 Mega com Globoplay incluso + Pós 100GB + Claro tv+ Box + Disney+ Amazon Prime + Netflix + HBO Max + Apple TV + Globoplay</t>
        </is>
      </c>
      <c r="F460" s="2" t="inlineStr">
        <is>
          <t>claro:f36e7dfb-f7c9-4055-844f-7bc101699de8</t>
        </is>
      </c>
      <c r="G460" s="3" t="n">
        <v>259.8</v>
      </c>
      <c r="H460" s="3" t="inlineStr"/>
      <c r="I460" s="2" t="inlineStr"/>
      <c r="J460" s="2" t="inlineStr"/>
      <c r="K460" s="2" t="inlineStr">
        <is>
          <t>tab: Fibra + Móvel + TV</t>
        </is>
      </c>
      <c r="L460" s="2" t="inlineStr">
        <is>
          <t>mobile+broadband+tv</t>
        </is>
      </c>
      <c r="M460" s="2" t="inlineStr">
        <is>
          <t>Fiber + Mobile + TV</t>
        </is>
      </c>
      <c r="N460" s="2" t="b">
        <v>1</v>
      </c>
      <c r="O460" s="2" t="b">
        <v>1</v>
      </c>
      <c r="P460" s="2" t="b">
        <v>1</v>
      </c>
      <c r="Q460" s="2" t="b">
        <v>0</v>
      </c>
      <c r="R460" s="4" t="n">
        <v>600</v>
      </c>
      <c r="S460" s="4" t="n">
        <v>100</v>
      </c>
      <c r="T460" s="4" t="n">
        <v>1</v>
      </c>
      <c r="U460" s="2" t="inlineStr">
        <is>
          <t>Claro tv+ Box + Disney+ Amazon Prime + Netflix + HBO Max + Apple TV + Globoplay</t>
        </is>
      </c>
      <c r="V460" s="2" t="inlineStr"/>
      <c r="W460" s="2" t="inlineStr"/>
      <c r="X460" s="2" t="inlineStr">
        <is>
          <t>Pós 100GB</t>
        </is>
      </c>
      <c r="Y460" s="2" t="inlineStr">
        <is>
          <t>https://www.claro.com.br/multi</t>
        </is>
      </c>
      <c r="Z460" s="2" t="inlineStr">
        <is>
          <t>data/raw/claro_convergent_multi_SP.html</t>
        </is>
      </c>
    </row>
    <row r="461">
      <c r="A461" s="5" t="inlineStr">
        <is>
          <t>2026-08-23</t>
        </is>
      </c>
      <c r="B461" s="5" t="inlineStr">
        <is>
          <t>2026-08-23T18:17:10</t>
        </is>
      </c>
      <c r="C461" s="5" t="inlineStr">
        <is>
          <t>tim</t>
        </is>
      </c>
      <c r="D461" s="5" t="inlineStr">
        <is>
          <t>SP</t>
        </is>
      </c>
      <c r="E461" s="5" t="inlineStr">
        <is>
          <t>TIM Ultracombo 5</t>
        </is>
      </c>
      <c r="F461" s="5" t="inlineStr">
        <is>
          <t>tim:167756</t>
        </is>
      </c>
      <c r="G461" s="6" t="n">
        <v>169.99</v>
      </c>
      <c r="H461" s="6" t="inlineStr"/>
      <c r="I461" s="5" t="inlineStr"/>
      <c r="J461" s="5" t="inlineStr">
        <is>
          <t>debit_auto</t>
        </is>
      </c>
      <c r="K461" s="5" t="inlineStr">
        <is>
          <t>preço em débito automático; R$ 179,99/mês no pagamento por fatura</t>
        </is>
      </c>
      <c r="L461" s="5" t="inlineStr">
        <is>
          <t>mobile+broadband</t>
        </is>
      </c>
      <c r="M461" s="5" t="inlineStr">
        <is>
          <t>Fiber + Mobile</t>
        </is>
      </c>
      <c r="N461" s="5" t="b">
        <v>1</v>
      </c>
      <c r="O461" s="5" t="b">
        <v>1</v>
      </c>
      <c r="P461" s="5" t="b">
        <v>0</v>
      </c>
      <c r="Q461" s="5" t="b">
        <v>0</v>
      </c>
      <c r="R461" s="7" t="n">
        <v>1000</v>
      </c>
      <c r="S461" s="7" t="n">
        <v>115</v>
      </c>
      <c r="T461" s="7" t="n">
        <v>1</v>
      </c>
      <c r="U461" s="5" t="inlineStr"/>
      <c r="V461" s="5" t="inlineStr">
        <is>
          <t>Paramount+, Deezer</t>
        </is>
      </c>
      <c r="W461" s="5" t="inlineStr"/>
      <c r="X461" s="5" t="inlineStr">
        <is>
          <t>1GIGA de Ultrafibra para casa + 115GB de TIM Black C Hero para móvel: (25GB do plano + 40GB promo + 50GB bônus especial)</t>
        </is>
      </c>
      <c r="Y461" s="5" t="inlineStr">
        <is>
          <t>https://www.tim.com.br/sp/internet/tim-ultracombo</t>
        </is>
      </c>
      <c r="Z461" s="5" t="inlineStr">
        <is>
          <t>data/raw/tim_convergent_ultracombo_SP.html</t>
        </is>
      </c>
    </row>
    <row r="462">
      <c r="A462" s="2" t="inlineStr">
        <is>
          <t>2026-08-23</t>
        </is>
      </c>
      <c r="B462" s="2" t="inlineStr">
        <is>
          <t>2026-08-23T18:17:10</t>
        </is>
      </c>
      <c r="C462" s="2" t="inlineStr">
        <is>
          <t>tim</t>
        </is>
      </c>
      <c r="D462" s="2" t="inlineStr">
        <is>
          <t>SP</t>
        </is>
      </c>
      <c r="E462" s="2" t="inlineStr">
        <is>
          <t>TIM Ultracombo 6</t>
        </is>
      </c>
      <c r="F462" s="2" t="inlineStr">
        <is>
          <t>tim:167751</t>
        </is>
      </c>
      <c r="G462" s="3" t="n">
        <v>139.99</v>
      </c>
      <c r="H462" s="3" t="inlineStr"/>
      <c r="I462" s="2" t="inlineStr"/>
      <c r="J462" s="2" t="inlineStr">
        <is>
          <t>debit_auto</t>
        </is>
      </c>
      <c r="K462" s="2" t="inlineStr">
        <is>
          <t>preço em débito automático; R$ 149,99/mês no pagamento por fatura</t>
        </is>
      </c>
      <c r="L462" s="2" t="inlineStr">
        <is>
          <t>mobile+broadband</t>
        </is>
      </c>
      <c r="M462" s="2" t="inlineStr">
        <is>
          <t>Fiber + Mobile</t>
        </is>
      </c>
      <c r="N462" s="2" t="b">
        <v>1</v>
      </c>
      <c r="O462" s="2" t="b">
        <v>1</v>
      </c>
      <c r="P462" s="2" t="b">
        <v>0</v>
      </c>
      <c r="Q462" s="2" t="b">
        <v>0</v>
      </c>
      <c r="R462" s="4" t="n">
        <v>1000</v>
      </c>
      <c r="S462" s="4" t="n">
        <v>70</v>
      </c>
      <c r="T462" s="4" t="n">
        <v>1</v>
      </c>
      <c r="U462" s="2" t="inlineStr"/>
      <c r="V462" s="2" t="inlineStr">
        <is>
          <t>Paramount+, Deezer</t>
        </is>
      </c>
      <c r="W462" s="2" t="inlineStr"/>
      <c r="X462" s="2" t="inlineStr">
        <is>
          <t>1GIGA de Ultrafibra para casa + 70GB de TIM Black A para móvel: (15GB do plano + 50GB promo + 5GB bônus especial)</t>
        </is>
      </c>
      <c r="Y462" s="2" t="inlineStr">
        <is>
          <t>https://www.tim.com.br/sp/internet/tim-ultracombo</t>
        </is>
      </c>
      <c r="Z462" s="2" t="inlineStr">
        <is>
          <t>data/raw/tim_convergent_ultracombo_SP.html</t>
        </is>
      </c>
    </row>
    <row r="463">
      <c r="A463" s="5" t="inlineStr">
        <is>
          <t>2026-08-23</t>
        </is>
      </c>
      <c r="B463" s="5" t="inlineStr">
        <is>
          <t>2026-08-23T18:17:10</t>
        </is>
      </c>
      <c r="C463" s="5" t="inlineStr">
        <is>
          <t>tim</t>
        </is>
      </c>
      <c r="D463" s="5" t="inlineStr">
        <is>
          <t>SP</t>
        </is>
      </c>
      <c r="E463" s="5" t="inlineStr">
        <is>
          <t>TIM Ultracombo 7</t>
        </is>
      </c>
      <c r="F463" s="5" t="inlineStr">
        <is>
          <t>tim:167761</t>
        </is>
      </c>
      <c r="G463" s="6" t="n">
        <v>89.98999999999999</v>
      </c>
      <c r="H463" s="6" t="inlineStr"/>
      <c r="I463" s="5" t="inlineStr"/>
      <c r="J463" s="5" t="inlineStr">
        <is>
          <t>debit_auto</t>
        </is>
      </c>
      <c r="K463" s="5" t="inlineStr">
        <is>
          <t>preço em débito automático; R$ 99,99/mês no pagamento por fatura</t>
        </is>
      </c>
      <c r="L463" s="5" t="inlineStr">
        <is>
          <t>mobile+broadband</t>
        </is>
      </c>
      <c r="M463" s="5" t="inlineStr">
        <is>
          <t>Fiber + Mobile</t>
        </is>
      </c>
      <c r="N463" s="5" t="b">
        <v>1</v>
      </c>
      <c r="O463" s="5" t="b">
        <v>1</v>
      </c>
      <c r="P463" s="5" t="b">
        <v>0</v>
      </c>
      <c r="Q463" s="5" t="b">
        <v>0</v>
      </c>
      <c r="R463" s="7" t="n">
        <v>500</v>
      </c>
      <c r="S463" s="7" t="n">
        <v>65</v>
      </c>
      <c r="T463" s="7" t="n">
        <v>1</v>
      </c>
      <c r="U463" s="5" t="inlineStr"/>
      <c r="V463" s="5" t="inlineStr"/>
      <c r="W463" s="5" t="inlineStr"/>
      <c r="X463" s="5" t="inlineStr">
        <is>
          <t>500MEGA de Ultrafibra para casa + 65GB de TIM Black A Light para móvel: (10GB do plano + 50GB promo)</t>
        </is>
      </c>
      <c r="Y463" s="5" t="inlineStr">
        <is>
          <t>https://www.tim.com.br/sp/internet/tim-ultracombo</t>
        </is>
      </c>
      <c r="Z463" s="5" t="inlineStr">
        <is>
          <t>data/raw/tim_convergent_ultracombo_SP.html</t>
        </is>
      </c>
    </row>
    <row r="464">
      <c r="A464" s="2" t="inlineStr">
        <is>
          <t>2026-08-23</t>
        </is>
      </c>
      <c r="B464" s="2" t="inlineStr">
        <is>
          <t>2026-08-23T18:17:10</t>
        </is>
      </c>
      <c r="C464" s="2" t="inlineStr">
        <is>
          <t>vivo</t>
        </is>
      </c>
      <c r="D464" s="2" t="inlineStr">
        <is>
          <t>SP</t>
        </is>
      </c>
      <c r="E464" s="2" t="inlineStr">
        <is>
          <t>Vivo Família 2</t>
        </is>
      </c>
      <c r="F464" s="2" t="inlineStr">
        <is>
          <t>vivo:VIV202604028085-3-305-316-336-408-411-426-430-442</t>
        </is>
      </c>
      <c r="G464" s="3" t="n">
        <v>290</v>
      </c>
      <c r="H464" s="3" t="inlineStr"/>
      <c r="I464" s="2" t="inlineStr"/>
      <c r="J464" s="2" t="inlineStr"/>
      <c r="K464" s="2" t="inlineStr">
        <is>
          <t>instalação grátis mediante fidelização (não afeta a mensalidade)</t>
        </is>
      </c>
      <c r="L464" s="2" t="inlineStr">
        <is>
          <t>mobile+broadband+tv</t>
        </is>
      </c>
      <c r="M464" s="2" t="inlineStr">
        <is>
          <t>Fiber + Mobile + TV</t>
        </is>
      </c>
      <c r="N464" s="2" t="b">
        <v>1</v>
      </c>
      <c r="O464" s="2" t="b">
        <v>1</v>
      </c>
      <c r="P464" s="2" t="b">
        <v>1</v>
      </c>
      <c r="Q464" s="2" t="b">
        <v>0</v>
      </c>
      <c r="R464" s="4" t="n">
        <v>700</v>
      </c>
      <c r="S464" s="4" t="n">
        <v>120</v>
      </c>
      <c r="T464" s="4" t="n">
        <v>2</v>
      </c>
      <c r="U464" s="2" t="inlineStr">
        <is>
          <t>80 canais de Vivo Estendido</t>
        </is>
      </c>
      <c r="V464" s="2" t="inlineStr"/>
      <c r="W464" s="2" t="inlineStr">
        <is>
          <t>Vivo Travel américas e europa; 1 linha adicional inclusa</t>
        </is>
      </c>
      <c r="X464" s="2" t="inlineStr">
        <is>
          <t>700 Mega de Vivo Fibra</t>
        </is>
      </c>
      <c r="Y464" s="2" t="inlineStr">
        <is>
          <t>https://vivo.com.br/para-voce/produtos-e-servicos/combos/vivo-total</t>
        </is>
      </c>
      <c r="Z464" s="2" t="inlineStr">
        <is>
          <t>data/raw/vivo_convergent_total_SP.html</t>
        </is>
      </c>
    </row>
    <row r="465">
      <c r="A465" s="5" t="inlineStr">
        <is>
          <t>2026-08-23</t>
        </is>
      </c>
      <c r="B465" s="5" t="inlineStr">
        <is>
          <t>2026-08-23T18:17:10</t>
        </is>
      </c>
      <c r="C465" s="5" t="inlineStr">
        <is>
          <t>vivo</t>
        </is>
      </c>
      <c r="D465" s="5" t="inlineStr">
        <is>
          <t>SP</t>
        </is>
      </c>
      <c r="E465" s="5" t="inlineStr">
        <is>
          <t>Vivo Família 2</t>
        </is>
      </c>
      <c r="F465" s="5" t="inlineStr">
        <is>
          <t>vivo:VIV202604028065-3-9-305-316-408-411-426-430-442</t>
        </is>
      </c>
      <c r="G465" s="6" t="n">
        <v>390</v>
      </c>
      <c r="H465" s="6" t="inlineStr"/>
      <c r="I465" s="5" t="inlineStr"/>
      <c r="J465" s="5" t="inlineStr"/>
      <c r="K465" s="5" t="inlineStr">
        <is>
          <t>instalação grátis mediante fidelização (não afeta a mensalidade)</t>
        </is>
      </c>
      <c r="L465" s="5" t="inlineStr">
        <is>
          <t>mobile+broadband+tv</t>
        </is>
      </c>
      <c r="M465" s="5" t="inlineStr">
        <is>
          <t>Fiber + Mobile + TV</t>
        </is>
      </c>
      <c r="N465" s="5" t="b">
        <v>1</v>
      </c>
      <c r="O465" s="5" t="b">
        <v>1</v>
      </c>
      <c r="P465" s="5" t="b">
        <v>1</v>
      </c>
      <c r="Q465" s="5" t="b">
        <v>0</v>
      </c>
      <c r="R465" s="7" t="n">
        <v>700</v>
      </c>
      <c r="S465" s="7" t="n">
        <v>120</v>
      </c>
      <c r="T465" s="7" t="n">
        <v>2</v>
      </c>
      <c r="U465" s="5" t="inlineStr">
        <is>
          <t>120 canais de Vivo TV Avançado + 1 ponto adicional</t>
        </is>
      </c>
      <c r="V465" s="5" t="inlineStr"/>
      <c r="W465" s="5" t="inlineStr">
        <is>
          <t>Vivo Travel américas e europa; 1 linha adicional inclusa</t>
        </is>
      </c>
      <c r="X465" s="5" t="inlineStr">
        <is>
          <t>700 Mega de Vivo Fibra</t>
        </is>
      </c>
      <c r="Y465" s="5" t="inlineStr">
        <is>
          <t>https://vivo.com.br/para-voce/produtos-e-servicos/combos/vivo-total</t>
        </is>
      </c>
      <c r="Z465" s="5" t="inlineStr">
        <is>
          <t>data/raw/vivo_convergent_total_SP.html</t>
        </is>
      </c>
    </row>
    <row r="466">
      <c r="A466" s="2" t="inlineStr">
        <is>
          <t>2026-08-23</t>
        </is>
      </c>
      <c r="B466" s="2" t="inlineStr">
        <is>
          <t>2026-08-23T18:17:10</t>
        </is>
      </c>
      <c r="C466" s="2" t="inlineStr">
        <is>
          <t>vivo</t>
        </is>
      </c>
      <c r="D466" s="2" t="inlineStr">
        <is>
          <t>SP</t>
        </is>
      </c>
      <c r="E466" s="2" t="inlineStr">
        <is>
          <t>Vivo Total Família 2</t>
        </is>
      </c>
      <c r="F466" s="2" t="inlineStr">
        <is>
          <t>vivo:VIV202604028085-3-305-316-408-411-426-430-442</t>
        </is>
      </c>
      <c r="G466" s="3" t="n">
        <v>270</v>
      </c>
      <c r="H466" s="3" t="inlineStr"/>
      <c r="I466" s="2" t="inlineStr"/>
      <c r="J466" s="2" t="inlineStr"/>
      <c r="K466" s="2" t="inlineStr">
        <is>
          <t>instalação grátis mediante fidelização (não afeta a mensalidade)</t>
        </is>
      </c>
      <c r="L466" s="2" t="inlineStr">
        <is>
          <t>mobile+broadband</t>
        </is>
      </c>
      <c r="M466" s="2" t="inlineStr">
        <is>
          <t>Fiber + Mobile</t>
        </is>
      </c>
      <c r="N466" s="2" t="b">
        <v>1</v>
      </c>
      <c r="O466" s="2" t="b">
        <v>1</v>
      </c>
      <c r="P466" s="2" t="b">
        <v>0</v>
      </c>
      <c r="Q466" s="2" t="b">
        <v>0</v>
      </c>
      <c r="R466" s="4" t="n">
        <v>700</v>
      </c>
      <c r="S466" s="4" t="n">
        <v>120</v>
      </c>
      <c r="T466" s="4" t="n">
        <v>2</v>
      </c>
      <c r="U466" s="2" t="inlineStr"/>
      <c r="V466" s="2" t="inlineStr"/>
      <c r="W466" s="2" t="inlineStr">
        <is>
          <t>Vivo Travel Américas e Europa; 1 linha adicional inclusa</t>
        </is>
      </c>
      <c r="X466" s="2" t="inlineStr">
        <is>
          <t>700 Mega de Vivo Fibra</t>
        </is>
      </c>
      <c r="Y466" s="2" t="inlineStr">
        <is>
          <t>https://vivo.com.br/para-voce/produtos-e-servicos/combos/vivo-total</t>
        </is>
      </c>
      <c r="Z466" s="2" t="inlineStr">
        <is>
          <t>data/raw/vivo_convergent_total_SP.html</t>
        </is>
      </c>
    </row>
    <row r="467">
      <c r="A467" s="5" t="inlineStr">
        <is>
          <t>2026-08-23</t>
        </is>
      </c>
      <c r="B467" s="5" t="inlineStr">
        <is>
          <t>2026-08-23T18:17:10</t>
        </is>
      </c>
      <c r="C467" s="5" t="inlineStr">
        <is>
          <t>vivo</t>
        </is>
      </c>
      <c r="D467" s="5" t="inlineStr">
        <is>
          <t>SP</t>
        </is>
      </c>
      <c r="E467" s="5" t="inlineStr">
        <is>
          <t>Vivo Total Família 3</t>
        </is>
      </c>
      <c r="F467" s="5" t="inlineStr">
        <is>
          <t>vivo:VIV202604028165-4-305-316-408-411-426-430-442</t>
        </is>
      </c>
      <c r="G467" s="6" t="n">
        <v>330</v>
      </c>
      <c r="H467" s="6" t="inlineStr"/>
      <c r="I467" s="5" t="inlineStr"/>
      <c r="J467" s="5" t="inlineStr"/>
      <c r="K467" s="5" t="inlineStr">
        <is>
          <t>instalação grátis mediante fidelização (não afeta a mensalidade)</t>
        </is>
      </c>
      <c r="L467" s="5" t="inlineStr">
        <is>
          <t>mobile+broadband</t>
        </is>
      </c>
      <c r="M467" s="5" t="inlineStr">
        <is>
          <t>Fiber + Mobile</t>
        </is>
      </c>
      <c r="N467" s="5" t="b">
        <v>1</v>
      </c>
      <c r="O467" s="5" t="b">
        <v>1</v>
      </c>
      <c r="P467" s="5" t="b">
        <v>0</v>
      </c>
      <c r="Q467" s="5" t="b">
        <v>0</v>
      </c>
      <c r="R467" s="7" t="n">
        <v>700</v>
      </c>
      <c r="S467" s="7" t="n">
        <v>180</v>
      </c>
      <c r="T467" s="7" t="n">
        <v>3</v>
      </c>
      <c r="U467" s="5" t="inlineStr"/>
      <c r="V467" s="5" t="inlineStr"/>
      <c r="W467" s="5" t="inlineStr">
        <is>
          <t>Vivo Travel Américas e Europa; 2 linhas adicionais inclusas</t>
        </is>
      </c>
      <c r="X467" s="5" t="inlineStr">
        <is>
          <t>700 Mega de Vivo Fibra</t>
        </is>
      </c>
      <c r="Y467" s="5" t="inlineStr">
        <is>
          <t>https://vivo.com.br/para-voce/produtos-e-servicos/combos/vivo-total</t>
        </is>
      </c>
      <c r="Z467" s="5" t="inlineStr">
        <is>
          <t>data/raw/vivo_convergent_total_SP.html</t>
        </is>
      </c>
    </row>
    <row r="468">
      <c r="A468" s="2" t="inlineStr">
        <is>
          <t>2026-08-23</t>
        </is>
      </c>
      <c r="B468" s="2" t="inlineStr">
        <is>
          <t>2026-08-23T18:17:10</t>
        </is>
      </c>
      <c r="C468" s="2" t="inlineStr">
        <is>
          <t>vivo</t>
        </is>
      </c>
      <c r="D468" s="2" t="inlineStr">
        <is>
          <t>SP</t>
        </is>
      </c>
      <c r="E468" s="2" t="inlineStr">
        <is>
          <t>Vivo Total Família 4</t>
        </is>
      </c>
      <c r="F468" s="2" t="inlineStr">
        <is>
          <t>vivo:VIV202604028245-237-305-316-408-411-426-430-442</t>
        </is>
      </c>
      <c r="G468" s="3" t="n">
        <v>420</v>
      </c>
      <c r="H468" s="3" t="inlineStr"/>
      <c r="I468" s="2" t="inlineStr"/>
      <c r="J468" s="2" t="inlineStr"/>
      <c r="K468" s="2" t="inlineStr">
        <is>
          <t>instalação grátis mediante fidelização (não afeta a mensalidade)</t>
        </is>
      </c>
      <c r="L468" s="2" t="inlineStr">
        <is>
          <t>mobile+broadband</t>
        </is>
      </c>
      <c r="M468" s="2" t="inlineStr">
        <is>
          <t>Fiber + Mobile</t>
        </is>
      </c>
      <c r="N468" s="2" t="b">
        <v>1</v>
      </c>
      <c r="O468" s="2" t="b">
        <v>1</v>
      </c>
      <c r="P468" s="2" t="b">
        <v>0</v>
      </c>
      <c r="Q468" s="2" t="b">
        <v>0</v>
      </c>
      <c r="R468" s="4" t="n">
        <v>700</v>
      </c>
      <c r="S468" s="4" t="n">
        <v>240</v>
      </c>
      <c r="T468" s="4" t="n">
        <v>4</v>
      </c>
      <c r="U468" s="2" t="inlineStr"/>
      <c r="V468" s="2" t="inlineStr"/>
      <c r="W468" s="2" t="inlineStr">
        <is>
          <t>Vivo Travel Américas e Europa; 3 linhas adicionais inclusas</t>
        </is>
      </c>
      <c r="X468" s="2" t="inlineStr">
        <is>
          <t>700 Mega de Vivo Fibra</t>
        </is>
      </c>
      <c r="Y468" s="2" t="inlineStr">
        <is>
          <t>https://vivo.com.br/para-voce/produtos-e-servicos/combos/vivo-total</t>
        </is>
      </c>
      <c r="Z468" s="2" t="inlineStr">
        <is>
          <t>data/raw/vivo_convergent_total_SP.html</t>
        </is>
      </c>
    </row>
    <row r="469">
      <c r="A469" s="5" t="inlineStr">
        <is>
          <t>2026-08-23</t>
        </is>
      </c>
      <c r="B469" s="5" t="inlineStr">
        <is>
          <t>2026-08-23T18:17:10</t>
        </is>
      </c>
      <c r="C469" s="5" t="inlineStr">
        <is>
          <t>vivo</t>
        </is>
      </c>
      <c r="D469" s="5" t="inlineStr">
        <is>
          <t>SP</t>
        </is>
      </c>
      <c r="E469" s="5" t="inlineStr">
        <is>
          <t>Vivo Total Família 5</t>
        </is>
      </c>
      <c r="F469" s="5" t="inlineStr">
        <is>
          <t>vivo:VIV202604028325-5-305-316-408-411-426-430-442</t>
        </is>
      </c>
      <c r="G469" s="6" t="n">
        <v>520</v>
      </c>
      <c r="H469" s="6" t="inlineStr"/>
      <c r="I469" s="5" t="inlineStr"/>
      <c r="J469" s="5" t="inlineStr"/>
      <c r="K469" s="5" t="inlineStr">
        <is>
          <t>instalação grátis mediante fidelização (não afeta a mensalidade)</t>
        </is>
      </c>
      <c r="L469" s="5" t="inlineStr">
        <is>
          <t>mobile+broadband</t>
        </is>
      </c>
      <c r="M469" s="5" t="inlineStr">
        <is>
          <t>Fiber + Mobile</t>
        </is>
      </c>
      <c r="N469" s="5" t="b">
        <v>1</v>
      </c>
      <c r="O469" s="5" t="b">
        <v>1</v>
      </c>
      <c r="P469" s="5" t="b">
        <v>0</v>
      </c>
      <c r="Q469" s="5" t="b">
        <v>0</v>
      </c>
      <c r="R469" s="7" t="n">
        <v>700</v>
      </c>
      <c r="S469" s="7" t="n">
        <v>300</v>
      </c>
      <c r="T469" s="7" t="n">
        <v>5</v>
      </c>
      <c r="U469" s="5" t="inlineStr"/>
      <c r="V469" s="5" t="inlineStr"/>
      <c r="W469" s="5" t="inlineStr">
        <is>
          <t>Vivo Travel Américas e Europa; 4 linhas adicionais inclusas</t>
        </is>
      </c>
      <c r="X469" s="5" t="inlineStr">
        <is>
          <t>700 Mega de Vivo Fibra</t>
        </is>
      </c>
      <c r="Y469" s="5" t="inlineStr">
        <is>
          <t>https://vivo.com.br/para-voce/produtos-e-servicos/combos/vivo-total</t>
        </is>
      </c>
      <c r="Z469" s="5" t="inlineStr">
        <is>
          <t>data/raw/vivo_convergent_total_SP.html</t>
        </is>
      </c>
    </row>
    <row r="470">
      <c r="A470" s="2" t="inlineStr">
        <is>
          <t>2026-08-23</t>
        </is>
      </c>
      <c r="B470" s="2" t="inlineStr">
        <is>
          <t>2026-08-23T18:17:10</t>
        </is>
      </c>
      <c r="C470" s="2" t="inlineStr">
        <is>
          <t>vivo</t>
        </is>
      </c>
      <c r="D470" s="2" t="inlineStr">
        <is>
          <t>SP</t>
        </is>
      </c>
      <c r="E470" s="2" t="inlineStr">
        <is>
          <t>Vivo Total Pro</t>
        </is>
      </c>
      <c r="F470" s="2" t="inlineStr">
        <is>
          <t>vivo:VIV202604028685-2-305-308-316-326-342-411-430</t>
        </is>
      </c>
      <c r="G470" s="3" t="n">
        <v>160</v>
      </c>
      <c r="H470" s="3" t="inlineStr"/>
      <c r="I470" s="2" t="inlineStr"/>
      <c r="J470" s="2" t="inlineStr"/>
      <c r="K470" s="2" t="inlineStr">
        <is>
          <t>instalação grátis mediante fidelização (não afeta a mensalidade)</t>
        </is>
      </c>
      <c r="L470" s="2" t="inlineStr">
        <is>
          <t>mobile+broadband</t>
        </is>
      </c>
      <c r="M470" s="2" t="inlineStr">
        <is>
          <t>Fiber + Mobile</t>
        </is>
      </c>
      <c r="N470" s="2" t="b">
        <v>1</v>
      </c>
      <c r="O470" s="2" t="b">
        <v>1</v>
      </c>
      <c r="P470" s="2" t="b">
        <v>0</v>
      </c>
      <c r="Q470" s="2" t="b">
        <v>0</v>
      </c>
      <c r="R470" s="4" t="n">
        <v>500</v>
      </c>
      <c r="S470" s="4" t="n">
        <v>60</v>
      </c>
      <c r="T470" s="4" t="n">
        <v>1</v>
      </c>
      <c r="U470" s="2" t="inlineStr"/>
      <c r="V470" s="2" t="inlineStr"/>
      <c r="W470" s="2" t="inlineStr">
        <is>
          <t>Vivo Travel Américas; 50 GB de franquia + 10 GB de bônus</t>
        </is>
      </c>
      <c r="X470" s="2" t="inlineStr">
        <is>
          <t>500 Mega de Vivo Fibra</t>
        </is>
      </c>
      <c r="Y470" s="2" t="inlineStr">
        <is>
          <t>https://vivo.com.br/para-voce/produtos-e-servicos/combos/vivo-total</t>
        </is>
      </c>
      <c r="Z470" s="2" t="inlineStr">
        <is>
          <t>data/raw/vivo_convergent_total_SP.html</t>
        </is>
      </c>
    </row>
    <row r="471">
      <c r="A471" s="5" t="inlineStr">
        <is>
          <t>2026-08-23</t>
        </is>
      </c>
      <c r="B471" s="5" t="inlineStr">
        <is>
          <t>2026-08-23T18:17:10</t>
        </is>
      </c>
      <c r="C471" s="5" t="inlineStr">
        <is>
          <t>vivo</t>
        </is>
      </c>
      <c r="D471" s="5" t="inlineStr">
        <is>
          <t>SP</t>
        </is>
      </c>
      <c r="E471" s="5" t="inlineStr">
        <is>
          <t>Vivo Total Ultra</t>
        </is>
      </c>
      <c r="F471" s="5" t="inlineStr">
        <is>
          <t>vivo:VIV202604028947-305-313-316-408-411-426-430-442</t>
        </is>
      </c>
      <c r="G471" s="6" t="n">
        <v>170</v>
      </c>
      <c r="H471" s="6" t="inlineStr"/>
      <c r="I471" s="5" t="inlineStr"/>
      <c r="J471" s="5" t="inlineStr"/>
      <c r="K471" s="5" t="inlineStr">
        <is>
          <t>instalação grátis mediante fidelização (não afeta a mensalidade)</t>
        </is>
      </c>
      <c r="L471" s="5" t="inlineStr">
        <is>
          <t>mobile+broadband</t>
        </is>
      </c>
      <c r="M471" s="5" t="inlineStr">
        <is>
          <t>Fiber + Mobile</t>
        </is>
      </c>
      <c r="N471" s="5" t="b">
        <v>1</v>
      </c>
      <c r="O471" s="5" t="b">
        <v>1</v>
      </c>
      <c r="P471" s="5" t="b">
        <v>0</v>
      </c>
      <c r="Q471" s="5" t="b">
        <v>0</v>
      </c>
      <c r="R471" s="7" t="n">
        <v>700</v>
      </c>
      <c r="S471" s="7" t="n">
        <v>70</v>
      </c>
      <c r="T471" s="7" t="n">
        <v>1</v>
      </c>
      <c r="U471" s="5" t="inlineStr"/>
      <c r="V471" s="5" t="inlineStr"/>
      <c r="W471" s="5" t="inlineStr">
        <is>
          <t>Vivo Travel Américas; Exitlag e ponto cabeado incluso</t>
        </is>
      </c>
      <c r="X471" s="5" t="inlineStr">
        <is>
          <t>700 Mega de Vivo Fibra</t>
        </is>
      </c>
      <c r="Y471" s="5" t="inlineStr">
        <is>
          <t>https://vivo.com.br/para-voce/produtos-e-servicos/combos/vivo-total</t>
        </is>
      </c>
      <c r="Z471" s="5" t="inlineStr">
        <is>
          <t>data/raw/vivo_convergent_total_SP.html</t>
        </is>
      </c>
    </row>
    <row r="472">
      <c r="A472" s="2" t="inlineStr">
        <is>
          <t>2026-08-23</t>
        </is>
      </c>
      <c r="B472" s="2" t="inlineStr">
        <is>
          <t>2026-08-23T18:17:10</t>
        </is>
      </c>
      <c r="C472" s="2" t="inlineStr">
        <is>
          <t>vivo</t>
        </is>
      </c>
      <c r="D472" s="2" t="inlineStr">
        <is>
          <t>SP</t>
        </is>
      </c>
      <c r="E472" s="2" t="inlineStr">
        <is>
          <t>Vivo Total Ultra + TV</t>
        </is>
      </c>
      <c r="F472" s="2" t="inlineStr">
        <is>
          <t>vivo:VIV202604028795-9-305-313-316-408-411-426-430-442</t>
        </is>
      </c>
      <c r="G472" s="3" t="n">
        <v>310</v>
      </c>
      <c r="H472" s="3" t="inlineStr"/>
      <c r="I472" s="2" t="inlineStr"/>
      <c r="J472" s="2" t="inlineStr"/>
      <c r="K472" s="2" t="inlineStr">
        <is>
          <t>instalação grátis mediante fidelização (não afeta a mensalidade)</t>
        </is>
      </c>
      <c r="L472" s="2" t="inlineStr">
        <is>
          <t>mobile+broadband+tv</t>
        </is>
      </c>
      <c r="M472" s="2" t="inlineStr">
        <is>
          <t>Fiber + Mobile + TV</t>
        </is>
      </c>
      <c r="N472" s="2" t="b">
        <v>1</v>
      </c>
      <c r="O472" s="2" t="b">
        <v>1</v>
      </c>
      <c r="P472" s="2" t="b">
        <v>1</v>
      </c>
      <c r="Q472" s="2" t="b">
        <v>0</v>
      </c>
      <c r="R472" s="4" t="n">
        <v>700</v>
      </c>
      <c r="S472" s="4" t="n">
        <v>70</v>
      </c>
      <c r="T472" s="4" t="n">
        <v>1</v>
      </c>
      <c r="U472" s="2" t="inlineStr">
        <is>
          <t>120 canais de Vivo TV Avançado + 1 ponto adicional</t>
        </is>
      </c>
      <c r="V472" s="2" t="inlineStr"/>
      <c r="W472" s="2" t="inlineStr">
        <is>
          <t>Vivo travel américas</t>
        </is>
      </c>
      <c r="X472" s="2" t="inlineStr">
        <is>
          <t>700 Mega de Vivo Fibra</t>
        </is>
      </c>
      <c r="Y472" s="2" t="inlineStr">
        <is>
          <t>https://vivo.com.br/para-voce/produtos-e-servicos/combos/vivo-total</t>
        </is>
      </c>
      <c r="Z472" s="2" t="inlineStr">
        <is>
          <t>data/raw/vivo_convergent_total_SP.html</t>
        </is>
      </c>
    </row>
    <row r="473">
      <c r="A473" s="5" t="inlineStr">
        <is>
          <t>2026-08-23</t>
        </is>
      </c>
      <c r="B473" s="5" t="inlineStr">
        <is>
          <t>2026-08-23T18:17:10</t>
        </is>
      </c>
      <c r="C473" s="5" t="inlineStr">
        <is>
          <t>vivo</t>
        </is>
      </c>
      <c r="D473" s="5" t="inlineStr">
        <is>
          <t>SP</t>
        </is>
      </c>
      <c r="E473" s="5" t="inlineStr">
        <is>
          <t>Vivo Total Ultra + TV online</t>
        </is>
      </c>
      <c r="F473" s="5" t="inlineStr">
        <is>
          <t>vivo:VIV202604028947-305-313-316-336-408-411-426-430-442</t>
        </is>
      </c>
      <c r="G473" s="6" t="n">
        <v>210</v>
      </c>
      <c r="H473" s="6" t="inlineStr"/>
      <c r="I473" s="5" t="inlineStr"/>
      <c r="J473" s="5" t="inlineStr"/>
      <c r="K473" s="5" t="inlineStr">
        <is>
          <t>instalação grátis mediante fidelização (não afeta a mensalidade)</t>
        </is>
      </c>
      <c r="L473" s="5" t="inlineStr">
        <is>
          <t>mobile+broadband+tv</t>
        </is>
      </c>
      <c r="M473" s="5" t="inlineStr">
        <is>
          <t>Fiber + Mobile + TV</t>
        </is>
      </c>
      <c r="N473" s="5" t="b">
        <v>1</v>
      </c>
      <c r="O473" s="5" t="b">
        <v>1</v>
      </c>
      <c r="P473" s="5" t="b">
        <v>1</v>
      </c>
      <c r="Q473" s="5" t="b">
        <v>0</v>
      </c>
      <c r="R473" s="7" t="n">
        <v>700</v>
      </c>
      <c r="S473" s="7" t="n">
        <v>70</v>
      </c>
      <c r="T473" s="7" t="n">
        <v>1</v>
      </c>
      <c r="U473" s="5" t="inlineStr">
        <is>
          <t>80 canais de Vivo Estendido</t>
        </is>
      </c>
      <c r="V473" s="5" t="inlineStr"/>
      <c r="W473" s="5" t="inlineStr">
        <is>
          <t>Vivo travel américas</t>
        </is>
      </c>
      <c r="X473" s="5" t="inlineStr">
        <is>
          <t>700 Mega de Vivo Fibra</t>
        </is>
      </c>
      <c r="Y473" s="5" t="inlineStr">
        <is>
          <t>https://vivo.com.br/para-voce/produtos-e-servicos/combos/vivo-total</t>
        </is>
      </c>
      <c r="Z473" s="5" t="inlineStr">
        <is>
          <t>data/raw/vivo_convergent_total_SP.html</t>
        </is>
      </c>
    </row>
    <row r="474">
      <c r="A474" s="2" t="inlineStr">
        <is>
          <t>2026-08-23</t>
        </is>
      </c>
      <c r="B474" s="2" t="inlineStr">
        <is>
          <t>2026-08-23T18:17:10</t>
        </is>
      </c>
      <c r="C474" s="2" t="inlineStr">
        <is>
          <t>vivo</t>
        </is>
      </c>
      <c r="D474" s="2" t="inlineStr">
        <is>
          <t>SP</t>
        </is>
      </c>
      <c r="E474" s="2" t="inlineStr">
        <is>
          <t>Vivo Total V 1 Giga</t>
        </is>
      </c>
      <c r="F474" s="2" t="inlineStr">
        <is>
          <t>vivo:VIV202604029045-2-305-316-408-426-430-442</t>
        </is>
      </c>
      <c r="G474" s="3" t="n">
        <v>1200</v>
      </c>
      <c r="H474" s="3" t="inlineStr"/>
      <c r="I474" s="2" t="inlineStr"/>
      <c r="J474" s="2" t="inlineStr"/>
      <c r="K474" s="2" t="inlineStr">
        <is>
          <t>instalação grátis mediante fidelização (não afeta a mensalidade)</t>
        </is>
      </c>
      <c r="L474" s="2" t="inlineStr">
        <is>
          <t>mobile+broadband+tv</t>
        </is>
      </c>
      <c r="M474" s="2" t="inlineStr">
        <is>
          <t>Fiber + Mobile + TV</t>
        </is>
      </c>
      <c r="N474" s="2" t="b">
        <v>1</v>
      </c>
      <c r="O474" s="2" t="b">
        <v>1</v>
      </c>
      <c r="P474" s="2" t="b">
        <v>1</v>
      </c>
      <c r="Q474" s="2" t="b">
        <v>0</v>
      </c>
      <c r="R474" s="4" t="n">
        <v>1000</v>
      </c>
      <c r="S474" s="4" t="n">
        <v>600</v>
      </c>
      <c r="T474" s="4" t="n">
        <v>11</v>
      </c>
      <c r="U474" s="2" t="inlineStr">
        <is>
          <t>Vivo TV Completo com HBO Max e Telecine</t>
        </is>
      </c>
      <c r="V474" s="2" t="inlineStr"/>
      <c r="W474" s="2" t="inlineStr">
        <is>
          <t>Vivo Travel Mundo; 10 linhas adicionais inclusas; Vivo TV Completo com HBO Max e Telecine</t>
        </is>
      </c>
      <c r="X474" s="2" t="inlineStr">
        <is>
          <t>1Giga de Vivo Fibra</t>
        </is>
      </c>
      <c r="Y474" s="2" t="inlineStr">
        <is>
          <t>https://vivo.com.br/para-voce/produtos-e-servicos/combos/vivo-total</t>
        </is>
      </c>
      <c r="Z474" s="2" t="inlineStr">
        <is>
          <t>data/raw/vivo_convergent_total_SP.html</t>
        </is>
      </c>
    </row>
    <row r="475">
      <c r="A475" s="5" t="inlineStr">
        <is>
          <t>2026-08-24</t>
        </is>
      </c>
      <c r="B475" s="5" t="inlineStr">
        <is>
          <t>2026-08-24T18:24:33</t>
        </is>
      </c>
      <c r="C475" s="5" t="inlineStr">
        <is>
          <t>claro</t>
        </is>
      </c>
      <c r="D475" s="5" t="inlineStr">
        <is>
          <t>SP</t>
        </is>
      </c>
      <c r="E475" s="5" t="inlineStr">
        <is>
          <t>1 Giga com Globoplay incluso + Claro tv+ Box + Disney+ Amazon Prime + Netflix + HBO Max + Apple TV + Globoplay</t>
        </is>
      </c>
      <c r="F475" s="5" t="inlineStr">
        <is>
          <t>claro:af8152be-4aa7-4aa8-819a-a79687a3a9a0</t>
        </is>
      </c>
      <c r="G475" s="6" t="n">
        <v>299.8</v>
      </c>
      <c r="H475" s="6" t="inlineStr"/>
      <c r="I475" s="5" t="inlineStr"/>
      <c r="J475" s="5" t="inlineStr"/>
      <c r="K475" s="5" t="inlineStr">
        <is>
          <t>tab: Fibra + TV</t>
        </is>
      </c>
      <c r="L475" s="5" t="inlineStr">
        <is>
          <t>broadband+tv</t>
        </is>
      </c>
      <c r="M475" s="5" t="inlineStr">
        <is>
          <t>Fiber + TV</t>
        </is>
      </c>
      <c r="N475" s="5" t="b">
        <v>0</v>
      </c>
      <c r="O475" s="5" t="b">
        <v>1</v>
      </c>
      <c r="P475" s="5" t="b">
        <v>1</v>
      </c>
      <c r="Q475" s="5" t="b">
        <v>0</v>
      </c>
      <c r="R475" s="7" t="n">
        <v>1000</v>
      </c>
      <c r="S475" s="7" t="inlineStr"/>
      <c r="T475" s="7" t="inlineStr"/>
      <c r="U475" s="5" t="inlineStr">
        <is>
          <t>Claro tv+ Box + Disney+ Amazon Prime + Netflix + HBO Max + Apple TV + Globoplay</t>
        </is>
      </c>
      <c r="V475" s="5" t="inlineStr"/>
      <c r="W475" s="5" t="inlineStr"/>
      <c r="X475" s="5" t="inlineStr"/>
      <c r="Y475" s="5" t="inlineStr">
        <is>
          <t>https://www.claro.com.br/multi</t>
        </is>
      </c>
      <c r="Z475" s="5" t="inlineStr">
        <is>
          <t>data/raw/claro_convergent_multi_SP.html</t>
        </is>
      </c>
    </row>
    <row r="476">
      <c r="A476" s="2" t="inlineStr">
        <is>
          <t>2026-08-24</t>
        </is>
      </c>
      <c r="B476" s="2" t="inlineStr">
        <is>
          <t>2026-08-24T18:24:33</t>
        </is>
      </c>
      <c r="C476" s="2" t="inlineStr">
        <is>
          <t>claro</t>
        </is>
      </c>
      <c r="D476" s="2" t="inlineStr">
        <is>
          <t>SP</t>
        </is>
      </c>
      <c r="E476" s="2" t="inlineStr">
        <is>
          <t>1 Giga com Globoplay incluso + Claro tv+ Soundbox + Disney+ Amazon Prime + Netflix + HBO Max + Apple TV + Globoplay</t>
        </is>
      </c>
      <c r="F476" s="2" t="inlineStr">
        <is>
          <t>claro:ceb9fd87-0897-4dd2-a2f2-e7f09e714e49</t>
        </is>
      </c>
      <c r="G476" s="3" t="n">
        <v>429.8</v>
      </c>
      <c r="H476" s="3" t="inlineStr"/>
      <c r="I476" s="2" t="inlineStr"/>
      <c r="J476" s="2" t="inlineStr"/>
      <c r="K476" s="2" t="inlineStr">
        <is>
          <t>tab: Fibra + TV</t>
        </is>
      </c>
      <c r="L476" s="2" t="inlineStr">
        <is>
          <t>broadband+tv</t>
        </is>
      </c>
      <c r="M476" s="2" t="inlineStr">
        <is>
          <t>Fiber + TV</t>
        </is>
      </c>
      <c r="N476" s="2" t="b">
        <v>0</v>
      </c>
      <c r="O476" s="2" t="b">
        <v>1</v>
      </c>
      <c r="P476" s="2" t="b">
        <v>1</v>
      </c>
      <c r="Q476" s="2" t="b">
        <v>0</v>
      </c>
      <c r="R476" s="4" t="n">
        <v>1000</v>
      </c>
      <c r="S476" s="4" t="inlineStr"/>
      <c r="T476" s="4" t="inlineStr"/>
      <c r="U476" s="2" t="inlineStr">
        <is>
          <t>Claro tv+ Soundbox + Disney+ Amazon Prime + Netflix + HBO Max + Apple TV + Globoplay</t>
        </is>
      </c>
      <c r="V476" s="2" t="inlineStr"/>
      <c r="W476" s="2" t="inlineStr"/>
      <c r="X476" s="2" t="inlineStr"/>
      <c r="Y476" s="2" t="inlineStr">
        <is>
          <t>https://www.claro.com.br/multi</t>
        </is>
      </c>
      <c r="Z476" s="2" t="inlineStr">
        <is>
          <t>data/raw/claro_convergent_multi_SP.html</t>
        </is>
      </c>
    </row>
    <row r="477">
      <c r="A477" s="5" t="inlineStr">
        <is>
          <t>2026-08-24</t>
        </is>
      </c>
      <c r="B477" s="5" t="inlineStr">
        <is>
          <t>2026-08-24T18:24:33</t>
        </is>
      </c>
      <c r="C477" s="5" t="inlineStr">
        <is>
          <t>claro</t>
        </is>
      </c>
      <c r="D477" s="5" t="inlineStr">
        <is>
          <t>SP</t>
        </is>
      </c>
      <c r="E477" s="5" t="inlineStr">
        <is>
          <t>1 Giga com Globoplay incluso + Pós 100GB</t>
        </is>
      </c>
      <c r="F477" s="5" t="inlineStr">
        <is>
          <t>claro:a1de0ac1-61bb-4e97-a744-1ae4c3541673</t>
        </is>
      </c>
      <c r="G477" s="6" t="n">
        <v>179.9</v>
      </c>
      <c r="H477" s="6" t="inlineStr"/>
      <c r="I477" s="5" t="inlineStr"/>
      <c r="J477" s="5" t="inlineStr"/>
      <c r="K477" s="5" t="inlineStr">
        <is>
          <t>tab: Fibra + Móvel</t>
        </is>
      </c>
      <c r="L477" s="5" t="inlineStr">
        <is>
          <t>mobile+broadband</t>
        </is>
      </c>
      <c r="M477" s="5" t="inlineStr">
        <is>
          <t>Fiber + Mobile</t>
        </is>
      </c>
      <c r="N477" s="5" t="b">
        <v>1</v>
      </c>
      <c r="O477" s="5" t="b">
        <v>1</v>
      </c>
      <c r="P477" s="5" t="b">
        <v>0</v>
      </c>
      <c r="Q477" s="5" t="b">
        <v>0</v>
      </c>
      <c r="R477" s="7" t="n">
        <v>1000</v>
      </c>
      <c r="S477" s="7" t="n">
        <v>100</v>
      </c>
      <c r="T477" s="7" t="n">
        <v>1</v>
      </c>
      <c r="U477" s="5" t="inlineStr"/>
      <c r="V477" s="5" t="inlineStr"/>
      <c r="W477" s="5" t="inlineStr"/>
      <c r="X477" s="5" t="inlineStr">
        <is>
          <t>Pós 100GB</t>
        </is>
      </c>
      <c r="Y477" s="5" t="inlineStr">
        <is>
          <t>https://www.claro.com.br/multi</t>
        </is>
      </c>
      <c r="Z477" s="5" t="inlineStr">
        <is>
          <t>data/raw/claro_convergent_multi_SP.html</t>
        </is>
      </c>
    </row>
    <row r="478">
      <c r="A478" s="2" t="inlineStr">
        <is>
          <t>2026-08-24</t>
        </is>
      </c>
      <c r="B478" s="2" t="inlineStr">
        <is>
          <t>2026-08-24T18:24:33</t>
        </is>
      </c>
      <c r="C478" s="2" t="inlineStr">
        <is>
          <t>claro</t>
        </is>
      </c>
      <c r="D478" s="2" t="inlineStr">
        <is>
          <t>SP</t>
        </is>
      </c>
      <c r="E478" s="2" t="inlineStr">
        <is>
          <t>1 Giga com Globoplay incluso + Pós 100GB + Claro tv+ Box + Disney+ Amazon Prime + Netflix + HBO Max + Apple TV + Globoplay</t>
        </is>
      </c>
      <c r="F478" s="2" t="inlineStr">
        <is>
          <t>claro:548c4bad-7857-4c0c-94d5-45d33d66c57f</t>
        </is>
      </c>
      <c r="G478" s="3" t="n">
        <v>279.8</v>
      </c>
      <c r="H478" s="3" t="inlineStr"/>
      <c r="I478" s="2" t="inlineStr"/>
      <c r="J478" s="2" t="inlineStr"/>
      <c r="K478" s="2" t="inlineStr">
        <is>
          <t>tab: Fibra + Móvel + TV</t>
        </is>
      </c>
      <c r="L478" s="2" t="inlineStr">
        <is>
          <t>mobile+broadband+tv</t>
        </is>
      </c>
      <c r="M478" s="2" t="inlineStr">
        <is>
          <t>Fiber + Mobile + TV</t>
        </is>
      </c>
      <c r="N478" s="2" t="b">
        <v>1</v>
      </c>
      <c r="O478" s="2" t="b">
        <v>1</v>
      </c>
      <c r="P478" s="2" t="b">
        <v>1</v>
      </c>
      <c r="Q478" s="2" t="b">
        <v>0</v>
      </c>
      <c r="R478" s="4" t="n">
        <v>1000</v>
      </c>
      <c r="S478" s="4" t="n">
        <v>100</v>
      </c>
      <c r="T478" s="4" t="n">
        <v>1</v>
      </c>
      <c r="U478" s="2" t="inlineStr">
        <is>
          <t>Claro tv+ Box + Disney+ Amazon Prime + Netflix + HBO Max + Apple TV + Globoplay</t>
        </is>
      </c>
      <c r="V478" s="2" t="inlineStr"/>
      <c r="W478" s="2" t="inlineStr"/>
      <c r="X478" s="2" t="inlineStr">
        <is>
          <t>Pós 100GB</t>
        </is>
      </c>
      <c r="Y478" s="2" t="inlineStr">
        <is>
          <t>https://www.claro.com.br/multi</t>
        </is>
      </c>
      <c r="Z478" s="2" t="inlineStr">
        <is>
          <t>data/raw/claro_convergent_multi_SP.html</t>
        </is>
      </c>
    </row>
    <row r="479">
      <c r="A479" s="5" t="inlineStr">
        <is>
          <t>2026-08-24</t>
        </is>
      </c>
      <c r="B479" s="5" t="inlineStr">
        <is>
          <t>2026-08-24T18:24:33</t>
        </is>
      </c>
      <c r="C479" s="5" t="inlineStr">
        <is>
          <t>claro</t>
        </is>
      </c>
      <c r="D479" s="5" t="inlineStr">
        <is>
          <t>SP</t>
        </is>
      </c>
      <c r="E479" s="5" t="inlineStr">
        <is>
          <t>1 Giga com Globoplay incluso + Pós 150GB</t>
        </is>
      </c>
      <c r="F479" s="5" t="inlineStr">
        <is>
          <t>claro:d47e2a3b-dfd0-410e-9c24-d07a334d01d4</t>
        </is>
      </c>
      <c r="G479" s="6" t="n">
        <v>299.9</v>
      </c>
      <c r="H479" s="6" t="inlineStr"/>
      <c r="I479" s="5" t="inlineStr"/>
      <c r="J479" s="5" t="inlineStr"/>
      <c r="K479" s="5" t="inlineStr">
        <is>
          <t>tab: Fibra + Móvel</t>
        </is>
      </c>
      <c r="L479" s="5" t="inlineStr">
        <is>
          <t>mobile+broadband</t>
        </is>
      </c>
      <c r="M479" s="5" t="inlineStr">
        <is>
          <t>Fiber + Mobile</t>
        </is>
      </c>
      <c r="N479" s="5" t="b">
        <v>1</v>
      </c>
      <c r="O479" s="5" t="b">
        <v>1</v>
      </c>
      <c r="P479" s="5" t="b">
        <v>0</v>
      </c>
      <c r="Q479" s="5" t="b">
        <v>0</v>
      </c>
      <c r="R479" s="7" t="n">
        <v>1000</v>
      </c>
      <c r="S479" s="7" t="n">
        <v>150</v>
      </c>
      <c r="T479" s="7" t="n">
        <v>2</v>
      </c>
      <c r="U479" s="5" t="inlineStr"/>
      <c r="V479" s="5" t="inlineStr"/>
      <c r="W479" s="5" t="inlineStr"/>
      <c r="X479" s="5" t="inlineStr">
        <is>
          <t>Pós 150GB</t>
        </is>
      </c>
      <c r="Y479" s="5" t="inlineStr">
        <is>
          <t>https://www.claro.com.br/multi</t>
        </is>
      </c>
      <c r="Z479" s="5" t="inlineStr">
        <is>
          <t>data/raw/claro_convergent_multi_SP.html</t>
        </is>
      </c>
    </row>
    <row r="480">
      <c r="A480" s="2" t="inlineStr">
        <is>
          <t>2026-08-24</t>
        </is>
      </c>
      <c r="B480" s="2" t="inlineStr">
        <is>
          <t>2026-08-24T18:24:33</t>
        </is>
      </c>
      <c r="C480" s="2" t="inlineStr">
        <is>
          <t>claro</t>
        </is>
      </c>
      <c r="D480" s="2" t="inlineStr">
        <is>
          <t>SP</t>
        </is>
      </c>
      <c r="E480" s="2" t="inlineStr">
        <is>
          <t>1 Giga com Globoplay incluso + Pós 150GB + Claro tv+ Box + Disney+ Amazon Prime + Netflix + HBO Max + Apple TV + Globoplay</t>
        </is>
      </c>
      <c r="F480" s="2" t="inlineStr">
        <is>
          <t>claro:7785b449-69f2-4234-9e24-8837e32a55c0</t>
        </is>
      </c>
      <c r="G480" s="3" t="n">
        <v>399.8</v>
      </c>
      <c r="H480" s="3" t="inlineStr"/>
      <c r="I480" s="2" t="inlineStr"/>
      <c r="J480" s="2" t="inlineStr"/>
      <c r="K480" s="2" t="inlineStr">
        <is>
          <t>tab: Fibra + Móvel + TV</t>
        </is>
      </c>
      <c r="L480" s="2" t="inlineStr">
        <is>
          <t>mobile+broadband+tv</t>
        </is>
      </c>
      <c r="M480" s="2" t="inlineStr">
        <is>
          <t>Fiber + Mobile + TV</t>
        </is>
      </c>
      <c r="N480" s="2" t="b">
        <v>1</v>
      </c>
      <c r="O480" s="2" t="b">
        <v>1</v>
      </c>
      <c r="P480" s="2" t="b">
        <v>1</v>
      </c>
      <c r="Q480" s="2" t="b">
        <v>0</v>
      </c>
      <c r="R480" s="4" t="n">
        <v>1000</v>
      </c>
      <c r="S480" s="4" t="n">
        <v>150</v>
      </c>
      <c r="T480" s="4" t="n">
        <v>1</v>
      </c>
      <c r="U480" s="2" t="inlineStr">
        <is>
          <t>Claro tv+ Box + Disney+ Amazon Prime + Netflix + HBO Max + Apple TV + Globoplay</t>
        </is>
      </c>
      <c r="V480" s="2" t="inlineStr"/>
      <c r="W480" s="2" t="inlineStr"/>
      <c r="X480" s="2" t="inlineStr">
        <is>
          <t>Pós 150GB</t>
        </is>
      </c>
      <c r="Y480" s="2" t="inlineStr">
        <is>
          <t>https://www.claro.com.br/multi</t>
        </is>
      </c>
      <c r="Z480" s="2" t="inlineStr">
        <is>
          <t>data/raw/claro_convergent_multi_SP.html</t>
        </is>
      </c>
    </row>
    <row r="481">
      <c r="A481" s="5" t="inlineStr">
        <is>
          <t>2026-08-24</t>
        </is>
      </c>
      <c r="B481" s="5" t="inlineStr">
        <is>
          <t>2026-08-24T18:24:33</t>
        </is>
      </c>
      <c r="C481" s="5" t="inlineStr">
        <is>
          <t>claro</t>
        </is>
      </c>
      <c r="D481" s="5" t="inlineStr">
        <is>
          <t>SP</t>
        </is>
      </c>
      <c r="E481" s="5" t="inlineStr">
        <is>
          <t>1 Giga com Globoplay incluso + Pós 200GB</t>
        </is>
      </c>
      <c r="F481" s="5" t="inlineStr">
        <is>
          <t>claro:1961a62d-3213-4ff0-a152-401a45c5b1b5</t>
        </is>
      </c>
      <c r="G481" s="6" t="n">
        <v>359.9</v>
      </c>
      <c r="H481" s="6" t="inlineStr"/>
      <c r="I481" s="5" t="inlineStr"/>
      <c r="J481" s="5" t="inlineStr"/>
      <c r="K481" s="5" t="inlineStr">
        <is>
          <t>tab: Fibra + Móvel</t>
        </is>
      </c>
      <c r="L481" s="5" t="inlineStr">
        <is>
          <t>mobile+broadband</t>
        </is>
      </c>
      <c r="M481" s="5" t="inlineStr">
        <is>
          <t>Fiber + Mobile</t>
        </is>
      </c>
      <c r="N481" s="5" t="b">
        <v>1</v>
      </c>
      <c r="O481" s="5" t="b">
        <v>1</v>
      </c>
      <c r="P481" s="5" t="b">
        <v>0</v>
      </c>
      <c r="Q481" s="5" t="b">
        <v>0</v>
      </c>
      <c r="R481" s="7" t="n">
        <v>1000</v>
      </c>
      <c r="S481" s="7" t="n">
        <v>200</v>
      </c>
      <c r="T481" s="7" t="n">
        <v>3</v>
      </c>
      <c r="U481" s="5" t="inlineStr"/>
      <c r="V481" s="5" t="inlineStr"/>
      <c r="W481" s="5" t="inlineStr"/>
      <c r="X481" s="5" t="inlineStr">
        <is>
          <t>Pós 200GB</t>
        </is>
      </c>
      <c r="Y481" s="5" t="inlineStr">
        <is>
          <t>https://www.claro.com.br/multi</t>
        </is>
      </c>
      <c r="Z481" s="5" t="inlineStr">
        <is>
          <t>data/raw/claro_convergent_multi_SP.html</t>
        </is>
      </c>
    </row>
    <row r="482">
      <c r="A482" s="2" t="inlineStr">
        <is>
          <t>2026-08-24</t>
        </is>
      </c>
      <c r="B482" s="2" t="inlineStr">
        <is>
          <t>2026-08-24T18:24:33</t>
        </is>
      </c>
      <c r="C482" s="2" t="inlineStr">
        <is>
          <t>claro</t>
        </is>
      </c>
      <c r="D482" s="2" t="inlineStr">
        <is>
          <t>SP</t>
        </is>
      </c>
      <c r="E482" s="2" t="inlineStr">
        <is>
          <t>1 Giga com Globoplay incluso + Pós 200GB + Claro tv+ Box + Disney+ Amazon Prime + Netflix + HBO Max + Apple TV + Globoplay</t>
        </is>
      </c>
      <c r="F482" s="2" t="inlineStr">
        <is>
          <t>claro:312815a2-b3a5-43bb-89a1-272d53ccb212</t>
        </is>
      </c>
      <c r="G482" s="3" t="n">
        <v>459.8</v>
      </c>
      <c r="H482" s="3" t="inlineStr"/>
      <c r="I482" s="2" t="inlineStr"/>
      <c r="J482" s="2" t="inlineStr"/>
      <c r="K482" s="2" t="inlineStr">
        <is>
          <t>tab: Fibra + Móvel + TV</t>
        </is>
      </c>
      <c r="L482" s="2" t="inlineStr">
        <is>
          <t>mobile+broadband+tv</t>
        </is>
      </c>
      <c r="M482" s="2" t="inlineStr">
        <is>
          <t>Fiber + Mobile + TV</t>
        </is>
      </c>
      <c r="N482" s="2" t="b">
        <v>1</v>
      </c>
      <c r="O482" s="2" t="b">
        <v>1</v>
      </c>
      <c r="P482" s="2" t="b">
        <v>1</v>
      </c>
      <c r="Q482" s="2" t="b">
        <v>0</v>
      </c>
      <c r="R482" s="4" t="n">
        <v>1000</v>
      </c>
      <c r="S482" s="4" t="n">
        <v>200</v>
      </c>
      <c r="T482" s="4" t="n">
        <v>1</v>
      </c>
      <c r="U482" s="2" t="inlineStr">
        <is>
          <t>Claro tv+ Box + Disney+ Amazon Prime + Netflix + HBO Max + Apple TV + Globoplay</t>
        </is>
      </c>
      <c r="V482" s="2" t="inlineStr"/>
      <c r="W482" s="2" t="inlineStr"/>
      <c r="X482" s="2" t="inlineStr">
        <is>
          <t>Pós 200GB</t>
        </is>
      </c>
      <c r="Y482" s="2" t="inlineStr">
        <is>
          <t>https://www.claro.com.br/multi</t>
        </is>
      </c>
      <c r="Z482" s="2" t="inlineStr">
        <is>
          <t>data/raw/claro_convergent_multi_SP.html</t>
        </is>
      </c>
    </row>
    <row r="483">
      <c r="A483" s="5" t="inlineStr">
        <is>
          <t>2026-08-24</t>
        </is>
      </c>
      <c r="B483" s="5" t="inlineStr">
        <is>
          <t>2026-08-24T18:24:33</t>
        </is>
      </c>
      <c r="C483" s="5" t="inlineStr">
        <is>
          <t>claro</t>
        </is>
      </c>
      <c r="D483" s="5" t="inlineStr">
        <is>
          <t>SP</t>
        </is>
      </c>
      <c r="E483" s="5" t="inlineStr">
        <is>
          <t>350 Mega com Globoplay incluso + Claro tv+ Box + Disney+ Amazon Prime + Netflix + HBO Max + Apple TV + Globoplay</t>
        </is>
      </c>
      <c r="F483" s="5" t="inlineStr">
        <is>
          <t>claro:97b00450-6f21-4349-8363-83d624b18328</t>
        </is>
      </c>
      <c r="G483" s="6" t="n">
        <v>209.8</v>
      </c>
      <c r="H483" s="6" t="inlineStr"/>
      <c r="I483" s="5" t="inlineStr"/>
      <c r="J483" s="5" t="inlineStr"/>
      <c r="K483" s="5" t="inlineStr">
        <is>
          <t>tab: Fibra + TV</t>
        </is>
      </c>
      <c r="L483" s="5" t="inlineStr">
        <is>
          <t>broadband+tv</t>
        </is>
      </c>
      <c r="M483" s="5" t="inlineStr">
        <is>
          <t>Fiber + TV</t>
        </is>
      </c>
      <c r="N483" s="5" t="b">
        <v>0</v>
      </c>
      <c r="O483" s="5" t="b">
        <v>1</v>
      </c>
      <c r="P483" s="5" t="b">
        <v>1</v>
      </c>
      <c r="Q483" s="5" t="b">
        <v>0</v>
      </c>
      <c r="R483" s="7" t="n">
        <v>350</v>
      </c>
      <c r="S483" s="7" t="inlineStr"/>
      <c r="T483" s="7" t="inlineStr"/>
      <c r="U483" s="5" t="inlineStr">
        <is>
          <t>Claro tv+ Box + Disney+ Amazon Prime + Netflix + HBO Max + Apple TV + Globoplay</t>
        </is>
      </c>
      <c r="V483" s="5" t="inlineStr"/>
      <c r="W483" s="5" t="inlineStr"/>
      <c r="X483" s="5" t="inlineStr"/>
      <c r="Y483" s="5" t="inlineStr">
        <is>
          <t>https://www.claro.com.br/multi</t>
        </is>
      </c>
      <c r="Z483" s="5" t="inlineStr">
        <is>
          <t>data/raw/claro_convergent_multi_SP.html</t>
        </is>
      </c>
    </row>
    <row r="484">
      <c r="A484" s="2" t="inlineStr">
        <is>
          <t>2026-08-24</t>
        </is>
      </c>
      <c r="B484" s="2" t="inlineStr">
        <is>
          <t>2026-08-24T18:24:33</t>
        </is>
      </c>
      <c r="C484" s="2" t="inlineStr">
        <is>
          <t>claro</t>
        </is>
      </c>
      <c r="D484" s="2" t="inlineStr">
        <is>
          <t>SP</t>
        </is>
      </c>
      <c r="E484" s="2" t="inlineStr">
        <is>
          <t>350 Mega com Globoplay incluso + Controle 40GB</t>
        </is>
      </c>
      <c r="F484" s="2" t="inlineStr">
        <is>
          <t>claro:a866ea9a-6a70-4b6e-b886-f8178086ca91</t>
        </is>
      </c>
      <c r="G484" s="3" t="n">
        <v>129.8</v>
      </c>
      <c r="H484" s="3" t="inlineStr"/>
      <c r="I484" s="2" t="inlineStr"/>
      <c r="J484" s="2" t="inlineStr">
        <is>
          <t>debit_auto</t>
        </is>
      </c>
      <c r="K484" s="2" t="inlineStr">
        <is>
          <t>tab: Fibra + Móvel; preço em débito em conta; +R$ 5.00 sem débito automático</t>
        </is>
      </c>
      <c r="L484" s="2" t="inlineStr">
        <is>
          <t>mobile+broadband</t>
        </is>
      </c>
      <c r="M484" s="2" t="inlineStr">
        <is>
          <t>Fiber + Mobile</t>
        </is>
      </c>
      <c r="N484" s="2" t="b">
        <v>1</v>
      </c>
      <c r="O484" s="2" t="b">
        <v>1</v>
      </c>
      <c r="P484" s="2" t="b">
        <v>0</v>
      </c>
      <c r="Q484" s="2" t="b">
        <v>0</v>
      </c>
      <c r="R484" s="4" t="n">
        <v>350</v>
      </c>
      <c r="S484" s="4" t="n">
        <v>40</v>
      </c>
      <c r="T484" s="4" t="n">
        <v>1</v>
      </c>
      <c r="U484" s="2" t="inlineStr"/>
      <c r="V484" s="2" t="inlineStr"/>
      <c r="W484" s="2" t="inlineStr"/>
      <c r="X484" s="2" t="inlineStr">
        <is>
          <t>Controle 40GB</t>
        </is>
      </c>
      <c r="Y484" s="2" t="inlineStr">
        <is>
          <t>https://www.claro.com.br/multi</t>
        </is>
      </c>
      <c r="Z484" s="2" t="inlineStr">
        <is>
          <t>data/raw/claro_convergent_multi_SP.html</t>
        </is>
      </c>
    </row>
    <row r="485">
      <c r="A485" s="5" t="inlineStr">
        <is>
          <t>2026-08-24</t>
        </is>
      </c>
      <c r="B485" s="5" t="inlineStr">
        <is>
          <t>2026-08-24T18:24:33</t>
        </is>
      </c>
      <c r="C485" s="5" t="inlineStr">
        <is>
          <t>claro</t>
        </is>
      </c>
      <c r="D485" s="5" t="inlineStr">
        <is>
          <t>SP</t>
        </is>
      </c>
      <c r="E485" s="5" t="inlineStr">
        <is>
          <t>350 Mega com Globoplay incluso + Pós 100GB + Claro tv+ Box + Disney+ Amazon Prime + Netflix + HBO Max + Apple TV + Globoplay</t>
        </is>
      </c>
      <c r="F485" s="5" t="inlineStr">
        <is>
          <t>claro:746fa9cf-ea2b-40de-ad2c-5803b3e0ab08</t>
        </is>
      </c>
      <c r="G485" s="6" t="n">
        <v>239.8</v>
      </c>
      <c r="H485" s="6" t="inlineStr"/>
      <c r="I485" s="5" t="inlineStr"/>
      <c r="J485" s="5" t="inlineStr"/>
      <c r="K485" s="5" t="inlineStr">
        <is>
          <t>tab: Fibra + Móvel + TV</t>
        </is>
      </c>
      <c r="L485" s="5" t="inlineStr">
        <is>
          <t>mobile+broadband+tv</t>
        </is>
      </c>
      <c r="M485" s="5" t="inlineStr">
        <is>
          <t>Fiber + Mobile + TV</t>
        </is>
      </c>
      <c r="N485" s="5" t="b">
        <v>1</v>
      </c>
      <c r="O485" s="5" t="b">
        <v>1</v>
      </c>
      <c r="P485" s="5" t="b">
        <v>1</v>
      </c>
      <c r="Q485" s="5" t="b">
        <v>0</v>
      </c>
      <c r="R485" s="7" t="n">
        <v>350</v>
      </c>
      <c r="S485" s="7" t="n">
        <v>100</v>
      </c>
      <c r="T485" s="7" t="n">
        <v>1</v>
      </c>
      <c r="U485" s="5" t="inlineStr">
        <is>
          <t>Claro tv+ Box + Disney+ Amazon Prime + Netflix + HBO Max + Apple TV + Globoplay</t>
        </is>
      </c>
      <c r="V485" s="5" t="inlineStr"/>
      <c r="W485" s="5" t="inlineStr"/>
      <c r="X485" s="5" t="inlineStr">
        <is>
          <t>Pós 100GB</t>
        </is>
      </c>
      <c r="Y485" s="5" t="inlineStr">
        <is>
          <t>https://www.claro.com.br/multi</t>
        </is>
      </c>
      <c r="Z485" s="5" t="inlineStr">
        <is>
          <t>data/raw/claro_convergent_multi_SP.html</t>
        </is>
      </c>
    </row>
    <row r="486">
      <c r="A486" s="2" t="inlineStr">
        <is>
          <t>2026-08-24</t>
        </is>
      </c>
      <c r="B486" s="2" t="inlineStr">
        <is>
          <t>2026-08-24T18:24:33</t>
        </is>
      </c>
      <c r="C486" s="2" t="inlineStr">
        <is>
          <t>claro</t>
        </is>
      </c>
      <c r="D486" s="2" t="inlineStr">
        <is>
          <t>SP</t>
        </is>
      </c>
      <c r="E486" s="2" t="inlineStr">
        <is>
          <t>600 Mega com Globoplay incluso + Claro tv+ Box + Disney+ Amazon Prime + Netflix + HBO Max + Apple TV + Globoplay</t>
        </is>
      </c>
      <c r="F486" s="2" t="inlineStr">
        <is>
          <t>claro:545261b1-2f4d-4dab-82a6-02d9e66c5d3d</t>
        </is>
      </c>
      <c r="G486" s="3" t="n">
        <v>219.8</v>
      </c>
      <c r="H486" s="3" t="inlineStr"/>
      <c r="I486" s="2" t="inlineStr"/>
      <c r="J486" s="2" t="inlineStr"/>
      <c r="K486" s="2" t="inlineStr">
        <is>
          <t>tab: Fibra + TV</t>
        </is>
      </c>
      <c r="L486" s="2" t="inlineStr">
        <is>
          <t>broadband+tv</t>
        </is>
      </c>
      <c r="M486" s="2" t="inlineStr">
        <is>
          <t>Fiber + TV</t>
        </is>
      </c>
      <c r="N486" s="2" t="b">
        <v>0</v>
      </c>
      <c r="O486" s="2" t="b">
        <v>1</v>
      </c>
      <c r="P486" s="2" t="b">
        <v>1</v>
      </c>
      <c r="Q486" s="2" t="b">
        <v>0</v>
      </c>
      <c r="R486" s="4" t="n">
        <v>600</v>
      </c>
      <c r="S486" s="4" t="inlineStr"/>
      <c r="T486" s="4" t="inlineStr"/>
      <c r="U486" s="2" t="inlineStr">
        <is>
          <t>Claro tv+ Box + Disney+ Amazon Prime + Netflix + HBO Max + Apple TV + Globoplay</t>
        </is>
      </c>
      <c r="V486" s="2" t="inlineStr"/>
      <c r="W486" s="2" t="inlineStr"/>
      <c r="X486" s="2" t="inlineStr"/>
      <c r="Y486" s="2" t="inlineStr">
        <is>
          <t>https://www.claro.com.br/multi</t>
        </is>
      </c>
      <c r="Z486" s="2" t="inlineStr">
        <is>
          <t>data/raw/claro_convergent_multi_SP.html</t>
        </is>
      </c>
    </row>
    <row r="487">
      <c r="A487" s="5" t="inlineStr">
        <is>
          <t>2026-08-24</t>
        </is>
      </c>
      <c r="B487" s="5" t="inlineStr">
        <is>
          <t>2026-08-24T18:24:33</t>
        </is>
      </c>
      <c r="C487" s="5" t="inlineStr">
        <is>
          <t>claro</t>
        </is>
      </c>
      <c r="D487" s="5" t="inlineStr">
        <is>
          <t>SP</t>
        </is>
      </c>
      <c r="E487" s="5" t="inlineStr">
        <is>
          <t>600 Mega com Globoplay incluso + Pós 100GB</t>
        </is>
      </c>
      <c r="F487" s="5" t="inlineStr">
        <is>
          <t>claro:350ac58a-533c-4858-83be-be3ea39c8874</t>
        </is>
      </c>
      <c r="G487" s="6" t="n">
        <v>159.9</v>
      </c>
      <c r="H487" s="6" t="inlineStr"/>
      <c r="I487" s="5" t="inlineStr"/>
      <c r="J487" s="5" t="inlineStr"/>
      <c r="K487" s="5" t="inlineStr">
        <is>
          <t>tab: Fibra + Móvel</t>
        </is>
      </c>
      <c r="L487" s="5" t="inlineStr">
        <is>
          <t>mobile+broadband</t>
        </is>
      </c>
      <c r="M487" s="5" t="inlineStr">
        <is>
          <t>Fiber + Mobile</t>
        </is>
      </c>
      <c r="N487" s="5" t="b">
        <v>1</v>
      </c>
      <c r="O487" s="5" t="b">
        <v>1</v>
      </c>
      <c r="P487" s="5" t="b">
        <v>0</v>
      </c>
      <c r="Q487" s="5" t="b">
        <v>0</v>
      </c>
      <c r="R487" s="7" t="n">
        <v>600</v>
      </c>
      <c r="S487" s="7" t="n">
        <v>100</v>
      </c>
      <c r="T487" s="7" t="n">
        <v>1</v>
      </c>
      <c r="U487" s="5" t="inlineStr"/>
      <c r="V487" s="5" t="inlineStr"/>
      <c r="W487" s="5" t="inlineStr"/>
      <c r="X487" s="5" t="inlineStr">
        <is>
          <t>Pós 100GB</t>
        </is>
      </c>
      <c r="Y487" s="5" t="inlineStr">
        <is>
          <t>https://www.claro.com.br/multi</t>
        </is>
      </c>
      <c r="Z487" s="5" t="inlineStr">
        <is>
          <t>data/raw/claro_convergent_multi_SP.html</t>
        </is>
      </c>
    </row>
    <row r="488">
      <c r="A488" s="2" t="inlineStr">
        <is>
          <t>2026-08-24</t>
        </is>
      </c>
      <c r="B488" s="2" t="inlineStr">
        <is>
          <t>2026-08-24T18:24:33</t>
        </is>
      </c>
      <c r="C488" s="2" t="inlineStr">
        <is>
          <t>claro</t>
        </is>
      </c>
      <c r="D488" s="2" t="inlineStr">
        <is>
          <t>SP</t>
        </is>
      </c>
      <c r="E488" s="2" t="inlineStr">
        <is>
          <t>600 Mega com Globoplay incluso + Pós 100GB + Claro tv+ Box + Disney+ Amazon Prime + Netflix + HBO Max + Apple TV + Globoplay</t>
        </is>
      </c>
      <c r="F488" s="2" t="inlineStr">
        <is>
          <t>claro:f36e7dfb-f7c9-4055-844f-7bc101699de8</t>
        </is>
      </c>
      <c r="G488" s="3" t="n">
        <v>259.8</v>
      </c>
      <c r="H488" s="3" t="inlineStr"/>
      <c r="I488" s="2" t="inlineStr"/>
      <c r="J488" s="2" t="inlineStr"/>
      <c r="K488" s="2" t="inlineStr">
        <is>
          <t>tab: Fibra + Móvel + TV</t>
        </is>
      </c>
      <c r="L488" s="2" t="inlineStr">
        <is>
          <t>mobile+broadband+tv</t>
        </is>
      </c>
      <c r="M488" s="2" t="inlineStr">
        <is>
          <t>Fiber + Mobile + TV</t>
        </is>
      </c>
      <c r="N488" s="2" t="b">
        <v>1</v>
      </c>
      <c r="O488" s="2" t="b">
        <v>1</v>
      </c>
      <c r="P488" s="2" t="b">
        <v>1</v>
      </c>
      <c r="Q488" s="2" t="b">
        <v>0</v>
      </c>
      <c r="R488" s="4" t="n">
        <v>600</v>
      </c>
      <c r="S488" s="4" t="n">
        <v>100</v>
      </c>
      <c r="T488" s="4" t="n">
        <v>1</v>
      </c>
      <c r="U488" s="2" t="inlineStr">
        <is>
          <t>Claro tv+ Box + Disney+ Amazon Prime + Netflix + HBO Max + Apple TV + Globoplay</t>
        </is>
      </c>
      <c r="V488" s="2" t="inlineStr"/>
      <c r="W488" s="2" t="inlineStr"/>
      <c r="X488" s="2" t="inlineStr">
        <is>
          <t>Pós 100GB</t>
        </is>
      </c>
      <c r="Y488" s="2" t="inlineStr">
        <is>
          <t>https://www.claro.com.br/multi</t>
        </is>
      </c>
      <c r="Z488" s="2" t="inlineStr">
        <is>
          <t>data/raw/claro_convergent_multi_SP.html</t>
        </is>
      </c>
    </row>
    <row r="489">
      <c r="A489" s="5" t="inlineStr">
        <is>
          <t>2026-08-24</t>
        </is>
      </c>
      <c r="B489" s="5" t="inlineStr">
        <is>
          <t>2026-08-24T18:24:33</t>
        </is>
      </c>
      <c r="C489" s="5" t="inlineStr">
        <is>
          <t>tim</t>
        </is>
      </c>
      <c r="D489" s="5" t="inlineStr">
        <is>
          <t>SP</t>
        </is>
      </c>
      <c r="E489" s="5" t="inlineStr">
        <is>
          <t>TIM Ultracombo 5</t>
        </is>
      </c>
      <c r="F489" s="5" t="inlineStr">
        <is>
          <t>tim:167756</t>
        </is>
      </c>
      <c r="G489" s="6" t="n">
        <v>169.99</v>
      </c>
      <c r="H489" s="6" t="inlineStr"/>
      <c r="I489" s="5" t="inlineStr"/>
      <c r="J489" s="5" t="inlineStr">
        <is>
          <t>debit_auto</t>
        </is>
      </c>
      <c r="K489" s="5" t="inlineStr">
        <is>
          <t>preço em débito automático; R$ 179,99/mês no pagamento por fatura</t>
        </is>
      </c>
      <c r="L489" s="5" t="inlineStr">
        <is>
          <t>mobile+broadband</t>
        </is>
      </c>
      <c r="M489" s="5" t="inlineStr">
        <is>
          <t>Fiber + Mobile</t>
        </is>
      </c>
      <c r="N489" s="5" t="b">
        <v>1</v>
      </c>
      <c r="O489" s="5" t="b">
        <v>1</v>
      </c>
      <c r="P489" s="5" t="b">
        <v>0</v>
      </c>
      <c r="Q489" s="5" t="b">
        <v>0</v>
      </c>
      <c r="R489" s="7" t="n">
        <v>1000</v>
      </c>
      <c r="S489" s="7" t="n">
        <v>115</v>
      </c>
      <c r="T489" s="7" t="n">
        <v>1</v>
      </c>
      <c r="U489" s="5" t="inlineStr"/>
      <c r="V489" s="5" t="inlineStr">
        <is>
          <t>Paramount+, Deezer</t>
        </is>
      </c>
      <c r="W489" s="5" t="inlineStr"/>
      <c r="X489" s="5" t="inlineStr">
        <is>
          <t>1GIGA de Ultrafibra para casa + 115GB de TIM Black C Hero para móvel: (25GB do plano + 40GB promo + 50GB bônus especial)</t>
        </is>
      </c>
      <c r="Y489" s="5" t="inlineStr">
        <is>
          <t>https://www.tim.com.br/sp/internet/tim-ultracombo</t>
        </is>
      </c>
      <c r="Z489" s="5" t="inlineStr">
        <is>
          <t>data/raw/tim_convergent_ultracombo_SP.html</t>
        </is>
      </c>
    </row>
    <row r="490">
      <c r="A490" s="2" t="inlineStr">
        <is>
          <t>2026-08-24</t>
        </is>
      </c>
      <c r="B490" s="2" t="inlineStr">
        <is>
          <t>2026-08-24T18:24:33</t>
        </is>
      </c>
      <c r="C490" s="2" t="inlineStr">
        <is>
          <t>tim</t>
        </is>
      </c>
      <c r="D490" s="2" t="inlineStr">
        <is>
          <t>SP</t>
        </is>
      </c>
      <c r="E490" s="2" t="inlineStr">
        <is>
          <t>TIM Ultracombo 6</t>
        </is>
      </c>
      <c r="F490" s="2" t="inlineStr">
        <is>
          <t>tim:167751</t>
        </is>
      </c>
      <c r="G490" s="3" t="n">
        <v>139.99</v>
      </c>
      <c r="H490" s="3" t="inlineStr"/>
      <c r="I490" s="2" t="inlineStr"/>
      <c r="J490" s="2" t="inlineStr">
        <is>
          <t>debit_auto</t>
        </is>
      </c>
      <c r="K490" s="2" t="inlineStr">
        <is>
          <t>preço em débito automático; R$ 149,99/mês no pagamento por fatura</t>
        </is>
      </c>
      <c r="L490" s="2" t="inlineStr">
        <is>
          <t>mobile+broadband</t>
        </is>
      </c>
      <c r="M490" s="2" t="inlineStr">
        <is>
          <t>Fiber + Mobile</t>
        </is>
      </c>
      <c r="N490" s="2" t="b">
        <v>1</v>
      </c>
      <c r="O490" s="2" t="b">
        <v>1</v>
      </c>
      <c r="P490" s="2" t="b">
        <v>0</v>
      </c>
      <c r="Q490" s="2" t="b">
        <v>0</v>
      </c>
      <c r="R490" s="4" t="n">
        <v>1000</v>
      </c>
      <c r="S490" s="4" t="n">
        <v>70</v>
      </c>
      <c r="T490" s="4" t="n">
        <v>1</v>
      </c>
      <c r="U490" s="2" t="inlineStr"/>
      <c r="V490" s="2" t="inlineStr">
        <is>
          <t>Paramount+, Deezer</t>
        </is>
      </c>
      <c r="W490" s="2" t="inlineStr"/>
      <c r="X490" s="2" t="inlineStr">
        <is>
          <t>1GIGA de Ultrafibra para casa + 70GB de TIM Black A para móvel: (15GB do plano + 50GB promo + 5GB bônus especial)</t>
        </is>
      </c>
      <c r="Y490" s="2" t="inlineStr">
        <is>
          <t>https://www.tim.com.br/sp/internet/tim-ultracombo</t>
        </is>
      </c>
      <c r="Z490" s="2" t="inlineStr">
        <is>
          <t>data/raw/tim_convergent_ultracombo_SP.html</t>
        </is>
      </c>
    </row>
    <row r="491">
      <c r="A491" s="5" t="inlineStr">
        <is>
          <t>2026-08-24</t>
        </is>
      </c>
      <c r="B491" s="5" t="inlineStr">
        <is>
          <t>2026-08-24T18:24:33</t>
        </is>
      </c>
      <c r="C491" s="5" t="inlineStr">
        <is>
          <t>tim</t>
        </is>
      </c>
      <c r="D491" s="5" t="inlineStr">
        <is>
          <t>SP</t>
        </is>
      </c>
      <c r="E491" s="5" t="inlineStr">
        <is>
          <t>TIM Ultracombo 7</t>
        </is>
      </c>
      <c r="F491" s="5" t="inlineStr">
        <is>
          <t>tim:167761</t>
        </is>
      </c>
      <c r="G491" s="6" t="n">
        <v>89.98999999999999</v>
      </c>
      <c r="H491" s="6" t="inlineStr"/>
      <c r="I491" s="5" t="inlineStr"/>
      <c r="J491" s="5" t="inlineStr">
        <is>
          <t>debit_auto</t>
        </is>
      </c>
      <c r="K491" s="5" t="inlineStr">
        <is>
          <t>preço em débito automático; R$ 99,99/mês no pagamento por fatura</t>
        </is>
      </c>
      <c r="L491" s="5" t="inlineStr">
        <is>
          <t>mobile+broadband</t>
        </is>
      </c>
      <c r="M491" s="5" t="inlineStr">
        <is>
          <t>Fiber + Mobile</t>
        </is>
      </c>
      <c r="N491" s="5" t="b">
        <v>1</v>
      </c>
      <c r="O491" s="5" t="b">
        <v>1</v>
      </c>
      <c r="P491" s="5" t="b">
        <v>0</v>
      </c>
      <c r="Q491" s="5" t="b">
        <v>0</v>
      </c>
      <c r="R491" s="7" t="n">
        <v>500</v>
      </c>
      <c r="S491" s="7" t="n">
        <v>65</v>
      </c>
      <c r="T491" s="7" t="n">
        <v>1</v>
      </c>
      <c r="U491" s="5" t="inlineStr"/>
      <c r="V491" s="5" t="inlineStr"/>
      <c r="W491" s="5" t="inlineStr"/>
      <c r="X491" s="5" t="inlineStr">
        <is>
          <t>500MEGA de Ultrafibra para casa + 65GB de TIM Black A Light para móvel: (10GB do plano + 50GB promo)</t>
        </is>
      </c>
      <c r="Y491" s="5" t="inlineStr">
        <is>
          <t>https://www.tim.com.br/sp/internet/tim-ultracombo</t>
        </is>
      </c>
      <c r="Z491" s="5" t="inlineStr">
        <is>
          <t>data/raw/tim_convergent_ultracombo_SP.html</t>
        </is>
      </c>
    </row>
    <row r="492">
      <c r="A492" s="2" t="inlineStr">
        <is>
          <t>2026-08-24</t>
        </is>
      </c>
      <c r="B492" s="2" t="inlineStr">
        <is>
          <t>2026-08-24T18:24:33</t>
        </is>
      </c>
      <c r="C492" s="2" t="inlineStr">
        <is>
          <t>vivo</t>
        </is>
      </c>
      <c r="D492" s="2" t="inlineStr">
        <is>
          <t>SP</t>
        </is>
      </c>
      <c r="E492" s="2" t="inlineStr">
        <is>
          <t>Vivo Família 2</t>
        </is>
      </c>
      <c r="F492" s="2" t="inlineStr">
        <is>
          <t>vivo:VIV202604028085-3-305-316-336-408-411-426-430-442</t>
        </is>
      </c>
      <c r="G492" s="3" t="n">
        <v>290</v>
      </c>
      <c r="H492" s="3" t="inlineStr"/>
      <c r="I492" s="2" t="inlineStr"/>
      <c r="J492" s="2" t="inlineStr"/>
      <c r="K492" s="2" t="inlineStr">
        <is>
          <t>instalação grátis mediante fidelização (não afeta a mensalidade)</t>
        </is>
      </c>
      <c r="L492" s="2" t="inlineStr">
        <is>
          <t>mobile+broadband+tv</t>
        </is>
      </c>
      <c r="M492" s="2" t="inlineStr">
        <is>
          <t>Fiber + Mobile + TV</t>
        </is>
      </c>
      <c r="N492" s="2" t="b">
        <v>1</v>
      </c>
      <c r="O492" s="2" t="b">
        <v>1</v>
      </c>
      <c r="P492" s="2" t="b">
        <v>1</v>
      </c>
      <c r="Q492" s="2" t="b">
        <v>0</v>
      </c>
      <c r="R492" s="4" t="n">
        <v>700</v>
      </c>
      <c r="S492" s="4" t="n">
        <v>120</v>
      </c>
      <c r="T492" s="4" t="n">
        <v>2</v>
      </c>
      <c r="U492" s="2" t="inlineStr">
        <is>
          <t>80 canais de Vivo Estendido</t>
        </is>
      </c>
      <c r="V492" s="2" t="inlineStr"/>
      <c r="W492" s="2" t="inlineStr">
        <is>
          <t>Vivo Travel américas e europa; 1 linha adicional inclusa</t>
        </is>
      </c>
      <c r="X492" s="2" t="inlineStr">
        <is>
          <t>700 Mega de Vivo Fibra</t>
        </is>
      </c>
      <c r="Y492" s="2" t="inlineStr">
        <is>
          <t>https://vivo.com.br/para-voce/produtos-e-servicos/combos/vivo-total</t>
        </is>
      </c>
      <c r="Z492" s="2" t="inlineStr">
        <is>
          <t>data/raw/vivo_convergent_total_SP.html</t>
        </is>
      </c>
    </row>
    <row r="493">
      <c r="A493" s="5" t="inlineStr">
        <is>
          <t>2026-08-24</t>
        </is>
      </c>
      <c r="B493" s="5" t="inlineStr">
        <is>
          <t>2026-08-24T18:24:33</t>
        </is>
      </c>
      <c r="C493" s="5" t="inlineStr">
        <is>
          <t>vivo</t>
        </is>
      </c>
      <c r="D493" s="5" t="inlineStr">
        <is>
          <t>SP</t>
        </is>
      </c>
      <c r="E493" s="5" t="inlineStr">
        <is>
          <t>Vivo Família 2</t>
        </is>
      </c>
      <c r="F493" s="5" t="inlineStr">
        <is>
          <t>vivo:VIV202604028065-3-9-305-316-408-411-426-430-442</t>
        </is>
      </c>
      <c r="G493" s="6" t="n">
        <v>390</v>
      </c>
      <c r="H493" s="6" t="inlineStr"/>
      <c r="I493" s="5" t="inlineStr"/>
      <c r="J493" s="5" t="inlineStr"/>
      <c r="K493" s="5" t="inlineStr">
        <is>
          <t>instalação grátis mediante fidelização (não afeta a mensalidade)</t>
        </is>
      </c>
      <c r="L493" s="5" t="inlineStr">
        <is>
          <t>mobile+broadband+tv</t>
        </is>
      </c>
      <c r="M493" s="5" t="inlineStr">
        <is>
          <t>Fiber + Mobile + TV</t>
        </is>
      </c>
      <c r="N493" s="5" t="b">
        <v>1</v>
      </c>
      <c r="O493" s="5" t="b">
        <v>1</v>
      </c>
      <c r="P493" s="5" t="b">
        <v>1</v>
      </c>
      <c r="Q493" s="5" t="b">
        <v>0</v>
      </c>
      <c r="R493" s="7" t="n">
        <v>700</v>
      </c>
      <c r="S493" s="7" t="n">
        <v>120</v>
      </c>
      <c r="T493" s="7" t="n">
        <v>2</v>
      </c>
      <c r="U493" s="5" t="inlineStr">
        <is>
          <t>120 canais de Vivo TV Avançado + 1 ponto adicional</t>
        </is>
      </c>
      <c r="V493" s="5" t="inlineStr"/>
      <c r="W493" s="5" t="inlineStr">
        <is>
          <t>Vivo Travel américas e europa; 1 linha adicional inclusa</t>
        </is>
      </c>
      <c r="X493" s="5" t="inlineStr">
        <is>
          <t>700 Mega de Vivo Fibra</t>
        </is>
      </c>
      <c r="Y493" s="5" t="inlineStr">
        <is>
          <t>https://vivo.com.br/para-voce/produtos-e-servicos/combos/vivo-total</t>
        </is>
      </c>
      <c r="Z493" s="5" t="inlineStr">
        <is>
          <t>data/raw/vivo_convergent_total_SP.html</t>
        </is>
      </c>
    </row>
    <row r="494">
      <c r="A494" s="2" t="inlineStr">
        <is>
          <t>2026-08-24</t>
        </is>
      </c>
      <c r="B494" s="2" t="inlineStr">
        <is>
          <t>2026-08-24T18:24:33</t>
        </is>
      </c>
      <c r="C494" s="2" t="inlineStr">
        <is>
          <t>vivo</t>
        </is>
      </c>
      <c r="D494" s="2" t="inlineStr">
        <is>
          <t>SP</t>
        </is>
      </c>
      <c r="E494" s="2" t="inlineStr">
        <is>
          <t>Vivo Total Família 2</t>
        </is>
      </c>
      <c r="F494" s="2" t="inlineStr">
        <is>
          <t>vivo:VIV202604028085-3-305-316-408-411-426-430-442</t>
        </is>
      </c>
      <c r="G494" s="3" t="n">
        <v>270</v>
      </c>
      <c r="H494" s="3" t="inlineStr"/>
      <c r="I494" s="2" t="inlineStr"/>
      <c r="J494" s="2" t="inlineStr"/>
      <c r="K494" s="2" t="inlineStr">
        <is>
          <t>instalação grátis mediante fidelização (não afeta a mensalidade)</t>
        </is>
      </c>
      <c r="L494" s="2" t="inlineStr">
        <is>
          <t>mobile+broadband</t>
        </is>
      </c>
      <c r="M494" s="2" t="inlineStr">
        <is>
          <t>Fiber + Mobile</t>
        </is>
      </c>
      <c r="N494" s="2" t="b">
        <v>1</v>
      </c>
      <c r="O494" s="2" t="b">
        <v>1</v>
      </c>
      <c r="P494" s="2" t="b">
        <v>0</v>
      </c>
      <c r="Q494" s="2" t="b">
        <v>0</v>
      </c>
      <c r="R494" s="4" t="n">
        <v>700</v>
      </c>
      <c r="S494" s="4" t="n">
        <v>120</v>
      </c>
      <c r="T494" s="4" t="n">
        <v>2</v>
      </c>
      <c r="U494" s="2" t="inlineStr"/>
      <c r="V494" s="2" t="inlineStr"/>
      <c r="W494" s="2" t="inlineStr">
        <is>
          <t>Vivo Travel Américas e Europa; 1 linha adicional inclusa</t>
        </is>
      </c>
      <c r="X494" s="2" t="inlineStr">
        <is>
          <t>700 Mega de Vivo Fibra</t>
        </is>
      </c>
      <c r="Y494" s="2" t="inlineStr">
        <is>
          <t>https://vivo.com.br/para-voce/produtos-e-servicos/combos/vivo-total</t>
        </is>
      </c>
      <c r="Z494" s="2" t="inlineStr">
        <is>
          <t>data/raw/vivo_convergent_total_SP.html</t>
        </is>
      </c>
    </row>
    <row r="495">
      <c r="A495" s="5" t="inlineStr">
        <is>
          <t>2026-08-24</t>
        </is>
      </c>
      <c r="B495" s="5" t="inlineStr">
        <is>
          <t>2026-08-24T18:24:33</t>
        </is>
      </c>
      <c r="C495" s="5" t="inlineStr">
        <is>
          <t>vivo</t>
        </is>
      </c>
      <c r="D495" s="5" t="inlineStr">
        <is>
          <t>SP</t>
        </is>
      </c>
      <c r="E495" s="5" t="inlineStr">
        <is>
          <t>Vivo Total Família 3</t>
        </is>
      </c>
      <c r="F495" s="5" t="inlineStr">
        <is>
          <t>vivo:VIV202604028165-4-305-316-408-411-426-430-442</t>
        </is>
      </c>
      <c r="G495" s="6" t="n">
        <v>330</v>
      </c>
      <c r="H495" s="6" t="inlineStr"/>
      <c r="I495" s="5" t="inlineStr"/>
      <c r="J495" s="5" t="inlineStr"/>
      <c r="K495" s="5" t="inlineStr">
        <is>
          <t>instalação grátis mediante fidelização (não afeta a mensalidade)</t>
        </is>
      </c>
      <c r="L495" s="5" t="inlineStr">
        <is>
          <t>mobile+broadband</t>
        </is>
      </c>
      <c r="M495" s="5" t="inlineStr">
        <is>
          <t>Fiber + Mobile</t>
        </is>
      </c>
      <c r="N495" s="5" t="b">
        <v>1</v>
      </c>
      <c r="O495" s="5" t="b">
        <v>1</v>
      </c>
      <c r="P495" s="5" t="b">
        <v>0</v>
      </c>
      <c r="Q495" s="5" t="b">
        <v>0</v>
      </c>
      <c r="R495" s="7" t="n">
        <v>700</v>
      </c>
      <c r="S495" s="7" t="n">
        <v>180</v>
      </c>
      <c r="T495" s="7" t="n">
        <v>3</v>
      </c>
      <c r="U495" s="5" t="inlineStr"/>
      <c r="V495" s="5" t="inlineStr"/>
      <c r="W495" s="5" t="inlineStr">
        <is>
          <t>Vivo Travel Américas e Europa; 2 linhas adicionais inclusas</t>
        </is>
      </c>
      <c r="X495" s="5" t="inlineStr">
        <is>
          <t>700 Mega de Vivo Fibra</t>
        </is>
      </c>
      <c r="Y495" s="5" t="inlineStr">
        <is>
          <t>https://vivo.com.br/para-voce/produtos-e-servicos/combos/vivo-total</t>
        </is>
      </c>
      <c r="Z495" s="5" t="inlineStr">
        <is>
          <t>data/raw/vivo_convergent_total_SP.html</t>
        </is>
      </c>
    </row>
    <row r="496">
      <c r="A496" s="2" t="inlineStr">
        <is>
          <t>2026-08-24</t>
        </is>
      </c>
      <c r="B496" s="2" t="inlineStr">
        <is>
          <t>2026-08-24T18:24:33</t>
        </is>
      </c>
      <c r="C496" s="2" t="inlineStr">
        <is>
          <t>vivo</t>
        </is>
      </c>
      <c r="D496" s="2" t="inlineStr">
        <is>
          <t>SP</t>
        </is>
      </c>
      <c r="E496" s="2" t="inlineStr">
        <is>
          <t>Vivo Total Família 4</t>
        </is>
      </c>
      <c r="F496" s="2" t="inlineStr">
        <is>
          <t>vivo:VIV202604028245-237-305-316-408-411-426-430-442</t>
        </is>
      </c>
      <c r="G496" s="3" t="n">
        <v>420</v>
      </c>
      <c r="H496" s="3" t="inlineStr"/>
      <c r="I496" s="2" t="inlineStr"/>
      <c r="J496" s="2" t="inlineStr"/>
      <c r="K496" s="2" t="inlineStr">
        <is>
          <t>instalação grátis mediante fidelização (não afeta a mensalidade)</t>
        </is>
      </c>
      <c r="L496" s="2" t="inlineStr">
        <is>
          <t>mobile+broadband</t>
        </is>
      </c>
      <c r="M496" s="2" t="inlineStr">
        <is>
          <t>Fiber + Mobile</t>
        </is>
      </c>
      <c r="N496" s="2" t="b">
        <v>1</v>
      </c>
      <c r="O496" s="2" t="b">
        <v>1</v>
      </c>
      <c r="P496" s="2" t="b">
        <v>0</v>
      </c>
      <c r="Q496" s="2" t="b">
        <v>0</v>
      </c>
      <c r="R496" s="4" t="n">
        <v>700</v>
      </c>
      <c r="S496" s="4" t="n">
        <v>240</v>
      </c>
      <c r="T496" s="4" t="n">
        <v>4</v>
      </c>
      <c r="U496" s="2" t="inlineStr"/>
      <c r="V496" s="2" t="inlineStr"/>
      <c r="W496" s="2" t="inlineStr">
        <is>
          <t>Vivo Travel Américas e Europa; 3 linhas adicionais inclusas</t>
        </is>
      </c>
      <c r="X496" s="2" t="inlineStr">
        <is>
          <t>700 Mega de Vivo Fibra</t>
        </is>
      </c>
      <c r="Y496" s="2" t="inlineStr">
        <is>
          <t>https://vivo.com.br/para-voce/produtos-e-servicos/combos/vivo-total</t>
        </is>
      </c>
      <c r="Z496" s="2" t="inlineStr">
        <is>
          <t>data/raw/vivo_convergent_total_SP.html</t>
        </is>
      </c>
    </row>
    <row r="497">
      <c r="A497" s="5" t="inlineStr">
        <is>
          <t>2026-08-24</t>
        </is>
      </c>
      <c r="B497" s="5" t="inlineStr">
        <is>
          <t>2026-08-24T18:24:33</t>
        </is>
      </c>
      <c r="C497" s="5" t="inlineStr">
        <is>
          <t>vivo</t>
        </is>
      </c>
      <c r="D497" s="5" t="inlineStr">
        <is>
          <t>SP</t>
        </is>
      </c>
      <c r="E497" s="5" t="inlineStr">
        <is>
          <t>Vivo Total Família 5</t>
        </is>
      </c>
      <c r="F497" s="5" t="inlineStr">
        <is>
          <t>vivo:VIV202604028325-5-305-316-408-411-426-430-442</t>
        </is>
      </c>
      <c r="G497" s="6" t="n">
        <v>520</v>
      </c>
      <c r="H497" s="6" t="inlineStr"/>
      <c r="I497" s="5" t="inlineStr"/>
      <c r="J497" s="5" t="inlineStr"/>
      <c r="K497" s="5" t="inlineStr">
        <is>
          <t>instalação grátis mediante fidelização (não afeta a mensalidade)</t>
        </is>
      </c>
      <c r="L497" s="5" t="inlineStr">
        <is>
          <t>mobile+broadband</t>
        </is>
      </c>
      <c r="M497" s="5" t="inlineStr">
        <is>
          <t>Fiber + Mobile</t>
        </is>
      </c>
      <c r="N497" s="5" t="b">
        <v>1</v>
      </c>
      <c r="O497" s="5" t="b">
        <v>1</v>
      </c>
      <c r="P497" s="5" t="b">
        <v>0</v>
      </c>
      <c r="Q497" s="5" t="b">
        <v>0</v>
      </c>
      <c r="R497" s="7" t="n">
        <v>700</v>
      </c>
      <c r="S497" s="7" t="n">
        <v>300</v>
      </c>
      <c r="T497" s="7" t="n">
        <v>5</v>
      </c>
      <c r="U497" s="5" t="inlineStr"/>
      <c r="V497" s="5" t="inlineStr"/>
      <c r="W497" s="5" t="inlineStr">
        <is>
          <t>Vivo Travel Américas e Europa; 4 linhas adicionais inclusas</t>
        </is>
      </c>
      <c r="X497" s="5" t="inlineStr">
        <is>
          <t>700 Mega de Vivo Fibra</t>
        </is>
      </c>
      <c r="Y497" s="5" t="inlineStr">
        <is>
          <t>https://vivo.com.br/para-voce/produtos-e-servicos/combos/vivo-total</t>
        </is>
      </c>
      <c r="Z497" s="5" t="inlineStr">
        <is>
          <t>data/raw/vivo_convergent_total_SP.html</t>
        </is>
      </c>
    </row>
    <row r="498">
      <c r="A498" s="2" t="inlineStr">
        <is>
          <t>2026-08-24</t>
        </is>
      </c>
      <c r="B498" s="2" t="inlineStr">
        <is>
          <t>2026-08-24T18:24:33</t>
        </is>
      </c>
      <c r="C498" s="2" t="inlineStr">
        <is>
          <t>vivo</t>
        </is>
      </c>
      <c r="D498" s="2" t="inlineStr">
        <is>
          <t>SP</t>
        </is>
      </c>
      <c r="E498" s="2" t="inlineStr">
        <is>
          <t>Vivo Total Pro</t>
        </is>
      </c>
      <c r="F498" s="2" t="inlineStr">
        <is>
          <t>vivo:VIV202604028685-2-305-308-316-326-342-411-430</t>
        </is>
      </c>
      <c r="G498" s="3" t="n">
        <v>160</v>
      </c>
      <c r="H498" s="3" t="inlineStr"/>
      <c r="I498" s="2" t="inlineStr"/>
      <c r="J498" s="2" t="inlineStr"/>
      <c r="K498" s="2" t="inlineStr">
        <is>
          <t>instalação grátis mediante fidelização (não afeta a mensalidade)</t>
        </is>
      </c>
      <c r="L498" s="2" t="inlineStr">
        <is>
          <t>mobile+broadband</t>
        </is>
      </c>
      <c r="M498" s="2" t="inlineStr">
        <is>
          <t>Fiber + Mobile</t>
        </is>
      </c>
      <c r="N498" s="2" t="b">
        <v>1</v>
      </c>
      <c r="O498" s="2" t="b">
        <v>1</v>
      </c>
      <c r="P498" s="2" t="b">
        <v>0</v>
      </c>
      <c r="Q498" s="2" t="b">
        <v>0</v>
      </c>
      <c r="R498" s="4" t="n">
        <v>500</v>
      </c>
      <c r="S498" s="4" t="n">
        <v>60</v>
      </c>
      <c r="T498" s="4" t="n">
        <v>1</v>
      </c>
      <c r="U498" s="2" t="inlineStr"/>
      <c r="V498" s="2" t="inlineStr"/>
      <c r="W498" s="2" t="inlineStr">
        <is>
          <t>Vivo Travel Américas; 50 GB de franquia + 10 GB de bônus</t>
        </is>
      </c>
      <c r="X498" s="2" t="inlineStr">
        <is>
          <t>500 Mega de Vivo Fibra</t>
        </is>
      </c>
      <c r="Y498" s="2" t="inlineStr">
        <is>
          <t>https://vivo.com.br/para-voce/produtos-e-servicos/combos/vivo-total</t>
        </is>
      </c>
      <c r="Z498" s="2" t="inlineStr">
        <is>
          <t>data/raw/vivo_convergent_total_SP.html</t>
        </is>
      </c>
    </row>
    <row r="499">
      <c r="A499" s="5" t="inlineStr">
        <is>
          <t>2026-08-24</t>
        </is>
      </c>
      <c r="B499" s="5" t="inlineStr">
        <is>
          <t>2026-08-24T18:24:33</t>
        </is>
      </c>
      <c r="C499" s="5" t="inlineStr">
        <is>
          <t>vivo</t>
        </is>
      </c>
      <c r="D499" s="5" t="inlineStr">
        <is>
          <t>SP</t>
        </is>
      </c>
      <c r="E499" s="5" t="inlineStr">
        <is>
          <t>Vivo Total Ultra</t>
        </is>
      </c>
      <c r="F499" s="5" t="inlineStr">
        <is>
          <t>vivo:VIV202604028947-305-313-316-408-411-426-430-442</t>
        </is>
      </c>
      <c r="G499" s="6" t="n">
        <v>170</v>
      </c>
      <c r="H499" s="6" t="inlineStr"/>
      <c r="I499" s="5" t="inlineStr"/>
      <c r="J499" s="5" t="inlineStr"/>
      <c r="K499" s="5" t="inlineStr">
        <is>
          <t>instalação grátis mediante fidelização (não afeta a mensalidade)</t>
        </is>
      </c>
      <c r="L499" s="5" t="inlineStr">
        <is>
          <t>mobile+broadband</t>
        </is>
      </c>
      <c r="M499" s="5" t="inlineStr">
        <is>
          <t>Fiber + Mobile</t>
        </is>
      </c>
      <c r="N499" s="5" t="b">
        <v>1</v>
      </c>
      <c r="O499" s="5" t="b">
        <v>1</v>
      </c>
      <c r="P499" s="5" t="b">
        <v>0</v>
      </c>
      <c r="Q499" s="5" t="b">
        <v>0</v>
      </c>
      <c r="R499" s="7" t="n">
        <v>700</v>
      </c>
      <c r="S499" s="7" t="n">
        <v>70</v>
      </c>
      <c r="T499" s="7" t="n">
        <v>1</v>
      </c>
      <c r="U499" s="5" t="inlineStr"/>
      <c r="V499" s="5" t="inlineStr"/>
      <c r="W499" s="5" t="inlineStr">
        <is>
          <t>Vivo Travel Américas; Exitlag e ponto cabeado incluso</t>
        </is>
      </c>
      <c r="X499" s="5" t="inlineStr">
        <is>
          <t>700 Mega de Vivo Fibra</t>
        </is>
      </c>
      <c r="Y499" s="5" t="inlineStr">
        <is>
          <t>https://vivo.com.br/para-voce/produtos-e-servicos/combos/vivo-total</t>
        </is>
      </c>
      <c r="Z499" s="5" t="inlineStr">
        <is>
          <t>data/raw/vivo_convergent_total_SP.html</t>
        </is>
      </c>
    </row>
    <row r="500">
      <c r="A500" s="2" t="inlineStr">
        <is>
          <t>2026-08-24</t>
        </is>
      </c>
      <c r="B500" s="2" t="inlineStr">
        <is>
          <t>2026-08-24T18:24:33</t>
        </is>
      </c>
      <c r="C500" s="2" t="inlineStr">
        <is>
          <t>vivo</t>
        </is>
      </c>
      <c r="D500" s="2" t="inlineStr">
        <is>
          <t>SP</t>
        </is>
      </c>
      <c r="E500" s="2" t="inlineStr">
        <is>
          <t>Vivo Total Ultra + TV</t>
        </is>
      </c>
      <c r="F500" s="2" t="inlineStr">
        <is>
          <t>vivo:VIV202604028795-9-305-313-316-408-411-426-430-442</t>
        </is>
      </c>
      <c r="G500" s="3" t="n">
        <v>310</v>
      </c>
      <c r="H500" s="3" t="inlineStr"/>
      <c r="I500" s="2" t="inlineStr"/>
      <c r="J500" s="2" t="inlineStr"/>
      <c r="K500" s="2" t="inlineStr">
        <is>
          <t>instalação grátis mediante fidelização (não afeta a mensalidade)</t>
        </is>
      </c>
      <c r="L500" s="2" t="inlineStr">
        <is>
          <t>mobile+broadband+tv</t>
        </is>
      </c>
      <c r="M500" s="2" t="inlineStr">
        <is>
          <t>Fiber + Mobile + TV</t>
        </is>
      </c>
      <c r="N500" s="2" t="b">
        <v>1</v>
      </c>
      <c r="O500" s="2" t="b">
        <v>1</v>
      </c>
      <c r="P500" s="2" t="b">
        <v>1</v>
      </c>
      <c r="Q500" s="2" t="b">
        <v>0</v>
      </c>
      <c r="R500" s="4" t="n">
        <v>700</v>
      </c>
      <c r="S500" s="4" t="n">
        <v>70</v>
      </c>
      <c r="T500" s="4" t="n">
        <v>1</v>
      </c>
      <c r="U500" s="2" t="inlineStr">
        <is>
          <t>120 canais de Vivo TV Avançado + 1 ponto adicional</t>
        </is>
      </c>
      <c r="V500" s="2" t="inlineStr"/>
      <c r="W500" s="2" t="inlineStr">
        <is>
          <t>Vivo travel américas</t>
        </is>
      </c>
      <c r="X500" s="2" t="inlineStr">
        <is>
          <t>700 Mega de Vivo Fibra</t>
        </is>
      </c>
      <c r="Y500" s="2" t="inlineStr">
        <is>
          <t>https://vivo.com.br/para-voce/produtos-e-servicos/combos/vivo-total</t>
        </is>
      </c>
      <c r="Z500" s="2" t="inlineStr">
        <is>
          <t>data/raw/vivo_convergent_total_SP.html</t>
        </is>
      </c>
    </row>
    <row r="501">
      <c r="A501" s="5" t="inlineStr">
        <is>
          <t>2026-08-24</t>
        </is>
      </c>
      <c r="B501" s="5" t="inlineStr">
        <is>
          <t>2026-08-24T18:24:33</t>
        </is>
      </c>
      <c r="C501" s="5" t="inlineStr">
        <is>
          <t>vivo</t>
        </is>
      </c>
      <c r="D501" s="5" t="inlineStr">
        <is>
          <t>SP</t>
        </is>
      </c>
      <c r="E501" s="5" t="inlineStr">
        <is>
          <t>Vivo Total Ultra + TV online</t>
        </is>
      </c>
      <c r="F501" s="5" t="inlineStr">
        <is>
          <t>vivo:VIV202604028947-305-313-316-336-408-411-426-430-442</t>
        </is>
      </c>
      <c r="G501" s="6" t="n">
        <v>210</v>
      </c>
      <c r="H501" s="6" t="inlineStr"/>
      <c r="I501" s="5" t="inlineStr"/>
      <c r="J501" s="5" t="inlineStr"/>
      <c r="K501" s="5" t="inlineStr">
        <is>
          <t>instalação grátis mediante fidelização (não afeta a mensalidade)</t>
        </is>
      </c>
      <c r="L501" s="5" t="inlineStr">
        <is>
          <t>mobile+broadband+tv</t>
        </is>
      </c>
      <c r="M501" s="5" t="inlineStr">
        <is>
          <t>Fiber + Mobile + TV</t>
        </is>
      </c>
      <c r="N501" s="5" t="b">
        <v>1</v>
      </c>
      <c r="O501" s="5" t="b">
        <v>1</v>
      </c>
      <c r="P501" s="5" t="b">
        <v>1</v>
      </c>
      <c r="Q501" s="5" t="b">
        <v>0</v>
      </c>
      <c r="R501" s="7" t="n">
        <v>700</v>
      </c>
      <c r="S501" s="7" t="n">
        <v>70</v>
      </c>
      <c r="T501" s="7" t="n">
        <v>1</v>
      </c>
      <c r="U501" s="5" t="inlineStr">
        <is>
          <t>80 canais de Vivo Estendido</t>
        </is>
      </c>
      <c r="V501" s="5" t="inlineStr"/>
      <c r="W501" s="5" t="inlineStr">
        <is>
          <t>Vivo travel américas</t>
        </is>
      </c>
      <c r="X501" s="5" t="inlineStr">
        <is>
          <t>700 Mega de Vivo Fibra</t>
        </is>
      </c>
      <c r="Y501" s="5" t="inlineStr">
        <is>
          <t>https://vivo.com.br/para-voce/produtos-e-servicos/combos/vivo-total</t>
        </is>
      </c>
      <c r="Z501" s="5" t="inlineStr">
        <is>
          <t>data/raw/vivo_convergent_total_SP.html</t>
        </is>
      </c>
    </row>
    <row r="502">
      <c r="A502" s="2" t="inlineStr">
        <is>
          <t>2026-08-24</t>
        </is>
      </c>
      <c r="B502" s="2" t="inlineStr">
        <is>
          <t>2026-08-24T18:24:33</t>
        </is>
      </c>
      <c r="C502" s="2" t="inlineStr">
        <is>
          <t>vivo</t>
        </is>
      </c>
      <c r="D502" s="2" t="inlineStr">
        <is>
          <t>SP</t>
        </is>
      </c>
      <c r="E502" s="2" t="inlineStr">
        <is>
          <t>Vivo Total V 1 Giga</t>
        </is>
      </c>
      <c r="F502" s="2" t="inlineStr">
        <is>
          <t>vivo:VIV202604029045-2-305-316-408-426-430-442</t>
        </is>
      </c>
      <c r="G502" s="3" t="n">
        <v>1200</v>
      </c>
      <c r="H502" s="3" t="inlineStr"/>
      <c r="I502" s="2" t="inlineStr"/>
      <c r="J502" s="2" t="inlineStr"/>
      <c r="K502" s="2" t="inlineStr">
        <is>
          <t>instalação grátis mediante fidelização (não afeta a mensalidade)</t>
        </is>
      </c>
      <c r="L502" s="2" t="inlineStr">
        <is>
          <t>mobile+broadband+tv</t>
        </is>
      </c>
      <c r="M502" s="2" t="inlineStr">
        <is>
          <t>Fiber + Mobile + TV</t>
        </is>
      </c>
      <c r="N502" s="2" t="b">
        <v>1</v>
      </c>
      <c r="O502" s="2" t="b">
        <v>1</v>
      </c>
      <c r="P502" s="2" t="b">
        <v>1</v>
      </c>
      <c r="Q502" s="2" t="b">
        <v>0</v>
      </c>
      <c r="R502" s="4" t="n">
        <v>1000</v>
      </c>
      <c r="S502" s="4" t="n">
        <v>600</v>
      </c>
      <c r="T502" s="4" t="n">
        <v>11</v>
      </c>
      <c r="U502" s="2" t="inlineStr">
        <is>
          <t>Vivo TV Completo com HBO Max e Telecine</t>
        </is>
      </c>
      <c r="V502" s="2" t="inlineStr"/>
      <c r="W502" s="2" t="inlineStr">
        <is>
          <t>Vivo Travel Mundo; 10 linhas adicionais inclusas; Vivo TV Completo com HBO Max e Telecine</t>
        </is>
      </c>
      <c r="X502" s="2" t="inlineStr">
        <is>
          <t>1Giga de Vivo Fibra</t>
        </is>
      </c>
      <c r="Y502" s="2" t="inlineStr">
        <is>
          <t>https://vivo.com.br/para-voce/produtos-e-servicos/combos/vivo-total</t>
        </is>
      </c>
      <c r="Z502" s="2" t="inlineStr">
        <is>
          <t>data/raw/vivo_convergent_total_SP.html</t>
        </is>
      </c>
    </row>
    <row r="503">
      <c r="A503" s="5" t="inlineStr">
        <is>
          <t>2026-08-25</t>
        </is>
      </c>
      <c r="B503" s="5" t="inlineStr">
        <is>
          <t>2026-08-25T18:23:38</t>
        </is>
      </c>
      <c r="C503" s="5" t="inlineStr">
        <is>
          <t>claro</t>
        </is>
      </c>
      <c r="D503" s="5" t="inlineStr">
        <is>
          <t>SP</t>
        </is>
      </c>
      <c r="E503" s="5" t="inlineStr">
        <is>
          <t>1 Giga com Globoplay incluso + Claro tv+ Box + Disney+ Amazon Prime + Netflix + HBO Max + Apple TV + Globoplay</t>
        </is>
      </c>
      <c r="F503" s="5" t="inlineStr">
        <is>
          <t>claro:af8152be-4aa7-4aa8-819a-a79687a3a9a0</t>
        </is>
      </c>
      <c r="G503" s="6" t="n">
        <v>299.8</v>
      </c>
      <c r="H503" s="6" t="inlineStr"/>
      <c r="I503" s="5" t="inlineStr"/>
      <c r="J503" s="5" t="inlineStr"/>
      <c r="K503" s="5" t="inlineStr">
        <is>
          <t>tab: Fibra + TV</t>
        </is>
      </c>
      <c r="L503" s="5" t="inlineStr">
        <is>
          <t>broadband+tv</t>
        </is>
      </c>
      <c r="M503" s="5" t="inlineStr">
        <is>
          <t>Fiber + TV</t>
        </is>
      </c>
      <c r="N503" s="5" t="b">
        <v>0</v>
      </c>
      <c r="O503" s="5" t="b">
        <v>1</v>
      </c>
      <c r="P503" s="5" t="b">
        <v>1</v>
      </c>
      <c r="Q503" s="5" t="b">
        <v>0</v>
      </c>
      <c r="R503" s="7" t="n">
        <v>1000</v>
      </c>
      <c r="S503" s="7" t="inlineStr"/>
      <c r="T503" s="7" t="inlineStr"/>
      <c r="U503" s="5" t="inlineStr">
        <is>
          <t>Claro tv+ Box + Disney+ Amazon Prime + Netflix + HBO Max + Apple TV + Globoplay</t>
        </is>
      </c>
      <c r="V503" s="5" t="inlineStr"/>
      <c r="W503" s="5" t="inlineStr"/>
      <c r="X503" s="5" t="inlineStr"/>
      <c r="Y503" s="5" t="inlineStr">
        <is>
          <t>https://www.claro.com.br/multi</t>
        </is>
      </c>
      <c r="Z503" s="5" t="inlineStr">
        <is>
          <t>data/raw/claro_convergent_multi_SP.html</t>
        </is>
      </c>
    </row>
    <row r="504">
      <c r="A504" s="2" t="inlineStr">
        <is>
          <t>2026-08-25</t>
        </is>
      </c>
      <c r="B504" s="2" t="inlineStr">
        <is>
          <t>2026-08-25T18:23:38</t>
        </is>
      </c>
      <c r="C504" s="2" t="inlineStr">
        <is>
          <t>claro</t>
        </is>
      </c>
      <c r="D504" s="2" t="inlineStr">
        <is>
          <t>SP</t>
        </is>
      </c>
      <c r="E504" s="2" t="inlineStr">
        <is>
          <t>1 Giga com Globoplay incluso + Claro tv+ Soundbox + Disney+ Amazon Prime + Netflix + HBO Max + Apple TV + Globoplay</t>
        </is>
      </c>
      <c r="F504" s="2" t="inlineStr">
        <is>
          <t>claro:ceb9fd87-0897-4dd2-a2f2-e7f09e714e49</t>
        </is>
      </c>
      <c r="G504" s="3" t="n">
        <v>429.8</v>
      </c>
      <c r="H504" s="3" t="inlineStr"/>
      <c r="I504" s="2" t="inlineStr"/>
      <c r="J504" s="2" t="inlineStr"/>
      <c r="K504" s="2" t="inlineStr">
        <is>
          <t>tab: Fibra + TV</t>
        </is>
      </c>
      <c r="L504" s="2" t="inlineStr">
        <is>
          <t>broadband+tv</t>
        </is>
      </c>
      <c r="M504" s="2" t="inlineStr">
        <is>
          <t>Fiber + TV</t>
        </is>
      </c>
      <c r="N504" s="2" t="b">
        <v>0</v>
      </c>
      <c r="O504" s="2" t="b">
        <v>1</v>
      </c>
      <c r="P504" s="2" t="b">
        <v>1</v>
      </c>
      <c r="Q504" s="2" t="b">
        <v>0</v>
      </c>
      <c r="R504" s="4" t="n">
        <v>1000</v>
      </c>
      <c r="S504" s="4" t="inlineStr"/>
      <c r="T504" s="4" t="inlineStr"/>
      <c r="U504" s="2" t="inlineStr">
        <is>
          <t>Claro tv+ Soundbox + Disney+ Amazon Prime + Netflix + HBO Max + Apple TV + Globoplay</t>
        </is>
      </c>
      <c r="V504" s="2" t="inlineStr"/>
      <c r="W504" s="2" t="inlineStr"/>
      <c r="X504" s="2" t="inlineStr"/>
      <c r="Y504" s="2" t="inlineStr">
        <is>
          <t>https://www.claro.com.br/multi</t>
        </is>
      </c>
      <c r="Z504" s="2" t="inlineStr">
        <is>
          <t>data/raw/claro_convergent_multi_SP.html</t>
        </is>
      </c>
    </row>
    <row r="505">
      <c r="A505" s="5" t="inlineStr">
        <is>
          <t>2026-08-25</t>
        </is>
      </c>
      <c r="B505" s="5" t="inlineStr">
        <is>
          <t>2026-08-25T18:23:38</t>
        </is>
      </c>
      <c r="C505" s="5" t="inlineStr">
        <is>
          <t>claro</t>
        </is>
      </c>
      <c r="D505" s="5" t="inlineStr">
        <is>
          <t>SP</t>
        </is>
      </c>
      <c r="E505" s="5" t="inlineStr">
        <is>
          <t>1 Giga com Globoplay incluso + Pós 100GB</t>
        </is>
      </c>
      <c r="F505" s="5" t="inlineStr">
        <is>
          <t>claro:a1de0ac1-61bb-4e97-a744-1ae4c3541673</t>
        </is>
      </c>
      <c r="G505" s="6" t="n">
        <v>179.9</v>
      </c>
      <c r="H505" s="6" t="inlineStr"/>
      <c r="I505" s="5" t="inlineStr"/>
      <c r="J505" s="5" t="inlineStr"/>
      <c r="K505" s="5" t="inlineStr">
        <is>
          <t>tab: Fibra + Móvel</t>
        </is>
      </c>
      <c r="L505" s="5" t="inlineStr">
        <is>
          <t>mobile+broadband</t>
        </is>
      </c>
      <c r="M505" s="5" t="inlineStr">
        <is>
          <t>Fiber + Mobile</t>
        </is>
      </c>
      <c r="N505" s="5" t="b">
        <v>1</v>
      </c>
      <c r="O505" s="5" t="b">
        <v>1</v>
      </c>
      <c r="P505" s="5" t="b">
        <v>0</v>
      </c>
      <c r="Q505" s="5" t="b">
        <v>0</v>
      </c>
      <c r="R505" s="7" t="n">
        <v>1000</v>
      </c>
      <c r="S505" s="7" t="n">
        <v>100</v>
      </c>
      <c r="T505" s="7" t="n">
        <v>1</v>
      </c>
      <c r="U505" s="5" t="inlineStr"/>
      <c r="V505" s="5" t="inlineStr"/>
      <c r="W505" s="5" t="inlineStr"/>
      <c r="X505" s="5" t="inlineStr">
        <is>
          <t>Pós 100GB</t>
        </is>
      </c>
      <c r="Y505" s="5" t="inlineStr">
        <is>
          <t>https://www.claro.com.br/multi</t>
        </is>
      </c>
      <c r="Z505" s="5" t="inlineStr">
        <is>
          <t>data/raw/claro_convergent_multi_SP.html</t>
        </is>
      </c>
    </row>
    <row r="506">
      <c r="A506" s="2" t="inlineStr">
        <is>
          <t>2026-08-25</t>
        </is>
      </c>
      <c r="B506" s="2" t="inlineStr">
        <is>
          <t>2026-08-25T18:23:38</t>
        </is>
      </c>
      <c r="C506" s="2" t="inlineStr">
        <is>
          <t>claro</t>
        </is>
      </c>
      <c r="D506" s="2" t="inlineStr">
        <is>
          <t>SP</t>
        </is>
      </c>
      <c r="E506" s="2" t="inlineStr">
        <is>
          <t>1 Giga com Globoplay incluso + Pós 100GB + Claro tv+ Box + Disney+ Amazon Prime + Netflix + HBO Max + Apple TV + Globoplay</t>
        </is>
      </c>
      <c r="F506" s="2" t="inlineStr">
        <is>
          <t>claro:548c4bad-7857-4c0c-94d5-45d33d66c57f</t>
        </is>
      </c>
      <c r="G506" s="3" t="n">
        <v>279.8</v>
      </c>
      <c r="H506" s="3" t="inlineStr"/>
      <c r="I506" s="2" t="inlineStr"/>
      <c r="J506" s="2" t="inlineStr"/>
      <c r="K506" s="2" t="inlineStr">
        <is>
          <t>tab: Fibra + Móvel + TV</t>
        </is>
      </c>
      <c r="L506" s="2" t="inlineStr">
        <is>
          <t>mobile+broadband+tv</t>
        </is>
      </c>
      <c r="M506" s="2" t="inlineStr">
        <is>
          <t>Fiber + Mobile + TV</t>
        </is>
      </c>
      <c r="N506" s="2" t="b">
        <v>1</v>
      </c>
      <c r="O506" s="2" t="b">
        <v>1</v>
      </c>
      <c r="P506" s="2" t="b">
        <v>1</v>
      </c>
      <c r="Q506" s="2" t="b">
        <v>0</v>
      </c>
      <c r="R506" s="4" t="n">
        <v>1000</v>
      </c>
      <c r="S506" s="4" t="n">
        <v>100</v>
      </c>
      <c r="T506" s="4" t="n">
        <v>1</v>
      </c>
      <c r="U506" s="2" t="inlineStr">
        <is>
          <t>Claro tv+ Box + Disney+ Amazon Prime + Netflix + HBO Max + Apple TV + Globoplay</t>
        </is>
      </c>
      <c r="V506" s="2" t="inlineStr"/>
      <c r="W506" s="2" t="inlineStr"/>
      <c r="X506" s="2" t="inlineStr">
        <is>
          <t>Pós 100GB</t>
        </is>
      </c>
      <c r="Y506" s="2" t="inlineStr">
        <is>
          <t>https://www.claro.com.br/multi</t>
        </is>
      </c>
      <c r="Z506" s="2" t="inlineStr">
        <is>
          <t>data/raw/claro_convergent_multi_SP.html</t>
        </is>
      </c>
    </row>
    <row r="507">
      <c r="A507" s="5" t="inlineStr">
        <is>
          <t>2026-08-25</t>
        </is>
      </c>
      <c r="B507" s="5" t="inlineStr">
        <is>
          <t>2026-08-25T18:23:38</t>
        </is>
      </c>
      <c r="C507" s="5" t="inlineStr">
        <is>
          <t>claro</t>
        </is>
      </c>
      <c r="D507" s="5" t="inlineStr">
        <is>
          <t>SP</t>
        </is>
      </c>
      <c r="E507" s="5" t="inlineStr">
        <is>
          <t>1 Giga com Globoplay incluso + Pós 150GB</t>
        </is>
      </c>
      <c r="F507" s="5" t="inlineStr">
        <is>
          <t>claro:d47e2a3b-dfd0-410e-9c24-d07a334d01d4</t>
        </is>
      </c>
      <c r="G507" s="6" t="n">
        <v>299.9</v>
      </c>
      <c r="H507" s="6" t="inlineStr"/>
      <c r="I507" s="5" t="inlineStr"/>
      <c r="J507" s="5" t="inlineStr"/>
      <c r="K507" s="5" t="inlineStr">
        <is>
          <t>tab: Fibra + Móvel</t>
        </is>
      </c>
      <c r="L507" s="5" t="inlineStr">
        <is>
          <t>mobile+broadband</t>
        </is>
      </c>
      <c r="M507" s="5" t="inlineStr">
        <is>
          <t>Fiber + Mobile</t>
        </is>
      </c>
      <c r="N507" s="5" t="b">
        <v>1</v>
      </c>
      <c r="O507" s="5" t="b">
        <v>1</v>
      </c>
      <c r="P507" s="5" t="b">
        <v>0</v>
      </c>
      <c r="Q507" s="5" t="b">
        <v>0</v>
      </c>
      <c r="R507" s="7" t="n">
        <v>1000</v>
      </c>
      <c r="S507" s="7" t="n">
        <v>150</v>
      </c>
      <c r="T507" s="7" t="n">
        <v>2</v>
      </c>
      <c r="U507" s="5" t="inlineStr"/>
      <c r="V507" s="5" t="inlineStr"/>
      <c r="W507" s="5" t="inlineStr"/>
      <c r="X507" s="5" t="inlineStr">
        <is>
          <t>Pós 150GB</t>
        </is>
      </c>
      <c r="Y507" s="5" t="inlineStr">
        <is>
          <t>https://www.claro.com.br/multi</t>
        </is>
      </c>
      <c r="Z507" s="5" t="inlineStr">
        <is>
          <t>data/raw/claro_convergent_multi_SP.html</t>
        </is>
      </c>
    </row>
    <row r="508">
      <c r="A508" s="2" t="inlineStr">
        <is>
          <t>2026-08-25</t>
        </is>
      </c>
      <c r="B508" s="2" t="inlineStr">
        <is>
          <t>2026-08-25T18:23:38</t>
        </is>
      </c>
      <c r="C508" s="2" t="inlineStr">
        <is>
          <t>claro</t>
        </is>
      </c>
      <c r="D508" s="2" t="inlineStr">
        <is>
          <t>SP</t>
        </is>
      </c>
      <c r="E508" s="2" t="inlineStr">
        <is>
          <t>1 Giga com Globoplay incluso + Pós 150GB + Claro tv+ Box + Disney+ Amazon Prime + Netflix + HBO Max + Apple TV + Globoplay</t>
        </is>
      </c>
      <c r="F508" s="2" t="inlineStr">
        <is>
          <t>claro:7785b449-69f2-4234-9e24-8837e32a55c0</t>
        </is>
      </c>
      <c r="G508" s="3" t="n">
        <v>399.8</v>
      </c>
      <c r="H508" s="3" t="inlineStr"/>
      <c r="I508" s="2" t="inlineStr"/>
      <c r="J508" s="2" t="inlineStr"/>
      <c r="K508" s="2" t="inlineStr">
        <is>
          <t>tab: Fibra + Móvel + TV</t>
        </is>
      </c>
      <c r="L508" s="2" t="inlineStr">
        <is>
          <t>mobile+broadband+tv</t>
        </is>
      </c>
      <c r="M508" s="2" t="inlineStr">
        <is>
          <t>Fiber + Mobile + TV</t>
        </is>
      </c>
      <c r="N508" s="2" t="b">
        <v>1</v>
      </c>
      <c r="O508" s="2" t="b">
        <v>1</v>
      </c>
      <c r="P508" s="2" t="b">
        <v>1</v>
      </c>
      <c r="Q508" s="2" t="b">
        <v>0</v>
      </c>
      <c r="R508" s="4" t="n">
        <v>1000</v>
      </c>
      <c r="S508" s="4" t="n">
        <v>150</v>
      </c>
      <c r="T508" s="4" t="n">
        <v>1</v>
      </c>
      <c r="U508" s="2" t="inlineStr">
        <is>
          <t>Claro tv+ Box + Disney+ Amazon Prime + Netflix + HBO Max + Apple TV + Globoplay</t>
        </is>
      </c>
      <c r="V508" s="2" t="inlineStr"/>
      <c r="W508" s="2" t="inlineStr"/>
      <c r="X508" s="2" t="inlineStr">
        <is>
          <t>Pós 150GB</t>
        </is>
      </c>
      <c r="Y508" s="2" t="inlineStr">
        <is>
          <t>https://www.claro.com.br/multi</t>
        </is>
      </c>
      <c r="Z508" s="2" t="inlineStr">
        <is>
          <t>data/raw/claro_convergent_multi_SP.html</t>
        </is>
      </c>
    </row>
    <row r="509">
      <c r="A509" s="5" t="inlineStr">
        <is>
          <t>2026-08-25</t>
        </is>
      </c>
      <c r="B509" s="5" t="inlineStr">
        <is>
          <t>2026-08-25T18:23:38</t>
        </is>
      </c>
      <c r="C509" s="5" t="inlineStr">
        <is>
          <t>claro</t>
        </is>
      </c>
      <c r="D509" s="5" t="inlineStr">
        <is>
          <t>SP</t>
        </is>
      </c>
      <c r="E509" s="5" t="inlineStr">
        <is>
          <t>1 Giga com Globoplay incluso + Pós 200GB</t>
        </is>
      </c>
      <c r="F509" s="5" t="inlineStr">
        <is>
          <t>claro:1961a62d-3213-4ff0-a152-401a45c5b1b5</t>
        </is>
      </c>
      <c r="G509" s="6" t="n">
        <v>359.9</v>
      </c>
      <c r="H509" s="6" t="inlineStr"/>
      <c r="I509" s="5" t="inlineStr"/>
      <c r="J509" s="5" t="inlineStr"/>
      <c r="K509" s="5" t="inlineStr">
        <is>
          <t>tab: Fibra + Móvel</t>
        </is>
      </c>
      <c r="L509" s="5" t="inlineStr">
        <is>
          <t>mobile+broadband</t>
        </is>
      </c>
      <c r="M509" s="5" t="inlineStr">
        <is>
          <t>Fiber + Mobile</t>
        </is>
      </c>
      <c r="N509" s="5" t="b">
        <v>1</v>
      </c>
      <c r="O509" s="5" t="b">
        <v>1</v>
      </c>
      <c r="P509" s="5" t="b">
        <v>0</v>
      </c>
      <c r="Q509" s="5" t="b">
        <v>0</v>
      </c>
      <c r="R509" s="7" t="n">
        <v>1000</v>
      </c>
      <c r="S509" s="7" t="n">
        <v>200</v>
      </c>
      <c r="T509" s="7" t="n">
        <v>3</v>
      </c>
      <c r="U509" s="5" t="inlineStr"/>
      <c r="V509" s="5" t="inlineStr"/>
      <c r="W509" s="5" t="inlineStr"/>
      <c r="X509" s="5" t="inlineStr">
        <is>
          <t>Pós 200GB</t>
        </is>
      </c>
      <c r="Y509" s="5" t="inlineStr">
        <is>
          <t>https://www.claro.com.br/multi</t>
        </is>
      </c>
      <c r="Z509" s="5" t="inlineStr">
        <is>
          <t>data/raw/claro_convergent_multi_SP.html</t>
        </is>
      </c>
    </row>
    <row r="510">
      <c r="A510" s="2" t="inlineStr">
        <is>
          <t>2026-08-25</t>
        </is>
      </c>
      <c r="B510" s="2" t="inlineStr">
        <is>
          <t>2026-08-25T18:23:38</t>
        </is>
      </c>
      <c r="C510" s="2" t="inlineStr">
        <is>
          <t>claro</t>
        </is>
      </c>
      <c r="D510" s="2" t="inlineStr">
        <is>
          <t>SP</t>
        </is>
      </c>
      <c r="E510" s="2" t="inlineStr">
        <is>
          <t>1 Giga com Globoplay incluso + Pós 200GB + Claro tv+ Box + Disney+ Amazon Prime + Netflix + HBO Max + Apple TV + Globoplay</t>
        </is>
      </c>
      <c r="F510" s="2" t="inlineStr">
        <is>
          <t>claro:312815a2-b3a5-43bb-89a1-272d53ccb212</t>
        </is>
      </c>
      <c r="G510" s="3" t="n">
        <v>459.8</v>
      </c>
      <c r="H510" s="3" t="inlineStr"/>
      <c r="I510" s="2" t="inlineStr"/>
      <c r="J510" s="2" t="inlineStr"/>
      <c r="K510" s="2" t="inlineStr">
        <is>
          <t>tab: Fibra + Móvel + TV</t>
        </is>
      </c>
      <c r="L510" s="2" t="inlineStr">
        <is>
          <t>mobile+broadband+tv</t>
        </is>
      </c>
      <c r="M510" s="2" t="inlineStr">
        <is>
          <t>Fiber + Mobile + TV</t>
        </is>
      </c>
      <c r="N510" s="2" t="b">
        <v>1</v>
      </c>
      <c r="O510" s="2" t="b">
        <v>1</v>
      </c>
      <c r="P510" s="2" t="b">
        <v>1</v>
      </c>
      <c r="Q510" s="2" t="b">
        <v>0</v>
      </c>
      <c r="R510" s="4" t="n">
        <v>1000</v>
      </c>
      <c r="S510" s="4" t="n">
        <v>200</v>
      </c>
      <c r="T510" s="4" t="n">
        <v>1</v>
      </c>
      <c r="U510" s="2" t="inlineStr">
        <is>
          <t>Claro tv+ Box + Disney+ Amazon Prime + Netflix + HBO Max + Apple TV + Globoplay</t>
        </is>
      </c>
      <c r="V510" s="2" t="inlineStr"/>
      <c r="W510" s="2" t="inlineStr"/>
      <c r="X510" s="2" t="inlineStr">
        <is>
          <t>Pós 200GB</t>
        </is>
      </c>
      <c r="Y510" s="2" t="inlineStr">
        <is>
          <t>https://www.claro.com.br/multi</t>
        </is>
      </c>
      <c r="Z510" s="2" t="inlineStr">
        <is>
          <t>data/raw/claro_convergent_multi_SP.html</t>
        </is>
      </c>
    </row>
    <row r="511">
      <c r="A511" s="5" t="inlineStr">
        <is>
          <t>2026-08-25</t>
        </is>
      </c>
      <c r="B511" s="5" t="inlineStr">
        <is>
          <t>2026-08-25T18:23:38</t>
        </is>
      </c>
      <c r="C511" s="5" t="inlineStr">
        <is>
          <t>claro</t>
        </is>
      </c>
      <c r="D511" s="5" t="inlineStr">
        <is>
          <t>SP</t>
        </is>
      </c>
      <c r="E511" s="5" t="inlineStr">
        <is>
          <t>350 Mega com Globoplay incluso + Claro tv+ Box + Disney+ Amazon Prime + Netflix + HBO Max + Apple TV + Globoplay</t>
        </is>
      </c>
      <c r="F511" s="5" t="inlineStr">
        <is>
          <t>claro:97b00450-6f21-4349-8363-83d624b18328</t>
        </is>
      </c>
      <c r="G511" s="6" t="n">
        <v>209.8</v>
      </c>
      <c r="H511" s="6" t="inlineStr"/>
      <c r="I511" s="5" t="inlineStr"/>
      <c r="J511" s="5" t="inlineStr"/>
      <c r="K511" s="5" t="inlineStr">
        <is>
          <t>tab: Fibra + TV</t>
        </is>
      </c>
      <c r="L511" s="5" t="inlineStr">
        <is>
          <t>broadband+tv</t>
        </is>
      </c>
      <c r="M511" s="5" t="inlineStr">
        <is>
          <t>Fiber + TV</t>
        </is>
      </c>
      <c r="N511" s="5" t="b">
        <v>0</v>
      </c>
      <c r="O511" s="5" t="b">
        <v>1</v>
      </c>
      <c r="P511" s="5" t="b">
        <v>1</v>
      </c>
      <c r="Q511" s="5" t="b">
        <v>0</v>
      </c>
      <c r="R511" s="7" t="n">
        <v>350</v>
      </c>
      <c r="S511" s="7" t="inlineStr"/>
      <c r="T511" s="7" t="inlineStr"/>
      <c r="U511" s="5" t="inlineStr">
        <is>
          <t>Claro tv+ Box + Disney+ Amazon Prime + Netflix + HBO Max + Apple TV + Globoplay</t>
        </is>
      </c>
      <c r="V511" s="5" t="inlineStr"/>
      <c r="W511" s="5" t="inlineStr"/>
      <c r="X511" s="5" t="inlineStr"/>
      <c r="Y511" s="5" t="inlineStr">
        <is>
          <t>https://www.claro.com.br/multi</t>
        </is>
      </c>
      <c r="Z511" s="5" t="inlineStr">
        <is>
          <t>data/raw/claro_convergent_multi_SP.html</t>
        </is>
      </c>
    </row>
    <row r="512">
      <c r="A512" s="2" t="inlineStr">
        <is>
          <t>2026-08-25</t>
        </is>
      </c>
      <c r="B512" s="2" t="inlineStr">
        <is>
          <t>2026-08-25T18:23:38</t>
        </is>
      </c>
      <c r="C512" s="2" t="inlineStr">
        <is>
          <t>claro</t>
        </is>
      </c>
      <c r="D512" s="2" t="inlineStr">
        <is>
          <t>SP</t>
        </is>
      </c>
      <c r="E512" s="2" t="inlineStr">
        <is>
          <t>350 Mega com Globoplay incluso + Controle 40GB</t>
        </is>
      </c>
      <c r="F512" s="2" t="inlineStr">
        <is>
          <t>claro:a866ea9a-6a70-4b6e-b886-f8178086ca91</t>
        </is>
      </c>
      <c r="G512" s="3" t="n">
        <v>129.8</v>
      </c>
      <c r="H512" s="3" t="inlineStr"/>
      <c r="I512" s="2" t="inlineStr"/>
      <c r="J512" s="2" t="inlineStr">
        <is>
          <t>debit_auto</t>
        </is>
      </c>
      <c r="K512" s="2" t="inlineStr">
        <is>
          <t>tab: Fibra + Móvel; preço em débito em conta; +R$ 5.00 sem débito automático</t>
        </is>
      </c>
      <c r="L512" s="2" t="inlineStr">
        <is>
          <t>mobile+broadband</t>
        </is>
      </c>
      <c r="M512" s="2" t="inlineStr">
        <is>
          <t>Fiber + Mobile</t>
        </is>
      </c>
      <c r="N512" s="2" t="b">
        <v>1</v>
      </c>
      <c r="O512" s="2" t="b">
        <v>1</v>
      </c>
      <c r="P512" s="2" t="b">
        <v>0</v>
      </c>
      <c r="Q512" s="2" t="b">
        <v>0</v>
      </c>
      <c r="R512" s="4" t="n">
        <v>350</v>
      </c>
      <c r="S512" s="4" t="n">
        <v>40</v>
      </c>
      <c r="T512" s="4" t="n">
        <v>1</v>
      </c>
      <c r="U512" s="2" t="inlineStr"/>
      <c r="V512" s="2" t="inlineStr"/>
      <c r="W512" s="2" t="inlineStr"/>
      <c r="X512" s="2" t="inlineStr">
        <is>
          <t>Controle 40GB</t>
        </is>
      </c>
      <c r="Y512" s="2" t="inlineStr">
        <is>
          <t>https://www.claro.com.br/multi</t>
        </is>
      </c>
      <c r="Z512" s="2" t="inlineStr">
        <is>
          <t>data/raw/claro_convergent_multi_SP.html</t>
        </is>
      </c>
    </row>
    <row r="513">
      <c r="A513" s="5" t="inlineStr">
        <is>
          <t>2026-08-25</t>
        </is>
      </c>
      <c r="B513" s="5" t="inlineStr">
        <is>
          <t>2026-08-25T18:23:38</t>
        </is>
      </c>
      <c r="C513" s="5" t="inlineStr">
        <is>
          <t>claro</t>
        </is>
      </c>
      <c r="D513" s="5" t="inlineStr">
        <is>
          <t>SP</t>
        </is>
      </c>
      <c r="E513" s="5" t="inlineStr">
        <is>
          <t>350 Mega com Globoplay incluso + Pós 100GB + Claro tv+ Box + Disney+ Amazon Prime + Netflix + HBO Max + Apple TV + Globoplay</t>
        </is>
      </c>
      <c r="F513" s="5" t="inlineStr">
        <is>
          <t>claro:746fa9cf-ea2b-40de-ad2c-5803b3e0ab08</t>
        </is>
      </c>
      <c r="G513" s="6" t="n">
        <v>239.8</v>
      </c>
      <c r="H513" s="6" t="inlineStr"/>
      <c r="I513" s="5" t="inlineStr"/>
      <c r="J513" s="5" t="inlineStr"/>
      <c r="K513" s="5" t="inlineStr">
        <is>
          <t>tab: Fibra + Móvel + TV</t>
        </is>
      </c>
      <c r="L513" s="5" t="inlineStr">
        <is>
          <t>mobile+broadband+tv</t>
        </is>
      </c>
      <c r="M513" s="5" t="inlineStr">
        <is>
          <t>Fiber + Mobile + TV</t>
        </is>
      </c>
      <c r="N513" s="5" t="b">
        <v>1</v>
      </c>
      <c r="O513" s="5" t="b">
        <v>1</v>
      </c>
      <c r="P513" s="5" t="b">
        <v>1</v>
      </c>
      <c r="Q513" s="5" t="b">
        <v>0</v>
      </c>
      <c r="R513" s="7" t="n">
        <v>350</v>
      </c>
      <c r="S513" s="7" t="n">
        <v>100</v>
      </c>
      <c r="T513" s="7" t="n">
        <v>1</v>
      </c>
      <c r="U513" s="5" t="inlineStr">
        <is>
          <t>Claro tv+ Box + Disney+ Amazon Prime + Netflix + HBO Max + Apple TV + Globoplay</t>
        </is>
      </c>
      <c r="V513" s="5" t="inlineStr"/>
      <c r="W513" s="5" t="inlineStr"/>
      <c r="X513" s="5" t="inlineStr">
        <is>
          <t>Pós 100GB</t>
        </is>
      </c>
      <c r="Y513" s="5" t="inlineStr">
        <is>
          <t>https://www.claro.com.br/multi</t>
        </is>
      </c>
      <c r="Z513" s="5" t="inlineStr">
        <is>
          <t>data/raw/claro_convergent_multi_SP.html</t>
        </is>
      </c>
    </row>
    <row r="514">
      <c r="A514" s="2" t="inlineStr">
        <is>
          <t>2026-08-25</t>
        </is>
      </c>
      <c r="B514" s="2" t="inlineStr">
        <is>
          <t>2026-08-25T18:23:38</t>
        </is>
      </c>
      <c r="C514" s="2" t="inlineStr">
        <is>
          <t>claro</t>
        </is>
      </c>
      <c r="D514" s="2" t="inlineStr">
        <is>
          <t>SP</t>
        </is>
      </c>
      <c r="E514" s="2" t="inlineStr">
        <is>
          <t>600 Mega com Globoplay incluso + Claro tv+ Box + Disney+ Amazon Prime + Netflix + HBO Max + Apple TV + Globoplay</t>
        </is>
      </c>
      <c r="F514" s="2" t="inlineStr">
        <is>
          <t>claro:545261b1-2f4d-4dab-82a6-02d9e66c5d3d</t>
        </is>
      </c>
      <c r="G514" s="3" t="n">
        <v>219.8</v>
      </c>
      <c r="H514" s="3" t="inlineStr"/>
      <c r="I514" s="2" t="inlineStr"/>
      <c r="J514" s="2" t="inlineStr"/>
      <c r="K514" s="2" t="inlineStr">
        <is>
          <t>tab: Fibra + TV</t>
        </is>
      </c>
      <c r="L514" s="2" t="inlineStr">
        <is>
          <t>broadband+tv</t>
        </is>
      </c>
      <c r="M514" s="2" t="inlineStr">
        <is>
          <t>Fiber + TV</t>
        </is>
      </c>
      <c r="N514" s="2" t="b">
        <v>0</v>
      </c>
      <c r="O514" s="2" t="b">
        <v>1</v>
      </c>
      <c r="P514" s="2" t="b">
        <v>1</v>
      </c>
      <c r="Q514" s="2" t="b">
        <v>0</v>
      </c>
      <c r="R514" s="4" t="n">
        <v>600</v>
      </c>
      <c r="S514" s="4" t="inlineStr"/>
      <c r="T514" s="4" t="inlineStr"/>
      <c r="U514" s="2" t="inlineStr">
        <is>
          <t>Claro tv+ Box + Disney+ Amazon Prime + Netflix + HBO Max + Apple TV + Globoplay</t>
        </is>
      </c>
      <c r="V514" s="2" t="inlineStr"/>
      <c r="W514" s="2" t="inlineStr"/>
      <c r="X514" s="2" t="inlineStr"/>
      <c r="Y514" s="2" t="inlineStr">
        <is>
          <t>https://www.claro.com.br/multi</t>
        </is>
      </c>
      <c r="Z514" s="2" t="inlineStr">
        <is>
          <t>data/raw/claro_convergent_multi_SP.html</t>
        </is>
      </c>
    </row>
    <row r="515">
      <c r="A515" s="5" t="inlineStr">
        <is>
          <t>2026-08-25</t>
        </is>
      </c>
      <c r="B515" s="5" t="inlineStr">
        <is>
          <t>2026-08-25T18:23:38</t>
        </is>
      </c>
      <c r="C515" s="5" t="inlineStr">
        <is>
          <t>claro</t>
        </is>
      </c>
      <c r="D515" s="5" t="inlineStr">
        <is>
          <t>SP</t>
        </is>
      </c>
      <c r="E515" s="5" t="inlineStr">
        <is>
          <t>600 Mega com Globoplay incluso + Pós 100GB</t>
        </is>
      </c>
      <c r="F515" s="5" t="inlineStr">
        <is>
          <t>claro:350ac58a-533c-4858-83be-be3ea39c8874</t>
        </is>
      </c>
      <c r="G515" s="6" t="n">
        <v>159.9</v>
      </c>
      <c r="H515" s="6" t="inlineStr"/>
      <c r="I515" s="5" t="inlineStr"/>
      <c r="J515" s="5" t="inlineStr"/>
      <c r="K515" s="5" t="inlineStr">
        <is>
          <t>tab: Fibra + Móvel</t>
        </is>
      </c>
      <c r="L515" s="5" t="inlineStr">
        <is>
          <t>mobile+broadband</t>
        </is>
      </c>
      <c r="M515" s="5" t="inlineStr">
        <is>
          <t>Fiber + Mobile</t>
        </is>
      </c>
      <c r="N515" s="5" t="b">
        <v>1</v>
      </c>
      <c r="O515" s="5" t="b">
        <v>1</v>
      </c>
      <c r="P515" s="5" t="b">
        <v>0</v>
      </c>
      <c r="Q515" s="5" t="b">
        <v>0</v>
      </c>
      <c r="R515" s="7" t="n">
        <v>600</v>
      </c>
      <c r="S515" s="7" t="n">
        <v>100</v>
      </c>
      <c r="T515" s="7" t="n">
        <v>1</v>
      </c>
      <c r="U515" s="5" t="inlineStr"/>
      <c r="V515" s="5" t="inlineStr"/>
      <c r="W515" s="5" t="inlineStr"/>
      <c r="X515" s="5" t="inlineStr">
        <is>
          <t>Pós 100GB</t>
        </is>
      </c>
      <c r="Y515" s="5" t="inlineStr">
        <is>
          <t>https://www.claro.com.br/multi</t>
        </is>
      </c>
      <c r="Z515" s="5" t="inlineStr">
        <is>
          <t>data/raw/claro_convergent_multi_SP.html</t>
        </is>
      </c>
    </row>
    <row r="516">
      <c r="A516" s="2" t="inlineStr">
        <is>
          <t>2026-08-25</t>
        </is>
      </c>
      <c r="B516" s="2" t="inlineStr">
        <is>
          <t>2026-08-25T18:23:38</t>
        </is>
      </c>
      <c r="C516" s="2" t="inlineStr">
        <is>
          <t>claro</t>
        </is>
      </c>
      <c r="D516" s="2" t="inlineStr">
        <is>
          <t>SP</t>
        </is>
      </c>
      <c r="E516" s="2" t="inlineStr">
        <is>
          <t>600 Mega com Globoplay incluso + Pós 100GB + Claro tv+ Box + Disney+ Amazon Prime + Netflix + HBO Max + Apple TV + Globoplay</t>
        </is>
      </c>
      <c r="F516" s="2" t="inlineStr">
        <is>
          <t>claro:f36e7dfb-f7c9-4055-844f-7bc101699de8</t>
        </is>
      </c>
      <c r="G516" s="3" t="n">
        <v>259.8</v>
      </c>
      <c r="H516" s="3" t="inlineStr"/>
      <c r="I516" s="2" t="inlineStr"/>
      <c r="J516" s="2" t="inlineStr"/>
      <c r="K516" s="2" t="inlineStr">
        <is>
          <t>tab: Fibra + Móvel + TV</t>
        </is>
      </c>
      <c r="L516" s="2" t="inlineStr">
        <is>
          <t>mobile+broadband+tv</t>
        </is>
      </c>
      <c r="M516" s="2" t="inlineStr">
        <is>
          <t>Fiber + Mobile + TV</t>
        </is>
      </c>
      <c r="N516" s="2" t="b">
        <v>1</v>
      </c>
      <c r="O516" s="2" t="b">
        <v>1</v>
      </c>
      <c r="P516" s="2" t="b">
        <v>1</v>
      </c>
      <c r="Q516" s="2" t="b">
        <v>0</v>
      </c>
      <c r="R516" s="4" t="n">
        <v>600</v>
      </c>
      <c r="S516" s="4" t="n">
        <v>100</v>
      </c>
      <c r="T516" s="4" t="n">
        <v>1</v>
      </c>
      <c r="U516" s="2" t="inlineStr">
        <is>
          <t>Claro tv+ Box + Disney+ Amazon Prime + Netflix + HBO Max + Apple TV + Globoplay</t>
        </is>
      </c>
      <c r="V516" s="2" t="inlineStr"/>
      <c r="W516" s="2" t="inlineStr"/>
      <c r="X516" s="2" t="inlineStr">
        <is>
          <t>Pós 100GB</t>
        </is>
      </c>
      <c r="Y516" s="2" t="inlineStr">
        <is>
          <t>https://www.claro.com.br/multi</t>
        </is>
      </c>
      <c r="Z516" s="2" t="inlineStr">
        <is>
          <t>data/raw/claro_convergent_multi_SP.html</t>
        </is>
      </c>
    </row>
    <row r="517">
      <c r="A517" s="5" t="inlineStr">
        <is>
          <t>2026-08-25</t>
        </is>
      </c>
      <c r="B517" s="5" t="inlineStr">
        <is>
          <t>2026-08-25T18:23:38</t>
        </is>
      </c>
      <c r="C517" s="5" t="inlineStr">
        <is>
          <t>tim</t>
        </is>
      </c>
      <c r="D517" s="5" t="inlineStr">
        <is>
          <t>SP</t>
        </is>
      </c>
      <c r="E517" s="5" t="inlineStr">
        <is>
          <t>TIM Ultracombo 5</t>
        </is>
      </c>
      <c r="F517" s="5" t="inlineStr">
        <is>
          <t>tim:167756</t>
        </is>
      </c>
      <c r="G517" s="6" t="n">
        <v>169.99</v>
      </c>
      <c r="H517" s="6" t="inlineStr"/>
      <c r="I517" s="5" t="inlineStr"/>
      <c r="J517" s="5" t="inlineStr">
        <is>
          <t>debit_auto</t>
        </is>
      </c>
      <c r="K517" s="5" t="inlineStr">
        <is>
          <t>preço em débito automático; R$ 179,99/mês no pagamento por fatura</t>
        </is>
      </c>
      <c r="L517" s="5" t="inlineStr">
        <is>
          <t>mobile+broadband</t>
        </is>
      </c>
      <c r="M517" s="5" t="inlineStr">
        <is>
          <t>Fiber + Mobile</t>
        </is>
      </c>
      <c r="N517" s="5" t="b">
        <v>1</v>
      </c>
      <c r="O517" s="5" t="b">
        <v>1</v>
      </c>
      <c r="P517" s="5" t="b">
        <v>0</v>
      </c>
      <c r="Q517" s="5" t="b">
        <v>0</v>
      </c>
      <c r="R517" s="7" t="n">
        <v>1000</v>
      </c>
      <c r="S517" s="7" t="n">
        <v>115</v>
      </c>
      <c r="T517" s="7" t="n">
        <v>1</v>
      </c>
      <c r="U517" s="5" t="inlineStr"/>
      <c r="V517" s="5" t="inlineStr">
        <is>
          <t>Paramount+, Deezer</t>
        </is>
      </c>
      <c r="W517" s="5" t="inlineStr"/>
      <c r="X517" s="5" t="inlineStr">
        <is>
          <t>1GIGA de Ultrafibra para casa + 115GB de TIM Black C Hero para móvel: (25GB do plano + 40GB promo + 50GB bônus especial)</t>
        </is>
      </c>
      <c r="Y517" s="5" t="inlineStr">
        <is>
          <t>https://www.tim.com.br/sp/internet/tim-ultracombo</t>
        </is>
      </c>
      <c r="Z517" s="5" t="inlineStr">
        <is>
          <t>data/raw/tim_convergent_ultracombo_SP.html</t>
        </is>
      </c>
    </row>
    <row r="518">
      <c r="A518" s="2" t="inlineStr">
        <is>
          <t>2026-08-25</t>
        </is>
      </c>
      <c r="B518" s="2" t="inlineStr">
        <is>
          <t>2026-08-25T18:23:38</t>
        </is>
      </c>
      <c r="C518" s="2" t="inlineStr">
        <is>
          <t>tim</t>
        </is>
      </c>
      <c r="D518" s="2" t="inlineStr">
        <is>
          <t>SP</t>
        </is>
      </c>
      <c r="E518" s="2" t="inlineStr">
        <is>
          <t>TIM Ultracombo 6</t>
        </is>
      </c>
      <c r="F518" s="2" t="inlineStr">
        <is>
          <t>tim:167751</t>
        </is>
      </c>
      <c r="G518" s="3" t="n">
        <v>139.99</v>
      </c>
      <c r="H518" s="3" t="inlineStr"/>
      <c r="I518" s="2" t="inlineStr"/>
      <c r="J518" s="2" t="inlineStr">
        <is>
          <t>debit_auto</t>
        </is>
      </c>
      <c r="K518" s="2" t="inlineStr">
        <is>
          <t>preço em débito automático; R$ 149,99/mês no pagamento por fatura</t>
        </is>
      </c>
      <c r="L518" s="2" t="inlineStr">
        <is>
          <t>mobile+broadband</t>
        </is>
      </c>
      <c r="M518" s="2" t="inlineStr">
        <is>
          <t>Fiber + Mobile</t>
        </is>
      </c>
      <c r="N518" s="2" t="b">
        <v>1</v>
      </c>
      <c r="O518" s="2" t="b">
        <v>1</v>
      </c>
      <c r="P518" s="2" t="b">
        <v>0</v>
      </c>
      <c r="Q518" s="2" t="b">
        <v>0</v>
      </c>
      <c r="R518" s="4" t="n">
        <v>1000</v>
      </c>
      <c r="S518" s="4" t="n">
        <v>70</v>
      </c>
      <c r="T518" s="4" t="n">
        <v>1</v>
      </c>
      <c r="U518" s="2" t="inlineStr"/>
      <c r="V518" s="2" t="inlineStr">
        <is>
          <t>Paramount+, Deezer</t>
        </is>
      </c>
      <c r="W518" s="2" t="inlineStr"/>
      <c r="X518" s="2" t="inlineStr">
        <is>
          <t>1GIGA de Ultrafibra para casa + 70GB de TIM Black A para móvel: (15GB do plano + 50GB promo + 5GB bônus especial)</t>
        </is>
      </c>
      <c r="Y518" s="2" t="inlineStr">
        <is>
          <t>https://www.tim.com.br/sp/internet/tim-ultracombo</t>
        </is>
      </c>
      <c r="Z518" s="2" t="inlineStr">
        <is>
          <t>data/raw/tim_convergent_ultracombo_SP.html</t>
        </is>
      </c>
    </row>
    <row r="519">
      <c r="A519" s="5" t="inlineStr">
        <is>
          <t>2026-08-25</t>
        </is>
      </c>
      <c r="B519" s="5" t="inlineStr">
        <is>
          <t>2026-08-25T18:23:38</t>
        </is>
      </c>
      <c r="C519" s="5" t="inlineStr">
        <is>
          <t>tim</t>
        </is>
      </c>
      <c r="D519" s="5" t="inlineStr">
        <is>
          <t>SP</t>
        </is>
      </c>
      <c r="E519" s="5" t="inlineStr">
        <is>
          <t>TIM Ultracombo 7</t>
        </is>
      </c>
      <c r="F519" s="5" t="inlineStr">
        <is>
          <t>tim:167761</t>
        </is>
      </c>
      <c r="G519" s="6" t="n">
        <v>89.98999999999999</v>
      </c>
      <c r="H519" s="6" t="inlineStr"/>
      <c r="I519" s="5" t="inlineStr"/>
      <c r="J519" s="5" t="inlineStr">
        <is>
          <t>debit_auto</t>
        </is>
      </c>
      <c r="K519" s="5" t="inlineStr">
        <is>
          <t>preço em débito automático; R$ 99,99/mês no pagamento por fatura</t>
        </is>
      </c>
      <c r="L519" s="5" t="inlineStr">
        <is>
          <t>mobile+broadband</t>
        </is>
      </c>
      <c r="M519" s="5" t="inlineStr">
        <is>
          <t>Fiber + Mobile</t>
        </is>
      </c>
      <c r="N519" s="5" t="b">
        <v>1</v>
      </c>
      <c r="O519" s="5" t="b">
        <v>1</v>
      </c>
      <c r="P519" s="5" t="b">
        <v>0</v>
      </c>
      <c r="Q519" s="5" t="b">
        <v>0</v>
      </c>
      <c r="R519" s="7" t="n">
        <v>500</v>
      </c>
      <c r="S519" s="7" t="n">
        <v>65</v>
      </c>
      <c r="T519" s="7" t="n">
        <v>1</v>
      </c>
      <c r="U519" s="5" t="inlineStr"/>
      <c r="V519" s="5" t="inlineStr"/>
      <c r="W519" s="5" t="inlineStr"/>
      <c r="X519" s="5" t="inlineStr">
        <is>
          <t>500MEGA de Ultrafibra para casa + 65GB de TIM Black A Light para móvel: (10GB do plano + 50GB promo)</t>
        </is>
      </c>
      <c r="Y519" s="5" t="inlineStr">
        <is>
          <t>https://www.tim.com.br/sp/internet/tim-ultracombo</t>
        </is>
      </c>
      <c r="Z519" s="5" t="inlineStr">
        <is>
          <t>data/raw/tim_convergent_ultracombo_SP.html</t>
        </is>
      </c>
    </row>
    <row r="520">
      <c r="A520" s="2" t="inlineStr">
        <is>
          <t>2026-08-25</t>
        </is>
      </c>
      <c r="B520" s="2" t="inlineStr">
        <is>
          <t>2026-08-25T18:23:38</t>
        </is>
      </c>
      <c r="C520" s="2" t="inlineStr">
        <is>
          <t>vivo</t>
        </is>
      </c>
      <c r="D520" s="2" t="inlineStr">
        <is>
          <t>SP</t>
        </is>
      </c>
      <c r="E520" s="2" t="inlineStr">
        <is>
          <t>Vivo Família 2</t>
        </is>
      </c>
      <c r="F520" s="2" t="inlineStr">
        <is>
          <t>vivo:VIV202604032132-3-305-316-336-408-411-426-430-442</t>
        </is>
      </c>
      <c r="G520" s="3" t="n">
        <v>290</v>
      </c>
      <c r="H520" s="3" t="inlineStr"/>
      <c r="I520" s="2" t="inlineStr"/>
      <c r="J520" s="2" t="inlineStr"/>
      <c r="K520" s="2" t="inlineStr">
        <is>
          <t>instalação grátis mediante fidelização (não afeta a mensalidade)</t>
        </is>
      </c>
      <c r="L520" s="2" t="inlineStr">
        <is>
          <t>mobile+broadband+tv</t>
        </is>
      </c>
      <c r="M520" s="2" t="inlineStr">
        <is>
          <t>Fiber + Mobile + TV</t>
        </is>
      </c>
      <c r="N520" s="2" t="b">
        <v>1</v>
      </c>
      <c r="O520" s="2" t="b">
        <v>1</v>
      </c>
      <c r="P520" s="2" t="b">
        <v>1</v>
      </c>
      <c r="Q520" s="2" t="b">
        <v>0</v>
      </c>
      <c r="R520" s="4" t="n">
        <v>700</v>
      </c>
      <c r="S520" s="4" t="n">
        <v>120</v>
      </c>
      <c r="T520" s="4" t="n">
        <v>2</v>
      </c>
      <c r="U520" s="2" t="inlineStr">
        <is>
          <t>80 canais de Vivo Estendido</t>
        </is>
      </c>
      <c r="V520" s="2" t="inlineStr"/>
      <c r="W520" s="2" t="inlineStr">
        <is>
          <t>Vivo Travel américas e europa; 1 linha adicional inclusa</t>
        </is>
      </c>
      <c r="X520" s="2" t="inlineStr">
        <is>
          <t>700 Mega de Vivo Fibra</t>
        </is>
      </c>
      <c r="Y520" s="2" t="inlineStr">
        <is>
          <t>https://vivo.com.br/para-voce/produtos-e-servicos/combos/vivo-total</t>
        </is>
      </c>
      <c r="Z520" s="2" t="inlineStr">
        <is>
          <t>data/raw/vivo_convergent_total_SP.html</t>
        </is>
      </c>
    </row>
    <row r="521">
      <c r="A521" s="5" t="inlineStr">
        <is>
          <t>2026-08-25</t>
        </is>
      </c>
      <c r="B521" s="5" t="inlineStr">
        <is>
          <t>2026-08-25T18:23:38</t>
        </is>
      </c>
      <c r="C521" s="5" t="inlineStr">
        <is>
          <t>vivo</t>
        </is>
      </c>
      <c r="D521" s="5" t="inlineStr">
        <is>
          <t>SP</t>
        </is>
      </c>
      <c r="E521" s="5" t="inlineStr">
        <is>
          <t>Vivo Família 2</t>
        </is>
      </c>
      <c r="F521" s="5" t="inlineStr">
        <is>
          <t>vivo:VIV202604032112-3-9-305-316-408-411-426-430-442</t>
        </is>
      </c>
      <c r="G521" s="6" t="n">
        <v>390</v>
      </c>
      <c r="H521" s="6" t="inlineStr"/>
      <c r="I521" s="5" t="inlineStr"/>
      <c r="J521" s="5" t="inlineStr"/>
      <c r="K521" s="5" t="inlineStr">
        <is>
          <t>instalação grátis mediante fidelização (não afeta a mensalidade)</t>
        </is>
      </c>
      <c r="L521" s="5" t="inlineStr">
        <is>
          <t>mobile+broadband+tv</t>
        </is>
      </c>
      <c r="M521" s="5" t="inlineStr">
        <is>
          <t>Fiber + Mobile + TV</t>
        </is>
      </c>
      <c r="N521" s="5" t="b">
        <v>1</v>
      </c>
      <c r="O521" s="5" t="b">
        <v>1</v>
      </c>
      <c r="P521" s="5" t="b">
        <v>1</v>
      </c>
      <c r="Q521" s="5" t="b">
        <v>0</v>
      </c>
      <c r="R521" s="7" t="n">
        <v>700</v>
      </c>
      <c r="S521" s="7" t="n">
        <v>120</v>
      </c>
      <c r="T521" s="7" t="n">
        <v>2</v>
      </c>
      <c r="U521" s="5" t="inlineStr">
        <is>
          <t>120 canais de Vivo TV Avançado + 1 ponto adicional</t>
        </is>
      </c>
      <c r="V521" s="5" t="inlineStr"/>
      <c r="W521" s="5" t="inlineStr">
        <is>
          <t>Vivo Travel américas e europa; 1 linha adicional inclusa</t>
        </is>
      </c>
      <c r="X521" s="5" t="inlineStr">
        <is>
          <t>700 Mega de Vivo Fibra</t>
        </is>
      </c>
      <c r="Y521" s="5" t="inlineStr">
        <is>
          <t>https://vivo.com.br/para-voce/produtos-e-servicos/combos/vivo-total</t>
        </is>
      </c>
      <c r="Z521" s="5" t="inlineStr">
        <is>
          <t>data/raw/vivo_convergent_total_SP.html</t>
        </is>
      </c>
    </row>
    <row r="522">
      <c r="A522" s="2" t="inlineStr">
        <is>
          <t>2026-08-25</t>
        </is>
      </c>
      <c r="B522" s="2" t="inlineStr">
        <is>
          <t>2026-08-25T18:23:38</t>
        </is>
      </c>
      <c r="C522" s="2" t="inlineStr">
        <is>
          <t>vivo</t>
        </is>
      </c>
      <c r="D522" s="2" t="inlineStr">
        <is>
          <t>SP</t>
        </is>
      </c>
      <c r="E522" s="2" t="inlineStr">
        <is>
          <t>Vivo Total Família 2</t>
        </is>
      </c>
      <c r="F522" s="2" t="inlineStr">
        <is>
          <t>vivo:VIV202604032132-3-305-316-408-411-426-430-442</t>
        </is>
      </c>
      <c r="G522" s="3" t="n">
        <v>270</v>
      </c>
      <c r="H522" s="3" t="inlineStr"/>
      <c r="I522" s="2" t="inlineStr"/>
      <c r="J522" s="2" t="inlineStr"/>
      <c r="K522" s="2" t="inlineStr">
        <is>
          <t>instalação grátis mediante fidelização (não afeta a mensalidade)</t>
        </is>
      </c>
      <c r="L522" s="2" t="inlineStr">
        <is>
          <t>mobile+broadband</t>
        </is>
      </c>
      <c r="M522" s="2" t="inlineStr">
        <is>
          <t>Fiber + Mobile</t>
        </is>
      </c>
      <c r="N522" s="2" t="b">
        <v>1</v>
      </c>
      <c r="O522" s="2" t="b">
        <v>1</v>
      </c>
      <c r="P522" s="2" t="b">
        <v>0</v>
      </c>
      <c r="Q522" s="2" t="b">
        <v>0</v>
      </c>
      <c r="R522" s="4" t="n">
        <v>700</v>
      </c>
      <c r="S522" s="4" t="n">
        <v>120</v>
      </c>
      <c r="T522" s="4" t="n">
        <v>2</v>
      </c>
      <c r="U522" s="2" t="inlineStr"/>
      <c r="V522" s="2" t="inlineStr"/>
      <c r="W522" s="2" t="inlineStr">
        <is>
          <t>Vivo Travel Américas e Europa; 1 linha adicional inclusa</t>
        </is>
      </c>
      <c r="X522" s="2" t="inlineStr">
        <is>
          <t>700 Mega de Vivo Fibra</t>
        </is>
      </c>
      <c r="Y522" s="2" t="inlineStr">
        <is>
          <t>https://vivo.com.br/para-voce/produtos-e-servicos/combos/vivo-total</t>
        </is>
      </c>
      <c r="Z522" s="2" t="inlineStr">
        <is>
          <t>data/raw/vivo_convergent_total_SP.html</t>
        </is>
      </c>
    </row>
    <row r="523">
      <c r="A523" s="5" t="inlineStr">
        <is>
          <t>2026-08-25</t>
        </is>
      </c>
      <c r="B523" s="5" t="inlineStr">
        <is>
          <t>2026-08-25T18:23:38</t>
        </is>
      </c>
      <c r="C523" s="5" t="inlineStr">
        <is>
          <t>vivo</t>
        </is>
      </c>
      <c r="D523" s="5" t="inlineStr">
        <is>
          <t>SP</t>
        </is>
      </c>
      <c r="E523" s="5" t="inlineStr">
        <is>
          <t>Vivo Total Família 3</t>
        </is>
      </c>
      <c r="F523" s="5" t="inlineStr">
        <is>
          <t>vivo:VIV202604032212-4-305-316-408-411-426-430-442</t>
        </is>
      </c>
      <c r="G523" s="6" t="n">
        <v>330</v>
      </c>
      <c r="H523" s="6" t="inlineStr"/>
      <c r="I523" s="5" t="inlineStr"/>
      <c r="J523" s="5" t="inlineStr"/>
      <c r="K523" s="5" t="inlineStr">
        <is>
          <t>instalação grátis mediante fidelização (não afeta a mensalidade)</t>
        </is>
      </c>
      <c r="L523" s="5" t="inlineStr">
        <is>
          <t>mobile+broadband</t>
        </is>
      </c>
      <c r="M523" s="5" t="inlineStr">
        <is>
          <t>Fiber + Mobile</t>
        </is>
      </c>
      <c r="N523" s="5" t="b">
        <v>1</v>
      </c>
      <c r="O523" s="5" t="b">
        <v>1</v>
      </c>
      <c r="P523" s="5" t="b">
        <v>0</v>
      </c>
      <c r="Q523" s="5" t="b">
        <v>0</v>
      </c>
      <c r="R523" s="7" t="n">
        <v>700</v>
      </c>
      <c r="S523" s="7" t="n">
        <v>180</v>
      </c>
      <c r="T523" s="7" t="n">
        <v>3</v>
      </c>
      <c r="U523" s="5" t="inlineStr"/>
      <c r="V523" s="5" t="inlineStr"/>
      <c r="W523" s="5" t="inlineStr">
        <is>
          <t>Vivo Travel Américas e Europa; 2 linhas adicionais inclusas</t>
        </is>
      </c>
      <c r="X523" s="5" t="inlineStr">
        <is>
          <t>700 Mega de Vivo Fibra</t>
        </is>
      </c>
      <c r="Y523" s="5" t="inlineStr">
        <is>
          <t>https://vivo.com.br/para-voce/produtos-e-servicos/combos/vivo-total</t>
        </is>
      </c>
      <c r="Z523" s="5" t="inlineStr">
        <is>
          <t>data/raw/vivo_convergent_total_SP.html</t>
        </is>
      </c>
    </row>
    <row r="524">
      <c r="A524" s="2" t="inlineStr">
        <is>
          <t>2026-08-25</t>
        </is>
      </c>
      <c r="B524" s="2" t="inlineStr">
        <is>
          <t>2026-08-25T18:23:38</t>
        </is>
      </c>
      <c r="C524" s="2" t="inlineStr">
        <is>
          <t>vivo</t>
        </is>
      </c>
      <c r="D524" s="2" t="inlineStr">
        <is>
          <t>SP</t>
        </is>
      </c>
      <c r="E524" s="2" t="inlineStr">
        <is>
          <t>Vivo Total Família 4</t>
        </is>
      </c>
      <c r="F524" s="2" t="inlineStr">
        <is>
          <t>vivo:VIV202604032292-237-305-316-408-411-426-430-442</t>
        </is>
      </c>
      <c r="G524" s="3" t="n">
        <v>420</v>
      </c>
      <c r="H524" s="3" t="inlineStr"/>
      <c r="I524" s="2" t="inlineStr"/>
      <c r="J524" s="2" t="inlineStr"/>
      <c r="K524" s="2" t="inlineStr">
        <is>
          <t>instalação grátis mediante fidelização (não afeta a mensalidade)</t>
        </is>
      </c>
      <c r="L524" s="2" t="inlineStr">
        <is>
          <t>mobile+broadband</t>
        </is>
      </c>
      <c r="M524" s="2" t="inlineStr">
        <is>
          <t>Fiber + Mobile</t>
        </is>
      </c>
      <c r="N524" s="2" t="b">
        <v>1</v>
      </c>
      <c r="O524" s="2" t="b">
        <v>1</v>
      </c>
      <c r="P524" s="2" t="b">
        <v>0</v>
      </c>
      <c r="Q524" s="2" t="b">
        <v>0</v>
      </c>
      <c r="R524" s="4" t="n">
        <v>700</v>
      </c>
      <c r="S524" s="4" t="n">
        <v>240</v>
      </c>
      <c r="T524" s="4" t="n">
        <v>4</v>
      </c>
      <c r="U524" s="2" t="inlineStr"/>
      <c r="V524" s="2" t="inlineStr"/>
      <c r="W524" s="2" t="inlineStr">
        <is>
          <t>Vivo Travel Américas e Europa; 3 linhas adicionais inclusas</t>
        </is>
      </c>
      <c r="X524" s="2" t="inlineStr">
        <is>
          <t>700 Mega de Vivo Fibra</t>
        </is>
      </c>
      <c r="Y524" s="2" t="inlineStr">
        <is>
          <t>https://vivo.com.br/para-voce/produtos-e-servicos/combos/vivo-total</t>
        </is>
      </c>
      <c r="Z524" s="2" t="inlineStr">
        <is>
          <t>data/raw/vivo_convergent_total_SP.html</t>
        </is>
      </c>
    </row>
    <row r="525">
      <c r="A525" s="5" t="inlineStr">
        <is>
          <t>2026-08-25</t>
        </is>
      </c>
      <c r="B525" s="5" t="inlineStr">
        <is>
          <t>2026-08-25T18:23:38</t>
        </is>
      </c>
      <c r="C525" s="5" t="inlineStr">
        <is>
          <t>vivo</t>
        </is>
      </c>
      <c r="D525" s="5" t="inlineStr">
        <is>
          <t>SP</t>
        </is>
      </c>
      <c r="E525" s="5" t="inlineStr">
        <is>
          <t>Vivo Total Família 5</t>
        </is>
      </c>
      <c r="F525" s="5" t="inlineStr">
        <is>
          <t>vivo:VIV202604032372-5-305-316-408-411-426-430-442</t>
        </is>
      </c>
      <c r="G525" s="6" t="n">
        <v>520</v>
      </c>
      <c r="H525" s="6" t="inlineStr"/>
      <c r="I525" s="5" t="inlineStr"/>
      <c r="J525" s="5" t="inlineStr"/>
      <c r="K525" s="5" t="inlineStr">
        <is>
          <t>instalação grátis mediante fidelização (não afeta a mensalidade)</t>
        </is>
      </c>
      <c r="L525" s="5" t="inlineStr">
        <is>
          <t>mobile+broadband</t>
        </is>
      </c>
      <c r="M525" s="5" t="inlineStr">
        <is>
          <t>Fiber + Mobile</t>
        </is>
      </c>
      <c r="N525" s="5" t="b">
        <v>1</v>
      </c>
      <c r="O525" s="5" t="b">
        <v>1</v>
      </c>
      <c r="P525" s="5" t="b">
        <v>0</v>
      </c>
      <c r="Q525" s="5" t="b">
        <v>0</v>
      </c>
      <c r="R525" s="7" t="n">
        <v>700</v>
      </c>
      <c r="S525" s="7" t="n">
        <v>300</v>
      </c>
      <c r="T525" s="7" t="n">
        <v>5</v>
      </c>
      <c r="U525" s="5" t="inlineStr"/>
      <c r="V525" s="5" t="inlineStr"/>
      <c r="W525" s="5" t="inlineStr">
        <is>
          <t>Vivo Travel Américas e Europa; 4 linhas adicionais inclusas</t>
        </is>
      </c>
      <c r="X525" s="5" t="inlineStr">
        <is>
          <t>700 Mega de Vivo Fibra</t>
        </is>
      </c>
      <c r="Y525" s="5" t="inlineStr">
        <is>
          <t>https://vivo.com.br/para-voce/produtos-e-servicos/combos/vivo-total</t>
        </is>
      </c>
      <c r="Z525" s="5" t="inlineStr">
        <is>
          <t>data/raw/vivo_convergent_total_SP.html</t>
        </is>
      </c>
    </row>
    <row r="526">
      <c r="A526" s="2" t="inlineStr">
        <is>
          <t>2026-08-25</t>
        </is>
      </c>
      <c r="B526" s="2" t="inlineStr">
        <is>
          <t>2026-08-25T18:23:38</t>
        </is>
      </c>
      <c r="C526" s="2" t="inlineStr">
        <is>
          <t>vivo</t>
        </is>
      </c>
      <c r="D526" s="2" t="inlineStr">
        <is>
          <t>SP</t>
        </is>
      </c>
      <c r="E526" s="2" t="inlineStr">
        <is>
          <t>Vivo Total Pro</t>
        </is>
      </c>
      <c r="F526" s="2" t="inlineStr">
        <is>
          <t>vivo:VIV202604031772-2-305-308-316-326-342-411-430</t>
        </is>
      </c>
      <c r="G526" s="3" t="n">
        <v>160</v>
      </c>
      <c r="H526" s="3" t="inlineStr"/>
      <c r="I526" s="2" t="inlineStr"/>
      <c r="J526" s="2" t="inlineStr"/>
      <c r="K526" s="2" t="inlineStr">
        <is>
          <t>instalação grátis mediante fidelização (não afeta a mensalidade)</t>
        </is>
      </c>
      <c r="L526" s="2" t="inlineStr">
        <is>
          <t>mobile+broadband</t>
        </is>
      </c>
      <c r="M526" s="2" t="inlineStr">
        <is>
          <t>Fiber + Mobile</t>
        </is>
      </c>
      <c r="N526" s="2" t="b">
        <v>1</v>
      </c>
      <c r="O526" s="2" t="b">
        <v>1</v>
      </c>
      <c r="P526" s="2" t="b">
        <v>0</v>
      </c>
      <c r="Q526" s="2" t="b">
        <v>0</v>
      </c>
      <c r="R526" s="4" t="n">
        <v>500</v>
      </c>
      <c r="S526" s="4" t="n">
        <v>60</v>
      </c>
      <c r="T526" s="4" t="n">
        <v>1</v>
      </c>
      <c r="U526" s="2" t="inlineStr"/>
      <c r="V526" s="2" t="inlineStr"/>
      <c r="W526" s="2" t="inlineStr">
        <is>
          <t>Vivo Travel Américas; 50 GB de franquia + 10 GB de bônus</t>
        </is>
      </c>
      <c r="X526" s="2" t="inlineStr">
        <is>
          <t>500 Mega de Vivo Fibra</t>
        </is>
      </c>
      <c r="Y526" s="2" t="inlineStr">
        <is>
          <t>https://vivo.com.br/para-voce/produtos-e-servicos/combos/vivo-total</t>
        </is>
      </c>
      <c r="Z526" s="2" t="inlineStr">
        <is>
          <t>data/raw/vivo_convergent_total_SP.html</t>
        </is>
      </c>
    </row>
    <row r="527">
      <c r="A527" s="5" t="inlineStr">
        <is>
          <t>2026-08-25</t>
        </is>
      </c>
      <c r="B527" s="5" t="inlineStr">
        <is>
          <t>2026-08-25T18:23:38</t>
        </is>
      </c>
      <c r="C527" s="5" t="inlineStr">
        <is>
          <t>vivo</t>
        </is>
      </c>
      <c r="D527" s="5" t="inlineStr">
        <is>
          <t>SP</t>
        </is>
      </c>
      <c r="E527" s="5" t="inlineStr">
        <is>
          <t>Vivo Total Ultra</t>
        </is>
      </c>
      <c r="F527" s="5" t="inlineStr">
        <is>
          <t>vivo:VIV202604031940-305-313-316-408-411-426-430-442</t>
        </is>
      </c>
      <c r="G527" s="6" t="n">
        <v>170</v>
      </c>
      <c r="H527" s="6" t="inlineStr"/>
      <c r="I527" s="5" t="inlineStr"/>
      <c r="J527" s="5" t="inlineStr"/>
      <c r="K527" s="5" t="inlineStr">
        <is>
          <t>instalação grátis mediante fidelização (não afeta a mensalidade)</t>
        </is>
      </c>
      <c r="L527" s="5" t="inlineStr">
        <is>
          <t>mobile+broadband</t>
        </is>
      </c>
      <c r="M527" s="5" t="inlineStr">
        <is>
          <t>Fiber + Mobile</t>
        </is>
      </c>
      <c r="N527" s="5" t="b">
        <v>1</v>
      </c>
      <c r="O527" s="5" t="b">
        <v>1</v>
      </c>
      <c r="P527" s="5" t="b">
        <v>0</v>
      </c>
      <c r="Q527" s="5" t="b">
        <v>0</v>
      </c>
      <c r="R527" s="7" t="n">
        <v>700</v>
      </c>
      <c r="S527" s="7" t="n">
        <v>70</v>
      </c>
      <c r="T527" s="7" t="n">
        <v>1</v>
      </c>
      <c r="U527" s="5" t="inlineStr"/>
      <c r="V527" s="5" t="inlineStr"/>
      <c r="W527" s="5" t="inlineStr">
        <is>
          <t>Vivo Travel Américas; Exitlag e ponto cabeado incluso</t>
        </is>
      </c>
      <c r="X527" s="5" t="inlineStr">
        <is>
          <t>700 Mega de Vivo Fibra</t>
        </is>
      </c>
      <c r="Y527" s="5" t="inlineStr">
        <is>
          <t>https://vivo.com.br/para-voce/produtos-e-servicos/combos/vivo-total</t>
        </is>
      </c>
      <c r="Z527" s="5" t="inlineStr">
        <is>
          <t>data/raw/vivo_convergent_total_SP.html</t>
        </is>
      </c>
    </row>
    <row r="528">
      <c r="A528" s="2" t="inlineStr">
        <is>
          <t>2026-08-25</t>
        </is>
      </c>
      <c r="B528" s="2" t="inlineStr">
        <is>
          <t>2026-08-25T18:23:38</t>
        </is>
      </c>
      <c r="C528" s="2" t="inlineStr">
        <is>
          <t>vivo</t>
        </is>
      </c>
      <c r="D528" s="2" t="inlineStr">
        <is>
          <t>SP</t>
        </is>
      </c>
      <c r="E528" s="2" t="inlineStr">
        <is>
          <t>Vivo Total Ultra + TV</t>
        </is>
      </c>
      <c r="F528" s="2" t="inlineStr">
        <is>
          <t>vivo:VIV202604031882-9-305-313-316-408-411-426-430-442</t>
        </is>
      </c>
      <c r="G528" s="3" t="n">
        <v>310</v>
      </c>
      <c r="H528" s="3" t="inlineStr"/>
      <c r="I528" s="2" t="inlineStr"/>
      <c r="J528" s="2" t="inlineStr"/>
      <c r="K528" s="2" t="inlineStr">
        <is>
          <t>instalação grátis mediante fidelização (não afeta a mensalidade)</t>
        </is>
      </c>
      <c r="L528" s="2" t="inlineStr">
        <is>
          <t>mobile+broadband+tv</t>
        </is>
      </c>
      <c r="M528" s="2" t="inlineStr">
        <is>
          <t>Fiber + Mobile + TV</t>
        </is>
      </c>
      <c r="N528" s="2" t="b">
        <v>1</v>
      </c>
      <c r="O528" s="2" t="b">
        <v>1</v>
      </c>
      <c r="P528" s="2" t="b">
        <v>1</v>
      </c>
      <c r="Q528" s="2" t="b">
        <v>0</v>
      </c>
      <c r="R528" s="4" t="n">
        <v>700</v>
      </c>
      <c r="S528" s="4" t="n">
        <v>70</v>
      </c>
      <c r="T528" s="4" t="n">
        <v>1</v>
      </c>
      <c r="U528" s="2" t="inlineStr">
        <is>
          <t>120 canais de Vivo TV Avançado + 1 ponto adicional</t>
        </is>
      </c>
      <c r="V528" s="2" t="inlineStr"/>
      <c r="W528" s="2" t="inlineStr">
        <is>
          <t>Vivo travel américas</t>
        </is>
      </c>
      <c r="X528" s="2" t="inlineStr">
        <is>
          <t>700 Mega de Vivo Fibra</t>
        </is>
      </c>
      <c r="Y528" s="2" t="inlineStr">
        <is>
          <t>https://vivo.com.br/para-voce/produtos-e-servicos/combos/vivo-total</t>
        </is>
      </c>
      <c r="Z528" s="2" t="inlineStr">
        <is>
          <t>data/raw/vivo_convergent_total_SP.html</t>
        </is>
      </c>
    </row>
    <row r="529">
      <c r="A529" s="5" t="inlineStr">
        <is>
          <t>2026-08-25</t>
        </is>
      </c>
      <c r="B529" s="5" t="inlineStr">
        <is>
          <t>2026-08-25T18:23:38</t>
        </is>
      </c>
      <c r="C529" s="5" t="inlineStr">
        <is>
          <t>vivo</t>
        </is>
      </c>
      <c r="D529" s="5" t="inlineStr">
        <is>
          <t>SP</t>
        </is>
      </c>
      <c r="E529" s="5" t="inlineStr">
        <is>
          <t>Vivo Total Ultra + TV online</t>
        </is>
      </c>
      <c r="F529" s="5" t="inlineStr">
        <is>
          <t>vivo:VIV202604032034-305-313-316-336-408-411-426-430-442</t>
        </is>
      </c>
      <c r="G529" s="6" t="n">
        <v>210</v>
      </c>
      <c r="H529" s="6" t="inlineStr"/>
      <c r="I529" s="5" t="inlineStr"/>
      <c r="J529" s="5" t="inlineStr"/>
      <c r="K529" s="5" t="inlineStr">
        <is>
          <t>instalação grátis mediante fidelização (não afeta a mensalidade)</t>
        </is>
      </c>
      <c r="L529" s="5" t="inlineStr">
        <is>
          <t>mobile+broadband+tv</t>
        </is>
      </c>
      <c r="M529" s="5" t="inlineStr">
        <is>
          <t>Fiber + Mobile + TV</t>
        </is>
      </c>
      <c r="N529" s="5" t="b">
        <v>1</v>
      </c>
      <c r="O529" s="5" t="b">
        <v>1</v>
      </c>
      <c r="P529" s="5" t="b">
        <v>1</v>
      </c>
      <c r="Q529" s="5" t="b">
        <v>0</v>
      </c>
      <c r="R529" s="7" t="n">
        <v>700</v>
      </c>
      <c r="S529" s="7" t="n">
        <v>70</v>
      </c>
      <c r="T529" s="7" t="n">
        <v>1</v>
      </c>
      <c r="U529" s="5" t="inlineStr">
        <is>
          <t>80 canais de Vivo Estendido</t>
        </is>
      </c>
      <c r="V529" s="5" t="inlineStr"/>
      <c r="W529" s="5" t="inlineStr">
        <is>
          <t>Vivo travel américas</t>
        </is>
      </c>
      <c r="X529" s="5" t="inlineStr">
        <is>
          <t>700 Mega de Vivo Fibra</t>
        </is>
      </c>
      <c r="Y529" s="5" t="inlineStr">
        <is>
          <t>https://vivo.com.br/para-voce/produtos-e-servicos/combos/vivo-total</t>
        </is>
      </c>
      <c r="Z529" s="5" t="inlineStr">
        <is>
          <t>data/raw/vivo_convergent_total_SP.html</t>
        </is>
      </c>
    </row>
    <row r="530">
      <c r="A530" s="2" t="inlineStr">
        <is>
          <t>2026-08-25</t>
        </is>
      </c>
      <c r="B530" s="2" t="inlineStr">
        <is>
          <t>2026-08-25T18:23:38</t>
        </is>
      </c>
      <c r="C530" s="2" t="inlineStr">
        <is>
          <t>vivo</t>
        </is>
      </c>
      <c r="D530" s="2" t="inlineStr">
        <is>
          <t>SP</t>
        </is>
      </c>
      <c r="E530" s="2" t="inlineStr">
        <is>
          <t>Vivo Total V 1 Giga</t>
        </is>
      </c>
      <c r="F530" s="2" t="inlineStr">
        <is>
          <t>vivo:VIV202604032532-2-305-316-408-426-430-442</t>
        </is>
      </c>
      <c r="G530" s="3" t="n">
        <v>1200</v>
      </c>
      <c r="H530" s="3" t="inlineStr"/>
      <c r="I530" s="2" t="inlineStr"/>
      <c r="J530" s="2" t="inlineStr"/>
      <c r="K530" s="2" t="inlineStr">
        <is>
          <t>instalação grátis mediante fidelização (não afeta a mensalidade)</t>
        </is>
      </c>
      <c r="L530" s="2" t="inlineStr">
        <is>
          <t>mobile+broadband+tv</t>
        </is>
      </c>
      <c r="M530" s="2" t="inlineStr">
        <is>
          <t>Fiber + Mobile + TV</t>
        </is>
      </c>
      <c r="N530" s="2" t="b">
        <v>1</v>
      </c>
      <c r="O530" s="2" t="b">
        <v>1</v>
      </c>
      <c r="P530" s="2" t="b">
        <v>1</v>
      </c>
      <c r="Q530" s="2" t="b">
        <v>0</v>
      </c>
      <c r="R530" s="4" t="n">
        <v>1000</v>
      </c>
      <c r="S530" s="4" t="n">
        <v>600</v>
      </c>
      <c r="T530" s="4" t="n">
        <v>11</v>
      </c>
      <c r="U530" s="2" t="inlineStr">
        <is>
          <t>Vivo TV Completo com HBO Max e Telecine</t>
        </is>
      </c>
      <c r="V530" s="2" t="inlineStr"/>
      <c r="W530" s="2" t="inlineStr">
        <is>
          <t>Vivo Travel Mundo; 10 linhas adicionais inclusas; Vivo TV Completo com HBO Max e Telecine</t>
        </is>
      </c>
      <c r="X530" s="2" t="inlineStr">
        <is>
          <t>1Giga de Vivo Fibra</t>
        </is>
      </c>
      <c r="Y530" s="2" t="inlineStr">
        <is>
          <t>https://vivo.com.br/para-voce/produtos-e-servicos/combos/vivo-total</t>
        </is>
      </c>
      <c r="Z530" s="2" t="inlineStr">
        <is>
          <t>data/raw/vivo_convergent_total_SP.html</t>
        </is>
      </c>
    </row>
    <row r="531">
      <c r="A531" s="5" t="inlineStr">
        <is>
          <t>2026-08-26</t>
        </is>
      </c>
      <c r="B531" s="5" t="inlineStr">
        <is>
          <t>2026-08-26T21:24:35</t>
        </is>
      </c>
      <c r="C531" s="5" t="inlineStr">
        <is>
          <t>claro</t>
        </is>
      </c>
      <c r="D531" s="5" t="inlineStr">
        <is>
          <t>SP</t>
        </is>
      </c>
      <c r="E531" s="5" t="inlineStr">
        <is>
          <t>1 Giga com Globoplay incluso + Claro tv+ Box + Disney+ Amazon Prime + Netflix + HBO Max + Apple TV + Globoplay</t>
        </is>
      </c>
      <c r="F531" s="5" t="inlineStr">
        <is>
          <t>claro:af8152be-4aa7-4aa8-819a-a79687a3a9a0</t>
        </is>
      </c>
      <c r="G531" s="6" t="n">
        <v>319.8</v>
      </c>
      <c r="H531" s="6" t="inlineStr"/>
      <c r="I531" s="5" t="inlineStr"/>
      <c r="J531" s="5" t="inlineStr"/>
      <c r="K531" s="5" t="inlineStr">
        <is>
          <t>tab: Fibra + TV</t>
        </is>
      </c>
      <c r="L531" s="5" t="inlineStr">
        <is>
          <t>broadband+tv</t>
        </is>
      </c>
      <c r="M531" s="5" t="inlineStr">
        <is>
          <t>Fiber + TV</t>
        </is>
      </c>
      <c r="N531" s="5" t="b">
        <v>0</v>
      </c>
      <c r="O531" s="5" t="b">
        <v>1</v>
      </c>
      <c r="P531" s="5" t="b">
        <v>1</v>
      </c>
      <c r="Q531" s="5" t="b">
        <v>0</v>
      </c>
      <c r="R531" s="7" t="n">
        <v>1000</v>
      </c>
      <c r="S531" s="7" t="inlineStr"/>
      <c r="T531" s="7" t="inlineStr"/>
      <c r="U531" s="5" t="inlineStr">
        <is>
          <t>Claro tv+ Box + Disney+ Amazon Prime + Netflix + HBO Max + Apple TV + Globoplay</t>
        </is>
      </c>
      <c r="V531" s="5" t="inlineStr"/>
      <c r="W531" s="5" t="inlineStr"/>
      <c r="X531" s="5" t="inlineStr"/>
      <c r="Y531" s="5" t="inlineStr">
        <is>
          <t>https://www.claro.com.br/multi</t>
        </is>
      </c>
      <c r="Z531" s="5" t="inlineStr">
        <is>
          <t>data/raw/claro_convergent_multi_SP.html</t>
        </is>
      </c>
    </row>
    <row r="532">
      <c r="A532" s="2" t="inlineStr">
        <is>
          <t>2026-08-26</t>
        </is>
      </c>
      <c r="B532" s="2" t="inlineStr">
        <is>
          <t>2026-08-26T21:24:35</t>
        </is>
      </c>
      <c r="C532" s="2" t="inlineStr">
        <is>
          <t>claro</t>
        </is>
      </c>
      <c r="D532" s="2" t="inlineStr">
        <is>
          <t>SP</t>
        </is>
      </c>
      <c r="E532" s="2" t="inlineStr">
        <is>
          <t>1 Giga com Globoplay incluso + Claro tv+ Soundbox + Disney+ Amazon Prime + Netflix + HBO Max + Apple TV + Globoplay</t>
        </is>
      </c>
      <c r="F532" s="2" t="inlineStr">
        <is>
          <t>claro:ceb9fd87-0897-4dd2-a2f2-e7f09e714e49</t>
        </is>
      </c>
      <c r="G532" s="3" t="n">
        <v>429.8</v>
      </c>
      <c r="H532" s="3" t="inlineStr"/>
      <c r="I532" s="2" t="inlineStr"/>
      <c r="J532" s="2" t="inlineStr"/>
      <c r="K532" s="2" t="inlineStr">
        <is>
          <t>tab: Fibra + TV</t>
        </is>
      </c>
      <c r="L532" s="2" t="inlineStr">
        <is>
          <t>broadband+tv</t>
        </is>
      </c>
      <c r="M532" s="2" t="inlineStr">
        <is>
          <t>Fiber + TV</t>
        </is>
      </c>
      <c r="N532" s="2" t="b">
        <v>0</v>
      </c>
      <c r="O532" s="2" t="b">
        <v>1</v>
      </c>
      <c r="P532" s="2" t="b">
        <v>1</v>
      </c>
      <c r="Q532" s="2" t="b">
        <v>0</v>
      </c>
      <c r="R532" s="4" t="n">
        <v>1000</v>
      </c>
      <c r="S532" s="4" t="inlineStr"/>
      <c r="T532" s="4" t="inlineStr"/>
      <c r="U532" s="2" t="inlineStr">
        <is>
          <t>Claro tv+ Soundbox + Disney+ Amazon Prime + Netflix + HBO Max + Apple TV + Globoplay</t>
        </is>
      </c>
      <c r="V532" s="2" t="inlineStr"/>
      <c r="W532" s="2" t="inlineStr"/>
      <c r="X532" s="2" t="inlineStr"/>
      <c r="Y532" s="2" t="inlineStr">
        <is>
          <t>https://www.claro.com.br/multi</t>
        </is>
      </c>
      <c r="Z532" s="2" t="inlineStr">
        <is>
          <t>data/raw/claro_convergent_multi_SP.html</t>
        </is>
      </c>
    </row>
    <row r="533">
      <c r="A533" s="5" t="inlineStr">
        <is>
          <t>2026-08-26</t>
        </is>
      </c>
      <c r="B533" s="5" t="inlineStr">
        <is>
          <t>2026-08-26T21:24:35</t>
        </is>
      </c>
      <c r="C533" s="5" t="inlineStr">
        <is>
          <t>claro</t>
        </is>
      </c>
      <c r="D533" s="5" t="inlineStr">
        <is>
          <t>SP</t>
        </is>
      </c>
      <c r="E533" s="5" t="inlineStr">
        <is>
          <t>1 Giga com Globoplay incluso + Pós 100GB</t>
        </is>
      </c>
      <c r="F533" s="5" t="inlineStr">
        <is>
          <t>claro:a1de0ac1-61bb-4e97-a744-1ae4c3541673</t>
        </is>
      </c>
      <c r="G533" s="6" t="n">
        <v>179.9</v>
      </c>
      <c r="H533" s="6" t="inlineStr"/>
      <c r="I533" s="5" t="inlineStr"/>
      <c r="J533" s="5" t="inlineStr"/>
      <c r="K533" s="5" t="inlineStr">
        <is>
          <t>tab: Fibra + Móvel</t>
        </is>
      </c>
      <c r="L533" s="5" t="inlineStr">
        <is>
          <t>mobile+broadband</t>
        </is>
      </c>
      <c r="M533" s="5" t="inlineStr">
        <is>
          <t>Fiber + Mobile</t>
        </is>
      </c>
      <c r="N533" s="5" t="b">
        <v>1</v>
      </c>
      <c r="O533" s="5" t="b">
        <v>1</v>
      </c>
      <c r="P533" s="5" t="b">
        <v>0</v>
      </c>
      <c r="Q533" s="5" t="b">
        <v>0</v>
      </c>
      <c r="R533" s="7" t="n">
        <v>1000</v>
      </c>
      <c r="S533" s="7" t="n">
        <v>100</v>
      </c>
      <c r="T533" s="7" t="n">
        <v>1</v>
      </c>
      <c r="U533" s="5" t="inlineStr"/>
      <c r="V533" s="5" t="inlineStr"/>
      <c r="W533" s="5" t="inlineStr"/>
      <c r="X533" s="5" t="inlineStr">
        <is>
          <t>Pós 100GB</t>
        </is>
      </c>
      <c r="Y533" s="5" t="inlineStr">
        <is>
          <t>https://www.claro.com.br/multi</t>
        </is>
      </c>
      <c r="Z533" s="5" t="inlineStr">
        <is>
          <t>data/raw/claro_convergent_multi_SP.html</t>
        </is>
      </c>
    </row>
    <row r="534">
      <c r="A534" s="2" t="inlineStr">
        <is>
          <t>2026-08-26</t>
        </is>
      </c>
      <c r="B534" s="2" t="inlineStr">
        <is>
          <t>2026-08-26T21:24:35</t>
        </is>
      </c>
      <c r="C534" s="2" t="inlineStr">
        <is>
          <t>claro</t>
        </is>
      </c>
      <c r="D534" s="2" t="inlineStr">
        <is>
          <t>SP</t>
        </is>
      </c>
      <c r="E534" s="2" t="inlineStr">
        <is>
          <t>1 Giga com Globoplay incluso + Pós 100GB + Claro tv+ Box + Disney+ Amazon Prime + Netflix + HBO Max + Apple TV + Globoplay</t>
        </is>
      </c>
      <c r="F534" s="2" t="inlineStr">
        <is>
          <t>claro:548c4bad-7857-4c0c-94d5-45d33d66c57f</t>
        </is>
      </c>
      <c r="G534" s="3" t="n">
        <v>289.8</v>
      </c>
      <c r="H534" s="3" t="inlineStr"/>
      <c r="I534" s="2" t="inlineStr"/>
      <c r="J534" s="2" t="inlineStr"/>
      <c r="K534" s="2" t="inlineStr">
        <is>
          <t>tab: Fibra + Móvel + TV</t>
        </is>
      </c>
      <c r="L534" s="2" t="inlineStr">
        <is>
          <t>mobile+broadband+tv</t>
        </is>
      </c>
      <c r="M534" s="2" t="inlineStr">
        <is>
          <t>Fiber + Mobile + TV</t>
        </is>
      </c>
      <c r="N534" s="2" t="b">
        <v>1</v>
      </c>
      <c r="O534" s="2" t="b">
        <v>1</v>
      </c>
      <c r="P534" s="2" t="b">
        <v>1</v>
      </c>
      <c r="Q534" s="2" t="b">
        <v>0</v>
      </c>
      <c r="R534" s="4" t="n">
        <v>1000</v>
      </c>
      <c r="S534" s="4" t="n">
        <v>100</v>
      </c>
      <c r="T534" s="4" t="n">
        <v>1</v>
      </c>
      <c r="U534" s="2" t="inlineStr">
        <is>
          <t>Claro tv+ Box + Disney+ Amazon Prime + Netflix + HBO Max + Apple TV + Globoplay</t>
        </is>
      </c>
      <c r="V534" s="2" t="inlineStr"/>
      <c r="W534" s="2" t="inlineStr"/>
      <c r="X534" s="2" t="inlineStr">
        <is>
          <t>Pós 100GB</t>
        </is>
      </c>
      <c r="Y534" s="2" t="inlineStr">
        <is>
          <t>https://www.claro.com.br/multi</t>
        </is>
      </c>
      <c r="Z534" s="2" t="inlineStr">
        <is>
          <t>data/raw/claro_convergent_multi_SP.html</t>
        </is>
      </c>
    </row>
    <row r="535">
      <c r="A535" s="5" t="inlineStr">
        <is>
          <t>2026-08-26</t>
        </is>
      </c>
      <c r="B535" s="5" t="inlineStr">
        <is>
          <t>2026-08-26T21:24:35</t>
        </is>
      </c>
      <c r="C535" s="5" t="inlineStr">
        <is>
          <t>claro</t>
        </is>
      </c>
      <c r="D535" s="5" t="inlineStr">
        <is>
          <t>SP</t>
        </is>
      </c>
      <c r="E535" s="5" t="inlineStr">
        <is>
          <t>1 Giga com Globoplay incluso + Pós 150GB</t>
        </is>
      </c>
      <c r="F535" s="5" t="inlineStr">
        <is>
          <t>claro:d47e2a3b-dfd0-410e-9c24-d07a334d01d4</t>
        </is>
      </c>
      <c r="G535" s="6" t="n">
        <v>299.9</v>
      </c>
      <c r="H535" s="6" t="inlineStr"/>
      <c r="I535" s="5" t="inlineStr"/>
      <c r="J535" s="5" t="inlineStr"/>
      <c r="K535" s="5" t="inlineStr">
        <is>
          <t>tab: Fibra + Móvel</t>
        </is>
      </c>
      <c r="L535" s="5" t="inlineStr">
        <is>
          <t>mobile+broadband</t>
        </is>
      </c>
      <c r="M535" s="5" t="inlineStr">
        <is>
          <t>Fiber + Mobile</t>
        </is>
      </c>
      <c r="N535" s="5" t="b">
        <v>1</v>
      </c>
      <c r="O535" s="5" t="b">
        <v>1</v>
      </c>
      <c r="P535" s="5" t="b">
        <v>0</v>
      </c>
      <c r="Q535" s="5" t="b">
        <v>0</v>
      </c>
      <c r="R535" s="7" t="n">
        <v>1000</v>
      </c>
      <c r="S535" s="7" t="n">
        <v>150</v>
      </c>
      <c r="T535" s="7" t="n">
        <v>2</v>
      </c>
      <c r="U535" s="5" t="inlineStr"/>
      <c r="V535" s="5" t="inlineStr"/>
      <c r="W535" s="5" t="inlineStr"/>
      <c r="X535" s="5" t="inlineStr">
        <is>
          <t>Pós 150GB</t>
        </is>
      </c>
      <c r="Y535" s="5" t="inlineStr">
        <is>
          <t>https://www.claro.com.br/multi</t>
        </is>
      </c>
      <c r="Z535" s="5" t="inlineStr">
        <is>
          <t>data/raw/claro_convergent_multi_SP.html</t>
        </is>
      </c>
    </row>
    <row r="536">
      <c r="A536" s="2" t="inlineStr">
        <is>
          <t>2026-08-26</t>
        </is>
      </c>
      <c r="B536" s="2" t="inlineStr">
        <is>
          <t>2026-08-26T21:24:35</t>
        </is>
      </c>
      <c r="C536" s="2" t="inlineStr">
        <is>
          <t>claro</t>
        </is>
      </c>
      <c r="D536" s="2" t="inlineStr">
        <is>
          <t>SP</t>
        </is>
      </c>
      <c r="E536" s="2" t="inlineStr">
        <is>
          <t>1 Giga com Globoplay incluso + Pós 150GB + Claro tv+ Box + Disney+ Amazon Prime + Netflix + HBO Max + Apple TV + Globoplay</t>
        </is>
      </c>
      <c r="F536" s="2" t="inlineStr">
        <is>
          <t>claro:7785b449-69f2-4234-9e24-8837e32a55c0</t>
        </is>
      </c>
      <c r="G536" s="3" t="n">
        <v>409.8</v>
      </c>
      <c r="H536" s="3" t="inlineStr"/>
      <c r="I536" s="2" t="inlineStr"/>
      <c r="J536" s="2" t="inlineStr"/>
      <c r="K536" s="2" t="inlineStr">
        <is>
          <t>tab: Fibra + Móvel + TV</t>
        </is>
      </c>
      <c r="L536" s="2" t="inlineStr">
        <is>
          <t>mobile+broadband+tv</t>
        </is>
      </c>
      <c r="M536" s="2" t="inlineStr">
        <is>
          <t>Fiber + Mobile + TV</t>
        </is>
      </c>
      <c r="N536" s="2" t="b">
        <v>1</v>
      </c>
      <c r="O536" s="2" t="b">
        <v>1</v>
      </c>
      <c r="P536" s="2" t="b">
        <v>1</v>
      </c>
      <c r="Q536" s="2" t="b">
        <v>0</v>
      </c>
      <c r="R536" s="4" t="n">
        <v>1000</v>
      </c>
      <c r="S536" s="4" t="n">
        <v>150</v>
      </c>
      <c r="T536" s="4" t="n">
        <v>1</v>
      </c>
      <c r="U536" s="2" t="inlineStr">
        <is>
          <t>Claro tv+ Box + Disney+ Amazon Prime + Netflix + HBO Max + Apple TV + Globoplay</t>
        </is>
      </c>
      <c r="V536" s="2" t="inlineStr"/>
      <c r="W536" s="2" t="inlineStr"/>
      <c r="X536" s="2" t="inlineStr">
        <is>
          <t>Pós 150GB</t>
        </is>
      </c>
      <c r="Y536" s="2" t="inlineStr">
        <is>
          <t>https://www.claro.com.br/multi</t>
        </is>
      </c>
      <c r="Z536" s="2" t="inlineStr">
        <is>
          <t>data/raw/claro_convergent_multi_SP.html</t>
        </is>
      </c>
    </row>
    <row r="537">
      <c r="A537" s="5" t="inlineStr">
        <is>
          <t>2026-08-26</t>
        </is>
      </c>
      <c r="B537" s="5" t="inlineStr">
        <is>
          <t>2026-08-26T21:24:35</t>
        </is>
      </c>
      <c r="C537" s="5" t="inlineStr">
        <is>
          <t>claro</t>
        </is>
      </c>
      <c r="D537" s="5" t="inlineStr">
        <is>
          <t>SP</t>
        </is>
      </c>
      <c r="E537" s="5" t="inlineStr">
        <is>
          <t>1 Giga com Globoplay incluso + Pós 200GB</t>
        </is>
      </c>
      <c r="F537" s="5" t="inlineStr">
        <is>
          <t>claro:1961a62d-3213-4ff0-a152-401a45c5b1b5</t>
        </is>
      </c>
      <c r="G537" s="6" t="n">
        <v>359.9</v>
      </c>
      <c r="H537" s="6" t="inlineStr"/>
      <c r="I537" s="5" t="inlineStr"/>
      <c r="J537" s="5" t="inlineStr"/>
      <c r="K537" s="5" t="inlineStr">
        <is>
          <t>tab: Fibra + Móvel</t>
        </is>
      </c>
      <c r="L537" s="5" t="inlineStr">
        <is>
          <t>mobile+broadband</t>
        </is>
      </c>
      <c r="M537" s="5" t="inlineStr">
        <is>
          <t>Fiber + Mobile</t>
        </is>
      </c>
      <c r="N537" s="5" t="b">
        <v>1</v>
      </c>
      <c r="O537" s="5" t="b">
        <v>1</v>
      </c>
      <c r="P537" s="5" t="b">
        <v>0</v>
      </c>
      <c r="Q537" s="5" t="b">
        <v>0</v>
      </c>
      <c r="R537" s="7" t="n">
        <v>1000</v>
      </c>
      <c r="S537" s="7" t="n">
        <v>200</v>
      </c>
      <c r="T537" s="7" t="n">
        <v>3</v>
      </c>
      <c r="U537" s="5" t="inlineStr"/>
      <c r="V537" s="5" t="inlineStr"/>
      <c r="W537" s="5" t="inlineStr"/>
      <c r="X537" s="5" t="inlineStr">
        <is>
          <t>Pós 200GB</t>
        </is>
      </c>
      <c r="Y537" s="5" t="inlineStr">
        <is>
          <t>https://www.claro.com.br/multi</t>
        </is>
      </c>
      <c r="Z537" s="5" t="inlineStr">
        <is>
          <t>data/raw/claro_convergent_multi_SP.html</t>
        </is>
      </c>
    </row>
    <row r="538">
      <c r="A538" s="2" t="inlineStr">
        <is>
          <t>2026-08-26</t>
        </is>
      </c>
      <c r="B538" s="2" t="inlineStr">
        <is>
          <t>2026-08-26T21:24:35</t>
        </is>
      </c>
      <c r="C538" s="2" t="inlineStr">
        <is>
          <t>claro</t>
        </is>
      </c>
      <c r="D538" s="2" t="inlineStr">
        <is>
          <t>SP</t>
        </is>
      </c>
      <c r="E538" s="2" t="inlineStr">
        <is>
          <t>1 Giga com Globoplay incluso + Pós 200GB + Claro tv+ Box + Disney+ Amazon Prime + Netflix + HBO Max + Apple TV + Globoplay</t>
        </is>
      </c>
      <c r="F538" s="2" t="inlineStr">
        <is>
          <t>claro:312815a2-b3a5-43bb-89a1-272d53ccb212</t>
        </is>
      </c>
      <c r="G538" s="3" t="n">
        <v>469.8</v>
      </c>
      <c r="H538" s="3" t="inlineStr"/>
      <c r="I538" s="2" t="inlineStr"/>
      <c r="J538" s="2" t="inlineStr"/>
      <c r="K538" s="2" t="inlineStr">
        <is>
          <t>tab: Fibra + Móvel + TV</t>
        </is>
      </c>
      <c r="L538" s="2" t="inlineStr">
        <is>
          <t>mobile+broadband+tv</t>
        </is>
      </c>
      <c r="M538" s="2" t="inlineStr">
        <is>
          <t>Fiber + Mobile + TV</t>
        </is>
      </c>
      <c r="N538" s="2" t="b">
        <v>1</v>
      </c>
      <c r="O538" s="2" t="b">
        <v>1</v>
      </c>
      <c r="P538" s="2" t="b">
        <v>1</v>
      </c>
      <c r="Q538" s="2" t="b">
        <v>0</v>
      </c>
      <c r="R538" s="4" t="n">
        <v>1000</v>
      </c>
      <c r="S538" s="4" t="n">
        <v>200</v>
      </c>
      <c r="T538" s="4" t="n">
        <v>1</v>
      </c>
      <c r="U538" s="2" t="inlineStr">
        <is>
          <t>Claro tv+ Box + Disney+ Amazon Prime + Netflix + HBO Max + Apple TV + Globoplay</t>
        </is>
      </c>
      <c r="V538" s="2" t="inlineStr"/>
      <c r="W538" s="2" t="inlineStr"/>
      <c r="X538" s="2" t="inlineStr">
        <is>
          <t>Pós 200GB</t>
        </is>
      </c>
      <c r="Y538" s="2" t="inlineStr">
        <is>
          <t>https://www.claro.com.br/multi</t>
        </is>
      </c>
      <c r="Z538" s="2" t="inlineStr">
        <is>
          <t>data/raw/claro_convergent_multi_SP.html</t>
        </is>
      </c>
    </row>
    <row r="539">
      <c r="A539" s="5" t="inlineStr">
        <is>
          <t>2026-08-26</t>
        </is>
      </c>
      <c r="B539" s="5" t="inlineStr">
        <is>
          <t>2026-08-26T21:24:35</t>
        </is>
      </c>
      <c r="C539" s="5" t="inlineStr">
        <is>
          <t>claro</t>
        </is>
      </c>
      <c r="D539" s="5" t="inlineStr">
        <is>
          <t>SP</t>
        </is>
      </c>
      <c r="E539" s="5" t="inlineStr">
        <is>
          <t>350 Mega com Globoplay incluso + Claro tv+ Box + Disney+ Amazon Prime + Netflix + HBO Max + Apple TV + Globoplay</t>
        </is>
      </c>
      <c r="F539" s="5" t="inlineStr">
        <is>
          <t>claro:97b00450-6f21-4349-8363-83d624b18328</t>
        </is>
      </c>
      <c r="G539" s="6" t="n">
        <v>229.8</v>
      </c>
      <c r="H539" s="6" t="inlineStr"/>
      <c r="I539" s="5" t="inlineStr"/>
      <c r="J539" s="5" t="inlineStr"/>
      <c r="K539" s="5" t="inlineStr">
        <is>
          <t>tab: Fibra + TV</t>
        </is>
      </c>
      <c r="L539" s="5" t="inlineStr">
        <is>
          <t>broadband+tv</t>
        </is>
      </c>
      <c r="M539" s="5" t="inlineStr">
        <is>
          <t>Fiber + TV</t>
        </is>
      </c>
      <c r="N539" s="5" t="b">
        <v>0</v>
      </c>
      <c r="O539" s="5" t="b">
        <v>1</v>
      </c>
      <c r="P539" s="5" t="b">
        <v>1</v>
      </c>
      <c r="Q539" s="5" t="b">
        <v>0</v>
      </c>
      <c r="R539" s="7" t="n">
        <v>350</v>
      </c>
      <c r="S539" s="7" t="inlineStr"/>
      <c r="T539" s="7" t="inlineStr"/>
      <c r="U539" s="5" t="inlineStr">
        <is>
          <t>Claro tv+ Box + Disney+ Amazon Prime + Netflix + HBO Max + Apple TV + Globoplay</t>
        </is>
      </c>
      <c r="V539" s="5" t="inlineStr"/>
      <c r="W539" s="5" t="inlineStr"/>
      <c r="X539" s="5" t="inlineStr"/>
      <c r="Y539" s="5" t="inlineStr">
        <is>
          <t>https://www.claro.com.br/multi</t>
        </is>
      </c>
      <c r="Z539" s="5" t="inlineStr">
        <is>
          <t>data/raw/claro_convergent_multi_SP.html</t>
        </is>
      </c>
    </row>
    <row r="540">
      <c r="A540" s="2" t="inlineStr">
        <is>
          <t>2026-08-26</t>
        </is>
      </c>
      <c r="B540" s="2" t="inlineStr">
        <is>
          <t>2026-08-26T21:24:35</t>
        </is>
      </c>
      <c r="C540" s="2" t="inlineStr">
        <is>
          <t>claro</t>
        </is>
      </c>
      <c r="D540" s="2" t="inlineStr">
        <is>
          <t>SP</t>
        </is>
      </c>
      <c r="E540" s="2" t="inlineStr">
        <is>
          <t>350 Mega com Globoplay incluso + Controle 40GB</t>
        </is>
      </c>
      <c r="F540" s="2" t="inlineStr">
        <is>
          <t>claro:a866ea9a-6a70-4b6e-b886-f8178086ca91</t>
        </is>
      </c>
      <c r="G540" s="3" t="n">
        <v>129.8</v>
      </c>
      <c r="H540" s="3" t="inlineStr"/>
      <c r="I540" s="2" t="inlineStr"/>
      <c r="J540" s="2" t="inlineStr">
        <is>
          <t>debit_auto</t>
        </is>
      </c>
      <c r="K540" s="2" t="inlineStr">
        <is>
          <t>tab: Fibra + Móvel; preço em débito em conta; +R$ 5.00 sem débito automático</t>
        </is>
      </c>
      <c r="L540" s="2" t="inlineStr">
        <is>
          <t>mobile+broadband</t>
        </is>
      </c>
      <c r="M540" s="2" t="inlineStr">
        <is>
          <t>Fiber + Mobile</t>
        </is>
      </c>
      <c r="N540" s="2" t="b">
        <v>1</v>
      </c>
      <c r="O540" s="2" t="b">
        <v>1</v>
      </c>
      <c r="P540" s="2" t="b">
        <v>0</v>
      </c>
      <c r="Q540" s="2" t="b">
        <v>0</v>
      </c>
      <c r="R540" s="4" t="n">
        <v>350</v>
      </c>
      <c r="S540" s="4" t="n">
        <v>40</v>
      </c>
      <c r="T540" s="4" t="n">
        <v>1</v>
      </c>
      <c r="U540" s="2" t="inlineStr"/>
      <c r="V540" s="2" t="inlineStr"/>
      <c r="W540" s="2" t="inlineStr"/>
      <c r="X540" s="2" t="inlineStr">
        <is>
          <t>Controle 40GB</t>
        </is>
      </c>
      <c r="Y540" s="2" t="inlineStr">
        <is>
          <t>https://www.claro.com.br/multi</t>
        </is>
      </c>
      <c r="Z540" s="2" t="inlineStr">
        <is>
          <t>data/raw/claro_convergent_multi_SP.html</t>
        </is>
      </c>
    </row>
    <row r="541">
      <c r="A541" s="5" t="inlineStr">
        <is>
          <t>2026-08-26</t>
        </is>
      </c>
      <c r="B541" s="5" t="inlineStr">
        <is>
          <t>2026-08-26T21:24:35</t>
        </is>
      </c>
      <c r="C541" s="5" t="inlineStr">
        <is>
          <t>claro</t>
        </is>
      </c>
      <c r="D541" s="5" t="inlineStr">
        <is>
          <t>SP</t>
        </is>
      </c>
      <c r="E541" s="5" t="inlineStr">
        <is>
          <t>350 Mega com Globoplay incluso + Pós 100GB + Claro tv+ Box + Disney+ Amazon Prime + Netflix + HBO Max + Apple TV + Globoplay</t>
        </is>
      </c>
      <c r="F541" s="5" t="inlineStr">
        <is>
          <t>claro:746fa9cf-ea2b-40de-ad2c-5803b3e0ab08</t>
        </is>
      </c>
      <c r="G541" s="6" t="n">
        <v>249.8</v>
      </c>
      <c r="H541" s="6" t="inlineStr"/>
      <c r="I541" s="5" t="inlineStr"/>
      <c r="J541" s="5" t="inlineStr"/>
      <c r="K541" s="5" t="inlineStr">
        <is>
          <t>tab: Fibra + Móvel + TV</t>
        </is>
      </c>
      <c r="L541" s="5" t="inlineStr">
        <is>
          <t>mobile+broadband+tv</t>
        </is>
      </c>
      <c r="M541" s="5" t="inlineStr">
        <is>
          <t>Fiber + Mobile + TV</t>
        </is>
      </c>
      <c r="N541" s="5" t="b">
        <v>1</v>
      </c>
      <c r="O541" s="5" t="b">
        <v>1</v>
      </c>
      <c r="P541" s="5" t="b">
        <v>1</v>
      </c>
      <c r="Q541" s="5" t="b">
        <v>0</v>
      </c>
      <c r="R541" s="7" t="n">
        <v>350</v>
      </c>
      <c r="S541" s="7" t="n">
        <v>100</v>
      </c>
      <c r="T541" s="7" t="n">
        <v>1</v>
      </c>
      <c r="U541" s="5" t="inlineStr">
        <is>
          <t>Claro tv+ Box + Disney+ Amazon Prime + Netflix + HBO Max + Apple TV + Globoplay</t>
        </is>
      </c>
      <c r="V541" s="5" t="inlineStr"/>
      <c r="W541" s="5" t="inlineStr"/>
      <c r="X541" s="5" t="inlineStr">
        <is>
          <t>Pós 100GB</t>
        </is>
      </c>
      <c r="Y541" s="5" t="inlineStr">
        <is>
          <t>https://www.claro.com.br/multi</t>
        </is>
      </c>
      <c r="Z541" s="5" t="inlineStr">
        <is>
          <t>data/raw/claro_convergent_multi_SP.html</t>
        </is>
      </c>
    </row>
    <row r="542">
      <c r="A542" s="2" t="inlineStr">
        <is>
          <t>2026-08-26</t>
        </is>
      </c>
      <c r="B542" s="2" t="inlineStr">
        <is>
          <t>2026-08-26T21:24:35</t>
        </is>
      </c>
      <c r="C542" s="2" t="inlineStr">
        <is>
          <t>claro</t>
        </is>
      </c>
      <c r="D542" s="2" t="inlineStr">
        <is>
          <t>SP</t>
        </is>
      </c>
      <c r="E542" s="2" t="inlineStr">
        <is>
          <t>600 Mega com Globoplay incluso + Claro tv+ Box + Disney+ Amazon Prime + Netflix + HBO Max + Apple TV + Globoplay</t>
        </is>
      </c>
      <c r="F542" s="2" t="inlineStr">
        <is>
          <t>claro:545261b1-2f4d-4dab-82a6-02d9e66c5d3d</t>
        </is>
      </c>
      <c r="G542" s="3" t="n">
        <v>239.8</v>
      </c>
      <c r="H542" s="3" t="inlineStr"/>
      <c r="I542" s="2" t="inlineStr"/>
      <c r="J542" s="2" t="inlineStr"/>
      <c r="K542" s="2" t="inlineStr">
        <is>
          <t>tab: Fibra + TV</t>
        </is>
      </c>
      <c r="L542" s="2" t="inlineStr">
        <is>
          <t>broadband+tv</t>
        </is>
      </c>
      <c r="M542" s="2" t="inlineStr">
        <is>
          <t>Fiber + TV</t>
        </is>
      </c>
      <c r="N542" s="2" t="b">
        <v>0</v>
      </c>
      <c r="O542" s="2" t="b">
        <v>1</v>
      </c>
      <c r="P542" s="2" t="b">
        <v>1</v>
      </c>
      <c r="Q542" s="2" t="b">
        <v>0</v>
      </c>
      <c r="R542" s="4" t="n">
        <v>600</v>
      </c>
      <c r="S542" s="4" t="inlineStr"/>
      <c r="T542" s="4" t="inlineStr"/>
      <c r="U542" s="2" t="inlineStr">
        <is>
          <t>Claro tv+ Box + Disney+ Amazon Prime + Netflix + HBO Max + Apple TV + Globoplay</t>
        </is>
      </c>
      <c r="V542" s="2" t="inlineStr"/>
      <c r="W542" s="2" t="inlineStr"/>
      <c r="X542" s="2" t="inlineStr"/>
      <c r="Y542" s="2" t="inlineStr">
        <is>
          <t>https://www.claro.com.br/multi</t>
        </is>
      </c>
      <c r="Z542" s="2" t="inlineStr">
        <is>
          <t>data/raw/claro_convergent_multi_SP.html</t>
        </is>
      </c>
    </row>
    <row r="543">
      <c r="A543" s="5" t="inlineStr">
        <is>
          <t>2026-08-26</t>
        </is>
      </c>
      <c r="B543" s="5" t="inlineStr">
        <is>
          <t>2026-08-26T21:24:35</t>
        </is>
      </c>
      <c r="C543" s="5" t="inlineStr">
        <is>
          <t>claro</t>
        </is>
      </c>
      <c r="D543" s="5" t="inlineStr">
        <is>
          <t>SP</t>
        </is>
      </c>
      <c r="E543" s="5" t="inlineStr">
        <is>
          <t>600 Mega com Globoplay incluso + Pós 100GB</t>
        </is>
      </c>
      <c r="F543" s="5" t="inlineStr">
        <is>
          <t>claro:350ac58a-533c-4858-83be-be3ea39c8874</t>
        </is>
      </c>
      <c r="G543" s="6" t="n">
        <v>159.9</v>
      </c>
      <c r="H543" s="6" t="inlineStr"/>
      <c r="I543" s="5" t="inlineStr"/>
      <c r="J543" s="5" t="inlineStr"/>
      <c r="K543" s="5" t="inlineStr">
        <is>
          <t>tab: Fibra + Móvel</t>
        </is>
      </c>
      <c r="L543" s="5" t="inlineStr">
        <is>
          <t>mobile+broadband</t>
        </is>
      </c>
      <c r="M543" s="5" t="inlineStr">
        <is>
          <t>Fiber + Mobile</t>
        </is>
      </c>
      <c r="N543" s="5" t="b">
        <v>1</v>
      </c>
      <c r="O543" s="5" t="b">
        <v>1</v>
      </c>
      <c r="P543" s="5" t="b">
        <v>0</v>
      </c>
      <c r="Q543" s="5" t="b">
        <v>0</v>
      </c>
      <c r="R543" s="7" t="n">
        <v>600</v>
      </c>
      <c r="S543" s="7" t="n">
        <v>100</v>
      </c>
      <c r="T543" s="7" t="n">
        <v>1</v>
      </c>
      <c r="U543" s="5" t="inlineStr"/>
      <c r="V543" s="5" t="inlineStr"/>
      <c r="W543" s="5" t="inlineStr"/>
      <c r="X543" s="5" t="inlineStr">
        <is>
          <t>Pós 100GB</t>
        </is>
      </c>
      <c r="Y543" s="5" t="inlineStr">
        <is>
          <t>https://www.claro.com.br/multi</t>
        </is>
      </c>
      <c r="Z543" s="5" t="inlineStr">
        <is>
          <t>data/raw/claro_convergent_multi_SP.html</t>
        </is>
      </c>
    </row>
    <row r="544">
      <c r="A544" s="2" t="inlineStr">
        <is>
          <t>2026-08-26</t>
        </is>
      </c>
      <c r="B544" s="2" t="inlineStr">
        <is>
          <t>2026-08-26T21:24:35</t>
        </is>
      </c>
      <c r="C544" s="2" t="inlineStr">
        <is>
          <t>claro</t>
        </is>
      </c>
      <c r="D544" s="2" t="inlineStr">
        <is>
          <t>SP</t>
        </is>
      </c>
      <c r="E544" s="2" t="inlineStr">
        <is>
          <t>600 Mega com Globoplay incluso + Pós 100GB + Claro tv+ Box + Disney+ Amazon Prime + Netflix + HBO Max + Apple TV + Globoplay</t>
        </is>
      </c>
      <c r="F544" s="2" t="inlineStr">
        <is>
          <t>claro:f36e7dfb-f7c9-4055-844f-7bc101699de8</t>
        </is>
      </c>
      <c r="G544" s="3" t="n">
        <v>269.8</v>
      </c>
      <c r="H544" s="3" t="inlineStr"/>
      <c r="I544" s="2" t="inlineStr"/>
      <c r="J544" s="2" t="inlineStr"/>
      <c r="K544" s="2" t="inlineStr">
        <is>
          <t>tab: Fibra + Móvel + TV</t>
        </is>
      </c>
      <c r="L544" s="2" t="inlineStr">
        <is>
          <t>mobile+broadband+tv</t>
        </is>
      </c>
      <c r="M544" s="2" t="inlineStr">
        <is>
          <t>Fiber + Mobile + TV</t>
        </is>
      </c>
      <c r="N544" s="2" t="b">
        <v>1</v>
      </c>
      <c r="O544" s="2" t="b">
        <v>1</v>
      </c>
      <c r="P544" s="2" t="b">
        <v>1</v>
      </c>
      <c r="Q544" s="2" t="b">
        <v>0</v>
      </c>
      <c r="R544" s="4" t="n">
        <v>600</v>
      </c>
      <c r="S544" s="4" t="n">
        <v>100</v>
      </c>
      <c r="T544" s="4" t="n">
        <v>1</v>
      </c>
      <c r="U544" s="2" t="inlineStr">
        <is>
          <t>Claro tv+ Box + Disney+ Amazon Prime + Netflix + HBO Max + Apple TV + Globoplay</t>
        </is>
      </c>
      <c r="V544" s="2" t="inlineStr"/>
      <c r="W544" s="2" t="inlineStr"/>
      <c r="X544" s="2" t="inlineStr">
        <is>
          <t>Pós 100GB</t>
        </is>
      </c>
      <c r="Y544" s="2" t="inlineStr">
        <is>
          <t>https://www.claro.com.br/multi</t>
        </is>
      </c>
      <c r="Z544" s="2" t="inlineStr">
        <is>
          <t>data/raw/claro_convergent_multi_SP.html</t>
        </is>
      </c>
    </row>
    <row r="545">
      <c r="A545" s="5" t="inlineStr">
        <is>
          <t>2026-08-26</t>
        </is>
      </c>
      <c r="B545" s="5" t="inlineStr">
        <is>
          <t>2026-08-26T21:24:35</t>
        </is>
      </c>
      <c r="C545" s="5" t="inlineStr">
        <is>
          <t>tim</t>
        </is>
      </c>
      <c r="D545" s="5" t="inlineStr">
        <is>
          <t>SP</t>
        </is>
      </c>
      <c r="E545" s="5" t="inlineStr">
        <is>
          <t>TIM Ultracombo 5</t>
        </is>
      </c>
      <c r="F545" s="5" t="inlineStr">
        <is>
          <t>tim:167756</t>
        </is>
      </c>
      <c r="G545" s="6" t="n">
        <v>169.99</v>
      </c>
      <c r="H545" s="6" t="inlineStr"/>
      <c r="I545" s="5" t="inlineStr"/>
      <c r="J545" s="5" t="inlineStr">
        <is>
          <t>debit_auto</t>
        </is>
      </c>
      <c r="K545" s="5" t="inlineStr">
        <is>
          <t>preço em débito automático; R$ 179,99/mês no pagamento por fatura</t>
        </is>
      </c>
      <c r="L545" s="5" t="inlineStr">
        <is>
          <t>mobile+broadband</t>
        </is>
      </c>
      <c r="M545" s="5" t="inlineStr">
        <is>
          <t>Fiber + Mobile</t>
        </is>
      </c>
      <c r="N545" s="5" t="b">
        <v>1</v>
      </c>
      <c r="O545" s="5" t="b">
        <v>1</v>
      </c>
      <c r="P545" s="5" t="b">
        <v>0</v>
      </c>
      <c r="Q545" s="5" t="b">
        <v>0</v>
      </c>
      <c r="R545" s="7" t="n">
        <v>1000</v>
      </c>
      <c r="S545" s="7" t="n">
        <v>115</v>
      </c>
      <c r="T545" s="7" t="n">
        <v>1</v>
      </c>
      <c r="U545" s="5" t="inlineStr"/>
      <c r="V545" s="5" t="inlineStr">
        <is>
          <t>Paramount+, Deezer</t>
        </is>
      </c>
      <c r="W545" s="5" t="inlineStr"/>
      <c r="X545" s="5" t="inlineStr">
        <is>
          <t>1GIGA de Ultrafibra para casa + 115GB de TIM Black C Hero para móvel: (25GB do plano + 40GB promo + 50GB bônus especial)</t>
        </is>
      </c>
      <c r="Y545" s="5" t="inlineStr">
        <is>
          <t>https://www.tim.com.br/sp/internet/tim-ultracombo</t>
        </is>
      </c>
      <c r="Z545" s="5" t="inlineStr">
        <is>
          <t>data/raw/tim_convergent_ultracombo_SP.html</t>
        </is>
      </c>
    </row>
    <row r="546">
      <c r="A546" s="2" t="inlineStr">
        <is>
          <t>2026-08-26</t>
        </is>
      </c>
      <c r="B546" s="2" t="inlineStr">
        <is>
          <t>2026-08-26T21:24:35</t>
        </is>
      </c>
      <c r="C546" s="2" t="inlineStr">
        <is>
          <t>tim</t>
        </is>
      </c>
      <c r="D546" s="2" t="inlineStr">
        <is>
          <t>SP</t>
        </is>
      </c>
      <c r="E546" s="2" t="inlineStr">
        <is>
          <t>TIM Ultracombo 6</t>
        </is>
      </c>
      <c r="F546" s="2" t="inlineStr">
        <is>
          <t>tim:167751</t>
        </is>
      </c>
      <c r="G546" s="3" t="n">
        <v>139.99</v>
      </c>
      <c r="H546" s="3" t="inlineStr"/>
      <c r="I546" s="2" t="inlineStr"/>
      <c r="J546" s="2" t="inlineStr">
        <is>
          <t>debit_auto</t>
        </is>
      </c>
      <c r="K546" s="2" t="inlineStr">
        <is>
          <t>preço em débito automático; R$ 149,99/mês no pagamento por fatura</t>
        </is>
      </c>
      <c r="L546" s="2" t="inlineStr">
        <is>
          <t>mobile+broadband</t>
        </is>
      </c>
      <c r="M546" s="2" t="inlineStr">
        <is>
          <t>Fiber + Mobile</t>
        </is>
      </c>
      <c r="N546" s="2" t="b">
        <v>1</v>
      </c>
      <c r="O546" s="2" t="b">
        <v>1</v>
      </c>
      <c r="P546" s="2" t="b">
        <v>0</v>
      </c>
      <c r="Q546" s="2" t="b">
        <v>0</v>
      </c>
      <c r="R546" s="4" t="n">
        <v>1000</v>
      </c>
      <c r="S546" s="4" t="n">
        <v>70</v>
      </c>
      <c r="T546" s="4" t="n">
        <v>1</v>
      </c>
      <c r="U546" s="2" t="inlineStr"/>
      <c r="V546" s="2" t="inlineStr">
        <is>
          <t>Paramount+, Deezer</t>
        </is>
      </c>
      <c r="W546" s="2" t="inlineStr"/>
      <c r="X546" s="2" t="inlineStr">
        <is>
          <t>1GIGA de Ultrafibra para casa + 70GB de TIM Black A para móvel: (15GB do plano + 50GB promo + 5GB bônus especial)</t>
        </is>
      </c>
      <c r="Y546" s="2" t="inlineStr">
        <is>
          <t>https://www.tim.com.br/sp/internet/tim-ultracombo</t>
        </is>
      </c>
      <c r="Z546" s="2" t="inlineStr">
        <is>
          <t>data/raw/tim_convergent_ultracombo_SP.html</t>
        </is>
      </c>
    </row>
    <row r="547">
      <c r="A547" s="5" t="inlineStr">
        <is>
          <t>2026-08-26</t>
        </is>
      </c>
      <c r="B547" s="5" t="inlineStr">
        <is>
          <t>2026-08-26T21:24:35</t>
        </is>
      </c>
      <c r="C547" s="5" t="inlineStr">
        <is>
          <t>tim</t>
        </is>
      </c>
      <c r="D547" s="5" t="inlineStr">
        <is>
          <t>SP</t>
        </is>
      </c>
      <c r="E547" s="5" t="inlineStr">
        <is>
          <t>TIM Ultracombo 7</t>
        </is>
      </c>
      <c r="F547" s="5" t="inlineStr">
        <is>
          <t>tim:167761</t>
        </is>
      </c>
      <c r="G547" s="6" t="n">
        <v>89.98999999999999</v>
      </c>
      <c r="H547" s="6" t="inlineStr"/>
      <c r="I547" s="5" t="inlineStr"/>
      <c r="J547" s="5" t="inlineStr">
        <is>
          <t>debit_auto</t>
        </is>
      </c>
      <c r="K547" s="5" t="inlineStr">
        <is>
          <t>preço em débito automático; R$ 99,99/mês no pagamento por fatura</t>
        </is>
      </c>
      <c r="L547" s="5" t="inlineStr">
        <is>
          <t>mobile+broadband</t>
        </is>
      </c>
      <c r="M547" s="5" t="inlineStr">
        <is>
          <t>Fiber + Mobile</t>
        </is>
      </c>
      <c r="N547" s="5" t="b">
        <v>1</v>
      </c>
      <c r="O547" s="5" t="b">
        <v>1</v>
      </c>
      <c r="P547" s="5" t="b">
        <v>0</v>
      </c>
      <c r="Q547" s="5" t="b">
        <v>0</v>
      </c>
      <c r="R547" s="7" t="n">
        <v>500</v>
      </c>
      <c r="S547" s="7" t="n">
        <v>65</v>
      </c>
      <c r="T547" s="7" t="n">
        <v>1</v>
      </c>
      <c r="U547" s="5" t="inlineStr"/>
      <c r="V547" s="5" t="inlineStr"/>
      <c r="W547" s="5" t="inlineStr"/>
      <c r="X547" s="5" t="inlineStr">
        <is>
          <t>500MEGA de Ultrafibra para casa + 65GB de TIM Black A Light para móvel: (10GB do plano + 50GB promo)</t>
        </is>
      </c>
      <c r="Y547" s="5" t="inlineStr">
        <is>
          <t>https://www.tim.com.br/sp/internet/tim-ultracombo</t>
        </is>
      </c>
      <c r="Z547" s="5" t="inlineStr">
        <is>
          <t>data/raw/tim_convergent_ultracombo_SP.html</t>
        </is>
      </c>
    </row>
    <row r="548">
      <c r="A548" s="2" t="inlineStr">
        <is>
          <t>2026-08-26</t>
        </is>
      </c>
      <c r="B548" s="2" t="inlineStr">
        <is>
          <t>2026-08-26T21:24:35</t>
        </is>
      </c>
      <c r="C548" s="2" t="inlineStr">
        <is>
          <t>vivo</t>
        </is>
      </c>
      <c r="D548" s="2" t="inlineStr">
        <is>
          <t>SP</t>
        </is>
      </c>
      <c r="E548" s="2" t="inlineStr">
        <is>
          <t>Vivo Família 2</t>
        </is>
      </c>
      <c r="F548" s="2" t="inlineStr">
        <is>
          <t>vivo:VIV202604032132-3-305-316-336-408-411-426-430-442</t>
        </is>
      </c>
      <c r="G548" s="3" t="n">
        <v>290</v>
      </c>
      <c r="H548" s="3" t="inlineStr"/>
      <c r="I548" s="2" t="inlineStr"/>
      <c r="J548" s="2" t="inlineStr"/>
      <c r="K548" s="2" t="inlineStr">
        <is>
          <t>instalação grátis mediante fidelização (não afeta a mensalidade)</t>
        </is>
      </c>
      <c r="L548" s="2" t="inlineStr">
        <is>
          <t>mobile+broadband+tv</t>
        </is>
      </c>
      <c r="M548" s="2" t="inlineStr">
        <is>
          <t>Fiber + Mobile + TV</t>
        </is>
      </c>
      <c r="N548" s="2" t="b">
        <v>1</v>
      </c>
      <c r="O548" s="2" t="b">
        <v>1</v>
      </c>
      <c r="P548" s="2" t="b">
        <v>1</v>
      </c>
      <c r="Q548" s="2" t="b">
        <v>0</v>
      </c>
      <c r="R548" s="4" t="n">
        <v>700</v>
      </c>
      <c r="S548" s="4" t="n">
        <v>120</v>
      </c>
      <c r="T548" s="4" t="n">
        <v>2</v>
      </c>
      <c r="U548" s="2" t="inlineStr">
        <is>
          <t>80 canais de Vivo Estendido</t>
        </is>
      </c>
      <c r="V548" s="2" t="inlineStr"/>
      <c r="W548" s="2" t="inlineStr">
        <is>
          <t>Vivo Travel américas e europa; 1 linha adicional inclusa</t>
        </is>
      </c>
      <c r="X548" s="2" t="inlineStr">
        <is>
          <t>700 Mega de Vivo Fibra</t>
        </is>
      </c>
      <c r="Y548" s="2" t="inlineStr">
        <is>
          <t>https://vivo.com.br/para-voce/produtos-e-servicos/combos/vivo-total</t>
        </is>
      </c>
      <c r="Z548" s="2" t="inlineStr">
        <is>
          <t>data/raw/vivo_convergent_total_SP.html</t>
        </is>
      </c>
    </row>
    <row r="549">
      <c r="A549" s="5" t="inlineStr">
        <is>
          <t>2026-08-26</t>
        </is>
      </c>
      <c r="B549" s="5" t="inlineStr">
        <is>
          <t>2026-08-26T21:24:35</t>
        </is>
      </c>
      <c r="C549" s="5" t="inlineStr">
        <is>
          <t>vivo</t>
        </is>
      </c>
      <c r="D549" s="5" t="inlineStr">
        <is>
          <t>SP</t>
        </is>
      </c>
      <c r="E549" s="5" t="inlineStr">
        <is>
          <t>Vivo Família 2</t>
        </is>
      </c>
      <c r="F549" s="5" t="inlineStr">
        <is>
          <t>vivo:VIV202604032112-3-9-305-316-408-411-426-430-442</t>
        </is>
      </c>
      <c r="G549" s="6" t="n">
        <v>390</v>
      </c>
      <c r="H549" s="6" t="inlineStr"/>
      <c r="I549" s="5" t="inlineStr"/>
      <c r="J549" s="5" t="inlineStr"/>
      <c r="K549" s="5" t="inlineStr">
        <is>
          <t>instalação grátis mediante fidelização (não afeta a mensalidade)</t>
        </is>
      </c>
      <c r="L549" s="5" t="inlineStr">
        <is>
          <t>mobile+broadband+tv</t>
        </is>
      </c>
      <c r="M549" s="5" t="inlineStr">
        <is>
          <t>Fiber + Mobile + TV</t>
        </is>
      </c>
      <c r="N549" s="5" t="b">
        <v>1</v>
      </c>
      <c r="O549" s="5" t="b">
        <v>1</v>
      </c>
      <c r="P549" s="5" t="b">
        <v>1</v>
      </c>
      <c r="Q549" s="5" t="b">
        <v>0</v>
      </c>
      <c r="R549" s="7" t="n">
        <v>700</v>
      </c>
      <c r="S549" s="7" t="n">
        <v>120</v>
      </c>
      <c r="T549" s="7" t="n">
        <v>2</v>
      </c>
      <c r="U549" s="5" t="inlineStr">
        <is>
          <t>120 canais de Vivo TV Avançado + 1 ponto adicional</t>
        </is>
      </c>
      <c r="V549" s="5" t="inlineStr"/>
      <c r="W549" s="5" t="inlineStr">
        <is>
          <t>Vivo Travel américas e europa; 1 linha adicional inclusa</t>
        </is>
      </c>
      <c r="X549" s="5" t="inlineStr">
        <is>
          <t>700 Mega de Vivo Fibra</t>
        </is>
      </c>
      <c r="Y549" s="5" t="inlineStr">
        <is>
          <t>https://vivo.com.br/para-voce/produtos-e-servicos/combos/vivo-total</t>
        </is>
      </c>
      <c r="Z549" s="5" t="inlineStr">
        <is>
          <t>data/raw/vivo_convergent_total_SP.html</t>
        </is>
      </c>
    </row>
    <row r="550">
      <c r="A550" s="2" t="inlineStr">
        <is>
          <t>2026-08-26</t>
        </is>
      </c>
      <c r="B550" s="2" t="inlineStr">
        <is>
          <t>2026-08-26T21:24:35</t>
        </is>
      </c>
      <c r="C550" s="2" t="inlineStr">
        <is>
          <t>vivo</t>
        </is>
      </c>
      <c r="D550" s="2" t="inlineStr">
        <is>
          <t>SP</t>
        </is>
      </c>
      <c r="E550" s="2" t="inlineStr">
        <is>
          <t>Vivo Total Família 2</t>
        </is>
      </c>
      <c r="F550" s="2" t="inlineStr">
        <is>
          <t>vivo:VIV202604032132-3-305-316-408-411-426-430-442</t>
        </is>
      </c>
      <c r="G550" s="3" t="n">
        <v>270</v>
      </c>
      <c r="H550" s="3" t="inlineStr"/>
      <c r="I550" s="2" t="inlineStr"/>
      <c r="J550" s="2" t="inlineStr"/>
      <c r="K550" s="2" t="inlineStr">
        <is>
          <t>instalação grátis mediante fidelização (não afeta a mensalidade)</t>
        </is>
      </c>
      <c r="L550" s="2" t="inlineStr">
        <is>
          <t>mobile+broadband</t>
        </is>
      </c>
      <c r="M550" s="2" t="inlineStr">
        <is>
          <t>Fiber + Mobile</t>
        </is>
      </c>
      <c r="N550" s="2" t="b">
        <v>1</v>
      </c>
      <c r="O550" s="2" t="b">
        <v>1</v>
      </c>
      <c r="P550" s="2" t="b">
        <v>0</v>
      </c>
      <c r="Q550" s="2" t="b">
        <v>0</v>
      </c>
      <c r="R550" s="4" t="n">
        <v>700</v>
      </c>
      <c r="S550" s="4" t="n">
        <v>120</v>
      </c>
      <c r="T550" s="4" t="n">
        <v>2</v>
      </c>
      <c r="U550" s="2" t="inlineStr"/>
      <c r="V550" s="2" t="inlineStr"/>
      <c r="W550" s="2" t="inlineStr">
        <is>
          <t>Vivo Travel Américas e Europa; 1 linha adicional inclusa</t>
        </is>
      </c>
      <c r="X550" s="2" t="inlineStr">
        <is>
          <t>700 Mega de Vivo Fibra</t>
        </is>
      </c>
      <c r="Y550" s="2" t="inlineStr">
        <is>
          <t>https://vivo.com.br/para-voce/produtos-e-servicos/combos/vivo-total</t>
        </is>
      </c>
      <c r="Z550" s="2" t="inlineStr">
        <is>
          <t>data/raw/vivo_convergent_total_SP.html</t>
        </is>
      </c>
    </row>
    <row r="551">
      <c r="A551" s="5" t="inlineStr">
        <is>
          <t>2026-08-26</t>
        </is>
      </c>
      <c r="B551" s="5" t="inlineStr">
        <is>
          <t>2026-08-26T21:24:35</t>
        </is>
      </c>
      <c r="C551" s="5" t="inlineStr">
        <is>
          <t>vivo</t>
        </is>
      </c>
      <c r="D551" s="5" t="inlineStr">
        <is>
          <t>SP</t>
        </is>
      </c>
      <c r="E551" s="5" t="inlineStr">
        <is>
          <t>Vivo Total Família 3</t>
        </is>
      </c>
      <c r="F551" s="5" t="inlineStr">
        <is>
          <t>vivo:VIV202604032212-4-305-316-408-411-426-430-442</t>
        </is>
      </c>
      <c r="G551" s="6" t="n">
        <v>330</v>
      </c>
      <c r="H551" s="6" t="inlineStr"/>
      <c r="I551" s="5" t="inlineStr"/>
      <c r="J551" s="5" t="inlineStr"/>
      <c r="K551" s="5" t="inlineStr">
        <is>
          <t>instalação grátis mediante fidelização (não afeta a mensalidade)</t>
        </is>
      </c>
      <c r="L551" s="5" t="inlineStr">
        <is>
          <t>mobile+broadband</t>
        </is>
      </c>
      <c r="M551" s="5" t="inlineStr">
        <is>
          <t>Fiber + Mobile</t>
        </is>
      </c>
      <c r="N551" s="5" t="b">
        <v>1</v>
      </c>
      <c r="O551" s="5" t="b">
        <v>1</v>
      </c>
      <c r="P551" s="5" t="b">
        <v>0</v>
      </c>
      <c r="Q551" s="5" t="b">
        <v>0</v>
      </c>
      <c r="R551" s="7" t="n">
        <v>700</v>
      </c>
      <c r="S551" s="7" t="n">
        <v>180</v>
      </c>
      <c r="T551" s="7" t="n">
        <v>3</v>
      </c>
      <c r="U551" s="5" t="inlineStr"/>
      <c r="V551" s="5" t="inlineStr"/>
      <c r="W551" s="5" t="inlineStr">
        <is>
          <t>Vivo Travel Américas e Europa; 2 linhas adicionais inclusas</t>
        </is>
      </c>
      <c r="X551" s="5" t="inlineStr">
        <is>
          <t>700 Mega de Vivo Fibra</t>
        </is>
      </c>
      <c r="Y551" s="5" t="inlineStr">
        <is>
          <t>https://vivo.com.br/para-voce/produtos-e-servicos/combos/vivo-total</t>
        </is>
      </c>
      <c r="Z551" s="5" t="inlineStr">
        <is>
          <t>data/raw/vivo_convergent_total_SP.html</t>
        </is>
      </c>
    </row>
    <row r="552">
      <c r="A552" s="2" t="inlineStr">
        <is>
          <t>2026-08-26</t>
        </is>
      </c>
      <c r="B552" s="2" t="inlineStr">
        <is>
          <t>2026-08-26T21:24:35</t>
        </is>
      </c>
      <c r="C552" s="2" t="inlineStr">
        <is>
          <t>vivo</t>
        </is>
      </c>
      <c r="D552" s="2" t="inlineStr">
        <is>
          <t>SP</t>
        </is>
      </c>
      <c r="E552" s="2" t="inlineStr">
        <is>
          <t>Vivo Total Família 4</t>
        </is>
      </c>
      <c r="F552" s="2" t="inlineStr">
        <is>
          <t>vivo:VIV202604032292-237-305-316-408-411-426-430-442</t>
        </is>
      </c>
      <c r="G552" s="3" t="n">
        <v>420</v>
      </c>
      <c r="H552" s="3" t="inlineStr"/>
      <c r="I552" s="2" t="inlineStr"/>
      <c r="J552" s="2" t="inlineStr"/>
      <c r="K552" s="2" t="inlineStr">
        <is>
          <t>instalação grátis mediante fidelização (não afeta a mensalidade)</t>
        </is>
      </c>
      <c r="L552" s="2" t="inlineStr">
        <is>
          <t>mobile+broadband</t>
        </is>
      </c>
      <c r="M552" s="2" t="inlineStr">
        <is>
          <t>Fiber + Mobile</t>
        </is>
      </c>
      <c r="N552" s="2" t="b">
        <v>1</v>
      </c>
      <c r="O552" s="2" t="b">
        <v>1</v>
      </c>
      <c r="P552" s="2" t="b">
        <v>0</v>
      </c>
      <c r="Q552" s="2" t="b">
        <v>0</v>
      </c>
      <c r="R552" s="4" t="n">
        <v>700</v>
      </c>
      <c r="S552" s="4" t="n">
        <v>240</v>
      </c>
      <c r="T552" s="4" t="n">
        <v>4</v>
      </c>
      <c r="U552" s="2" t="inlineStr"/>
      <c r="V552" s="2" t="inlineStr"/>
      <c r="W552" s="2" t="inlineStr">
        <is>
          <t>Vivo Travel Américas e Europa; 3 linhas adicionais inclusas</t>
        </is>
      </c>
      <c r="X552" s="2" t="inlineStr">
        <is>
          <t>700 Mega de Vivo Fibra</t>
        </is>
      </c>
      <c r="Y552" s="2" t="inlineStr">
        <is>
          <t>https://vivo.com.br/para-voce/produtos-e-servicos/combos/vivo-total</t>
        </is>
      </c>
      <c r="Z552" s="2" t="inlineStr">
        <is>
          <t>data/raw/vivo_convergent_total_SP.html</t>
        </is>
      </c>
    </row>
    <row r="553">
      <c r="A553" s="5" t="inlineStr">
        <is>
          <t>2026-08-26</t>
        </is>
      </c>
      <c r="B553" s="5" t="inlineStr">
        <is>
          <t>2026-08-26T21:24:35</t>
        </is>
      </c>
      <c r="C553" s="5" t="inlineStr">
        <is>
          <t>vivo</t>
        </is>
      </c>
      <c r="D553" s="5" t="inlineStr">
        <is>
          <t>SP</t>
        </is>
      </c>
      <c r="E553" s="5" t="inlineStr">
        <is>
          <t>Vivo Total Família 5</t>
        </is>
      </c>
      <c r="F553" s="5" t="inlineStr">
        <is>
          <t>vivo:VIV202604032372-5-305-316-408-411-426-430-442</t>
        </is>
      </c>
      <c r="G553" s="6" t="n">
        <v>520</v>
      </c>
      <c r="H553" s="6" t="inlineStr"/>
      <c r="I553" s="5" t="inlineStr"/>
      <c r="J553" s="5" t="inlineStr"/>
      <c r="K553" s="5" t="inlineStr">
        <is>
          <t>instalação grátis mediante fidelização (não afeta a mensalidade)</t>
        </is>
      </c>
      <c r="L553" s="5" t="inlineStr">
        <is>
          <t>mobile+broadband</t>
        </is>
      </c>
      <c r="M553" s="5" t="inlineStr">
        <is>
          <t>Fiber + Mobile</t>
        </is>
      </c>
      <c r="N553" s="5" t="b">
        <v>1</v>
      </c>
      <c r="O553" s="5" t="b">
        <v>1</v>
      </c>
      <c r="P553" s="5" t="b">
        <v>0</v>
      </c>
      <c r="Q553" s="5" t="b">
        <v>0</v>
      </c>
      <c r="R553" s="7" t="n">
        <v>700</v>
      </c>
      <c r="S553" s="7" t="n">
        <v>300</v>
      </c>
      <c r="T553" s="7" t="n">
        <v>5</v>
      </c>
      <c r="U553" s="5" t="inlineStr"/>
      <c r="V553" s="5" t="inlineStr"/>
      <c r="W553" s="5" t="inlineStr">
        <is>
          <t>Vivo Travel Américas e Europa; 4 linhas adicionais inclusas</t>
        </is>
      </c>
      <c r="X553" s="5" t="inlineStr">
        <is>
          <t>700 Mega de Vivo Fibra</t>
        </is>
      </c>
      <c r="Y553" s="5" t="inlineStr">
        <is>
          <t>https://vivo.com.br/para-voce/produtos-e-servicos/combos/vivo-total</t>
        </is>
      </c>
      <c r="Z553" s="5" t="inlineStr">
        <is>
          <t>data/raw/vivo_convergent_total_SP.html</t>
        </is>
      </c>
    </row>
    <row r="554">
      <c r="A554" s="2" t="inlineStr">
        <is>
          <t>2026-08-26</t>
        </is>
      </c>
      <c r="B554" s="2" t="inlineStr">
        <is>
          <t>2026-08-26T21:24:35</t>
        </is>
      </c>
      <c r="C554" s="2" t="inlineStr">
        <is>
          <t>vivo</t>
        </is>
      </c>
      <c r="D554" s="2" t="inlineStr">
        <is>
          <t>SP</t>
        </is>
      </c>
      <c r="E554" s="2" t="inlineStr">
        <is>
          <t>Vivo Total Pro</t>
        </is>
      </c>
      <c r="F554" s="2" t="inlineStr">
        <is>
          <t>vivo:VIV202604031772-2-305-308-316-326-342-411-430</t>
        </is>
      </c>
      <c r="G554" s="3" t="n">
        <v>160</v>
      </c>
      <c r="H554" s="3" t="inlineStr"/>
      <c r="I554" s="2" t="inlineStr"/>
      <c r="J554" s="2" t="inlineStr"/>
      <c r="K554" s="2" t="inlineStr">
        <is>
          <t>instalação grátis mediante fidelização (não afeta a mensalidade)</t>
        </is>
      </c>
      <c r="L554" s="2" t="inlineStr">
        <is>
          <t>mobile+broadband</t>
        </is>
      </c>
      <c r="M554" s="2" t="inlineStr">
        <is>
          <t>Fiber + Mobile</t>
        </is>
      </c>
      <c r="N554" s="2" t="b">
        <v>1</v>
      </c>
      <c r="O554" s="2" t="b">
        <v>1</v>
      </c>
      <c r="P554" s="2" t="b">
        <v>0</v>
      </c>
      <c r="Q554" s="2" t="b">
        <v>0</v>
      </c>
      <c r="R554" s="4" t="n">
        <v>500</v>
      </c>
      <c r="S554" s="4" t="n">
        <v>60</v>
      </c>
      <c r="T554" s="4" t="n">
        <v>1</v>
      </c>
      <c r="U554" s="2" t="inlineStr"/>
      <c r="V554" s="2" t="inlineStr"/>
      <c r="W554" s="2" t="inlineStr">
        <is>
          <t>Vivo Travel Américas; 50 GB de franquia + 10 GB de bônus</t>
        </is>
      </c>
      <c r="X554" s="2" t="inlineStr">
        <is>
          <t>500 Mega de Vivo Fibra</t>
        </is>
      </c>
      <c r="Y554" s="2" t="inlineStr">
        <is>
          <t>https://vivo.com.br/para-voce/produtos-e-servicos/combos/vivo-total</t>
        </is>
      </c>
      <c r="Z554" s="2" t="inlineStr">
        <is>
          <t>data/raw/vivo_convergent_total_SP.html</t>
        </is>
      </c>
    </row>
    <row r="555">
      <c r="A555" s="5" t="inlineStr">
        <is>
          <t>2026-08-26</t>
        </is>
      </c>
      <c r="B555" s="5" t="inlineStr">
        <is>
          <t>2026-08-26T21:24:35</t>
        </is>
      </c>
      <c r="C555" s="5" t="inlineStr">
        <is>
          <t>vivo</t>
        </is>
      </c>
      <c r="D555" s="5" t="inlineStr">
        <is>
          <t>SP</t>
        </is>
      </c>
      <c r="E555" s="5" t="inlineStr">
        <is>
          <t>Vivo Total Ultra</t>
        </is>
      </c>
      <c r="F555" s="5" t="inlineStr">
        <is>
          <t>vivo:VIV202604031940-305-313-316-408-411-426-430-442</t>
        </is>
      </c>
      <c r="G555" s="6" t="n">
        <v>170</v>
      </c>
      <c r="H555" s="6" t="inlineStr"/>
      <c r="I555" s="5" t="inlineStr"/>
      <c r="J555" s="5" t="inlineStr"/>
      <c r="K555" s="5" t="inlineStr">
        <is>
          <t>instalação grátis mediante fidelização (não afeta a mensalidade)</t>
        </is>
      </c>
      <c r="L555" s="5" t="inlineStr">
        <is>
          <t>mobile+broadband</t>
        </is>
      </c>
      <c r="M555" s="5" t="inlineStr">
        <is>
          <t>Fiber + Mobile</t>
        </is>
      </c>
      <c r="N555" s="5" t="b">
        <v>1</v>
      </c>
      <c r="O555" s="5" t="b">
        <v>1</v>
      </c>
      <c r="P555" s="5" t="b">
        <v>0</v>
      </c>
      <c r="Q555" s="5" t="b">
        <v>0</v>
      </c>
      <c r="R555" s="7" t="n">
        <v>700</v>
      </c>
      <c r="S555" s="7" t="n">
        <v>70</v>
      </c>
      <c r="T555" s="7" t="n">
        <v>1</v>
      </c>
      <c r="U555" s="5" t="inlineStr"/>
      <c r="V555" s="5" t="inlineStr"/>
      <c r="W555" s="5" t="inlineStr">
        <is>
          <t>Vivo Travel Américas; Exitlag e ponto cabeado incluso</t>
        </is>
      </c>
      <c r="X555" s="5" t="inlineStr">
        <is>
          <t>700 Mega de Vivo Fibra</t>
        </is>
      </c>
      <c r="Y555" s="5" t="inlineStr">
        <is>
          <t>https://vivo.com.br/para-voce/produtos-e-servicos/combos/vivo-total</t>
        </is>
      </c>
      <c r="Z555" s="5" t="inlineStr">
        <is>
          <t>data/raw/vivo_convergent_total_SP.html</t>
        </is>
      </c>
    </row>
    <row r="556">
      <c r="A556" s="2" t="inlineStr">
        <is>
          <t>2026-08-26</t>
        </is>
      </c>
      <c r="B556" s="2" t="inlineStr">
        <is>
          <t>2026-08-26T21:24:35</t>
        </is>
      </c>
      <c r="C556" s="2" t="inlineStr">
        <is>
          <t>vivo</t>
        </is>
      </c>
      <c r="D556" s="2" t="inlineStr">
        <is>
          <t>SP</t>
        </is>
      </c>
      <c r="E556" s="2" t="inlineStr">
        <is>
          <t>Vivo Total Ultra + TV</t>
        </is>
      </c>
      <c r="F556" s="2" t="inlineStr">
        <is>
          <t>vivo:VIV202604031882-9-305-313-316-408-411-426-430-442</t>
        </is>
      </c>
      <c r="G556" s="3" t="n">
        <v>310</v>
      </c>
      <c r="H556" s="3" t="inlineStr"/>
      <c r="I556" s="2" t="inlineStr"/>
      <c r="J556" s="2" t="inlineStr"/>
      <c r="K556" s="2" t="inlineStr">
        <is>
          <t>instalação grátis mediante fidelização (não afeta a mensalidade)</t>
        </is>
      </c>
      <c r="L556" s="2" t="inlineStr">
        <is>
          <t>mobile+broadband+tv</t>
        </is>
      </c>
      <c r="M556" s="2" t="inlineStr">
        <is>
          <t>Fiber + Mobile + TV</t>
        </is>
      </c>
      <c r="N556" s="2" t="b">
        <v>1</v>
      </c>
      <c r="O556" s="2" t="b">
        <v>1</v>
      </c>
      <c r="P556" s="2" t="b">
        <v>1</v>
      </c>
      <c r="Q556" s="2" t="b">
        <v>0</v>
      </c>
      <c r="R556" s="4" t="n">
        <v>700</v>
      </c>
      <c r="S556" s="4" t="n">
        <v>70</v>
      </c>
      <c r="T556" s="4" t="n">
        <v>1</v>
      </c>
      <c r="U556" s="2" t="inlineStr">
        <is>
          <t>120 canais de Vivo TV Avançado + 1 ponto adicional</t>
        </is>
      </c>
      <c r="V556" s="2" t="inlineStr"/>
      <c r="W556" s="2" t="inlineStr">
        <is>
          <t>Vivo travel américas</t>
        </is>
      </c>
      <c r="X556" s="2" t="inlineStr">
        <is>
          <t>700 Mega de Vivo Fibra</t>
        </is>
      </c>
      <c r="Y556" s="2" t="inlineStr">
        <is>
          <t>https://vivo.com.br/para-voce/produtos-e-servicos/combos/vivo-total</t>
        </is>
      </c>
      <c r="Z556" s="2" t="inlineStr">
        <is>
          <t>data/raw/vivo_convergent_total_SP.html</t>
        </is>
      </c>
    </row>
    <row r="557">
      <c r="A557" s="5" t="inlineStr">
        <is>
          <t>2026-08-26</t>
        </is>
      </c>
      <c r="B557" s="5" t="inlineStr">
        <is>
          <t>2026-08-26T21:24:35</t>
        </is>
      </c>
      <c r="C557" s="5" t="inlineStr">
        <is>
          <t>vivo</t>
        </is>
      </c>
      <c r="D557" s="5" t="inlineStr">
        <is>
          <t>SP</t>
        </is>
      </c>
      <c r="E557" s="5" t="inlineStr">
        <is>
          <t>Vivo Total Ultra + TV online</t>
        </is>
      </c>
      <c r="F557" s="5" t="inlineStr">
        <is>
          <t>vivo:VIV202604032034-305-313-316-336-408-411-426-430-442</t>
        </is>
      </c>
      <c r="G557" s="6" t="n">
        <v>210</v>
      </c>
      <c r="H557" s="6" t="inlineStr"/>
      <c r="I557" s="5" t="inlineStr"/>
      <c r="J557" s="5" t="inlineStr"/>
      <c r="K557" s="5" t="inlineStr">
        <is>
          <t>instalação grátis mediante fidelização (não afeta a mensalidade)</t>
        </is>
      </c>
      <c r="L557" s="5" t="inlineStr">
        <is>
          <t>mobile+broadband+tv</t>
        </is>
      </c>
      <c r="M557" s="5" t="inlineStr">
        <is>
          <t>Fiber + Mobile + TV</t>
        </is>
      </c>
      <c r="N557" s="5" t="b">
        <v>1</v>
      </c>
      <c r="O557" s="5" t="b">
        <v>1</v>
      </c>
      <c r="P557" s="5" t="b">
        <v>1</v>
      </c>
      <c r="Q557" s="5" t="b">
        <v>0</v>
      </c>
      <c r="R557" s="7" t="n">
        <v>700</v>
      </c>
      <c r="S557" s="7" t="n">
        <v>70</v>
      </c>
      <c r="T557" s="7" t="n">
        <v>1</v>
      </c>
      <c r="U557" s="5" t="inlineStr">
        <is>
          <t>80 canais de Vivo Estendido</t>
        </is>
      </c>
      <c r="V557" s="5" t="inlineStr"/>
      <c r="W557" s="5" t="inlineStr">
        <is>
          <t>Vivo travel américas</t>
        </is>
      </c>
      <c r="X557" s="5" t="inlineStr">
        <is>
          <t>700 Mega de Vivo Fibra</t>
        </is>
      </c>
      <c r="Y557" s="5" t="inlineStr">
        <is>
          <t>https://vivo.com.br/para-voce/produtos-e-servicos/combos/vivo-total</t>
        </is>
      </c>
      <c r="Z557" s="5" t="inlineStr">
        <is>
          <t>data/raw/vivo_convergent_total_SP.html</t>
        </is>
      </c>
    </row>
    <row r="558">
      <c r="A558" s="2" t="inlineStr">
        <is>
          <t>2026-08-26</t>
        </is>
      </c>
      <c r="B558" s="2" t="inlineStr">
        <is>
          <t>2026-08-26T21:24:35</t>
        </is>
      </c>
      <c r="C558" s="2" t="inlineStr">
        <is>
          <t>vivo</t>
        </is>
      </c>
      <c r="D558" s="2" t="inlineStr">
        <is>
          <t>SP</t>
        </is>
      </c>
      <c r="E558" s="2" t="inlineStr">
        <is>
          <t>Vivo Total V 1 Giga</t>
        </is>
      </c>
      <c r="F558" s="2" t="inlineStr">
        <is>
          <t>vivo:VIV202604032532-2-305-316-408-426-430-442</t>
        </is>
      </c>
      <c r="G558" s="3" t="n">
        <v>1200</v>
      </c>
      <c r="H558" s="3" t="inlineStr"/>
      <c r="I558" s="2" t="inlineStr"/>
      <c r="J558" s="2" t="inlineStr"/>
      <c r="K558" s="2" t="inlineStr">
        <is>
          <t>instalação grátis mediante fidelização (não afeta a mensalidade)</t>
        </is>
      </c>
      <c r="L558" s="2" t="inlineStr">
        <is>
          <t>mobile+broadband+tv</t>
        </is>
      </c>
      <c r="M558" s="2" t="inlineStr">
        <is>
          <t>Fiber + Mobile + TV</t>
        </is>
      </c>
      <c r="N558" s="2" t="b">
        <v>1</v>
      </c>
      <c r="O558" s="2" t="b">
        <v>1</v>
      </c>
      <c r="P558" s="2" t="b">
        <v>1</v>
      </c>
      <c r="Q558" s="2" t="b">
        <v>0</v>
      </c>
      <c r="R558" s="4" t="n">
        <v>1000</v>
      </c>
      <c r="S558" s="4" t="n">
        <v>600</v>
      </c>
      <c r="T558" s="4" t="n">
        <v>11</v>
      </c>
      <c r="U558" s="2" t="inlineStr">
        <is>
          <t>Vivo TV Completo com HBO Max e Telecine</t>
        </is>
      </c>
      <c r="V558" s="2" t="inlineStr"/>
      <c r="W558" s="2" t="inlineStr">
        <is>
          <t>Vivo Travel Mundo; 10 linhas adicionais inclusas; Vivo TV Completo com HBO Max e Telecine</t>
        </is>
      </c>
      <c r="X558" s="2" t="inlineStr">
        <is>
          <t>1Giga de Vivo Fibra</t>
        </is>
      </c>
      <c r="Y558" s="2" t="inlineStr">
        <is>
          <t>https://vivo.com.br/para-voce/produtos-e-servicos/combos/vivo-total</t>
        </is>
      </c>
      <c r="Z558" s="2" t="inlineStr">
        <is>
          <t>data/raw/vivo_convergent_total_SP.html</t>
        </is>
      </c>
    </row>
    <row r="559">
      <c r="A559" s="5" t="inlineStr">
        <is>
          <t>2026-08-27</t>
        </is>
      </c>
      <c r="B559" s="5" t="inlineStr">
        <is>
          <t>2026-08-27T01:25:48</t>
        </is>
      </c>
      <c r="C559" s="5" t="inlineStr">
        <is>
          <t>claro</t>
        </is>
      </c>
      <c r="D559" s="5" t="inlineStr">
        <is>
          <t>SP</t>
        </is>
      </c>
      <c r="E559" s="5" t="inlineStr">
        <is>
          <t>1 Giga com Globoplay incluso + Claro tv+ Box + Disney+ Amazon Prime + Netflix + HBO Max + Apple TV + Globoplay</t>
        </is>
      </c>
      <c r="F559" s="5" t="inlineStr">
        <is>
          <t>claro:af8152be-4aa7-4aa8-819a-a79687a3a9a0</t>
        </is>
      </c>
      <c r="G559" s="6" t="n">
        <v>319.8</v>
      </c>
      <c r="H559" s="6" t="inlineStr"/>
      <c r="I559" s="5" t="inlineStr"/>
      <c r="J559" s="5" t="inlineStr"/>
      <c r="K559" s="5" t="inlineStr">
        <is>
          <t>tab: Fibra + TV</t>
        </is>
      </c>
      <c r="L559" s="5" t="inlineStr">
        <is>
          <t>broadband+tv</t>
        </is>
      </c>
      <c r="M559" s="5" t="inlineStr">
        <is>
          <t>Fiber + TV</t>
        </is>
      </c>
      <c r="N559" s="5" t="b">
        <v>0</v>
      </c>
      <c r="O559" s="5" t="b">
        <v>1</v>
      </c>
      <c r="P559" s="5" t="b">
        <v>1</v>
      </c>
      <c r="Q559" s="5" t="b">
        <v>0</v>
      </c>
      <c r="R559" s="7" t="n">
        <v>1000</v>
      </c>
      <c r="S559" s="7" t="inlineStr"/>
      <c r="T559" s="7" t="inlineStr"/>
      <c r="U559" s="5" t="inlineStr">
        <is>
          <t>Claro tv+ Box + Disney+ Amazon Prime + Netflix + HBO Max + Apple TV + Globoplay</t>
        </is>
      </c>
      <c r="V559" s="5" t="inlineStr"/>
      <c r="W559" s="5" t="inlineStr"/>
      <c r="X559" s="5" t="inlineStr"/>
      <c r="Y559" s="5" t="inlineStr">
        <is>
          <t>https://www.claro.com.br/multi</t>
        </is>
      </c>
      <c r="Z559" s="5" t="inlineStr">
        <is>
          <t>data/raw/claro_convergent_multi_SP.html</t>
        </is>
      </c>
    </row>
    <row r="560">
      <c r="A560" s="2" t="inlineStr">
        <is>
          <t>2026-08-27</t>
        </is>
      </c>
      <c r="B560" s="2" t="inlineStr">
        <is>
          <t>2026-08-27T01:25:48</t>
        </is>
      </c>
      <c r="C560" s="2" t="inlineStr">
        <is>
          <t>claro</t>
        </is>
      </c>
      <c r="D560" s="2" t="inlineStr">
        <is>
          <t>SP</t>
        </is>
      </c>
      <c r="E560" s="2" t="inlineStr">
        <is>
          <t>1 Giga com Globoplay incluso + Claro tv+ Soundbox + Disney+ Amazon Prime + Netflix + HBO Max + Apple TV + Globoplay</t>
        </is>
      </c>
      <c r="F560" s="2" t="inlineStr">
        <is>
          <t>claro:ceb9fd87-0897-4dd2-a2f2-e7f09e714e49</t>
        </is>
      </c>
      <c r="G560" s="3" t="n">
        <v>429.8</v>
      </c>
      <c r="H560" s="3" t="inlineStr"/>
      <c r="I560" s="2" t="inlineStr"/>
      <c r="J560" s="2" t="inlineStr"/>
      <c r="K560" s="2" t="inlineStr">
        <is>
          <t>tab: Fibra + TV</t>
        </is>
      </c>
      <c r="L560" s="2" t="inlineStr">
        <is>
          <t>broadband+tv</t>
        </is>
      </c>
      <c r="M560" s="2" t="inlineStr">
        <is>
          <t>Fiber + TV</t>
        </is>
      </c>
      <c r="N560" s="2" t="b">
        <v>0</v>
      </c>
      <c r="O560" s="2" t="b">
        <v>1</v>
      </c>
      <c r="P560" s="2" t="b">
        <v>1</v>
      </c>
      <c r="Q560" s="2" t="b">
        <v>0</v>
      </c>
      <c r="R560" s="4" t="n">
        <v>1000</v>
      </c>
      <c r="S560" s="4" t="inlineStr"/>
      <c r="T560" s="4" t="inlineStr"/>
      <c r="U560" s="2" t="inlineStr">
        <is>
          <t>Claro tv+ Soundbox + Disney+ Amazon Prime + Netflix + HBO Max + Apple TV + Globoplay</t>
        </is>
      </c>
      <c r="V560" s="2" t="inlineStr"/>
      <c r="W560" s="2" t="inlineStr"/>
      <c r="X560" s="2" t="inlineStr"/>
      <c r="Y560" s="2" t="inlineStr">
        <is>
          <t>https://www.claro.com.br/multi</t>
        </is>
      </c>
      <c r="Z560" s="2" t="inlineStr">
        <is>
          <t>data/raw/claro_convergent_multi_SP.html</t>
        </is>
      </c>
    </row>
    <row r="561">
      <c r="A561" s="5" t="inlineStr">
        <is>
          <t>2026-08-27</t>
        </is>
      </c>
      <c r="B561" s="5" t="inlineStr">
        <is>
          <t>2026-08-27T01:25:48</t>
        </is>
      </c>
      <c r="C561" s="5" t="inlineStr">
        <is>
          <t>claro</t>
        </is>
      </c>
      <c r="D561" s="5" t="inlineStr">
        <is>
          <t>SP</t>
        </is>
      </c>
      <c r="E561" s="5" t="inlineStr">
        <is>
          <t>1 Giga com Globoplay incluso + Pós 100GB</t>
        </is>
      </c>
      <c r="F561" s="5" t="inlineStr">
        <is>
          <t>claro:a1de0ac1-61bb-4e97-a744-1ae4c3541673</t>
        </is>
      </c>
      <c r="G561" s="6" t="n">
        <v>179.9</v>
      </c>
      <c r="H561" s="6" t="inlineStr"/>
      <c r="I561" s="5" t="inlineStr"/>
      <c r="J561" s="5" t="inlineStr"/>
      <c r="K561" s="5" t="inlineStr">
        <is>
          <t>tab: Fibra + Móvel</t>
        </is>
      </c>
      <c r="L561" s="5" t="inlineStr">
        <is>
          <t>mobile+broadband</t>
        </is>
      </c>
      <c r="M561" s="5" t="inlineStr">
        <is>
          <t>Fiber + Mobile</t>
        </is>
      </c>
      <c r="N561" s="5" t="b">
        <v>1</v>
      </c>
      <c r="O561" s="5" t="b">
        <v>1</v>
      </c>
      <c r="P561" s="5" t="b">
        <v>0</v>
      </c>
      <c r="Q561" s="5" t="b">
        <v>0</v>
      </c>
      <c r="R561" s="7" t="n">
        <v>1000</v>
      </c>
      <c r="S561" s="7" t="n">
        <v>100</v>
      </c>
      <c r="T561" s="7" t="n">
        <v>1</v>
      </c>
      <c r="U561" s="5" t="inlineStr"/>
      <c r="V561" s="5" t="inlineStr"/>
      <c r="W561" s="5" t="inlineStr"/>
      <c r="X561" s="5" t="inlineStr">
        <is>
          <t>Pós 100GB</t>
        </is>
      </c>
      <c r="Y561" s="5" t="inlineStr">
        <is>
          <t>https://www.claro.com.br/multi</t>
        </is>
      </c>
      <c r="Z561" s="5" t="inlineStr">
        <is>
          <t>data/raw/claro_convergent_multi_SP.html</t>
        </is>
      </c>
    </row>
    <row r="562">
      <c r="A562" s="2" t="inlineStr">
        <is>
          <t>2026-08-27</t>
        </is>
      </c>
      <c r="B562" s="2" t="inlineStr">
        <is>
          <t>2026-08-27T01:25:48</t>
        </is>
      </c>
      <c r="C562" s="2" t="inlineStr">
        <is>
          <t>claro</t>
        </is>
      </c>
      <c r="D562" s="2" t="inlineStr">
        <is>
          <t>SP</t>
        </is>
      </c>
      <c r="E562" s="2" t="inlineStr">
        <is>
          <t>1 Giga com Globoplay incluso + Pós 100GB + Claro tv+ Box + Disney+ Amazon Prime + Netflix + HBO Max + Apple TV + Globoplay</t>
        </is>
      </c>
      <c r="F562" s="2" t="inlineStr">
        <is>
          <t>claro:548c4bad-7857-4c0c-94d5-45d33d66c57f</t>
        </is>
      </c>
      <c r="G562" s="3" t="n">
        <v>289.8</v>
      </c>
      <c r="H562" s="3" t="inlineStr"/>
      <c r="I562" s="2" t="inlineStr"/>
      <c r="J562" s="2" t="inlineStr"/>
      <c r="K562" s="2" t="inlineStr">
        <is>
          <t>tab: Fibra + Móvel + TV</t>
        </is>
      </c>
      <c r="L562" s="2" t="inlineStr">
        <is>
          <t>mobile+broadband+tv</t>
        </is>
      </c>
      <c r="M562" s="2" t="inlineStr">
        <is>
          <t>Fiber + Mobile + TV</t>
        </is>
      </c>
      <c r="N562" s="2" t="b">
        <v>1</v>
      </c>
      <c r="O562" s="2" t="b">
        <v>1</v>
      </c>
      <c r="P562" s="2" t="b">
        <v>1</v>
      </c>
      <c r="Q562" s="2" t="b">
        <v>0</v>
      </c>
      <c r="R562" s="4" t="n">
        <v>1000</v>
      </c>
      <c r="S562" s="4" t="n">
        <v>100</v>
      </c>
      <c r="T562" s="4" t="n">
        <v>1</v>
      </c>
      <c r="U562" s="2" t="inlineStr">
        <is>
          <t>Claro tv+ Box + Disney+ Amazon Prime + Netflix + HBO Max + Apple TV + Globoplay</t>
        </is>
      </c>
      <c r="V562" s="2" t="inlineStr"/>
      <c r="W562" s="2" t="inlineStr"/>
      <c r="X562" s="2" t="inlineStr">
        <is>
          <t>Pós 100GB</t>
        </is>
      </c>
      <c r="Y562" s="2" t="inlineStr">
        <is>
          <t>https://www.claro.com.br/multi</t>
        </is>
      </c>
      <c r="Z562" s="2" t="inlineStr">
        <is>
          <t>data/raw/claro_convergent_multi_SP.html</t>
        </is>
      </c>
    </row>
    <row r="563">
      <c r="A563" s="5" t="inlineStr">
        <is>
          <t>2026-08-27</t>
        </is>
      </c>
      <c r="B563" s="5" t="inlineStr">
        <is>
          <t>2026-08-27T01:25:48</t>
        </is>
      </c>
      <c r="C563" s="5" t="inlineStr">
        <is>
          <t>claro</t>
        </is>
      </c>
      <c r="D563" s="5" t="inlineStr">
        <is>
          <t>SP</t>
        </is>
      </c>
      <c r="E563" s="5" t="inlineStr">
        <is>
          <t>1 Giga com Globoplay incluso + Pós 150GB</t>
        </is>
      </c>
      <c r="F563" s="5" t="inlineStr">
        <is>
          <t>claro:d47e2a3b-dfd0-410e-9c24-d07a334d01d4</t>
        </is>
      </c>
      <c r="G563" s="6" t="n">
        <v>299.9</v>
      </c>
      <c r="H563" s="6" t="inlineStr"/>
      <c r="I563" s="5" t="inlineStr"/>
      <c r="J563" s="5" t="inlineStr"/>
      <c r="K563" s="5" t="inlineStr">
        <is>
          <t>tab: Fibra + Móvel</t>
        </is>
      </c>
      <c r="L563" s="5" t="inlineStr">
        <is>
          <t>mobile+broadband</t>
        </is>
      </c>
      <c r="M563" s="5" t="inlineStr">
        <is>
          <t>Fiber + Mobile</t>
        </is>
      </c>
      <c r="N563" s="5" t="b">
        <v>1</v>
      </c>
      <c r="O563" s="5" t="b">
        <v>1</v>
      </c>
      <c r="P563" s="5" t="b">
        <v>0</v>
      </c>
      <c r="Q563" s="5" t="b">
        <v>0</v>
      </c>
      <c r="R563" s="7" t="n">
        <v>1000</v>
      </c>
      <c r="S563" s="7" t="n">
        <v>150</v>
      </c>
      <c r="T563" s="7" t="n">
        <v>2</v>
      </c>
      <c r="U563" s="5" t="inlineStr"/>
      <c r="V563" s="5" t="inlineStr"/>
      <c r="W563" s="5" t="inlineStr"/>
      <c r="X563" s="5" t="inlineStr">
        <is>
          <t>Pós 150GB</t>
        </is>
      </c>
      <c r="Y563" s="5" t="inlineStr">
        <is>
          <t>https://www.claro.com.br/multi</t>
        </is>
      </c>
      <c r="Z563" s="5" t="inlineStr">
        <is>
          <t>data/raw/claro_convergent_multi_SP.html</t>
        </is>
      </c>
    </row>
    <row r="564">
      <c r="A564" s="2" t="inlineStr">
        <is>
          <t>2026-08-27</t>
        </is>
      </c>
      <c r="B564" s="2" t="inlineStr">
        <is>
          <t>2026-08-27T01:25:48</t>
        </is>
      </c>
      <c r="C564" s="2" t="inlineStr">
        <is>
          <t>claro</t>
        </is>
      </c>
      <c r="D564" s="2" t="inlineStr">
        <is>
          <t>SP</t>
        </is>
      </c>
      <c r="E564" s="2" t="inlineStr">
        <is>
          <t>1 Giga com Globoplay incluso + Pós 150GB + Claro tv+ Box + Disney+ Amazon Prime + Netflix + HBO Max + Apple TV + Globoplay</t>
        </is>
      </c>
      <c r="F564" s="2" t="inlineStr">
        <is>
          <t>claro:7785b449-69f2-4234-9e24-8837e32a55c0</t>
        </is>
      </c>
      <c r="G564" s="3" t="n">
        <v>409.8</v>
      </c>
      <c r="H564" s="3" t="inlineStr"/>
      <c r="I564" s="2" t="inlineStr"/>
      <c r="J564" s="2" t="inlineStr"/>
      <c r="K564" s="2" t="inlineStr">
        <is>
          <t>tab: Fibra + Móvel + TV</t>
        </is>
      </c>
      <c r="L564" s="2" t="inlineStr">
        <is>
          <t>mobile+broadband+tv</t>
        </is>
      </c>
      <c r="M564" s="2" t="inlineStr">
        <is>
          <t>Fiber + Mobile + TV</t>
        </is>
      </c>
      <c r="N564" s="2" t="b">
        <v>1</v>
      </c>
      <c r="O564" s="2" t="b">
        <v>1</v>
      </c>
      <c r="P564" s="2" t="b">
        <v>1</v>
      </c>
      <c r="Q564" s="2" t="b">
        <v>0</v>
      </c>
      <c r="R564" s="4" t="n">
        <v>1000</v>
      </c>
      <c r="S564" s="4" t="n">
        <v>150</v>
      </c>
      <c r="T564" s="4" t="n">
        <v>1</v>
      </c>
      <c r="U564" s="2" t="inlineStr">
        <is>
          <t>Claro tv+ Box + Disney+ Amazon Prime + Netflix + HBO Max + Apple TV + Globoplay</t>
        </is>
      </c>
      <c r="V564" s="2" t="inlineStr"/>
      <c r="W564" s="2" t="inlineStr"/>
      <c r="X564" s="2" t="inlineStr">
        <is>
          <t>Pós 150GB</t>
        </is>
      </c>
      <c r="Y564" s="2" t="inlineStr">
        <is>
          <t>https://www.claro.com.br/multi</t>
        </is>
      </c>
      <c r="Z564" s="2" t="inlineStr">
        <is>
          <t>data/raw/claro_convergent_multi_SP.html</t>
        </is>
      </c>
    </row>
    <row r="565">
      <c r="A565" s="5" t="inlineStr">
        <is>
          <t>2026-08-27</t>
        </is>
      </c>
      <c r="B565" s="5" t="inlineStr">
        <is>
          <t>2026-08-27T01:25:48</t>
        </is>
      </c>
      <c r="C565" s="5" t="inlineStr">
        <is>
          <t>claro</t>
        </is>
      </c>
      <c r="D565" s="5" t="inlineStr">
        <is>
          <t>SP</t>
        </is>
      </c>
      <c r="E565" s="5" t="inlineStr">
        <is>
          <t>1 Giga com Globoplay incluso + Pós 200GB</t>
        </is>
      </c>
      <c r="F565" s="5" t="inlineStr">
        <is>
          <t>claro:1961a62d-3213-4ff0-a152-401a45c5b1b5</t>
        </is>
      </c>
      <c r="G565" s="6" t="n">
        <v>359.9</v>
      </c>
      <c r="H565" s="6" t="inlineStr"/>
      <c r="I565" s="5" t="inlineStr"/>
      <c r="J565" s="5" t="inlineStr"/>
      <c r="K565" s="5" t="inlineStr">
        <is>
          <t>tab: Fibra + Móvel</t>
        </is>
      </c>
      <c r="L565" s="5" t="inlineStr">
        <is>
          <t>mobile+broadband</t>
        </is>
      </c>
      <c r="M565" s="5" t="inlineStr">
        <is>
          <t>Fiber + Mobile</t>
        </is>
      </c>
      <c r="N565" s="5" t="b">
        <v>1</v>
      </c>
      <c r="O565" s="5" t="b">
        <v>1</v>
      </c>
      <c r="P565" s="5" t="b">
        <v>0</v>
      </c>
      <c r="Q565" s="5" t="b">
        <v>0</v>
      </c>
      <c r="R565" s="7" t="n">
        <v>1000</v>
      </c>
      <c r="S565" s="7" t="n">
        <v>200</v>
      </c>
      <c r="T565" s="7" t="n">
        <v>3</v>
      </c>
      <c r="U565" s="5" t="inlineStr"/>
      <c r="V565" s="5" t="inlineStr"/>
      <c r="W565" s="5" t="inlineStr"/>
      <c r="X565" s="5" t="inlineStr">
        <is>
          <t>Pós 200GB</t>
        </is>
      </c>
      <c r="Y565" s="5" t="inlineStr">
        <is>
          <t>https://www.claro.com.br/multi</t>
        </is>
      </c>
      <c r="Z565" s="5" t="inlineStr">
        <is>
          <t>data/raw/claro_convergent_multi_SP.html</t>
        </is>
      </c>
    </row>
    <row r="566">
      <c r="A566" s="2" t="inlineStr">
        <is>
          <t>2026-08-27</t>
        </is>
      </c>
      <c r="B566" s="2" t="inlineStr">
        <is>
          <t>2026-08-27T01:25:48</t>
        </is>
      </c>
      <c r="C566" s="2" t="inlineStr">
        <is>
          <t>claro</t>
        </is>
      </c>
      <c r="D566" s="2" t="inlineStr">
        <is>
          <t>SP</t>
        </is>
      </c>
      <c r="E566" s="2" t="inlineStr">
        <is>
          <t>1 Giga com Globoplay incluso + Pós 200GB + Claro tv+ Box + Disney+ Amazon Prime + Netflix + HBO Max + Apple TV + Globoplay</t>
        </is>
      </c>
      <c r="F566" s="2" t="inlineStr">
        <is>
          <t>claro:312815a2-b3a5-43bb-89a1-272d53ccb212</t>
        </is>
      </c>
      <c r="G566" s="3" t="n">
        <v>469.8</v>
      </c>
      <c r="H566" s="3" t="inlineStr"/>
      <c r="I566" s="2" t="inlineStr"/>
      <c r="J566" s="2" t="inlineStr"/>
      <c r="K566" s="2" t="inlineStr">
        <is>
          <t>tab: Fibra + Móvel + TV</t>
        </is>
      </c>
      <c r="L566" s="2" t="inlineStr">
        <is>
          <t>mobile+broadband+tv</t>
        </is>
      </c>
      <c r="M566" s="2" t="inlineStr">
        <is>
          <t>Fiber + Mobile + TV</t>
        </is>
      </c>
      <c r="N566" s="2" t="b">
        <v>1</v>
      </c>
      <c r="O566" s="2" t="b">
        <v>1</v>
      </c>
      <c r="P566" s="2" t="b">
        <v>1</v>
      </c>
      <c r="Q566" s="2" t="b">
        <v>0</v>
      </c>
      <c r="R566" s="4" t="n">
        <v>1000</v>
      </c>
      <c r="S566" s="4" t="n">
        <v>200</v>
      </c>
      <c r="T566" s="4" t="n">
        <v>1</v>
      </c>
      <c r="U566" s="2" t="inlineStr">
        <is>
          <t>Claro tv+ Box + Disney+ Amazon Prime + Netflix + HBO Max + Apple TV + Globoplay</t>
        </is>
      </c>
      <c r="V566" s="2" t="inlineStr"/>
      <c r="W566" s="2" t="inlineStr"/>
      <c r="X566" s="2" t="inlineStr">
        <is>
          <t>Pós 200GB</t>
        </is>
      </c>
      <c r="Y566" s="2" t="inlineStr">
        <is>
          <t>https://www.claro.com.br/multi</t>
        </is>
      </c>
      <c r="Z566" s="2" t="inlineStr">
        <is>
          <t>data/raw/claro_convergent_multi_SP.html</t>
        </is>
      </c>
    </row>
    <row r="567">
      <c r="A567" s="5" t="inlineStr">
        <is>
          <t>2026-08-27</t>
        </is>
      </c>
      <c r="B567" s="5" t="inlineStr">
        <is>
          <t>2026-08-27T01:25:48</t>
        </is>
      </c>
      <c r="C567" s="5" t="inlineStr">
        <is>
          <t>claro</t>
        </is>
      </c>
      <c r="D567" s="5" t="inlineStr">
        <is>
          <t>SP</t>
        </is>
      </c>
      <c r="E567" s="5" t="inlineStr">
        <is>
          <t>350 Mega com Globoplay incluso + Claro tv+ Box + Disney+ Amazon Prime + Netflix + HBO Max + Apple TV + Globoplay</t>
        </is>
      </c>
      <c r="F567" s="5" t="inlineStr">
        <is>
          <t>claro:97b00450-6f21-4349-8363-83d624b18328</t>
        </is>
      </c>
      <c r="G567" s="6" t="n">
        <v>229.8</v>
      </c>
      <c r="H567" s="6" t="inlineStr"/>
      <c r="I567" s="5" t="inlineStr"/>
      <c r="J567" s="5" t="inlineStr"/>
      <c r="K567" s="5" t="inlineStr">
        <is>
          <t>tab: Fibra + TV</t>
        </is>
      </c>
      <c r="L567" s="5" t="inlineStr">
        <is>
          <t>broadband+tv</t>
        </is>
      </c>
      <c r="M567" s="5" t="inlineStr">
        <is>
          <t>Fiber + TV</t>
        </is>
      </c>
      <c r="N567" s="5" t="b">
        <v>0</v>
      </c>
      <c r="O567" s="5" t="b">
        <v>1</v>
      </c>
      <c r="P567" s="5" t="b">
        <v>1</v>
      </c>
      <c r="Q567" s="5" t="b">
        <v>0</v>
      </c>
      <c r="R567" s="7" t="n">
        <v>350</v>
      </c>
      <c r="S567" s="7" t="inlineStr"/>
      <c r="T567" s="7" t="inlineStr"/>
      <c r="U567" s="5" t="inlineStr">
        <is>
          <t>Claro tv+ Box + Disney+ Amazon Prime + Netflix + HBO Max + Apple TV + Globoplay</t>
        </is>
      </c>
      <c r="V567" s="5" t="inlineStr"/>
      <c r="W567" s="5" t="inlineStr"/>
      <c r="X567" s="5" t="inlineStr"/>
      <c r="Y567" s="5" t="inlineStr">
        <is>
          <t>https://www.claro.com.br/multi</t>
        </is>
      </c>
      <c r="Z567" s="5" t="inlineStr">
        <is>
          <t>data/raw/claro_convergent_multi_SP.html</t>
        </is>
      </c>
    </row>
    <row r="568">
      <c r="A568" s="2" t="inlineStr">
        <is>
          <t>2026-08-27</t>
        </is>
      </c>
      <c r="B568" s="2" t="inlineStr">
        <is>
          <t>2026-08-27T01:25:48</t>
        </is>
      </c>
      <c r="C568" s="2" t="inlineStr">
        <is>
          <t>claro</t>
        </is>
      </c>
      <c r="D568" s="2" t="inlineStr">
        <is>
          <t>SP</t>
        </is>
      </c>
      <c r="E568" s="2" t="inlineStr">
        <is>
          <t>350 Mega com Globoplay incluso + Controle 40GB</t>
        </is>
      </c>
      <c r="F568" s="2" t="inlineStr">
        <is>
          <t>claro:a866ea9a-6a70-4b6e-b886-f8178086ca91</t>
        </is>
      </c>
      <c r="G568" s="3" t="n">
        <v>129.8</v>
      </c>
      <c r="H568" s="3" t="inlineStr"/>
      <c r="I568" s="2" t="inlineStr"/>
      <c r="J568" s="2" t="inlineStr">
        <is>
          <t>debit_auto</t>
        </is>
      </c>
      <c r="K568" s="2" t="inlineStr">
        <is>
          <t>tab: Fibra + Móvel; preço em débito em conta; +R$ 5.00 sem débito automático</t>
        </is>
      </c>
      <c r="L568" s="2" t="inlineStr">
        <is>
          <t>mobile+broadband</t>
        </is>
      </c>
      <c r="M568" s="2" t="inlineStr">
        <is>
          <t>Fiber + Mobile</t>
        </is>
      </c>
      <c r="N568" s="2" t="b">
        <v>1</v>
      </c>
      <c r="O568" s="2" t="b">
        <v>1</v>
      </c>
      <c r="P568" s="2" t="b">
        <v>0</v>
      </c>
      <c r="Q568" s="2" t="b">
        <v>0</v>
      </c>
      <c r="R568" s="4" t="n">
        <v>350</v>
      </c>
      <c r="S568" s="4" t="n">
        <v>40</v>
      </c>
      <c r="T568" s="4" t="n">
        <v>1</v>
      </c>
      <c r="U568" s="2" t="inlineStr"/>
      <c r="V568" s="2" t="inlineStr"/>
      <c r="W568" s="2" t="inlineStr"/>
      <c r="X568" s="2" t="inlineStr">
        <is>
          <t>Controle 40GB</t>
        </is>
      </c>
      <c r="Y568" s="2" t="inlineStr">
        <is>
          <t>https://www.claro.com.br/multi</t>
        </is>
      </c>
      <c r="Z568" s="2" t="inlineStr">
        <is>
          <t>data/raw/claro_convergent_multi_SP.html</t>
        </is>
      </c>
    </row>
    <row r="569">
      <c r="A569" s="5" t="inlineStr">
        <is>
          <t>2026-08-27</t>
        </is>
      </c>
      <c r="B569" s="5" t="inlineStr">
        <is>
          <t>2026-08-27T01:25:48</t>
        </is>
      </c>
      <c r="C569" s="5" t="inlineStr">
        <is>
          <t>claro</t>
        </is>
      </c>
      <c r="D569" s="5" t="inlineStr">
        <is>
          <t>SP</t>
        </is>
      </c>
      <c r="E569" s="5" t="inlineStr">
        <is>
          <t>350 Mega com Globoplay incluso + Pós 100GB + Claro tv+ Box + Disney+ Amazon Prime + Netflix + HBO Max + Apple TV + Globoplay</t>
        </is>
      </c>
      <c r="F569" s="5" t="inlineStr">
        <is>
          <t>claro:746fa9cf-ea2b-40de-ad2c-5803b3e0ab08</t>
        </is>
      </c>
      <c r="G569" s="6" t="n">
        <v>249.8</v>
      </c>
      <c r="H569" s="6" t="inlineStr"/>
      <c r="I569" s="5" t="inlineStr"/>
      <c r="J569" s="5" t="inlineStr"/>
      <c r="K569" s="5" t="inlineStr">
        <is>
          <t>tab: Fibra + Móvel + TV</t>
        </is>
      </c>
      <c r="L569" s="5" t="inlineStr">
        <is>
          <t>mobile+broadband+tv</t>
        </is>
      </c>
      <c r="M569" s="5" t="inlineStr">
        <is>
          <t>Fiber + Mobile + TV</t>
        </is>
      </c>
      <c r="N569" s="5" t="b">
        <v>1</v>
      </c>
      <c r="O569" s="5" t="b">
        <v>1</v>
      </c>
      <c r="P569" s="5" t="b">
        <v>1</v>
      </c>
      <c r="Q569" s="5" t="b">
        <v>0</v>
      </c>
      <c r="R569" s="7" t="n">
        <v>350</v>
      </c>
      <c r="S569" s="7" t="n">
        <v>100</v>
      </c>
      <c r="T569" s="7" t="n">
        <v>1</v>
      </c>
      <c r="U569" s="5" t="inlineStr">
        <is>
          <t>Claro tv+ Box + Disney+ Amazon Prime + Netflix + HBO Max + Apple TV + Globoplay</t>
        </is>
      </c>
      <c r="V569" s="5" t="inlineStr"/>
      <c r="W569" s="5" t="inlineStr"/>
      <c r="X569" s="5" t="inlineStr">
        <is>
          <t>Pós 100GB</t>
        </is>
      </c>
      <c r="Y569" s="5" t="inlineStr">
        <is>
          <t>https://www.claro.com.br/multi</t>
        </is>
      </c>
      <c r="Z569" s="5" t="inlineStr">
        <is>
          <t>data/raw/claro_convergent_multi_SP.html</t>
        </is>
      </c>
    </row>
    <row r="570">
      <c r="A570" s="2" t="inlineStr">
        <is>
          <t>2026-08-27</t>
        </is>
      </c>
      <c r="B570" s="2" t="inlineStr">
        <is>
          <t>2026-08-27T01:25:48</t>
        </is>
      </c>
      <c r="C570" s="2" t="inlineStr">
        <is>
          <t>claro</t>
        </is>
      </c>
      <c r="D570" s="2" t="inlineStr">
        <is>
          <t>SP</t>
        </is>
      </c>
      <c r="E570" s="2" t="inlineStr">
        <is>
          <t>600 Mega com Globoplay incluso + Claro tv+ Box + Disney+ Amazon Prime + Netflix + HBO Max + Apple TV + Globoplay</t>
        </is>
      </c>
      <c r="F570" s="2" t="inlineStr">
        <is>
          <t>claro:545261b1-2f4d-4dab-82a6-02d9e66c5d3d</t>
        </is>
      </c>
      <c r="G570" s="3" t="n">
        <v>239.8</v>
      </c>
      <c r="H570" s="3" t="inlineStr"/>
      <c r="I570" s="2" t="inlineStr"/>
      <c r="J570" s="2" t="inlineStr"/>
      <c r="K570" s="2" t="inlineStr">
        <is>
          <t>tab: Fibra + TV</t>
        </is>
      </c>
      <c r="L570" s="2" t="inlineStr">
        <is>
          <t>broadband+tv</t>
        </is>
      </c>
      <c r="M570" s="2" t="inlineStr">
        <is>
          <t>Fiber + TV</t>
        </is>
      </c>
      <c r="N570" s="2" t="b">
        <v>0</v>
      </c>
      <c r="O570" s="2" t="b">
        <v>1</v>
      </c>
      <c r="P570" s="2" t="b">
        <v>1</v>
      </c>
      <c r="Q570" s="2" t="b">
        <v>0</v>
      </c>
      <c r="R570" s="4" t="n">
        <v>600</v>
      </c>
      <c r="S570" s="4" t="inlineStr"/>
      <c r="T570" s="4" t="inlineStr"/>
      <c r="U570" s="2" t="inlineStr">
        <is>
          <t>Claro tv+ Box + Disney+ Amazon Prime + Netflix + HBO Max + Apple TV + Globoplay</t>
        </is>
      </c>
      <c r="V570" s="2" t="inlineStr"/>
      <c r="W570" s="2" t="inlineStr"/>
      <c r="X570" s="2" t="inlineStr"/>
      <c r="Y570" s="2" t="inlineStr">
        <is>
          <t>https://www.claro.com.br/multi</t>
        </is>
      </c>
      <c r="Z570" s="2" t="inlineStr">
        <is>
          <t>data/raw/claro_convergent_multi_SP.html</t>
        </is>
      </c>
    </row>
    <row r="571">
      <c r="A571" s="5" t="inlineStr">
        <is>
          <t>2026-08-27</t>
        </is>
      </c>
      <c r="B571" s="5" t="inlineStr">
        <is>
          <t>2026-08-27T01:25:48</t>
        </is>
      </c>
      <c r="C571" s="5" t="inlineStr">
        <is>
          <t>claro</t>
        </is>
      </c>
      <c r="D571" s="5" t="inlineStr">
        <is>
          <t>SP</t>
        </is>
      </c>
      <c r="E571" s="5" t="inlineStr">
        <is>
          <t>600 Mega com Globoplay incluso + Pós 100GB</t>
        </is>
      </c>
      <c r="F571" s="5" t="inlineStr">
        <is>
          <t>claro:350ac58a-533c-4858-83be-be3ea39c8874</t>
        </is>
      </c>
      <c r="G571" s="6" t="n">
        <v>159.9</v>
      </c>
      <c r="H571" s="6" t="inlineStr"/>
      <c r="I571" s="5" t="inlineStr"/>
      <c r="J571" s="5" t="inlineStr"/>
      <c r="K571" s="5" t="inlineStr">
        <is>
          <t>tab: Fibra + Móvel</t>
        </is>
      </c>
      <c r="L571" s="5" t="inlineStr">
        <is>
          <t>mobile+broadband</t>
        </is>
      </c>
      <c r="M571" s="5" t="inlineStr">
        <is>
          <t>Fiber + Mobile</t>
        </is>
      </c>
      <c r="N571" s="5" t="b">
        <v>1</v>
      </c>
      <c r="O571" s="5" t="b">
        <v>1</v>
      </c>
      <c r="P571" s="5" t="b">
        <v>0</v>
      </c>
      <c r="Q571" s="5" t="b">
        <v>0</v>
      </c>
      <c r="R571" s="7" t="n">
        <v>600</v>
      </c>
      <c r="S571" s="7" t="n">
        <v>100</v>
      </c>
      <c r="T571" s="7" t="n">
        <v>1</v>
      </c>
      <c r="U571" s="5" t="inlineStr"/>
      <c r="V571" s="5" t="inlineStr"/>
      <c r="W571" s="5" t="inlineStr"/>
      <c r="X571" s="5" t="inlineStr">
        <is>
          <t>Pós 100GB</t>
        </is>
      </c>
      <c r="Y571" s="5" t="inlineStr">
        <is>
          <t>https://www.claro.com.br/multi</t>
        </is>
      </c>
      <c r="Z571" s="5" t="inlineStr">
        <is>
          <t>data/raw/claro_convergent_multi_SP.html</t>
        </is>
      </c>
    </row>
    <row r="572">
      <c r="A572" s="2" t="inlineStr">
        <is>
          <t>2026-08-27</t>
        </is>
      </c>
      <c r="B572" s="2" t="inlineStr">
        <is>
          <t>2026-08-27T01:25:48</t>
        </is>
      </c>
      <c r="C572" s="2" t="inlineStr">
        <is>
          <t>claro</t>
        </is>
      </c>
      <c r="D572" s="2" t="inlineStr">
        <is>
          <t>SP</t>
        </is>
      </c>
      <c r="E572" s="2" t="inlineStr">
        <is>
          <t>600 Mega com Globoplay incluso + Pós 100GB + Claro tv+ Box + Disney+ Amazon Prime + Netflix + HBO Max + Apple TV + Globoplay</t>
        </is>
      </c>
      <c r="F572" s="2" t="inlineStr">
        <is>
          <t>claro:f36e7dfb-f7c9-4055-844f-7bc101699de8</t>
        </is>
      </c>
      <c r="G572" s="3" t="n">
        <v>269.8</v>
      </c>
      <c r="H572" s="3" t="inlineStr"/>
      <c r="I572" s="2" t="inlineStr"/>
      <c r="J572" s="2" t="inlineStr"/>
      <c r="K572" s="2" t="inlineStr">
        <is>
          <t>tab: Fibra + Móvel + TV</t>
        </is>
      </c>
      <c r="L572" s="2" t="inlineStr">
        <is>
          <t>mobile+broadband+tv</t>
        </is>
      </c>
      <c r="M572" s="2" t="inlineStr">
        <is>
          <t>Fiber + Mobile + TV</t>
        </is>
      </c>
      <c r="N572" s="2" t="b">
        <v>1</v>
      </c>
      <c r="O572" s="2" t="b">
        <v>1</v>
      </c>
      <c r="P572" s="2" t="b">
        <v>1</v>
      </c>
      <c r="Q572" s="2" t="b">
        <v>0</v>
      </c>
      <c r="R572" s="4" t="n">
        <v>600</v>
      </c>
      <c r="S572" s="4" t="n">
        <v>100</v>
      </c>
      <c r="T572" s="4" t="n">
        <v>1</v>
      </c>
      <c r="U572" s="2" t="inlineStr">
        <is>
          <t>Claro tv+ Box + Disney+ Amazon Prime + Netflix + HBO Max + Apple TV + Globoplay</t>
        </is>
      </c>
      <c r="V572" s="2" t="inlineStr"/>
      <c r="W572" s="2" t="inlineStr"/>
      <c r="X572" s="2" t="inlineStr">
        <is>
          <t>Pós 100GB</t>
        </is>
      </c>
      <c r="Y572" s="2" t="inlineStr">
        <is>
          <t>https://www.claro.com.br/multi</t>
        </is>
      </c>
      <c r="Z572" s="2" t="inlineStr">
        <is>
          <t>data/raw/claro_convergent_multi_SP.html</t>
        </is>
      </c>
    </row>
    <row r="573">
      <c r="A573" s="5" t="inlineStr">
        <is>
          <t>2026-08-27</t>
        </is>
      </c>
      <c r="B573" s="5" t="inlineStr">
        <is>
          <t>2026-08-27T01:25:48</t>
        </is>
      </c>
      <c r="C573" s="5" t="inlineStr">
        <is>
          <t>tim</t>
        </is>
      </c>
      <c r="D573" s="5" t="inlineStr">
        <is>
          <t>SP</t>
        </is>
      </c>
      <c r="E573" s="5" t="inlineStr">
        <is>
          <t>TIM Ultracombo 5</t>
        </is>
      </c>
      <c r="F573" s="5" t="inlineStr">
        <is>
          <t>tim:167756</t>
        </is>
      </c>
      <c r="G573" s="6" t="n">
        <v>169.99</v>
      </c>
      <c r="H573" s="6" t="inlineStr"/>
      <c r="I573" s="5" t="inlineStr"/>
      <c r="J573" s="5" t="inlineStr">
        <is>
          <t>debit_auto</t>
        </is>
      </c>
      <c r="K573" s="5" t="inlineStr">
        <is>
          <t>preço em débito automático; R$ 179,99/mês no pagamento por fatura</t>
        </is>
      </c>
      <c r="L573" s="5" t="inlineStr">
        <is>
          <t>mobile+broadband</t>
        </is>
      </c>
      <c r="M573" s="5" t="inlineStr">
        <is>
          <t>Fiber + Mobile</t>
        </is>
      </c>
      <c r="N573" s="5" t="b">
        <v>1</v>
      </c>
      <c r="O573" s="5" t="b">
        <v>1</v>
      </c>
      <c r="P573" s="5" t="b">
        <v>0</v>
      </c>
      <c r="Q573" s="5" t="b">
        <v>0</v>
      </c>
      <c r="R573" s="7" t="n">
        <v>1000</v>
      </c>
      <c r="S573" s="7" t="n">
        <v>115</v>
      </c>
      <c r="T573" s="7" t="n">
        <v>1</v>
      </c>
      <c r="U573" s="5" t="inlineStr"/>
      <c r="V573" s="5" t="inlineStr">
        <is>
          <t>Paramount+, Deezer</t>
        </is>
      </c>
      <c r="W573" s="5" t="inlineStr"/>
      <c r="X573" s="5" t="inlineStr">
        <is>
          <t>1GIGA de Ultrafibra para casa + 115GB de TIM Black C Hero para móvel: (25GB do plano + 40GB promo + 50GB bônus especial)</t>
        </is>
      </c>
      <c r="Y573" s="5" t="inlineStr">
        <is>
          <t>https://www.tim.com.br/sp/internet/tim-ultracombo</t>
        </is>
      </c>
      <c r="Z573" s="5" t="inlineStr">
        <is>
          <t>data/raw/tim_convergent_ultracombo_SP.html</t>
        </is>
      </c>
    </row>
    <row r="574">
      <c r="A574" s="2" t="inlineStr">
        <is>
          <t>2026-08-27</t>
        </is>
      </c>
      <c r="B574" s="2" t="inlineStr">
        <is>
          <t>2026-08-27T01:25:48</t>
        </is>
      </c>
      <c r="C574" s="2" t="inlineStr">
        <is>
          <t>tim</t>
        </is>
      </c>
      <c r="D574" s="2" t="inlineStr">
        <is>
          <t>SP</t>
        </is>
      </c>
      <c r="E574" s="2" t="inlineStr">
        <is>
          <t>TIM Ultracombo 6</t>
        </is>
      </c>
      <c r="F574" s="2" t="inlineStr">
        <is>
          <t>tim:167751</t>
        </is>
      </c>
      <c r="G574" s="3" t="n">
        <v>139.99</v>
      </c>
      <c r="H574" s="3" t="inlineStr"/>
      <c r="I574" s="2" t="inlineStr"/>
      <c r="J574" s="2" t="inlineStr">
        <is>
          <t>debit_auto</t>
        </is>
      </c>
      <c r="K574" s="2" t="inlineStr">
        <is>
          <t>preço em débito automático; R$ 149,99/mês no pagamento por fatura</t>
        </is>
      </c>
      <c r="L574" s="2" t="inlineStr">
        <is>
          <t>mobile+broadband</t>
        </is>
      </c>
      <c r="M574" s="2" t="inlineStr">
        <is>
          <t>Fiber + Mobile</t>
        </is>
      </c>
      <c r="N574" s="2" t="b">
        <v>1</v>
      </c>
      <c r="O574" s="2" t="b">
        <v>1</v>
      </c>
      <c r="P574" s="2" t="b">
        <v>0</v>
      </c>
      <c r="Q574" s="2" t="b">
        <v>0</v>
      </c>
      <c r="R574" s="4" t="n">
        <v>1000</v>
      </c>
      <c r="S574" s="4" t="n">
        <v>70</v>
      </c>
      <c r="T574" s="4" t="n">
        <v>1</v>
      </c>
      <c r="U574" s="2" t="inlineStr"/>
      <c r="V574" s="2" t="inlineStr">
        <is>
          <t>Paramount+, Deezer</t>
        </is>
      </c>
      <c r="W574" s="2" t="inlineStr"/>
      <c r="X574" s="2" t="inlineStr">
        <is>
          <t>1GIGA de Ultrafibra para casa + 70GB de TIM Black A para móvel: (15GB do plano + 50GB promo + 5GB bônus especial)</t>
        </is>
      </c>
      <c r="Y574" s="2" t="inlineStr">
        <is>
          <t>https://www.tim.com.br/sp/internet/tim-ultracombo</t>
        </is>
      </c>
      <c r="Z574" s="2" t="inlineStr">
        <is>
          <t>data/raw/tim_convergent_ultracombo_SP.html</t>
        </is>
      </c>
    </row>
    <row r="575">
      <c r="A575" s="5" t="inlineStr">
        <is>
          <t>2026-08-27</t>
        </is>
      </c>
      <c r="B575" s="5" t="inlineStr">
        <is>
          <t>2026-08-27T01:25:48</t>
        </is>
      </c>
      <c r="C575" s="5" t="inlineStr">
        <is>
          <t>tim</t>
        </is>
      </c>
      <c r="D575" s="5" t="inlineStr">
        <is>
          <t>SP</t>
        </is>
      </c>
      <c r="E575" s="5" t="inlineStr">
        <is>
          <t>TIM Ultracombo 7</t>
        </is>
      </c>
      <c r="F575" s="5" t="inlineStr">
        <is>
          <t>tim:167761</t>
        </is>
      </c>
      <c r="G575" s="6" t="n">
        <v>89.98999999999999</v>
      </c>
      <c r="H575" s="6" t="inlineStr"/>
      <c r="I575" s="5" t="inlineStr"/>
      <c r="J575" s="5" t="inlineStr">
        <is>
          <t>debit_auto</t>
        </is>
      </c>
      <c r="K575" s="5" t="inlineStr">
        <is>
          <t>preço em débito automático; R$ 99,99/mês no pagamento por fatura</t>
        </is>
      </c>
      <c r="L575" s="5" t="inlineStr">
        <is>
          <t>mobile+broadband</t>
        </is>
      </c>
      <c r="M575" s="5" t="inlineStr">
        <is>
          <t>Fiber + Mobile</t>
        </is>
      </c>
      <c r="N575" s="5" t="b">
        <v>1</v>
      </c>
      <c r="O575" s="5" t="b">
        <v>1</v>
      </c>
      <c r="P575" s="5" t="b">
        <v>0</v>
      </c>
      <c r="Q575" s="5" t="b">
        <v>0</v>
      </c>
      <c r="R575" s="7" t="n">
        <v>500</v>
      </c>
      <c r="S575" s="7" t="n">
        <v>65</v>
      </c>
      <c r="T575" s="7" t="n">
        <v>1</v>
      </c>
      <c r="U575" s="5" t="inlineStr"/>
      <c r="V575" s="5" t="inlineStr"/>
      <c r="W575" s="5" t="inlineStr"/>
      <c r="X575" s="5" t="inlineStr">
        <is>
          <t>500MEGA de Ultrafibra para casa + 65GB de TIM Black A Light para móvel: (10GB do plano + 50GB promo)</t>
        </is>
      </c>
      <c r="Y575" s="5" t="inlineStr">
        <is>
          <t>https://www.tim.com.br/sp/internet/tim-ultracombo</t>
        </is>
      </c>
      <c r="Z575" s="5" t="inlineStr">
        <is>
          <t>data/raw/tim_convergent_ultracombo_SP.html</t>
        </is>
      </c>
    </row>
    <row r="576">
      <c r="A576" s="2" t="inlineStr">
        <is>
          <t>2026-08-27</t>
        </is>
      </c>
      <c r="B576" s="2" t="inlineStr">
        <is>
          <t>2026-08-27T01:25:48</t>
        </is>
      </c>
      <c r="C576" s="2" t="inlineStr">
        <is>
          <t>vivo</t>
        </is>
      </c>
      <c r="D576" s="2" t="inlineStr">
        <is>
          <t>SP</t>
        </is>
      </c>
      <c r="E576" s="2" t="inlineStr">
        <is>
          <t>Vivo Família 2</t>
        </is>
      </c>
      <c r="F576" s="2" t="inlineStr">
        <is>
          <t>vivo:VIV202604032132-3-305-316-336-408-411-426-430-442</t>
        </is>
      </c>
      <c r="G576" s="3" t="n">
        <v>290</v>
      </c>
      <c r="H576" s="3" t="inlineStr"/>
      <c r="I576" s="2" t="inlineStr"/>
      <c r="J576" s="2" t="inlineStr"/>
      <c r="K576" s="2" t="inlineStr">
        <is>
          <t>instalação grátis mediante fidelização (não afeta a mensalidade)</t>
        </is>
      </c>
      <c r="L576" s="2" t="inlineStr">
        <is>
          <t>mobile+broadband+tv</t>
        </is>
      </c>
      <c r="M576" s="2" t="inlineStr">
        <is>
          <t>Fiber + Mobile + TV</t>
        </is>
      </c>
      <c r="N576" s="2" t="b">
        <v>1</v>
      </c>
      <c r="O576" s="2" t="b">
        <v>1</v>
      </c>
      <c r="P576" s="2" t="b">
        <v>1</v>
      </c>
      <c r="Q576" s="2" t="b">
        <v>0</v>
      </c>
      <c r="R576" s="4" t="n">
        <v>700</v>
      </c>
      <c r="S576" s="4" t="n">
        <v>120</v>
      </c>
      <c r="T576" s="4" t="n">
        <v>2</v>
      </c>
      <c r="U576" s="2" t="inlineStr">
        <is>
          <t>80 canais de Vivo Estendido</t>
        </is>
      </c>
      <c r="V576" s="2" t="inlineStr"/>
      <c r="W576" s="2" t="inlineStr">
        <is>
          <t>Vivo Travel américas e europa; 1 linha adicional inclusa</t>
        </is>
      </c>
      <c r="X576" s="2" t="inlineStr">
        <is>
          <t>700 Mega de Vivo Fibra</t>
        </is>
      </c>
      <c r="Y576" s="2" t="inlineStr">
        <is>
          <t>https://vivo.com.br/para-voce/produtos-e-servicos/combos/vivo-total</t>
        </is>
      </c>
      <c r="Z576" s="2" t="inlineStr">
        <is>
          <t>data/raw/vivo_convergent_total_SP.html</t>
        </is>
      </c>
    </row>
    <row r="577">
      <c r="A577" s="5" t="inlineStr">
        <is>
          <t>2026-08-27</t>
        </is>
      </c>
      <c r="B577" s="5" t="inlineStr">
        <is>
          <t>2026-08-27T01:25:48</t>
        </is>
      </c>
      <c r="C577" s="5" t="inlineStr">
        <is>
          <t>vivo</t>
        </is>
      </c>
      <c r="D577" s="5" t="inlineStr">
        <is>
          <t>SP</t>
        </is>
      </c>
      <c r="E577" s="5" t="inlineStr">
        <is>
          <t>Vivo Família 2</t>
        </is>
      </c>
      <c r="F577" s="5" t="inlineStr">
        <is>
          <t>vivo:VIV202604032112-3-9-305-316-408-411-426-430-442</t>
        </is>
      </c>
      <c r="G577" s="6" t="n">
        <v>390</v>
      </c>
      <c r="H577" s="6" t="inlineStr"/>
      <c r="I577" s="5" t="inlineStr"/>
      <c r="J577" s="5" t="inlineStr"/>
      <c r="K577" s="5" t="inlineStr">
        <is>
          <t>instalação grátis mediante fidelização (não afeta a mensalidade)</t>
        </is>
      </c>
      <c r="L577" s="5" t="inlineStr">
        <is>
          <t>mobile+broadband+tv</t>
        </is>
      </c>
      <c r="M577" s="5" t="inlineStr">
        <is>
          <t>Fiber + Mobile + TV</t>
        </is>
      </c>
      <c r="N577" s="5" t="b">
        <v>1</v>
      </c>
      <c r="O577" s="5" t="b">
        <v>1</v>
      </c>
      <c r="P577" s="5" t="b">
        <v>1</v>
      </c>
      <c r="Q577" s="5" t="b">
        <v>0</v>
      </c>
      <c r="R577" s="7" t="n">
        <v>700</v>
      </c>
      <c r="S577" s="7" t="n">
        <v>120</v>
      </c>
      <c r="T577" s="7" t="n">
        <v>2</v>
      </c>
      <c r="U577" s="5" t="inlineStr">
        <is>
          <t>120 canais de Vivo TV Avançado + 1 ponto adicional</t>
        </is>
      </c>
      <c r="V577" s="5" t="inlineStr"/>
      <c r="W577" s="5" t="inlineStr">
        <is>
          <t>Vivo Travel américas e europa; 1 linha adicional inclusa</t>
        </is>
      </c>
      <c r="X577" s="5" t="inlineStr">
        <is>
          <t>700 Mega de Vivo Fibra</t>
        </is>
      </c>
      <c r="Y577" s="5" t="inlineStr">
        <is>
          <t>https://vivo.com.br/para-voce/produtos-e-servicos/combos/vivo-total</t>
        </is>
      </c>
      <c r="Z577" s="5" t="inlineStr">
        <is>
          <t>data/raw/vivo_convergent_total_SP.html</t>
        </is>
      </c>
    </row>
    <row r="578">
      <c r="A578" s="2" t="inlineStr">
        <is>
          <t>2026-08-27</t>
        </is>
      </c>
      <c r="B578" s="2" t="inlineStr">
        <is>
          <t>2026-08-27T01:25:48</t>
        </is>
      </c>
      <c r="C578" s="2" t="inlineStr">
        <is>
          <t>vivo</t>
        </is>
      </c>
      <c r="D578" s="2" t="inlineStr">
        <is>
          <t>SP</t>
        </is>
      </c>
      <c r="E578" s="2" t="inlineStr">
        <is>
          <t>Vivo Total Família 2</t>
        </is>
      </c>
      <c r="F578" s="2" t="inlineStr">
        <is>
          <t>vivo:VIV202604032132-3-305-316-408-411-426-430-442</t>
        </is>
      </c>
      <c r="G578" s="3" t="n">
        <v>270</v>
      </c>
      <c r="H578" s="3" t="inlineStr"/>
      <c r="I578" s="2" t="inlineStr"/>
      <c r="J578" s="2" t="inlineStr"/>
      <c r="K578" s="2" t="inlineStr">
        <is>
          <t>instalação grátis mediante fidelização (não afeta a mensalidade)</t>
        </is>
      </c>
      <c r="L578" s="2" t="inlineStr">
        <is>
          <t>mobile+broadband</t>
        </is>
      </c>
      <c r="M578" s="2" t="inlineStr">
        <is>
          <t>Fiber + Mobile</t>
        </is>
      </c>
      <c r="N578" s="2" t="b">
        <v>1</v>
      </c>
      <c r="O578" s="2" t="b">
        <v>1</v>
      </c>
      <c r="P578" s="2" t="b">
        <v>0</v>
      </c>
      <c r="Q578" s="2" t="b">
        <v>0</v>
      </c>
      <c r="R578" s="4" t="n">
        <v>700</v>
      </c>
      <c r="S578" s="4" t="n">
        <v>120</v>
      </c>
      <c r="T578" s="4" t="n">
        <v>2</v>
      </c>
      <c r="U578" s="2" t="inlineStr"/>
      <c r="V578" s="2" t="inlineStr"/>
      <c r="W578" s="2" t="inlineStr">
        <is>
          <t>Vivo Travel Américas e Europa; 1 linha adicional inclusa</t>
        </is>
      </c>
      <c r="X578" s="2" t="inlineStr">
        <is>
          <t>700 Mega de Vivo Fibra</t>
        </is>
      </c>
      <c r="Y578" s="2" t="inlineStr">
        <is>
          <t>https://vivo.com.br/para-voce/produtos-e-servicos/combos/vivo-total</t>
        </is>
      </c>
      <c r="Z578" s="2" t="inlineStr">
        <is>
          <t>data/raw/vivo_convergent_total_SP.html</t>
        </is>
      </c>
    </row>
    <row r="579">
      <c r="A579" s="5" t="inlineStr">
        <is>
          <t>2026-08-27</t>
        </is>
      </c>
      <c r="B579" s="5" t="inlineStr">
        <is>
          <t>2026-08-27T01:25:48</t>
        </is>
      </c>
      <c r="C579" s="5" t="inlineStr">
        <is>
          <t>vivo</t>
        </is>
      </c>
      <c r="D579" s="5" t="inlineStr">
        <is>
          <t>SP</t>
        </is>
      </c>
      <c r="E579" s="5" t="inlineStr">
        <is>
          <t>Vivo Total Família 3</t>
        </is>
      </c>
      <c r="F579" s="5" t="inlineStr">
        <is>
          <t>vivo:VIV202604032212-4-305-316-408-411-426-430-442</t>
        </is>
      </c>
      <c r="G579" s="6" t="n">
        <v>330</v>
      </c>
      <c r="H579" s="6" t="inlineStr"/>
      <c r="I579" s="5" t="inlineStr"/>
      <c r="J579" s="5" t="inlineStr"/>
      <c r="K579" s="5" t="inlineStr">
        <is>
          <t>instalação grátis mediante fidelização (não afeta a mensalidade)</t>
        </is>
      </c>
      <c r="L579" s="5" t="inlineStr">
        <is>
          <t>mobile+broadband</t>
        </is>
      </c>
      <c r="M579" s="5" t="inlineStr">
        <is>
          <t>Fiber + Mobile</t>
        </is>
      </c>
      <c r="N579" s="5" t="b">
        <v>1</v>
      </c>
      <c r="O579" s="5" t="b">
        <v>1</v>
      </c>
      <c r="P579" s="5" t="b">
        <v>0</v>
      </c>
      <c r="Q579" s="5" t="b">
        <v>0</v>
      </c>
      <c r="R579" s="7" t="n">
        <v>700</v>
      </c>
      <c r="S579" s="7" t="n">
        <v>180</v>
      </c>
      <c r="T579" s="7" t="n">
        <v>3</v>
      </c>
      <c r="U579" s="5" t="inlineStr"/>
      <c r="V579" s="5" t="inlineStr"/>
      <c r="W579" s="5" t="inlineStr">
        <is>
          <t>Vivo Travel Américas e Europa; 2 linhas adicionais inclusas</t>
        </is>
      </c>
      <c r="X579" s="5" t="inlineStr">
        <is>
          <t>700 Mega de Vivo Fibra</t>
        </is>
      </c>
      <c r="Y579" s="5" t="inlineStr">
        <is>
          <t>https://vivo.com.br/para-voce/produtos-e-servicos/combos/vivo-total</t>
        </is>
      </c>
      <c r="Z579" s="5" t="inlineStr">
        <is>
          <t>data/raw/vivo_convergent_total_SP.html</t>
        </is>
      </c>
    </row>
    <row r="580">
      <c r="A580" s="2" t="inlineStr">
        <is>
          <t>2026-08-27</t>
        </is>
      </c>
      <c r="B580" s="2" t="inlineStr">
        <is>
          <t>2026-08-27T01:25:48</t>
        </is>
      </c>
      <c r="C580" s="2" t="inlineStr">
        <is>
          <t>vivo</t>
        </is>
      </c>
      <c r="D580" s="2" t="inlineStr">
        <is>
          <t>SP</t>
        </is>
      </c>
      <c r="E580" s="2" t="inlineStr">
        <is>
          <t>Vivo Total Família 4</t>
        </is>
      </c>
      <c r="F580" s="2" t="inlineStr">
        <is>
          <t>vivo:VIV202604032292-237-305-316-408-411-426-430-442</t>
        </is>
      </c>
      <c r="G580" s="3" t="n">
        <v>420</v>
      </c>
      <c r="H580" s="3" t="inlineStr"/>
      <c r="I580" s="2" t="inlineStr"/>
      <c r="J580" s="2" t="inlineStr"/>
      <c r="K580" s="2" t="inlineStr">
        <is>
          <t>instalação grátis mediante fidelização (não afeta a mensalidade)</t>
        </is>
      </c>
      <c r="L580" s="2" t="inlineStr">
        <is>
          <t>mobile+broadband</t>
        </is>
      </c>
      <c r="M580" s="2" t="inlineStr">
        <is>
          <t>Fiber + Mobile</t>
        </is>
      </c>
      <c r="N580" s="2" t="b">
        <v>1</v>
      </c>
      <c r="O580" s="2" t="b">
        <v>1</v>
      </c>
      <c r="P580" s="2" t="b">
        <v>0</v>
      </c>
      <c r="Q580" s="2" t="b">
        <v>0</v>
      </c>
      <c r="R580" s="4" t="n">
        <v>700</v>
      </c>
      <c r="S580" s="4" t="n">
        <v>240</v>
      </c>
      <c r="T580" s="4" t="n">
        <v>4</v>
      </c>
      <c r="U580" s="2" t="inlineStr"/>
      <c r="V580" s="2" t="inlineStr"/>
      <c r="W580" s="2" t="inlineStr">
        <is>
          <t>Vivo Travel Américas e Europa; 3 linhas adicionais inclusas</t>
        </is>
      </c>
      <c r="X580" s="2" t="inlineStr">
        <is>
          <t>700 Mega de Vivo Fibra</t>
        </is>
      </c>
      <c r="Y580" s="2" t="inlineStr">
        <is>
          <t>https://vivo.com.br/para-voce/produtos-e-servicos/combos/vivo-total</t>
        </is>
      </c>
      <c r="Z580" s="2" t="inlineStr">
        <is>
          <t>data/raw/vivo_convergent_total_SP.html</t>
        </is>
      </c>
    </row>
    <row r="581">
      <c r="A581" s="5" t="inlineStr">
        <is>
          <t>2026-08-27</t>
        </is>
      </c>
      <c r="B581" s="5" t="inlineStr">
        <is>
          <t>2026-08-27T01:25:48</t>
        </is>
      </c>
      <c r="C581" s="5" t="inlineStr">
        <is>
          <t>vivo</t>
        </is>
      </c>
      <c r="D581" s="5" t="inlineStr">
        <is>
          <t>SP</t>
        </is>
      </c>
      <c r="E581" s="5" t="inlineStr">
        <is>
          <t>Vivo Total Família 5</t>
        </is>
      </c>
      <c r="F581" s="5" t="inlineStr">
        <is>
          <t>vivo:VIV202604032372-5-305-316-408-411-426-430-442</t>
        </is>
      </c>
      <c r="G581" s="6" t="n">
        <v>520</v>
      </c>
      <c r="H581" s="6" t="inlineStr"/>
      <c r="I581" s="5" t="inlineStr"/>
      <c r="J581" s="5" t="inlineStr"/>
      <c r="K581" s="5" t="inlineStr">
        <is>
          <t>instalação grátis mediante fidelização (não afeta a mensalidade)</t>
        </is>
      </c>
      <c r="L581" s="5" t="inlineStr">
        <is>
          <t>mobile+broadband</t>
        </is>
      </c>
      <c r="M581" s="5" t="inlineStr">
        <is>
          <t>Fiber + Mobile</t>
        </is>
      </c>
      <c r="N581" s="5" t="b">
        <v>1</v>
      </c>
      <c r="O581" s="5" t="b">
        <v>1</v>
      </c>
      <c r="P581" s="5" t="b">
        <v>0</v>
      </c>
      <c r="Q581" s="5" t="b">
        <v>0</v>
      </c>
      <c r="R581" s="7" t="n">
        <v>700</v>
      </c>
      <c r="S581" s="7" t="n">
        <v>300</v>
      </c>
      <c r="T581" s="7" t="n">
        <v>5</v>
      </c>
      <c r="U581" s="5" t="inlineStr"/>
      <c r="V581" s="5" t="inlineStr"/>
      <c r="W581" s="5" t="inlineStr">
        <is>
          <t>Vivo Travel Américas e Europa; 4 linhas adicionais inclusas</t>
        </is>
      </c>
      <c r="X581" s="5" t="inlineStr">
        <is>
          <t>700 Mega de Vivo Fibra</t>
        </is>
      </c>
      <c r="Y581" s="5" t="inlineStr">
        <is>
          <t>https://vivo.com.br/para-voce/produtos-e-servicos/combos/vivo-total</t>
        </is>
      </c>
      <c r="Z581" s="5" t="inlineStr">
        <is>
          <t>data/raw/vivo_convergent_total_SP.html</t>
        </is>
      </c>
    </row>
    <row r="582">
      <c r="A582" s="2" t="inlineStr">
        <is>
          <t>2026-08-27</t>
        </is>
      </c>
      <c r="B582" s="2" t="inlineStr">
        <is>
          <t>2026-08-27T01:25:48</t>
        </is>
      </c>
      <c r="C582" s="2" t="inlineStr">
        <is>
          <t>vivo</t>
        </is>
      </c>
      <c r="D582" s="2" t="inlineStr">
        <is>
          <t>SP</t>
        </is>
      </c>
      <c r="E582" s="2" t="inlineStr">
        <is>
          <t>Vivo Total Pro</t>
        </is>
      </c>
      <c r="F582" s="2" t="inlineStr">
        <is>
          <t>vivo:VIV202604031772-2-305-308-316-326-342-411-430</t>
        </is>
      </c>
      <c r="G582" s="3" t="n">
        <v>160</v>
      </c>
      <c r="H582" s="3" t="inlineStr"/>
      <c r="I582" s="2" t="inlineStr"/>
      <c r="J582" s="2" t="inlineStr"/>
      <c r="K582" s="2" t="inlineStr">
        <is>
          <t>instalação grátis mediante fidelização (não afeta a mensalidade)</t>
        </is>
      </c>
      <c r="L582" s="2" t="inlineStr">
        <is>
          <t>mobile+broadband</t>
        </is>
      </c>
      <c r="M582" s="2" t="inlineStr">
        <is>
          <t>Fiber + Mobile</t>
        </is>
      </c>
      <c r="N582" s="2" t="b">
        <v>1</v>
      </c>
      <c r="O582" s="2" t="b">
        <v>1</v>
      </c>
      <c r="P582" s="2" t="b">
        <v>0</v>
      </c>
      <c r="Q582" s="2" t="b">
        <v>0</v>
      </c>
      <c r="R582" s="4" t="n">
        <v>500</v>
      </c>
      <c r="S582" s="4" t="n">
        <v>60</v>
      </c>
      <c r="T582" s="4" t="n">
        <v>1</v>
      </c>
      <c r="U582" s="2" t="inlineStr"/>
      <c r="V582" s="2" t="inlineStr"/>
      <c r="W582" s="2" t="inlineStr">
        <is>
          <t>Vivo Travel Américas; 50 GB de franquia + 10 GB de bônus</t>
        </is>
      </c>
      <c r="X582" s="2" t="inlineStr">
        <is>
          <t>500 Mega de Vivo Fibra</t>
        </is>
      </c>
      <c r="Y582" s="2" t="inlineStr">
        <is>
          <t>https://vivo.com.br/para-voce/produtos-e-servicos/combos/vivo-total</t>
        </is>
      </c>
      <c r="Z582" s="2" t="inlineStr">
        <is>
          <t>data/raw/vivo_convergent_total_SP.html</t>
        </is>
      </c>
    </row>
    <row r="583">
      <c r="A583" s="5" t="inlineStr">
        <is>
          <t>2026-08-27</t>
        </is>
      </c>
      <c r="B583" s="5" t="inlineStr">
        <is>
          <t>2026-08-27T01:25:48</t>
        </is>
      </c>
      <c r="C583" s="5" t="inlineStr">
        <is>
          <t>vivo</t>
        </is>
      </c>
      <c r="D583" s="5" t="inlineStr">
        <is>
          <t>SP</t>
        </is>
      </c>
      <c r="E583" s="5" t="inlineStr">
        <is>
          <t>Vivo Total Ultra</t>
        </is>
      </c>
      <c r="F583" s="5" t="inlineStr">
        <is>
          <t>vivo:VIV202604031940-305-313-316-408-411-426-430-442</t>
        </is>
      </c>
      <c r="G583" s="6" t="n">
        <v>170</v>
      </c>
      <c r="H583" s="6" t="inlineStr"/>
      <c r="I583" s="5" t="inlineStr"/>
      <c r="J583" s="5" t="inlineStr"/>
      <c r="K583" s="5" t="inlineStr">
        <is>
          <t>instalação grátis mediante fidelização (não afeta a mensalidade)</t>
        </is>
      </c>
      <c r="L583" s="5" t="inlineStr">
        <is>
          <t>mobile+broadband</t>
        </is>
      </c>
      <c r="M583" s="5" t="inlineStr">
        <is>
          <t>Fiber + Mobile</t>
        </is>
      </c>
      <c r="N583" s="5" t="b">
        <v>1</v>
      </c>
      <c r="O583" s="5" t="b">
        <v>1</v>
      </c>
      <c r="P583" s="5" t="b">
        <v>0</v>
      </c>
      <c r="Q583" s="5" t="b">
        <v>0</v>
      </c>
      <c r="R583" s="7" t="n">
        <v>700</v>
      </c>
      <c r="S583" s="7" t="n">
        <v>70</v>
      </c>
      <c r="T583" s="7" t="n">
        <v>1</v>
      </c>
      <c r="U583" s="5" t="inlineStr"/>
      <c r="V583" s="5" t="inlineStr"/>
      <c r="W583" s="5" t="inlineStr">
        <is>
          <t>Vivo Travel Américas; Exitlag e ponto cabeado incluso</t>
        </is>
      </c>
      <c r="X583" s="5" t="inlineStr">
        <is>
          <t>700 Mega de Vivo Fibra</t>
        </is>
      </c>
      <c r="Y583" s="5" t="inlineStr">
        <is>
          <t>https://vivo.com.br/para-voce/produtos-e-servicos/combos/vivo-total</t>
        </is>
      </c>
      <c r="Z583" s="5" t="inlineStr">
        <is>
          <t>data/raw/vivo_convergent_total_SP.html</t>
        </is>
      </c>
    </row>
    <row r="584">
      <c r="A584" s="2" t="inlineStr">
        <is>
          <t>2026-08-27</t>
        </is>
      </c>
      <c r="B584" s="2" t="inlineStr">
        <is>
          <t>2026-08-27T01:25:48</t>
        </is>
      </c>
      <c r="C584" s="2" t="inlineStr">
        <is>
          <t>vivo</t>
        </is>
      </c>
      <c r="D584" s="2" t="inlineStr">
        <is>
          <t>SP</t>
        </is>
      </c>
      <c r="E584" s="2" t="inlineStr">
        <is>
          <t>Vivo Total Ultra + TV</t>
        </is>
      </c>
      <c r="F584" s="2" t="inlineStr">
        <is>
          <t>vivo:VIV202604031882-9-305-313-316-408-411-426-430-442</t>
        </is>
      </c>
      <c r="G584" s="3" t="n">
        <v>310</v>
      </c>
      <c r="H584" s="3" t="inlineStr"/>
      <c r="I584" s="2" t="inlineStr"/>
      <c r="J584" s="2" t="inlineStr"/>
      <c r="K584" s="2" t="inlineStr">
        <is>
          <t>instalação grátis mediante fidelização (não afeta a mensalidade)</t>
        </is>
      </c>
      <c r="L584" s="2" t="inlineStr">
        <is>
          <t>mobile+broadband+tv</t>
        </is>
      </c>
      <c r="M584" s="2" t="inlineStr">
        <is>
          <t>Fiber + Mobile + TV</t>
        </is>
      </c>
      <c r="N584" s="2" t="b">
        <v>1</v>
      </c>
      <c r="O584" s="2" t="b">
        <v>1</v>
      </c>
      <c r="P584" s="2" t="b">
        <v>1</v>
      </c>
      <c r="Q584" s="2" t="b">
        <v>0</v>
      </c>
      <c r="R584" s="4" t="n">
        <v>700</v>
      </c>
      <c r="S584" s="4" t="n">
        <v>70</v>
      </c>
      <c r="T584" s="4" t="n">
        <v>1</v>
      </c>
      <c r="U584" s="2" t="inlineStr">
        <is>
          <t>120 canais de Vivo TV Avançado + 1 ponto adicional</t>
        </is>
      </c>
      <c r="V584" s="2" t="inlineStr"/>
      <c r="W584" s="2" t="inlineStr">
        <is>
          <t>Vivo travel américas</t>
        </is>
      </c>
      <c r="X584" s="2" t="inlineStr">
        <is>
          <t>700 Mega de Vivo Fibra</t>
        </is>
      </c>
      <c r="Y584" s="2" t="inlineStr">
        <is>
          <t>https://vivo.com.br/para-voce/produtos-e-servicos/combos/vivo-total</t>
        </is>
      </c>
      <c r="Z584" s="2" t="inlineStr">
        <is>
          <t>data/raw/vivo_convergent_total_SP.html</t>
        </is>
      </c>
    </row>
    <row r="585">
      <c r="A585" s="5" t="inlineStr">
        <is>
          <t>2026-08-27</t>
        </is>
      </c>
      <c r="B585" s="5" t="inlineStr">
        <is>
          <t>2026-08-27T01:25:48</t>
        </is>
      </c>
      <c r="C585" s="5" t="inlineStr">
        <is>
          <t>vivo</t>
        </is>
      </c>
      <c r="D585" s="5" t="inlineStr">
        <is>
          <t>SP</t>
        </is>
      </c>
      <c r="E585" s="5" t="inlineStr">
        <is>
          <t>Vivo Total Ultra + TV online</t>
        </is>
      </c>
      <c r="F585" s="5" t="inlineStr">
        <is>
          <t>vivo:VIV202604032034-305-313-316-336-408-411-426-430-442</t>
        </is>
      </c>
      <c r="G585" s="6" t="n">
        <v>210</v>
      </c>
      <c r="H585" s="6" t="inlineStr"/>
      <c r="I585" s="5" t="inlineStr"/>
      <c r="J585" s="5" t="inlineStr"/>
      <c r="K585" s="5" t="inlineStr">
        <is>
          <t>instalação grátis mediante fidelização (não afeta a mensalidade)</t>
        </is>
      </c>
      <c r="L585" s="5" t="inlineStr">
        <is>
          <t>mobile+broadband+tv</t>
        </is>
      </c>
      <c r="M585" s="5" t="inlineStr">
        <is>
          <t>Fiber + Mobile + TV</t>
        </is>
      </c>
      <c r="N585" s="5" t="b">
        <v>1</v>
      </c>
      <c r="O585" s="5" t="b">
        <v>1</v>
      </c>
      <c r="P585" s="5" t="b">
        <v>1</v>
      </c>
      <c r="Q585" s="5" t="b">
        <v>0</v>
      </c>
      <c r="R585" s="7" t="n">
        <v>700</v>
      </c>
      <c r="S585" s="7" t="n">
        <v>70</v>
      </c>
      <c r="T585" s="7" t="n">
        <v>1</v>
      </c>
      <c r="U585" s="5" t="inlineStr">
        <is>
          <t>80 canais de Vivo Estendido</t>
        </is>
      </c>
      <c r="V585" s="5" t="inlineStr"/>
      <c r="W585" s="5" t="inlineStr">
        <is>
          <t>Vivo travel américas</t>
        </is>
      </c>
      <c r="X585" s="5" t="inlineStr">
        <is>
          <t>700 Mega de Vivo Fibra</t>
        </is>
      </c>
      <c r="Y585" s="5" t="inlineStr">
        <is>
          <t>https://vivo.com.br/para-voce/produtos-e-servicos/combos/vivo-total</t>
        </is>
      </c>
      <c r="Z585" s="5" t="inlineStr">
        <is>
          <t>data/raw/vivo_convergent_total_SP.html</t>
        </is>
      </c>
    </row>
    <row r="586">
      <c r="A586" s="2" t="inlineStr">
        <is>
          <t>2026-08-27</t>
        </is>
      </c>
      <c r="B586" s="2" t="inlineStr">
        <is>
          <t>2026-08-27T01:25:48</t>
        </is>
      </c>
      <c r="C586" s="2" t="inlineStr">
        <is>
          <t>vivo</t>
        </is>
      </c>
      <c r="D586" s="2" t="inlineStr">
        <is>
          <t>SP</t>
        </is>
      </c>
      <c r="E586" s="2" t="inlineStr">
        <is>
          <t>Vivo Total V 1 Giga</t>
        </is>
      </c>
      <c r="F586" s="2" t="inlineStr">
        <is>
          <t>vivo:VIV202604032532-2-305-316-408-426-430-442</t>
        </is>
      </c>
      <c r="G586" s="3" t="n">
        <v>1200</v>
      </c>
      <c r="H586" s="3" t="inlineStr"/>
      <c r="I586" s="2" t="inlineStr"/>
      <c r="J586" s="2" t="inlineStr"/>
      <c r="K586" s="2" t="inlineStr">
        <is>
          <t>instalação grátis mediante fidelização (não afeta a mensalidade)</t>
        </is>
      </c>
      <c r="L586" s="2" t="inlineStr">
        <is>
          <t>mobile+broadband+tv</t>
        </is>
      </c>
      <c r="M586" s="2" t="inlineStr">
        <is>
          <t>Fiber + Mobile + TV</t>
        </is>
      </c>
      <c r="N586" s="2" t="b">
        <v>1</v>
      </c>
      <c r="O586" s="2" t="b">
        <v>1</v>
      </c>
      <c r="P586" s="2" t="b">
        <v>1</v>
      </c>
      <c r="Q586" s="2" t="b">
        <v>0</v>
      </c>
      <c r="R586" s="4" t="n">
        <v>1000</v>
      </c>
      <c r="S586" s="4" t="n">
        <v>600</v>
      </c>
      <c r="T586" s="4" t="n">
        <v>11</v>
      </c>
      <c r="U586" s="2" t="inlineStr">
        <is>
          <t>Vivo TV Completo com HBO Max e Telecine</t>
        </is>
      </c>
      <c r="V586" s="2" t="inlineStr"/>
      <c r="W586" s="2" t="inlineStr">
        <is>
          <t>Vivo Travel Mundo; 10 linhas adicionais inclusas; Vivo TV Completo com HBO Max e Telecine</t>
        </is>
      </c>
      <c r="X586" s="2" t="inlineStr">
        <is>
          <t>1Giga de Vivo Fibra</t>
        </is>
      </c>
      <c r="Y586" s="2" t="inlineStr">
        <is>
          <t>https://vivo.com.br/para-voce/produtos-e-servicos/combos/vivo-total</t>
        </is>
      </c>
      <c r="Z586" s="2" t="inlineStr">
        <is>
          <t>data/raw/vivo_convergent_total_SP.html</t>
        </is>
      </c>
    </row>
    <row r="587">
      <c r="A587" s="5" t="inlineStr">
        <is>
          <t>2026-08-28</t>
        </is>
      </c>
      <c r="B587" s="5" t="inlineStr">
        <is>
          <t>2026-08-28T02:04:32</t>
        </is>
      </c>
      <c r="C587" s="5" t="inlineStr">
        <is>
          <t>claro</t>
        </is>
      </c>
      <c r="D587" s="5" t="inlineStr">
        <is>
          <t>SP</t>
        </is>
      </c>
      <c r="E587" s="5" t="inlineStr">
        <is>
          <t>1 Giga com Globoplay incluso + Claro tv+ Box + Disney+ Amazon Prime + Netflix + HBO Max + Apple TV + Globoplay</t>
        </is>
      </c>
      <c r="F587" s="5" t="inlineStr">
        <is>
          <t>claro:af8152be-4aa7-4aa8-819a-a79687a3a9a0</t>
        </is>
      </c>
      <c r="G587" s="6" t="n">
        <v>319.8</v>
      </c>
      <c r="H587" s="6" t="inlineStr"/>
      <c r="I587" s="5" t="inlineStr"/>
      <c r="J587" s="5" t="inlineStr"/>
      <c r="K587" s="5" t="inlineStr">
        <is>
          <t>tab: Fibra + TV</t>
        </is>
      </c>
      <c r="L587" s="5" t="inlineStr">
        <is>
          <t>broadband+tv</t>
        </is>
      </c>
      <c r="M587" s="5" t="inlineStr">
        <is>
          <t>Fiber + TV</t>
        </is>
      </c>
      <c r="N587" s="5" t="b">
        <v>0</v>
      </c>
      <c r="O587" s="5" t="b">
        <v>1</v>
      </c>
      <c r="P587" s="5" t="b">
        <v>1</v>
      </c>
      <c r="Q587" s="5" t="b">
        <v>0</v>
      </c>
      <c r="R587" s="7" t="n">
        <v>1000</v>
      </c>
      <c r="S587" s="7" t="inlineStr"/>
      <c r="T587" s="7" t="inlineStr"/>
      <c r="U587" s="5" t="inlineStr">
        <is>
          <t>Claro tv+ Box + Disney+ Amazon Prime + Netflix + HBO Max + Apple TV + Globoplay</t>
        </is>
      </c>
      <c r="V587" s="5" t="inlineStr"/>
      <c r="W587" s="5" t="inlineStr"/>
      <c r="X587" s="5" t="inlineStr"/>
      <c r="Y587" s="5" t="inlineStr">
        <is>
          <t>https://www.claro.com.br/multi</t>
        </is>
      </c>
      <c r="Z587" s="5" t="inlineStr">
        <is>
          <t>data/raw/claro_convergent_multi_SP.html</t>
        </is>
      </c>
    </row>
    <row r="588">
      <c r="A588" s="2" t="inlineStr">
        <is>
          <t>2026-08-28</t>
        </is>
      </c>
      <c r="B588" s="2" t="inlineStr">
        <is>
          <t>2026-08-28T02:04:32</t>
        </is>
      </c>
      <c r="C588" s="2" t="inlineStr">
        <is>
          <t>claro</t>
        </is>
      </c>
      <c r="D588" s="2" t="inlineStr">
        <is>
          <t>SP</t>
        </is>
      </c>
      <c r="E588" s="2" t="inlineStr">
        <is>
          <t>1 Giga com Globoplay incluso + Claro tv+ Soundbox + Disney+ Amazon Prime + Netflix + HBO Max + Apple TV + Globoplay</t>
        </is>
      </c>
      <c r="F588" s="2" t="inlineStr">
        <is>
          <t>claro:ceb9fd87-0897-4dd2-a2f2-e7f09e714e49</t>
        </is>
      </c>
      <c r="G588" s="3" t="n">
        <v>429.8</v>
      </c>
      <c r="H588" s="3" t="inlineStr"/>
      <c r="I588" s="2" t="inlineStr"/>
      <c r="J588" s="2" t="inlineStr"/>
      <c r="K588" s="2" t="inlineStr">
        <is>
          <t>tab: Fibra + TV</t>
        </is>
      </c>
      <c r="L588" s="2" t="inlineStr">
        <is>
          <t>broadband+tv</t>
        </is>
      </c>
      <c r="M588" s="2" t="inlineStr">
        <is>
          <t>Fiber + TV</t>
        </is>
      </c>
      <c r="N588" s="2" t="b">
        <v>0</v>
      </c>
      <c r="O588" s="2" t="b">
        <v>1</v>
      </c>
      <c r="P588" s="2" t="b">
        <v>1</v>
      </c>
      <c r="Q588" s="2" t="b">
        <v>0</v>
      </c>
      <c r="R588" s="4" t="n">
        <v>1000</v>
      </c>
      <c r="S588" s="4" t="inlineStr"/>
      <c r="T588" s="4" t="inlineStr"/>
      <c r="U588" s="2" t="inlineStr">
        <is>
          <t>Claro tv+ Soundbox + Disney+ Amazon Prime + Netflix + HBO Max + Apple TV + Globoplay</t>
        </is>
      </c>
      <c r="V588" s="2" t="inlineStr"/>
      <c r="W588" s="2" t="inlineStr"/>
      <c r="X588" s="2" t="inlineStr"/>
      <c r="Y588" s="2" t="inlineStr">
        <is>
          <t>https://www.claro.com.br/multi</t>
        </is>
      </c>
      <c r="Z588" s="2" t="inlineStr">
        <is>
          <t>data/raw/claro_convergent_multi_SP.html</t>
        </is>
      </c>
    </row>
    <row r="589">
      <c r="A589" s="5" t="inlineStr">
        <is>
          <t>2026-08-28</t>
        </is>
      </c>
      <c r="B589" s="5" t="inlineStr">
        <is>
          <t>2026-08-28T02:04:32</t>
        </is>
      </c>
      <c r="C589" s="5" t="inlineStr">
        <is>
          <t>claro</t>
        </is>
      </c>
      <c r="D589" s="5" t="inlineStr">
        <is>
          <t>SP</t>
        </is>
      </c>
      <c r="E589" s="5" t="inlineStr">
        <is>
          <t>1 Giga com Globoplay incluso + Pós 100GB</t>
        </is>
      </c>
      <c r="F589" s="5" t="inlineStr">
        <is>
          <t>claro:a1de0ac1-61bb-4e97-a744-1ae4c3541673</t>
        </is>
      </c>
      <c r="G589" s="6" t="n">
        <v>179.9</v>
      </c>
      <c r="H589" s="6" t="inlineStr"/>
      <c r="I589" s="5" t="inlineStr"/>
      <c r="J589" s="5" t="inlineStr"/>
      <c r="K589" s="5" t="inlineStr">
        <is>
          <t>tab: Fibra + Móvel</t>
        </is>
      </c>
      <c r="L589" s="5" t="inlineStr">
        <is>
          <t>mobile+broadband</t>
        </is>
      </c>
      <c r="M589" s="5" t="inlineStr">
        <is>
          <t>Fiber + Mobile</t>
        </is>
      </c>
      <c r="N589" s="5" t="b">
        <v>1</v>
      </c>
      <c r="O589" s="5" t="b">
        <v>1</v>
      </c>
      <c r="P589" s="5" t="b">
        <v>0</v>
      </c>
      <c r="Q589" s="5" t="b">
        <v>0</v>
      </c>
      <c r="R589" s="7" t="n">
        <v>1000</v>
      </c>
      <c r="S589" s="7" t="n">
        <v>100</v>
      </c>
      <c r="T589" s="7" t="n">
        <v>1</v>
      </c>
      <c r="U589" s="5" t="inlineStr"/>
      <c r="V589" s="5" t="inlineStr"/>
      <c r="W589" s="5" t="inlineStr"/>
      <c r="X589" s="5" t="inlineStr">
        <is>
          <t>Pós 100GB</t>
        </is>
      </c>
      <c r="Y589" s="5" t="inlineStr">
        <is>
          <t>https://www.claro.com.br/multi</t>
        </is>
      </c>
      <c r="Z589" s="5" t="inlineStr">
        <is>
          <t>data/raw/claro_convergent_multi_SP.html</t>
        </is>
      </c>
    </row>
    <row r="590">
      <c r="A590" s="2" t="inlineStr">
        <is>
          <t>2026-08-28</t>
        </is>
      </c>
      <c r="B590" s="2" t="inlineStr">
        <is>
          <t>2026-08-28T02:04:32</t>
        </is>
      </c>
      <c r="C590" s="2" t="inlineStr">
        <is>
          <t>claro</t>
        </is>
      </c>
      <c r="D590" s="2" t="inlineStr">
        <is>
          <t>SP</t>
        </is>
      </c>
      <c r="E590" s="2" t="inlineStr">
        <is>
          <t>1 Giga com Globoplay incluso + Pós 100GB + Claro tv+ Box + Disney+ Amazon Prime + Netflix + HBO Max + Apple TV + Globoplay</t>
        </is>
      </c>
      <c r="F590" s="2" t="inlineStr">
        <is>
          <t>claro:548c4bad-7857-4c0c-94d5-45d33d66c57f</t>
        </is>
      </c>
      <c r="G590" s="3" t="n">
        <v>289.8</v>
      </c>
      <c r="H590" s="3" t="inlineStr"/>
      <c r="I590" s="2" t="inlineStr"/>
      <c r="J590" s="2" t="inlineStr"/>
      <c r="K590" s="2" t="inlineStr">
        <is>
          <t>tab: Fibra + Móvel + TV</t>
        </is>
      </c>
      <c r="L590" s="2" t="inlineStr">
        <is>
          <t>mobile+broadband+tv</t>
        </is>
      </c>
      <c r="M590" s="2" t="inlineStr">
        <is>
          <t>Fiber + Mobile + TV</t>
        </is>
      </c>
      <c r="N590" s="2" t="b">
        <v>1</v>
      </c>
      <c r="O590" s="2" t="b">
        <v>1</v>
      </c>
      <c r="P590" s="2" t="b">
        <v>1</v>
      </c>
      <c r="Q590" s="2" t="b">
        <v>0</v>
      </c>
      <c r="R590" s="4" t="n">
        <v>1000</v>
      </c>
      <c r="S590" s="4" t="n">
        <v>100</v>
      </c>
      <c r="T590" s="4" t="n">
        <v>1</v>
      </c>
      <c r="U590" s="2" t="inlineStr">
        <is>
          <t>Claro tv+ Box + Disney+ Amazon Prime + Netflix + HBO Max + Apple TV + Globoplay</t>
        </is>
      </c>
      <c r="V590" s="2" t="inlineStr"/>
      <c r="W590" s="2" t="inlineStr"/>
      <c r="X590" s="2" t="inlineStr">
        <is>
          <t>Pós 100GB</t>
        </is>
      </c>
      <c r="Y590" s="2" t="inlineStr">
        <is>
          <t>https://www.claro.com.br/multi</t>
        </is>
      </c>
      <c r="Z590" s="2" t="inlineStr">
        <is>
          <t>data/raw/claro_convergent_multi_SP.html</t>
        </is>
      </c>
    </row>
    <row r="591">
      <c r="A591" s="5" t="inlineStr">
        <is>
          <t>2026-08-28</t>
        </is>
      </c>
      <c r="B591" s="5" t="inlineStr">
        <is>
          <t>2026-08-28T02:04:32</t>
        </is>
      </c>
      <c r="C591" s="5" t="inlineStr">
        <is>
          <t>claro</t>
        </is>
      </c>
      <c r="D591" s="5" t="inlineStr">
        <is>
          <t>SP</t>
        </is>
      </c>
      <c r="E591" s="5" t="inlineStr">
        <is>
          <t>1 Giga com Globoplay incluso + Pós 150GB</t>
        </is>
      </c>
      <c r="F591" s="5" t="inlineStr">
        <is>
          <t>claro:d47e2a3b-dfd0-410e-9c24-d07a334d01d4</t>
        </is>
      </c>
      <c r="G591" s="6" t="n">
        <v>299.9</v>
      </c>
      <c r="H591" s="6" t="inlineStr"/>
      <c r="I591" s="5" t="inlineStr"/>
      <c r="J591" s="5" t="inlineStr"/>
      <c r="K591" s="5" t="inlineStr">
        <is>
          <t>tab: Fibra + Móvel</t>
        </is>
      </c>
      <c r="L591" s="5" t="inlineStr">
        <is>
          <t>mobile+broadband</t>
        </is>
      </c>
      <c r="M591" s="5" t="inlineStr">
        <is>
          <t>Fiber + Mobile</t>
        </is>
      </c>
      <c r="N591" s="5" t="b">
        <v>1</v>
      </c>
      <c r="O591" s="5" t="b">
        <v>1</v>
      </c>
      <c r="P591" s="5" t="b">
        <v>0</v>
      </c>
      <c r="Q591" s="5" t="b">
        <v>0</v>
      </c>
      <c r="R591" s="7" t="n">
        <v>1000</v>
      </c>
      <c r="S591" s="7" t="n">
        <v>150</v>
      </c>
      <c r="T591" s="7" t="n">
        <v>2</v>
      </c>
      <c r="U591" s="5" t="inlineStr"/>
      <c r="V591" s="5" t="inlineStr"/>
      <c r="W591" s="5" t="inlineStr"/>
      <c r="X591" s="5" t="inlineStr">
        <is>
          <t>Pós 150GB</t>
        </is>
      </c>
      <c r="Y591" s="5" t="inlineStr">
        <is>
          <t>https://www.claro.com.br/multi</t>
        </is>
      </c>
      <c r="Z591" s="5" t="inlineStr">
        <is>
          <t>data/raw/claro_convergent_multi_SP.html</t>
        </is>
      </c>
    </row>
    <row r="592">
      <c r="A592" s="2" t="inlineStr">
        <is>
          <t>2026-08-28</t>
        </is>
      </c>
      <c r="B592" s="2" t="inlineStr">
        <is>
          <t>2026-08-28T02:04:32</t>
        </is>
      </c>
      <c r="C592" s="2" t="inlineStr">
        <is>
          <t>claro</t>
        </is>
      </c>
      <c r="D592" s="2" t="inlineStr">
        <is>
          <t>SP</t>
        </is>
      </c>
      <c r="E592" s="2" t="inlineStr">
        <is>
          <t>1 Giga com Globoplay incluso + Pós 150GB + Claro tv+ Box + Disney+ Amazon Prime + Netflix + HBO Max + Apple TV + Globoplay</t>
        </is>
      </c>
      <c r="F592" s="2" t="inlineStr">
        <is>
          <t>claro:7785b449-69f2-4234-9e24-8837e32a55c0</t>
        </is>
      </c>
      <c r="G592" s="3" t="n">
        <v>409.8</v>
      </c>
      <c r="H592" s="3" t="inlineStr"/>
      <c r="I592" s="2" t="inlineStr"/>
      <c r="J592" s="2" t="inlineStr"/>
      <c r="K592" s="2" t="inlineStr">
        <is>
          <t>tab: Fibra + Móvel + TV</t>
        </is>
      </c>
      <c r="L592" s="2" t="inlineStr">
        <is>
          <t>mobile+broadband+tv</t>
        </is>
      </c>
      <c r="M592" s="2" t="inlineStr">
        <is>
          <t>Fiber + Mobile + TV</t>
        </is>
      </c>
      <c r="N592" s="2" t="b">
        <v>1</v>
      </c>
      <c r="O592" s="2" t="b">
        <v>1</v>
      </c>
      <c r="P592" s="2" t="b">
        <v>1</v>
      </c>
      <c r="Q592" s="2" t="b">
        <v>0</v>
      </c>
      <c r="R592" s="4" t="n">
        <v>1000</v>
      </c>
      <c r="S592" s="4" t="n">
        <v>150</v>
      </c>
      <c r="T592" s="4" t="n">
        <v>1</v>
      </c>
      <c r="U592" s="2" t="inlineStr">
        <is>
          <t>Claro tv+ Box + Disney+ Amazon Prime + Netflix + HBO Max + Apple TV + Globoplay</t>
        </is>
      </c>
      <c r="V592" s="2" t="inlineStr"/>
      <c r="W592" s="2" t="inlineStr"/>
      <c r="X592" s="2" t="inlineStr">
        <is>
          <t>Pós 150GB</t>
        </is>
      </c>
      <c r="Y592" s="2" t="inlineStr">
        <is>
          <t>https://www.claro.com.br/multi</t>
        </is>
      </c>
      <c r="Z592" s="2" t="inlineStr">
        <is>
          <t>data/raw/claro_convergent_multi_SP.html</t>
        </is>
      </c>
    </row>
    <row r="593">
      <c r="A593" s="5" t="inlineStr">
        <is>
          <t>2026-08-28</t>
        </is>
      </c>
      <c r="B593" s="5" t="inlineStr">
        <is>
          <t>2026-08-28T02:04:32</t>
        </is>
      </c>
      <c r="C593" s="5" t="inlineStr">
        <is>
          <t>claro</t>
        </is>
      </c>
      <c r="D593" s="5" t="inlineStr">
        <is>
          <t>SP</t>
        </is>
      </c>
      <c r="E593" s="5" t="inlineStr">
        <is>
          <t>1 Giga com Globoplay incluso + Pós 200GB</t>
        </is>
      </c>
      <c r="F593" s="5" t="inlineStr">
        <is>
          <t>claro:1961a62d-3213-4ff0-a152-401a45c5b1b5</t>
        </is>
      </c>
      <c r="G593" s="6" t="n">
        <v>359.9</v>
      </c>
      <c r="H593" s="6" t="inlineStr"/>
      <c r="I593" s="5" t="inlineStr"/>
      <c r="J593" s="5" t="inlineStr"/>
      <c r="K593" s="5" t="inlineStr">
        <is>
          <t>tab: Fibra + Móvel</t>
        </is>
      </c>
      <c r="L593" s="5" t="inlineStr">
        <is>
          <t>mobile+broadband</t>
        </is>
      </c>
      <c r="M593" s="5" t="inlineStr">
        <is>
          <t>Fiber + Mobile</t>
        </is>
      </c>
      <c r="N593" s="5" t="b">
        <v>1</v>
      </c>
      <c r="O593" s="5" t="b">
        <v>1</v>
      </c>
      <c r="P593" s="5" t="b">
        <v>0</v>
      </c>
      <c r="Q593" s="5" t="b">
        <v>0</v>
      </c>
      <c r="R593" s="7" t="n">
        <v>1000</v>
      </c>
      <c r="S593" s="7" t="n">
        <v>200</v>
      </c>
      <c r="T593" s="7" t="n">
        <v>3</v>
      </c>
      <c r="U593" s="5" t="inlineStr"/>
      <c r="V593" s="5" t="inlineStr"/>
      <c r="W593" s="5" t="inlineStr"/>
      <c r="X593" s="5" t="inlineStr">
        <is>
          <t>Pós 200GB</t>
        </is>
      </c>
      <c r="Y593" s="5" t="inlineStr">
        <is>
          <t>https://www.claro.com.br/multi</t>
        </is>
      </c>
      <c r="Z593" s="5" t="inlineStr">
        <is>
          <t>data/raw/claro_convergent_multi_SP.html</t>
        </is>
      </c>
    </row>
    <row r="594">
      <c r="A594" s="2" t="inlineStr">
        <is>
          <t>2026-08-28</t>
        </is>
      </c>
      <c r="B594" s="2" t="inlineStr">
        <is>
          <t>2026-08-28T02:04:32</t>
        </is>
      </c>
      <c r="C594" s="2" t="inlineStr">
        <is>
          <t>claro</t>
        </is>
      </c>
      <c r="D594" s="2" t="inlineStr">
        <is>
          <t>SP</t>
        </is>
      </c>
      <c r="E594" s="2" t="inlineStr">
        <is>
          <t>1 Giga com Globoplay incluso + Pós 200GB + Claro tv+ Box + Disney+ Amazon Prime + Netflix + HBO Max + Apple TV + Globoplay</t>
        </is>
      </c>
      <c r="F594" s="2" t="inlineStr">
        <is>
          <t>claro:312815a2-b3a5-43bb-89a1-272d53ccb212</t>
        </is>
      </c>
      <c r="G594" s="3" t="n">
        <v>469.8</v>
      </c>
      <c r="H594" s="3" t="inlineStr"/>
      <c r="I594" s="2" t="inlineStr"/>
      <c r="J594" s="2" t="inlineStr"/>
      <c r="K594" s="2" t="inlineStr">
        <is>
          <t>tab: Fibra + Móvel + TV</t>
        </is>
      </c>
      <c r="L594" s="2" t="inlineStr">
        <is>
          <t>mobile+broadband+tv</t>
        </is>
      </c>
      <c r="M594" s="2" t="inlineStr">
        <is>
          <t>Fiber + Mobile + TV</t>
        </is>
      </c>
      <c r="N594" s="2" t="b">
        <v>1</v>
      </c>
      <c r="O594" s="2" t="b">
        <v>1</v>
      </c>
      <c r="P594" s="2" t="b">
        <v>1</v>
      </c>
      <c r="Q594" s="2" t="b">
        <v>0</v>
      </c>
      <c r="R594" s="4" t="n">
        <v>1000</v>
      </c>
      <c r="S594" s="4" t="n">
        <v>200</v>
      </c>
      <c r="T594" s="4" t="n">
        <v>1</v>
      </c>
      <c r="U594" s="2" t="inlineStr">
        <is>
          <t>Claro tv+ Box + Disney+ Amazon Prime + Netflix + HBO Max + Apple TV + Globoplay</t>
        </is>
      </c>
      <c r="V594" s="2" t="inlineStr"/>
      <c r="W594" s="2" t="inlineStr"/>
      <c r="X594" s="2" t="inlineStr">
        <is>
          <t>Pós 200GB</t>
        </is>
      </c>
      <c r="Y594" s="2" t="inlineStr">
        <is>
          <t>https://www.claro.com.br/multi</t>
        </is>
      </c>
      <c r="Z594" s="2" t="inlineStr">
        <is>
          <t>data/raw/claro_convergent_multi_SP.html</t>
        </is>
      </c>
    </row>
    <row r="595">
      <c r="A595" s="5" t="inlineStr">
        <is>
          <t>2026-08-28</t>
        </is>
      </c>
      <c r="B595" s="5" t="inlineStr">
        <is>
          <t>2026-08-28T02:04:32</t>
        </is>
      </c>
      <c r="C595" s="5" t="inlineStr">
        <is>
          <t>claro</t>
        </is>
      </c>
      <c r="D595" s="5" t="inlineStr">
        <is>
          <t>SP</t>
        </is>
      </c>
      <c r="E595" s="5" t="inlineStr">
        <is>
          <t>350 Mega com Globoplay incluso + Claro tv+ Box + Disney+ Amazon Prime + Netflix + HBO Max + Apple TV + Globoplay</t>
        </is>
      </c>
      <c r="F595" s="5" t="inlineStr">
        <is>
          <t>claro:97b00450-6f21-4349-8363-83d624b18328</t>
        </is>
      </c>
      <c r="G595" s="6" t="n">
        <v>229.8</v>
      </c>
      <c r="H595" s="6" t="inlineStr"/>
      <c r="I595" s="5" t="inlineStr"/>
      <c r="J595" s="5" t="inlineStr"/>
      <c r="K595" s="5" t="inlineStr">
        <is>
          <t>tab: Fibra + TV</t>
        </is>
      </c>
      <c r="L595" s="5" t="inlineStr">
        <is>
          <t>broadband+tv</t>
        </is>
      </c>
      <c r="M595" s="5" t="inlineStr">
        <is>
          <t>Fiber + TV</t>
        </is>
      </c>
      <c r="N595" s="5" t="b">
        <v>0</v>
      </c>
      <c r="O595" s="5" t="b">
        <v>1</v>
      </c>
      <c r="P595" s="5" t="b">
        <v>1</v>
      </c>
      <c r="Q595" s="5" t="b">
        <v>0</v>
      </c>
      <c r="R595" s="7" t="n">
        <v>350</v>
      </c>
      <c r="S595" s="7" t="inlineStr"/>
      <c r="T595" s="7" t="inlineStr"/>
      <c r="U595" s="5" t="inlineStr">
        <is>
          <t>Claro tv+ Box + Disney+ Amazon Prime + Netflix + HBO Max + Apple TV + Globoplay</t>
        </is>
      </c>
      <c r="V595" s="5" t="inlineStr"/>
      <c r="W595" s="5" t="inlineStr"/>
      <c r="X595" s="5" t="inlineStr"/>
      <c r="Y595" s="5" t="inlineStr">
        <is>
          <t>https://www.claro.com.br/multi</t>
        </is>
      </c>
      <c r="Z595" s="5" t="inlineStr">
        <is>
          <t>data/raw/claro_convergent_multi_SP.html</t>
        </is>
      </c>
    </row>
    <row r="596">
      <c r="A596" s="2" t="inlineStr">
        <is>
          <t>2026-08-28</t>
        </is>
      </c>
      <c r="B596" s="2" t="inlineStr">
        <is>
          <t>2026-08-28T02:04:32</t>
        </is>
      </c>
      <c r="C596" s="2" t="inlineStr">
        <is>
          <t>claro</t>
        </is>
      </c>
      <c r="D596" s="2" t="inlineStr">
        <is>
          <t>SP</t>
        </is>
      </c>
      <c r="E596" s="2" t="inlineStr">
        <is>
          <t>350 Mega com Globoplay incluso + Controle 40GB</t>
        </is>
      </c>
      <c r="F596" s="2" t="inlineStr">
        <is>
          <t>claro:a866ea9a-6a70-4b6e-b886-f8178086ca91</t>
        </is>
      </c>
      <c r="G596" s="3" t="n">
        <v>129.8</v>
      </c>
      <c r="H596" s="3" t="inlineStr"/>
      <c r="I596" s="2" t="inlineStr"/>
      <c r="J596" s="2" t="inlineStr">
        <is>
          <t>debit_auto</t>
        </is>
      </c>
      <c r="K596" s="2" t="inlineStr">
        <is>
          <t>tab: Fibra + Móvel; preço em débito em conta; +R$ 5.00 sem débito automático</t>
        </is>
      </c>
      <c r="L596" s="2" t="inlineStr">
        <is>
          <t>mobile+broadband</t>
        </is>
      </c>
      <c r="M596" s="2" t="inlineStr">
        <is>
          <t>Fiber + Mobile</t>
        </is>
      </c>
      <c r="N596" s="2" t="b">
        <v>1</v>
      </c>
      <c r="O596" s="2" t="b">
        <v>1</v>
      </c>
      <c r="P596" s="2" t="b">
        <v>0</v>
      </c>
      <c r="Q596" s="2" t="b">
        <v>0</v>
      </c>
      <c r="R596" s="4" t="n">
        <v>350</v>
      </c>
      <c r="S596" s="4" t="n">
        <v>40</v>
      </c>
      <c r="T596" s="4" t="n">
        <v>1</v>
      </c>
      <c r="U596" s="2" t="inlineStr"/>
      <c r="V596" s="2" t="inlineStr"/>
      <c r="W596" s="2" t="inlineStr"/>
      <c r="X596" s="2" t="inlineStr">
        <is>
          <t>Controle 40GB</t>
        </is>
      </c>
      <c r="Y596" s="2" t="inlineStr">
        <is>
          <t>https://www.claro.com.br/multi</t>
        </is>
      </c>
      <c r="Z596" s="2" t="inlineStr">
        <is>
          <t>data/raw/claro_convergent_multi_SP.html</t>
        </is>
      </c>
    </row>
    <row r="597">
      <c r="A597" s="5" t="inlineStr">
        <is>
          <t>2026-08-28</t>
        </is>
      </c>
      <c r="B597" s="5" t="inlineStr">
        <is>
          <t>2026-08-28T02:04:32</t>
        </is>
      </c>
      <c r="C597" s="5" t="inlineStr">
        <is>
          <t>claro</t>
        </is>
      </c>
      <c r="D597" s="5" t="inlineStr">
        <is>
          <t>SP</t>
        </is>
      </c>
      <c r="E597" s="5" t="inlineStr">
        <is>
          <t>350 Mega com Globoplay incluso + Pós 100GB + Claro tv+ Box + Disney+ Amazon Prime + Netflix + HBO Max + Apple TV + Globoplay</t>
        </is>
      </c>
      <c r="F597" s="5" t="inlineStr">
        <is>
          <t>claro:746fa9cf-ea2b-40de-ad2c-5803b3e0ab08</t>
        </is>
      </c>
      <c r="G597" s="6" t="n">
        <v>249.8</v>
      </c>
      <c r="H597" s="6" t="inlineStr"/>
      <c r="I597" s="5" t="inlineStr"/>
      <c r="J597" s="5" t="inlineStr"/>
      <c r="K597" s="5" t="inlineStr">
        <is>
          <t>tab: Fibra + Móvel + TV</t>
        </is>
      </c>
      <c r="L597" s="5" t="inlineStr">
        <is>
          <t>mobile+broadband+tv</t>
        </is>
      </c>
      <c r="M597" s="5" t="inlineStr">
        <is>
          <t>Fiber + Mobile + TV</t>
        </is>
      </c>
      <c r="N597" s="5" t="b">
        <v>1</v>
      </c>
      <c r="O597" s="5" t="b">
        <v>1</v>
      </c>
      <c r="P597" s="5" t="b">
        <v>1</v>
      </c>
      <c r="Q597" s="5" t="b">
        <v>0</v>
      </c>
      <c r="R597" s="7" t="n">
        <v>350</v>
      </c>
      <c r="S597" s="7" t="n">
        <v>100</v>
      </c>
      <c r="T597" s="7" t="n">
        <v>1</v>
      </c>
      <c r="U597" s="5" t="inlineStr">
        <is>
          <t>Claro tv+ Box + Disney+ Amazon Prime + Netflix + HBO Max + Apple TV + Globoplay</t>
        </is>
      </c>
      <c r="V597" s="5" t="inlineStr"/>
      <c r="W597" s="5" t="inlineStr"/>
      <c r="X597" s="5" t="inlineStr">
        <is>
          <t>Pós 100GB</t>
        </is>
      </c>
      <c r="Y597" s="5" t="inlineStr">
        <is>
          <t>https://www.claro.com.br/multi</t>
        </is>
      </c>
      <c r="Z597" s="5" t="inlineStr">
        <is>
          <t>data/raw/claro_convergent_multi_SP.html</t>
        </is>
      </c>
    </row>
    <row r="598">
      <c r="A598" s="2" t="inlineStr">
        <is>
          <t>2026-08-28</t>
        </is>
      </c>
      <c r="B598" s="2" t="inlineStr">
        <is>
          <t>2026-08-28T02:04:32</t>
        </is>
      </c>
      <c r="C598" s="2" t="inlineStr">
        <is>
          <t>claro</t>
        </is>
      </c>
      <c r="D598" s="2" t="inlineStr">
        <is>
          <t>SP</t>
        </is>
      </c>
      <c r="E598" s="2" t="inlineStr">
        <is>
          <t>600 Mega com Globoplay incluso + Claro tv+ Box + Disney+ Amazon Prime + Netflix + HBO Max + Apple TV + Globoplay</t>
        </is>
      </c>
      <c r="F598" s="2" t="inlineStr">
        <is>
          <t>claro:545261b1-2f4d-4dab-82a6-02d9e66c5d3d</t>
        </is>
      </c>
      <c r="G598" s="3" t="n">
        <v>239.8</v>
      </c>
      <c r="H598" s="3" t="inlineStr"/>
      <c r="I598" s="2" t="inlineStr"/>
      <c r="J598" s="2" t="inlineStr"/>
      <c r="K598" s="2" t="inlineStr">
        <is>
          <t>tab: Fibra + TV</t>
        </is>
      </c>
      <c r="L598" s="2" t="inlineStr">
        <is>
          <t>broadband+tv</t>
        </is>
      </c>
      <c r="M598" s="2" t="inlineStr">
        <is>
          <t>Fiber + TV</t>
        </is>
      </c>
      <c r="N598" s="2" t="b">
        <v>0</v>
      </c>
      <c r="O598" s="2" t="b">
        <v>1</v>
      </c>
      <c r="P598" s="2" t="b">
        <v>1</v>
      </c>
      <c r="Q598" s="2" t="b">
        <v>0</v>
      </c>
      <c r="R598" s="4" t="n">
        <v>600</v>
      </c>
      <c r="S598" s="4" t="inlineStr"/>
      <c r="T598" s="4" t="inlineStr"/>
      <c r="U598" s="2" t="inlineStr">
        <is>
          <t>Claro tv+ Box + Disney+ Amazon Prime + Netflix + HBO Max + Apple TV + Globoplay</t>
        </is>
      </c>
      <c r="V598" s="2" t="inlineStr"/>
      <c r="W598" s="2" t="inlineStr"/>
      <c r="X598" s="2" t="inlineStr"/>
      <c r="Y598" s="2" t="inlineStr">
        <is>
          <t>https://www.claro.com.br/multi</t>
        </is>
      </c>
      <c r="Z598" s="2" t="inlineStr">
        <is>
          <t>data/raw/claro_convergent_multi_SP.html</t>
        </is>
      </c>
    </row>
    <row r="599">
      <c r="A599" s="5" t="inlineStr">
        <is>
          <t>2026-08-28</t>
        </is>
      </c>
      <c r="B599" s="5" t="inlineStr">
        <is>
          <t>2026-08-28T02:04:32</t>
        </is>
      </c>
      <c r="C599" s="5" t="inlineStr">
        <is>
          <t>claro</t>
        </is>
      </c>
      <c r="D599" s="5" t="inlineStr">
        <is>
          <t>SP</t>
        </is>
      </c>
      <c r="E599" s="5" t="inlineStr">
        <is>
          <t>600 Mega com Globoplay incluso + Pós 100GB</t>
        </is>
      </c>
      <c r="F599" s="5" t="inlineStr">
        <is>
          <t>claro:350ac58a-533c-4858-83be-be3ea39c8874</t>
        </is>
      </c>
      <c r="G599" s="6" t="n">
        <v>159.9</v>
      </c>
      <c r="H599" s="6" t="inlineStr"/>
      <c r="I599" s="5" t="inlineStr"/>
      <c r="J599" s="5" t="inlineStr"/>
      <c r="K599" s="5" t="inlineStr">
        <is>
          <t>tab: Fibra + Móvel</t>
        </is>
      </c>
      <c r="L599" s="5" t="inlineStr">
        <is>
          <t>mobile+broadband</t>
        </is>
      </c>
      <c r="M599" s="5" t="inlineStr">
        <is>
          <t>Fiber + Mobile</t>
        </is>
      </c>
      <c r="N599" s="5" t="b">
        <v>1</v>
      </c>
      <c r="O599" s="5" t="b">
        <v>1</v>
      </c>
      <c r="P599" s="5" t="b">
        <v>0</v>
      </c>
      <c r="Q599" s="5" t="b">
        <v>0</v>
      </c>
      <c r="R599" s="7" t="n">
        <v>600</v>
      </c>
      <c r="S599" s="7" t="n">
        <v>100</v>
      </c>
      <c r="T599" s="7" t="n">
        <v>1</v>
      </c>
      <c r="U599" s="5" t="inlineStr"/>
      <c r="V599" s="5" t="inlineStr"/>
      <c r="W599" s="5" t="inlineStr"/>
      <c r="X599" s="5" t="inlineStr">
        <is>
          <t>Pós 100GB</t>
        </is>
      </c>
      <c r="Y599" s="5" t="inlineStr">
        <is>
          <t>https://www.claro.com.br/multi</t>
        </is>
      </c>
      <c r="Z599" s="5" t="inlineStr">
        <is>
          <t>data/raw/claro_convergent_multi_SP.html</t>
        </is>
      </c>
    </row>
    <row r="600">
      <c r="A600" s="2" t="inlineStr">
        <is>
          <t>2026-08-28</t>
        </is>
      </c>
      <c r="B600" s="2" t="inlineStr">
        <is>
          <t>2026-08-28T02:04:32</t>
        </is>
      </c>
      <c r="C600" s="2" t="inlineStr">
        <is>
          <t>claro</t>
        </is>
      </c>
      <c r="D600" s="2" t="inlineStr">
        <is>
          <t>SP</t>
        </is>
      </c>
      <c r="E600" s="2" t="inlineStr">
        <is>
          <t>600 Mega com Globoplay incluso + Pós 100GB + Claro tv+ Box + Disney+ Amazon Prime + Netflix + HBO Max + Apple TV + Globoplay</t>
        </is>
      </c>
      <c r="F600" s="2" t="inlineStr">
        <is>
          <t>claro:f36e7dfb-f7c9-4055-844f-7bc101699de8</t>
        </is>
      </c>
      <c r="G600" s="3" t="n">
        <v>269.8</v>
      </c>
      <c r="H600" s="3" t="inlineStr"/>
      <c r="I600" s="2" t="inlineStr"/>
      <c r="J600" s="2" t="inlineStr"/>
      <c r="K600" s="2" t="inlineStr">
        <is>
          <t>tab: Fibra + Móvel + TV</t>
        </is>
      </c>
      <c r="L600" s="2" t="inlineStr">
        <is>
          <t>mobile+broadband+tv</t>
        </is>
      </c>
      <c r="M600" s="2" t="inlineStr">
        <is>
          <t>Fiber + Mobile + TV</t>
        </is>
      </c>
      <c r="N600" s="2" t="b">
        <v>1</v>
      </c>
      <c r="O600" s="2" t="b">
        <v>1</v>
      </c>
      <c r="P600" s="2" t="b">
        <v>1</v>
      </c>
      <c r="Q600" s="2" t="b">
        <v>0</v>
      </c>
      <c r="R600" s="4" t="n">
        <v>600</v>
      </c>
      <c r="S600" s="4" t="n">
        <v>100</v>
      </c>
      <c r="T600" s="4" t="n">
        <v>1</v>
      </c>
      <c r="U600" s="2" t="inlineStr">
        <is>
          <t>Claro tv+ Box + Disney+ Amazon Prime + Netflix + HBO Max + Apple TV + Globoplay</t>
        </is>
      </c>
      <c r="V600" s="2" t="inlineStr"/>
      <c r="W600" s="2" t="inlineStr"/>
      <c r="X600" s="2" t="inlineStr">
        <is>
          <t>Pós 100GB</t>
        </is>
      </c>
      <c r="Y600" s="2" t="inlineStr">
        <is>
          <t>https://www.claro.com.br/multi</t>
        </is>
      </c>
      <c r="Z600" s="2" t="inlineStr">
        <is>
          <t>data/raw/claro_convergent_multi_SP.html</t>
        </is>
      </c>
    </row>
    <row r="601">
      <c r="A601" s="5" t="inlineStr">
        <is>
          <t>2026-08-28</t>
        </is>
      </c>
      <c r="B601" s="5" t="inlineStr">
        <is>
          <t>2026-08-28T02:04:32</t>
        </is>
      </c>
      <c r="C601" s="5" t="inlineStr">
        <is>
          <t>tim</t>
        </is>
      </c>
      <c r="D601" s="5" t="inlineStr">
        <is>
          <t>SP</t>
        </is>
      </c>
      <c r="E601" s="5" t="inlineStr">
        <is>
          <t>TIM Ultracombo 5</t>
        </is>
      </c>
      <c r="F601" s="5" t="inlineStr">
        <is>
          <t>tim:167756</t>
        </is>
      </c>
      <c r="G601" s="6" t="n">
        <v>169.99</v>
      </c>
      <c r="H601" s="6" t="inlineStr"/>
      <c r="I601" s="5" t="inlineStr"/>
      <c r="J601" s="5" t="inlineStr">
        <is>
          <t>debit_auto</t>
        </is>
      </c>
      <c r="K601" s="5" t="inlineStr">
        <is>
          <t>preço em débito automático; R$ 179,99/mês no pagamento por fatura</t>
        </is>
      </c>
      <c r="L601" s="5" t="inlineStr">
        <is>
          <t>mobile+broadband</t>
        </is>
      </c>
      <c r="M601" s="5" t="inlineStr">
        <is>
          <t>Fiber + Mobile</t>
        </is>
      </c>
      <c r="N601" s="5" t="b">
        <v>1</v>
      </c>
      <c r="O601" s="5" t="b">
        <v>1</v>
      </c>
      <c r="P601" s="5" t="b">
        <v>0</v>
      </c>
      <c r="Q601" s="5" t="b">
        <v>0</v>
      </c>
      <c r="R601" s="7" t="n">
        <v>1000</v>
      </c>
      <c r="S601" s="7" t="n">
        <v>115</v>
      </c>
      <c r="T601" s="7" t="n">
        <v>1</v>
      </c>
      <c r="U601" s="5" t="inlineStr"/>
      <c r="V601" s="5" t="inlineStr">
        <is>
          <t>Paramount+, Deezer</t>
        </is>
      </c>
      <c r="W601" s="5" t="inlineStr"/>
      <c r="X601" s="5" t="inlineStr">
        <is>
          <t>1GIGA de Ultrafibra para casa + 115GB de TIM Black C Hero para móvel: (25GB do plano + 40GB promo + 50GB bônus especial)</t>
        </is>
      </c>
      <c r="Y601" s="5" t="inlineStr">
        <is>
          <t>https://www.tim.com.br/sp/internet/tim-ultracombo</t>
        </is>
      </c>
      <c r="Z601" s="5" t="inlineStr">
        <is>
          <t>data/raw/tim_convergent_ultracombo_SP.html</t>
        </is>
      </c>
    </row>
    <row r="602">
      <c r="A602" s="2" t="inlineStr">
        <is>
          <t>2026-08-28</t>
        </is>
      </c>
      <c r="B602" s="2" t="inlineStr">
        <is>
          <t>2026-08-28T02:04:32</t>
        </is>
      </c>
      <c r="C602" s="2" t="inlineStr">
        <is>
          <t>tim</t>
        </is>
      </c>
      <c r="D602" s="2" t="inlineStr">
        <is>
          <t>SP</t>
        </is>
      </c>
      <c r="E602" s="2" t="inlineStr">
        <is>
          <t>TIM Ultracombo 6</t>
        </is>
      </c>
      <c r="F602" s="2" t="inlineStr">
        <is>
          <t>tim:167751</t>
        </is>
      </c>
      <c r="G602" s="3" t="n">
        <v>139.99</v>
      </c>
      <c r="H602" s="3" t="inlineStr"/>
      <c r="I602" s="2" t="inlineStr"/>
      <c r="J602" s="2" t="inlineStr">
        <is>
          <t>debit_auto</t>
        </is>
      </c>
      <c r="K602" s="2" t="inlineStr">
        <is>
          <t>preço em débito automático; R$ 149,99/mês no pagamento por fatura</t>
        </is>
      </c>
      <c r="L602" s="2" t="inlineStr">
        <is>
          <t>mobile+broadband</t>
        </is>
      </c>
      <c r="M602" s="2" t="inlineStr">
        <is>
          <t>Fiber + Mobile</t>
        </is>
      </c>
      <c r="N602" s="2" t="b">
        <v>1</v>
      </c>
      <c r="O602" s="2" t="b">
        <v>1</v>
      </c>
      <c r="P602" s="2" t="b">
        <v>0</v>
      </c>
      <c r="Q602" s="2" t="b">
        <v>0</v>
      </c>
      <c r="R602" s="4" t="n">
        <v>1000</v>
      </c>
      <c r="S602" s="4" t="n">
        <v>70</v>
      </c>
      <c r="T602" s="4" t="n">
        <v>1</v>
      </c>
      <c r="U602" s="2" t="inlineStr"/>
      <c r="V602" s="2" t="inlineStr">
        <is>
          <t>Paramount+, Deezer</t>
        </is>
      </c>
      <c r="W602" s="2" t="inlineStr"/>
      <c r="X602" s="2" t="inlineStr">
        <is>
          <t>1GIGA de Ultrafibra para casa + 70GB de TIM Black A para móvel: (15GB do plano + 50GB promo + 5GB bônus especial)</t>
        </is>
      </c>
      <c r="Y602" s="2" t="inlineStr">
        <is>
          <t>https://www.tim.com.br/sp/internet/tim-ultracombo</t>
        </is>
      </c>
      <c r="Z602" s="2" t="inlineStr">
        <is>
          <t>data/raw/tim_convergent_ultracombo_SP.html</t>
        </is>
      </c>
    </row>
    <row r="603">
      <c r="A603" s="5" t="inlineStr">
        <is>
          <t>2026-08-28</t>
        </is>
      </c>
      <c r="B603" s="5" t="inlineStr">
        <is>
          <t>2026-08-28T02:04:32</t>
        </is>
      </c>
      <c r="C603" s="5" t="inlineStr">
        <is>
          <t>tim</t>
        </is>
      </c>
      <c r="D603" s="5" t="inlineStr">
        <is>
          <t>SP</t>
        </is>
      </c>
      <c r="E603" s="5" t="inlineStr">
        <is>
          <t>TIM Ultracombo 7</t>
        </is>
      </c>
      <c r="F603" s="5" t="inlineStr">
        <is>
          <t>tim:167761</t>
        </is>
      </c>
      <c r="G603" s="6" t="n">
        <v>89.98999999999999</v>
      </c>
      <c r="H603" s="6" t="inlineStr"/>
      <c r="I603" s="5" t="inlineStr"/>
      <c r="J603" s="5" t="inlineStr">
        <is>
          <t>debit_auto</t>
        </is>
      </c>
      <c r="K603" s="5" t="inlineStr">
        <is>
          <t>preço em débito automático; R$ 99,99/mês no pagamento por fatura</t>
        </is>
      </c>
      <c r="L603" s="5" t="inlineStr">
        <is>
          <t>mobile+broadband</t>
        </is>
      </c>
      <c r="M603" s="5" t="inlineStr">
        <is>
          <t>Fiber + Mobile</t>
        </is>
      </c>
      <c r="N603" s="5" t="b">
        <v>1</v>
      </c>
      <c r="O603" s="5" t="b">
        <v>1</v>
      </c>
      <c r="P603" s="5" t="b">
        <v>0</v>
      </c>
      <c r="Q603" s="5" t="b">
        <v>0</v>
      </c>
      <c r="R603" s="7" t="n">
        <v>500</v>
      </c>
      <c r="S603" s="7" t="n">
        <v>65</v>
      </c>
      <c r="T603" s="7" t="n">
        <v>1</v>
      </c>
      <c r="U603" s="5" t="inlineStr"/>
      <c r="V603" s="5" t="inlineStr"/>
      <c r="W603" s="5" t="inlineStr"/>
      <c r="X603" s="5" t="inlineStr">
        <is>
          <t>500MEGA de Ultrafibra para casa + 65GB de TIM Black A Light para móvel: (10GB do plano + 50GB promo)</t>
        </is>
      </c>
      <c r="Y603" s="5" t="inlineStr">
        <is>
          <t>https://www.tim.com.br/sp/internet/tim-ultracombo</t>
        </is>
      </c>
      <c r="Z603" s="5" t="inlineStr">
        <is>
          <t>data/raw/tim_convergent_ultracombo_SP.html</t>
        </is>
      </c>
    </row>
    <row r="604">
      <c r="A604" s="2" t="inlineStr">
        <is>
          <t>2026-08-28</t>
        </is>
      </c>
      <c r="B604" s="2" t="inlineStr">
        <is>
          <t>2026-08-28T02:04:32</t>
        </is>
      </c>
      <c r="C604" s="2" t="inlineStr">
        <is>
          <t>vivo</t>
        </is>
      </c>
      <c r="D604" s="2" t="inlineStr">
        <is>
          <t>SP</t>
        </is>
      </c>
      <c r="E604" s="2" t="inlineStr">
        <is>
          <t>Vivo Família 2</t>
        </is>
      </c>
      <c r="F604" s="2" t="inlineStr">
        <is>
          <t>vivo:VIV202604032132-3-305-316-336-408-411-426-430-442</t>
        </is>
      </c>
      <c r="G604" s="3" t="n">
        <v>290</v>
      </c>
      <c r="H604" s="3" t="inlineStr"/>
      <c r="I604" s="2" t="inlineStr"/>
      <c r="J604" s="2" t="inlineStr"/>
      <c r="K604" s="2" t="inlineStr">
        <is>
          <t>instalação grátis mediante fidelização (não afeta a mensalidade)</t>
        </is>
      </c>
      <c r="L604" s="2" t="inlineStr">
        <is>
          <t>mobile+broadband+tv</t>
        </is>
      </c>
      <c r="M604" s="2" t="inlineStr">
        <is>
          <t>Fiber + Mobile + TV</t>
        </is>
      </c>
      <c r="N604" s="2" t="b">
        <v>1</v>
      </c>
      <c r="O604" s="2" t="b">
        <v>1</v>
      </c>
      <c r="P604" s="2" t="b">
        <v>1</v>
      </c>
      <c r="Q604" s="2" t="b">
        <v>0</v>
      </c>
      <c r="R604" s="4" t="n">
        <v>700</v>
      </c>
      <c r="S604" s="4" t="n">
        <v>120</v>
      </c>
      <c r="T604" s="4" t="n">
        <v>2</v>
      </c>
      <c r="U604" s="2" t="inlineStr">
        <is>
          <t>80 canais de Vivo Estendido</t>
        </is>
      </c>
      <c r="V604" s="2" t="inlineStr"/>
      <c r="W604" s="2" t="inlineStr">
        <is>
          <t>Vivo Travel américas e europa; 1 linha adicional inclusa</t>
        </is>
      </c>
      <c r="X604" s="2" t="inlineStr">
        <is>
          <t>700 Mega de Vivo Fibra</t>
        </is>
      </c>
      <c r="Y604" s="2" t="inlineStr">
        <is>
          <t>https://vivo.com.br/para-voce/produtos-e-servicos/combos/vivo-total</t>
        </is>
      </c>
      <c r="Z604" s="2" t="inlineStr">
        <is>
          <t>data/raw/vivo_convergent_total_SP.html</t>
        </is>
      </c>
    </row>
    <row r="605">
      <c r="A605" s="5" t="inlineStr">
        <is>
          <t>2026-08-28</t>
        </is>
      </c>
      <c r="B605" s="5" t="inlineStr">
        <is>
          <t>2026-08-28T02:04:32</t>
        </is>
      </c>
      <c r="C605" s="5" t="inlineStr">
        <is>
          <t>vivo</t>
        </is>
      </c>
      <c r="D605" s="5" t="inlineStr">
        <is>
          <t>SP</t>
        </is>
      </c>
      <c r="E605" s="5" t="inlineStr">
        <is>
          <t>Vivo Família 2</t>
        </is>
      </c>
      <c r="F605" s="5" t="inlineStr">
        <is>
          <t>vivo:VIV202604032112-3-9-305-316-408-411-426-430-442</t>
        </is>
      </c>
      <c r="G605" s="6" t="n">
        <v>390</v>
      </c>
      <c r="H605" s="6" t="inlineStr"/>
      <c r="I605" s="5" t="inlineStr"/>
      <c r="J605" s="5" t="inlineStr"/>
      <c r="K605" s="5" t="inlineStr">
        <is>
          <t>instalação grátis mediante fidelização (não afeta a mensalidade)</t>
        </is>
      </c>
      <c r="L605" s="5" t="inlineStr">
        <is>
          <t>mobile+broadband+tv</t>
        </is>
      </c>
      <c r="M605" s="5" t="inlineStr">
        <is>
          <t>Fiber + Mobile + TV</t>
        </is>
      </c>
      <c r="N605" s="5" t="b">
        <v>1</v>
      </c>
      <c r="O605" s="5" t="b">
        <v>1</v>
      </c>
      <c r="P605" s="5" t="b">
        <v>1</v>
      </c>
      <c r="Q605" s="5" t="b">
        <v>0</v>
      </c>
      <c r="R605" s="7" t="n">
        <v>700</v>
      </c>
      <c r="S605" s="7" t="n">
        <v>120</v>
      </c>
      <c r="T605" s="7" t="n">
        <v>2</v>
      </c>
      <c r="U605" s="5" t="inlineStr">
        <is>
          <t>120 canais de Vivo TV Avançado + 1 ponto adicional</t>
        </is>
      </c>
      <c r="V605" s="5" t="inlineStr"/>
      <c r="W605" s="5" t="inlineStr">
        <is>
          <t>Vivo Travel américas e europa; 1 linha adicional inclusa</t>
        </is>
      </c>
      <c r="X605" s="5" t="inlineStr">
        <is>
          <t>700 Mega de Vivo Fibra</t>
        </is>
      </c>
      <c r="Y605" s="5" t="inlineStr">
        <is>
          <t>https://vivo.com.br/para-voce/produtos-e-servicos/combos/vivo-total</t>
        </is>
      </c>
      <c r="Z605" s="5" t="inlineStr">
        <is>
          <t>data/raw/vivo_convergent_total_SP.html</t>
        </is>
      </c>
    </row>
    <row r="606">
      <c r="A606" s="2" t="inlineStr">
        <is>
          <t>2026-08-28</t>
        </is>
      </c>
      <c r="B606" s="2" t="inlineStr">
        <is>
          <t>2026-08-28T02:04:32</t>
        </is>
      </c>
      <c r="C606" s="2" t="inlineStr">
        <is>
          <t>vivo</t>
        </is>
      </c>
      <c r="D606" s="2" t="inlineStr">
        <is>
          <t>SP</t>
        </is>
      </c>
      <c r="E606" s="2" t="inlineStr">
        <is>
          <t>Vivo Total Família 2</t>
        </is>
      </c>
      <c r="F606" s="2" t="inlineStr">
        <is>
          <t>vivo:VIV202604032132-3-305-316-408-411-426-430-442</t>
        </is>
      </c>
      <c r="G606" s="3" t="n">
        <v>270</v>
      </c>
      <c r="H606" s="3" t="inlineStr"/>
      <c r="I606" s="2" t="inlineStr"/>
      <c r="J606" s="2" t="inlineStr"/>
      <c r="K606" s="2" t="inlineStr">
        <is>
          <t>instalação grátis mediante fidelização (não afeta a mensalidade)</t>
        </is>
      </c>
      <c r="L606" s="2" t="inlineStr">
        <is>
          <t>mobile+broadband</t>
        </is>
      </c>
      <c r="M606" s="2" t="inlineStr">
        <is>
          <t>Fiber + Mobile</t>
        </is>
      </c>
      <c r="N606" s="2" t="b">
        <v>1</v>
      </c>
      <c r="O606" s="2" t="b">
        <v>1</v>
      </c>
      <c r="P606" s="2" t="b">
        <v>0</v>
      </c>
      <c r="Q606" s="2" t="b">
        <v>0</v>
      </c>
      <c r="R606" s="4" t="n">
        <v>700</v>
      </c>
      <c r="S606" s="4" t="n">
        <v>120</v>
      </c>
      <c r="T606" s="4" t="n">
        <v>2</v>
      </c>
      <c r="U606" s="2" t="inlineStr"/>
      <c r="V606" s="2" t="inlineStr"/>
      <c r="W606" s="2" t="inlineStr">
        <is>
          <t>Vivo Travel Américas e Europa; 1 linha adicional inclusa</t>
        </is>
      </c>
      <c r="X606" s="2" t="inlineStr">
        <is>
          <t>700 Mega de Vivo Fibra</t>
        </is>
      </c>
      <c r="Y606" s="2" t="inlineStr">
        <is>
          <t>https://vivo.com.br/para-voce/produtos-e-servicos/combos/vivo-total</t>
        </is>
      </c>
      <c r="Z606" s="2" t="inlineStr">
        <is>
          <t>data/raw/vivo_convergent_total_SP.html</t>
        </is>
      </c>
    </row>
    <row r="607">
      <c r="A607" s="5" t="inlineStr">
        <is>
          <t>2026-08-28</t>
        </is>
      </c>
      <c r="B607" s="5" t="inlineStr">
        <is>
          <t>2026-08-28T02:04:32</t>
        </is>
      </c>
      <c r="C607" s="5" t="inlineStr">
        <is>
          <t>vivo</t>
        </is>
      </c>
      <c r="D607" s="5" t="inlineStr">
        <is>
          <t>SP</t>
        </is>
      </c>
      <c r="E607" s="5" t="inlineStr">
        <is>
          <t>Vivo Total Família 3</t>
        </is>
      </c>
      <c r="F607" s="5" t="inlineStr">
        <is>
          <t>vivo:VIV202604032212-4-305-316-408-411-426-430-442</t>
        </is>
      </c>
      <c r="G607" s="6" t="n">
        <v>330</v>
      </c>
      <c r="H607" s="6" t="inlineStr"/>
      <c r="I607" s="5" t="inlineStr"/>
      <c r="J607" s="5" t="inlineStr"/>
      <c r="K607" s="5" t="inlineStr">
        <is>
          <t>instalação grátis mediante fidelização (não afeta a mensalidade)</t>
        </is>
      </c>
      <c r="L607" s="5" t="inlineStr">
        <is>
          <t>mobile+broadband</t>
        </is>
      </c>
      <c r="M607" s="5" t="inlineStr">
        <is>
          <t>Fiber + Mobile</t>
        </is>
      </c>
      <c r="N607" s="5" t="b">
        <v>1</v>
      </c>
      <c r="O607" s="5" t="b">
        <v>1</v>
      </c>
      <c r="P607" s="5" t="b">
        <v>0</v>
      </c>
      <c r="Q607" s="5" t="b">
        <v>0</v>
      </c>
      <c r="R607" s="7" t="n">
        <v>700</v>
      </c>
      <c r="S607" s="7" t="n">
        <v>180</v>
      </c>
      <c r="T607" s="7" t="n">
        <v>3</v>
      </c>
      <c r="U607" s="5" t="inlineStr"/>
      <c r="V607" s="5" t="inlineStr"/>
      <c r="W607" s="5" t="inlineStr">
        <is>
          <t>Vivo Travel Américas e Europa; 2 linhas adicionais inclusas</t>
        </is>
      </c>
      <c r="X607" s="5" t="inlineStr">
        <is>
          <t>700 Mega de Vivo Fibra</t>
        </is>
      </c>
      <c r="Y607" s="5" t="inlineStr">
        <is>
          <t>https://vivo.com.br/para-voce/produtos-e-servicos/combos/vivo-total</t>
        </is>
      </c>
      <c r="Z607" s="5" t="inlineStr">
        <is>
          <t>data/raw/vivo_convergent_total_SP.html</t>
        </is>
      </c>
    </row>
    <row r="608">
      <c r="A608" s="2" t="inlineStr">
        <is>
          <t>2026-08-28</t>
        </is>
      </c>
      <c r="B608" s="2" t="inlineStr">
        <is>
          <t>2026-08-28T02:04:32</t>
        </is>
      </c>
      <c r="C608" s="2" t="inlineStr">
        <is>
          <t>vivo</t>
        </is>
      </c>
      <c r="D608" s="2" t="inlineStr">
        <is>
          <t>SP</t>
        </is>
      </c>
      <c r="E608" s="2" t="inlineStr">
        <is>
          <t>Vivo Total Família 4</t>
        </is>
      </c>
      <c r="F608" s="2" t="inlineStr">
        <is>
          <t>vivo:VIV202604032292-237-305-316-408-411-426-430-442</t>
        </is>
      </c>
      <c r="G608" s="3" t="n">
        <v>420</v>
      </c>
      <c r="H608" s="3" t="inlineStr"/>
      <c r="I608" s="2" t="inlineStr"/>
      <c r="J608" s="2" t="inlineStr"/>
      <c r="K608" s="2" t="inlineStr">
        <is>
          <t>instalação grátis mediante fidelização (não afeta a mensalidade)</t>
        </is>
      </c>
      <c r="L608" s="2" t="inlineStr">
        <is>
          <t>mobile+broadband</t>
        </is>
      </c>
      <c r="M608" s="2" t="inlineStr">
        <is>
          <t>Fiber + Mobile</t>
        </is>
      </c>
      <c r="N608" s="2" t="b">
        <v>1</v>
      </c>
      <c r="O608" s="2" t="b">
        <v>1</v>
      </c>
      <c r="P608" s="2" t="b">
        <v>0</v>
      </c>
      <c r="Q608" s="2" t="b">
        <v>0</v>
      </c>
      <c r="R608" s="4" t="n">
        <v>700</v>
      </c>
      <c r="S608" s="4" t="n">
        <v>240</v>
      </c>
      <c r="T608" s="4" t="n">
        <v>4</v>
      </c>
      <c r="U608" s="2" t="inlineStr"/>
      <c r="V608" s="2" t="inlineStr"/>
      <c r="W608" s="2" t="inlineStr">
        <is>
          <t>Vivo Travel Américas e Europa; 3 linhas adicionais inclusas</t>
        </is>
      </c>
      <c r="X608" s="2" t="inlineStr">
        <is>
          <t>700 Mega de Vivo Fibra</t>
        </is>
      </c>
      <c r="Y608" s="2" t="inlineStr">
        <is>
          <t>https://vivo.com.br/para-voce/produtos-e-servicos/combos/vivo-total</t>
        </is>
      </c>
      <c r="Z608" s="2" t="inlineStr">
        <is>
          <t>data/raw/vivo_convergent_total_SP.html</t>
        </is>
      </c>
    </row>
    <row r="609">
      <c r="A609" s="5" t="inlineStr">
        <is>
          <t>2026-08-28</t>
        </is>
      </c>
      <c r="B609" s="5" t="inlineStr">
        <is>
          <t>2026-08-28T02:04:32</t>
        </is>
      </c>
      <c r="C609" s="5" t="inlineStr">
        <is>
          <t>vivo</t>
        </is>
      </c>
      <c r="D609" s="5" t="inlineStr">
        <is>
          <t>SP</t>
        </is>
      </c>
      <c r="E609" s="5" t="inlineStr">
        <is>
          <t>Vivo Total Família 5</t>
        </is>
      </c>
      <c r="F609" s="5" t="inlineStr">
        <is>
          <t>vivo:VIV202604032372-5-305-316-408-411-426-430-442</t>
        </is>
      </c>
      <c r="G609" s="6" t="n">
        <v>520</v>
      </c>
      <c r="H609" s="6" t="inlineStr"/>
      <c r="I609" s="5" t="inlineStr"/>
      <c r="J609" s="5" t="inlineStr"/>
      <c r="K609" s="5" t="inlineStr">
        <is>
          <t>instalação grátis mediante fidelização (não afeta a mensalidade)</t>
        </is>
      </c>
      <c r="L609" s="5" t="inlineStr">
        <is>
          <t>mobile+broadband</t>
        </is>
      </c>
      <c r="M609" s="5" t="inlineStr">
        <is>
          <t>Fiber + Mobile</t>
        </is>
      </c>
      <c r="N609" s="5" t="b">
        <v>1</v>
      </c>
      <c r="O609" s="5" t="b">
        <v>1</v>
      </c>
      <c r="P609" s="5" t="b">
        <v>0</v>
      </c>
      <c r="Q609" s="5" t="b">
        <v>0</v>
      </c>
      <c r="R609" s="7" t="n">
        <v>700</v>
      </c>
      <c r="S609" s="7" t="n">
        <v>300</v>
      </c>
      <c r="T609" s="7" t="n">
        <v>5</v>
      </c>
      <c r="U609" s="5" t="inlineStr"/>
      <c r="V609" s="5" t="inlineStr"/>
      <c r="W609" s="5" t="inlineStr">
        <is>
          <t>Vivo Travel Américas e Europa; 4 linhas adicionais inclusas</t>
        </is>
      </c>
      <c r="X609" s="5" t="inlineStr">
        <is>
          <t>700 Mega de Vivo Fibra</t>
        </is>
      </c>
      <c r="Y609" s="5" t="inlineStr">
        <is>
          <t>https://vivo.com.br/para-voce/produtos-e-servicos/combos/vivo-total</t>
        </is>
      </c>
      <c r="Z609" s="5" t="inlineStr">
        <is>
          <t>data/raw/vivo_convergent_total_SP.html</t>
        </is>
      </c>
    </row>
    <row r="610">
      <c r="A610" s="2" t="inlineStr">
        <is>
          <t>2026-08-28</t>
        </is>
      </c>
      <c r="B610" s="2" t="inlineStr">
        <is>
          <t>2026-08-28T02:04:32</t>
        </is>
      </c>
      <c r="C610" s="2" t="inlineStr">
        <is>
          <t>vivo</t>
        </is>
      </c>
      <c r="D610" s="2" t="inlineStr">
        <is>
          <t>SP</t>
        </is>
      </c>
      <c r="E610" s="2" t="inlineStr">
        <is>
          <t>Vivo Total Pro</t>
        </is>
      </c>
      <c r="F610" s="2" t="inlineStr">
        <is>
          <t>vivo:VIV202604031772-2-305-308-316-326-342-411-430</t>
        </is>
      </c>
      <c r="G610" s="3" t="n">
        <v>160</v>
      </c>
      <c r="H610" s="3" t="inlineStr"/>
      <c r="I610" s="2" t="inlineStr"/>
      <c r="J610" s="2" t="inlineStr"/>
      <c r="K610" s="2" t="inlineStr">
        <is>
          <t>instalação grátis mediante fidelização (não afeta a mensalidade)</t>
        </is>
      </c>
      <c r="L610" s="2" t="inlineStr">
        <is>
          <t>mobile+broadband</t>
        </is>
      </c>
      <c r="M610" s="2" t="inlineStr">
        <is>
          <t>Fiber + Mobile</t>
        </is>
      </c>
      <c r="N610" s="2" t="b">
        <v>1</v>
      </c>
      <c r="O610" s="2" t="b">
        <v>1</v>
      </c>
      <c r="P610" s="2" t="b">
        <v>0</v>
      </c>
      <c r="Q610" s="2" t="b">
        <v>0</v>
      </c>
      <c r="R610" s="4" t="n">
        <v>500</v>
      </c>
      <c r="S610" s="4" t="n">
        <v>60</v>
      </c>
      <c r="T610" s="4" t="n">
        <v>1</v>
      </c>
      <c r="U610" s="2" t="inlineStr"/>
      <c r="V610" s="2" t="inlineStr"/>
      <c r="W610" s="2" t="inlineStr">
        <is>
          <t>Vivo Travel Américas; 50 GB de franquia + 10 GB de bônus</t>
        </is>
      </c>
      <c r="X610" s="2" t="inlineStr">
        <is>
          <t>500 Mega de Vivo Fibra</t>
        </is>
      </c>
      <c r="Y610" s="2" t="inlineStr">
        <is>
          <t>https://vivo.com.br/para-voce/produtos-e-servicos/combos/vivo-total</t>
        </is>
      </c>
      <c r="Z610" s="2" t="inlineStr">
        <is>
          <t>data/raw/vivo_convergent_total_SP.html</t>
        </is>
      </c>
    </row>
    <row r="611">
      <c r="A611" s="5" t="inlineStr">
        <is>
          <t>2026-08-28</t>
        </is>
      </c>
      <c r="B611" s="5" t="inlineStr">
        <is>
          <t>2026-08-28T02:04:32</t>
        </is>
      </c>
      <c r="C611" s="5" t="inlineStr">
        <is>
          <t>vivo</t>
        </is>
      </c>
      <c r="D611" s="5" t="inlineStr">
        <is>
          <t>SP</t>
        </is>
      </c>
      <c r="E611" s="5" t="inlineStr">
        <is>
          <t>Vivo Total Ultra</t>
        </is>
      </c>
      <c r="F611" s="5" t="inlineStr">
        <is>
          <t>vivo:VIV202604031940-305-313-316-408-411-426-430-442</t>
        </is>
      </c>
      <c r="G611" s="6" t="n">
        <v>170</v>
      </c>
      <c r="H611" s="6" t="inlineStr"/>
      <c r="I611" s="5" t="inlineStr"/>
      <c r="J611" s="5" t="inlineStr"/>
      <c r="K611" s="5" t="inlineStr">
        <is>
          <t>instalação grátis mediante fidelização (não afeta a mensalidade)</t>
        </is>
      </c>
      <c r="L611" s="5" t="inlineStr">
        <is>
          <t>mobile+broadband</t>
        </is>
      </c>
      <c r="M611" s="5" t="inlineStr">
        <is>
          <t>Fiber + Mobile</t>
        </is>
      </c>
      <c r="N611" s="5" t="b">
        <v>1</v>
      </c>
      <c r="O611" s="5" t="b">
        <v>1</v>
      </c>
      <c r="P611" s="5" t="b">
        <v>0</v>
      </c>
      <c r="Q611" s="5" t="b">
        <v>0</v>
      </c>
      <c r="R611" s="7" t="n">
        <v>700</v>
      </c>
      <c r="S611" s="7" t="n">
        <v>70</v>
      </c>
      <c r="T611" s="7" t="n">
        <v>1</v>
      </c>
      <c r="U611" s="5" t="inlineStr"/>
      <c r="V611" s="5" t="inlineStr"/>
      <c r="W611" s="5" t="inlineStr">
        <is>
          <t>Vivo Travel Américas; Exitlag e ponto cabeado incluso</t>
        </is>
      </c>
      <c r="X611" s="5" t="inlineStr">
        <is>
          <t>700 Mega de Vivo Fibra</t>
        </is>
      </c>
      <c r="Y611" s="5" t="inlineStr">
        <is>
          <t>https://vivo.com.br/para-voce/produtos-e-servicos/combos/vivo-total</t>
        </is>
      </c>
      <c r="Z611" s="5" t="inlineStr">
        <is>
          <t>data/raw/vivo_convergent_total_SP.html</t>
        </is>
      </c>
    </row>
    <row r="612">
      <c r="A612" s="2" t="inlineStr">
        <is>
          <t>2026-08-28</t>
        </is>
      </c>
      <c r="B612" s="2" t="inlineStr">
        <is>
          <t>2026-08-28T02:04:32</t>
        </is>
      </c>
      <c r="C612" s="2" t="inlineStr">
        <is>
          <t>vivo</t>
        </is>
      </c>
      <c r="D612" s="2" t="inlineStr">
        <is>
          <t>SP</t>
        </is>
      </c>
      <c r="E612" s="2" t="inlineStr">
        <is>
          <t>Vivo Total Ultra + TV</t>
        </is>
      </c>
      <c r="F612" s="2" t="inlineStr">
        <is>
          <t>vivo:VIV202604031882-9-305-313-316-408-411-426-430-442</t>
        </is>
      </c>
      <c r="G612" s="3" t="n">
        <v>310</v>
      </c>
      <c r="H612" s="3" t="inlineStr"/>
      <c r="I612" s="2" t="inlineStr"/>
      <c r="J612" s="2" t="inlineStr"/>
      <c r="K612" s="2" t="inlineStr">
        <is>
          <t>instalação grátis mediante fidelização (não afeta a mensalidade)</t>
        </is>
      </c>
      <c r="L612" s="2" t="inlineStr">
        <is>
          <t>mobile+broadband+tv</t>
        </is>
      </c>
      <c r="M612" s="2" t="inlineStr">
        <is>
          <t>Fiber + Mobile + TV</t>
        </is>
      </c>
      <c r="N612" s="2" t="b">
        <v>1</v>
      </c>
      <c r="O612" s="2" t="b">
        <v>1</v>
      </c>
      <c r="P612" s="2" t="b">
        <v>1</v>
      </c>
      <c r="Q612" s="2" t="b">
        <v>0</v>
      </c>
      <c r="R612" s="4" t="n">
        <v>700</v>
      </c>
      <c r="S612" s="4" t="n">
        <v>70</v>
      </c>
      <c r="T612" s="4" t="n">
        <v>1</v>
      </c>
      <c r="U612" s="2" t="inlineStr">
        <is>
          <t>120 canais de Vivo TV Avançado + 1 ponto adicional</t>
        </is>
      </c>
      <c r="V612" s="2" t="inlineStr"/>
      <c r="W612" s="2" t="inlineStr">
        <is>
          <t>Vivo travel américas</t>
        </is>
      </c>
      <c r="X612" s="2" t="inlineStr">
        <is>
          <t>700 Mega de Vivo Fibra</t>
        </is>
      </c>
      <c r="Y612" s="2" t="inlineStr">
        <is>
          <t>https://vivo.com.br/para-voce/produtos-e-servicos/combos/vivo-total</t>
        </is>
      </c>
      <c r="Z612" s="2" t="inlineStr">
        <is>
          <t>data/raw/vivo_convergent_total_SP.html</t>
        </is>
      </c>
    </row>
    <row r="613">
      <c r="A613" s="5" t="inlineStr">
        <is>
          <t>2026-08-28</t>
        </is>
      </c>
      <c r="B613" s="5" t="inlineStr">
        <is>
          <t>2026-08-28T02:04:32</t>
        </is>
      </c>
      <c r="C613" s="5" t="inlineStr">
        <is>
          <t>vivo</t>
        </is>
      </c>
      <c r="D613" s="5" t="inlineStr">
        <is>
          <t>SP</t>
        </is>
      </c>
      <c r="E613" s="5" t="inlineStr">
        <is>
          <t>Vivo Total Ultra + TV online</t>
        </is>
      </c>
      <c r="F613" s="5" t="inlineStr">
        <is>
          <t>vivo:VIV202604032034-305-313-316-336-408-411-426-430-442</t>
        </is>
      </c>
      <c r="G613" s="6" t="n">
        <v>210</v>
      </c>
      <c r="H613" s="6" t="inlineStr"/>
      <c r="I613" s="5" t="inlineStr"/>
      <c r="J613" s="5" t="inlineStr"/>
      <c r="K613" s="5" t="inlineStr">
        <is>
          <t>instalação grátis mediante fidelização (não afeta a mensalidade)</t>
        </is>
      </c>
      <c r="L613" s="5" t="inlineStr">
        <is>
          <t>mobile+broadband+tv</t>
        </is>
      </c>
      <c r="M613" s="5" t="inlineStr">
        <is>
          <t>Fiber + Mobile + TV</t>
        </is>
      </c>
      <c r="N613" s="5" t="b">
        <v>1</v>
      </c>
      <c r="O613" s="5" t="b">
        <v>1</v>
      </c>
      <c r="P613" s="5" t="b">
        <v>1</v>
      </c>
      <c r="Q613" s="5" t="b">
        <v>0</v>
      </c>
      <c r="R613" s="7" t="n">
        <v>700</v>
      </c>
      <c r="S613" s="7" t="n">
        <v>70</v>
      </c>
      <c r="T613" s="7" t="n">
        <v>1</v>
      </c>
      <c r="U613" s="5" t="inlineStr">
        <is>
          <t>80 canais de Vivo Estendido</t>
        </is>
      </c>
      <c r="V613" s="5" t="inlineStr"/>
      <c r="W613" s="5" t="inlineStr">
        <is>
          <t>Vivo travel américas</t>
        </is>
      </c>
      <c r="X613" s="5" t="inlineStr">
        <is>
          <t>700 Mega de Vivo Fibra</t>
        </is>
      </c>
      <c r="Y613" s="5" t="inlineStr">
        <is>
          <t>https://vivo.com.br/para-voce/produtos-e-servicos/combos/vivo-total</t>
        </is>
      </c>
      <c r="Z613" s="5" t="inlineStr">
        <is>
          <t>data/raw/vivo_convergent_total_SP.html</t>
        </is>
      </c>
    </row>
    <row r="614">
      <c r="A614" s="2" t="inlineStr">
        <is>
          <t>2026-08-28</t>
        </is>
      </c>
      <c r="B614" s="2" t="inlineStr">
        <is>
          <t>2026-08-28T02:04:32</t>
        </is>
      </c>
      <c r="C614" s="2" t="inlineStr">
        <is>
          <t>vivo</t>
        </is>
      </c>
      <c r="D614" s="2" t="inlineStr">
        <is>
          <t>SP</t>
        </is>
      </c>
      <c r="E614" s="2" t="inlineStr">
        <is>
          <t>Vivo Total V 1 Giga</t>
        </is>
      </c>
      <c r="F614" s="2" t="inlineStr">
        <is>
          <t>vivo:VIV202604032532-2-305-316-408-426-430-442</t>
        </is>
      </c>
      <c r="G614" s="3" t="n">
        <v>1200</v>
      </c>
      <c r="H614" s="3" t="inlineStr"/>
      <c r="I614" s="2" t="inlineStr"/>
      <c r="J614" s="2" t="inlineStr"/>
      <c r="K614" s="2" t="inlineStr">
        <is>
          <t>instalação grátis mediante fidelização (não afeta a mensalidade)</t>
        </is>
      </c>
      <c r="L614" s="2" t="inlineStr">
        <is>
          <t>mobile+broadband+tv</t>
        </is>
      </c>
      <c r="M614" s="2" t="inlineStr">
        <is>
          <t>Fiber + Mobile + TV</t>
        </is>
      </c>
      <c r="N614" s="2" t="b">
        <v>1</v>
      </c>
      <c r="O614" s="2" t="b">
        <v>1</v>
      </c>
      <c r="P614" s="2" t="b">
        <v>1</v>
      </c>
      <c r="Q614" s="2" t="b">
        <v>0</v>
      </c>
      <c r="R614" s="4" t="n">
        <v>1000</v>
      </c>
      <c r="S614" s="4" t="n">
        <v>600</v>
      </c>
      <c r="T614" s="4" t="n">
        <v>11</v>
      </c>
      <c r="U614" s="2" t="inlineStr">
        <is>
          <t>Vivo TV Completo com HBO Max e Telecine</t>
        </is>
      </c>
      <c r="V614" s="2" t="inlineStr"/>
      <c r="W614" s="2" t="inlineStr">
        <is>
          <t>Vivo Travel Mundo; 10 linhas adicionais inclusas; Vivo TV Completo com HBO Max e Telecine</t>
        </is>
      </c>
      <c r="X614" s="2" t="inlineStr">
        <is>
          <t>1Giga de Vivo Fibra</t>
        </is>
      </c>
      <c r="Y614" s="2" t="inlineStr">
        <is>
          <t>https://vivo.com.br/para-voce/produtos-e-servicos/combos/vivo-total</t>
        </is>
      </c>
      <c r="Z614" s="2" t="inlineStr">
        <is>
          <t>data/raw/vivo_convergent_total_SP.html</t>
        </is>
      </c>
    </row>
    <row r="615">
      <c r="A615" s="5" t="inlineStr">
        <is>
          <t>2026-08-29</t>
        </is>
      </c>
      <c r="B615" s="5" t="inlineStr">
        <is>
          <t>2026-08-29T00:03:20</t>
        </is>
      </c>
      <c r="C615" s="5" t="inlineStr">
        <is>
          <t>claro</t>
        </is>
      </c>
      <c r="D615" s="5" t="inlineStr">
        <is>
          <t>SP</t>
        </is>
      </c>
      <c r="E615" s="5" t="inlineStr">
        <is>
          <t>1 Giga com Globoplay incluso + Claro tv+ Box + Disney+ Amazon Prime + Netflix + HBO Max + Apple TV + Globoplay</t>
        </is>
      </c>
      <c r="F615" s="5" t="inlineStr">
        <is>
          <t>claro:af8152be-4aa7-4aa8-819a-a79687a3a9a0</t>
        </is>
      </c>
      <c r="G615" s="6" t="n">
        <v>319.8</v>
      </c>
      <c r="H615" s="6" t="inlineStr"/>
      <c r="I615" s="5" t="inlineStr"/>
      <c r="J615" s="5" t="inlineStr"/>
      <c r="K615" s="5" t="inlineStr">
        <is>
          <t>tab: Fibra + TV</t>
        </is>
      </c>
      <c r="L615" s="5" t="inlineStr">
        <is>
          <t>broadband+tv</t>
        </is>
      </c>
      <c r="M615" s="5" t="inlineStr">
        <is>
          <t>Fiber + TV</t>
        </is>
      </c>
      <c r="N615" s="5" t="b">
        <v>0</v>
      </c>
      <c r="O615" s="5" t="b">
        <v>1</v>
      </c>
      <c r="P615" s="5" t="b">
        <v>1</v>
      </c>
      <c r="Q615" s="5" t="b">
        <v>0</v>
      </c>
      <c r="R615" s="7" t="n">
        <v>1000</v>
      </c>
      <c r="S615" s="7" t="inlineStr"/>
      <c r="T615" s="7" t="inlineStr"/>
      <c r="U615" s="5" t="inlineStr">
        <is>
          <t>Claro tv+ Box + Disney+ Amazon Prime + Netflix + HBO Max + Apple TV + Globoplay</t>
        </is>
      </c>
      <c r="V615" s="5" t="inlineStr"/>
      <c r="W615" s="5" t="inlineStr"/>
      <c r="X615" s="5" t="inlineStr"/>
      <c r="Y615" s="5" t="inlineStr">
        <is>
          <t>https://www.claro.com.br/multi</t>
        </is>
      </c>
      <c r="Z615" s="5" t="inlineStr">
        <is>
          <t>data/raw/claro_convergent_multi_SP.html</t>
        </is>
      </c>
    </row>
    <row r="616">
      <c r="A616" s="2" t="inlineStr">
        <is>
          <t>2026-08-29</t>
        </is>
      </c>
      <c r="B616" s="2" t="inlineStr">
        <is>
          <t>2026-08-29T00:03:20</t>
        </is>
      </c>
      <c r="C616" s="2" t="inlineStr">
        <is>
          <t>claro</t>
        </is>
      </c>
      <c r="D616" s="2" t="inlineStr">
        <is>
          <t>SP</t>
        </is>
      </c>
      <c r="E616" s="2" t="inlineStr">
        <is>
          <t>1 Giga com Globoplay incluso + Claro tv+ Soundbox + Disney+ Amazon Prime + Netflix + HBO Max + Apple TV + Globoplay</t>
        </is>
      </c>
      <c r="F616" s="2" t="inlineStr">
        <is>
          <t>claro:ceb9fd87-0897-4dd2-a2f2-e7f09e714e49</t>
        </is>
      </c>
      <c r="G616" s="3" t="n">
        <v>429.8</v>
      </c>
      <c r="H616" s="3" t="inlineStr"/>
      <c r="I616" s="2" t="inlineStr"/>
      <c r="J616" s="2" t="inlineStr"/>
      <c r="K616" s="2" t="inlineStr">
        <is>
          <t>tab: Fibra + TV</t>
        </is>
      </c>
      <c r="L616" s="2" t="inlineStr">
        <is>
          <t>broadband+tv</t>
        </is>
      </c>
      <c r="M616" s="2" t="inlineStr">
        <is>
          <t>Fiber + TV</t>
        </is>
      </c>
      <c r="N616" s="2" t="b">
        <v>0</v>
      </c>
      <c r="O616" s="2" t="b">
        <v>1</v>
      </c>
      <c r="P616" s="2" t="b">
        <v>1</v>
      </c>
      <c r="Q616" s="2" t="b">
        <v>0</v>
      </c>
      <c r="R616" s="4" t="n">
        <v>1000</v>
      </c>
      <c r="S616" s="4" t="inlineStr"/>
      <c r="T616" s="4" t="inlineStr"/>
      <c r="U616" s="2" t="inlineStr">
        <is>
          <t>Claro tv+ Soundbox + Disney+ Amazon Prime + Netflix + HBO Max + Apple TV + Globoplay</t>
        </is>
      </c>
      <c r="V616" s="2" t="inlineStr"/>
      <c r="W616" s="2" t="inlineStr"/>
      <c r="X616" s="2" t="inlineStr"/>
      <c r="Y616" s="2" t="inlineStr">
        <is>
          <t>https://www.claro.com.br/multi</t>
        </is>
      </c>
      <c r="Z616" s="2" t="inlineStr">
        <is>
          <t>data/raw/claro_convergent_multi_SP.html</t>
        </is>
      </c>
    </row>
    <row r="617">
      <c r="A617" s="5" t="inlineStr">
        <is>
          <t>2026-08-29</t>
        </is>
      </c>
      <c r="B617" s="5" t="inlineStr">
        <is>
          <t>2026-08-29T00:03:20</t>
        </is>
      </c>
      <c r="C617" s="5" t="inlineStr">
        <is>
          <t>claro</t>
        </is>
      </c>
      <c r="D617" s="5" t="inlineStr">
        <is>
          <t>SP</t>
        </is>
      </c>
      <c r="E617" s="5" t="inlineStr">
        <is>
          <t>1 Giga com Globoplay incluso + Pós 100GB</t>
        </is>
      </c>
      <c r="F617" s="5" t="inlineStr">
        <is>
          <t>claro:a1de0ac1-61bb-4e97-a744-1ae4c3541673</t>
        </is>
      </c>
      <c r="G617" s="6" t="n">
        <v>179.9</v>
      </c>
      <c r="H617" s="6" t="inlineStr"/>
      <c r="I617" s="5" t="inlineStr"/>
      <c r="J617" s="5" t="inlineStr"/>
      <c r="K617" s="5" t="inlineStr">
        <is>
          <t>tab: Fibra + Móvel</t>
        </is>
      </c>
      <c r="L617" s="5" t="inlineStr">
        <is>
          <t>mobile+broadband</t>
        </is>
      </c>
      <c r="M617" s="5" t="inlineStr">
        <is>
          <t>Fiber + Mobile</t>
        </is>
      </c>
      <c r="N617" s="5" t="b">
        <v>1</v>
      </c>
      <c r="O617" s="5" t="b">
        <v>1</v>
      </c>
      <c r="P617" s="5" t="b">
        <v>0</v>
      </c>
      <c r="Q617" s="5" t="b">
        <v>0</v>
      </c>
      <c r="R617" s="7" t="n">
        <v>1000</v>
      </c>
      <c r="S617" s="7" t="n">
        <v>100</v>
      </c>
      <c r="T617" s="7" t="n">
        <v>1</v>
      </c>
      <c r="U617" s="5" t="inlineStr"/>
      <c r="V617" s="5" t="inlineStr"/>
      <c r="W617" s="5" t="inlineStr"/>
      <c r="X617" s="5" t="inlineStr">
        <is>
          <t>Pós 100GB</t>
        </is>
      </c>
      <c r="Y617" s="5" t="inlineStr">
        <is>
          <t>https://www.claro.com.br/multi</t>
        </is>
      </c>
      <c r="Z617" s="5" t="inlineStr">
        <is>
          <t>data/raw/claro_convergent_multi_SP.html</t>
        </is>
      </c>
    </row>
    <row r="618">
      <c r="A618" s="2" t="inlineStr">
        <is>
          <t>2026-08-29</t>
        </is>
      </c>
      <c r="B618" s="2" t="inlineStr">
        <is>
          <t>2026-08-29T00:03:20</t>
        </is>
      </c>
      <c r="C618" s="2" t="inlineStr">
        <is>
          <t>claro</t>
        </is>
      </c>
      <c r="D618" s="2" t="inlineStr">
        <is>
          <t>SP</t>
        </is>
      </c>
      <c r="E618" s="2" t="inlineStr">
        <is>
          <t>1 Giga com Globoplay incluso + Pós 100GB + Claro tv+ Box + Disney+ Amazon Prime + Netflix + HBO Max + Apple TV + Globoplay</t>
        </is>
      </c>
      <c r="F618" s="2" t="inlineStr">
        <is>
          <t>claro:548c4bad-7857-4c0c-94d5-45d33d66c57f</t>
        </is>
      </c>
      <c r="G618" s="3" t="n">
        <v>289.8</v>
      </c>
      <c r="H618" s="3" t="inlineStr"/>
      <c r="I618" s="2" t="inlineStr"/>
      <c r="J618" s="2" t="inlineStr"/>
      <c r="K618" s="2" t="inlineStr">
        <is>
          <t>tab: Fibra + Móvel + TV</t>
        </is>
      </c>
      <c r="L618" s="2" t="inlineStr">
        <is>
          <t>mobile+broadband+tv</t>
        </is>
      </c>
      <c r="M618" s="2" t="inlineStr">
        <is>
          <t>Fiber + Mobile + TV</t>
        </is>
      </c>
      <c r="N618" s="2" t="b">
        <v>1</v>
      </c>
      <c r="O618" s="2" t="b">
        <v>1</v>
      </c>
      <c r="P618" s="2" t="b">
        <v>1</v>
      </c>
      <c r="Q618" s="2" t="b">
        <v>0</v>
      </c>
      <c r="R618" s="4" t="n">
        <v>1000</v>
      </c>
      <c r="S618" s="4" t="n">
        <v>100</v>
      </c>
      <c r="T618" s="4" t="n">
        <v>1</v>
      </c>
      <c r="U618" s="2" t="inlineStr">
        <is>
          <t>Claro tv+ Box + Disney+ Amazon Prime + Netflix + HBO Max + Apple TV + Globoplay</t>
        </is>
      </c>
      <c r="V618" s="2" t="inlineStr"/>
      <c r="W618" s="2" t="inlineStr"/>
      <c r="X618" s="2" t="inlineStr">
        <is>
          <t>Pós 100GB</t>
        </is>
      </c>
      <c r="Y618" s="2" t="inlineStr">
        <is>
          <t>https://www.claro.com.br/multi</t>
        </is>
      </c>
      <c r="Z618" s="2" t="inlineStr">
        <is>
          <t>data/raw/claro_convergent_multi_SP.html</t>
        </is>
      </c>
    </row>
    <row r="619">
      <c r="A619" s="5" t="inlineStr">
        <is>
          <t>2026-08-29</t>
        </is>
      </c>
      <c r="B619" s="5" t="inlineStr">
        <is>
          <t>2026-08-29T00:03:20</t>
        </is>
      </c>
      <c r="C619" s="5" t="inlineStr">
        <is>
          <t>claro</t>
        </is>
      </c>
      <c r="D619" s="5" t="inlineStr">
        <is>
          <t>SP</t>
        </is>
      </c>
      <c r="E619" s="5" t="inlineStr">
        <is>
          <t>1 Giga com Globoplay incluso + Pós 150GB</t>
        </is>
      </c>
      <c r="F619" s="5" t="inlineStr">
        <is>
          <t>claro:d47e2a3b-dfd0-410e-9c24-d07a334d01d4</t>
        </is>
      </c>
      <c r="G619" s="6" t="n">
        <v>299.9</v>
      </c>
      <c r="H619" s="6" t="inlineStr"/>
      <c r="I619" s="5" t="inlineStr"/>
      <c r="J619" s="5" t="inlineStr"/>
      <c r="K619" s="5" t="inlineStr">
        <is>
          <t>tab: Fibra + Móvel</t>
        </is>
      </c>
      <c r="L619" s="5" t="inlineStr">
        <is>
          <t>mobile+broadband</t>
        </is>
      </c>
      <c r="M619" s="5" t="inlineStr">
        <is>
          <t>Fiber + Mobile</t>
        </is>
      </c>
      <c r="N619" s="5" t="b">
        <v>1</v>
      </c>
      <c r="O619" s="5" t="b">
        <v>1</v>
      </c>
      <c r="P619" s="5" t="b">
        <v>0</v>
      </c>
      <c r="Q619" s="5" t="b">
        <v>0</v>
      </c>
      <c r="R619" s="7" t="n">
        <v>1000</v>
      </c>
      <c r="S619" s="7" t="n">
        <v>150</v>
      </c>
      <c r="T619" s="7" t="n">
        <v>2</v>
      </c>
      <c r="U619" s="5" t="inlineStr"/>
      <c r="V619" s="5" t="inlineStr"/>
      <c r="W619" s="5" t="inlineStr"/>
      <c r="X619" s="5" t="inlineStr">
        <is>
          <t>Pós 150GB</t>
        </is>
      </c>
      <c r="Y619" s="5" t="inlineStr">
        <is>
          <t>https://www.claro.com.br/multi</t>
        </is>
      </c>
      <c r="Z619" s="5" t="inlineStr">
        <is>
          <t>data/raw/claro_convergent_multi_SP.html</t>
        </is>
      </c>
    </row>
    <row r="620">
      <c r="A620" s="2" t="inlineStr">
        <is>
          <t>2026-08-29</t>
        </is>
      </c>
      <c r="B620" s="2" t="inlineStr">
        <is>
          <t>2026-08-29T00:03:20</t>
        </is>
      </c>
      <c r="C620" s="2" t="inlineStr">
        <is>
          <t>claro</t>
        </is>
      </c>
      <c r="D620" s="2" t="inlineStr">
        <is>
          <t>SP</t>
        </is>
      </c>
      <c r="E620" s="2" t="inlineStr">
        <is>
          <t>1 Giga com Globoplay incluso + Pós 150GB + Claro tv+ Box + Disney+ Amazon Prime + Netflix + HBO Max + Apple TV + Globoplay</t>
        </is>
      </c>
      <c r="F620" s="2" t="inlineStr">
        <is>
          <t>claro:7785b449-69f2-4234-9e24-8837e32a55c0</t>
        </is>
      </c>
      <c r="G620" s="3" t="n">
        <v>409.8</v>
      </c>
      <c r="H620" s="3" t="inlineStr"/>
      <c r="I620" s="2" t="inlineStr"/>
      <c r="J620" s="2" t="inlineStr"/>
      <c r="K620" s="2" t="inlineStr">
        <is>
          <t>tab: Fibra + Móvel + TV</t>
        </is>
      </c>
      <c r="L620" s="2" t="inlineStr">
        <is>
          <t>mobile+broadband+tv</t>
        </is>
      </c>
      <c r="M620" s="2" t="inlineStr">
        <is>
          <t>Fiber + Mobile + TV</t>
        </is>
      </c>
      <c r="N620" s="2" t="b">
        <v>1</v>
      </c>
      <c r="O620" s="2" t="b">
        <v>1</v>
      </c>
      <c r="P620" s="2" t="b">
        <v>1</v>
      </c>
      <c r="Q620" s="2" t="b">
        <v>0</v>
      </c>
      <c r="R620" s="4" t="n">
        <v>1000</v>
      </c>
      <c r="S620" s="4" t="n">
        <v>150</v>
      </c>
      <c r="T620" s="4" t="n">
        <v>1</v>
      </c>
      <c r="U620" s="2" t="inlineStr">
        <is>
          <t>Claro tv+ Box + Disney+ Amazon Prime + Netflix + HBO Max + Apple TV + Globoplay</t>
        </is>
      </c>
      <c r="V620" s="2" t="inlineStr"/>
      <c r="W620" s="2" t="inlineStr"/>
      <c r="X620" s="2" t="inlineStr">
        <is>
          <t>Pós 150GB</t>
        </is>
      </c>
      <c r="Y620" s="2" t="inlineStr">
        <is>
          <t>https://www.claro.com.br/multi</t>
        </is>
      </c>
      <c r="Z620" s="2" t="inlineStr">
        <is>
          <t>data/raw/claro_convergent_multi_SP.html</t>
        </is>
      </c>
    </row>
    <row r="621">
      <c r="A621" s="5" t="inlineStr">
        <is>
          <t>2026-08-29</t>
        </is>
      </c>
      <c r="B621" s="5" t="inlineStr">
        <is>
          <t>2026-08-29T00:03:20</t>
        </is>
      </c>
      <c r="C621" s="5" t="inlineStr">
        <is>
          <t>claro</t>
        </is>
      </c>
      <c r="D621" s="5" t="inlineStr">
        <is>
          <t>SP</t>
        </is>
      </c>
      <c r="E621" s="5" t="inlineStr">
        <is>
          <t>1 Giga com Globoplay incluso + Pós 200GB</t>
        </is>
      </c>
      <c r="F621" s="5" t="inlineStr">
        <is>
          <t>claro:1961a62d-3213-4ff0-a152-401a45c5b1b5</t>
        </is>
      </c>
      <c r="G621" s="6" t="n">
        <v>359.9</v>
      </c>
      <c r="H621" s="6" t="inlineStr"/>
      <c r="I621" s="5" t="inlineStr"/>
      <c r="J621" s="5" t="inlineStr"/>
      <c r="K621" s="5" t="inlineStr">
        <is>
          <t>tab: Fibra + Móvel</t>
        </is>
      </c>
      <c r="L621" s="5" t="inlineStr">
        <is>
          <t>mobile+broadband</t>
        </is>
      </c>
      <c r="M621" s="5" t="inlineStr">
        <is>
          <t>Fiber + Mobile</t>
        </is>
      </c>
      <c r="N621" s="5" t="b">
        <v>1</v>
      </c>
      <c r="O621" s="5" t="b">
        <v>1</v>
      </c>
      <c r="P621" s="5" t="b">
        <v>0</v>
      </c>
      <c r="Q621" s="5" t="b">
        <v>0</v>
      </c>
      <c r="R621" s="7" t="n">
        <v>1000</v>
      </c>
      <c r="S621" s="7" t="n">
        <v>200</v>
      </c>
      <c r="T621" s="7" t="n">
        <v>3</v>
      </c>
      <c r="U621" s="5" t="inlineStr"/>
      <c r="V621" s="5" t="inlineStr"/>
      <c r="W621" s="5" t="inlineStr"/>
      <c r="X621" s="5" t="inlineStr">
        <is>
          <t>Pós 200GB</t>
        </is>
      </c>
      <c r="Y621" s="5" t="inlineStr">
        <is>
          <t>https://www.claro.com.br/multi</t>
        </is>
      </c>
      <c r="Z621" s="5" t="inlineStr">
        <is>
          <t>data/raw/claro_convergent_multi_SP.html</t>
        </is>
      </c>
    </row>
    <row r="622">
      <c r="A622" s="2" t="inlineStr">
        <is>
          <t>2026-08-29</t>
        </is>
      </c>
      <c r="B622" s="2" t="inlineStr">
        <is>
          <t>2026-08-29T00:03:20</t>
        </is>
      </c>
      <c r="C622" s="2" t="inlineStr">
        <is>
          <t>claro</t>
        </is>
      </c>
      <c r="D622" s="2" t="inlineStr">
        <is>
          <t>SP</t>
        </is>
      </c>
      <c r="E622" s="2" t="inlineStr">
        <is>
          <t>1 Giga com Globoplay incluso + Pós 200GB + Claro tv+ Box + Disney+ Amazon Prime + Netflix + HBO Max + Apple TV + Globoplay</t>
        </is>
      </c>
      <c r="F622" s="2" t="inlineStr">
        <is>
          <t>claro:312815a2-b3a5-43bb-89a1-272d53ccb212</t>
        </is>
      </c>
      <c r="G622" s="3" t="n">
        <v>469.8</v>
      </c>
      <c r="H622" s="3" t="inlineStr"/>
      <c r="I622" s="2" t="inlineStr"/>
      <c r="J622" s="2" t="inlineStr"/>
      <c r="K622" s="2" t="inlineStr">
        <is>
          <t>tab: Fibra + Móvel + TV</t>
        </is>
      </c>
      <c r="L622" s="2" t="inlineStr">
        <is>
          <t>mobile+broadband+tv</t>
        </is>
      </c>
      <c r="M622" s="2" t="inlineStr">
        <is>
          <t>Fiber + Mobile + TV</t>
        </is>
      </c>
      <c r="N622" s="2" t="b">
        <v>1</v>
      </c>
      <c r="O622" s="2" t="b">
        <v>1</v>
      </c>
      <c r="P622" s="2" t="b">
        <v>1</v>
      </c>
      <c r="Q622" s="2" t="b">
        <v>0</v>
      </c>
      <c r="R622" s="4" t="n">
        <v>1000</v>
      </c>
      <c r="S622" s="4" t="n">
        <v>200</v>
      </c>
      <c r="T622" s="4" t="n">
        <v>1</v>
      </c>
      <c r="U622" s="2" t="inlineStr">
        <is>
          <t>Claro tv+ Box + Disney+ Amazon Prime + Netflix + HBO Max + Apple TV + Globoplay</t>
        </is>
      </c>
      <c r="V622" s="2" t="inlineStr"/>
      <c r="W622" s="2" t="inlineStr"/>
      <c r="X622" s="2" t="inlineStr">
        <is>
          <t>Pós 200GB</t>
        </is>
      </c>
      <c r="Y622" s="2" t="inlineStr">
        <is>
          <t>https://www.claro.com.br/multi</t>
        </is>
      </c>
      <c r="Z622" s="2" t="inlineStr">
        <is>
          <t>data/raw/claro_convergent_multi_SP.html</t>
        </is>
      </c>
    </row>
    <row r="623">
      <c r="A623" s="5" t="inlineStr">
        <is>
          <t>2026-08-29</t>
        </is>
      </c>
      <c r="B623" s="5" t="inlineStr">
        <is>
          <t>2026-08-29T00:03:20</t>
        </is>
      </c>
      <c r="C623" s="5" t="inlineStr">
        <is>
          <t>claro</t>
        </is>
      </c>
      <c r="D623" s="5" t="inlineStr">
        <is>
          <t>SP</t>
        </is>
      </c>
      <c r="E623" s="5" t="inlineStr">
        <is>
          <t>350 Mega com Globoplay incluso + Claro tv+ Box + Disney+ Amazon Prime + Netflix + HBO Max + Apple TV + Globoplay</t>
        </is>
      </c>
      <c r="F623" s="5" t="inlineStr">
        <is>
          <t>claro:97b00450-6f21-4349-8363-83d624b18328</t>
        </is>
      </c>
      <c r="G623" s="6" t="n">
        <v>229.8</v>
      </c>
      <c r="H623" s="6" t="inlineStr"/>
      <c r="I623" s="5" t="inlineStr"/>
      <c r="J623" s="5" t="inlineStr"/>
      <c r="K623" s="5" t="inlineStr">
        <is>
          <t>tab: Fibra + TV</t>
        </is>
      </c>
      <c r="L623" s="5" t="inlineStr">
        <is>
          <t>broadband+tv</t>
        </is>
      </c>
      <c r="M623" s="5" t="inlineStr">
        <is>
          <t>Fiber + TV</t>
        </is>
      </c>
      <c r="N623" s="5" t="b">
        <v>0</v>
      </c>
      <c r="O623" s="5" t="b">
        <v>1</v>
      </c>
      <c r="P623" s="5" t="b">
        <v>1</v>
      </c>
      <c r="Q623" s="5" t="b">
        <v>0</v>
      </c>
      <c r="R623" s="7" t="n">
        <v>350</v>
      </c>
      <c r="S623" s="7" t="inlineStr"/>
      <c r="T623" s="7" t="inlineStr"/>
      <c r="U623" s="5" t="inlineStr">
        <is>
          <t>Claro tv+ Box + Disney+ Amazon Prime + Netflix + HBO Max + Apple TV + Globoplay</t>
        </is>
      </c>
      <c r="V623" s="5" t="inlineStr"/>
      <c r="W623" s="5" t="inlineStr"/>
      <c r="X623" s="5" t="inlineStr"/>
      <c r="Y623" s="5" t="inlineStr">
        <is>
          <t>https://www.claro.com.br/multi</t>
        </is>
      </c>
      <c r="Z623" s="5" t="inlineStr">
        <is>
          <t>data/raw/claro_convergent_multi_SP.html</t>
        </is>
      </c>
    </row>
    <row r="624">
      <c r="A624" s="2" t="inlineStr">
        <is>
          <t>2026-08-29</t>
        </is>
      </c>
      <c r="B624" s="2" t="inlineStr">
        <is>
          <t>2026-08-29T00:03:20</t>
        </is>
      </c>
      <c r="C624" s="2" t="inlineStr">
        <is>
          <t>claro</t>
        </is>
      </c>
      <c r="D624" s="2" t="inlineStr">
        <is>
          <t>SP</t>
        </is>
      </c>
      <c r="E624" s="2" t="inlineStr">
        <is>
          <t>350 Mega com Globoplay incluso + Controle 40GB</t>
        </is>
      </c>
      <c r="F624" s="2" t="inlineStr">
        <is>
          <t>claro:a866ea9a-6a70-4b6e-b886-f8178086ca91</t>
        </is>
      </c>
      <c r="G624" s="3" t="n">
        <v>129.8</v>
      </c>
      <c r="H624" s="3" t="inlineStr"/>
      <c r="I624" s="2" t="inlineStr"/>
      <c r="J624" s="2" t="inlineStr">
        <is>
          <t>debit_auto</t>
        </is>
      </c>
      <c r="K624" s="2" t="inlineStr">
        <is>
          <t>tab: Fibra + Móvel; preço em débito em conta; +R$ 5.00 sem débito automático</t>
        </is>
      </c>
      <c r="L624" s="2" t="inlineStr">
        <is>
          <t>mobile+broadband</t>
        </is>
      </c>
      <c r="M624" s="2" t="inlineStr">
        <is>
          <t>Fiber + Mobile</t>
        </is>
      </c>
      <c r="N624" s="2" t="b">
        <v>1</v>
      </c>
      <c r="O624" s="2" t="b">
        <v>1</v>
      </c>
      <c r="P624" s="2" t="b">
        <v>0</v>
      </c>
      <c r="Q624" s="2" t="b">
        <v>0</v>
      </c>
      <c r="R624" s="4" t="n">
        <v>350</v>
      </c>
      <c r="S624" s="4" t="n">
        <v>40</v>
      </c>
      <c r="T624" s="4" t="n">
        <v>1</v>
      </c>
      <c r="U624" s="2" t="inlineStr"/>
      <c r="V624" s="2" t="inlineStr"/>
      <c r="W624" s="2" t="inlineStr"/>
      <c r="X624" s="2" t="inlineStr">
        <is>
          <t>Controle 40GB</t>
        </is>
      </c>
      <c r="Y624" s="2" t="inlineStr">
        <is>
          <t>https://www.claro.com.br/multi</t>
        </is>
      </c>
      <c r="Z624" s="2" t="inlineStr">
        <is>
          <t>data/raw/claro_convergent_multi_SP.html</t>
        </is>
      </c>
    </row>
    <row r="625">
      <c r="A625" s="5" t="inlineStr">
        <is>
          <t>2026-08-29</t>
        </is>
      </c>
      <c r="B625" s="5" t="inlineStr">
        <is>
          <t>2026-08-29T00:03:20</t>
        </is>
      </c>
      <c r="C625" s="5" t="inlineStr">
        <is>
          <t>claro</t>
        </is>
      </c>
      <c r="D625" s="5" t="inlineStr">
        <is>
          <t>SP</t>
        </is>
      </c>
      <c r="E625" s="5" t="inlineStr">
        <is>
          <t>350 Mega com Globoplay incluso + Pós 100GB + Claro tv+ Box + Disney+ Amazon Prime + Netflix + HBO Max + Apple TV + Globoplay</t>
        </is>
      </c>
      <c r="F625" s="5" t="inlineStr">
        <is>
          <t>claro:746fa9cf-ea2b-40de-ad2c-5803b3e0ab08</t>
        </is>
      </c>
      <c r="G625" s="6" t="n">
        <v>249.8</v>
      </c>
      <c r="H625" s="6" t="inlineStr"/>
      <c r="I625" s="5" t="inlineStr"/>
      <c r="J625" s="5" t="inlineStr"/>
      <c r="K625" s="5" t="inlineStr">
        <is>
          <t>tab: Fibra + Móvel + TV</t>
        </is>
      </c>
      <c r="L625" s="5" t="inlineStr">
        <is>
          <t>mobile+broadband+tv</t>
        </is>
      </c>
      <c r="M625" s="5" t="inlineStr">
        <is>
          <t>Fiber + Mobile + TV</t>
        </is>
      </c>
      <c r="N625" s="5" t="b">
        <v>1</v>
      </c>
      <c r="O625" s="5" t="b">
        <v>1</v>
      </c>
      <c r="P625" s="5" t="b">
        <v>1</v>
      </c>
      <c r="Q625" s="5" t="b">
        <v>0</v>
      </c>
      <c r="R625" s="7" t="n">
        <v>350</v>
      </c>
      <c r="S625" s="7" t="n">
        <v>100</v>
      </c>
      <c r="T625" s="7" t="n">
        <v>1</v>
      </c>
      <c r="U625" s="5" t="inlineStr">
        <is>
          <t>Claro tv+ Box + Disney+ Amazon Prime + Netflix + HBO Max + Apple TV + Globoplay</t>
        </is>
      </c>
      <c r="V625" s="5" t="inlineStr"/>
      <c r="W625" s="5" t="inlineStr"/>
      <c r="X625" s="5" t="inlineStr">
        <is>
          <t>Pós 100GB</t>
        </is>
      </c>
      <c r="Y625" s="5" t="inlineStr">
        <is>
          <t>https://www.claro.com.br/multi</t>
        </is>
      </c>
      <c r="Z625" s="5" t="inlineStr">
        <is>
          <t>data/raw/claro_convergent_multi_SP.html</t>
        </is>
      </c>
    </row>
    <row r="626">
      <c r="A626" s="2" t="inlineStr">
        <is>
          <t>2026-08-29</t>
        </is>
      </c>
      <c r="B626" s="2" t="inlineStr">
        <is>
          <t>2026-08-29T00:03:20</t>
        </is>
      </c>
      <c r="C626" s="2" t="inlineStr">
        <is>
          <t>claro</t>
        </is>
      </c>
      <c r="D626" s="2" t="inlineStr">
        <is>
          <t>SP</t>
        </is>
      </c>
      <c r="E626" s="2" t="inlineStr">
        <is>
          <t>600 Mega com Globoplay incluso + Claro tv+ Box + Disney+ Amazon Prime + Netflix + HBO Max + Apple TV + Globoplay</t>
        </is>
      </c>
      <c r="F626" s="2" t="inlineStr">
        <is>
          <t>claro:545261b1-2f4d-4dab-82a6-02d9e66c5d3d</t>
        </is>
      </c>
      <c r="G626" s="3" t="n">
        <v>239.8</v>
      </c>
      <c r="H626" s="3" t="inlineStr"/>
      <c r="I626" s="2" t="inlineStr"/>
      <c r="J626" s="2" t="inlineStr"/>
      <c r="K626" s="2" t="inlineStr">
        <is>
          <t>tab: Fibra + TV</t>
        </is>
      </c>
      <c r="L626" s="2" t="inlineStr">
        <is>
          <t>broadband+tv</t>
        </is>
      </c>
      <c r="M626" s="2" t="inlineStr">
        <is>
          <t>Fiber + TV</t>
        </is>
      </c>
      <c r="N626" s="2" t="b">
        <v>0</v>
      </c>
      <c r="O626" s="2" t="b">
        <v>1</v>
      </c>
      <c r="P626" s="2" t="b">
        <v>1</v>
      </c>
      <c r="Q626" s="2" t="b">
        <v>0</v>
      </c>
      <c r="R626" s="4" t="n">
        <v>600</v>
      </c>
      <c r="S626" s="4" t="inlineStr"/>
      <c r="T626" s="4" t="inlineStr"/>
      <c r="U626" s="2" t="inlineStr">
        <is>
          <t>Claro tv+ Box + Disney+ Amazon Prime + Netflix + HBO Max + Apple TV + Globoplay</t>
        </is>
      </c>
      <c r="V626" s="2" t="inlineStr"/>
      <c r="W626" s="2" t="inlineStr"/>
      <c r="X626" s="2" t="inlineStr"/>
      <c r="Y626" s="2" t="inlineStr">
        <is>
          <t>https://www.claro.com.br/multi</t>
        </is>
      </c>
      <c r="Z626" s="2" t="inlineStr">
        <is>
          <t>data/raw/claro_convergent_multi_SP.html</t>
        </is>
      </c>
    </row>
    <row r="627">
      <c r="A627" s="5" t="inlineStr">
        <is>
          <t>2026-08-29</t>
        </is>
      </c>
      <c r="B627" s="5" t="inlineStr">
        <is>
          <t>2026-08-29T00:03:20</t>
        </is>
      </c>
      <c r="C627" s="5" t="inlineStr">
        <is>
          <t>claro</t>
        </is>
      </c>
      <c r="D627" s="5" t="inlineStr">
        <is>
          <t>SP</t>
        </is>
      </c>
      <c r="E627" s="5" t="inlineStr">
        <is>
          <t>600 Mega com Globoplay incluso + Pós 100GB</t>
        </is>
      </c>
      <c r="F627" s="5" t="inlineStr">
        <is>
          <t>claro:350ac58a-533c-4858-83be-be3ea39c8874</t>
        </is>
      </c>
      <c r="G627" s="6" t="n">
        <v>159.9</v>
      </c>
      <c r="H627" s="6" t="inlineStr"/>
      <c r="I627" s="5" t="inlineStr"/>
      <c r="J627" s="5" t="inlineStr"/>
      <c r="K627" s="5" t="inlineStr">
        <is>
          <t>tab: Fibra + Móvel</t>
        </is>
      </c>
      <c r="L627" s="5" t="inlineStr">
        <is>
          <t>mobile+broadband</t>
        </is>
      </c>
      <c r="M627" s="5" t="inlineStr">
        <is>
          <t>Fiber + Mobile</t>
        </is>
      </c>
      <c r="N627" s="5" t="b">
        <v>1</v>
      </c>
      <c r="O627" s="5" t="b">
        <v>1</v>
      </c>
      <c r="P627" s="5" t="b">
        <v>0</v>
      </c>
      <c r="Q627" s="5" t="b">
        <v>0</v>
      </c>
      <c r="R627" s="7" t="n">
        <v>600</v>
      </c>
      <c r="S627" s="7" t="n">
        <v>100</v>
      </c>
      <c r="T627" s="7" t="n">
        <v>1</v>
      </c>
      <c r="U627" s="5" t="inlineStr"/>
      <c r="V627" s="5" t="inlineStr"/>
      <c r="W627" s="5" t="inlineStr"/>
      <c r="X627" s="5" t="inlineStr">
        <is>
          <t>Pós 100GB</t>
        </is>
      </c>
      <c r="Y627" s="5" t="inlineStr">
        <is>
          <t>https://www.claro.com.br/multi</t>
        </is>
      </c>
      <c r="Z627" s="5" t="inlineStr">
        <is>
          <t>data/raw/claro_convergent_multi_SP.html</t>
        </is>
      </c>
    </row>
    <row r="628">
      <c r="A628" s="2" t="inlineStr">
        <is>
          <t>2026-08-29</t>
        </is>
      </c>
      <c r="B628" s="2" t="inlineStr">
        <is>
          <t>2026-08-29T00:03:20</t>
        </is>
      </c>
      <c r="C628" s="2" t="inlineStr">
        <is>
          <t>claro</t>
        </is>
      </c>
      <c r="D628" s="2" t="inlineStr">
        <is>
          <t>SP</t>
        </is>
      </c>
      <c r="E628" s="2" t="inlineStr">
        <is>
          <t>600 Mega com Globoplay incluso + Pós 100GB + Claro tv+ Box + Disney+ Amazon Prime + Netflix + HBO Max + Apple TV + Globoplay</t>
        </is>
      </c>
      <c r="F628" s="2" t="inlineStr">
        <is>
          <t>claro:f36e7dfb-f7c9-4055-844f-7bc101699de8</t>
        </is>
      </c>
      <c r="G628" s="3" t="n">
        <v>269.8</v>
      </c>
      <c r="H628" s="3" t="inlineStr"/>
      <c r="I628" s="2" t="inlineStr"/>
      <c r="J628" s="2" t="inlineStr"/>
      <c r="K628" s="2" t="inlineStr">
        <is>
          <t>tab: Fibra + Móvel + TV</t>
        </is>
      </c>
      <c r="L628" s="2" t="inlineStr">
        <is>
          <t>mobile+broadband+tv</t>
        </is>
      </c>
      <c r="M628" s="2" t="inlineStr">
        <is>
          <t>Fiber + Mobile + TV</t>
        </is>
      </c>
      <c r="N628" s="2" t="b">
        <v>1</v>
      </c>
      <c r="O628" s="2" t="b">
        <v>1</v>
      </c>
      <c r="P628" s="2" t="b">
        <v>1</v>
      </c>
      <c r="Q628" s="2" t="b">
        <v>0</v>
      </c>
      <c r="R628" s="4" t="n">
        <v>600</v>
      </c>
      <c r="S628" s="4" t="n">
        <v>100</v>
      </c>
      <c r="T628" s="4" t="n">
        <v>1</v>
      </c>
      <c r="U628" s="2" t="inlineStr">
        <is>
          <t>Claro tv+ Box + Disney+ Amazon Prime + Netflix + HBO Max + Apple TV + Globoplay</t>
        </is>
      </c>
      <c r="V628" s="2" t="inlineStr"/>
      <c r="W628" s="2" t="inlineStr"/>
      <c r="X628" s="2" t="inlineStr">
        <is>
          <t>Pós 100GB</t>
        </is>
      </c>
      <c r="Y628" s="2" t="inlineStr">
        <is>
          <t>https://www.claro.com.br/multi</t>
        </is>
      </c>
      <c r="Z628" s="2" t="inlineStr">
        <is>
          <t>data/raw/claro_convergent_multi_SP.html</t>
        </is>
      </c>
    </row>
    <row r="629">
      <c r="A629" s="5" t="inlineStr">
        <is>
          <t>2026-08-29</t>
        </is>
      </c>
      <c r="B629" s="5" t="inlineStr">
        <is>
          <t>2026-08-29T00:03:20</t>
        </is>
      </c>
      <c r="C629" s="5" t="inlineStr">
        <is>
          <t>tim</t>
        </is>
      </c>
      <c r="D629" s="5" t="inlineStr">
        <is>
          <t>SP</t>
        </is>
      </c>
      <c r="E629" s="5" t="inlineStr">
        <is>
          <t>TIM Ultracombo 5</t>
        </is>
      </c>
      <c r="F629" s="5" t="inlineStr">
        <is>
          <t>tim:167756</t>
        </is>
      </c>
      <c r="G629" s="6" t="n">
        <v>169.99</v>
      </c>
      <c r="H629" s="6" t="inlineStr"/>
      <c r="I629" s="5" t="inlineStr"/>
      <c r="J629" s="5" t="inlineStr">
        <is>
          <t>debit_auto</t>
        </is>
      </c>
      <c r="K629" s="5" t="inlineStr">
        <is>
          <t>preço em débito automático; R$ 179,99/mês no pagamento por fatura</t>
        </is>
      </c>
      <c r="L629" s="5" t="inlineStr">
        <is>
          <t>mobile+broadband</t>
        </is>
      </c>
      <c r="M629" s="5" t="inlineStr">
        <is>
          <t>Fiber + Mobile</t>
        </is>
      </c>
      <c r="N629" s="5" t="b">
        <v>1</v>
      </c>
      <c r="O629" s="5" t="b">
        <v>1</v>
      </c>
      <c r="P629" s="5" t="b">
        <v>0</v>
      </c>
      <c r="Q629" s="5" t="b">
        <v>0</v>
      </c>
      <c r="R629" s="7" t="n">
        <v>1000</v>
      </c>
      <c r="S629" s="7" t="n">
        <v>115</v>
      </c>
      <c r="T629" s="7" t="n">
        <v>1</v>
      </c>
      <c r="U629" s="5" t="inlineStr"/>
      <c r="V629" s="5" t="inlineStr">
        <is>
          <t>Paramount+, Deezer</t>
        </is>
      </c>
      <c r="W629" s="5" t="inlineStr"/>
      <c r="X629" s="5" t="inlineStr">
        <is>
          <t>1GIGA de Ultrafibra para casa + 115GB de TIM Black C Hero para móvel: (25GB do plano + 40GB promo + 50GB bônus especial)</t>
        </is>
      </c>
      <c r="Y629" s="5" t="inlineStr">
        <is>
          <t>https://www.tim.com.br/sp/internet/tim-ultracombo</t>
        </is>
      </c>
      <c r="Z629" s="5" t="inlineStr">
        <is>
          <t>data/raw/tim_convergent_ultracombo_SP.html</t>
        </is>
      </c>
    </row>
    <row r="630">
      <c r="A630" s="2" t="inlineStr">
        <is>
          <t>2026-08-29</t>
        </is>
      </c>
      <c r="B630" s="2" t="inlineStr">
        <is>
          <t>2026-08-29T00:03:20</t>
        </is>
      </c>
      <c r="C630" s="2" t="inlineStr">
        <is>
          <t>tim</t>
        </is>
      </c>
      <c r="D630" s="2" t="inlineStr">
        <is>
          <t>SP</t>
        </is>
      </c>
      <c r="E630" s="2" t="inlineStr">
        <is>
          <t>TIM Ultracombo 6</t>
        </is>
      </c>
      <c r="F630" s="2" t="inlineStr">
        <is>
          <t>tim:167751</t>
        </is>
      </c>
      <c r="G630" s="3" t="n">
        <v>139.99</v>
      </c>
      <c r="H630" s="3" t="inlineStr"/>
      <c r="I630" s="2" t="inlineStr"/>
      <c r="J630" s="2" t="inlineStr">
        <is>
          <t>debit_auto</t>
        </is>
      </c>
      <c r="K630" s="2" t="inlineStr">
        <is>
          <t>preço em débito automático; R$ 149,99/mês no pagamento por fatura</t>
        </is>
      </c>
      <c r="L630" s="2" t="inlineStr">
        <is>
          <t>mobile+broadband</t>
        </is>
      </c>
      <c r="M630" s="2" t="inlineStr">
        <is>
          <t>Fiber + Mobile</t>
        </is>
      </c>
      <c r="N630" s="2" t="b">
        <v>1</v>
      </c>
      <c r="O630" s="2" t="b">
        <v>1</v>
      </c>
      <c r="P630" s="2" t="b">
        <v>0</v>
      </c>
      <c r="Q630" s="2" t="b">
        <v>0</v>
      </c>
      <c r="R630" s="4" t="n">
        <v>1000</v>
      </c>
      <c r="S630" s="4" t="n">
        <v>70</v>
      </c>
      <c r="T630" s="4" t="n">
        <v>1</v>
      </c>
      <c r="U630" s="2" t="inlineStr"/>
      <c r="V630" s="2" t="inlineStr">
        <is>
          <t>Paramount+, Deezer</t>
        </is>
      </c>
      <c r="W630" s="2" t="inlineStr"/>
      <c r="X630" s="2" t="inlineStr">
        <is>
          <t>1GIGA de Ultrafibra para casa + 70GB de TIM Black A para móvel: (15GB do plano + 50GB promo + 5GB bônus especial)</t>
        </is>
      </c>
      <c r="Y630" s="2" t="inlineStr">
        <is>
          <t>https://www.tim.com.br/sp/internet/tim-ultracombo</t>
        </is>
      </c>
      <c r="Z630" s="2" t="inlineStr">
        <is>
          <t>data/raw/tim_convergent_ultracombo_SP.html</t>
        </is>
      </c>
    </row>
    <row r="631">
      <c r="A631" s="5" t="inlineStr">
        <is>
          <t>2026-08-29</t>
        </is>
      </c>
      <c r="B631" s="5" t="inlineStr">
        <is>
          <t>2026-08-29T00:03:20</t>
        </is>
      </c>
      <c r="C631" s="5" t="inlineStr">
        <is>
          <t>tim</t>
        </is>
      </c>
      <c r="D631" s="5" t="inlineStr">
        <is>
          <t>SP</t>
        </is>
      </c>
      <c r="E631" s="5" t="inlineStr">
        <is>
          <t>TIM Ultracombo 7</t>
        </is>
      </c>
      <c r="F631" s="5" t="inlineStr">
        <is>
          <t>tim:167761</t>
        </is>
      </c>
      <c r="G631" s="6" t="n">
        <v>89.98999999999999</v>
      </c>
      <c r="H631" s="6" t="inlineStr"/>
      <c r="I631" s="5" t="inlineStr"/>
      <c r="J631" s="5" t="inlineStr">
        <is>
          <t>debit_auto</t>
        </is>
      </c>
      <c r="K631" s="5" t="inlineStr">
        <is>
          <t>preço em débito automático; R$ 99,99/mês no pagamento por fatura</t>
        </is>
      </c>
      <c r="L631" s="5" t="inlineStr">
        <is>
          <t>mobile+broadband</t>
        </is>
      </c>
      <c r="M631" s="5" t="inlineStr">
        <is>
          <t>Fiber + Mobile</t>
        </is>
      </c>
      <c r="N631" s="5" t="b">
        <v>1</v>
      </c>
      <c r="O631" s="5" t="b">
        <v>1</v>
      </c>
      <c r="P631" s="5" t="b">
        <v>0</v>
      </c>
      <c r="Q631" s="5" t="b">
        <v>0</v>
      </c>
      <c r="R631" s="7" t="n">
        <v>500</v>
      </c>
      <c r="S631" s="7" t="n">
        <v>65</v>
      </c>
      <c r="T631" s="7" t="n">
        <v>1</v>
      </c>
      <c r="U631" s="5" t="inlineStr"/>
      <c r="V631" s="5" t="inlineStr"/>
      <c r="W631" s="5" t="inlineStr"/>
      <c r="X631" s="5" t="inlineStr">
        <is>
          <t>500MEGA de Ultrafibra para casa + 65GB de TIM Black A Light para móvel: (10GB do plano + 50GB promo)</t>
        </is>
      </c>
      <c r="Y631" s="5" t="inlineStr">
        <is>
          <t>https://www.tim.com.br/sp/internet/tim-ultracombo</t>
        </is>
      </c>
      <c r="Z631" s="5" t="inlineStr">
        <is>
          <t>data/raw/tim_convergent_ultracombo_SP.html</t>
        </is>
      </c>
    </row>
    <row r="632">
      <c r="A632" s="2" t="inlineStr">
        <is>
          <t>2026-08-29</t>
        </is>
      </c>
      <c r="B632" s="2" t="inlineStr">
        <is>
          <t>2026-08-29T00:03:20</t>
        </is>
      </c>
      <c r="C632" s="2" t="inlineStr">
        <is>
          <t>vivo</t>
        </is>
      </c>
      <c r="D632" s="2" t="inlineStr">
        <is>
          <t>SP</t>
        </is>
      </c>
      <c r="E632" s="2" t="inlineStr">
        <is>
          <t>Vivo Família 2 + TV</t>
        </is>
      </c>
      <c r="F632" s="2" t="inlineStr">
        <is>
          <t>vivo:VIV202604032132-3-305-316-336-408-411-426-430-442</t>
        </is>
      </c>
      <c r="G632" s="3" t="n">
        <v>290</v>
      </c>
      <c r="H632" s="3" t="inlineStr"/>
      <c r="I632" s="2" t="inlineStr"/>
      <c r="J632" s="2" t="inlineStr"/>
      <c r="K632" s="2" t="inlineStr">
        <is>
          <t>instalação grátis mediante fidelização (não afeta a mensalidade)</t>
        </is>
      </c>
      <c r="L632" s="2" t="inlineStr">
        <is>
          <t>mobile+broadband+tv</t>
        </is>
      </c>
      <c r="M632" s="2" t="inlineStr">
        <is>
          <t>Fiber + Mobile + TV</t>
        </is>
      </c>
      <c r="N632" s="2" t="b">
        <v>1</v>
      </c>
      <c r="O632" s="2" t="b">
        <v>1</v>
      </c>
      <c r="P632" s="2" t="b">
        <v>1</v>
      </c>
      <c r="Q632" s="2" t="b">
        <v>0</v>
      </c>
      <c r="R632" s="4" t="n">
        <v>700</v>
      </c>
      <c r="S632" s="4" t="n">
        <v>120</v>
      </c>
      <c r="T632" s="4" t="n">
        <v>2</v>
      </c>
      <c r="U632" s="2" t="inlineStr">
        <is>
          <t>80 canais de Vivo Estendido</t>
        </is>
      </c>
      <c r="V632" s="2" t="inlineStr"/>
      <c r="W632" s="2" t="inlineStr">
        <is>
          <t>Vivo Travel Américas e Europa; 1 linha adicional inclusa</t>
        </is>
      </c>
      <c r="X632" s="2" t="inlineStr">
        <is>
          <t>700 Mega de Vivo Fibra</t>
        </is>
      </c>
      <c r="Y632" s="2" t="inlineStr">
        <is>
          <t>https://vivo.com.br/para-voce/produtos-e-servicos/combos/vivo-total</t>
        </is>
      </c>
      <c r="Z632" s="2" t="inlineStr">
        <is>
          <t>data/raw/vivo_convergent_total_SP.html</t>
        </is>
      </c>
    </row>
    <row r="633">
      <c r="A633" s="5" t="inlineStr">
        <is>
          <t>2026-08-29</t>
        </is>
      </c>
      <c r="B633" s="5" t="inlineStr">
        <is>
          <t>2026-08-29T00:03:20</t>
        </is>
      </c>
      <c r="C633" s="5" t="inlineStr">
        <is>
          <t>vivo</t>
        </is>
      </c>
      <c r="D633" s="5" t="inlineStr">
        <is>
          <t>SP</t>
        </is>
      </c>
      <c r="E633" s="5" t="inlineStr">
        <is>
          <t>Vivo Família 2 + TV</t>
        </is>
      </c>
      <c r="F633" s="5" t="inlineStr">
        <is>
          <t>vivo:VIV202604032112-3-9-305-316-408-411-426-430-442</t>
        </is>
      </c>
      <c r="G633" s="6" t="n">
        <v>390</v>
      </c>
      <c r="H633" s="6" t="inlineStr"/>
      <c r="I633" s="5" t="inlineStr"/>
      <c r="J633" s="5" t="inlineStr"/>
      <c r="K633" s="5" t="inlineStr">
        <is>
          <t>instalação grátis mediante fidelização (não afeta a mensalidade)</t>
        </is>
      </c>
      <c r="L633" s="5" t="inlineStr">
        <is>
          <t>mobile+broadband+tv</t>
        </is>
      </c>
      <c r="M633" s="5" t="inlineStr">
        <is>
          <t>Fiber + Mobile + TV</t>
        </is>
      </c>
      <c r="N633" s="5" t="b">
        <v>1</v>
      </c>
      <c r="O633" s="5" t="b">
        <v>1</v>
      </c>
      <c r="P633" s="5" t="b">
        <v>1</v>
      </c>
      <c r="Q633" s="5" t="b">
        <v>0</v>
      </c>
      <c r="R633" s="7" t="n">
        <v>700</v>
      </c>
      <c r="S633" s="7" t="n">
        <v>120</v>
      </c>
      <c r="T633" s="7" t="n">
        <v>2</v>
      </c>
      <c r="U633" s="5" t="inlineStr">
        <is>
          <t>120 canais de Vivo TV Avançado + 1 ponto adicional</t>
        </is>
      </c>
      <c r="V633" s="5" t="inlineStr"/>
      <c r="W633" s="5" t="inlineStr">
        <is>
          <t>Vivo Travel Américas e Europa; 1 linha adicional inclusa</t>
        </is>
      </c>
      <c r="X633" s="5" t="inlineStr">
        <is>
          <t>700 Mega de Vivo Fibra</t>
        </is>
      </c>
      <c r="Y633" s="5" t="inlineStr">
        <is>
          <t>https://vivo.com.br/para-voce/produtos-e-servicos/combos/vivo-total</t>
        </is>
      </c>
      <c r="Z633" s="5" t="inlineStr">
        <is>
          <t>data/raw/vivo_convergent_total_SP.html</t>
        </is>
      </c>
    </row>
    <row r="634">
      <c r="A634" s="2" t="inlineStr">
        <is>
          <t>2026-08-29</t>
        </is>
      </c>
      <c r="B634" s="2" t="inlineStr">
        <is>
          <t>2026-08-29T00:03:20</t>
        </is>
      </c>
      <c r="C634" s="2" t="inlineStr">
        <is>
          <t>vivo</t>
        </is>
      </c>
      <c r="D634" s="2" t="inlineStr">
        <is>
          <t>SP</t>
        </is>
      </c>
      <c r="E634" s="2" t="inlineStr">
        <is>
          <t>Vivo Total Família 2</t>
        </is>
      </c>
      <c r="F634" s="2" t="inlineStr">
        <is>
          <t>vivo:VIV202604032132-3-305-316-408-411-426-430-442</t>
        </is>
      </c>
      <c r="G634" s="3" t="n">
        <v>270</v>
      </c>
      <c r="H634" s="3" t="inlineStr"/>
      <c r="I634" s="2" t="inlineStr"/>
      <c r="J634" s="2" t="inlineStr"/>
      <c r="K634" s="2" t="inlineStr">
        <is>
          <t>instalação grátis mediante fidelização (não afeta a mensalidade)</t>
        </is>
      </c>
      <c r="L634" s="2" t="inlineStr">
        <is>
          <t>mobile+broadband</t>
        </is>
      </c>
      <c r="M634" s="2" t="inlineStr">
        <is>
          <t>Fiber + Mobile</t>
        </is>
      </c>
      <c r="N634" s="2" t="b">
        <v>1</v>
      </c>
      <c r="O634" s="2" t="b">
        <v>1</v>
      </c>
      <c r="P634" s="2" t="b">
        <v>0</v>
      </c>
      <c r="Q634" s="2" t="b">
        <v>0</v>
      </c>
      <c r="R634" s="4" t="n">
        <v>700</v>
      </c>
      <c r="S634" s="4" t="n">
        <v>120</v>
      </c>
      <c r="T634" s="4" t="n">
        <v>2</v>
      </c>
      <c r="U634" s="2" t="inlineStr"/>
      <c r="V634" s="2" t="inlineStr"/>
      <c r="W634" s="2" t="inlineStr">
        <is>
          <t>Vivo Travel Américas e Europa; 1 linha adicional inclusa</t>
        </is>
      </c>
      <c r="X634" s="2" t="inlineStr">
        <is>
          <t>700 Mega de Vivo Fibra</t>
        </is>
      </c>
      <c r="Y634" s="2" t="inlineStr">
        <is>
          <t>https://vivo.com.br/para-voce/produtos-e-servicos/combos/vivo-total</t>
        </is>
      </c>
      <c r="Z634" s="2" t="inlineStr">
        <is>
          <t>data/raw/vivo_convergent_total_SP.html</t>
        </is>
      </c>
    </row>
    <row r="635">
      <c r="A635" s="5" t="inlineStr">
        <is>
          <t>2026-08-29</t>
        </is>
      </c>
      <c r="B635" s="5" t="inlineStr">
        <is>
          <t>2026-08-29T00:03:20</t>
        </is>
      </c>
      <c r="C635" s="5" t="inlineStr">
        <is>
          <t>vivo</t>
        </is>
      </c>
      <c r="D635" s="5" t="inlineStr">
        <is>
          <t>SP</t>
        </is>
      </c>
      <c r="E635" s="5" t="inlineStr">
        <is>
          <t>Vivo Total Família 3</t>
        </is>
      </c>
      <c r="F635" s="5" t="inlineStr">
        <is>
          <t>vivo:VIV202604032212-4-305-316-408-411-426-430-442</t>
        </is>
      </c>
      <c r="G635" s="6" t="n">
        <v>330</v>
      </c>
      <c r="H635" s="6" t="inlineStr"/>
      <c r="I635" s="5" t="inlineStr"/>
      <c r="J635" s="5" t="inlineStr"/>
      <c r="K635" s="5" t="inlineStr">
        <is>
          <t>instalação grátis mediante fidelização (não afeta a mensalidade)</t>
        </is>
      </c>
      <c r="L635" s="5" t="inlineStr">
        <is>
          <t>mobile+broadband</t>
        </is>
      </c>
      <c r="M635" s="5" t="inlineStr">
        <is>
          <t>Fiber + Mobile</t>
        </is>
      </c>
      <c r="N635" s="5" t="b">
        <v>1</v>
      </c>
      <c r="O635" s="5" t="b">
        <v>1</v>
      </c>
      <c r="P635" s="5" t="b">
        <v>0</v>
      </c>
      <c r="Q635" s="5" t="b">
        <v>0</v>
      </c>
      <c r="R635" s="7" t="n">
        <v>700</v>
      </c>
      <c r="S635" s="7" t="n">
        <v>180</v>
      </c>
      <c r="T635" s="7" t="n">
        <v>3</v>
      </c>
      <c r="U635" s="5" t="inlineStr"/>
      <c r="V635" s="5" t="inlineStr"/>
      <c r="W635" s="5" t="inlineStr">
        <is>
          <t>Vivo Travel Américas e Europa; 2 linhas adicionais inclusas</t>
        </is>
      </c>
      <c r="X635" s="5" t="inlineStr">
        <is>
          <t>700 Mega de Vivo Fibra</t>
        </is>
      </c>
      <c r="Y635" s="5" t="inlineStr">
        <is>
          <t>https://vivo.com.br/para-voce/produtos-e-servicos/combos/vivo-total</t>
        </is>
      </c>
      <c r="Z635" s="5" t="inlineStr">
        <is>
          <t>data/raw/vivo_convergent_total_SP.html</t>
        </is>
      </c>
    </row>
    <row r="636">
      <c r="A636" s="2" t="inlineStr">
        <is>
          <t>2026-08-29</t>
        </is>
      </c>
      <c r="B636" s="2" t="inlineStr">
        <is>
          <t>2026-08-29T00:03:20</t>
        </is>
      </c>
      <c r="C636" s="2" t="inlineStr">
        <is>
          <t>vivo</t>
        </is>
      </c>
      <c r="D636" s="2" t="inlineStr">
        <is>
          <t>SP</t>
        </is>
      </c>
      <c r="E636" s="2" t="inlineStr">
        <is>
          <t>Vivo Total Família 4</t>
        </is>
      </c>
      <c r="F636" s="2" t="inlineStr">
        <is>
          <t>vivo:VIV202604032292-237-305-316-408-411-426-430-442</t>
        </is>
      </c>
      <c r="G636" s="3" t="n">
        <v>420</v>
      </c>
      <c r="H636" s="3" t="inlineStr"/>
      <c r="I636" s="2" t="inlineStr"/>
      <c r="J636" s="2" t="inlineStr"/>
      <c r="K636" s="2" t="inlineStr">
        <is>
          <t>instalação grátis mediante fidelização (não afeta a mensalidade)</t>
        </is>
      </c>
      <c r="L636" s="2" t="inlineStr">
        <is>
          <t>mobile+broadband</t>
        </is>
      </c>
      <c r="M636" s="2" t="inlineStr">
        <is>
          <t>Fiber + Mobile</t>
        </is>
      </c>
      <c r="N636" s="2" t="b">
        <v>1</v>
      </c>
      <c r="O636" s="2" t="b">
        <v>1</v>
      </c>
      <c r="P636" s="2" t="b">
        <v>0</v>
      </c>
      <c r="Q636" s="2" t="b">
        <v>0</v>
      </c>
      <c r="R636" s="4" t="n">
        <v>700</v>
      </c>
      <c r="S636" s="4" t="n">
        <v>240</v>
      </c>
      <c r="T636" s="4" t="n">
        <v>4</v>
      </c>
      <c r="U636" s="2" t="inlineStr"/>
      <c r="V636" s="2" t="inlineStr"/>
      <c r="W636" s="2" t="inlineStr">
        <is>
          <t>Vivo Travel Américas e Europa; 3 linhas adicionais inclusas</t>
        </is>
      </c>
      <c r="X636" s="2" t="inlineStr">
        <is>
          <t>700 Mega de Vivo Fibra</t>
        </is>
      </c>
      <c r="Y636" s="2" t="inlineStr">
        <is>
          <t>https://vivo.com.br/para-voce/produtos-e-servicos/combos/vivo-total</t>
        </is>
      </c>
      <c r="Z636" s="2" t="inlineStr">
        <is>
          <t>data/raw/vivo_convergent_total_SP.html</t>
        </is>
      </c>
    </row>
    <row r="637">
      <c r="A637" s="5" t="inlineStr">
        <is>
          <t>2026-08-29</t>
        </is>
      </c>
      <c r="B637" s="5" t="inlineStr">
        <is>
          <t>2026-08-29T00:03:20</t>
        </is>
      </c>
      <c r="C637" s="5" t="inlineStr">
        <is>
          <t>vivo</t>
        </is>
      </c>
      <c r="D637" s="5" t="inlineStr">
        <is>
          <t>SP</t>
        </is>
      </c>
      <c r="E637" s="5" t="inlineStr">
        <is>
          <t>Vivo Total Família 5</t>
        </is>
      </c>
      <c r="F637" s="5" t="inlineStr">
        <is>
          <t>vivo:VIV202604032372-5-305-316-408-411-426-430-442</t>
        </is>
      </c>
      <c r="G637" s="6" t="n">
        <v>520</v>
      </c>
      <c r="H637" s="6" t="inlineStr"/>
      <c r="I637" s="5" t="inlineStr"/>
      <c r="J637" s="5" t="inlineStr"/>
      <c r="K637" s="5" t="inlineStr">
        <is>
          <t>instalação grátis mediante fidelização (não afeta a mensalidade)</t>
        </is>
      </c>
      <c r="L637" s="5" t="inlineStr">
        <is>
          <t>mobile+broadband</t>
        </is>
      </c>
      <c r="M637" s="5" t="inlineStr">
        <is>
          <t>Fiber + Mobile</t>
        </is>
      </c>
      <c r="N637" s="5" t="b">
        <v>1</v>
      </c>
      <c r="O637" s="5" t="b">
        <v>1</v>
      </c>
      <c r="P637" s="5" t="b">
        <v>0</v>
      </c>
      <c r="Q637" s="5" t="b">
        <v>0</v>
      </c>
      <c r="R637" s="7" t="n">
        <v>700</v>
      </c>
      <c r="S637" s="7" t="n">
        <v>300</v>
      </c>
      <c r="T637" s="7" t="n">
        <v>5</v>
      </c>
      <c r="U637" s="5" t="inlineStr"/>
      <c r="V637" s="5" t="inlineStr"/>
      <c r="W637" s="5" t="inlineStr">
        <is>
          <t>Vivo Travel Américas e Europa; 4 linhas adicionais inclusas</t>
        </is>
      </c>
      <c r="X637" s="5" t="inlineStr">
        <is>
          <t>700 Mega de Vivo Fibra</t>
        </is>
      </c>
      <c r="Y637" s="5" t="inlineStr">
        <is>
          <t>https://vivo.com.br/para-voce/produtos-e-servicos/combos/vivo-total</t>
        </is>
      </c>
      <c r="Z637" s="5" t="inlineStr">
        <is>
          <t>data/raw/vivo_convergent_total_SP.html</t>
        </is>
      </c>
    </row>
    <row r="638">
      <c r="A638" s="2" t="inlineStr">
        <is>
          <t>2026-08-29</t>
        </is>
      </c>
      <c r="B638" s="2" t="inlineStr">
        <is>
          <t>2026-08-29T00:03:20</t>
        </is>
      </c>
      <c r="C638" s="2" t="inlineStr">
        <is>
          <t>vivo</t>
        </is>
      </c>
      <c r="D638" s="2" t="inlineStr">
        <is>
          <t>SP</t>
        </is>
      </c>
      <c r="E638" s="2" t="inlineStr">
        <is>
          <t>Vivo Total Pro</t>
        </is>
      </c>
      <c r="F638" s="2" t="inlineStr">
        <is>
          <t>vivo:VIV202604031772-2-305-308-316-326-342-411-430</t>
        </is>
      </c>
      <c r="G638" s="3" t="n">
        <v>160</v>
      </c>
      <c r="H638" s="3" t="inlineStr"/>
      <c r="I638" s="2" t="inlineStr"/>
      <c r="J638" s="2" t="inlineStr"/>
      <c r="K638" s="2" t="inlineStr">
        <is>
          <t>instalação grátis mediante fidelização (não afeta a mensalidade)</t>
        </is>
      </c>
      <c r="L638" s="2" t="inlineStr">
        <is>
          <t>mobile+broadband</t>
        </is>
      </c>
      <c r="M638" s="2" t="inlineStr">
        <is>
          <t>Fiber + Mobile</t>
        </is>
      </c>
      <c r="N638" s="2" t="b">
        <v>1</v>
      </c>
      <c r="O638" s="2" t="b">
        <v>1</v>
      </c>
      <c r="P638" s="2" t="b">
        <v>0</v>
      </c>
      <c r="Q638" s="2" t="b">
        <v>0</v>
      </c>
      <c r="R638" s="4" t="n">
        <v>500</v>
      </c>
      <c r="S638" s="4" t="n">
        <v>60</v>
      </c>
      <c r="T638" s="4" t="n">
        <v>1</v>
      </c>
      <c r="U638" s="2" t="inlineStr"/>
      <c r="V638" s="2" t="inlineStr"/>
      <c r="W638" s="2" t="inlineStr">
        <is>
          <t>Vivo Travel Américas; 50 GB de franquia + 10 GB de bônus</t>
        </is>
      </c>
      <c r="X638" s="2" t="inlineStr">
        <is>
          <t>500 Mega de Vivo Fibra</t>
        </is>
      </c>
      <c r="Y638" s="2" t="inlineStr">
        <is>
          <t>https://vivo.com.br/para-voce/produtos-e-servicos/combos/vivo-total</t>
        </is>
      </c>
      <c r="Z638" s="2" t="inlineStr">
        <is>
          <t>data/raw/vivo_convergent_total_SP.html</t>
        </is>
      </c>
    </row>
    <row r="639">
      <c r="A639" s="5" t="inlineStr">
        <is>
          <t>2026-08-29</t>
        </is>
      </c>
      <c r="B639" s="5" t="inlineStr">
        <is>
          <t>2026-08-29T00:03:20</t>
        </is>
      </c>
      <c r="C639" s="5" t="inlineStr">
        <is>
          <t>vivo</t>
        </is>
      </c>
      <c r="D639" s="5" t="inlineStr">
        <is>
          <t>SP</t>
        </is>
      </c>
      <c r="E639" s="5" t="inlineStr">
        <is>
          <t>Vivo Total Ultra</t>
        </is>
      </c>
      <c r="F639" s="5" t="inlineStr">
        <is>
          <t>vivo:VIV202604031940-305-313-316-408-411-426-430-442</t>
        </is>
      </c>
      <c r="G639" s="6" t="n">
        <v>170</v>
      </c>
      <c r="H639" s="6" t="inlineStr"/>
      <c r="I639" s="5" t="inlineStr"/>
      <c r="J639" s="5" t="inlineStr"/>
      <c r="K639" s="5" t="inlineStr">
        <is>
          <t>instalação grátis mediante fidelização (não afeta a mensalidade)</t>
        </is>
      </c>
      <c r="L639" s="5" t="inlineStr">
        <is>
          <t>mobile+broadband</t>
        </is>
      </c>
      <c r="M639" s="5" t="inlineStr">
        <is>
          <t>Fiber + Mobile</t>
        </is>
      </c>
      <c r="N639" s="5" t="b">
        <v>1</v>
      </c>
      <c r="O639" s="5" t="b">
        <v>1</v>
      </c>
      <c r="P639" s="5" t="b">
        <v>0</v>
      </c>
      <c r="Q639" s="5" t="b">
        <v>0</v>
      </c>
      <c r="R639" s="7" t="n">
        <v>700</v>
      </c>
      <c r="S639" s="7" t="n">
        <v>70</v>
      </c>
      <c r="T639" s="7" t="n">
        <v>1</v>
      </c>
      <c r="U639" s="5" t="inlineStr"/>
      <c r="V639" s="5" t="inlineStr"/>
      <c r="W639" s="5" t="inlineStr">
        <is>
          <t>Vivo Travel Américas; Exitlag e ponto cabeado incluso</t>
        </is>
      </c>
      <c r="X639" s="5" t="inlineStr">
        <is>
          <t>700 Mega de Vivo Fibra</t>
        </is>
      </c>
      <c r="Y639" s="5" t="inlineStr">
        <is>
          <t>https://vivo.com.br/para-voce/produtos-e-servicos/combos/vivo-total</t>
        </is>
      </c>
      <c r="Z639" s="5" t="inlineStr">
        <is>
          <t>data/raw/vivo_convergent_total_SP.html</t>
        </is>
      </c>
    </row>
    <row r="640">
      <c r="A640" s="2" t="inlineStr">
        <is>
          <t>2026-08-29</t>
        </is>
      </c>
      <c r="B640" s="2" t="inlineStr">
        <is>
          <t>2026-08-29T00:03:20</t>
        </is>
      </c>
      <c r="C640" s="2" t="inlineStr">
        <is>
          <t>vivo</t>
        </is>
      </c>
      <c r="D640" s="2" t="inlineStr">
        <is>
          <t>SP</t>
        </is>
      </c>
      <c r="E640" s="2" t="inlineStr">
        <is>
          <t>Vivo Total Ultra + TV</t>
        </is>
      </c>
      <c r="F640" s="2" t="inlineStr">
        <is>
          <t>vivo:VIV202604031882-9-305-313-316-408-411-426-430-442</t>
        </is>
      </c>
      <c r="G640" s="3" t="n">
        <v>310</v>
      </c>
      <c r="H640" s="3" t="inlineStr"/>
      <c r="I640" s="2" t="inlineStr"/>
      <c r="J640" s="2" t="inlineStr"/>
      <c r="K640" s="2" t="inlineStr">
        <is>
          <t>instalação grátis mediante fidelização (não afeta a mensalidade)</t>
        </is>
      </c>
      <c r="L640" s="2" t="inlineStr">
        <is>
          <t>mobile+broadband+tv</t>
        </is>
      </c>
      <c r="M640" s="2" t="inlineStr">
        <is>
          <t>Fiber + Mobile + TV</t>
        </is>
      </c>
      <c r="N640" s="2" t="b">
        <v>1</v>
      </c>
      <c r="O640" s="2" t="b">
        <v>1</v>
      </c>
      <c r="P640" s="2" t="b">
        <v>1</v>
      </c>
      <c r="Q640" s="2" t="b">
        <v>0</v>
      </c>
      <c r="R640" s="4" t="n">
        <v>700</v>
      </c>
      <c r="S640" s="4" t="n">
        <v>70</v>
      </c>
      <c r="T640" s="4" t="n">
        <v>1</v>
      </c>
      <c r="U640" s="2" t="inlineStr">
        <is>
          <t>120 canais de Vivo TV Avançado + 1 ponto adicional</t>
        </is>
      </c>
      <c r="V640" s="2" t="inlineStr"/>
      <c r="W640" s="2" t="inlineStr">
        <is>
          <t>Vivo Travel Américas</t>
        </is>
      </c>
      <c r="X640" s="2" t="inlineStr">
        <is>
          <t>700 Mega de Vivo Fibra</t>
        </is>
      </c>
      <c r="Y640" s="2" t="inlineStr">
        <is>
          <t>https://vivo.com.br/para-voce/produtos-e-servicos/combos/vivo-total</t>
        </is>
      </c>
      <c r="Z640" s="2" t="inlineStr">
        <is>
          <t>data/raw/vivo_convergent_total_SP.html</t>
        </is>
      </c>
    </row>
    <row r="641">
      <c r="A641" s="5" t="inlineStr">
        <is>
          <t>2026-08-29</t>
        </is>
      </c>
      <c r="B641" s="5" t="inlineStr">
        <is>
          <t>2026-08-29T00:03:20</t>
        </is>
      </c>
      <c r="C641" s="5" t="inlineStr">
        <is>
          <t>vivo</t>
        </is>
      </c>
      <c r="D641" s="5" t="inlineStr">
        <is>
          <t>SP</t>
        </is>
      </c>
      <c r="E641" s="5" t="inlineStr">
        <is>
          <t>Vivo Total Ultra + TV online</t>
        </is>
      </c>
      <c r="F641" s="5" t="inlineStr">
        <is>
          <t>vivo:VIV202604032034-305-313-316-336-408-411-426-430-442</t>
        </is>
      </c>
      <c r="G641" s="6" t="n">
        <v>210</v>
      </c>
      <c r="H641" s="6" t="inlineStr"/>
      <c r="I641" s="5" t="inlineStr"/>
      <c r="J641" s="5" t="inlineStr"/>
      <c r="K641" s="5" t="inlineStr">
        <is>
          <t>instalação grátis mediante fidelização (não afeta a mensalidade)</t>
        </is>
      </c>
      <c r="L641" s="5" t="inlineStr">
        <is>
          <t>mobile+broadband+tv</t>
        </is>
      </c>
      <c r="M641" s="5" t="inlineStr">
        <is>
          <t>Fiber + Mobile + TV</t>
        </is>
      </c>
      <c r="N641" s="5" t="b">
        <v>1</v>
      </c>
      <c r="O641" s="5" t="b">
        <v>1</v>
      </c>
      <c r="P641" s="5" t="b">
        <v>1</v>
      </c>
      <c r="Q641" s="5" t="b">
        <v>0</v>
      </c>
      <c r="R641" s="7" t="n">
        <v>700</v>
      </c>
      <c r="S641" s="7" t="n">
        <v>70</v>
      </c>
      <c r="T641" s="7" t="n">
        <v>1</v>
      </c>
      <c r="U641" s="5" t="inlineStr">
        <is>
          <t>80 canais de Vivo Estendido</t>
        </is>
      </c>
      <c r="V641" s="5" t="inlineStr"/>
      <c r="W641" s="5" t="inlineStr">
        <is>
          <t>Vivo Travel Américas</t>
        </is>
      </c>
      <c r="X641" s="5" t="inlineStr">
        <is>
          <t>700 Mega de Vivo Fibra</t>
        </is>
      </c>
      <c r="Y641" s="5" t="inlineStr">
        <is>
          <t>https://vivo.com.br/para-voce/produtos-e-servicos/combos/vivo-total</t>
        </is>
      </c>
      <c r="Z641" s="5" t="inlineStr">
        <is>
          <t>data/raw/vivo_convergent_total_SP.html</t>
        </is>
      </c>
    </row>
    <row r="642">
      <c r="A642" s="2" t="inlineStr">
        <is>
          <t>2026-08-29</t>
        </is>
      </c>
      <c r="B642" s="2" t="inlineStr">
        <is>
          <t>2026-08-29T00:03:20</t>
        </is>
      </c>
      <c r="C642" s="2" t="inlineStr">
        <is>
          <t>vivo</t>
        </is>
      </c>
      <c r="D642" s="2" t="inlineStr">
        <is>
          <t>SP</t>
        </is>
      </c>
      <c r="E642" s="2" t="inlineStr">
        <is>
          <t>Vivo Total V 1 Giga</t>
        </is>
      </c>
      <c r="F642" s="2" t="inlineStr">
        <is>
          <t>vivo:VIV202604032532-2-305-316-408-426-430-442</t>
        </is>
      </c>
      <c r="G642" s="3" t="n">
        <v>1200</v>
      </c>
      <c r="H642" s="3" t="inlineStr"/>
      <c r="I642" s="2" t="inlineStr"/>
      <c r="J642" s="2" t="inlineStr"/>
      <c r="K642" s="2" t="inlineStr">
        <is>
          <t>instalação grátis mediante fidelização (não afeta a mensalidade)</t>
        </is>
      </c>
      <c r="L642" s="2" t="inlineStr">
        <is>
          <t>mobile+broadband+tv</t>
        </is>
      </c>
      <c r="M642" s="2" t="inlineStr">
        <is>
          <t>Fiber + Mobile + TV</t>
        </is>
      </c>
      <c r="N642" s="2" t="b">
        <v>1</v>
      </c>
      <c r="O642" s="2" t="b">
        <v>1</v>
      </c>
      <c r="P642" s="2" t="b">
        <v>1</v>
      </c>
      <c r="Q642" s="2" t="b">
        <v>0</v>
      </c>
      <c r="R642" s="4" t="n">
        <v>1000</v>
      </c>
      <c r="S642" s="4" t="n">
        <v>600</v>
      </c>
      <c r="T642" s="4" t="n">
        <v>11</v>
      </c>
      <c r="U642" s="2" t="inlineStr">
        <is>
          <t>Vivo TV Completo com HBO Max e Telecine</t>
        </is>
      </c>
      <c r="V642" s="2" t="inlineStr"/>
      <c r="W642" s="2" t="inlineStr">
        <is>
          <t>Vivo Travel Mundo; 10 linhas adicionais inclusas; Vivo TV Completo com HBO Max e Telecine</t>
        </is>
      </c>
      <c r="X642" s="2" t="inlineStr">
        <is>
          <t>1Giga de Vivo Fibra</t>
        </is>
      </c>
      <c r="Y642" s="2" t="inlineStr">
        <is>
          <t>https://vivo.com.br/para-voce/produtos-e-servicos/combos/vivo-total</t>
        </is>
      </c>
      <c r="Z642" s="2" t="inlineStr">
        <is>
          <t>data/raw/vivo_convergent_total_SP.html</t>
        </is>
      </c>
    </row>
  </sheetData>
  <autoFilter ref="A1:Z6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28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0">
      <c r="A20" s="12" t="n">
        <v>46257</v>
      </c>
      <c r="B20" s="3">
        <f>IFERROR(IF(_xlfn.MINIFS(convergent_history!$G:$G,convergent_history!$C:$C,"tim",convergent_history!$M:$M,"Fiber + Mobile",convergent_history!$A:$A,YEAR($A20)&amp;"-"&amp;TEXT(MONTH($A20),"00")&amp;"-"&amp;TEXT(DAY($A20),"00"))=0,"",_xlfn.MINIFS(convergent_history!$G:$G,convergent_history!$C:$C,"tim",convergent_history!$M:$M,"Fiber + Mobile",convergent_history!$A:$A,YEAR($A20)&amp;"-"&amp;TEXT(MONTH($A20),"00")&amp;"-"&amp;TEXT(DAY($A20),"00"))),"")</f>
        <v>89.99</v>
      </c>
      <c r="C20" s="3">
        <f>IFERROR(IF(_xlfn.MINIFS(convergent_history!$G:$G,convergent_history!$C:$C,"vivo",convergent_history!$M:$M,"Fiber + Mobile",convergent_history!$A:$A,YEAR($A20)&amp;"-"&amp;TEXT(MONTH($A20),"00")&amp;"-"&amp;TEXT(DAY($A20),"00"))=0,"",_xlfn.MINIFS(convergent_history!$G:$G,convergent_history!$C:$C,"vivo",convergent_history!$M:$M,"Fiber + Mobile",convergent_history!$A:$A,YEAR($A20)&amp;"-"&amp;TEXT(MONTH($A20),"00")&amp;"-"&amp;TEXT(DAY($A20),"00"))),"")</f>
        <v>160</v>
      </c>
      <c r="D20" s="3">
        <f>IFERROR(IF(_xlfn.MINIFS(convergent_history!$G:$G,convergent_history!$C:$C,"claro",convergent_history!$M:$M,"Fiber + Mobile",convergent_history!$A:$A,YEAR($A20)&amp;"-"&amp;TEXT(MONTH($A20),"00")&amp;"-"&amp;TEXT(DAY($A20),"00"))=0,"",_xlfn.MINIFS(convergent_history!$G:$G,convergent_history!$C:$C,"claro",convergent_history!$M:$M,"Fiber + Mobile",convergent_history!$A:$A,YEAR($A20)&amp;"-"&amp;TEXT(MONTH($A20),"00")&amp;"-"&amp;TEXT(DAY($A20),"00"))),"")</f>
        <v>129.8</v>
      </c>
    </row>
    <row r="21">
      <c r="A21" s="12" t="n">
        <v>46258</v>
      </c>
      <c r="B21" s="3">
        <f>IFERROR(IF(_xlfn.MINIFS(convergent_history!$G:$G,convergent_history!$C:$C,"tim",convergent_history!$M:$M,"Fiber + Mobile",convergent_history!$A:$A,YEAR($A21)&amp;"-"&amp;TEXT(MONTH($A21),"00")&amp;"-"&amp;TEXT(DAY($A21),"00"))=0,"",_xlfn.MINIFS(convergent_history!$G:$G,convergent_history!$C:$C,"tim",convergent_history!$M:$M,"Fiber + Mobile",convergent_history!$A:$A,YEAR($A21)&amp;"-"&amp;TEXT(MONTH($A21),"00")&amp;"-"&amp;TEXT(DAY($A21),"00"))),"")</f>
        <v>89.99</v>
      </c>
      <c r="C21" s="3">
        <f>IFERROR(IF(_xlfn.MINIFS(convergent_history!$G:$G,convergent_history!$C:$C,"vivo",convergent_history!$M:$M,"Fiber + Mobile",convergent_history!$A:$A,YEAR($A21)&amp;"-"&amp;TEXT(MONTH($A21),"00")&amp;"-"&amp;TEXT(DAY($A21),"00"))=0,"",_xlfn.MINIFS(convergent_history!$G:$G,convergent_history!$C:$C,"vivo",convergent_history!$M:$M,"Fiber + Mobile",convergent_history!$A:$A,YEAR($A21)&amp;"-"&amp;TEXT(MONTH($A21),"00")&amp;"-"&amp;TEXT(DAY($A21),"00"))),"")</f>
        <v>160</v>
      </c>
      <c r="D21" s="3">
        <f>IFERROR(IF(_xlfn.MINIFS(convergent_history!$G:$G,convergent_history!$C:$C,"claro",convergent_history!$M:$M,"Fiber + Mobile",convergent_history!$A:$A,YEAR($A21)&amp;"-"&amp;TEXT(MONTH($A21),"00")&amp;"-"&amp;TEXT(DAY($A21),"00"))=0,"",_xlfn.MINIFS(convergent_history!$G:$G,convergent_history!$C:$C,"claro",convergent_history!$M:$M,"Fiber + Mobile",convergent_history!$A:$A,YEAR($A21)&amp;"-"&amp;TEXT(MONTH($A21),"00")&amp;"-"&amp;TEXT(DAY($A21),"00"))),"")</f>
        <v>129.8</v>
      </c>
    </row>
    <row r="22">
      <c r="A22" s="12" t="n">
        <v>46259</v>
      </c>
      <c r="B22" s="3">
        <f>IFERROR(IF(_xlfn.MINIFS(convergent_history!$G:$G,convergent_history!$C:$C,"tim",convergent_history!$M:$M,"Fiber + Mobile",convergent_history!$A:$A,YEAR($A22)&amp;"-"&amp;TEXT(MONTH($A22),"00")&amp;"-"&amp;TEXT(DAY($A22),"00"))=0,"",_xlfn.MINIFS(convergent_history!$G:$G,convergent_history!$C:$C,"tim",convergent_history!$M:$M,"Fiber + Mobile",convergent_history!$A:$A,YEAR($A22)&amp;"-"&amp;TEXT(MONTH($A22),"00")&amp;"-"&amp;TEXT(DAY($A22),"00"))),"")</f>
        <v>89.99</v>
      </c>
      <c r="C22" s="3">
        <f>IFERROR(IF(_xlfn.MINIFS(convergent_history!$G:$G,convergent_history!$C:$C,"vivo",convergent_history!$M:$M,"Fiber + Mobile",convergent_history!$A:$A,YEAR($A22)&amp;"-"&amp;TEXT(MONTH($A22),"00")&amp;"-"&amp;TEXT(DAY($A22),"00"))=0,"",_xlfn.MINIFS(convergent_history!$G:$G,convergent_history!$C:$C,"vivo",convergent_history!$M:$M,"Fiber + Mobile",convergent_history!$A:$A,YEAR($A22)&amp;"-"&amp;TEXT(MONTH($A22),"00")&amp;"-"&amp;TEXT(DAY($A22),"00"))),"")</f>
        <v>160</v>
      </c>
      <c r="D22" s="3">
        <f>IFERROR(IF(_xlfn.MINIFS(convergent_history!$G:$G,convergent_history!$C:$C,"claro",convergent_history!$M:$M,"Fiber + Mobile",convergent_history!$A:$A,YEAR($A22)&amp;"-"&amp;TEXT(MONTH($A22),"00")&amp;"-"&amp;TEXT(DAY($A22),"00"))=0,"",_xlfn.MINIFS(convergent_history!$G:$G,convergent_history!$C:$C,"claro",convergent_history!$M:$M,"Fiber + Mobile",convergent_history!$A:$A,YEAR($A22)&amp;"-"&amp;TEXT(MONTH($A22),"00")&amp;"-"&amp;TEXT(DAY($A22),"00"))),"")</f>
        <v>129.8</v>
      </c>
    </row>
    <row r="23">
      <c r="A23" s="12" t="n">
        <v>46260</v>
      </c>
      <c r="B23" s="3">
        <f>IFERROR(IF(_xlfn.MINIFS(convergent_history!$G:$G,convergent_history!$C:$C,"tim",convergent_history!$M:$M,"Fiber + Mobile",convergent_history!$A:$A,YEAR($A23)&amp;"-"&amp;TEXT(MONTH($A23),"00")&amp;"-"&amp;TEXT(DAY($A23),"00"))=0,"",_xlfn.MINIFS(convergent_history!$G:$G,convergent_history!$C:$C,"tim",convergent_history!$M:$M,"Fiber + Mobile",convergent_history!$A:$A,YEAR($A23)&amp;"-"&amp;TEXT(MONTH($A23),"00")&amp;"-"&amp;TEXT(DAY($A23),"00"))),"")</f>
        <v>89.99</v>
      </c>
      <c r="C23" s="3">
        <f>IFERROR(IF(_xlfn.MINIFS(convergent_history!$G:$G,convergent_history!$C:$C,"vivo",convergent_history!$M:$M,"Fiber + Mobile",convergent_history!$A:$A,YEAR($A23)&amp;"-"&amp;TEXT(MONTH($A23),"00")&amp;"-"&amp;TEXT(DAY($A23),"00"))=0,"",_xlfn.MINIFS(convergent_history!$G:$G,convergent_history!$C:$C,"vivo",convergent_history!$M:$M,"Fiber + Mobile",convergent_history!$A:$A,YEAR($A23)&amp;"-"&amp;TEXT(MONTH($A23),"00")&amp;"-"&amp;TEXT(DAY($A23),"00"))),"")</f>
        <v>160</v>
      </c>
      <c r="D23" s="3">
        <f>IFERROR(IF(_xlfn.MINIFS(convergent_history!$G:$G,convergent_history!$C:$C,"claro",convergent_history!$M:$M,"Fiber + Mobile",convergent_history!$A:$A,YEAR($A23)&amp;"-"&amp;TEXT(MONTH($A23),"00")&amp;"-"&amp;TEXT(DAY($A23),"00"))=0,"",_xlfn.MINIFS(convergent_history!$G:$G,convergent_history!$C:$C,"claro",convergent_history!$M:$M,"Fiber + Mobile",convergent_history!$A:$A,YEAR($A23)&amp;"-"&amp;TEXT(MONTH($A23),"00")&amp;"-"&amp;TEXT(DAY($A23),"00"))),"")</f>
        <v>129.8</v>
      </c>
    </row>
    <row r="24">
      <c r="A24" s="12" t="n">
        <v>46261</v>
      </c>
      <c r="B24" s="3">
        <f>IFERROR(IF(_xlfn.MINIFS(convergent_history!$G:$G,convergent_history!$C:$C,"tim",convergent_history!$M:$M,"Fiber + Mobile",convergent_history!$A:$A,YEAR($A24)&amp;"-"&amp;TEXT(MONTH($A24),"00")&amp;"-"&amp;TEXT(DAY($A24),"00"))=0,"",_xlfn.MINIFS(convergent_history!$G:$G,convergent_history!$C:$C,"tim",convergent_history!$M:$M,"Fiber + Mobile",convergent_history!$A:$A,YEAR($A24)&amp;"-"&amp;TEXT(MONTH($A24),"00")&amp;"-"&amp;TEXT(DAY($A24),"00"))),"")</f>
        <v>89.99</v>
      </c>
      <c r="C24" s="3">
        <f>IFERROR(IF(_xlfn.MINIFS(convergent_history!$G:$G,convergent_history!$C:$C,"vivo",convergent_history!$M:$M,"Fiber + Mobile",convergent_history!$A:$A,YEAR($A24)&amp;"-"&amp;TEXT(MONTH($A24),"00")&amp;"-"&amp;TEXT(DAY($A24),"00"))=0,"",_xlfn.MINIFS(convergent_history!$G:$G,convergent_history!$C:$C,"vivo",convergent_history!$M:$M,"Fiber + Mobile",convergent_history!$A:$A,YEAR($A24)&amp;"-"&amp;TEXT(MONTH($A24),"00")&amp;"-"&amp;TEXT(DAY($A24),"00"))),"")</f>
        <v>160</v>
      </c>
      <c r="D24" s="3">
        <f>IFERROR(IF(_xlfn.MINIFS(convergent_history!$G:$G,convergent_history!$C:$C,"claro",convergent_history!$M:$M,"Fiber + Mobile",convergent_history!$A:$A,YEAR($A24)&amp;"-"&amp;TEXT(MONTH($A24),"00")&amp;"-"&amp;TEXT(DAY($A24),"00"))=0,"",_xlfn.MINIFS(convergent_history!$G:$G,convergent_history!$C:$C,"claro",convergent_history!$M:$M,"Fiber + Mobile",convergent_history!$A:$A,YEAR($A24)&amp;"-"&amp;TEXT(MONTH($A24),"00")&amp;"-"&amp;TEXT(DAY($A24),"00"))),"")</f>
        <v>129.8</v>
      </c>
    </row>
    <row r="25">
      <c r="A25" s="12" t="n">
        <v>46262</v>
      </c>
      <c r="B25" s="3">
        <f>IFERROR(IF(_xlfn.MINIFS(convergent_history!$G:$G,convergent_history!$C:$C,"tim",convergent_history!$M:$M,"Fiber + Mobile",convergent_history!$A:$A,YEAR($A25)&amp;"-"&amp;TEXT(MONTH($A25),"00")&amp;"-"&amp;TEXT(DAY($A25),"00"))=0,"",_xlfn.MINIFS(convergent_history!$G:$G,convergent_history!$C:$C,"tim",convergent_history!$M:$M,"Fiber + Mobile",convergent_history!$A:$A,YEAR($A25)&amp;"-"&amp;TEXT(MONTH($A25),"00")&amp;"-"&amp;TEXT(DAY($A25),"00"))),"")</f>
        <v>89.99</v>
      </c>
      <c r="C25" s="3">
        <f>IFERROR(IF(_xlfn.MINIFS(convergent_history!$G:$G,convergent_history!$C:$C,"vivo",convergent_history!$M:$M,"Fiber + Mobile",convergent_history!$A:$A,YEAR($A25)&amp;"-"&amp;TEXT(MONTH($A25),"00")&amp;"-"&amp;TEXT(DAY($A25),"00"))=0,"",_xlfn.MINIFS(convergent_history!$G:$G,convergent_history!$C:$C,"vivo",convergent_history!$M:$M,"Fiber + Mobile",convergent_history!$A:$A,YEAR($A25)&amp;"-"&amp;TEXT(MONTH($A25),"00")&amp;"-"&amp;TEXT(DAY($A25),"00"))),"")</f>
        <v>160</v>
      </c>
      <c r="D25" s="3">
        <f>IFERROR(IF(_xlfn.MINIFS(convergent_history!$G:$G,convergent_history!$C:$C,"claro",convergent_history!$M:$M,"Fiber + Mobile",convergent_history!$A:$A,YEAR($A25)&amp;"-"&amp;TEXT(MONTH($A25),"00")&amp;"-"&amp;TEXT(DAY($A25),"00"))=0,"",_xlfn.MINIFS(convergent_history!$G:$G,convergent_history!$C:$C,"claro",convergent_history!$M:$M,"Fiber + Mobile",convergent_history!$A:$A,YEAR($A25)&amp;"-"&amp;TEXT(MONTH($A25),"00")&amp;"-"&amp;TEXT(DAY($A25),"00"))),"")</f>
        <v>129.8</v>
      </c>
    </row>
    <row r="26">
      <c r="A26" s="12" t="n">
        <v>46263</v>
      </c>
      <c r="B26" s="3">
        <f>IFERROR(IF(_xlfn.MINIFS(convergent_history!$G:$G,convergent_history!$C:$C,"tim",convergent_history!$M:$M,"Fiber + Mobile",convergent_history!$A:$A,YEAR($A26)&amp;"-"&amp;TEXT(MONTH($A26),"00")&amp;"-"&amp;TEXT(DAY($A26),"00"))=0,"",_xlfn.MINIFS(convergent_history!$G:$G,convergent_history!$C:$C,"tim",convergent_history!$M:$M,"Fiber + Mobile",convergent_history!$A:$A,YEAR($A26)&amp;"-"&amp;TEXT(MONTH($A26),"00")&amp;"-"&amp;TEXT(DAY($A26),"00"))),"")</f>
        <v>89.99</v>
      </c>
      <c r="C26" s="3">
        <f>IFERROR(IF(_xlfn.MINIFS(convergent_history!$G:$G,convergent_history!$C:$C,"vivo",convergent_history!$M:$M,"Fiber + Mobile",convergent_history!$A:$A,YEAR($A26)&amp;"-"&amp;TEXT(MONTH($A26),"00")&amp;"-"&amp;TEXT(DAY($A26),"00"))=0,"",_xlfn.MINIFS(convergent_history!$G:$G,convergent_history!$C:$C,"vivo",convergent_history!$M:$M,"Fiber + Mobile",convergent_history!$A:$A,YEAR($A26)&amp;"-"&amp;TEXT(MONTH($A26),"00")&amp;"-"&amp;TEXT(DAY($A26),"00"))),"")</f>
        <v>160</v>
      </c>
      <c r="D26" s="3">
        <f>IFERROR(IF(_xlfn.MINIFS(convergent_history!$G:$G,convergent_history!$C:$C,"claro",convergent_history!$M:$M,"Fiber + Mobile",convergent_history!$A:$A,YEAR($A26)&amp;"-"&amp;TEXT(MONTH($A26),"00")&amp;"-"&amp;TEXT(DAY($A26),"00"))=0,"",_xlfn.MINIFS(convergent_history!$G:$G,convergent_history!$C:$C,"claro",convergent_history!$M:$M,"Fiber + Mobile",convergent_history!$A:$A,YEAR($A26)&amp;"-"&amp;TEXT(MONTH($A26),"00")&amp;"-"&amp;TEXT(DAY($A26),"00"))),"")</f>
        <v>129.8</v>
      </c>
    </row>
    <row r="28">
      <c r="A28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26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2026-08-29T03:06:17Z</dcterms:created>
  <dcterms:modified xsi:type="dcterms:W3CDTF">2026-08-29T03:06:23Z</dcterms:modified>
</cp:coreProperties>
</file>