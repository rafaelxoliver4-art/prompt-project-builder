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Ranking" sheetId="6" state="visible" r:id="rId6"/>
    <sheet name="Vivo" sheetId="7" state="visible" r:id="rId7"/>
    <sheet name="Claro" sheetId="8" state="visible" r:id="rId8"/>
    <sheet name="TIM" sheetId="9" state="visible" r:id="rId9"/>
  </sheets>
  <definedNames>
    <definedName name="_xlnm._FilterDatabase" localSheetId="0" hidden="1">'history'!$A$1:$T$101</definedName>
    <definedName name="_xlnm._FilterDatabase" localSheetId="1" hidden="1">'latest'!$A$1:$T$50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;&quot;-&quot;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'comparison'!$B$37:$B$38</f>
            </numRef>
          </val>
          <smooth val="0"/>
        </ser>
        <ser>
          <idx val="1"/>
          <order val="1"/>
          <tx>
            <strRef>
              <f>'comparison'!C36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'comparison'!$C$37:$C$38</f>
            </numRef>
          </val>
          <smooth val="0"/>
        </ser>
        <ser>
          <idx val="2"/>
          <order val="2"/>
          <tx>
            <strRef>
              <f>'comparison'!D36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'comparison'!$D$37:$D$38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'comparison'!$E$37:$E$38</f>
            </numRef>
          </val>
          <smooth val="0"/>
        </ser>
        <ser>
          <idx val="1"/>
          <order val="1"/>
          <tx>
            <strRef>
              <f>'comparison'!F36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'comparison'!$F$37:$F$38</f>
            </numRef>
          </val>
          <smooth val="0"/>
        </ser>
        <ser>
          <idx val="2"/>
          <order val="2"/>
          <tx>
            <strRef>
              <f>'comparison'!G36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'comparison'!$G$37:$G$38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'comparison'!$H$37:$H$38</f>
            </numRef>
          </val>
          <smooth val="0"/>
        </ser>
        <ser>
          <idx val="1"/>
          <order val="1"/>
          <tx>
            <strRef>
              <f>'comparison'!I36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'comparison'!$I$37:$I$38</f>
            </numRef>
          </val>
          <smooth val="0"/>
        </ser>
        <ser>
          <idx val="2"/>
          <order val="2"/>
          <tx>
            <strRef>
              <f>'comparison'!J36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'comparison'!$J$37:$J$38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'comparison'!$K$37:$K$38</f>
            </numRef>
          </val>
          <smooth val="0"/>
        </ser>
        <ser>
          <idx val="1"/>
          <order val="1"/>
          <tx>
            <strRef>
              <f>'comparison'!L36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'comparison'!$L$37:$L$38</f>
            </numRef>
          </val>
          <smooth val="0"/>
        </ser>
        <ser>
          <idx val="2"/>
          <order val="2"/>
          <tx>
            <strRef>
              <f>'comparison'!M36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'comparison'!$A$37:$A$38</f>
            </numRef>
          </cat>
          <val>
            <numRef>
              <f>'comparison'!$M$37:$M$38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18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18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T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https://vivo.com.br/para-voce/produtos-e-servicos/para-o-celular/easy-lite</t>
        </is>
      </c>
      <c r="T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Disney+</t>
        </is>
      </c>
      <c r="Q43" s="5" t="inlineStr"/>
      <c r="R43" s="5" t="inlineStr">
        <is>
          <t>Assinatura Disney+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Netflix</t>
        </is>
      </c>
      <c r="Q45" s="5" t="inlineStr"/>
      <c r="R45" s="5" t="inlineStr">
        <is>
          <t>Assinatura Netflix Padrão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>
        <is>
          <t>Spotify</t>
        </is>
      </c>
      <c r="Q47" s="5" t="inlineStr"/>
      <c r="R47" s="5" t="inlineStr">
        <is>
          <t>Assinatura Spotify Premium inclusa</t>
        </is>
      </c>
      <c r="S47" s="5" t="inlineStr">
        <is>
          <t>https://vivo.com.br/para-voce/produtos-e-servicos/para-o-celular/planos-pos-pago</t>
        </is>
      </c>
      <c r="T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>
        <is>
          <t>https://vivo.com.br/para-voce/produtos-e-servicos/para-o-celular/pre-pago/vivo-pre</t>
        </is>
      </c>
      <c r="T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>
        <is>
          <t>WhatsApp</t>
        </is>
      </c>
      <c r="N53" s="5" t="inlineStr"/>
      <c r="O53" s="5" t="inlineStr"/>
      <c r="P53" s="5" t="inlineStr"/>
      <c r="Q53" s="5" t="inlineStr"/>
      <c r="R53" s="5" t="inlineStr">
        <is>
          <t>Para uso livre; Para redes sociais e vídeos; Bônus exclusivo; Aproveite na sua franquia; WhatsApp e ligações ilimitadas</t>
        </is>
      </c>
      <c r="S53" s="5" t="inlineStr">
        <is>
          <t>https://www.claro.com.br/celular/controle</t>
        </is>
      </c>
      <c r="T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>
        <is>
          <t>WhatsApp</t>
        </is>
      </c>
      <c r="N54" s="2" t="inlineStr"/>
      <c r="O54" s="2" t="inlineStr"/>
      <c r="P54" s="2" t="inlineStr"/>
      <c r="Q54" s="2" t="inlineStr"/>
      <c r="R54" s="2" t="inlineStr">
        <is>
          <t>Para uso livre; Bônus do Hexa para uso livre; Bônus para redes sociais e apps; Redes sociais e apps; WhatsApp ilimitado</t>
        </is>
      </c>
      <c r="S54" s="2" t="inlineStr">
        <is>
          <t>https://www.claro.com.br/celular/controle</t>
        </is>
      </c>
      <c r="T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>
        <is>
          <t>WhatsApp</t>
        </is>
      </c>
      <c r="N55" s="5" t="inlineStr"/>
      <c r="O55" s="5" t="inlineStr"/>
      <c r="P55" s="5" t="inlineStr"/>
      <c r="Q55" s="5" t="inlineStr"/>
      <c r="R55" s="5" t="inlineStr">
        <is>
          <t>Para uso livre; Bônus para redes sociais e apps; Bônus uso livre; Redes sociais e apps; WhatsApp ilimitado</t>
        </is>
      </c>
      <c r="S55" s="5" t="inlineStr">
        <is>
          <t>https://www.claro.com.br/celular/controle</t>
        </is>
      </c>
      <c r="T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>
        <is>
          <t>WhatsApp</t>
        </is>
      </c>
      <c r="N56" s="2" t="inlineStr"/>
      <c r="O56" s="2" t="inlineStr"/>
      <c r="P56" s="2" t="inlineStr"/>
      <c r="Q56" s="2" t="inlineStr"/>
      <c r="R56" s="2" t="inlineStr">
        <is>
          <t>Para uso livre; Bônus do Hexa para uso livre; Para redes sociais e apps; Bônus extra nos apps; WhatsApp ilimitado</t>
        </is>
      </c>
      <c r="S56" s="2" t="inlineStr">
        <is>
          <t>https://www.claro.com.br/celular/flex</t>
        </is>
      </c>
      <c r="T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>
        <is>
          <t>WhatsApp</t>
        </is>
      </c>
      <c r="N57" s="5" t="inlineStr"/>
      <c r="O57" s="5" t="inlineStr"/>
      <c r="P57" s="5" t="inlineStr"/>
      <c r="Q57" s="5" t="inlineStr"/>
      <c r="R57" s="5" t="inlineStr">
        <is>
          <t>Para uso livre; Bônus do Hexa para uso livre; Para redes sociais e apps; Bônus extra nos apps; WhatsApp ilimitado</t>
        </is>
      </c>
      <c r="S57" s="5" t="inlineStr">
        <is>
          <t>https://www.claro.com.br/celular/flex</t>
        </is>
      </c>
      <c r="T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>
        <is>
          <t>WhatsApp</t>
        </is>
      </c>
      <c r="N58" s="2" t="inlineStr"/>
      <c r="O58" s="2" t="inlineStr"/>
      <c r="P58" s="2" t="inlineStr"/>
      <c r="Q58" s="2" t="inlineStr"/>
      <c r="R58" s="2" t="inlineStr">
        <is>
          <t>Para uso livre; Bônus do Hexa para uso livre; Para redes sociais e apps; Bônus extra nos apps; WhatsApp ilimitado; Assinatura Claro musica inclusa</t>
        </is>
      </c>
      <c r="S58" s="2" t="inlineStr">
        <is>
          <t>https://www.claro.com.br/celular/flex</t>
        </is>
      </c>
      <c r="T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>
        <is>
          <t>WhatsApp</t>
        </is>
      </c>
      <c r="N59" s="5" t="inlineStr"/>
      <c r="O59" s="5" t="inlineStr"/>
      <c r="P59" s="5" t="inlineStr"/>
      <c r="Q59" s="5" t="inlineStr"/>
      <c r="R59" s="5" t="inlineStr">
        <is>
          <t>Para uso livre; Para redes sociais e apps; Bônus uso livre; Bônus extra nos apps; WhatsApp ilimitado; Assinatura Claro musica inclusa</t>
        </is>
      </c>
      <c r="S59" s="5" t="inlineStr">
        <is>
          <t>https://www.claro.com.br/celular/flex</t>
        </is>
      </c>
      <c r="T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>
        <is>
          <t>WhatsApp</t>
        </is>
      </c>
      <c r="N60" s="2" t="inlineStr"/>
      <c r="O60" s="2" t="inlineStr"/>
      <c r="P60" s="2" t="inlineStr"/>
      <c r="Q60" s="2" t="inlineStr"/>
      <c r="R60" s="2" t="inlineStr">
        <is>
          <t>Armazenamento na nuvem:; Google One ou iCloud+; WhatsApp ilimitado; Roaming: Passaporte Américas; Claro Sync: Smartwatch conectado</t>
        </is>
      </c>
      <c r="S60" s="2" t="inlineStr">
        <is>
          <t>https://www.claro.com.br/celular/pos</t>
        </is>
      </c>
      <c r="T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>
        <is>
          <t>WhatsApp</t>
        </is>
      </c>
      <c r="N61" s="5" t="inlineStr"/>
      <c r="O61" s="5" t="inlineStr"/>
      <c r="P61" s="5" t="inlineStr"/>
      <c r="Q61" s="5" t="inlineStr"/>
      <c r="R61" s="5" t="inlineStr">
        <is>
          <t>Armazenamento na nuvem:; Google One ou iCloud+; WhatsApp ilimitado; Roaming: Passaporte Américas e Europa; Claro Sync: Smartwatch conectado</t>
        </is>
      </c>
      <c r="S61" s="5" t="inlineStr">
        <is>
          <t>https://www.claro.com.br/celular/pos</t>
        </is>
      </c>
      <c r="T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>
        <is>
          <t>WhatsApp</t>
        </is>
      </c>
      <c r="N62" s="2" t="inlineStr"/>
      <c r="O62" s="2" t="inlineStr"/>
      <c r="P62" s="2" t="inlineStr"/>
      <c r="Q62" s="2" t="inlineStr"/>
      <c r="R62" s="2" t="inlineStr">
        <is>
          <t>Armazenamento na nuvem:; Google One ou iCloud+; WhatsApp ilimitado; Roaming: Passaporte Mundo; Claro Sync: Smartwatch conectado</t>
        </is>
      </c>
      <c r="S62" s="2" t="inlineStr">
        <is>
          <t>https://www.claro.com.br/celular/pos</t>
        </is>
      </c>
      <c r="T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>
        <is>
          <t>WhatsApp</t>
        </is>
      </c>
      <c r="N63" s="5" t="inlineStr"/>
      <c r="O63" s="5" t="inlineStr"/>
      <c r="P63" s="5" t="inlineStr"/>
      <c r="Q63" s="5" t="inlineStr"/>
      <c r="R63" s="5" t="inlineStr">
        <is>
          <t>Armazenamento na nuvem:; Google One ou iCloud+; WhatsApp ilimitado; Roaming: Passaporte Américas; Claro Sync: Smartwatch conectado; Inclusa assinatura GeForce NOW</t>
        </is>
      </c>
      <c r="S63" s="5" t="inlineStr">
        <is>
          <t>https://www.claro.com.br/celular/pos</t>
        </is>
      </c>
      <c r="T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>
        <is>
          <t>WhatsApp</t>
        </is>
      </c>
      <c r="N64" s="2" t="inlineStr"/>
      <c r="O64" s="2" t="inlineStr"/>
      <c r="P64" s="2" t="inlineStr"/>
      <c r="Q64" s="2" t="inlineStr"/>
      <c r="R64" s="2" t="inlineStr">
        <is>
          <t>Armazenamento na nuvem:; Google One ou iCloud+; WhatsApp ilimitado; Roaming: Passaporte Américas; Claro Sync: Smartwatch conectado</t>
        </is>
      </c>
      <c r="S64" s="2" t="inlineStr">
        <is>
          <t>https://www.claro.com.br/celular/pos</t>
        </is>
      </c>
      <c r="T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>
        <is>
          <t>https://www.claro.com.br/celular/planos-pre/prezao</t>
        </is>
      </c>
      <c r="T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>
        <is>
          <t>https://www.tim.com.br/sp/para-voce/planos/controle</t>
        </is>
      </c>
      <c r="T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>
        <is>
          <t>https://www.tim.com.br/sp/para-voce/planos/controle</t>
        </is>
      </c>
      <c r="T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>
        <is>
          <t>https://www.tim.com.br/sp/para-voce/planos/controle</t>
        </is>
      </c>
      <c r="T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>
        <is>
          <t>https://www.tim.com.br/sp/para-voce/planos/controle</t>
        </is>
      </c>
      <c r="T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>
        <is>
          <t>https://www.tim.com.br/sp/para-voce/planos/controle</t>
        </is>
      </c>
      <c r="T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>
        <is>
          <t>https://www.tim.com.br/sp/para-voce/planos/pos-pago/tim-black</t>
        </is>
      </c>
      <c r="T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>
        <is>
          <t>https://www.tim.com.br/sp/para-voce/planos/pos-pago/tim-black</t>
        </is>
      </c>
      <c r="T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>
        <is>
          <t>https://www.tim.com.br/sp/para-voce/planos/pos-pago/tim-black</t>
        </is>
      </c>
      <c r="T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>
        <is>
          <t>https://www.tim.com.br/sp/para-voce/planos/pos-pago/tim-black</t>
        </is>
      </c>
      <c r="T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>
        <is>
          <t>https://www.tim.com.br/sp/para-voce/planos/pos-pago/tim-black</t>
        </is>
      </c>
      <c r="T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>
        <is>
          <t>https://www.tim.com.br/sp/para-voce/planos/pos-pago/tim-black</t>
        </is>
      </c>
      <c r="T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>
        <is>
          <t>https://www.tim.com.br/sp/para-voce/planos/pos-pago/tim-black</t>
        </is>
      </c>
      <c r="T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>
        <is>
          <t>https://www.tim.com.br/sp/para-voce/planos/pre-pago</t>
        </is>
      </c>
      <c r="T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>
        <is>
          <t>https://www.tim.com.br/sp/para-voce/planos/pre-pago</t>
        </is>
      </c>
      <c r="T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>
        <is>
          <t>https://www.tim.com.br/sp/para-voce/planos/pre-pago</t>
        </is>
      </c>
      <c r="T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>
        <is>
          <t>6 meses grátis de Gemini com AI Plus</t>
        </is>
      </c>
      <c r="S81" s="5" t="inlineStr">
        <is>
          <t>https://vivo.com.br/para-voce/produtos-e-servicos/para-o-celular/planos-controle</t>
        </is>
      </c>
      <c r="T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>
        <is>
          <t>6 meses grátis de Gemini com AI Plus</t>
        </is>
      </c>
      <c r="S82" s="2" t="inlineStr">
        <is>
          <t>https://vivo.com.br/para-voce/produtos-e-servicos/para-o-celular/planos-controle</t>
        </is>
      </c>
      <c r="T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>
        <is>
          <t>Assinatura Vivae inclusa</t>
        </is>
      </c>
      <c r="S83" s="5" t="inlineStr">
        <is>
          <t>https://vivo.com.br/para-voce/produtos-e-servicos/para-o-celular/planos-controle</t>
        </is>
      </c>
      <c r="T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>
        <is>
          <t>Assinatura Vivo TV Inicial inclusa</t>
        </is>
      </c>
      <c r="S84" s="2" t="inlineStr">
        <is>
          <t>https://vivo.com.br/para-voce/produtos-e-servicos/para-o-celular/planos-controle</t>
        </is>
      </c>
      <c r="T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>
        <is>
          <t>Apple Music Individual</t>
        </is>
      </c>
      <c r="S85" s="5" t="inlineStr">
        <is>
          <t>https://vivo.com.br/para-voce/produtos-e-servicos/para-o-celular/planos-controle</t>
        </is>
      </c>
      <c r="T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>
        <is>
          <t>Assinatura Netflix Padrão com anúncios</t>
        </is>
      </c>
      <c r="S86" s="2" t="inlineStr">
        <is>
          <t>https://vivo.com.br/para-voce/produtos-e-servicos/para-o-celular/planos-controle</t>
        </is>
      </c>
      <c r="T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>
        <is>
          <t>Assinatura Vale Saúde Sempre inclusa</t>
        </is>
      </c>
      <c r="S87" s="5" t="inlineStr">
        <is>
          <t>https://vivo.com.br/para-voce/produtos-e-servicos/para-o-celular/planos-controle</t>
        </is>
      </c>
      <c r="T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>
        <is>
          <t>Youtube Ilimitado</t>
        </is>
      </c>
      <c r="S88" s="2" t="inlineStr">
        <is>
          <t>https://vivo.com.br/para-voce/produtos-e-servicos/para-o-celular/easy-lite</t>
        </is>
      </c>
      <c r="T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>
        <is>
          <t>Youtube Ilimitado</t>
        </is>
      </c>
      <c r="S89" s="5" t="inlineStr">
        <is>
          <t>https://vivo.com.br/para-voce/produtos-e-servicos/para-o-celular/easy-lite</t>
        </is>
      </c>
      <c r="T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>
        <is>
          <t>Youtube Ilimitado</t>
        </is>
      </c>
      <c r="S90" s="2" t="inlineStr">
        <is>
          <t>https://vivo.com.br/para-voce/produtos-e-servicos/para-o-celular/easy-lite</t>
        </is>
      </c>
      <c r="T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>
        <is>
          <t>Assinatura Amazon Prime inclusa</t>
        </is>
      </c>
      <c r="S91" s="5" t="inlineStr">
        <is>
          <t>https://vivo.com.br/para-voce/produtos-e-servicos/para-o-celular/planos-pos-pago</t>
        </is>
      </c>
      <c r="T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>
        <is>
          <t>Disney+</t>
        </is>
      </c>
      <c r="Q92" s="2" t="inlineStr"/>
      <c r="R92" s="2" t="inlineStr">
        <is>
          <t>Assinatura Disney+ Padrão inclusa</t>
        </is>
      </c>
      <c r="S92" s="2" t="inlineStr">
        <is>
          <t>https://vivo.com.br/para-voce/produtos-e-servicos/para-o-celular/planos-pos-pago</t>
        </is>
      </c>
      <c r="T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>
        <is>
          <t>Globoplay</t>
        </is>
      </c>
      <c r="Q93" s="5" t="inlineStr"/>
      <c r="R93" s="5" t="inlineStr">
        <is>
          <t>Assinatura Globoplay inclusa</t>
        </is>
      </c>
      <c r="S93" s="5" t="inlineStr">
        <is>
          <t>https://vivo.com.br/para-voce/produtos-e-servicos/para-o-celular/planos-pos-pago</t>
        </is>
      </c>
      <c r="T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>
        <is>
          <t>Netflix</t>
        </is>
      </c>
      <c r="Q94" s="2" t="inlineStr"/>
      <c r="R94" s="2" t="inlineStr">
        <is>
          <t>Assinatura Netflix Padrão inclusa</t>
        </is>
      </c>
      <c r="S94" s="2" t="inlineStr">
        <is>
          <t>https://vivo.com.br/para-voce/produtos-e-servicos/para-o-celular/planos-pos-pago</t>
        </is>
      </c>
      <c r="T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>
        <is>
          <t>Premiere</t>
        </is>
      </c>
      <c r="Q95" s="5" t="inlineStr"/>
      <c r="R95" s="5" t="inlineStr">
        <is>
          <t>Assinatura Premiere inclusa</t>
        </is>
      </c>
      <c r="S95" s="5" t="inlineStr">
        <is>
          <t>https://vivo.com.br/para-voce/produtos-e-servicos/para-o-celular/planos-pos-pago</t>
        </is>
      </c>
      <c r="T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>
        <is>
          <t>Spotify</t>
        </is>
      </c>
      <c r="Q96" s="2" t="inlineStr"/>
      <c r="R96" s="2" t="inlineStr">
        <is>
          <t>Assinatura Spotify Premium inclusa</t>
        </is>
      </c>
      <c r="S96" s="2" t="inlineStr">
        <is>
          <t>https://vivo.com.br/para-voce/produtos-e-servicos/para-o-celular/planos-pos-pago</t>
        </is>
      </c>
      <c r="T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>
        <is>
          <t>6 meses grátis de Gemini com AI Plus</t>
        </is>
      </c>
      <c r="S97" s="5" t="inlineStr">
        <is>
          <t>https://vivo.com.br/para-voce/produtos-e-servicos/para-o-celular/planos-pos-pago</t>
        </is>
      </c>
      <c r="T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>
        <is>
          <t>https://vivo.com.br/para-voce/produtos-e-servicos/para-o-celular/pre-pago/vivo-pre</t>
        </is>
      </c>
      <c r="T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>
        <is>
          <t>https://vivo.com.br/para-voce/produtos-e-servicos/para-o-celular/pre-pago/vivo-pre</t>
        </is>
      </c>
      <c r="T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>
        <is>
          <t>https://vivo.com.br/para-voce/produtos-e-servicos/para-o-celular/pre-pago/vivo-pre</t>
        </is>
      </c>
      <c r="T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>
        <is>
          <t>https://vivo.com.br/para-voce/produtos-e-servicos/para-o-celular/pre-pago/vivo-pre</t>
        </is>
      </c>
      <c r="T101" s="5" t="inlineStr">
        <is>
          <t>data/raw/vivo_prepaid_SP.html</t>
        </is>
      </c>
    </row>
  </sheetData>
  <autoFilter ref="A1:T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2026-06-23</t>
        </is>
      </c>
      <c r="B2" s="2" t="inlineStr">
        <is>
          <t>2026-06-23T22:10:23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2026-06-23</t>
        </is>
      </c>
      <c r="B3" s="5" t="inlineStr">
        <is>
          <t>2026-06-23T22:10:23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2026-06-23</t>
        </is>
      </c>
      <c r="B4" s="2" t="inlineStr">
        <is>
          <t>2026-06-23T22:10:23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2026-06-23</t>
        </is>
      </c>
      <c r="B5" s="5" t="inlineStr">
        <is>
          <t>2026-06-23T22:10:23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2026-06-23</t>
        </is>
      </c>
      <c r="B6" s="2" t="inlineStr">
        <is>
          <t>2026-06-23T22:10:23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2026-06-23</t>
        </is>
      </c>
      <c r="B7" s="5" t="inlineStr">
        <is>
          <t>2026-06-23T22:10:23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2026-06-23</t>
        </is>
      </c>
      <c r="B8" s="2" t="inlineStr">
        <is>
          <t>2026-06-23T22:10:23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2026-06-23</t>
        </is>
      </c>
      <c r="B9" s="5" t="inlineStr">
        <is>
          <t>2026-06-23T22:10:23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2026-06-23</t>
        </is>
      </c>
      <c r="B10" s="2" t="inlineStr">
        <is>
          <t>2026-06-23T22:10:23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2026-06-23</t>
        </is>
      </c>
      <c r="B11" s="5" t="inlineStr">
        <is>
          <t>2026-06-23T22:10:23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2026-06-23</t>
        </is>
      </c>
      <c r="B12" s="2" t="inlineStr">
        <is>
          <t>2026-06-23T22:10:23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2026-06-23</t>
        </is>
      </c>
      <c r="B13" s="5" t="inlineStr">
        <is>
          <t>2026-06-23T22:10:23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2026-06-23</t>
        </is>
      </c>
      <c r="B14" s="2" t="inlineStr">
        <is>
          <t>2026-06-23T22:10:23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2026-06-23</t>
        </is>
      </c>
      <c r="B15" s="5" t="inlineStr">
        <is>
          <t>2026-06-23T22:10:23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2026-06-23</t>
        </is>
      </c>
      <c r="B16" s="2" t="inlineStr">
        <is>
          <t>2026-06-23T22:10:23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2026-06-23</t>
        </is>
      </c>
      <c r="B17" s="5" t="inlineStr">
        <is>
          <t>2026-06-23T22:10:23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2026-06-23</t>
        </is>
      </c>
      <c r="B18" s="2" t="inlineStr">
        <is>
          <t>2026-06-23T22:10:23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2026-06-23</t>
        </is>
      </c>
      <c r="B19" s="5" t="inlineStr">
        <is>
          <t>2026-06-23T22:10:23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2026-06-23</t>
        </is>
      </c>
      <c r="B20" s="2" t="inlineStr">
        <is>
          <t>2026-06-23T22:10:23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2026-06-23</t>
        </is>
      </c>
      <c r="B21" s="5" t="inlineStr">
        <is>
          <t>2026-06-23T22:10:23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2026-06-23</t>
        </is>
      </c>
      <c r="B22" s="2" t="inlineStr">
        <is>
          <t>2026-06-23T22:10:23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2026-06-23</t>
        </is>
      </c>
      <c r="B23" s="5" t="inlineStr">
        <is>
          <t>2026-06-23T22:10:23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2026-06-23</t>
        </is>
      </c>
      <c r="B24" s="2" t="inlineStr">
        <is>
          <t>2026-06-23T22:10:23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2026-06-23</t>
        </is>
      </c>
      <c r="B25" s="5" t="inlineStr">
        <is>
          <t>2026-06-23T22:10:23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2026-06-23</t>
        </is>
      </c>
      <c r="B26" s="2" t="inlineStr">
        <is>
          <t>2026-06-23T22:10:23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2026-06-23</t>
        </is>
      </c>
      <c r="B27" s="5" t="inlineStr">
        <is>
          <t>2026-06-23T22:10:23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2026-06-23</t>
        </is>
      </c>
      <c r="B28" s="2" t="inlineStr">
        <is>
          <t>2026-06-23T22:10:23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2026-06-23</t>
        </is>
      </c>
      <c r="B29" s="5" t="inlineStr">
        <is>
          <t>2026-06-23T22:10:23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2026-06-23</t>
        </is>
      </c>
      <c r="B30" s="2" t="inlineStr">
        <is>
          <t>2026-06-23T22:10:23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2026-06-23</t>
        </is>
      </c>
      <c r="B31" s="5" t="inlineStr">
        <is>
          <t>2026-06-23T22:10:23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2026-06-23</t>
        </is>
      </c>
      <c r="B32" s="2" t="inlineStr">
        <is>
          <t>2026-06-23T22:10:23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2026-06-23</t>
        </is>
      </c>
      <c r="B33" s="5" t="inlineStr">
        <is>
          <t>2026-06-23T22:10:23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2026-06-23</t>
        </is>
      </c>
      <c r="B34" s="2" t="inlineStr">
        <is>
          <t>2026-06-23T22:10:23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2026-06-23</t>
        </is>
      </c>
      <c r="B35" s="5" t="inlineStr">
        <is>
          <t>2026-06-23T22:10:23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2026-06-23</t>
        </is>
      </c>
      <c r="B36" s="2" t="inlineStr">
        <is>
          <t>2026-06-23T22:10:23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2026-06-23</t>
        </is>
      </c>
      <c r="B37" s="5" t="inlineStr">
        <is>
          <t>2026-06-23T22:10:23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</t>
        </is>
      </c>
      <c r="M37" s="5" t="inlineStr"/>
      <c r="N37" s="5" t="inlineStr"/>
      <c r="O37" s="5" t="inlineStr"/>
      <c r="P37" s="5" t="inlineStr"/>
      <c r="Q37" s="5" t="inlineStr"/>
      <c r="R37" s="5" t="inlineStr">
        <is>
          <t>Youtube Ilimitado</t>
        </is>
      </c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2026-06-23</t>
        </is>
      </c>
      <c r="B38" s="2" t="inlineStr">
        <is>
          <t>2026-06-23T22:10:23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</t>
        </is>
      </c>
      <c r="M38" s="2" t="inlineStr"/>
      <c r="N38" s="2" t="inlineStr"/>
      <c r="O38" s="2" t="inlineStr"/>
      <c r="P38" s="2" t="inlineStr"/>
      <c r="Q38" s="2" t="inlineStr"/>
      <c r="R38" s="2" t="inlineStr">
        <is>
          <t>Youtube Ilimitado</t>
        </is>
      </c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2026-06-23</t>
        </is>
      </c>
      <c r="B39" s="5" t="inlineStr">
        <is>
          <t>2026-06-23T22:10:23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</t>
        </is>
      </c>
      <c r="M39" s="5" t="inlineStr"/>
      <c r="N39" s="5" t="inlineStr"/>
      <c r="O39" s="5" t="inlineStr"/>
      <c r="P39" s="5" t="inlineStr"/>
      <c r="Q39" s="5" t="inlineStr"/>
      <c r="R39" s="5" t="inlineStr">
        <is>
          <t>Youtube Ilimitado</t>
        </is>
      </c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2026-06-23</t>
        </is>
      </c>
      <c r="B40" s="2" t="inlineStr">
        <is>
          <t>2026-06-23T22:10:23</t>
        </is>
      </c>
      <c r="C40" s="2" t="inlineStr">
        <is>
          <t>vivo</t>
        </is>
      </c>
      <c r="D40" s="2" t="inlineStr">
        <is>
          <t>postpaid</t>
        </is>
      </c>
      <c r="E40" s="2" t="inlineStr">
        <is>
          <t>SP</t>
        </is>
      </c>
      <c r="F40" s="2" t="inlineStr">
        <is>
          <t>Vivo Pós com Amazon</t>
        </is>
      </c>
      <c r="G40" s="2" t="inlineStr">
        <is>
          <t>vivo:VIV202600029255-60gb</t>
        </is>
      </c>
      <c r="H40" s="3" t="n">
        <v>150</v>
      </c>
      <c r="I40" s="3" t="inlineStr"/>
      <c r="J40" s="2" t="inlineStr"/>
      <c r="K40" s="4" t="n">
        <v>60</v>
      </c>
      <c r="L40" s="2" t="inlineStr">
        <is>
          <t>50 GB de franquia 10 GB de bônus</t>
        </is>
      </c>
      <c r="M40" s="2" t="inlineStr"/>
      <c r="N40" s="2" t="inlineStr"/>
      <c r="O40" s="2" t="inlineStr"/>
      <c r="P40" s="2" t="inlineStr"/>
      <c r="Q40" s="2" t="inlineStr"/>
      <c r="R40" s="2" t="inlineStr">
        <is>
          <t>Assinatura Amazon Prime inclusa</t>
        </is>
      </c>
      <c r="S40" s="2" t="inlineStr">
        <is>
          <t>https://vivo.com.br/para-voce/produtos-e-servicos/para-o-celular/planos-pos-pago</t>
        </is>
      </c>
      <c r="T40" s="2" t="inlineStr">
        <is>
          <t>data/raw/vivo_postpaid_SP.html</t>
        </is>
      </c>
    </row>
    <row r="41">
      <c r="A41" s="5" t="inlineStr">
        <is>
          <t>2026-06-23</t>
        </is>
      </c>
      <c r="B41" s="5" t="inlineStr">
        <is>
          <t>2026-06-23T22:10:23</t>
        </is>
      </c>
      <c r="C41" s="5" t="inlineStr">
        <is>
          <t>vivo</t>
        </is>
      </c>
      <c r="D41" s="5" t="inlineStr">
        <is>
          <t>postpaid</t>
        </is>
      </c>
      <c r="E41" s="5" t="inlineStr">
        <is>
          <t>SP</t>
        </is>
      </c>
      <c r="F41" s="5" t="inlineStr">
        <is>
          <t>Vivo Pós com Disney+</t>
        </is>
      </c>
      <c r="G41" s="5" t="inlineStr">
        <is>
          <t>vivo:VIV202600022115-60gb</t>
        </is>
      </c>
      <c r="H41" s="6" t="n">
        <v>180</v>
      </c>
      <c r="I41" s="6" t="inlineStr"/>
      <c r="J41" s="5" t="inlineStr"/>
      <c r="K41" s="7" t="n">
        <v>60</v>
      </c>
      <c r="L41" s="5" t="inlineStr">
        <is>
          <t>50 GB de franquia 10 GB de bônus</t>
        </is>
      </c>
      <c r="M41" s="5" t="inlineStr"/>
      <c r="N41" s="5" t="inlineStr"/>
      <c r="O41" s="5" t="inlineStr"/>
      <c r="P41" s="5" t="inlineStr">
        <is>
          <t>Disney+</t>
        </is>
      </c>
      <c r="Q41" s="5" t="inlineStr"/>
      <c r="R41" s="5" t="inlineStr">
        <is>
          <t>Assinatura Disney+ Padrão inclusa</t>
        </is>
      </c>
      <c r="S41" s="5" t="inlineStr">
        <is>
          <t>https://vivo.com.br/para-voce/produtos-e-servicos/para-o-celular/planos-pos-pago</t>
        </is>
      </c>
      <c r="T41" s="5" t="inlineStr">
        <is>
          <t>data/raw/vivo_postpaid_SP.html</t>
        </is>
      </c>
    </row>
    <row r="42">
      <c r="A42" s="2" t="inlineStr">
        <is>
          <t>2026-06-23</t>
        </is>
      </c>
      <c r="B42" s="2" t="inlineStr">
        <is>
          <t>2026-06-23T22:10:23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Globoplay</t>
        </is>
      </c>
      <c r="G42" s="2" t="inlineStr">
        <is>
          <t>vivo:VIV202600029246-60gb</t>
        </is>
      </c>
      <c r="H42" s="3" t="n">
        <v>165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>
        <is>
          <t>Globoplay</t>
        </is>
      </c>
      <c r="Q42" s="2" t="inlineStr"/>
      <c r="R42" s="2" t="inlineStr">
        <is>
          <t>Assinatura Globoplay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2026-06-23</t>
        </is>
      </c>
      <c r="B43" s="5" t="inlineStr">
        <is>
          <t>2026-06-23T22:10:23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Netflix</t>
        </is>
      </c>
      <c r="G43" s="5" t="inlineStr">
        <is>
          <t>vivo:VIV202600029234-60gb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Netflix</t>
        </is>
      </c>
      <c r="Q43" s="5" t="inlineStr"/>
      <c r="R43" s="5" t="inlineStr">
        <is>
          <t>Assinatura Netflix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2026-06-23</t>
        </is>
      </c>
      <c r="B44" s="2" t="inlineStr">
        <is>
          <t>2026-06-23T22:10:23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Premiere</t>
        </is>
      </c>
      <c r="G44" s="2" t="inlineStr">
        <is>
          <t>vivo:VIV202600029249-60gb</t>
        </is>
      </c>
      <c r="H44" s="3" t="n">
        <v>180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Premiere</t>
        </is>
      </c>
      <c r="Q44" s="2" t="inlineStr"/>
      <c r="R44" s="2" t="inlineStr">
        <is>
          <t>Assinatura Premiere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2026-06-23</t>
        </is>
      </c>
      <c r="B45" s="5" t="inlineStr">
        <is>
          <t>2026-06-23T22:10:23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Spotify</t>
        </is>
      </c>
      <c r="G45" s="5" t="inlineStr">
        <is>
          <t>vivo:VIV202600029229-60gb</t>
        </is>
      </c>
      <c r="H45" s="6" t="n">
        <v>165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Spotify</t>
        </is>
      </c>
      <c r="Q45" s="5" t="inlineStr"/>
      <c r="R45" s="5" t="inlineStr">
        <is>
          <t>Assinatura Spotify Premium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2026-06-23</t>
        </is>
      </c>
      <c r="B46" s="2" t="inlineStr">
        <is>
          <t>2026-06-23T22:10:23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Travel</t>
        </is>
      </c>
      <c r="G46" s="2" t="inlineStr">
        <is>
          <t>vivo:VIV202600029244-70gb</t>
        </is>
      </c>
      <c r="H46" s="3" t="n">
        <v>215</v>
      </c>
      <c r="I46" s="3" t="inlineStr"/>
      <c r="J46" s="2" t="inlineStr"/>
      <c r="K46" s="4" t="n">
        <v>70</v>
      </c>
      <c r="L46" s="2" t="inlineStr">
        <is>
          <t>60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>
        <is>
          <t>6 meses grátis de Gemini com AI Plus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2026-06-23</t>
        </is>
      </c>
      <c r="B47" s="5" t="inlineStr">
        <is>
          <t>2026-06-23T22:10:23</t>
        </is>
      </c>
      <c r="C47" s="5" t="inlineStr">
        <is>
          <t>vivo</t>
        </is>
      </c>
      <c r="D47" s="5" t="inlineStr">
        <is>
          <t>prepaid</t>
        </is>
      </c>
      <c r="E47" s="5" t="inlineStr">
        <is>
          <t>SP</t>
        </is>
      </c>
      <c r="F47" s="5" t="inlineStr">
        <is>
          <t>Vivo Pré</t>
        </is>
      </c>
      <c r="G47" s="5" t="inlineStr">
        <is>
          <t>vivo:VIV202600022379-25gb</t>
        </is>
      </c>
      <c r="H47" s="6" t="n">
        <v>30</v>
      </c>
      <c r="I47" s="6" t="inlineStr"/>
      <c r="J47" s="5" t="inlineStr"/>
      <c r="K47" s="7" t="n">
        <v>25</v>
      </c>
      <c r="L47" s="5" t="inlineStr">
        <is>
          <t>15 GB para navegar como quiser 5 GB de bônus 5 GB para navegar no Youtube</t>
        </is>
      </c>
      <c r="M47" s="5" t="inlineStr"/>
      <c r="N47" s="5" t="inlineStr"/>
      <c r="O47" s="5" t="inlineStr"/>
      <c r="P47" s="5" t="inlineStr"/>
      <c r="Q47" s="5" t="inlineStr"/>
      <c r="R47" s="5" t="inlineStr"/>
      <c r="S47" s="5" t="inlineStr">
        <is>
          <t>https://vivo.com.br/para-voce/produtos-e-servicos/para-o-celular/pre-pago/vivo-pre</t>
        </is>
      </c>
      <c r="T47" s="5" t="inlineStr">
        <is>
          <t>data/raw/vivo_prepaid_SP.html</t>
        </is>
      </c>
    </row>
    <row r="48">
      <c r="A48" s="2" t="inlineStr">
        <is>
          <t>2026-06-23</t>
        </is>
      </c>
      <c r="B48" s="2" t="inlineStr">
        <is>
          <t>2026-06-23T22:10:23</t>
        </is>
      </c>
      <c r="C48" s="2" t="inlineStr">
        <is>
          <t>vivo</t>
        </is>
      </c>
      <c r="D48" s="2" t="inlineStr">
        <is>
          <t>prepaid</t>
        </is>
      </c>
      <c r="E48" s="2" t="inlineStr">
        <is>
          <t>SP</t>
        </is>
      </c>
      <c r="F48" s="2" t="inlineStr">
        <is>
          <t>Vivo Pré</t>
        </is>
      </c>
      <c r="G48" s="2" t="inlineStr">
        <is>
          <t>vivo:VIV202600022379-9gb</t>
        </is>
      </c>
      <c r="H48" s="3" t="n">
        <v>25</v>
      </c>
      <c r="I48" s="3" t="inlineStr"/>
      <c r="J48" s="2" t="inlineStr"/>
      <c r="K48" s="4" t="n">
        <v>9</v>
      </c>
      <c r="L48" s="2" t="inlineStr">
        <is>
          <t>6 GB para navegar como quiser 3 GB para navegar no YouTube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https://vivo.com.br/para-voce/produtos-e-servicos/para-o-celular/pre-pago/vivo-pre</t>
        </is>
      </c>
      <c r="T48" s="2" t="inlineStr">
        <is>
          <t>data/raw/vivo_prepaid_SP.html</t>
        </is>
      </c>
    </row>
    <row r="49">
      <c r="A49" s="5" t="inlineStr">
        <is>
          <t>2026-06-23</t>
        </is>
      </c>
      <c r="B49" s="5" t="inlineStr">
        <is>
          <t>2026-06-23T22:10:23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vivo:VIV202600022379-5gb</t>
        </is>
      </c>
      <c r="H49" s="6" t="n">
        <v>20</v>
      </c>
      <c r="I49" s="6" t="inlineStr"/>
      <c r="J49" s="5" t="inlineStr"/>
      <c r="K49" s="7" t="n">
        <v>5</v>
      </c>
      <c r="L49" s="5" t="inlineStr">
        <is>
          <t>5 GB para navegar como quiser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2026-06-23</t>
        </is>
      </c>
      <c r="B50" s="2" t="inlineStr">
        <is>
          <t>2026-06-23T22:10:23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vivo:VIV202600022379-4gb</t>
        </is>
      </c>
      <c r="H50" s="3" t="n">
        <v>17</v>
      </c>
      <c r="I50" s="3" t="inlineStr"/>
      <c r="J50" s="2" t="inlineStr"/>
      <c r="K50" s="4" t="n">
        <v>4</v>
      </c>
      <c r="L50" s="2" t="inlineStr">
        <is>
          <t>4 GB para navegar como quiser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</sheetData>
  <autoFilter ref="A1:T50"/>
  <conditionalFormatting sqref="H2:H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0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removed</t>
        </is>
      </c>
      <c r="B2" s="2" t="inlineStr">
        <is>
          <t>vivo</t>
        </is>
      </c>
      <c r="C2" s="2" t="inlineStr">
        <is>
          <t>lite</t>
        </is>
      </c>
      <c r="D2" s="2" t="inlineStr">
        <is>
          <t>SP</t>
        </is>
      </c>
      <c r="E2" s="2" t="inlineStr">
        <is>
          <t>vivo:VIV202600019127-30gb</t>
        </is>
      </c>
      <c r="F2" s="2" t="inlineStr">
        <is>
          <t>Easy Lite</t>
        </is>
      </c>
      <c r="G2" s="3" t="n">
        <v>40</v>
      </c>
      <c r="H2" s="3" t="inlineStr"/>
      <c r="I2" s="3" t="inlineStr"/>
    </row>
    <row r="3">
      <c r="A3" s="5" t="inlineStr">
        <is>
          <t>removed</t>
        </is>
      </c>
      <c r="B3" s="5" t="inlineStr">
        <is>
          <t>vivo</t>
        </is>
      </c>
      <c r="C3" s="5" t="inlineStr">
        <is>
          <t>lite</t>
        </is>
      </c>
      <c r="D3" s="5" t="inlineStr">
        <is>
          <t>SP</t>
        </is>
      </c>
      <c r="E3" s="5" t="inlineStr">
        <is>
          <t>vivo:VIV202600019129-40gb</t>
        </is>
      </c>
      <c r="F3" s="5" t="inlineStr">
        <is>
          <t>Easy Lite</t>
        </is>
      </c>
      <c r="G3" s="6" t="n">
        <v>50</v>
      </c>
      <c r="H3" s="6" t="inlineStr"/>
      <c r="I3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2026-06-23T22:10:23</t>
        </is>
      </c>
    </row>
    <row r="4">
      <c r="A4" s="9" t="inlineStr">
        <is>
          <t>Latest snapshot</t>
        </is>
      </c>
      <c r="B4" s="2" t="inlineStr">
        <is>
          <t>2026-06-23</t>
        </is>
      </c>
    </row>
    <row r="5">
      <c r="A5" s="9" t="inlineStr">
        <is>
          <t>Plans in latest</t>
        </is>
      </c>
      <c r="B5" s="2" t="n">
        <v>49</v>
      </c>
    </row>
    <row r="6">
      <c r="A6" s="9" t="inlineStr">
        <is>
          <t>Snapshots in history</t>
        </is>
      </c>
      <c r="B6" s="2" t="n">
        <v>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0"/>
  <sheetViews>
    <sheetView showGridLines="0" workbookViewId="0">
      <pane xSplit="1" ySplit="36" topLeftCell="B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8" t="inlineStr">
        <is>
          <t>Price evolution — cheapest R$ per carrier × category, by date</t>
        </is>
      </c>
    </row>
    <row r="35">
      <c r="A35" s="1" t="inlineStr">
        <is>
          <t>Date</t>
        </is>
      </c>
      <c r="B35" s="11" t="inlineStr">
        <is>
          <t>Control (R$/mo)</t>
        </is>
      </c>
      <c r="C35" s="11" t="n"/>
      <c r="D35" s="11" t="n"/>
      <c r="E35" s="11" t="inlineStr">
        <is>
          <t>Post (R$/mo)</t>
        </is>
      </c>
      <c r="F35" s="11" t="n"/>
      <c r="G35" s="11" t="n"/>
      <c r="H35" s="11" t="inlineStr">
        <is>
          <t>Pre (R$, recarga)</t>
        </is>
      </c>
      <c r="I35" s="11" t="n"/>
      <c r="J35" s="11" t="n"/>
      <c r="K35" s="11" t="inlineStr">
        <is>
          <t>Digital (R$/mo)</t>
        </is>
      </c>
      <c r="L35" s="11" t="n"/>
      <c r="M35" s="11" t="n"/>
    </row>
    <row r="36">
      <c r="A36" s="1" t="n"/>
      <c r="B36" s="11" t="inlineStr">
        <is>
          <t>TIM</t>
        </is>
      </c>
      <c r="C36" s="11" t="inlineStr">
        <is>
          <t>Vivo</t>
        </is>
      </c>
      <c r="D36" s="11" t="inlineStr">
        <is>
          <t>Claro</t>
        </is>
      </c>
      <c r="E36" s="11" t="inlineStr">
        <is>
          <t>TIM</t>
        </is>
      </c>
      <c r="F36" s="11" t="inlineStr">
        <is>
          <t>Vivo</t>
        </is>
      </c>
      <c r="G36" s="11" t="inlineStr">
        <is>
          <t>Claro</t>
        </is>
      </c>
      <c r="H36" s="11" t="inlineStr">
        <is>
          <t>TIM</t>
        </is>
      </c>
      <c r="I36" s="11" t="inlineStr">
        <is>
          <t>Vivo</t>
        </is>
      </c>
      <c r="J36" s="11" t="inlineStr">
        <is>
          <t>Claro</t>
        </is>
      </c>
      <c r="K36" s="11" t="inlineStr">
        <is>
          <t>TIM</t>
        </is>
      </c>
      <c r="L36" s="11" t="inlineStr">
        <is>
          <t>Vivo</t>
        </is>
      </c>
      <c r="M36" s="11" t="inlineStr">
        <is>
          <t>Claro</t>
        </is>
      </c>
    </row>
    <row r="37">
      <c r="A37" s="2" t="inlineStr">
        <is>
          <t>2026-06-22</t>
        </is>
      </c>
      <c r="B37" s="3">
        <f>IF(_xlfn.MINIFS(history!$H:$H,history!$C:$C,"tim",history!$D:$D,"control",history!$A:$A,$A37)=0,"",_xlfn.MINIFS(history!$H:$H,history!$C:$C,"tim",history!$D:$D,"control",history!$A:$A,$A37))</f>
        <v/>
      </c>
      <c r="C37" s="3">
        <f>IF(_xlfn.MINIFS(history!$H:$H,history!$C:$C,"vivo",history!$D:$D,"control",history!$A:$A,$A37)=0,"",_xlfn.MINIFS(history!$H:$H,history!$C:$C,"vivo",history!$D:$D,"control",history!$A:$A,$A37))</f>
        <v/>
      </c>
      <c r="D37" s="3">
        <f>IF(_xlfn.MINIFS(history!$H:$H,history!$C:$C,"claro",history!$D:$D,"control",history!$A:$A,$A37)=0,"",_xlfn.MINIFS(history!$H:$H,history!$C:$C,"claro",history!$D:$D,"control",history!$A:$A,$A37))</f>
        <v/>
      </c>
      <c r="E37" s="3">
        <f>IF(_xlfn.MINIFS(history!$H:$H,history!$C:$C,"tim",history!$D:$D,"postpaid",history!$A:$A,$A37)=0,"",_xlfn.MINIFS(history!$H:$H,history!$C:$C,"tim",history!$D:$D,"postpaid",history!$A:$A,$A37))</f>
        <v/>
      </c>
      <c r="F37" s="3">
        <f>IF(_xlfn.MINIFS(history!$H:$H,history!$C:$C,"vivo",history!$D:$D,"postpaid",history!$A:$A,$A37)=0,"",_xlfn.MINIFS(history!$H:$H,history!$C:$C,"vivo",history!$D:$D,"postpaid",history!$A:$A,$A37))</f>
        <v/>
      </c>
      <c r="G37" s="3">
        <f>IF(_xlfn.MINIFS(history!$H:$H,history!$C:$C,"claro",history!$D:$D,"postpaid",history!$A:$A,$A37)=0,"",_xlfn.MINIFS(history!$H:$H,history!$C:$C,"claro",history!$D:$D,"postpaid",history!$A:$A,$A37))</f>
        <v/>
      </c>
      <c r="H37" s="3">
        <f>IF(_xlfn.MINIFS(history!$H:$H,history!$C:$C,"tim",history!$D:$D,"prepaid",history!$A:$A,$A37)=0,"",_xlfn.MINIFS(history!$H:$H,history!$C:$C,"tim",history!$D:$D,"prepaid",history!$A:$A,$A37))</f>
        <v/>
      </c>
      <c r="I37" s="3">
        <f>IF(_xlfn.MINIFS(history!$H:$H,history!$C:$C,"vivo",history!$D:$D,"prepaid",history!$A:$A,$A37)=0,"",_xlfn.MINIFS(history!$H:$H,history!$C:$C,"vivo",history!$D:$D,"prepaid",history!$A:$A,$A37))</f>
        <v/>
      </c>
      <c r="J37" s="3">
        <f>IF(_xlfn.MINIFS(history!$H:$H,history!$C:$C,"claro",history!$D:$D,"prepaid",history!$A:$A,$A37)=0,"",_xlfn.MINIFS(history!$H:$H,history!$C:$C,"claro",history!$D:$D,"prepaid",history!$A:$A,$A37))</f>
        <v/>
      </c>
      <c r="K37" s="3">
        <f>IFERROR(1/MAX(IFERROR(1/_xlfn.MINIFS(history!$H:$H,history!$C:$C,"tim",history!$D:$D,"lite",history!$A:$A,$A37),0),IFERROR(1/_xlfn.MINIFS(history!$H:$H,history!$C:$C,"tim",history!$D:$D,"flex",history!$A:$A,$A37),0)),"")</f>
        <v/>
      </c>
      <c r="L37" s="3">
        <f>IFERROR(1/MAX(IFERROR(1/_xlfn.MINIFS(history!$H:$H,history!$C:$C,"vivo",history!$D:$D,"lite",history!$A:$A,$A37),0),IFERROR(1/_xlfn.MINIFS(history!$H:$H,history!$C:$C,"vivo",history!$D:$D,"flex",history!$A:$A,$A37),0)),"")</f>
        <v/>
      </c>
      <c r="M37" s="3">
        <f>IFERROR(1/MAX(IFERROR(1/_xlfn.MINIFS(history!$H:$H,history!$C:$C,"claro",history!$D:$D,"lite",history!$A:$A,$A37),0),IFERROR(1/_xlfn.MINIFS(history!$H:$H,history!$C:$C,"claro",history!$D:$D,"flex",history!$A:$A,$A37),0)),"")</f>
        <v/>
      </c>
    </row>
    <row r="38">
      <c r="A38" s="2" t="inlineStr">
        <is>
          <t>2026-06-23</t>
        </is>
      </c>
      <c r="B38" s="3">
        <f>IF(_xlfn.MINIFS(history!$H:$H,history!$C:$C,"tim",history!$D:$D,"control",history!$A:$A,$A38)=0,"",_xlfn.MINIFS(history!$H:$H,history!$C:$C,"tim",history!$D:$D,"control",history!$A:$A,$A38))</f>
        <v/>
      </c>
      <c r="C38" s="3">
        <f>IF(_xlfn.MINIFS(history!$H:$H,history!$C:$C,"vivo",history!$D:$D,"control",history!$A:$A,$A38)=0,"",_xlfn.MINIFS(history!$H:$H,history!$C:$C,"vivo",history!$D:$D,"control",history!$A:$A,$A38))</f>
        <v/>
      </c>
      <c r="D38" s="3">
        <f>IF(_xlfn.MINIFS(history!$H:$H,history!$C:$C,"claro",history!$D:$D,"control",history!$A:$A,$A38)=0,"",_xlfn.MINIFS(history!$H:$H,history!$C:$C,"claro",history!$D:$D,"control",history!$A:$A,$A38))</f>
        <v/>
      </c>
      <c r="E38" s="3">
        <f>IF(_xlfn.MINIFS(history!$H:$H,history!$C:$C,"tim",history!$D:$D,"postpaid",history!$A:$A,$A38)=0,"",_xlfn.MINIFS(history!$H:$H,history!$C:$C,"tim",history!$D:$D,"postpaid",history!$A:$A,$A38))</f>
        <v/>
      </c>
      <c r="F38" s="3">
        <f>IF(_xlfn.MINIFS(history!$H:$H,history!$C:$C,"vivo",history!$D:$D,"postpaid",history!$A:$A,$A38)=0,"",_xlfn.MINIFS(history!$H:$H,history!$C:$C,"vivo",history!$D:$D,"postpaid",history!$A:$A,$A38))</f>
        <v/>
      </c>
      <c r="G38" s="3">
        <f>IF(_xlfn.MINIFS(history!$H:$H,history!$C:$C,"claro",history!$D:$D,"postpaid",history!$A:$A,$A38)=0,"",_xlfn.MINIFS(history!$H:$H,history!$C:$C,"claro",history!$D:$D,"postpaid",history!$A:$A,$A38))</f>
        <v/>
      </c>
      <c r="H38" s="3">
        <f>IF(_xlfn.MINIFS(history!$H:$H,history!$C:$C,"tim",history!$D:$D,"prepaid",history!$A:$A,$A38)=0,"",_xlfn.MINIFS(history!$H:$H,history!$C:$C,"tim",history!$D:$D,"prepaid",history!$A:$A,$A38))</f>
        <v/>
      </c>
      <c r="I38" s="3">
        <f>IF(_xlfn.MINIFS(history!$H:$H,history!$C:$C,"vivo",history!$D:$D,"prepaid",history!$A:$A,$A38)=0,"",_xlfn.MINIFS(history!$H:$H,history!$C:$C,"vivo",history!$D:$D,"prepaid",history!$A:$A,$A38))</f>
        <v/>
      </c>
      <c r="J38" s="3">
        <f>IF(_xlfn.MINIFS(history!$H:$H,history!$C:$C,"claro",history!$D:$D,"prepaid",history!$A:$A,$A38)=0,"",_xlfn.MINIFS(history!$H:$H,history!$C:$C,"claro",history!$D:$D,"prepaid",history!$A:$A,$A38))</f>
        <v/>
      </c>
      <c r="K38" s="3">
        <f>IFERROR(1/MAX(IFERROR(1/_xlfn.MINIFS(history!$H:$H,history!$C:$C,"tim",history!$D:$D,"lite",history!$A:$A,$A38),0),IFERROR(1/_xlfn.MINIFS(history!$H:$H,history!$C:$C,"tim",history!$D:$D,"flex",history!$A:$A,$A38),0)),"")</f>
        <v/>
      </c>
      <c r="L38" s="3">
        <f>IFERROR(1/MAX(IFERROR(1/_xlfn.MINIFS(history!$H:$H,history!$C:$C,"vivo",history!$D:$D,"lite",history!$A:$A,$A38),0),IFERROR(1/_xlfn.MINIFS(history!$H:$H,history!$C:$C,"vivo",history!$D:$D,"flex",history!$A:$A,$A38),0)),"")</f>
        <v/>
      </c>
      <c r="M38" s="3">
        <f>IFERROR(1/MAX(IFERROR(1/_xlfn.MINIFS(history!$H:$H,history!$C:$C,"claro",history!$D:$D,"lite",history!$A:$A,$A38),0),IFERROR(1/_xlfn.MINIFS(history!$H:$H,history!$C:$C,"claro",history!$D:$D,"flex",history!$A:$A,$A38),0)),"")</f>
        <v/>
      </c>
    </row>
    <row r="40">
      <c r="A40" s="12" t="inlineStr">
        <is>
          <t>Pre = cheapest recharge amount captured (true R$/day needs validity-days we don't yet capture — CONTEXT §8). Digital = min of Vivo Lite / Claro Flex. Daily rows now; monthly roll-up is the planned next step.</t>
        </is>
      </c>
    </row>
  </sheetData>
  <mergeCells count="5">
    <mergeCell ref="A35:A36"/>
    <mergeCell ref="B35:D35"/>
    <mergeCell ref="E35:G35"/>
    <mergeCell ref="K35:M35"/>
    <mergeCell ref="H35:J35"/>
  </mergeCells>
  <conditionalFormatting sqref="B37:D3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37:G3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37:J3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37:M3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3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4" t="n"/>
      <c r="D10" s="6" t="n">
        <v>159.99</v>
      </c>
      <c r="E10" s="5" t="inlineStr">
        <is>
          <t>Vivo Pós com Premiere (60GB)</t>
        </is>
      </c>
      <c r="F10" s="14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3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4" t="n"/>
      <c r="D18" s="6" t="n">
        <v>64.98999999999999</v>
      </c>
      <c r="E18" s="5" t="inlineStr">
        <is>
          <t>Vivo Controle Saúde (61GB)</t>
        </is>
      </c>
      <c r="F18" s="14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4" t="n"/>
      <c r="D20" s="14" t="n"/>
      <c r="E20" s="5" t="inlineStr">
        <is>
          <t>Vivo Controle Netflix (61GB)</t>
        </is>
      </c>
      <c r="F20" s="14" t="n"/>
      <c r="G20" s="14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3" t="inlineStr">
        <is>
          <t>Prepaid</t>
        </is>
      </c>
    </row>
    <row r="24">
      <c r="A24" s="12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</v>
      </c>
      <c r="D26" s="3" t="n">
        <v>20</v>
      </c>
      <c r="E26" s="2" t="inlineStr">
        <is>
          <t>Vivo Pré (4GB)</t>
        </is>
      </c>
      <c r="F26" s="2" t="inlineStr">
        <is>
          <t>Prezão R$1 por dia (12GB)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14" t="n"/>
      <c r="D27" s="6" t="n">
        <v>25</v>
      </c>
      <c r="E27" s="5" t="inlineStr">
        <is>
          <t>Vivo Pré (5GB)</t>
        </is>
      </c>
      <c r="F27" s="14" t="n"/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D28" s="3" t="n">
        <v>30</v>
      </c>
      <c r="E28" s="2" t="inlineStr">
        <is>
          <t>Vivo Pré (9GB)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14" t="n"/>
      <c r="D29" s="14" t="n"/>
      <c r="E29" s="5" t="inlineStr">
        <is>
          <t>Vivo Pré (25GB)</t>
        </is>
      </c>
      <c r="F29" s="14" t="n"/>
      <c r="G29" s="14" t="n"/>
    </row>
    <row r="31">
      <c r="A31" s="13" t="inlineStr">
        <is>
          <t>Digital</t>
        </is>
      </c>
    </row>
    <row r="32">
      <c r="A32" s="12" t="inlineStr">
        <is>
          <t>Digital = Vivo Lite + Claro Flex (TIM has no digital line).</t>
        </is>
      </c>
    </row>
    <row r="33">
      <c r="A33" s="1" t="inlineStr">
        <is>
          <t>Rank</t>
        </is>
      </c>
      <c r="B33" s="1" t="inlineStr">
        <is>
          <t>Vivo R$</t>
        </is>
      </c>
      <c r="C33" s="1" t="inlineStr">
        <is>
          <t>Claro R$</t>
        </is>
      </c>
      <c r="D33" s="1" t="inlineStr">
        <is>
          <t>TIM R$</t>
        </is>
      </c>
      <c r="E33" s="1" t="inlineStr">
        <is>
          <t>Vivo plan</t>
        </is>
      </c>
      <c r="F33" s="1" t="inlineStr">
        <is>
          <t>Claro plan</t>
        </is>
      </c>
      <c r="G33" s="1" t="inlineStr">
        <is>
          <t>TIM plan</t>
        </is>
      </c>
    </row>
    <row r="34">
      <c r="A34" s="2" t="n">
        <v>1</v>
      </c>
      <c r="B34" s="3" t="n">
        <v>30</v>
      </c>
      <c r="C34" s="3" t="n">
        <v>44.9</v>
      </c>
      <c r="E34" s="2" t="inlineStr">
        <is>
          <t>Easy Lite (30GB)</t>
        </is>
      </c>
      <c r="F34" s="2" t="inlineStr">
        <is>
          <t>Flex 15GB (15GB)</t>
        </is>
      </c>
    </row>
    <row r="35">
      <c r="A35" s="5" t="n">
        <v>2</v>
      </c>
      <c r="B35" s="6" t="n">
        <v>35</v>
      </c>
      <c r="C35" s="6" t="n">
        <v>59.9</v>
      </c>
      <c r="D35" s="14" t="n"/>
      <c r="E35" s="5" t="inlineStr">
        <is>
          <t>Easy Lite (20GB)</t>
        </is>
      </c>
      <c r="F35" s="5" t="inlineStr">
        <is>
          <t>Flex 20GB (20GB)</t>
        </is>
      </c>
      <c r="G35" s="14" t="n"/>
    </row>
    <row r="36">
      <c r="A36" s="2" t="n">
        <v>3</v>
      </c>
      <c r="B36" s="3" t="n">
        <v>40</v>
      </c>
      <c r="C36" s="3" t="n">
        <v>69.90000000000001</v>
      </c>
      <c r="E36" s="2" t="inlineStr">
        <is>
          <t>Easy Lite (40GB)</t>
        </is>
      </c>
      <c r="F36" s="2" t="inlineStr">
        <is>
          <t>Flex 30GB (30GB)</t>
        </is>
      </c>
    </row>
    <row r="37">
      <c r="A37" s="5" t="n">
        <v>4</v>
      </c>
      <c r="B37" s="14" t="n"/>
      <c r="C37" s="6" t="n">
        <v>119.9</v>
      </c>
      <c r="D37" s="14" t="n"/>
      <c r="E37" s="14" t="n"/>
      <c r="F37" s="5" t="inlineStr">
        <is>
          <t>Flex 40GB (40GB)</t>
        </is>
      </c>
      <c r="G37" s="14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29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D37">
    <cfRule type="expression" priority="7" dxfId="1" stopIfTrue="1">
      <formula>AND(B34&lt;&gt;"",B34=MIN($B34:$D34))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5" t="inlineStr">
        <is>
          <t>Digital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Youtube Ilimitado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Youtube Ilimitado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Youtube Ilimitado</t>
        </is>
      </c>
    </row>
    <row r="22">
      <c r="A22" s="15" t="inlineStr">
        <is>
          <t>Prepaid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A291C"/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5" t="inlineStr">
        <is>
          <t>Control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Controle 25GB</t>
        </is>
      </c>
      <c r="B9" s="3" t="n">
        <v>59.9</v>
      </c>
      <c r="C9" s="17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5" t="inlineStr">
        <is>
          <t>Digital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5" t="inlineStr">
        <is>
          <t>Prepaid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Prezão R$1 por dia</t>
        </is>
      </c>
      <c r="B18" s="3" t="n">
        <v>1</v>
      </c>
      <c r="C18" s="3" t="n"/>
      <c r="D18" s="2" t="inlineStr">
        <is>
          <t>12 GB</t>
        </is>
      </c>
      <c r="E18" s="2" t="n"/>
      <c r="F18" s="2" t="n"/>
      <c r="G18" s="2" t="n"/>
      <c r="H18" s="2" t="inlineStr">
        <is>
          <t>prepaid Prezão — preço por dia; recargas a partir de R$15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5" t="inlineStr">
        <is>
          <t>Prepaid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2026-06-23T22:11:47Z</dcterms:created>
  <dcterms:modified xsi:type="dcterms:W3CDTF">2026-06-23T22:11:48Z</dcterms:modified>
</cp:coreProperties>
</file>