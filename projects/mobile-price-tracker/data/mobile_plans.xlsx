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'history'!$A$1:$V$4306</definedName>
    <definedName name="_xlnm._FilterDatabase" localSheetId="1" hidden="1">'latest'!$A$1:$V$65</definedName>
    <definedName name="_xlnm._FilterDatabase" localSheetId="10" hidden="1">'convergent_history'!$A$1:$Z$838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'comparison'!$B$3:$B$75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'comparison'!$C$3:$C$75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'comparison'!$D$3:$D$75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'comparison'!$E$3:$E$75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'comparison'!$F$3:$F$75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'comparison'!$G$3:$G$75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'comparison'!$H$3:$H$75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'comparison'!$I$3:$I$75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'comparison'!$J$3:$J$75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'comparison'!$K$3:$K$75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'comparison'!$L$3:$L$75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'comparison'!$A$3:$A$75</f>
            </numRef>
          </cat>
          <val>
            <numRef>
              <f>'comparison'!$M$3:$M$75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30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  <row r="4243">
      <c r="A4243" s="5" t="inlineStr">
        <is>
          <t>2026-09-05</t>
        </is>
      </c>
      <c r="B4243" s="5" t="inlineStr">
        <is>
          <t>2026-09-05T19:37:33</t>
        </is>
      </c>
      <c r="C4243" s="5" t="inlineStr">
        <is>
          <t>claro</t>
        </is>
      </c>
      <c r="D4243" s="5" t="inlineStr">
        <is>
          <t>control</t>
        </is>
      </c>
      <c r="E4243" s="5" t="inlineStr">
        <is>
          <t>SP</t>
        </is>
      </c>
      <c r="F4243" s="5" t="inlineStr">
        <is>
          <t>Controle 25GB</t>
        </is>
      </c>
      <c r="G4243" s="5" t="inlineStr">
        <is>
          <t>claro:plano-controle-25gb</t>
        </is>
      </c>
      <c r="H4243" s="6" t="n">
        <v>59.9</v>
      </c>
      <c r="I4243" s="6" t="n">
        <v>54.9</v>
      </c>
      <c r="J4243" s="5" t="inlineStr">
        <is>
          <t>De R$ 59,90 Por:</t>
        </is>
      </c>
      <c r="K4243" s="5" t="inlineStr"/>
      <c r="L4243" s="7" t="n">
        <v>25</v>
      </c>
      <c r="M4243" s="5" t="inlineStr"/>
      <c r="N4243" s="5" t="inlineStr"/>
      <c r="O4243" s="5" t="inlineStr">
        <is>
          <t>WhatsApp</t>
        </is>
      </c>
      <c r="P4243" s="5" t="inlineStr"/>
      <c r="Q4243" s="5" t="inlineStr"/>
      <c r="R4243" s="5" t="inlineStr"/>
      <c r="S4243" s="5" t="inlineStr"/>
      <c r="T4243" s="5" t="inlineStr">
        <is>
          <t>Para uso livre; Para redes sociais e vídeos; Bônus exclusivo; Aproveite na sua franquia; WhatsApp e ligações ilimitadas</t>
        </is>
      </c>
      <c r="U4243" s="5" t="inlineStr">
        <is>
          <t>https://www.claro.com.br/celular/controle</t>
        </is>
      </c>
      <c r="V4243" s="5" t="inlineStr">
        <is>
          <t>data/raw/claro_control_SP.json</t>
        </is>
      </c>
    </row>
    <row r="4244">
      <c r="A4244" s="2" t="inlineStr">
        <is>
          <t>2026-09-05</t>
        </is>
      </c>
      <c r="B4244" s="2" t="inlineStr">
        <is>
          <t>2026-09-05T19:37:33</t>
        </is>
      </c>
      <c r="C4244" s="2" t="inlineStr">
        <is>
          <t>claro</t>
        </is>
      </c>
      <c r="D4244" s="2" t="inlineStr">
        <is>
          <t>control</t>
        </is>
      </c>
      <c r="E4244" s="2" t="inlineStr">
        <is>
          <t>SP</t>
        </is>
      </c>
      <c r="F4244" s="2" t="inlineStr">
        <is>
          <t>Controle 30GB</t>
        </is>
      </c>
      <c r="G4244" s="2" t="inlineStr">
        <is>
          <t>claro:plano-controle-30gb</t>
        </is>
      </c>
      <c r="H4244" s="3" t="n">
        <v>69.90000000000001</v>
      </c>
      <c r="I4244" s="3" t="inlineStr"/>
      <c r="J4244" s="2" t="inlineStr"/>
      <c r="K4244" s="2" t="inlineStr"/>
      <c r="L4244" s="4" t="n">
        <v>30</v>
      </c>
      <c r="M4244" s="2" t="inlineStr"/>
      <c r="N4244" s="2" t="inlineStr"/>
      <c r="O4244" s="2" t="inlineStr">
        <is>
          <t>WhatsApp</t>
        </is>
      </c>
      <c r="P4244" s="2" t="inlineStr"/>
      <c r="Q4244" s="2" t="inlineStr"/>
      <c r="R4244" s="2" t="inlineStr"/>
      <c r="S4244" s="2" t="inlineStr"/>
      <c r="T4244" s="2" t="inlineStr">
        <is>
          <t>Para uso livre; Bônus para uso livre; Bônus para redes sociais e apps; Assinatura Amazon Prime por 3 meses; Redes sociais e apps; WhatsApp ilimitado</t>
        </is>
      </c>
      <c r="U4244" s="2" t="inlineStr">
        <is>
          <t>https://www.claro.com.br/celular/controle</t>
        </is>
      </c>
      <c r="V4244" s="2" t="inlineStr">
        <is>
          <t>data/raw/claro_control_SP.json</t>
        </is>
      </c>
    </row>
    <row r="4245">
      <c r="A4245" s="5" t="inlineStr">
        <is>
          <t>2026-09-05</t>
        </is>
      </c>
      <c r="B4245" s="5" t="inlineStr">
        <is>
          <t>2026-09-05T19:37:33</t>
        </is>
      </c>
      <c r="C4245" s="5" t="inlineStr">
        <is>
          <t>claro</t>
        </is>
      </c>
      <c r="D4245" s="5" t="inlineStr">
        <is>
          <t>control</t>
        </is>
      </c>
      <c r="E4245" s="5" t="inlineStr">
        <is>
          <t>SP</t>
        </is>
      </c>
      <c r="F4245" s="5" t="inlineStr">
        <is>
          <t>Controle 30GB</t>
        </is>
      </c>
      <c r="G4245" s="5" t="inlineStr">
        <is>
          <t>claro:plano-controle-30gb-gaming</t>
        </is>
      </c>
      <c r="H4245" s="6" t="n">
        <v>99.90000000000001</v>
      </c>
      <c r="I4245" s="6" t="inlineStr"/>
      <c r="J4245" s="5" t="inlineStr"/>
      <c r="K4245" s="5" t="inlineStr"/>
      <c r="L4245" s="7" t="n">
        <v>30</v>
      </c>
      <c r="M4245" s="5" t="inlineStr"/>
      <c r="N4245" s="5" t="inlineStr"/>
      <c r="O4245" s="5" t="inlineStr">
        <is>
          <t>WhatsApp</t>
        </is>
      </c>
      <c r="P4245" s="5" t="inlineStr"/>
      <c r="Q4245" s="5" t="inlineStr"/>
      <c r="R4245" s="5" t="inlineStr"/>
      <c r="S4245" s="5" t="inlineStr"/>
      <c r="T4245" s="5" t="inlineStr">
        <is>
          <t>Para uso livre; Bônus para redes sociais e apps; Bônus uso livre; Assinatura Amazon Prime por 3 meses; Redes sociais e apps; WhatsApp ilimitado</t>
        </is>
      </c>
      <c r="U4245" s="5" t="inlineStr">
        <is>
          <t>https://www.claro.com.br/celular/controle</t>
        </is>
      </c>
      <c r="V4245" s="5" t="inlineStr">
        <is>
          <t>data/raw/claro_control_SP.json</t>
        </is>
      </c>
    </row>
    <row r="4246">
      <c r="A4246" s="2" t="inlineStr">
        <is>
          <t>2026-09-05</t>
        </is>
      </c>
      <c r="B4246" s="2" t="inlineStr">
        <is>
          <t>2026-09-05T19:37:33</t>
        </is>
      </c>
      <c r="C4246" s="2" t="inlineStr">
        <is>
          <t>claro</t>
        </is>
      </c>
      <c r="D4246" s="2" t="inlineStr">
        <is>
          <t>flex</t>
        </is>
      </c>
      <c r="E4246" s="2" t="inlineStr">
        <is>
          <t>SP</t>
        </is>
      </c>
      <c r="F4246" s="2" t="inlineStr">
        <is>
          <t>Flex 15GB</t>
        </is>
      </c>
      <c r="G4246" s="2" t="inlineStr">
        <is>
          <t>claro:plano-flex-15gb</t>
        </is>
      </c>
      <c r="H4246" s="3" t="n">
        <v>44.9</v>
      </c>
      <c r="I4246" s="3" t="inlineStr"/>
      <c r="J4246" s="2" t="inlineStr"/>
      <c r="K4246" s="2" t="inlineStr"/>
      <c r="L4246" s="4" t="n">
        <v>15</v>
      </c>
      <c r="M4246" s="2" t="inlineStr"/>
      <c r="N4246" s="2" t="inlineStr"/>
      <c r="O4246" s="2" t="inlineStr">
        <is>
          <t>WhatsApp</t>
        </is>
      </c>
      <c r="P4246" s="2" t="inlineStr"/>
      <c r="Q4246" s="2" t="inlineStr"/>
      <c r="R4246" s="2" t="inlineStr"/>
      <c r="S4246" s="2" t="inlineStr"/>
      <c r="T4246" s="2" t="inlineStr">
        <is>
          <t>Para uso livre; Para redes sociais e apps; Bônus extra nos apps; WhatsApp ilimitado</t>
        </is>
      </c>
      <c r="U4246" s="2" t="inlineStr">
        <is>
          <t>https://www.claro.com.br/celular/flex</t>
        </is>
      </c>
      <c r="V4246" s="2" t="inlineStr">
        <is>
          <t>data/raw/claro_flex_SP.json</t>
        </is>
      </c>
    </row>
    <row r="4247">
      <c r="A4247" s="5" t="inlineStr">
        <is>
          <t>2026-09-05</t>
        </is>
      </c>
      <c r="B4247" s="5" t="inlineStr">
        <is>
          <t>2026-09-05T19:37:33</t>
        </is>
      </c>
      <c r="C4247" s="5" t="inlineStr">
        <is>
          <t>claro</t>
        </is>
      </c>
      <c r="D4247" s="5" t="inlineStr">
        <is>
          <t>flex</t>
        </is>
      </c>
      <c r="E4247" s="5" t="inlineStr">
        <is>
          <t>SP</t>
        </is>
      </c>
      <c r="F4247" s="5" t="inlineStr">
        <is>
          <t>Flex 20GB</t>
        </is>
      </c>
      <c r="G4247" s="5" t="inlineStr">
        <is>
          <t>claro:plano-flex-20gb</t>
        </is>
      </c>
      <c r="H4247" s="6" t="n">
        <v>59.9</v>
      </c>
      <c r="I4247" s="6" t="inlineStr"/>
      <c r="J4247" s="5" t="inlineStr"/>
      <c r="K4247" s="5" t="inlineStr"/>
      <c r="L4247" s="7" t="n">
        <v>20</v>
      </c>
      <c r="M4247" s="5" t="inlineStr"/>
      <c r="N4247" s="5" t="inlineStr"/>
      <c r="O4247" s="5" t="inlineStr">
        <is>
          <t>WhatsApp</t>
        </is>
      </c>
      <c r="P4247" s="5" t="inlineStr"/>
      <c r="Q4247" s="5" t="inlineStr"/>
      <c r="R4247" s="5" t="inlineStr"/>
      <c r="S4247" s="5" t="inlineStr"/>
      <c r="T4247" s="5" t="inlineStr">
        <is>
          <t>Para uso livre; Para redes sociais e apps; Bônus extra nos apps; WhatsApp ilimitado</t>
        </is>
      </c>
      <c r="U4247" s="5" t="inlineStr">
        <is>
          <t>https://www.claro.com.br/celular/flex</t>
        </is>
      </c>
      <c r="V4247" s="5" t="inlineStr">
        <is>
          <t>data/raw/claro_flex_SP.json</t>
        </is>
      </c>
    </row>
    <row r="4248">
      <c r="A4248" s="2" t="inlineStr">
        <is>
          <t>2026-09-05</t>
        </is>
      </c>
      <c r="B4248" s="2" t="inlineStr">
        <is>
          <t>2026-09-05T19:37:33</t>
        </is>
      </c>
      <c r="C4248" s="2" t="inlineStr">
        <is>
          <t>claro</t>
        </is>
      </c>
      <c r="D4248" s="2" t="inlineStr">
        <is>
          <t>flex</t>
        </is>
      </c>
      <c r="E4248" s="2" t="inlineStr">
        <is>
          <t>SP</t>
        </is>
      </c>
      <c r="F4248" s="2" t="inlineStr">
        <is>
          <t>Flex 30GB</t>
        </is>
      </c>
      <c r="G4248" s="2" t="inlineStr">
        <is>
          <t>claro:plano-flex-30gb</t>
        </is>
      </c>
      <c r="H4248" s="3" t="n">
        <v>69.90000000000001</v>
      </c>
      <c r="I4248" s="3" t="inlineStr"/>
      <c r="J4248" s="2" t="inlineStr"/>
      <c r="K4248" s="2" t="inlineStr"/>
      <c r="L4248" s="4" t="n">
        <v>30</v>
      </c>
      <c r="M4248" s="2" t="inlineStr"/>
      <c r="N4248" s="2" t="inlineStr"/>
      <c r="O4248" s="2" t="inlineStr">
        <is>
          <t>WhatsApp</t>
        </is>
      </c>
      <c r="P4248" s="2" t="inlineStr"/>
      <c r="Q4248" s="2" t="inlineStr"/>
      <c r="R4248" s="2" t="inlineStr"/>
      <c r="S4248" s="2" t="inlineStr"/>
      <c r="T4248" s="2" t="inlineStr">
        <is>
          <t>Para uso livre; Para redes sociais e apps; Bônus extra nos apps; WhatsApp ilimitado; Assinatura Claro musica inclusa</t>
        </is>
      </c>
      <c r="U4248" s="2" t="inlineStr">
        <is>
          <t>https://www.claro.com.br/celular/flex</t>
        </is>
      </c>
      <c r="V4248" s="2" t="inlineStr">
        <is>
          <t>data/raw/claro_flex_SP.json</t>
        </is>
      </c>
    </row>
    <row r="4249">
      <c r="A4249" s="5" t="inlineStr">
        <is>
          <t>2026-09-05</t>
        </is>
      </c>
      <c r="B4249" s="5" t="inlineStr">
        <is>
          <t>2026-09-05T19:37:33</t>
        </is>
      </c>
      <c r="C4249" s="5" t="inlineStr">
        <is>
          <t>claro</t>
        </is>
      </c>
      <c r="D4249" s="5" t="inlineStr">
        <is>
          <t>flex</t>
        </is>
      </c>
      <c r="E4249" s="5" t="inlineStr">
        <is>
          <t>SP</t>
        </is>
      </c>
      <c r="F4249" s="5" t="inlineStr">
        <is>
          <t>Flex 40GB</t>
        </is>
      </c>
      <c r="G4249" s="5" t="inlineStr">
        <is>
          <t>claro:plano-flex-40gb</t>
        </is>
      </c>
      <c r="H4249" s="6" t="n">
        <v>119.9</v>
      </c>
      <c r="I4249" s="6" t="inlineStr"/>
      <c r="J4249" s="5" t="inlineStr"/>
      <c r="K4249" s="5" t="inlineStr"/>
      <c r="L4249" s="7" t="n">
        <v>40</v>
      </c>
      <c r="M4249" s="5" t="inlineStr"/>
      <c r="N4249" s="5" t="inlineStr"/>
      <c r="O4249" s="5" t="inlineStr">
        <is>
          <t>WhatsApp</t>
        </is>
      </c>
      <c r="P4249" s="5" t="inlineStr"/>
      <c r="Q4249" s="5" t="inlineStr"/>
      <c r="R4249" s="5" t="inlineStr"/>
      <c r="S4249" s="5" t="inlineStr"/>
      <c r="T4249" s="5" t="inlineStr">
        <is>
          <t>Para uso livre; WhatsApp ilimitado; Assinatura Claro musica inclusa; Roaming: Passaporte Américas</t>
        </is>
      </c>
      <c r="U4249" s="5" t="inlineStr">
        <is>
          <t>https://www.claro.com.br/celular/flex</t>
        </is>
      </c>
      <c r="V4249" s="5" t="inlineStr">
        <is>
          <t>data/raw/claro_flex_SP.json</t>
        </is>
      </c>
    </row>
    <row r="4250">
      <c r="A4250" s="2" t="inlineStr">
        <is>
          <t>2026-09-05</t>
        </is>
      </c>
      <c r="B4250" s="2" t="inlineStr">
        <is>
          <t>2026-09-05T19:37:33</t>
        </is>
      </c>
      <c r="C4250" s="2" t="inlineStr">
        <is>
          <t>claro</t>
        </is>
      </c>
      <c r="D4250" s="2" t="inlineStr">
        <is>
          <t>postpaid</t>
        </is>
      </c>
      <c r="E4250" s="2" t="inlineStr">
        <is>
          <t>SP</t>
        </is>
      </c>
      <c r="F4250" s="2" t="inlineStr">
        <is>
          <t>Pós 100GB</t>
        </is>
      </c>
      <c r="G4250" s="2" t="inlineStr">
        <is>
          <t>claro:plano-pos-100gb</t>
        </is>
      </c>
      <c r="H4250" s="3" t="n">
        <v>179.9</v>
      </c>
      <c r="I4250" s="3" t="inlineStr"/>
      <c r="J4250" s="2" t="inlineStr"/>
      <c r="K4250" s="2" t="inlineStr"/>
      <c r="L4250" s="4" t="n">
        <v>100</v>
      </c>
      <c r="M4250" s="2" t="inlineStr"/>
      <c r="N4250" s="2" t="inlineStr"/>
      <c r="O4250" s="2" t="inlineStr">
        <is>
          <t>WhatsApp</t>
        </is>
      </c>
      <c r="P4250" s="2" t="inlineStr"/>
      <c r="Q4250" s="2" t="inlineStr"/>
      <c r="R4250" s="2" t="inlineStr"/>
      <c r="S4250" s="2" t="inlineStr"/>
      <c r="T4250" s="2" t="inlineStr">
        <is>
          <t>Armazenamento na nuvem:; Google One ou iCloud+; WhatsApp ilimitado; Assinatura Amazon Prime por 3 meses; Roaming: Passaporte Américas; Claro Sync: Smartwatch conectado</t>
        </is>
      </c>
      <c r="U4250" s="2" t="inlineStr">
        <is>
          <t>https://www.claro.com.br/celular/pos</t>
        </is>
      </c>
      <c r="V4250" s="2" t="inlineStr">
        <is>
          <t>data/raw/claro_postpaid_SP.json</t>
        </is>
      </c>
    </row>
    <row r="4251">
      <c r="A4251" s="5" t="inlineStr">
        <is>
          <t>2026-09-05</t>
        </is>
      </c>
      <c r="B4251" s="5" t="inlineStr">
        <is>
          <t>2026-09-05T19:37:33</t>
        </is>
      </c>
      <c r="C4251" s="5" t="inlineStr">
        <is>
          <t>claro</t>
        </is>
      </c>
      <c r="D4251" s="5" t="inlineStr">
        <is>
          <t>postpaid</t>
        </is>
      </c>
      <c r="E4251" s="5" t="inlineStr">
        <is>
          <t>SP</t>
        </is>
      </c>
      <c r="F4251" s="5" t="inlineStr">
        <is>
          <t>Pós 150GB</t>
        </is>
      </c>
      <c r="G4251" s="5" t="inlineStr">
        <is>
          <t>claro:plano-pos-150gb</t>
        </is>
      </c>
      <c r="H4251" s="6" t="n">
        <v>239.9</v>
      </c>
      <c r="I4251" s="6" t="inlineStr"/>
      <c r="J4251" s="5" t="inlineStr"/>
      <c r="K4251" s="5" t="inlineStr"/>
      <c r="L4251" s="7" t="n">
        <v>150</v>
      </c>
      <c r="M4251" s="5" t="inlineStr"/>
      <c r="N4251" s="5" t="inlineStr"/>
      <c r="O4251" s="5" t="inlineStr">
        <is>
          <t>WhatsApp</t>
        </is>
      </c>
      <c r="P4251" s="5" t="inlineStr"/>
      <c r="Q4251" s="5" t="inlineStr"/>
      <c r="R4251" s="5" t="inlineStr"/>
      <c r="S4251" s="5" t="inlineStr"/>
      <c r="T425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251" s="5" t="inlineStr">
        <is>
          <t>https://www.claro.com.br/celular/pos</t>
        </is>
      </c>
      <c r="V4251" s="5" t="inlineStr">
        <is>
          <t>data/raw/claro_postpaid_SP.json</t>
        </is>
      </c>
    </row>
    <row r="4252">
      <c r="A4252" s="2" t="inlineStr">
        <is>
          <t>2026-09-05</t>
        </is>
      </c>
      <c r="B4252" s="2" t="inlineStr">
        <is>
          <t>2026-09-05T19:37:33</t>
        </is>
      </c>
      <c r="C4252" s="2" t="inlineStr">
        <is>
          <t>claro</t>
        </is>
      </c>
      <c r="D4252" s="2" t="inlineStr">
        <is>
          <t>postpaid</t>
        </is>
      </c>
      <c r="E4252" s="2" t="inlineStr">
        <is>
          <t>SP</t>
        </is>
      </c>
      <c r="F4252" s="2" t="inlineStr">
        <is>
          <t>Pós 200GB</t>
        </is>
      </c>
      <c r="G4252" s="2" t="inlineStr">
        <is>
          <t>claro:plano-pos-200gb</t>
        </is>
      </c>
      <c r="H4252" s="3" t="n">
        <v>339.9</v>
      </c>
      <c r="I4252" s="3" t="inlineStr"/>
      <c r="J4252" s="2" t="inlineStr"/>
      <c r="K4252" s="2" t="inlineStr"/>
      <c r="L4252" s="4" t="n">
        <v>200</v>
      </c>
      <c r="M4252" s="2" t="inlineStr"/>
      <c r="N4252" s="2" t="inlineStr"/>
      <c r="O4252" s="2" t="inlineStr">
        <is>
          <t>WhatsApp</t>
        </is>
      </c>
      <c r="P4252" s="2" t="inlineStr"/>
      <c r="Q4252" s="2" t="inlineStr"/>
      <c r="R4252" s="2" t="inlineStr"/>
      <c r="S4252" s="2" t="inlineStr"/>
      <c r="T4252" s="2" t="inlineStr">
        <is>
          <t>Armazenamento na nuvem:; Google One (AI Plus) ou iCloud+; WhatsApp ilimitado; Assinatura Amazon Prime por 3 meses; Roaming: Passaporte Mundo; Claro Sync: Smartwatch conectado</t>
        </is>
      </c>
      <c r="U4252" s="2" t="inlineStr">
        <is>
          <t>https://www.claro.com.br/celular/pos</t>
        </is>
      </c>
      <c r="V4252" s="2" t="inlineStr">
        <is>
          <t>data/raw/claro_postpaid_SP.json</t>
        </is>
      </c>
    </row>
    <row r="4253">
      <c r="A4253" s="5" t="inlineStr">
        <is>
          <t>2026-09-05</t>
        </is>
      </c>
      <c r="B4253" s="5" t="inlineStr">
        <is>
          <t>2026-09-05T19:37:33</t>
        </is>
      </c>
      <c r="C4253" s="5" t="inlineStr">
        <is>
          <t>claro</t>
        </is>
      </c>
      <c r="D4253" s="5" t="inlineStr">
        <is>
          <t>postpaid</t>
        </is>
      </c>
      <c r="E4253" s="5" t="inlineStr">
        <is>
          <t>SP</t>
        </is>
      </c>
      <c r="F4253" s="5" t="inlineStr">
        <is>
          <t>Pós 50GB com GeForce NOW</t>
        </is>
      </c>
      <c r="G4253" s="5" t="inlineStr">
        <is>
          <t>claro:plano-pos-60gb-geforce</t>
        </is>
      </c>
      <c r="H4253" s="6" t="n">
        <v>164.9</v>
      </c>
      <c r="I4253" s="6" t="inlineStr"/>
      <c r="J4253" s="5" t="inlineStr"/>
      <c r="K4253" s="5" t="inlineStr"/>
      <c r="L4253" s="7" t="n">
        <v>50</v>
      </c>
      <c r="M4253" s="5" t="inlineStr"/>
      <c r="N4253" s="5" t="inlineStr"/>
      <c r="O4253" s="5" t="inlineStr">
        <is>
          <t>WhatsApp</t>
        </is>
      </c>
      <c r="P4253" s="5" t="inlineStr"/>
      <c r="Q4253" s="5" t="inlineStr"/>
      <c r="R4253" s="5" t="inlineStr"/>
      <c r="S4253" s="5" t="inlineStr"/>
      <c r="T425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253" s="5" t="inlineStr">
        <is>
          <t>https://www.claro.com.br/celular/pos</t>
        </is>
      </c>
      <c r="V4253" s="5" t="inlineStr">
        <is>
          <t>data/raw/claro_postpaid_SP.json</t>
        </is>
      </c>
    </row>
    <row r="4254">
      <c r="A4254" s="2" t="inlineStr">
        <is>
          <t>2026-09-05</t>
        </is>
      </c>
      <c r="B4254" s="2" t="inlineStr">
        <is>
          <t>2026-09-05T19:37:33</t>
        </is>
      </c>
      <c r="C4254" s="2" t="inlineStr">
        <is>
          <t>claro</t>
        </is>
      </c>
      <c r="D4254" s="2" t="inlineStr">
        <is>
          <t>postpaid</t>
        </is>
      </c>
      <c r="E4254" s="2" t="inlineStr">
        <is>
          <t>SP</t>
        </is>
      </c>
      <c r="F4254" s="2" t="inlineStr">
        <is>
          <t>Pós 60GB</t>
        </is>
      </c>
      <c r="G4254" s="2" t="inlineStr">
        <is>
          <t>claro:plano-pos-60gb</t>
        </is>
      </c>
      <c r="H4254" s="3" t="n">
        <v>124.9</v>
      </c>
      <c r="I4254" s="3" t="inlineStr"/>
      <c r="J4254" s="2" t="inlineStr"/>
      <c r="K4254" s="2" t="inlineStr"/>
      <c r="L4254" s="4" t="n">
        <v>60</v>
      </c>
      <c r="M4254" s="2" t="inlineStr"/>
      <c r="N4254" s="2" t="inlineStr"/>
      <c r="O4254" s="2" t="inlineStr">
        <is>
          <t>WhatsApp</t>
        </is>
      </c>
      <c r="P4254" s="2" t="inlineStr"/>
      <c r="Q4254" s="2" t="inlineStr"/>
      <c r="R4254" s="2" t="inlineStr"/>
      <c r="S4254" s="2" t="inlineStr"/>
      <c r="T4254" s="2" t="inlineStr">
        <is>
          <t>Armazenamento na nuvem:; Google One ou iCloud+; WhatsApp ilimitado; Assinatura Amazon Prime por 3 meses; Roaming: Passaporte Américas; Claro Sync: Smartwatch conectado</t>
        </is>
      </c>
      <c r="U4254" s="2" t="inlineStr">
        <is>
          <t>https://www.claro.com.br/celular/pos</t>
        </is>
      </c>
      <c r="V4254" s="2" t="inlineStr">
        <is>
          <t>data/raw/claro_postpaid_SP.json</t>
        </is>
      </c>
    </row>
    <row r="4255">
      <c r="A4255" s="5" t="inlineStr">
        <is>
          <t>2026-09-05</t>
        </is>
      </c>
      <c r="B4255" s="5" t="inlineStr">
        <is>
          <t>2026-09-05T19:37:33</t>
        </is>
      </c>
      <c r="C4255" s="5" t="inlineStr">
        <is>
          <t>claro</t>
        </is>
      </c>
      <c r="D4255" s="5" t="inlineStr">
        <is>
          <t>prepaid</t>
        </is>
      </c>
      <c r="E4255" s="5" t="inlineStr">
        <is>
          <t>SP</t>
        </is>
      </c>
      <c r="F4255" s="5" t="inlineStr">
        <is>
          <t>Prezão 10GB (25 dias)</t>
        </is>
      </c>
      <c r="G4255" s="5" t="inlineStr">
        <is>
          <t>claro:prezao-25d-10gb</t>
        </is>
      </c>
      <c r="H4255" s="6" t="n">
        <v>25</v>
      </c>
      <c r="I4255" s="6" t="inlineStr"/>
      <c r="J4255" s="5" t="inlineStr">
        <is>
          <t>recarga Prezão R$25 — validade 25 dias</t>
        </is>
      </c>
      <c r="K4255" s="5" t="inlineStr"/>
      <c r="L4255" s="7" t="n">
        <v>10</v>
      </c>
      <c r="M4255" s="5" t="inlineStr"/>
      <c r="N4255" s="5" t="n">
        <v>25</v>
      </c>
      <c r="O4255" s="5" t="inlineStr"/>
      <c r="P4255" s="5" t="inlineStr"/>
      <c r="Q4255" s="5" t="inlineStr"/>
      <c r="R4255" s="5" t="inlineStr"/>
      <c r="S4255" s="5" t="inlineStr"/>
      <c r="T4255" s="5" t="inlineStr"/>
      <c r="U4255" s="5" t="inlineStr">
        <is>
          <t>https://www.claro.com.br/celular/planos-pre/prezao</t>
        </is>
      </c>
      <c r="V4255" s="5" t="inlineStr">
        <is>
          <t>data/raw/claro_prepaid_SP.json</t>
        </is>
      </c>
    </row>
    <row r="4256">
      <c r="A4256" s="2" t="inlineStr">
        <is>
          <t>2026-09-05</t>
        </is>
      </c>
      <c r="B4256" s="2" t="inlineStr">
        <is>
          <t>2026-09-05T19:37:33</t>
        </is>
      </c>
      <c r="C4256" s="2" t="inlineStr">
        <is>
          <t>claro</t>
        </is>
      </c>
      <c r="D4256" s="2" t="inlineStr">
        <is>
          <t>prepaid</t>
        </is>
      </c>
      <c r="E4256" s="2" t="inlineStr">
        <is>
          <t>SP</t>
        </is>
      </c>
      <c r="F4256" s="2" t="inlineStr">
        <is>
          <t>Prezão 12GB (30 dias)</t>
        </is>
      </c>
      <c r="G4256" s="2" t="inlineStr">
        <is>
          <t>claro:prezao-30d-12gb</t>
        </is>
      </c>
      <c r="H4256" s="3" t="n">
        <v>30</v>
      </c>
      <c r="I4256" s="3" t="inlineStr"/>
      <c r="J4256" s="2" t="inlineStr">
        <is>
          <t>recarga Prezão R$30 — validade 30 dias</t>
        </is>
      </c>
      <c r="K4256" s="2" t="inlineStr"/>
      <c r="L4256" s="4" t="n">
        <v>12</v>
      </c>
      <c r="M4256" s="2" t="inlineStr"/>
      <c r="N4256" s="2" t="n">
        <v>30</v>
      </c>
      <c r="O4256" s="2" t="inlineStr"/>
      <c r="P4256" s="2" t="inlineStr"/>
      <c r="Q4256" s="2" t="inlineStr"/>
      <c r="R4256" s="2" t="inlineStr"/>
      <c r="S4256" s="2" t="inlineStr"/>
      <c r="T4256" s="2" t="inlineStr"/>
      <c r="U4256" s="2" t="inlineStr">
        <is>
          <t>https://www.claro.com.br/celular/planos-pre/prezao</t>
        </is>
      </c>
      <c r="V4256" s="2" t="inlineStr">
        <is>
          <t>data/raw/claro_prepaid_SP.json</t>
        </is>
      </c>
    </row>
    <row r="4257">
      <c r="A4257" s="5" t="inlineStr">
        <is>
          <t>2026-09-05</t>
        </is>
      </c>
      <c r="B4257" s="5" t="inlineStr">
        <is>
          <t>2026-09-05T19:37:33</t>
        </is>
      </c>
      <c r="C4257" s="5" t="inlineStr">
        <is>
          <t>claro</t>
        </is>
      </c>
      <c r="D4257" s="5" t="inlineStr">
        <is>
          <t>prepaid</t>
        </is>
      </c>
      <c r="E4257" s="5" t="inlineStr">
        <is>
          <t>SP</t>
        </is>
      </c>
      <c r="F4257" s="5" t="inlineStr">
        <is>
          <t>Prezão 4GB (12 dias)</t>
        </is>
      </c>
      <c r="G4257" s="5" t="inlineStr">
        <is>
          <t>claro:prezao-12d-4gb</t>
        </is>
      </c>
      <c r="H4257" s="6" t="n">
        <v>15</v>
      </c>
      <c r="I4257" s="6" t="inlineStr"/>
      <c r="J4257" s="5" t="inlineStr">
        <is>
          <t>recarga Prezão R$15 — validade 12 dias</t>
        </is>
      </c>
      <c r="K4257" s="5" t="inlineStr"/>
      <c r="L4257" s="7" t="n">
        <v>4</v>
      </c>
      <c r="M4257" s="5" t="inlineStr"/>
      <c r="N4257" s="5" t="n">
        <v>12</v>
      </c>
      <c r="O4257" s="5" t="inlineStr"/>
      <c r="P4257" s="5" t="inlineStr"/>
      <c r="Q4257" s="5" t="inlineStr"/>
      <c r="R4257" s="5" t="inlineStr"/>
      <c r="S4257" s="5" t="inlineStr"/>
      <c r="T4257" s="5" t="inlineStr"/>
      <c r="U4257" s="5" t="inlineStr">
        <is>
          <t>https://www.claro.com.br/celular/planos-pre/prezao</t>
        </is>
      </c>
      <c r="V4257" s="5" t="inlineStr">
        <is>
          <t>data/raw/claro_prepaid_SP.json</t>
        </is>
      </c>
    </row>
    <row r="4258">
      <c r="A4258" s="2" t="inlineStr">
        <is>
          <t>2026-09-05</t>
        </is>
      </c>
      <c r="B4258" s="2" t="inlineStr">
        <is>
          <t>2026-09-05T19:37:33</t>
        </is>
      </c>
      <c r="C4258" s="2" t="inlineStr">
        <is>
          <t>claro</t>
        </is>
      </c>
      <c r="D4258" s="2" t="inlineStr">
        <is>
          <t>prepaid</t>
        </is>
      </c>
      <c r="E4258" s="2" t="inlineStr">
        <is>
          <t>SP</t>
        </is>
      </c>
      <c r="F4258" s="2" t="inlineStr">
        <is>
          <t>Prezão 5GB (15 dias)</t>
        </is>
      </c>
      <c r="G4258" s="2" t="inlineStr">
        <is>
          <t>claro:prezao-15d-5gb</t>
        </is>
      </c>
      <c r="H4258" s="3" t="n">
        <v>15</v>
      </c>
      <c r="I4258" s="3" t="inlineStr"/>
      <c r="J4258" s="2" t="inlineStr">
        <is>
          <t>recarga Prezão R$15 — validade 15 dias</t>
        </is>
      </c>
      <c r="K4258" s="2" t="inlineStr"/>
      <c r="L4258" s="4" t="n">
        <v>5</v>
      </c>
      <c r="M4258" s="2" t="inlineStr"/>
      <c r="N4258" s="2" t="n">
        <v>15</v>
      </c>
      <c r="O4258" s="2" t="inlineStr"/>
      <c r="P4258" s="2" t="inlineStr"/>
      <c r="Q4258" s="2" t="inlineStr"/>
      <c r="R4258" s="2" t="inlineStr"/>
      <c r="S4258" s="2" t="inlineStr"/>
      <c r="T4258" s="2" t="inlineStr"/>
      <c r="U4258" s="2" t="inlineStr">
        <is>
          <t>https://www.claro.com.br/celular/planos-pre/prezao</t>
        </is>
      </c>
      <c r="V4258" s="2" t="inlineStr">
        <is>
          <t>data/raw/claro_prepaid_SP.json</t>
        </is>
      </c>
    </row>
    <row r="4259">
      <c r="A4259" s="5" t="inlineStr">
        <is>
          <t>2026-09-05</t>
        </is>
      </c>
      <c r="B4259" s="5" t="inlineStr">
        <is>
          <t>2026-09-05T19:37:33</t>
        </is>
      </c>
      <c r="C4259" s="5" t="inlineStr">
        <is>
          <t>claro</t>
        </is>
      </c>
      <c r="D4259" s="5" t="inlineStr">
        <is>
          <t>prepaid</t>
        </is>
      </c>
      <c r="E4259" s="5" t="inlineStr">
        <is>
          <t>SP</t>
        </is>
      </c>
      <c r="F4259" s="5" t="inlineStr">
        <is>
          <t>Prezão 6GB (20 dias)</t>
        </is>
      </c>
      <c r="G4259" s="5" t="inlineStr">
        <is>
          <t>claro:prezao-20d-6gb</t>
        </is>
      </c>
      <c r="H4259" s="6" t="n">
        <v>20</v>
      </c>
      <c r="I4259" s="6" t="inlineStr"/>
      <c r="J4259" s="5" t="inlineStr">
        <is>
          <t>recarga Prezão R$20 — validade 20 dias</t>
        </is>
      </c>
      <c r="K4259" s="5" t="inlineStr"/>
      <c r="L4259" s="7" t="n">
        <v>6</v>
      </c>
      <c r="M4259" s="5" t="inlineStr"/>
      <c r="N4259" s="5" t="n">
        <v>20</v>
      </c>
      <c r="O4259" s="5" t="inlineStr"/>
      <c r="P4259" s="5" t="inlineStr"/>
      <c r="Q4259" s="5" t="inlineStr"/>
      <c r="R4259" s="5" t="inlineStr"/>
      <c r="S4259" s="5" t="inlineStr"/>
      <c r="T4259" s="5" t="inlineStr"/>
      <c r="U4259" s="5" t="inlineStr">
        <is>
          <t>https://www.claro.com.br/celular/planos-pre/prezao</t>
        </is>
      </c>
      <c r="V4259" s="5" t="inlineStr">
        <is>
          <t>data/raw/claro_prepaid_SP.json</t>
        </is>
      </c>
    </row>
    <row r="4260">
      <c r="A4260" s="2" t="inlineStr">
        <is>
          <t>2026-09-05</t>
        </is>
      </c>
      <c r="B4260" s="2" t="inlineStr">
        <is>
          <t>2026-09-05T19:37:33</t>
        </is>
      </c>
      <c r="C4260" s="2" t="inlineStr">
        <is>
          <t>claro</t>
        </is>
      </c>
      <c r="D4260" s="2" t="inlineStr">
        <is>
          <t>prepaid</t>
        </is>
      </c>
      <c r="E4260" s="2" t="inlineStr">
        <is>
          <t>SP</t>
        </is>
      </c>
      <c r="F4260" s="2" t="inlineStr">
        <is>
          <t>Prezão 8GB (20 dias)</t>
        </is>
      </c>
      <c r="G4260" s="2" t="inlineStr">
        <is>
          <t>claro:prezao-20d-8gb</t>
        </is>
      </c>
      <c r="H4260" s="3" t="n">
        <v>20</v>
      </c>
      <c r="I4260" s="3" t="inlineStr"/>
      <c r="J4260" s="2" t="inlineStr">
        <is>
          <t>recarga Prezão R$20 — validade 20 dias</t>
        </is>
      </c>
      <c r="K4260" s="2" t="inlineStr"/>
      <c r="L4260" s="4" t="n">
        <v>8</v>
      </c>
      <c r="M4260" s="2" t="inlineStr"/>
      <c r="N4260" s="2" t="n">
        <v>20</v>
      </c>
      <c r="O4260" s="2" t="inlineStr"/>
      <c r="P4260" s="2" t="inlineStr"/>
      <c r="Q4260" s="2" t="inlineStr"/>
      <c r="R4260" s="2" t="inlineStr"/>
      <c r="S4260" s="2" t="inlineStr"/>
      <c r="T4260" s="2" t="inlineStr"/>
      <c r="U4260" s="2" t="inlineStr">
        <is>
          <t>https://www.claro.com.br/celular/planos-pre/prezao</t>
        </is>
      </c>
      <c r="V4260" s="2" t="inlineStr">
        <is>
          <t>data/raw/claro_prepaid_SP.json</t>
        </is>
      </c>
    </row>
    <row r="4261">
      <c r="A4261" s="5" t="inlineStr">
        <is>
          <t>2026-09-05</t>
        </is>
      </c>
      <c r="B4261" s="5" t="inlineStr">
        <is>
          <t>2026-09-05T19:37:33</t>
        </is>
      </c>
      <c r="C4261" s="5" t="inlineStr">
        <is>
          <t>claro</t>
        </is>
      </c>
      <c r="D4261" s="5" t="inlineStr">
        <is>
          <t>prepaid</t>
        </is>
      </c>
      <c r="E4261" s="5" t="inlineStr">
        <is>
          <t>SP</t>
        </is>
      </c>
      <c r="F4261" s="5" t="inlineStr">
        <is>
          <t>Prezão 9GB (25 dias)</t>
        </is>
      </c>
      <c r="G4261" s="5" t="inlineStr">
        <is>
          <t>claro:prezao-25d-9gb</t>
        </is>
      </c>
      <c r="H4261" s="6" t="n">
        <v>25</v>
      </c>
      <c r="I4261" s="6" t="inlineStr"/>
      <c r="J4261" s="5" t="inlineStr">
        <is>
          <t>recarga Prezão R$25 — validade 25 dias</t>
        </is>
      </c>
      <c r="K4261" s="5" t="inlineStr"/>
      <c r="L4261" s="7" t="n">
        <v>9</v>
      </c>
      <c r="M4261" s="5" t="inlineStr"/>
      <c r="N4261" s="5" t="n">
        <v>25</v>
      </c>
      <c r="O4261" s="5" t="inlineStr"/>
      <c r="P4261" s="5" t="inlineStr"/>
      <c r="Q4261" s="5" t="inlineStr"/>
      <c r="R4261" s="5" t="inlineStr"/>
      <c r="S4261" s="5" t="inlineStr"/>
      <c r="T4261" s="5" t="inlineStr"/>
      <c r="U4261" s="5" t="inlineStr">
        <is>
          <t>https://www.claro.com.br/celular/planos-pre/prezao</t>
        </is>
      </c>
      <c r="V4261" s="5" t="inlineStr">
        <is>
          <t>data/raw/claro_prepaid_SP.json</t>
        </is>
      </c>
    </row>
    <row r="4262">
      <c r="A4262" s="2" t="inlineStr">
        <is>
          <t>2026-09-05</t>
        </is>
      </c>
      <c r="B4262" s="2" t="inlineStr">
        <is>
          <t>2026-09-05T19:37:33</t>
        </is>
      </c>
      <c r="C4262" s="2" t="inlineStr">
        <is>
          <t>tim</t>
        </is>
      </c>
      <c r="D4262" s="2" t="inlineStr">
        <is>
          <t>control</t>
        </is>
      </c>
      <c r="E4262" s="2" t="inlineStr">
        <is>
          <t>SP</t>
        </is>
      </c>
      <c r="F4262" s="2" t="inlineStr">
        <is>
          <t>TIM Controle 45GB</t>
        </is>
      </c>
      <c r="G4262" s="2" t="inlineStr">
        <is>
          <t>tim:182766</t>
        </is>
      </c>
      <c r="H4262" s="3" t="n">
        <v>49.99</v>
      </c>
      <c r="I4262" s="3" t="inlineStr"/>
      <c r="J4262" s="2" t="inlineStr"/>
      <c r="K4262" s="2" t="inlineStr"/>
      <c r="L4262" s="4" t="n">
        <v>45</v>
      </c>
      <c r="M4262" s="2" t="inlineStr"/>
      <c r="N4262" s="2" t="inlineStr"/>
      <c r="O4262" s="2" t="inlineStr"/>
      <c r="P4262" s="2" t="inlineStr"/>
      <c r="Q4262" s="2" t="inlineStr"/>
      <c r="R4262" s="2" t="inlineStr"/>
      <c r="S4262" s="2" t="inlineStr"/>
      <c r="T4262" s="2" t="inlineStr"/>
      <c r="U4262" s="2" t="inlineStr">
        <is>
          <t>https://www.tim.com.br/sp/para-voce/planos/controle</t>
        </is>
      </c>
      <c r="V4262" s="2" t="inlineStr">
        <is>
          <t>data/raw/tim_control_SP.html</t>
        </is>
      </c>
    </row>
    <row r="4263">
      <c r="A4263" s="5" t="inlineStr">
        <is>
          <t>2026-09-05</t>
        </is>
      </c>
      <c r="B4263" s="5" t="inlineStr">
        <is>
          <t>2026-09-05T19:37:33</t>
        </is>
      </c>
      <c r="C4263" s="5" t="inlineStr">
        <is>
          <t>tim</t>
        </is>
      </c>
      <c r="D4263" s="5" t="inlineStr">
        <is>
          <t>control</t>
        </is>
      </c>
      <c r="E4263" s="5" t="inlineStr">
        <is>
          <t>SP</t>
        </is>
      </c>
      <c r="F4263" s="5" t="inlineStr">
        <is>
          <t>TIM Controle Light Express 45GB</t>
        </is>
      </c>
      <c r="G4263" s="5" t="inlineStr">
        <is>
          <t>tim:167726</t>
        </is>
      </c>
      <c r="H4263" s="6" t="n">
        <v>60.99</v>
      </c>
      <c r="I4263" s="6" t="inlineStr"/>
      <c r="J4263" s="5" t="inlineStr"/>
      <c r="K4263" s="5" t="inlineStr"/>
      <c r="L4263" s="7" t="n">
        <v>45</v>
      </c>
      <c r="M4263" s="5" t="inlineStr"/>
      <c r="N4263" s="5" t="inlineStr"/>
      <c r="O4263" s="5" t="inlineStr"/>
      <c r="P4263" s="5" t="inlineStr"/>
      <c r="Q4263" s="5" t="inlineStr"/>
      <c r="R4263" s="5" t="inlineStr"/>
      <c r="S4263" s="5" t="inlineStr"/>
      <c r="T4263" s="5" t="inlineStr"/>
      <c r="U4263" s="5" t="inlineStr">
        <is>
          <t>https://www.tim.com.br/sp/para-voce/planos/controle</t>
        </is>
      </c>
      <c r="V4263" s="5" t="inlineStr">
        <is>
          <t>data/raw/tim_control_SP.html</t>
        </is>
      </c>
    </row>
    <row r="4264">
      <c r="A4264" s="2" t="inlineStr">
        <is>
          <t>2026-09-05</t>
        </is>
      </c>
      <c r="B4264" s="2" t="inlineStr">
        <is>
          <t>2026-09-05T19:37:33</t>
        </is>
      </c>
      <c r="C4264" s="2" t="inlineStr">
        <is>
          <t>tim</t>
        </is>
      </c>
      <c r="D4264" s="2" t="inlineStr">
        <is>
          <t>control</t>
        </is>
      </c>
      <c r="E4264" s="2" t="inlineStr">
        <is>
          <t>SP</t>
        </is>
      </c>
      <c r="F4264" s="2" t="inlineStr">
        <is>
          <t>TIM Controle Premium 55GB</t>
        </is>
      </c>
      <c r="G4264" s="2" t="inlineStr">
        <is>
          <t>tim:180756</t>
        </is>
      </c>
      <c r="H4264" s="3" t="n">
        <v>69.98999999999999</v>
      </c>
      <c r="I4264" s="3" t="inlineStr"/>
      <c r="J4264" s="2" t="inlineStr"/>
      <c r="K4264" s="2" t="inlineStr"/>
      <c r="L4264" s="4" t="n">
        <v>55</v>
      </c>
      <c r="M4264" s="2" t="inlineStr"/>
      <c r="N4264" s="2" t="inlineStr"/>
      <c r="O4264" s="2" t="inlineStr"/>
      <c r="P4264" s="2" t="inlineStr"/>
      <c r="Q4264" s="2" t="inlineStr"/>
      <c r="R4264" s="2" t="inlineStr"/>
      <c r="S4264" s="2" t="inlineStr"/>
      <c r="T4264" s="2" t="inlineStr"/>
      <c r="U4264" s="2" t="inlineStr">
        <is>
          <t>https://www.tim.com.br/sp/para-voce/planos/controle</t>
        </is>
      </c>
      <c r="V4264" s="2" t="inlineStr">
        <is>
          <t>data/raw/tim_control_SP.html</t>
        </is>
      </c>
    </row>
    <row r="4265">
      <c r="A4265" s="5" t="inlineStr">
        <is>
          <t>2026-09-05</t>
        </is>
      </c>
      <c r="B4265" s="5" t="inlineStr">
        <is>
          <t>2026-09-05T19:37:33</t>
        </is>
      </c>
      <c r="C4265" s="5" t="inlineStr">
        <is>
          <t>tim</t>
        </is>
      </c>
      <c r="D4265" s="5" t="inlineStr">
        <is>
          <t>control</t>
        </is>
      </c>
      <c r="E4265" s="5" t="inlineStr">
        <is>
          <t>SP</t>
        </is>
      </c>
      <c r="F4265" s="5" t="inlineStr">
        <is>
          <t>TIM Controle Pro Express 46GB</t>
        </is>
      </c>
      <c r="G4265" s="5" t="inlineStr">
        <is>
          <t>tim:167731</t>
        </is>
      </c>
      <c r="H4265" s="6" t="n">
        <v>64.98999999999999</v>
      </c>
      <c r="I4265" s="6" t="inlineStr"/>
      <c r="J4265" s="5" t="inlineStr"/>
      <c r="K4265" s="5" t="inlineStr"/>
      <c r="L4265" s="7" t="n">
        <v>46</v>
      </c>
      <c r="M4265" s="5" t="inlineStr"/>
      <c r="N4265" s="5" t="inlineStr"/>
      <c r="O4265" s="5" t="inlineStr"/>
      <c r="P4265" s="5" t="inlineStr"/>
      <c r="Q4265" s="5" t="inlineStr"/>
      <c r="R4265" s="5" t="inlineStr"/>
      <c r="S4265" s="5" t="inlineStr"/>
      <c r="T4265" s="5" t="inlineStr"/>
      <c r="U4265" s="5" t="inlineStr">
        <is>
          <t>https://www.tim.com.br/sp/para-voce/planos/controle</t>
        </is>
      </c>
      <c r="V4265" s="5" t="inlineStr">
        <is>
          <t>data/raw/tim_control_SP.html</t>
        </is>
      </c>
    </row>
    <row r="4266">
      <c r="A4266" s="2" t="inlineStr">
        <is>
          <t>2026-09-05</t>
        </is>
      </c>
      <c r="B4266" s="2" t="inlineStr">
        <is>
          <t>2026-09-05T19:37:33</t>
        </is>
      </c>
      <c r="C4266" s="2" t="inlineStr">
        <is>
          <t>tim</t>
        </is>
      </c>
      <c r="D4266" s="2" t="inlineStr">
        <is>
          <t>control</t>
        </is>
      </c>
      <c r="E4266" s="2" t="inlineStr">
        <is>
          <t>SP</t>
        </is>
      </c>
      <c r="F4266" s="2" t="inlineStr">
        <is>
          <t>TIM Controle Redes Sociais 46GB</t>
        </is>
      </c>
      <c r="G4266" s="2" t="inlineStr">
        <is>
          <t>tim:167031</t>
        </is>
      </c>
      <c r="H4266" s="3" t="n">
        <v>59.99</v>
      </c>
      <c r="I4266" s="3" t="inlineStr"/>
      <c r="J4266" s="2" t="inlineStr"/>
      <c r="K4266" s="2" t="inlineStr"/>
      <c r="L4266" s="4" t="n">
        <v>46</v>
      </c>
      <c r="M4266" s="2" t="inlineStr"/>
      <c r="N4266" s="2" t="inlineStr"/>
      <c r="O4266" s="2" t="inlineStr"/>
      <c r="P4266" s="2" t="inlineStr"/>
      <c r="Q4266" s="2" t="inlineStr"/>
      <c r="R4266" s="2" t="inlineStr"/>
      <c r="S4266" s="2" t="inlineStr"/>
      <c r="T4266" s="2" t="inlineStr"/>
      <c r="U4266" s="2" t="inlineStr">
        <is>
          <t>https://www.tim.com.br/sp/para-voce/planos/controle</t>
        </is>
      </c>
      <c r="V4266" s="2" t="inlineStr">
        <is>
          <t>data/raw/tim_control_SP.html</t>
        </is>
      </c>
    </row>
    <row r="4267">
      <c r="A4267" s="5" t="inlineStr">
        <is>
          <t>2026-09-05</t>
        </is>
      </c>
      <c r="B4267" s="5" t="inlineStr">
        <is>
          <t>2026-09-05T19:37:33</t>
        </is>
      </c>
      <c r="C4267" s="5" t="inlineStr">
        <is>
          <t>tim</t>
        </is>
      </c>
      <c r="D4267" s="5" t="inlineStr">
        <is>
          <t>fit</t>
        </is>
      </c>
      <c r="E4267" s="5" t="inlineStr">
        <is>
          <t>SP</t>
        </is>
      </c>
      <c r="F4267" s="5" t="inlineStr">
        <is>
          <t>TIM Controle Fit Anual 1.0</t>
        </is>
      </c>
      <c r="G4267" s="5" t="inlineStr">
        <is>
          <t>tim:TIM202600000306</t>
        </is>
      </c>
      <c r="H4267" s="6" t="n">
        <v>20</v>
      </c>
      <c r="I4267" s="6" t="inlineStr"/>
      <c r="J4267" s="5" t="inlineStr">
        <is>
          <t>plano anual 12x no cartão de crédito; a etiqueta TIM informa 'sem prazo de permanência'</t>
        </is>
      </c>
      <c r="K4267" s="5" t="inlineStr">
        <is>
          <t>credit_card</t>
        </is>
      </c>
      <c r="L4267" s="7" t="n">
        <v>25</v>
      </c>
      <c r="M4267" s="5" t="inlineStr"/>
      <c r="N4267" s="5" t="inlineStr"/>
      <c r="O4267" s="5" t="inlineStr"/>
      <c r="P4267" s="5" t="inlineStr"/>
      <c r="Q4267" s="5" t="inlineStr"/>
      <c r="R4267" s="5" t="inlineStr"/>
      <c r="S4267" s="5" t="n">
        <v>12</v>
      </c>
      <c r="T4267" s="5" t="inlineStr"/>
      <c r="U4267" s="5" t="inlineStr">
        <is>
          <t>https://www.tim.com.br/sp/para-voce/planos/controle</t>
        </is>
      </c>
      <c r="V4267" s="5" t="inlineStr">
        <is>
          <t>data/raw/tim_fit_SP.html</t>
        </is>
      </c>
    </row>
    <row r="4268">
      <c r="A4268" s="2" t="inlineStr">
        <is>
          <t>2026-09-05</t>
        </is>
      </c>
      <c r="B4268" s="2" t="inlineStr">
        <is>
          <t>2026-09-05T19:37:33</t>
        </is>
      </c>
      <c r="C4268" s="2" t="inlineStr">
        <is>
          <t>tim</t>
        </is>
      </c>
      <c r="D4268" s="2" t="inlineStr">
        <is>
          <t>fit</t>
        </is>
      </c>
      <c r="E4268" s="2" t="inlineStr">
        <is>
          <t>SP</t>
        </is>
      </c>
      <c r="F4268" s="2" t="inlineStr">
        <is>
          <t>TIM Controle Fit Anual 2.0</t>
        </is>
      </c>
      <c r="G4268" s="2" t="inlineStr">
        <is>
          <t>tim:TIM202600000271</t>
        </is>
      </c>
      <c r="H4268" s="3" t="n">
        <v>30</v>
      </c>
      <c r="I4268" s="3" t="inlineStr"/>
      <c r="J4268" s="2" t="inlineStr">
        <is>
          <t>plano anual 12x no cartão de crédito; a etiqueta TIM informa 'sem prazo de permanência'</t>
        </is>
      </c>
      <c r="K4268" s="2" t="inlineStr">
        <is>
          <t>credit_card</t>
        </is>
      </c>
      <c r="L4268" s="4" t="n">
        <v>35</v>
      </c>
      <c r="M4268" s="2" t="inlineStr"/>
      <c r="N4268" s="2" t="inlineStr"/>
      <c r="O4268" s="2" t="inlineStr"/>
      <c r="P4268" s="2" t="inlineStr"/>
      <c r="Q4268" s="2" t="inlineStr"/>
      <c r="R4268" s="2" t="inlineStr"/>
      <c r="S4268" s="2" t="n">
        <v>12</v>
      </c>
      <c r="T4268" s="2" t="inlineStr"/>
      <c r="U4268" s="2" t="inlineStr">
        <is>
          <t>https://www.tim.com.br/sp/para-voce/planos/controle</t>
        </is>
      </c>
      <c r="V4268" s="2" t="inlineStr">
        <is>
          <t>data/raw/tim_fit_SP.html</t>
        </is>
      </c>
    </row>
    <row r="4269">
      <c r="A4269" s="5" t="inlineStr">
        <is>
          <t>2026-09-05</t>
        </is>
      </c>
      <c r="B4269" s="5" t="inlineStr">
        <is>
          <t>2026-09-05T19:37:33</t>
        </is>
      </c>
      <c r="C4269" s="5" t="inlineStr">
        <is>
          <t>tim</t>
        </is>
      </c>
      <c r="D4269" s="5" t="inlineStr">
        <is>
          <t>fit</t>
        </is>
      </c>
      <c r="E4269" s="5" t="inlineStr">
        <is>
          <t>SP</t>
        </is>
      </c>
      <c r="F4269" s="5" t="inlineStr">
        <is>
          <t>TIM Controle Fit Mensal 1.0</t>
        </is>
      </c>
      <c r="G4269" s="5" t="inlineStr">
        <is>
          <t>tim:TIM202600000270</t>
        </is>
      </c>
      <c r="H4269" s="6" t="n">
        <v>20</v>
      </c>
      <c r="I4269" s="6" t="inlineStr"/>
      <c r="J426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69" s="5" t="inlineStr"/>
      <c r="L4269" s="7" t="n">
        <v>20</v>
      </c>
      <c r="M4269" s="5" t="inlineStr"/>
      <c r="N4269" s="5" t="inlineStr"/>
      <c r="O4269" s="5" t="inlineStr"/>
      <c r="P4269" s="5" t="inlineStr"/>
      <c r="Q4269" s="5" t="inlineStr"/>
      <c r="R4269" s="5" t="inlineStr"/>
      <c r="S4269" s="5" t="inlineStr"/>
      <c r="T4269" s="5" t="inlineStr"/>
      <c r="U4269" s="5" t="inlineStr">
        <is>
          <t>https://www.tim.com.br/sp/para-voce/planos/controle</t>
        </is>
      </c>
      <c r="V4269" s="5" t="inlineStr">
        <is>
          <t>data/raw/tim_fit_SP.html</t>
        </is>
      </c>
    </row>
    <row r="4270">
      <c r="A4270" s="2" t="inlineStr">
        <is>
          <t>2026-09-05</t>
        </is>
      </c>
      <c r="B4270" s="2" t="inlineStr">
        <is>
          <t>2026-09-05T19:37:33</t>
        </is>
      </c>
      <c r="C4270" s="2" t="inlineStr">
        <is>
          <t>tim</t>
        </is>
      </c>
      <c r="D4270" s="2" t="inlineStr">
        <is>
          <t>fit</t>
        </is>
      </c>
      <c r="E4270" s="2" t="inlineStr">
        <is>
          <t>SP</t>
        </is>
      </c>
      <c r="F4270" s="2" t="inlineStr">
        <is>
          <t>TIM Controle Fit Mensal 2.0</t>
        </is>
      </c>
      <c r="G4270" s="2" t="inlineStr">
        <is>
          <t>tim:TIM202600000305</t>
        </is>
      </c>
      <c r="H4270" s="3" t="n">
        <v>45</v>
      </c>
      <c r="I4270" s="3" t="inlineStr"/>
      <c r="J4270" s="2" t="inlineStr">
        <is>
          <t>plano mensal, sem prazo de permanência; a etiqueta TIM informa 'sem prazo de permanência'</t>
        </is>
      </c>
      <c r="K4270" s="2" t="inlineStr"/>
      <c r="L4270" s="4" t="n">
        <v>35</v>
      </c>
      <c r="M4270" s="2" t="inlineStr"/>
      <c r="N4270" s="2" t="inlineStr"/>
      <c r="O4270" s="2" t="inlineStr"/>
      <c r="P4270" s="2" t="inlineStr"/>
      <c r="Q4270" s="2" t="inlineStr"/>
      <c r="R4270" s="2" t="inlineStr"/>
      <c r="S4270" s="2" t="inlineStr"/>
      <c r="T4270" s="2" t="inlineStr"/>
      <c r="U4270" s="2" t="inlineStr">
        <is>
          <t>https://www.tim.com.br/sp/para-voce/planos/controle</t>
        </is>
      </c>
      <c r="V4270" s="2" t="inlineStr">
        <is>
          <t>data/raw/tim_fit_SP.html</t>
        </is>
      </c>
    </row>
    <row r="4271">
      <c r="A4271" s="5" t="inlineStr">
        <is>
          <t>2026-09-05</t>
        </is>
      </c>
      <c r="B4271" s="5" t="inlineStr">
        <is>
          <t>2026-09-05T19:37:33</t>
        </is>
      </c>
      <c r="C4271" s="5" t="inlineStr">
        <is>
          <t>tim</t>
        </is>
      </c>
      <c r="D4271" s="5" t="inlineStr">
        <is>
          <t>postpaid</t>
        </is>
      </c>
      <c r="E4271" s="5" t="inlineStr">
        <is>
          <t>SP</t>
        </is>
      </c>
      <c r="F4271" s="5" t="inlineStr">
        <is>
          <t>TIM Black 70GB</t>
        </is>
      </c>
      <c r="G4271" s="5" t="inlineStr">
        <is>
          <t>tim:54206</t>
        </is>
      </c>
      <c r="H4271" s="6" t="n">
        <v>129.99</v>
      </c>
      <c r="I4271" s="6" t="inlineStr"/>
      <c r="J4271" s="5" t="inlineStr"/>
      <c r="K4271" s="5" t="inlineStr">
        <is>
          <t>bill</t>
        </is>
      </c>
      <c r="L4271" s="7" t="n">
        <v>70</v>
      </c>
      <c r="M4271" s="5" t="inlineStr"/>
      <c r="N4271" s="5" t="inlineStr"/>
      <c r="O4271" s="5" t="inlineStr"/>
      <c r="P4271" s="5" t="inlineStr"/>
      <c r="Q4271" s="5" t="inlineStr"/>
      <c r="R4271" s="5" t="inlineStr"/>
      <c r="S4271" s="5" t="inlineStr"/>
      <c r="T4271" s="5" t="inlineStr"/>
      <c r="U4271" s="5" t="inlineStr">
        <is>
          <t>https://www.tim.com.br/sp/para-voce/planos/pos-pago/tim-black</t>
        </is>
      </c>
      <c r="V4271" s="5" t="inlineStr">
        <is>
          <t>data/raw/tim_postpaid_SP.html</t>
        </is>
      </c>
    </row>
    <row r="4272">
      <c r="A4272" s="2" t="inlineStr">
        <is>
          <t>2026-09-05</t>
        </is>
      </c>
      <c r="B4272" s="2" t="inlineStr">
        <is>
          <t>2026-09-05T19:37:33</t>
        </is>
      </c>
      <c r="C4272" s="2" t="inlineStr">
        <is>
          <t>tim</t>
        </is>
      </c>
      <c r="D4272" s="2" t="inlineStr">
        <is>
          <t>postpaid</t>
        </is>
      </c>
      <c r="E4272" s="2" t="inlineStr">
        <is>
          <t>SP</t>
        </is>
      </c>
      <c r="F4272" s="2" t="inlineStr">
        <is>
          <t>TIM Black A Express 67GB</t>
        </is>
      </c>
      <c r="G4272" s="2" t="inlineStr">
        <is>
          <t>tim:55121</t>
        </is>
      </c>
      <c r="H4272" s="3" t="n">
        <v>119.99</v>
      </c>
      <c r="I4272" s="3" t="inlineStr"/>
      <c r="J4272" s="2" t="inlineStr"/>
      <c r="K4272" s="2" t="inlineStr">
        <is>
          <t>credit_card</t>
        </is>
      </c>
      <c r="L4272" s="4" t="n">
        <v>67</v>
      </c>
      <c r="M4272" s="2" t="inlineStr"/>
      <c r="N4272" s="2" t="inlineStr"/>
      <c r="O4272" s="2" t="inlineStr"/>
      <c r="P4272" s="2" t="inlineStr"/>
      <c r="Q4272" s="2" t="inlineStr"/>
      <c r="R4272" s="2" t="inlineStr"/>
      <c r="S4272" s="2" t="inlineStr"/>
      <c r="T4272" s="2" t="inlineStr"/>
      <c r="U4272" s="2" t="inlineStr">
        <is>
          <t>https://www.tim.com.br/sp/para-voce/planos/pos-pago/tim-black</t>
        </is>
      </c>
      <c r="V4272" s="2" t="inlineStr">
        <is>
          <t>data/raw/tim_postpaid_SP.html</t>
        </is>
      </c>
    </row>
    <row r="4273">
      <c r="A4273" s="5" t="inlineStr">
        <is>
          <t>2026-09-05</t>
        </is>
      </c>
      <c r="B4273" s="5" t="inlineStr">
        <is>
          <t>2026-09-05T19:37:33</t>
        </is>
      </c>
      <c r="C4273" s="5" t="inlineStr">
        <is>
          <t>tim</t>
        </is>
      </c>
      <c r="D4273" s="5" t="inlineStr">
        <is>
          <t>postpaid</t>
        </is>
      </c>
      <c r="E4273" s="5" t="inlineStr">
        <is>
          <t>SP</t>
        </is>
      </c>
      <c r="F4273" s="5" t="inlineStr">
        <is>
          <t>TIM Black B Express 82GB</t>
        </is>
      </c>
      <c r="G4273" s="5" t="inlineStr">
        <is>
          <t>tim:52146</t>
        </is>
      </c>
      <c r="H4273" s="6" t="n">
        <v>144.99</v>
      </c>
      <c r="I4273" s="6" t="inlineStr"/>
      <c r="J4273" s="5" t="inlineStr"/>
      <c r="K4273" s="5" t="inlineStr">
        <is>
          <t>credit_card</t>
        </is>
      </c>
      <c r="L4273" s="7" t="n">
        <v>82</v>
      </c>
      <c r="M4273" s="5" t="inlineStr"/>
      <c r="N4273" s="5" t="inlineStr"/>
      <c r="O4273" s="5" t="inlineStr"/>
      <c r="P4273" s="5" t="inlineStr"/>
      <c r="Q4273" s="5" t="inlineStr"/>
      <c r="R4273" s="5" t="inlineStr"/>
      <c r="S4273" s="5" t="inlineStr"/>
      <c r="T4273" s="5" t="inlineStr"/>
      <c r="U4273" s="5" t="inlineStr">
        <is>
          <t>https://www.tim.com.br/sp/para-voce/planos/pos-pago/tim-black</t>
        </is>
      </c>
      <c r="V4273" s="5" t="inlineStr">
        <is>
          <t>data/raw/tim_postpaid_SP.html</t>
        </is>
      </c>
    </row>
    <row r="4274">
      <c r="A4274" s="2" t="inlineStr">
        <is>
          <t>2026-09-05</t>
        </is>
      </c>
      <c r="B4274" s="2" t="inlineStr">
        <is>
          <t>2026-09-05T19:37:33</t>
        </is>
      </c>
      <c r="C4274" s="2" t="inlineStr">
        <is>
          <t>tim</t>
        </is>
      </c>
      <c r="D4274" s="2" t="inlineStr">
        <is>
          <t>postpaid</t>
        </is>
      </c>
      <c r="E4274" s="2" t="inlineStr">
        <is>
          <t>SP</t>
        </is>
      </c>
      <c r="F4274" s="2" t="inlineStr">
        <is>
          <t>TIM Black C Express 107GB</t>
        </is>
      </c>
      <c r="G4274" s="2" t="inlineStr">
        <is>
          <t>tim:52151</t>
        </is>
      </c>
      <c r="H4274" s="3" t="n">
        <v>164.99</v>
      </c>
      <c r="I4274" s="3" t="inlineStr"/>
      <c r="J4274" s="2" t="inlineStr"/>
      <c r="K4274" s="2" t="inlineStr">
        <is>
          <t>credit_card</t>
        </is>
      </c>
      <c r="L4274" s="4" t="n">
        <v>107</v>
      </c>
      <c r="M4274" s="2" t="inlineStr"/>
      <c r="N4274" s="2" t="inlineStr"/>
      <c r="O4274" s="2" t="inlineStr"/>
      <c r="P4274" s="2" t="inlineStr"/>
      <c r="Q4274" s="2" t="inlineStr"/>
      <c r="R4274" s="2" t="inlineStr"/>
      <c r="S4274" s="2" t="inlineStr"/>
      <c r="T4274" s="2" t="inlineStr"/>
      <c r="U4274" s="2" t="inlineStr">
        <is>
          <t>https://www.tim.com.br/sp/para-voce/planos/pos-pago/tim-black</t>
        </is>
      </c>
      <c r="V4274" s="2" t="inlineStr">
        <is>
          <t>data/raw/tim_postpaid_SP.html</t>
        </is>
      </c>
    </row>
    <row r="4275">
      <c r="A4275" s="5" t="inlineStr">
        <is>
          <t>2026-09-05</t>
        </is>
      </c>
      <c r="B4275" s="5" t="inlineStr">
        <is>
          <t>2026-09-05T19:37:33</t>
        </is>
      </c>
      <c r="C4275" s="5" t="inlineStr">
        <is>
          <t>tim</t>
        </is>
      </c>
      <c r="D4275" s="5" t="inlineStr">
        <is>
          <t>postpaid</t>
        </is>
      </c>
      <c r="E4275" s="5" t="inlineStr">
        <is>
          <t>SP</t>
        </is>
      </c>
      <c r="F4275" s="5" t="inlineStr">
        <is>
          <t>TIM Black Plus 80GB</t>
        </is>
      </c>
      <c r="G4275" s="5" t="inlineStr">
        <is>
          <t>tim:54256</t>
        </is>
      </c>
      <c r="H4275" s="6" t="n">
        <v>149.99</v>
      </c>
      <c r="I4275" s="6" t="inlineStr"/>
      <c r="J4275" s="5" t="inlineStr"/>
      <c r="K4275" s="5" t="inlineStr">
        <is>
          <t>bill</t>
        </is>
      </c>
      <c r="L4275" s="7" t="n">
        <v>80</v>
      </c>
      <c r="M4275" s="5" t="inlineStr"/>
      <c r="N4275" s="5" t="inlineStr"/>
      <c r="O4275" s="5" t="inlineStr"/>
      <c r="P4275" s="5" t="inlineStr"/>
      <c r="Q4275" s="5" t="inlineStr"/>
      <c r="R4275" s="5" t="inlineStr"/>
      <c r="S4275" s="5" t="inlineStr"/>
      <c r="T4275" s="5" t="inlineStr"/>
      <c r="U4275" s="5" t="inlineStr">
        <is>
          <t>https://www.tim.com.br/sp/para-voce/planos/pos-pago/tim-black</t>
        </is>
      </c>
      <c r="V4275" s="5" t="inlineStr">
        <is>
          <t>data/raw/tim_postpaid_SP.html</t>
        </is>
      </c>
    </row>
    <row r="4276">
      <c r="A4276" s="2" t="inlineStr">
        <is>
          <t>2026-09-05</t>
        </is>
      </c>
      <c r="B4276" s="2" t="inlineStr">
        <is>
          <t>2026-09-05T19:37:33</t>
        </is>
      </c>
      <c r="C4276" s="2" t="inlineStr">
        <is>
          <t>tim</t>
        </is>
      </c>
      <c r="D4276" s="2" t="inlineStr">
        <is>
          <t>postpaid</t>
        </is>
      </c>
      <c r="E4276" s="2" t="inlineStr">
        <is>
          <t>SP</t>
        </is>
      </c>
      <c r="F4276" s="2" t="inlineStr">
        <is>
          <t>TIM Black Premium 110GB</t>
        </is>
      </c>
      <c r="G4276" s="2" t="inlineStr">
        <is>
          <t>tim:54261</t>
        </is>
      </c>
      <c r="H4276" s="3" t="n">
        <v>159.99</v>
      </c>
      <c r="I4276" s="3" t="inlineStr"/>
      <c r="J4276" s="2" t="inlineStr"/>
      <c r="K4276" s="2" t="inlineStr">
        <is>
          <t>bill</t>
        </is>
      </c>
      <c r="L4276" s="4" t="n">
        <v>110</v>
      </c>
      <c r="M4276" s="2" t="inlineStr"/>
      <c r="N4276" s="2" t="inlineStr"/>
      <c r="O4276" s="2" t="inlineStr"/>
      <c r="P4276" s="2" t="inlineStr"/>
      <c r="Q4276" s="2" t="inlineStr"/>
      <c r="R4276" s="2" t="inlineStr"/>
      <c r="S4276" s="2" t="inlineStr"/>
      <c r="T4276" s="2" t="inlineStr"/>
      <c r="U4276" s="2" t="inlineStr">
        <is>
          <t>https://www.tim.com.br/sp/para-voce/planos/pos-pago/tim-black</t>
        </is>
      </c>
      <c r="V4276" s="2" t="inlineStr">
        <is>
          <t>data/raw/tim_postpaid_SP.html</t>
        </is>
      </c>
    </row>
    <row r="4277">
      <c r="A4277" s="5" t="inlineStr">
        <is>
          <t>2026-09-05</t>
        </is>
      </c>
      <c r="B4277" s="5" t="inlineStr">
        <is>
          <t>2026-09-05T19:37:33</t>
        </is>
      </c>
      <c r="C4277" s="5" t="inlineStr">
        <is>
          <t>tim</t>
        </is>
      </c>
      <c r="D4277" s="5" t="inlineStr">
        <is>
          <t>prepaid</t>
        </is>
      </c>
      <c r="E4277" s="5" t="inlineStr">
        <is>
          <t>SP</t>
        </is>
      </c>
      <c r="F4277" s="5" t="inlineStr">
        <is>
          <t>TIM Pré XIP Plus 16GB</t>
        </is>
      </c>
      <c r="G4277" s="5" t="inlineStr">
        <is>
          <t>tim:106306</t>
        </is>
      </c>
      <c r="H4277" s="6" t="n">
        <v>30</v>
      </c>
      <c r="I4277" s="6" t="inlineStr"/>
      <c r="J4277" s="5" t="inlineStr"/>
      <c r="K4277" s="5" t="inlineStr"/>
      <c r="L4277" s="7" t="n">
        <v>16</v>
      </c>
      <c r="M4277" s="5" t="inlineStr"/>
      <c r="N4277" s="5" t="n">
        <v>30</v>
      </c>
      <c r="O4277" s="5" t="inlineStr"/>
      <c r="P4277" s="5" t="inlineStr"/>
      <c r="Q4277" s="5" t="inlineStr"/>
      <c r="R4277" s="5" t="inlineStr"/>
      <c r="S4277" s="5" t="inlineStr"/>
      <c r="T4277" s="5" t="inlineStr"/>
      <c r="U4277" s="5" t="inlineStr">
        <is>
          <t>https://www.tim.com.br/sp/para-voce/planos/pre-pago</t>
        </is>
      </c>
      <c r="V4277" s="5" t="inlineStr">
        <is>
          <t>data/raw/tim_prepaid_SP.html</t>
        </is>
      </c>
    </row>
    <row r="4278">
      <c r="A4278" s="2" t="inlineStr">
        <is>
          <t>2026-09-05</t>
        </is>
      </c>
      <c r="B4278" s="2" t="inlineStr">
        <is>
          <t>2026-09-05T19:37:33</t>
        </is>
      </c>
      <c r="C4278" s="2" t="inlineStr">
        <is>
          <t>tim</t>
        </is>
      </c>
      <c r="D4278" s="2" t="inlineStr">
        <is>
          <t>prepaid</t>
        </is>
      </c>
      <c r="E4278" s="2" t="inlineStr">
        <is>
          <t>SP</t>
        </is>
      </c>
      <c r="F4278" s="2" t="inlineStr">
        <is>
          <t>TIM Pré XIP Plus 6GB</t>
        </is>
      </c>
      <c r="G4278" s="2" t="inlineStr">
        <is>
          <t>tim:59906</t>
        </is>
      </c>
      <c r="H4278" s="3" t="n">
        <v>20</v>
      </c>
      <c r="I4278" s="3" t="inlineStr"/>
      <c r="J4278" s="2" t="inlineStr"/>
      <c r="K4278" s="2" t="inlineStr"/>
      <c r="L4278" s="4" t="n">
        <v>6</v>
      </c>
      <c r="M4278" s="2" t="inlineStr"/>
      <c r="N4278" s="2" t="n">
        <v>17</v>
      </c>
      <c r="O4278" s="2" t="inlineStr"/>
      <c r="P4278" s="2" t="inlineStr"/>
      <c r="Q4278" s="2" t="inlineStr"/>
      <c r="R4278" s="2" t="inlineStr"/>
      <c r="S4278" s="2" t="inlineStr"/>
      <c r="T4278" s="2" t="inlineStr"/>
      <c r="U4278" s="2" t="inlineStr">
        <is>
          <t>https://www.tim.com.br/sp/para-voce/planos/pre-pago</t>
        </is>
      </c>
      <c r="V4278" s="2" t="inlineStr">
        <is>
          <t>data/raw/tim_prepaid_SP.html</t>
        </is>
      </c>
    </row>
    <row r="4279">
      <c r="A4279" s="5" t="inlineStr">
        <is>
          <t>2026-09-05</t>
        </is>
      </c>
      <c r="B4279" s="5" t="inlineStr">
        <is>
          <t>2026-09-05T19:37:33</t>
        </is>
      </c>
      <c r="C4279" s="5" t="inlineStr">
        <is>
          <t>tim</t>
        </is>
      </c>
      <c r="D4279" s="5" t="inlineStr">
        <is>
          <t>prepaid</t>
        </is>
      </c>
      <c r="E4279" s="5" t="inlineStr">
        <is>
          <t>SP</t>
        </is>
      </c>
      <c r="F4279" s="5" t="inlineStr">
        <is>
          <t>TIM Pré XIP Plus 8GB</t>
        </is>
      </c>
      <c r="G4279" s="5" t="inlineStr">
        <is>
          <t>tim:59901</t>
        </is>
      </c>
      <c r="H4279" s="6" t="n">
        <v>25</v>
      </c>
      <c r="I4279" s="6" t="inlineStr"/>
      <c r="J4279" s="5" t="inlineStr"/>
      <c r="K4279" s="5" t="inlineStr"/>
      <c r="L4279" s="7" t="n">
        <v>8</v>
      </c>
      <c r="M4279" s="5" t="inlineStr"/>
      <c r="N4279" s="5" t="n">
        <v>22</v>
      </c>
      <c r="O4279" s="5" t="inlineStr"/>
      <c r="P4279" s="5" t="inlineStr"/>
      <c r="Q4279" s="5" t="inlineStr"/>
      <c r="R4279" s="5" t="inlineStr"/>
      <c r="S4279" s="5" t="inlineStr"/>
      <c r="T4279" s="5" t="inlineStr"/>
      <c r="U4279" s="5" t="inlineStr">
        <is>
          <t>https://www.tim.com.br/sp/para-voce/planos/pre-pago</t>
        </is>
      </c>
      <c r="V4279" s="5" t="inlineStr">
        <is>
          <t>data/raw/tim_prepaid_SP.html</t>
        </is>
      </c>
    </row>
    <row r="4280">
      <c r="A4280" s="2" t="inlineStr">
        <is>
          <t>2026-09-05</t>
        </is>
      </c>
      <c r="B4280" s="2" t="inlineStr">
        <is>
          <t>2026-09-05T19:37:33</t>
        </is>
      </c>
      <c r="C4280" s="2" t="inlineStr">
        <is>
          <t>vivo</t>
        </is>
      </c>
      <c r="D4280" s="2" t="inlineStr">
        <is>
          <t>control</t>
        </is>
      </c>
      <c r="E4280" s="2" t="inlineStr">
        <is>
          <t>SP</t>
        </is>
      </c>
      <c r="F4280" s="2" t="inlineStr">
        <is>
          <t>Vivo Controle</t>
        </is>
      </c>
      <c r="G4280" s="2" t="inlineStr">
        <is>
          <t>vivo:VIV202600034591</t>
        </is>
      </c>
      <c r="H4280" s="3" t="n">
        <v>59</v>
      </c>
      <c r="I4280" s="3" t="inlineStr"/>
      <c r="J4280" s="2" t="inlineStr"/>
      <c r="K4280" s="2" t="inlineStr"/>
      <c r="L4280" s="4" t="n">
        <v>45</v>
      </c>
      <c r="M4280" s="2" t="inlineStr">
        <is>
          <t>15 GB de franquia 30 GB de bônus</t>
        </is>
      </c>
      <c r="N4280" s="2" t="inlineStr"/>
      <c r="O4280" s="2" t="inlineStr"/>
      <c r="P4280" s="2" t="inlineStr"/>
      <c r="Q4280" s="2" t="inlineStr"/>
      <c r="R4280" s="2" t="inlineStr"/>
      <c r="S4280" s="2" t="inlineStr"/>
      <c r="T4280" s="2" t="inlineStr">
        <is>
          <t>6 meses grátis de Gemini com AI Plus</t>
        </is>
      </c>
      <c r="U4280" s="2" t="inlineStr">
        <is>
          <t>https://vivo.com.br/para-voce/produtos-e-servicos/para-o-celular/planos-controle</t>
        </is>
      </c>
      <c r="V4280" s="2" t="inlineStr">
        <is>
          <t>data/raw/vivo_control_SP.html</t>
        </is>
      </c>
    </row>
    <row r="4281">
      <c r="A4281" s="5" t="inlineStr">
        <is>
          <t>2026-09-05</t>
        </is>
      </c>
      <c r="B4281" s="5" t="inlineStr">
        <is>
          <t>2026-09-05T19:37:33</t>
        </is>
      </c>
      <c r="C4281" s="5" t="inlineStr">
        <is>
          <t>vivo</t>
        </is>
      </c>
      <c r="D4281" s="5" t="inlineStr">
        <is>
          <t>control</t>
        </is>
      </c>
      <c r="E4281" s="5" t="inlineStr">
        <is>
          <t>SP</t>
        </is>
      </c>
      <c r="F4281" s="5" t="inlineStr">
        <is>
          <t>Vivo Controle</t>
        </is>
      </c>
      <c r="G4281" s="5" t="inlineStr">
        <is>
          <t>vivo:VIV202600034599</t>
        </is>
      </c>
      <c r="H4281" s="6" t="n">
        <v>75</v>
      </c>
      <c r="I4281" s="6" t="inlineStr"/>
      <c r="J4281" s="5" t="inlineStr">
        <is>
          <t>preço-base do plano; a tela exibia R$ 80 com o adicional pré-selecionado (+R$ 5/mês, opcional); 60 GB na tela incluem +10 GB do adicional</t>
        </is>
      </c>
      <c r="K4281" s="5" t="inlineStr"/>
      <c r="L4281" s="7" t="n">
        <v>50</v>
      </c>
      <c r="M4281" s="5" t="inlineStr">
        <is>
          <t>20 GB de franquia 30 GB de bônus</t>
        </is>
      </c>
      <c r="N4281" s="5" t="inlineStr"/>
      <c r="O4281" s="5" t="inlineStr"/>
      <c r="P4281" s="5" t="inlineStr"/>
      <c r="Q4281" s="5" t="inlineStr"/>
      <c r="R4281" s="5" t="inlineStr"/>
      <c r="S4281" s="5" t="inlineStr"/>
      <c r="T4281" s="5" t="inlineStr">
        <is>
          <t>6 meses grátis de Gemini com AI Plus</t>
        </is>
      </c>
      <c r="U4281" s="5" t="inlineStr">
        <is>
          <t>https://vivo.com.br/para-voce/produtos-e-servicos/para-o-celular/planos-controle</t>
        </is>
      </c>
      <c r="V4281" s="5" t="inlineStr">
        <is>
          <t>data/raw/vivo_control_SP.html</t>
        </is>
      </c>
    </row>
    <row r="4282">
      <c r="A4282" s="2" t="inlineStr">
        <is>
          <t>2026-09-05</t>
        </is>
      </c>
      <c r="B4282" s="2" t="inlineStr">
        <is>
          <t>2026-09-05T19:37:33</t>
        </is>
      </c>
      <c r="C4282" s="2" t="inlineStr">
        <is>
          <t>vivo</t>
        </is>
      </c>
      <c r="D4282" s="2" t="inlineStr">
        <is>
          <t>control</t>
        </is>
      </c>
      <c r="E4282" s="2" t="inlineStr">
        <is>
          <t>SP</t>
        </is>
      </c>
      <c r="F4282" s="2" t="inlineStr">
        <is>
          <t>Vivo Controle Amazon</t>
        </is>
      </c>
      <c r="G4282" s="2" t="inlineStr">
        <is>
          <t>vivo:VIV202600038804</t>
        </is>
      </c>
      <c r="H4282" s="3" t="n">
        <v>70</v>
      </c>
      <c r="I4282" s="3" t="inlineStr"/>
      <c r="J4282" s="2" t="inlineStr">
        <is>
          <t>preço-base do plano; a tela exibia R$ 75 com o adicional pré-selecionado (+R$ 5/mês, opcional); 58 GB na tela incluem +10 GB do adicional</t>
        </is>
      </c>
      <c r="K4282" s="2" t="inlineStr"/>
      <c r="L4282" s="4" t="n">
        <v>48</v>
      </c>
      <c r="M4282" s="2" t="inlineStr">
        <is>
          <t>18 GB de franquia 30 GB de bônus</t>
        </is>
      </c>
      <c r="N4282" s="2" t="inlineStr"/>
      <c r="O4282" s="2" t="inlineStr"/>
      <c r="P4282" s="2" t="inlineStr"/>
      <c r="Q4282" s="2" t="inlineStr"/>
      <c r="R4282" s="2" t="inlineStr"/>
      <c r="S4282" s="2" t="inlineStr"/>
      <c r="T4282" s="2" t="inlineStr">
        <is>
          <t>Assinatura Amazon Prime inclusa</t>
        </is>
      </c>
      <c r="U4282" s="2" t="inlineStr">
        <is>
          <t>https://vivo.com.br/para-voce/produtos-e-servicos/para-o-celular/planos-controle</t>
        </is>
      </c>
      <c r="V4282" s="2" t="inlineStr">
        <is>
          <t>data/raw/vivo_control_SP.html</t>
        </is>
      </c>
    </row>
    <row r="4283">
      <c r="A4283" s="5" t="inlineStr">
        <is>
          <t>2026-09-05</t>
        </is>
      </c>
      <c r="B4283" s="5" t="inlineStr">
        <is>
          <t>2026-09-05T19:37:33</t>
        </is>
      </c>
      <c r="C4283" s="5" t="inlineStr">
        <is>
          <t>vivo</t>
        </is>
      </c>
      <c r="D4283" s="5" t="inlineStr">
        <is>
          <t>control</t>
        </is>
      </c>
      <c r="E4283" s="5" t="inlineStr">
        <is>
          <t>SP</t>
        </is>
      </c>
      <c r="F4283" s="5" t="inlineStr">
        <is>
          <t>Vivo Controle Educação</t>
        </is>
      </c>
      <c r="G4283" s="5" t="inlineStr">
        <is>
          <t>vivo:VIV202600034616</t>
        </is>
      </c>
      <c r="H4283" s="6" t="n">
        <v>85</v>
      </c>
      <c r="I4283" s="6" t="inlineStr"/>
      <c r="J4283" s="5" t="inlineStr">
        <is>
          <t>preço-base do plano; a tela exibia R$ 90 com o adicional pré-selecionado (+R$ 5/mês, opcional); 60 GB na tela incluem +10 GB do adicional</t>
        </is>
      </c>
      <c r="K4283" s="5" t="inlineStr"/>
      <c r="L4283" s="7" t="n">
        <v>50</v>
      </c>
      <c r="M4283" s="5" t="inlineStr">
        <is>
          <t>20 GB de franquia 30 GB de bônus</t>
        </is>
      </c>
      <c r="N4283" s="5" t="inlineStr"/>
      <c r="O4283" s="5" t="inlineStr"/>
      <c r="P4283" s="5" t="inlineStr"/>
      <c r="Q4283" s="5" t="inlineStr"/>
      <c r="R4283" s="5" t="inlineStr"/>
      <c r="S4283" s="5" t="inlineStr"/>
      <c r="T4283" s="5" t="inlineStr">
        <is>
          <t>Assinatura Vivae inclusa</t>
        </is>
      </c>
      <c r="U4283" s="5" t="inlineStr">
        <is>
          <t>https://vivo.com.br/para-voce/produtos-e-servicos/para-o-celular/planos-controle</t>
        </is>
      </c>
      <c r="V4283" s="5" t="inlineStr">
        <is>
          <t>data/raw/vivo_control_SP.html</t>
        </is>
      </c>
    </row>
    <row r="4284">
      <c r="A4284" s="2" t="inlineStr">
        <is>
          <t>2026-09-05</t>
        </is>
      </c>
      <c r="B4284" s="2" t="inlineStr">
        <is>
          <t>2026-09-05T19:37:33</t>
        </is>
      </c>
      <c r="C4284" s="2" t="inlineStr">
        <is>
          <t>vivo</t>
        </is>
      </c>
      <c r="D4284" s="2" t="inlineStr">
        <is>
          <t>control</t>
        </is>
      </c>
      <c r="E4284" s="2" t="inlineStr">
        <is>
          <t>SP</t>
        </is>
      </c>
      <c r="F4284" s="2" t="inlineStr">
        <is>
          <t>Vivo Controle Entretenimento</t>
        </is>
      </c>
      <c r="G4284" s="2" t="inlineStr">
        <is>
          <t>vivo:VIV202600034619</t>
        </is>
      </c>
      <c r="H4284" s="3" t="n">
        <v>105</v>
      </c>
      <c r="I4284" s="3" t="inlineStr"/>
      <c r="J4284" s="2" t="inlineStr">
        <is>
          <t>preço-base do plano; a tela exibia R$ 110 com o adicional pré-selecionado (+R$ 5/mês, opcional); 60 GB na tela incluem +10 GB do adicional</t>
        </is>
      </c>
      <c r="K4284" s="2" t="inlineStr"/>
      <c r="L4284" s="4" t="n">
        <v>50</v>
      </c>
      <c r="M4284" s="2" t="inlineStr">
        <is>
          <t>20 GB de franquia 30 GB de bônus</t>
        </is>
      </c>
      <c r="N4284" s="2" t="inlineStr"/>
      <c r="O4284" s="2" t="inlineStr"/>
      <c r="P4284" s="2" t="inlineStr"/>
      <c r="Q4284" s="2" t="inlineStr"/>
      <c r="R4284" s="2" t="inlineStr"/>
      <c r="S4284" s="2" t="inlineStr"/>
      <c r="T4284" s="2" t="inlineStr">
        <is>
          <t>Assinatura Vivo TV Inicial inclusa</t>
        </is>
      </c>
      <c r="U4284" s="2" t="inlineStr">
        <is>
          <t>https://vivo.com.br/para-voce/produtos-e-servicos/para-o-celular/planos-controle</t>
        </is>
      </c>
      <c r="V4284" s="2" t="inlineStr">
        <is>
          <t>data/raw/vivo_control_SP.html</t>
        </is>
      </c>
    </row>
    <row r="4285">
      <c r="A4285" s="5" t="inlineStr">
        <is>
          <t>2026-09-05</t>
        </is>
      </c>
      <c r="B4285" s="5" t="inlineStr">
        <is>
          <t>2026-09-05T19:37:33</t>
        </is>
      </c>
      <c r="C4285" s="5" t="inlineStr">
        <is>
          <t>vivo</t>
        </is>
      </c>
      <c r="D4285" s="5" t="inlineStr">
        <is>
          <t>control</t>
        </is>
      </c>
      <c r="E4285" s="5" t="inlineStr">
        <is>
          <t>SP</t>
        </is>
      </c>
      <c r="F4285" s="5" t="inlineStr">
        <is>
          <t>Vivo Controle Música</t>
        </is>
      </c>
      <c r="G4285" s="5" t="inlineStr">
        <is>
          <t>vivo:VIV202600034620</t>
        </is>
      </c>
      <c r="H4285" s="6" t="n">
        <v>85</v>
      </c>
      <c r="I4285" s="6" t="inlineStr"/>
      <c r="J4285" s="5" t="inlineStr">
        <is>
          <t>preço-base do plano; a tela exibia R$ 90 com o adicional pré-selecionado (+R$ 5/mês, opcional); 60 GB na tela incluem +10 GB do adicional</t>
        </is>
      </c>
      <c r="K4285" s="5" t="inlineStr"/>
      <c r="L4285" s="7" t="n">
        <v>50</v>
      </c>
      <c r="M4285" s="5" t="inlineStr">
        <is>
          <t>20 GB de franquia 30 GB de bônus</t>
        </is>
      </c>
      <c r="N4285" s="5" t="inlineStr"/>
      <c r="O4285" s="5" t="inlineStr"/>
      <c r="P4285" s="5" t="inlineStr"/>
      <c r="Q4285" s="5" t="inlineStr"/>
      <c r="R4285" s="5" t="inlineStr"/>
      <c r="S4285" s="5" t="inlineStr"/>
      <c r="T4285" s="5" t="inlineStr">
        <is>
          <t>Apple Music Individual</t>
        </is>
      </c>
      <c r="U4285" s="5" t="inlineStr">
        <is>
          <t>https://vivo.com.br/para-voce/produtos-e-servicos/para-o-celular/planos-controle</t>
        </is>
      </c>
      <c r="V4285" s="5" t="inlineStr">
        <is>
          <t>data/raw/vivo_control_SP.html</t>
        </is>
      </c>
    </row>
    <row r="4286">
      <c r="A4286" s="2" t="inlineStr">
        <is>
          <t>2026-09-05</t>
        </is>
      </c>
      <c r="B4286" s="2" t="inlineStr">
        <is>
          <t>2026-09-05T19:37:33</t>
        </is>
      </c>
      <c r="C4286" s="2" t="inlineStr">
        <is>
          <t>vivo</t>
        </is>
      </c>
      <c r="D4286" s="2" t="inlineStr">
        <is>
          <t>control</t>
        </is>
      </c>
      <c r="E4286" s="2" t="inlineStr">
        <is>
          <t>SP</t>
        </is>
      </c>
      <c r="F4286" s="2" t="inlineStr">
        <is>
          <t>Vivo Controle Netflix</t>
        </is>
      </c>
      <c r="G4286" s="2" t="inlineStr">
        <is>
          <t>vivo:VIV202600034623</t>
        </is>
      </c>
      <c r="H4286" s="3" t="n">
        <v>90</v>
      </c>
      <c r="I4286" s="3" t="inlineStr"/>
      <c r="J4286" s="2" t="inlineStr">
        <is>
          <t>preço-base do plano; a tela exibia R$ 95 com o adicional pré-selecionado (+R$ 5/mês, opcional); 60 GB na tela incluem +10 GB do adicional</t>
        </is>
      </c>
      <c r="K4286" s="2" t="inlineStr"/>
      <c r="L4286" s="4" t="n">
        <v>50</v>
      </c>
      <c r="M4286" s="2" t="inlineStr">
        <is>
          <t>20 GB de franquia 30 GB de bônus</t>
        </is>
      </c>
      <c r="N4286" s="2" t="inlineStr"/>
      <c r="O4286" s="2" t="inlineStr"/>
      <c r="P4286" s="2" t="inlineStr"/>
      <c r="Q4286" s="2" t="inlineStr"/>
      <c r="R4286" s="2" t="inlineStr"/>
      <c r="S4286" s="2" t="inlineStr"/>
      <c r="T4286" s="2" t="inlineStr">
        <is>
          <t>Assinatura Netflix Padrão com anúncios</t>
        </is>
      </c>
      <c r="U4286" s="2" t="inlineStr">
        <is>
          <t>https://vivo.com.br/para-voce/produtos-e-servicos/para-o-celular/planos-controle</t>
        </is>
      </c>
      <c r="V4286" s="2" t="inlineStr">
        <is>
          <t>data/raw/vivo_control_SP.html</t>
        </is>
      </c>
    </row>
    <row r="4287">
      <c r="A4287" s="5" t="inlineStr">
        <is>
          <t>2026-09-05</t>
        </is>
      </c>
      <c r="B4287" s="5" t="inlineStr">
        <is>
          <t>2026-09-05T19:37:33</t>
        </is>
      </c>
      <c r="C4287" s="5" t="inlineStr">
        <is>
          <t>vivo</t>
        </is>
      </c>
      <c r="D4287" s="5" t="inlineStr">
        <is>
          <t>control</t>
        </is>
      </c>
      <c r="E4287" s="5" t="inlineStr">
        <is>
          <t>SP</t>
        </is>
      </c>
      <c r="F4287" s="5" t="inlineStr">
        <is>
          <t>Vivo Controle Saúde</t>
        </is>
      </c>
      <c r="G4287" s="5" t="inlineStr">
        <is>
          <t>vivo:VIV202600034625</t>
        </is>
      </c>
      <c r="H4287" s="6" t="n">
        <v>85</v>
      </c>
      <c r="I4287" s="6" t="inlineStr"/>
      <c r="J4287" s="5" t="inlineStr">
        <is>
          <t>preço-base do plano; a tela exibia R$ 90 com o adicional pré-selecionado (+R$ 5/mês, opcional); 60 GB na tela incluem +10 GB do adicional</t>
        </is>
      </c>
      <c r="K4287" s="5" t="inlineStr"/>
      <c r="L4287" s="7" t="n">
        <v>50</v>
      </c>
      <c r="M4287" s="5" t="inlineStr">
        <is>
          <t>20 GB de franquia 30 GB de bônus</t>
        </is>
      </c>
      <c r="N4287" s="5" t="inlineStr"/>
      <c r="O4287" s="5" t="inlineStr"/>
      <c r="P4287" s="5" t="inlineStr"/>
      <c r="Q4287" s="5" t="inlineStr"/>
      <c r="R4287" s="5" t="inlineStr"/>
      <c r="S4287" s="5" t="inlineStr"/>
      <c r="T4287" s="5" t="inlineStr">
        <is>
          <t>Assinatura Vale Saúde Sempre inclusa</t>
        </is>
      </c>
      <c r="U4287" s="5" t="inlineStr">
        <is>
          <t>https://vivo.com.br/para-voce/produtos-e-servicos/para-o-celular/planos-controle</t>
        </is>
      </c>
      <c r="V4287" s="5" t="inlineStr">
        <is>
          <t>data/raw/vivo_control_SP.html</t>
        </is>
      </c>
    </row>
    <row r="4288">
      <c r="A4288" s="2" t="inlineStr">
        <is>
          <t>2026-09-05</t>
        </is>
      </c>
      <c r="B4288" s="2" t="inlineStr">
        <is>
          <t>2026-09-05T19:37:33</t>
        </is>
      </c>
      <c r="C4288" s="2" t="inlineStr">
        <is>
          <t>vivo</t>
        </is>
      </c>
      <c r="D4288" s="2" t="inlineStr">
        <is>
          <t>control</t>
        </is>
      </c>
      <c r="E4288" s="2" t="inlineStr">
        <is>
          <t>SP</t>
        </is>
      </c>
      <c r="F4288" s="2" t="inlineStr">
        <is>
          <t>Vivo Controle Youtube Lite</t>
        </is>
      </c>
      <c r="G4288" s="2" t="inlineStr">
        <is>
          <t>vivo:VIV202600034626</t>
        </is>
      </c>
      <c r="H4288" s="3" t="n">
        <v>85</v>
      </c>
      <c r="I4288" s="3" t="inlineStr"/>
      <c r="J4288" s="2" t="inlineStr">
        <is>
          <t>preço-base do plano; a tela exibia R$ 90 com o adicional pré-selecionado (+R$ 5/mês, opcional); 60 GB na tela incluem +10 GB do adicional</t>
        </is>
      </c>
      <c r="K4288" s="2" t="inlineStr"/>
      <c r="L4288" s="4" t="n">
        <v>50</v>
      </c>
      <c r="M4288" s="2" t="inlineStr">
        <is>
          <t>20 GB de franquia 30 GB de bônus</t>
        </is>
      </c>
      <c r="N4288" s="2" t="inlineStr"/>
      <c r="O4288" s="2" t="inlineStr"/>
      <c r="P4288" s="2" t="inlineStr"/>
      <c r="Q4288" s="2" t="inlineStr"/>
      <c r="R4288" s="2" t="inlineStr"/>
      <c r="S4288" s="2" t="inlineStr"/>
      <c r="T4288" s="2" t="inlineStr">
        <is>
          <t>Assinatura Youtube Premium Lite Inclusa</t>
        </is>
      </c>
      <c r="U4288" s="2" t="inlineStr">
        <is>
          <t>https://vivo.com.br/para-voce/produtos-e-servicos/para-o-celular/planos-controle</t>
        </is>
      </c>
      <c r="V4288" s="2" t="inlineStr">
        <is>
          <t>data/raw/vivo_control_SP.html</t>
        </is>
      </c>
    </row>
    <row r="4289">
      <c r="A4289" s="5" t="inlineStr">
        <is>
          <t>2026-09-05</t>
        </is>
      </c>
      <c r="B4289" s="5" t="inlineStr">
        <is>
          <t>2026-09-05T19:37:33</t>
        </is>
      </c>
      <c r="C4289" s="5" t="inlineStr">
        <is>
          <t>vivo</t>
        </is>
      </c>
      <c r="D4289" s="5" t="inlineStr">
        <is>
          <t>lite</t>
        </is>
      </c>
      <c r="E4289" s="5" t="inlineStr">
        <is>
          <t>SP</t>
        </is>
      </c>
      <c r="F4289" s="5" t="inlineStr">
        <is>
          <t>Vivo Lite</t>
        </is>
      </c>
      <c r="G4289" s="5" t="inlineStr">
        <is>
          <t>vivo:VIV202600038808</t>
        </is>
      </c>
      <c r="H4289" s="6" t="n">
        <v>45</v>
      </c>
      <c r="I4289" s="6" t="n">
        <v>30</v>
      </c>
      <c r="J4289" s="5" t="inlineStr">
        <is>
          <t>preço sem fidelidade; fidelidade 12m no promo</t>
        </is>
      </c>
      <c r="K4289" s="5" t="inlineStr"/>
      <c r="L4289" s="7" t="n">
        <v>30</v>
      </c>
      <c r="M4289" s="5" t="inlineStr">
        <is>
          <t>30 GB de franquia</t>
        </is>
      </c>
      <c r="N4289" s="5" t="inlineStr"/>
      <c r="O4289" s="5" t="inlineStr"/>
      <c r="P4289" s="5" t="inlineStr"/>
      <c r="Q4289" s="5" t="inlineStr"/>
      <c r="R4289" s="5" t="inlineStr"/>
      <c r="S4289" s="5" t="n">
        <v>12</v>
      </c>
      <c r="T4289" s="5" t="inlineStr"/>
      <c r="U4289" s="5" t="inlineStr">
        <is>
          <t>https://vivo.com.br/para-voce/produtos-e-servicos/para-o-celular/easy-lite</t>
        </is>
      </c>
      <c r="V4289" s="5" t="inlineStr">
        <is>
          <t>data/raw/vivo_lite_SP.html</t>
        </is>
      </c>
    </row>
    <row r="4290">
      <c r="A4290" s="2" t="inlineStr">
        <is>
          <t>2026-09-05</t>
        </is>
      </c>
      <c r="B4290" s="2" t="inlineStr">
        <is>
          <t>2026-09-05T19:37:33</t>
        </is>
      </c>
      <c r="C4290" s="2" t="inlineStr">
        <is>
          <t>vivo</t>
        </is>
      </c>
      <c r="D4290" s="2" t="inlineStr">
        <is>
          <t>lite</t>
        </is>
      </c>
      <c r="E4290" s="2" t="inlineStr">
        <is>
          <t>SP</t>
        </is>
      </c>
      <c r="F4290" s="2" t="inlineStr">
        <is>
          <t>Vivo Lite</t>
        </is>
      </c>
      <c r="G4290" s="2" t="inlineStr">
        <is>
          <t>vivo:VIV202600038810</t>
        </is>
      </c>
      <c r="H4290" s="3" t="n">
        <v>55</v>
      </c>
      <c r="I4290" s="3" t="n">
        <v>40</v>
      </c>
      <c r="J4290" s="2" t="inlineStr">
        <is>
          <t>preço sem fidelidade; fidelidade 12m no promo</t>
        </is>
      </c>
      <c r="K4290" s="2" t="inlineStr"/>
      <c r="L4290" s="4" t="n">
        <v>40</v>
      </c>
      <c r="M4290" s="2" t="inlineStr">
        <is>
          <t>40 GB de franquia</t>
        </is>
      </c>
      <c r="N4290" s="2" t="inlineStr"/>
      <c r="O4290" s="2" t="inlineStr"/>
      <c r="P4290" s="2" t="inlineStr"/>
      <c r="Q4290" s="2" t="inlineStr"/>
      <c r="R4290" s="2" t="inlineStr"/>
      <c r="S4290" s="2" t="n">
        <v>12</v>
      </c>
      <c r="T4290" s="2" t="inlineStr"/>
      <c r="U4290" s="2" t="inlineStr">
        <is>
          <t>https://vivo.com.br/para-voce/produtos-e-servicos/para-o-celular/easy-lite</t>
        </is>
      </c>
      <c r="V4290" s="2" t="inlineStr">
        <is>
          <t>data/raw/vivo_lite_SP.html</t>
        </is>
      </c>
    </row>
    <row r="4291">
      <c r="A4291" s="5" t="inlineStr">
        <is>
          <t>2026-09-05</t>
        </is>
      </c>
      <c r="B4291" s="5" t="inlineStr">
        <is>
          <t>2026-09-05T19:37:33</t>
        </is>
      </c>
      <c r="C4291" s="5" t="inlineStr">
        <is>
          <t>vivo</t>
        </is>
      </c>
      <c r="D4291" s="5" t="inlineStr">
        <is>
          <t>lite</t>
        </is>
      </c>
      <c r="E4291" s="5" t="inlineStr">
        <is>
          <t>SP</t>
        </is>
      </c>
      <c r="F4291" s="5" t="inlineStr">
        <is>
          <t>Vivo Lite</t>
        </is>
      </c>
      <c r="G4291" s="5" t="inlineStr">
        <is>
          <t>vivo:VIV202600038814</t>
        </is>
      </c>
      <c r="H4291" s="6" t="n">
        <v>35</v>
      </c>
      <c r="I4291" s="6" t="inlineStr"/>
      <c r="J4291" s="5" t="inlineStr"/>
      <c r="K4291" s="5" t="inlineStr"/>
      <c r="L4291" s="7" t="n">
        <v>20</v>
      </c>
      <c r="M4291" s="5" t="inlineStr">
        <is>
          <t>20 GB de franquia</t>
        </is>
      </c>
      <c r="N4291" s="5" t="inlineStr"/>
      <c r="O4291" s="5" t="inlineStr"/>
      <c r="P4291" s="5" t="inlineStr"/>
      <c r="Q4291" s="5" t="inlineStr"/>
      <c r="R4291" s="5" t="inlineStr"/>
      <c r="S4291" s="5" t="inlineStr"/>
      <c r="T4291" s="5" t="inlineStr"/>
      <c r="U4291" s="5" t="inlineStr">
        <is>
          <t>https://vivo.com.br/para-voce/produtos-e-servicos/para-o-celular/easy-lite</t>
        </is>
      </c>
      <c r="V4291" s="5" t="inlineStr">
        <is>
          <t>data/raw/vivo_lite_SP.html</t>
        </is>
      </c>
    </row>
    <row r="4292">
      <c r="A4292" s="2" t="inlineStr">
        <is>
          <t>2026-09-05</t>
        </is>
      </c>
      <c r="B4292" s="2" t="inlineStr">
        <is>
          <t>2026-09-05T19:37:33</t>
        </is>
      </c>
      <c r="C4292" s="2" t="inlineStr">
        <is>
          <t>vivo</t>
        </is>
      </c>
      <c r="D4292" s="2" t="inlineStr">
        <is>
          <t>postpaid</t>
        </is>
      </c>
      <c r="E4292" s="2" t="inlineStr">
        <is>
          <t>SP</t>
        </is>
      </c>
      <c r="F4292" s="2" t="inlineStr">
        <is>
          <t>Vivo Família 2</t>
        </is>
      </c>
      <c r="G4292" s="2" t="inlineStr">
        <is>
          <t>vivo:VIV202600034547</t>
        </is>
      </c>
      <c r="H4292" s="3" t="n">
        <v>270</v>
      </c>
      <c r="I4292" s="3" t="inlineStr"/>
      <c r="J4292" s="2" t="inlineStr"/>
      <c r="K4292" s="2" t="inlineStr"/>
      <c r="L4292" s="4" t="n">
        <v>120</v>
      </c>
      <c r="M4292" s="2" t="inlineStr">
        <is>
          <t>120 GB de franquia Você + 1 linha adicional Roaming Internacional com Vivo Travel Américas e Europa</t>
        </is>
      </c>
      <c r="N4292" s="2" t="inlineStr"/>
      <c r="O4292" s="2" t="inlineStr"/>
      <c r="P4292" s="2" t="inlineStr"/>
      <c r="Q4292" s="2" t="inlineStr"/>
      <c r="R4292" s="2" t="inlineStr"/>
      <c r="S4292" s="2" t="inlineStr"/>
      <c r="T4292" s="2" t="inlineStr">
        <is>
          <t>12 meses grátis de Gemini com AI Plus</t>
        </is>
      </c>
      <c r="U4292" s="2" t="inlineStr">
        <is>
          <t>https://vivo.com.br/para-voce/produtos-e-servicos/para-o-celular/planos-pos-pago</t>
        </is>
      </c>
      <c r="V4292" s="2" t="inlineStr">
        <is>
          <t>data/raw/vivo_postpaid_SP.html</t>
        </is>
      </c>
    </row>
    <row r="4293">
      <c r="A4293" s="5" t="inlineStr">
        <is>
          <t>2026-09-05</t>
        </is>
      </c>
      <c r="B4293" s="5" t="inlineStr">
        <is>
          <t>2026-09-05T19:37:33</t>
        </is>
      </c>
      <c r="C4293" s="5" t="inlineStr">
        <is>
          <t>vivo</t>
        </is>
      </c>
      <c r="D4293" s="5" t="inlineStr">
        <is>
          <t>postpaid</t>
        </is>
      </c>
      <c r="E4293" s="5" t="inlineStr">
        <is>
          <t>SP</t>
        </is>
      </c>
      <c r="F4293" s="5" t="inlineStr">
        <is>
          <t>Vivo Família 3</t>
        </is>
      </c>
      <c r="G4293" s="5" t="inlineStr">
        <is>
          <t>vivo:VIV202600034540</t>
        </is>
      </c>
      <c r="H4293" s="6" t="n">
        <v>340</v>
      </c>
      <c r="I4293" s="6" t="inlineStr"/>
      <c r="J4293" s="5" t="inlineStr"/>
      <c r="K4293" s="5" t="inlineStr"/>
      <c r="L4293" s="7" t="n">
        <v>180</v>
      </c>
      <c r="M4293" s="5" t="inlineStr">
        <is>
          <t>180 GB de franquia Você + 2 linhas adicionais Roaming Internacional com Vivo Travel Américas e Europa</t>
        </is>
      </c>
      <c r="N4293" s="5" t="inlineStr"/>
      <c r="O4293" s="5" t="inlineStr"/>
      <c r="P4293" s="5" t="inlineStr"/>
      <c r="Q4293" s="5" t="inlineStr"/>
      <c r="R4293" s="5" t="inlineStr"/>
      <c r="S4293" s="5" t="inlineStr"/>
      <c r="T4293" s="5" t="inlineStr">
        <is>
          <t>12 meses grátis de Gemini com AI Plus</t>
        </is>
      </c>
      <c r="U4293" s="5" t="inlineStr">
        <is>
          <t>https://vivo.com.br/para-voce/produtos-e-servicos/para-o-celular/planos-pos-pago</t>
        </is>
      </c>
      <c r="V4293" s="5" t="inlineStr">
        <is>
          <t>data/raw/vivo_postpaid_SP.html</t>
        </is>
      </c>
    </row>
    <row r="4294">
      <c r="A4294" s="2" t="inlineStr">
        <is>
          <t>2026-09-05</t>
        </is>
      </c>
      <c r="B4294" s="2" t="inlineStr">
        <is>
          <t>2026-09-05T19:37:33</t>
        </is>
      </c>
      <c r="C4294" s="2" t="inlineStr">
        <is>
          <t>vivo</t>
        </is>
      </c>
      <c r="D4294" s="2" t="inlineStr">
        <is>
          <t>postpaid</t>
        </is>
      </c>
      <c r="E4294" s="2" t="inlineStr">
        <is>
          <t>SP</t>
        </is>
      </c>
      <c r="F4294" s="2" t="inlineStr">
        <is>
          <t>Vivo Família 4</t>
        </is>
      </c>
      <c r="G4294" s="2" t="inlineStr">
        <is>
          <t>vivo:VIV202600034531</t>
        </is>
      </c>
      <c r="H4294" s="3" t="n">
        <v>430</v>
      </c>
      <c r="I4294" s="3" t="inlineStr"/>
      <c r="J4294" s="2" t="inlineStr"/>
      <c r="K4294" s="2" t="inlineStr"/>
      <c r="L4294" s="4" t="n">
        <v>240</v>
      </c>
      <c r="M4294" s="2" t="inlineStr">
        <is>
          <t>240 GB de franquia Você + 3 linhas adicionais Roaming Internacional com Vivo Travel Américas e Europa</t>
        </is>
      </c>
      <c r="N4294" s="2" t="inlineStr"/>
      <c r="O4294" s="2" t="inlineStr"/>
      <c r="P4294" s="2" t="inlineStr"/>
      <c r="Q4294" s="2" t="inlineStr"/>
      <c r="R4294" s="2" t="inlineStr"/>
      <c r="S4294" s="2" t="inlineStr"/>
      <c r="T4294" s="2" t="inlineStr">
        <is>
          <t>12 meses grátis de Gemini com AI Plus</t>
        </is>
      </c>
      <c r="U4294" s="2" t="inlineStr">
        <is>
          <t>https://vivo.com.br/para-voce/produtos-e-servicos/para-o-celular/planos-pos-pago</t>
        </is>
      </c>
      <c r="V4294" s="2" t="inlineStr">
        <is>
          <t>data/raw/vivo_postpaid_SP.html</t>
        </is>
      </c>
    </row>
    <row r="4295">
      <c r="A4295" s="5" t="inlineStr">
        <is>
          <t>2026-09-05</t>
        </is>
      </c>
      <c r="B4295" s="5" t="inlineStr">
        <is>
          <t>2026-09-05T19:37:33</t>
        </is>
      </c>
      <c r="C4295" s="5" t="inlineStr">
        <is>
          <t>vivo</t>
        </is>
      </c>
      <c r="D4295" s="5" t="inlineStr">
        <is>
          <t>postpaid</t>
        </is>
      </c>
      <c r="E4295" s="5" t="inlineStr">
        <is>
          <t>SP</t>
        </is>
      </c>
      <c r="F4295" s="5" t="inlineStr">
        <is>
          <t>Vivo Família 5</t>
        </is>
      </c>
      <c r="G4295" s="5" t="inlineStr">
        <is>
          <t>vivo:VIV202600034526</t>
        </is>
      </c>
      <c r="H4295" s="6" t="n">
        <v>530</v>
      </c>
      <c r="I4295" s="6" t="inlineStr"/>
      <c r="J4295" s="5" t="inlineStr"/>
      <c r="K4295" s="5" t="inlineStr"/>
      <c r="L4295" s="7" t="n">
        <v>300</v>
      </c>
      <c r="M4295" s="5" t="inlineStr">
        <is>
          <t>300 GB de franquia Você + 4 linhas adicionais Roaming Internacional com Vivo Travel Américas e Europa</t>
        </is>
      </c>
      <c r="N4295" s="5" t="inlineStr"/>
      <c r="O4295" s="5" t="inlineStr"/>
      <c r="P4295" s="5" t="inlineStr"/>
      <c r="Q4295" s="5" t="inlineStr"/>
      <c r="R4295" s="5" t="inlineStr"/>
      <c r="S4295" s="5" t="inlineStr"/>
      <c r="T4295" s="5" t="inlineStr">
        <is>
          <t>12 meses grátis de Gemini com AI Plus</t>
        </is>
      </c>
      <c r="U4295" s="5" t="inlineStr">
        <is>
          <t>https://vivo.com.br/para-voce/produtos-e-servicos/para-o-celular/planos-pos-pago</t>
        </is>
      </c>
      <c r="V4295" s="5" t="inlineStr">
        <is>
          <t>data/raw/vivo_postpaid_SP.html</t>
        </is>
      </c>
    </row>
    <row r="4296">
      <c r="A4296" s="2" t="inlineStr">
        <is>
          <t>2026-09-05</t>
        </is>
      </c>
      <c r="B4296" s="2" t="inlineStr">
        <is>
          <t>2026-09-05T19:37:33</t>
        </is>
      </c>
      <c r="C4296" s="2" t="inlineStr">
        <is>
          <t>vivo</t>
        </is>
      </c>
      <c r="D4296" s="2" t="inlineStr">
        <is>
          <t>postpaid</t>
        </is>
      </c>
      <c r="E4296" s="2" t="inlineStr">
        <is>
          <t>SP</t>
        </is>
      </c>
      <c r="F4296" s="2" t="inlineStr">
        <is>
          <t>Vivo Pós com Amazon</t>
        </is>
      </c>
      <c r="G4296" s="2" t="inlineStr">
        <is>
          <t>vivo:VIV202600034554</t>
        </is>
      </c>
      <c r="H4296" s="3" t="n">
        <v>150</v>
      </c>
      <c r="I4296" s="3" t="inlineStr"/>
      <c r="J4296" s="2" t="inlineStr"/>
      <c r="K4296" s="2" t="inlineStr"/>
      <c r="L4296" s="4" t="n">
        <v>60</v>
      </c>
      <c r="M4296" s="2" t="inlineStr">
        <is>
          <t>50 GB de franquia 10 GB de bônus</t>
        </is>
      </c>
      <c r="N4296" s="2" t="inlineStr"/>
      <c r="O4296" s="2" t="inlineStr"/>
      <c r="P4296" s="2" t="inlineStr"/>
      <c r="Q4296" s="2" t="inlineStr"/>
      <c r="R4296" s="2" t="inlineStr"/>
      <c r="S4296" s="2" t="inlineStr"/>
      <c r="T4296" s="2" t="inlineStr">
        <is>
          <t>Assinatura Amazon Prime inclusa</t>
        </is>
      </c>
      <c r="U4296" s="2" t="inlineStr">
        <is>
          <t>https://vivo.com.br/para-voce/produtos-e-servicos/para-o-celular/planos-pos-pago</t>
        </is>
      </c>
      <c r="V4296" s="2" t="inlineStr">
        <is>
          <t>data/raw/vivo_postpaid_SP.html</t>
        </is>
      </c>
    </row>
    <row r="4297">
      <c r="A4297" s="5" t="inlineStr">
        <is>
          <t>2026-09-05</t>
        </is>
      </c>
      <c r="B4297" s="5" t="inlineStr">
        <is>
          <t>2026-09-05T19:37:33</t>
        </is>
      </c>
      <c r="C4297" s="5" t="inlineStr">
        <is>
          <t>vivo</t>
        </is>
      </c>
      <c r="D4297" s="5" t="inlineStr">
        <is>
          <t>postpaid</t>
        </is>
      </c>
      <c r="E4297" s="5" t="inlineStr">
        <is>
          <t>SP</t>
        </is>
      </c>
      <c r="F4297" s="5" t="inlineStr">
        <is>
          <t>Vivo Pós com Disney+</t>
        </is>
      </c>
      <c r="G4297" s="5" t="inlineStr">
        <is>
          <t>vivo:VIV202600034532</t>
        </is>
      </c>
      <c r="H4297" s="6" t="n">
        <v>180</v>
      </c>
      <c r="I4297" s="6" t="inlineStr"/>
      <c r="J4297" s="5" t="inlineStr"/>
      <c r="K4297" s="5" t="inlineStr"/>
      <c r="L4297" s="7" t="n">
        <v>60</v>
      </c>
      <c r="M4297" s="5" t="inlineStr">
        <is>
          <t>50 GB de franquia 10 GB de bônus</t>
        </is>
      </c>
      <c r="N4297" s="5" t="inlineStr"/>
      <c r="O4297" s="5" t="inlineStr"/>
      <c r="P4297" s="5" t="inlineStr"/>
      <c r="Q4297" s="5" t="inlineStr"/>
      <c r="R4297" s="5" t="inlineStr">
        <is>
          <t>Disney+</t>
        </is>
      </c>
      <c r="S4297" s="5" t="inlineStr"/>
      <c r="T4297" s="5" t="inlineStr">
        <is>
          <t>Assinatura Disney+ Padrão inclusa</t>
        </is>
      </c>
      <c r="U4297" s="5" t="inlineStr">
        <is>
          <t>https://vivo.com.br/para-voce/produtos-e-servicos/para-o-celular/planos-pos-pago</t>
        </is>
      </c>
      <c r="V4297" s="5" t="inlineStr">
        <is>
          <t>data/raw/vivo_postpaid_SP.html</t>
        </is>
      </c>
    </row>
    <row r="4298">
      <c r="A4298" s="2" t="inlineStr">
        <is>
          <t>2026-09-05</t>
        </is>
      </c>
      <c r="B4298" s="2" t="inlineStr">
        <is>
          <t>2026-09-05T19:37:33</t>
        </is>
      </c>
      <c r="C4298" s="2" t="inlineStr">
        <is>
          <t>vivo</t>
        </is>
      </c>
      <c r="D4298" s="2" t="inlineStr">
        <is>
          <t>postpaid</t>
        </is>
      </c>
      <c r="E4298" s="2" t="inlineStr">
        <is>
          <t>SP</t>
        </is>
      </c>
      <c r="F4298" s="2" t="inlineStr">
        <is>
          <t>Vivo Pós com Globoplay</t>
        </is>
      </c>
      <c r="G4298" s="2" t="inlineStr">
        <is>
          <t>vivo:VIV202600034575</t>
        </is>
      </c>
      <c r="H4298" s="3" t="n">
        <v>165</v>
      </c>
      <c r="I4298" s="3" t="inlineStr"/>
      <c r="J4298" s="2" t="inlineStr"/>
      <c r="K4298" s="2" t="inlineStr"/>
      <c r="L4298" s="4" t="n">
        <v>60</v>
      </c>
      <c r="M4298" s="2" t="inlineStr">
        <is>
          <t>50 GB de franquia 10 GB de bônus</t>
        </is>
      </c>
      <c r="N4298" s="2" t="inlineStr"/>
      <c r="O4298" s="2" t="inlineStr"/>
      <c r="P4298" s="2" t="inlineStr"/>
      <c r="Q4298" s="2" t="inlineStr"/>
      <c r="R4298" s="2" t="inlineStr">
        <is>
          <t>Globoplay</t>
        </is>
      </c>
      <c r="S4298" s="2" t="inlineStr"/>
      <c r="T4298" s="2" t="inlineStr">
        <is>
          <t>Assinatura Globoplay inclusa</t>
        </is>
      </c>
      <c r="U4298" s="2" t="inlineStr">
        <is>
          <t>https://vivo.com.br/para-voce/produtos-e-servicos/para-o-celular/planos-pos-pago</t>
        </is>
      </c>
      <c r="V4298" s="2" t="inlineStr">
        <is>
          <t>data/raw/vivo_postpaid_SP.html</t>
        </is>
      </c>
    </row>
    <row r="4299">
      <c r="A4299" s="5" t="inlineStr">
        <is>
          <t>2026-09-05</t>
        </is>
      </c>
      <c r="B4299" s="5" t="inlineStr">
        <is>
          <t>2026-09-05T19:37:33</t>
        </is>
      </c>
      <c r="C4299" s="5" t="inlineStr">
        <is>
          <t>vivo</t>
        </is>
      </c>
      <c r="D4299" s="5" t="inlineStr">
        <is>
          <t>postpaid</t>
        </is>
      </c>
      <c r="E4299" s="5" t="inlineStr">
        <is>
          <t>SP</t>
        </is>
      </c>
      <c r="F4299" s="5" t="inlineStr">
        <is>
          <t>Vivo Pós com Netflix</t>
        </is>
      </c>
      <c r="G4299" s="5" t="inlineStr">
        <is>
          <t>vivo:VIV202600034562</t>
        </is>
      </c>
      <c r="H4299" s="6" t="n">
        <v>180</v>
      </c>
      <c r="I4299" s="6" t="inlineStr"/>
      <c r="J4299" s="5" t="inlineStr"/>
      <c r="K4299" s="5" t="inlineStr"/>
      <c r="L4299" s="7" t="n">
        <v>60</v>
      </c>
      <c r="M4299" s="5" t="inlineStr">
        <is>
          <t>50 GB de franquia 10 GB de bônus</t>
        </is>
      </c>
      <c r="N4299" s="5" t="inlineStr"/>
      <c r="O4299" s="5" t="inlineStr"/>
      <c r="P4299" s="5" t="inlineStr"/>
      <c r="Q4299" s="5" t="inlineStr"/>
      <c r="R4299" s="5" t="inlineStr">
        <is>
          <t>Netflix</t>
        </is>
      </c>
      <c r="S4299" s="5" t="inlineStr"/>
      <c r="T4299" s="5" t="inlineStr">
        <is>
          <t>Assinatura Netflix Padrão inclusa</t>
        </is>
      </c>
      <c r="U4299" s="5" t="inlineStr">
        <is>
          <t>https://vivo.com.br/para-voce/produtos-e-servicos/para-o-celular/planos-pos-pago</t>
        </is>
      </c>
      <c r="V4299" s="5" t="inlineStr">
        <is>
          <t>data/raw/vivo_postpaid_SP.html</t>
        </is>
      </c>
    </row>
    <row r="4300">
      <c r="A4300" s="2" t="inlineStr">
        <is>
          <t>2026-09-05</t>
        </is>
      </c>
      <c r="B4300" s="2" t="inlineStr">
        <is>
          <t>2026-09-05T19:37:33</t>
        </is>
      </c>
      <c r="C4300" s="2" t="inlineStr">
        <is>
          <t>vivo</t>
        </is>
      </c>
      <c r="D4300" s="2" t="inlineStr">
        <is>
          <t>postpaid</t>
        </is>
      </c>
      <c r="E4300" s="2" t="inlineStr">
        <is>
          <t>SP</t>
        </is>
      </c>
      <c r="F4300" s="2" t="inlineStr">
        <is>
          <t>Vivo Pós com Premiere</t>
        </is>
      </c>
      <c r="G4300" s="2" t="inlineStr">
        <is>
          <t>vivo:VIV202600034579</t>
        </is>
      </c>
      <c r="H4300" s="3" t="n">
        <v>180</v>
      </c>
      <c r="I4300" s="3" t="inlineStr"/>
      <c r="J4300" s="2" t="inlineStr"/>
      <c r="K4300" s="2" t="inlineStr"/>
      <c r="L4300" s="4" t="n">
        <v>60</v>
      </c>
      <c r="M4300" s="2" t="inlineStr">
        <is>
          <t>50 GB de franquia 10 GB de bônus</t>
        </is>
      </c>
      <c r="N4300" s="2" t="inlineStr"/>
      <c r="O4300" s="2" t="inlineStr"/>
      <c r="P4300" s="2" t="inlineStr"/>
      <c r="Q4300" s="2" t="inlineStr"/>
      <c r="R4300" s="2" t="inlineStr">
        <is>
          <t>Premiere</t>
        </is>
      </c>
      <c r="S4300" s="2" t="inlineStr"/>
      <c r="T4300" s="2" t="inlineStr">
        <is>
          <t>Assinatura Premiere inclusa</t>
        </is>
      </c>
      <c r="U4300" s="2" t="inlineStr">
        <is>
          <t>https://vivo.com.br/para-voce/produtos-e-servicos/para-o-celular/planos-pos-pago</t>
        </is>
      </c>
      <c r="V4300" s="2" t="inlineStr">
        <is>
          <t>data/raw/vivo_postpaid_SP.html</t>
        </is>
      </c>
    </row>
    <row r="4301">
      <c r="A4301" s="5" t="inlineStr">
        <is>
          <t>2026-09-05</t>
        </is>
      </c>
      <c r="B4301" s="5" t="inlineStr">
        <is>
          <t>2026-09-05T19:37:33</t>
        </is>
      </c>
      <c r="C4301" s="5" t="inlineStr">
        <is>
          <t>vivo</t>
        </is>
      </c>
      <c r="D4301" s="5" t="inlineStr">
        <is>
          <t>postpaid</t>
        </is>
      </c>
      <c r="E4301" s="5" t="inlineStr">
        <is>
          <t>SP</t>
        </is>
      </c>
      <c r="F4301" s="5" t="inlineStr">
        <is>
          <t>Vivo Pós com Spotify</t>
        </is>
      </c>
      <c r="G4301" s="5" t="inlineStr">
        <is>
          <t>vivo:VIV202600034556</t>
        </is>
      </c>
      <c r="H4301" s="6" t="n">
        <v>165</v>
      </c>
      <c r="I4301" s="6" t="inlineStr"/>
      <c r="J4301" s="5" t="inlineStr"/>
      <c r="K4301" s="5" t="inlineStr"/>
      <c r="L4301" s="7" t="n">
        <v>60</v>
      </c>
      <c r="M4301" s="5" t="inlineStr">
        <is>
          <t>50 GB de franquia 10 GB de bônus</t>
        </is>
      </c>
      <c r="N4301" s="5" t="inlineStr"/>
      <c r="O4301" s="5" t="inlineStr"/>
      <c r="P4301" s="5" t="inlineStr"/>
      <c r="Q4301" s="5" t="inlineStr"/>
      <c r="R4301" s="5" t="inlineStr">
        <is>
          <t>Spotify</t>
        </is>
      </c>
      <c r="S4301" s="5" t="inlineStr"/>
      <c r="T4301" s="5" t="inlineStr">
        <is>
          <t>Assinatura Spotify Premium inclusa</t>
        </is>
      </c>
      <c r="U4301" s="5" t="inlineStr">
        <is>
          <t>https://vivo.com.br/para-voce/produtos-e-servicos/para-o-celular/planos-pos-pago</t>
        </is>
      </c>
      <c r="V4301" s="5" t="inlineStr">
        <is>
          <t>data/raw/vivo_postpaid_SP.html</t>
        </is>
      </c>
    </row>
    <row r="4302">
      <c r="A4302" s="2" t="inlineStr">
        <is>
          <t>2026-09-05</t>
        </is>
      </c>
      <c r="B4302" s="2" t="inlineStr">
        <is>
          <t>2026-09-05T19:37:33</t>
        </is>
      </c>
      <c r="C4302" s="2" t="inlineStr">
        <is>
          <t>vivo</t>
        </is>
      </c>
      <c r="D4302" s="2" t="inlineStr">
        <is>
          <t>postpaid</t>
        </is>
      </c>
      <c r="E4302" s="2" t="inlineStr">
        <is>
          <t>SP</t>
        </is>
      </c>
      <c r="F4302" s="2" t="inlineStr">
        <is>
          <t>Vivo Pós com Travel</t>
        </is>
      </c>
      <c r="G4302" s="2" t="inlineStr">
        <is>
          <t>vivo:VIV202600034573</t>
        </is>
      </c>
      <c r="H4302" s="3" t="n">
        <v>215</v>
      </c>
      <c r="I4302" s="3" t="inlineStr"/>
      <c r="J4302" s="2" t="inlineStr"/>
      <c r="K4302" s="2" t="inlineStr"/>
      <c r="L4302" s="4" t="n">
        <v>70</v>
      </c>
      <c r="M4302" s="2" t="inlineStr">
        <is>
          <t>60 GB de franquia 10 GB de bônus</t>
        </is>
      </c>
      <c r="N4302" s="2" t="inlineStr"/>
      <c r="O4302" s="2" t="inlineStr"/>
      <c r="P4302" s="2" t="inlineStr"/>
      <c r="Q4302" s="2" t="inlineStr"/>
      <c r="R4302" s="2" t="inlineStr"/>
      <c r="S4302" s="2" t="inlineStr"/>
      <c r="T4302" s="2" t="inlineStr">
        <is>
          <t>6 meses grátis de Gemini com AI Plus</t>
        </is>
      </c>
      <c r="U4302" s="2" t="inlineStr">
        <is>
          <t>https://vivo.com.br/para-voce/produtos-e-servicos/para-o-celular/planos-pos-pago</t>
        </is>
      </c>
      <c r="V4302" s="2" t="inlineStr">
        <is>
          <t>data/raw/vivo_postpaid_SP.html</t>
        </is>
      </c>
    </row>
    <row r="4303">
      <c r="A4303" s="5" t="inlineStr">
        <is>
          <t>2026-09-05</t>
        </is>
      </c>
      <c r="B4303" s="5" t="inlineStr">
        <is>
          <t>2026-09-05T19:37:33</t>
        </is>
      </c>
      <c r="C4303" s="5" t="inlineStr">
        <is>
          <t>vivo</t>
        </is>
      </c>
      <c r="D4303" s="5" t="inlineStr">
        <is>
          <t>prepaid</t>
        </is>
      </c>
      <c r="E4303" s="5" t="inlineStr">
        <is>
          <t>SP</t>
        </is>
      </c>
      <c r="F4303" s="5" t="inlineStr">
        <is>
          <t>Vivo Pré</t>
        </is>
      </c>
      <c r="G4303" s="5" t="inlineStr">
        <is>
          <t>vivo:VIV202600029370-30d</t>
        </is>
      </c>
      <c r="H4303" s="6" t="n">
        <v>30</v>
      </c>
      <c r="I4303" s="6" t="inlineStr"/>
      <c r="J4303" s="5" t="inlineStr"/>
      <c r="K4303" s="5" t="inlineStr"/>
      <c r="L4303" s="7" t="n">
        <v>25</v>
      </c>
      <c r="M4303" s="5" t="inlineStr">
        <is>
          <t>15 GB para navegar como quiser 5 GB de bônus 5 GB para navegar no Youtube</t>
        </is>
      </c>
      <c r="N4303" s="5" t="n">
        <v>30</v>
      </c>
      <c r="O4303" s="5" t="inlineStr"/>
      <c r="P4303" s="5" t="inlineStr"/>
      <c r="Q4303" s="5" t="inlineStr"/>
      <c r="R4303" s="5" t="inlineStr"/>
      <c r="S4303" s="5" t="inlineStr"/>
      <c r="T4303" s="5" t="inlineStr"/>
      <c r="U4303" s="5" t="inlineStr">
        <is>
          <t>https://vivo.com.br/para-voce/produtos-e-servicos/para-o-celular/pre-pago/vivo-pre</t>
        </is>
      </c>
      <c r="V4303" s="5" t="inlineStr">
        <is>
          <t>data/raw/vivo_prepaid_SP.html</t>
        </is>
      </c>
    </row>
    <row r="4304">
      <c r="A4304" s="2" t="inlineStr">
        <is>
          <t>2026-09-05</t>
        </is>
      </c>
      <c r="B4304" s="2" t="inlineStr">
        <is>
          <t>2026-09-05T19:37:33</t>
        </is>
      </c>
      <c r="C4304" s="2" t="inlineStr">
        <is>
          <t>vivo</t>
        </is>
      </c>
      <c r="D4304" s="2" t="inlineStr">
        <is>
          <t>prepaid</t>
        </is>
      </c>
      <c r="E4304" s="2" t="inlineStr">
        <is>
          <t>SP</t>
        </is>
      </c>
      <c r="F4304" s="2" t="inlineStr">
        <is>
          <t>Vivo Pré</t>
        </is>
      </c>
      <c r="G4304" s="2" t="inlineStr">
        <is>
          <t>vivo:VIV202600029370-22d</t>
        </is>
      </c>
      <c r="H4304" s="3" t="n">
        <v>25</v>
      </c>
      <c r="I4304" s="3" t="inlineStr"/>
      <c r="J4304" s="2" t="inlineStr"/>
      <c r="K4304" s="2" t="inlineStr"/>
      <c r="L4304" s="4" t="n">
        <v>9</v>
      </c>
      <c r="M4304" s="2" t="inlineStr">
        <is>
          <t>6 GB para navegar como quiser 3 GB para navegar no YouTube</t>
        </is>
      </c>
      <c r="N4304" s="2" t="n">
        <v>22</v>
      </c>
      <c r="O4304" s="2" t="inlineStr"/>
      <c r="P4304" s="2" t="inlineStr"/>
      <c r="Q4304" s="2" t="inlineStr"/>
      <c r="R4304" s="2" t="inlineStr"/>
      <c r="S4304" s="2" t="inlineStr"/>
      <c r="T4304" s="2" t="inlineStr"/>
      <c r="U4304" s="2" t="inlineStr">
        <is>
          <t>https://vivo.com.br/para-voce/produtos-e-servicos/para-o-celular/pre-pago/vivo-pre</t>
        </is>
      </c>
      <c r="V4304" s="2" t="inlineStr">
        <is>
          <t>data/raw/vivo_prepaid_SP.html</t>
        </is>
      </c>
    </row>
    <row r="4305">
      <c r="A4305" s="5" t="inlineStr">
        <is>
          <t>2026-09-05</t>
        </is>
      </c>
      <c r="B4305" s="5" t="inlineStr">
        <is>
          <t>2026-09-05T19:37:33</t>
        </is>
      </c>
      <c r="C4305" s="5" t="inlineStr">
        <is>
          <t>vivo</t>
        </is>
      </c>
      <c r="D4305" s="5" t="inlineStr">
        <is>
          <t>prepaid</t>
        </is>
      </c>
      <c r="E4305" s="5" t="inlineStr">
        <is>
          <t>SP</t>
        </is>
      </c>
      <c r="F4305" s="5" t="inlineStr">
        <is>
          <t>Vivo Pré</t>
        </is>
      </c>
      <c r="G4305" s="5" t="inlineStr">
        <is>
          <t>vivo:VIV202600029370-17d</t>
        </is>
      </c>
      <c r="H4305" s="6" t="n">
        <v>20</v>
      </c>
      <c r="I4305" s="6" t="inlineStr"/>
      <c r="J4305" s="5" t="inlineStr"/>
      <c r="K4305" s="5" t="inlineStr"/>
      <c r="L4305" s="7" t="n">
        <v>5</v>
      </c>
      <c r="M4305" s="5" t="inlineStr">
        <is>
          <t>5 GB para navegar como quiser</t>
        </is>
      </c>
      <c r="N4305" s="5" t="n">
        <v>17</v>
      </c>
      <c r="O4305" s="5" t="inlineStr"/>
      <c r="P4305" s="5" t="inlineStr"/>
      <c r="Q4305" s="5" t="inlineStr"/>
      <c r="R4305" s="5" t="inlineStr"/>
      <c r="S4305" s="5" t="inlineStr"/>
      <c r="T4305" s="5" t="inlineStr"/>
      <c r="U4305" s="5" t="inlineStr">
        <is>
          <t>https://vivo.com.br/para-voce/produtos-e-servicos/para-o-celular/pre-pago/vivo-pre</t>
        </is>
      </c>
      <c r="V4305" s="5" t="inlineStr">
        <is>
          <t>data/raw/vivo_prepaid_SP.html</t>
        </is>
      </c>
    </row>
    <row r="4306">
      <c r="A4306" s="2" t="inlineStr">
        <is>
          <t>2026-09-05</t>
        </is>
      </c>
      <c r="B4306" s="2" t="inlineStr">
        <is>
          <t>2026-09-05T19:37:33</t>
        </is>
      </c>
      <c r="C4306" s="2" t="inlineStr">
        <is>
          <t>vivo</t>
        </is>
      </c>
      <c r="D4306" s="2" t="inlineStr">
        <is>
          <t>prepaid</t>
        </is>
      </c>
      <c r="E4306" s="2" t="inlineStr">
        <is>
          <t>SP</t>
        </is>
      </c>
      <c r="F4306" s="2" t="inlineStr">
        <is>
          <t>Vivo Pré</t>
        </is>
      </c>
      <c r="G4306" s="2" t="inlineStr">
        <is>
          <t>vivo:VIV202600029370-15d</t>
        </is>
      </c>
      <c r="H4306" s="3" t="n">
        <v>17</v>
      </c>
      <c r="I4306" s="3" t="inlineStr"/>
      <c r="J4306" s="2" t="inlineStr"/>
      <c r="K4306" s="2" t="inlineStr"/>
      <c r="L4306" s="4" t="n">
        <v>4</v>
      </c>
      <c r="M4306" s="2" t="inlineStr">
        <is>
          <t>4 GB para navegar como quiser</t>
        </is>
      </c>
      <c r="N4306" s="2" t="n">
        <v>15</v>
      </c>
      <c r="O4306" s="2" t="inlineStr"/>
      <c r="P4306" s="2" t="inlineStr"/>
      <c r="Q4306" s="2" t="inlineStr"/>
      <c r="R4306" s="2" t="inlineStr"/>
      <c r="S4306" s="2" t="inlineStr"/>
      <c r="T4306" s="2" t="inlineStr"/>
      <c r="U4306" s="2" t="inlineStr">
        <is>
          <t>https://vivo.com.br/para-voce/produtos-e-servicos/para-o-celular/pre-pago/vivo-pre</t>
        </is>
      </c>
      <c r="V4306" s="2" t="inlineStr">
        <is>
          <t>data/raw/vivo_prepaid_SP.html</t>
        </is>
      </c>
    </row>
  </sheetData>
  <autoFilter ref="A1:V43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2026-09-05</t>
        </is>
      </c>
      <c r="B2" s="2" t="inlineStr">
        <is>
          <t>2026-09-05T19:37:33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2026-09-05</t>
        </is>
      </c>
      <c r="B3" s="5" t="inlineStr">
        <is>
          <t>2026-09-05T19:37:33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2026-09-05</t>
        </is>
      </c>
      <c r="B4" s="2" t="inlineStr">
        <is>
          <t>2026-09-05T19:37:33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2026-09-05</t>
        </is>
      </c>
      <c r="B5" s="5" t="inlineStr">
        <is>
          <t>2026-09-05T19:37:33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2026-09-05</t>
        </is>
      </c>
      <c r="B6" s="2" t="inlineStr">
        <is>
          <t>2026-09-05T19:37:33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2026-09-05</t>
        </is>
      </c>
      <c r="B7" s="5" t="inlineStr">
        <is>
          <t>2026-09-05T19:37:33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2026-09-05</t>
        </is>
      </c>
      <c r="B8" s="2" t="inlineStr">
        <is>
          <t>2026-09-05T19:37:33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2026-09-05</t>
        </is>
      </c>
      <c r="B9" s="5" t="inlineStr">
        <is>
          <t>2026-09-05T19:37:33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2026-09-05</t>
        </is>
      </c>
      <c r="B10" s="2" t="inlineStr">
        <is>
          <t>2026-09-05T19:37:33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2026-09-05</t>
        </is>
      </c>
      <c r="B11" s="5" t="inlineStr">
        <is>
          <t>2026-09-05T19:37:33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2026-09-05</t>
        </is>
      </c>
      <c r="B12" s="2" t="inlineStr">
        <is>
          <t>2026-09-05T19:37:33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2026-09-05</t>
        </is>
      </c>
      <c r="B13" s="5" t="inlineStr">
        <is>
          <t>2026-09-05T19:37:33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2026-09-05</t>
        </is>
      </c>
      <c r="B14" s="2" t="inlineStr">
        <is>
          <t>2026-09-05T19:37:33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2026-09-05</t>
        </is>
      </c>
      <c r="B15" s="5" t="inlineStr">
        <is>
          <t>2026-09-05T19:37:33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2026-09-05</t>
        </is>
      </c>
      <c r="B16" s="2" t="inlineStr">
        <is>
          <t>2026-09-05T19:37:33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2026-09-05</t>
        </is>
      </c>
      <c r="B17" s="5" t="inlineStr">
        <is>
          <t>2026-09-05T19:37:33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2026-09-05</t>
        </is>
      </c>
      <c r="B18" s="2" t="inlineStr">
        <is>
          <t>2026-09-05T19:37:33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2026-09-05</t>
        </is>
      </c>
      <c r="B19" s="5" t="inlineStr">
        <is>
          <t>2026-09-05T19:37:33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2026-09-05</t>
        </is>
      </c>
      <c r="B20" s="2" t="inlineStr">
        <is>
          <t>2026-09-05T19:37:33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2026-09-05</t>
        </is>
      </c>
      <c r="B21" s="5" t="inlineStr">
        <is>
          <t>2026-09-05T19:37:33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2026-09-05</t>
        </is>
      </c>
      <c r="B22" s="2" t="inlineStr">
        <is>
          <t>2026-09-05T19:37:33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2026-09-05</t>
        </is>
      </c>
      <c r="B23" s="5" t="inlineStr">
        <is>
          <t>2026-09-05T19:37:33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2026-09-05</t>
        </is>
      </c>
      <c r="B24" s="2" t="inlineStr">
        <is>
          <t>2026-09-05T19:37:33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2026-09-05</t>
        </is>
      </c>
      <c r="B25" s="5" t="inlineStr">
        <is>
          <t>2026-09-05T19:37:33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2026-09-05</t>
        </is>
      </c>
      <c r="B26" s="2" t="inlineStr">
        <is>
          <t>2026-09-05T19:37:33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2026-09-05</t>
        </is>
      </c>
      <c r="B27" s="5" t="inlineStr">
        <is>
          <t>2026-09-05T19:37:33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2026-09-05</t>
        </is>
      </c>
      <c r="B28" s="2" t="inlineStr">
        <is>
          <t>2026-09-05T19:37:33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2026-09-05</t>
        </is>
      </c>
      <c r="B29" s="5" t="inlineStr">
        <is>
          <t>2026-09-05T19:37:33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2026-09-05</t>
        </is>
      </c>
      <c r="B30" s="2" t="inlineStr">
        <is>
          <t>2026-09-05T19:37:33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2026-09-05</t>
        </is>
      </c>
      <c r="B31" s="5" t="inlineStr">
        <is>
          <t>2026-09-05T19:37:33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2026-09-05</t>
        </is>
      </c>
      <c r="B32" s="2" t="inlineStr">
        <is>
          <t>2026-09-05T19:37:33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2026-09-05</t>
        </is>
      </c>
      <c r="B33" s="5" t="inlineStr">
        <is>
          <t>2026-09-05T19:37:33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2026-09-05</t>
        </is>
      </c>
      <c r="B34" s="2" t="inlineStr">
        <is>
          <t>2026-09-05T19:37:33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2026-09-05</t>
        </is>
      </c>
      <c r="B35" s="5" t="inlineStr">
        <is>
          <t>2026-09-05T19:37:33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2026-09-05</t>
        </is>
      </c>
      <c r="B36" s="2" t="inlineStr">
        <is>
          <t>2026-09-05T19:37:33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2026-09-05</t>
        </is>
      </c>
      <c r="B37" s="5" t="inlineStr">
        <is>
          <t>2026-09-05T19:37:33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2026-09-05</t>
        </is>
      </c>
      <c r="B38" s="2" t="inlineStr">
        <is>
          <t>2026-09-05T19:37:33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2026-09-05</t>
        </is>
      </c>
      <c r="B39" s="5" t="inlineStr">
        <is>
          <t>2026-09-05T19:37:33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2026-09-05</t>
        </is>
      </c>
      <c r="B40" s="2" t="inlineStr">
        <is>
          <t>2026-09-05T19:37:33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2026-09-05</t>
        </is>
      </c>
      <c r="B41" s="5" t="inlineStr">
        <is>
          <t>2026-09-05T19:37:33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2026-09-05</t>
        </is>
      </c>
      <c r="B42" s="2" t="inlineStr">
        <is>
          <t>2026-09-05T19:37:33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2026-09-05</t>
        </is>
      </c>
      <c r="B43" s="5" t="inlineStr">
        <is>
          <t>2026-09-05T19:37:33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2026-09-05</t>
        </is>
      </c>
      <c r="B44" s="2" t="inlineStr">
        <is>
          <t>2026-09-05T19:37:33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2026-09-05</t>
        </is>
      </c>
      <c r="B45" s="5" t="inlineStr">
        <is>
          <t>2026-09-05T19:37:33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2026-09-05</t>
        </is>
      </c>
      <c r="B46" s="2" t="inlineStr">
        <is>
          <t>2026-09-05T19:37:33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2026-09-05</t>
        </is>
      </c>
      <c r="B47" s="5" t="inlineStr">
        <is>
          <t>2026-09-05T19:37:33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2026-09-05</t>
        </is>
      </c>
      <c r="B48" s="2" t="inlineStr">
        <is>
          <t>2026-09-05T19:37:33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2026-09-05</t>
        </is>
      </c>
      <c r="B49" s="5" t="inlineStr">
        <is>
          <t>2026-09-05T19:37:33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2026-09-05</t>
        </is>
      </c>
      <c r="B50" s="2" t="inlineStr">
        <is>
          <t>2026-09-05T19:37:33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2026-09-05</t>
        </is>
      </c>
      <c r="B51" s="5" t="inlineStr">
        <is>
          <t>2026-09-05T19:37:33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2026-09-05</t>
        </is>
      </c>
      <c r="B52" s="2" t="inlineStr">
        <is>
          <t>2026-09-05T19:37:33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2026-09-05</t>
        </is>
      </c>
      <c r="B53" s="5" t="inlineStr">
        <is>
          <t>2026-09-05T19:37:33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2026-09-05</t>
        </is>
      </c>
      <c r="B54" s="2" t="inlineStr">
        <is>
          <t>2026-09-05T19:37:33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2026-09-05</t>
        </is>
      </c>
      <c r="B55" s="5" t="inlineStr">
        <is>
          <t>2026-09-05T19:37:33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2026-09-05</t>
        </is>
      </c>
      <c r="B56" s="2" t="inlineStr">
        <is>
          <t>2026-09-05T19:37:33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2026-09-05</t>
        </is>
      </c>
      <c r="B57" s="5" t="inlineStr">
        <is>
          <t>2026-09-05T19:37:33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2026-09-05</t>
        </is>
      </c>
      <c r="B58" s="2" t="inlineStr">
        <is>
          <t>2026-09-05T19:37:33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2026-09-05</t>
        </is>
      </c>
      <c r="B59" s="5" t="inlineStr">
        <is>
          <t>2026-09-05T19:37:33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2026-09-05</t>
        </is>
      </c>
      <c r="B60" s="2" t="inlineStr">
        <is>
          <t>2026-09-05T19:37:33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2026-09-05</t>
        </is>
      </c>
      <c r="B61" s="5" t="inlineStr">
        <is>
          <t>2026-09-05T19:37:33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2026-09-05</t>
        </is>
      </c>
      <c r="B62" s="2" t="inlineStr">
        <is>
          <t>2026-09-05T19:37:33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2026-09-05</t>
        </is>
      </c>
      <c r="B63" s="5" t="inlineStr">
        <is>
          <t>2026-09-05T19:37:33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2026-09-05</t>
        </is>
      </c>
      <c r="B64" s="2" t="inlineStr">
        <is>
          <t>2026-09-05T19:37:33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2026-09-05</t>
        </is>
      </c>
      <c r="B65" s="5" t="inlineStr">
        <is>
          <t>2026-09-05T19:37:33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2026-09-05T19:37:33</t>
        </is>
      </c>
    </row>
    <row r="4">
      <c r="A4" s="9" t="inlineStr">
        <is>
          <t>Latest snapshot</t>
        </is>
      </c>
      <c r="B4" s="2" t="inlineStr">
        <is>
          <t>2026-09-05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5">
      <c r="A75" s="12" t="n">
        <v>46270</v>
      </c>
      <c r="B75" s="3">
        <f>IFERROR(IF(_xlfn.MINIFS(history!$H:$H,history!$C:$C,"tim",history!$D:$D,"control",history!$A:$A,YEAR($A75)&amp;"-"&amp;TEXT(MONTH($A75),"00")&amp;"-"&amp;TEXT(DAY($A75),"00"))=0,"",_xlfn.MINIFS(history!$H:$H,history!$C:$C,"tim",history!$D:$D,"control",history!$A:$A,YEAR($A75)&amp;"-"&amp;TEXT(MONTH($A75),"00")&amp;"-"&amp;TEXT(DAY($A75),"00"))),"")</f>
        <v>49.99</v>
      </c>
      <c r="C75" s="3">
        <f>IFERROR(IF(_xlfn.MINIFS(history!$H:$H,history!$C:$C,"vivo",history!$D:$D,"control",history!$A:$A,YEAR($A75)&amp;"-"&amp;TEXT(MONTH($A75),"00")&amp;"-"&amp;TEXT(DAY($A75),"00"))=0,"",_xlfn.MINIFS(history!$H:$H,history!$C:$C,"vivo",history!$D:$D,"control",history!$A:$A,YEAR($A75)&amp;"-"&amp;TEXT(MONTH($A75),"00")&amp;"-"&amp;TEXT(DAY($A75),"00"))),"")</f>
        <v>59</v>
      </c>
      <c r="D75" s="3">
        <f>IFERROR(IF(_xlfn.MINIFS(history!$H:$H,history!$C:$C,"claro",history!$D:$D,"control",history!$A:$A,YEAR($A75)&amp;"-"&amp;TEXT(MONTH($A75),"00")&amp;"-"&amp;TEXT(DAY($A75),"00"))=0,"",_xlfn.MINIFS(history!$H:$H,history!$C:$C,"claro",history!$D:$D,"control",history!$A:$A,YEAR($A75)&amp;"-"&amp;TEXT(MONTH($A75),"00")&amp;"-"&amp;TEXT(DAY($A75),"00"))),"")</f>
        <v>59.9</v>
      </c>
      <c r="E75" s="3">
        <f>IFERROR(IF(_xlfn.MINIFS(history!$H:$H,history!$C:$C,"tim",history!$D:$D,"postpaid",history!$A:$A,YEAR($A75)&amp;"-"&amp;TEXT(MONTH($A75),"00")&amp;"-"&amp;TEXT(DAY($A75),"00"))=0,"",_xlfn.MINIFS(history!$H:$H,history!$C:$C,"tim",history!$D:$D,"postpaid",history!$A:$A,YEAR($A75)&amp;"-"&amp;TEXT(MONTH($A75),"00")&amp;"-"&amp;TEXT(DAY($A75),"00"))),"")</f>
        <v>119.99</v>
      </c>
      <c r="F75" s="3">
        <f>IFERROR(IF(_xlfn.MINIFS(history!$H:$H,history!$C:$C,"vivo",history!$D:$D,"postpaid",history!$A:$A,YEAR($A75)&amp;"-"&amp;TEXT(MONTH($A75),"00")&amp;"-"&amp;TEXT(DAY($A75),"00"))=0,"",_xlfn.MINIFS(history!$H:$H,history!$C:$C,"vivo",history!$D:$D,"postpaid",history!$A:$A,YEAR($A75)&amp;"-"&amp;TEXT(MONTH($A75),"00")&amp;"-"&amp;TEXT(DAY($A75),"00"))),"")</f>
        <v>150</v>
      </c>
      <c r="G75" s="3">
        <f>IFERROR(IF(_xlfn.MINIFS(history!$H:$H,history!$C:$C,"claro",history!$D:$D,"postpaid",history!$A:$A,YEAR($A75)&amp;"-"&amp;TEXT(MONTH($A75),"00")&amp;"-"&amp;TEXT(DAY($A75),"00"))=0,"",_xlfn.MINIFS(history!$H:$H,history!$C:$C,"claro",history!$D:$D,"postpaid",history!$A:$A,YEAR($A75)&amp;"-"&amp;TEXT(MONTH($A75),"00")&amp;"-"&amp;TEXT(DAY($A75),"00"))),"")</f>
        <v>124.9</v>
      </c>
      <c r="H75" s="3">
        <f>IFERROR(IF(_xlfn.MINIFS(history!$H:$H,history!$C:$C,"tim",history!$D:$D,"prepaid",history!$A:$A,YEAR($A75)&amp;"-"&amp;TEXT(MONTH($A75),"00")&amp;"-"&amp;TEXT(DAY($A75),"00"),history!$N:$N,"&gt;=28")=0,"",_xlfn.MINIFS(history!$H:$H,history!$C:$C,"tim",history!$D:$D,"prepaid",history!$A:$A,YEAR($A75)&amp;"-"&amp;TEXT(MONTH($A75),"00")&amp;"-"&amp;TEXT(DAY($A75),"00"),history!$N:$N,"&gt;=28")),"")</f>
        <v>30</v>
      </c>
      <c r="I75" s="3">
        <f>IFERROR(IF(_xlfn.MINIFS(history!$H:$H,history!$C:$C,"vivo",history!$D:$D,"prepaid",history!$A:$A,YEAR($A75)&amp;"-"&amp;TEXT(MONTH($A75),"00")&amp;"-"&amp;TEXT(DAY($A75),"00"),history!$N:$N,"&gt;=28")=0,"",_xlfn.MINIFS(history!$H:$H,history!$C:$C,"vivo",history!$D:$D,"prepaid",history!$A:$A,YEAR($A75)&amp;"-"&amp;TEXT(MONTH($A75),"00")&amp;"-"&amp;TEXT(DAY($A75),"00"),history!$N:$N,"&gt;=28")),"")</f>
        <v>30</v>
      </c>
      <c r="J75" s="3">
        <f>IFERROR(IF(_xlfn.MINIFS(history!$H:$H,history!$C:$C,"claro",history!$D:$D,"prepaid",history!$A:$A,YEAR($A75)&amp;"-"&amp;TEXT(MONTH($A75),"00")&amp;"-"&amp;TEXT(DAY($A75),"00"),history!$N:$N,"&gt;=28")=0,"",_xlfn.MINIFS(history!$H:$H,history!$C:$C,"claro",history!$D:$D,"prepaid",history!$A:$A,YEAR($A75)&amp;"-"&amp;TEXT(MONTH($A75),"00")&amp;"-"&amp;TEXT(DAY($A75),"00"),history!$N:$N,"&gt;=28")),"")</f>
        <v>30</v>
      </c>
      <c r="K75" s="3">
        <f>IFERROR(1/MAX(IFERROR(1/_xlfn.MINIFS(history!$H:$H,history!$C:$C,"tim",history!$D:$D,"lite",history!$A:$A,YEAR($A75)&amp;"-"&amp;TEXT(MONTH($A75),"00")&amp;"-"&amp;TEXT(DAY($A75),"00"),history!$S:$S,"&gt;0"),0),IFERROR(1/_xlfn.MINIFS(history!$H:$H,history!$C:$C,"tim",history!$D:$D,"flex",history!$A:$A,YEAR($A75)&amp;"-"&amp;TEXT(MONTH($A75),"00")&amp;"-"&amp;TEXT(DAY($A75),"00")),0),IFERROR(1/_xlfn.MINIFS(history!$H:$H,history!$C:$C,"tim",history!$D:$D,"fit",history!$A:$A,YEAR($A75)&amp;"-"&amp;TEXT(MONTH($A75),"00")&amp;"-"&amp;TEXT(DAY($A75),"00"),history!$S:$S,"="),0)),"")</f>
        <v>20</v>
      </c>
      <c r="L75" s="3">
        <f>IFERROR(1/MAX(IFERROR(1/_xlfn.MINIFS(history!$H:$H,history!$C:$C,"vivo",history!$D:$D,"lite",history!$A:$A,YEAR($A75)&amp;"-"&amp;TEXT(MONTH($A75),"00")&amp;"-"&amp;TEXT(DAY($A75),"00"),history!$S:$S,"&gt;0"),0),IFERROR(1/_xlfn.MINIFS(history!$H:$H,history!$C:$C,"vivo",history!$D:$D,"flex",history!$A:$A,YEAR($A75)&amp;"-"&amp;TEXT(MONTH($A75),"00")&amp;"-"&amp;TEXT(DAY($A75),"00")),0),IFERROR(1/_xlfn.MINIFS(history!$H:$H,history!$C:$C,"vivo",history!$D:$D,"fit",history!$A:$A,YEAR($A75)&amp;"-"&amp;TEXT(MONTH($A75),"00")&amp;"-"&amp;TEXT(DAY($A75),"00"),history!$S:$S,"="),0)),"")</f>
        <v>45</v>
      </c>
      <c r="M75" s="3">
        <f>IFERROR(1/MAX(IFERROR(1/_xlfn.MINIFS(history!$H:$H,history!$C:$C,"claro",history!$D:$D,"lite",history!$A:$A,YEAR($A75)&amp;"-"&amp;TEXT(MONTH($A75),"00")&amp;"-"&amp;TEXT(DAY($A75),"00"),history!$S:$S,"&gt;0"),0),IFERROR(1/_xlfn.MINIFS(history!$H:$H,history!$C:$C,"claro",history!$D:$D,"flex",history!$A:$A,YEAR($A75)&amp;"-"&amp;TEXT(MONTH($A75),"00")&amp;"-"&amp;TEXT(DAY($A75),"00")),0),IFERROR(1/_xlfn.MINIFS(history!$H:$H,history!$C:$C,"claro",history!$D:$D,"fit",history!$A:$A,YEAR($A75)&amp;"-"&amp;TEXT(MONTH($A75),"00")&amp;"-"&amp;TEXT(DAY($A75),"00"),history!$S:$S,"="),0)),"")</f>
        <v>44.9</v>
      </c>
    </row>
    <row r="77">
      <c r="A7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8">
      <c r="A7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IF('comparison'!B75="",NA(),'comparison'!B75)</f>
        <v/>
      </c>
      <c r="R38" s="10">
        <f>IF('comparison'!C75="",NA(),'comparison'!C75)</f>
        <v/>
      </c>
      <c r="S38" s="10">
        <f>IF('comparison'!D75="",NA(),'comparison'!D75)</f>
        <v/>
      </c>
    </row>
    <row r="39">
      <c r="P39" s="2" t="inlineStr">
        <is>
          <t>Post</t>
        </is>
      </c>
      <c r="Q39" s="10">
        <f>IF('comparison'!E75="",NA(),'comparison'!E75)</f>
        <v/>
      </c>
      <c r="R39" s="10">
        <f>IF('comparison'!F75="",NA(),'comparison'!F75)</f>
        <v/>
      </c>
      <c r="S39" s="10">
        <f>IF('comparison'!G75="",NA(),'comparison'!G75)</f>
        <v/>
      </c>
    </row>
    <row r="40">
      <c r="P40" s="2" t="inlineStr">
        <is>
          <t>Pre</t>
        </is>
      </c>
      <c r="Q40" s="10">
        <f>IF('comparison'!H75="",NA(),'comparison'!H75)</f>
        <v/>
      </c>
      <c r="R40" s="10">
        <f>IF('comparison'!I75="",NA(),'comparison'!I75)</f>
        <v/>
      </c>
      <c r="S40" s="10">
        <f>IF('comparison'!J75="",NA(),'comparison'!J75)</f>
        <v/>
      </c>
    </row>
    <row r="41">
      <c r="P41" s="2" t="inlineStr">
        <is>
          <t>Digital</t>
        </is>
      </c>
      <c r="Q41" s="10">
        <f>IF('comparison'!K75="",NA(),'comparison'!K75)</f>
        <v/>
      </c>
      <c r="R41" s="10">
        <f>IF('comparison'!L75="",NA(),'comparison'!L75)</f>
        <v/>
      </c>
      <c r="S41" s="10">
        <f>IF('comparison'!M75="",NA(),'comparison'!M75)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3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  <row r="811">
      <c r="A811" s="5" t="inlineStr">
        <is>
          <t>2026-09-05</t>
        </is>
      </c>
      <c r="B811" s="5" t="inlineStr">
        <is>
          <t>2026-09-05T19:37:33</t>
        </is>
      </c>
      <c r="C811" s="5" t="inlineStr">
        <is>
          <t>claro</t>
        </is>
      </c>
      <c r="D811" s="5" t="inlineStr">
        <is>
          <t>SP</t>
        </is>
      </c>
      <c r="E811" s="5" t="inlineStr">
        <is>
          <t>1 Giga com Globoplay incluso + Claro tv+ Box + Disney+ Amazon Prime + Netflix + HBO Max + Apple TV + Globoplay</t>
        </is>
      </c>
      <c r="F811" s="5" t="inlineStr">
        <is>
          <t>claro:af8152be-4aa7-4aa8-819a-a79687a3a9a0</t>
        </is>
      </c>
      <c r="G811" s="6" t="n">
        <v>319.8</v>
      </c>
      <c r="H811" s="6" t="inlineStr"/>
      <c r="I811" s="5" t="inlineStr"/>
      <c r="J811" s="5" t="inlineStr"/>
      <c r="K811" s="5" t="inlineStr">
        <is>
          <t>tab: Fibra + TV</t>
        </is>
      </c>
      <c r="L811" s="5" t="inlineStr">
        <is>
          <t>broadband+tv</t>
        </is>
      </c>
      <c r="M811" s="5" t="inlineStr">
        <is>
          <t>Fiber + TV</t>
        </is>
      </c>
      <c r="N811" s="5" t="b">
        <v>0</v>
      </c>
      <c r="O811" s="5" t="b">
        <v>1</v>
      </c>
      <c r="P811" s="5" t="b">
        <v>1</v>
      </c>
      <c r="Q811" s="5" t="b">
        <v>0</v>
      </c>
      <c r="R811" s="7" t="n">
        <v>1000</v>
      </c>
      <c r="S811" s="7" t="inlineStr"/>
      <c r="T811" s="7" t="inlineStr"/>
      <c r="U811" s="5" t="inlineStr">
        <is>
          <t>Claro tv+ Box + Disney+ Amazon Prime + Netflix + HBO Max + Apple TV + Globoplay</t>
        </is>
      </c>
      <c r="V811" s="5" t="inlineStr"/>
      <c r="W811" s="5" t="inlineStr"/>
      <c r="X811" s="5" t="inlineStr"/>
      <c r="Y811" s="5" t="inlineStr">
        <is>
          <t>https://www.claro.com.br/multi</t>
        </is>
      </c>
      <c r="Z811" s="5" t="inlineStr">
        <is>
          <t>data/raw/claro_convergent_multi_SP.html</t>
        </is>
      </c>
    </row>
    <row r="812">
      <c r="A812" s="2" t="inlineStr">
        <is>
          <t>2026-09-05</t>
        </is>
      </c>
      <c r="B812" s="2" t="inlineStr">
        <is>
          <t>2026-09-05T19:37:33</t>
        </is>
      </c>
      <c r="C812" s="2" t="inlineStr">
        <is>
          <t>claro</t>
        </is>
      </c>
      <c r="D812" s="2" t="inlineStr">
        <is>
          <t>SP</t>
        </is>
      </c>
      <c r="E812" s="2" t="inlineStr">
        <is>
          <t>1 Giga com Globoplay incluso + Claro tv+ Soundbox + Disney+ Amazon Prime + Netflix + HBO Max + Apple TV + Globoplay</t>
        </is>
      </c>
      <c r="F812" s="2" t="inlineStr">
        <is>
          <t>claro:ceb9fd87-0897-4dd2-a2f2-e7f09e714e49</t>
        </is>
      </c>
      <c r="G812" s="3" t="n">
        <v>429.8</v>
      </c>
      <c r="H812" s="3" t="inlineStr"/>
      <c r="I812" s="2" t="inlineStr"/>
      <c r="J812" s="2" t="inlineStr"/>
      <c r="K812" s="2" t="inlineStr">
        <is>
          <t>tab: Fibra + TV</t>
        </is>
      </c>
      <c r="L812" s="2" t="inlineStr">
        <is>
          <t>broadband+tv</t>
        </is>
      </c>
      <c r="M812" s="2" t="inlineStr">
        <is>
          <t>Fiber + TV</t>
        </is>
      </c>
      <c r="N812" s="2" t="b">
        <v>0</v>
      </c>
      <c r="O812" s="2" t="b">
        <v>1</v>
      </c>
      <c r="P812" s="2" t="b">
        <v>1</v>
      </c>
      <c r="Q812" s="2" t="b">
        <v>0</v>
      </c>
      <c r="R812" s="4" t="n">
        <v>1000</v>
      </c>
      <c r="S812" s="4" t="inlineStr"/>
      <c r="T812" s="4" t="inlineStr"/>
      <c r="U812" s="2" t="inlineStr">
        <is>
          <t>Claro tv+ Soundbox + Disney+ Amazon Prime + Netflix + HBO Max + Apple TV + Globoplay</t>
        </is>
      </c>
      <c r="V812" s="2" t="inlineStr"/>
      <c r="W812" s="2" t="inlineStr"/>
      <c r="X812" s="2" t="inlineStr"/>
      <c r="Y812" s="2" t="inlineStr">
        <is>
          <t>https://www.claro.com.br/multi</t>
        </is>
      </c>
      <c r="Z812" s="2" t="inlineStr">
        <is>
          <t>data/raw/claro_convergent_multi_SP.html</t>
        </is>
      </c>
    </row>
    <row r="813">
      <c r="A813" s="5" t="inlineStr">
        <is>
          <t>2026-09-05</t>
        </is>
      </c>
      <c r="B813" s="5" t="inlineStr">
        <is>
          <t>2026-09-05T19:37:33</t>
        </is>
      </c>
      <c r="C813" s="5" t="inlineStr">
        <is>
          <t>claro</t>
        </is>
      </c>
      <c r="D813" s="5" t="inlineStr">
        <is>
          <t>SP</t>
        </is>
      </c>
      <c r="E813" s="5" t="inlineStr">
        <is>
          <t>1 Giga com Globoplay incluso + Pós 100GB</t>
        </is>
      </c>
      <c r="F813" s="5" t="inlineStr">
        <is>
          <t>claro:a1de0ac1-61bb-4e97-a744-1ae4c3541673</t>
        </is>
      </c>
      <c r="G813" s="6" t="n">
        <v>179.9</v>
      </c>
      <c r="H813" s="6" t="inlineStr"/>
      <c r="I813" s="5" t="inlineStr"/>
      <c r="J813" s="5" t="inlineStr"/>
      <c r="K813" s="5" t="inlineStr">
        <is>
          <t>tab: Fibra + Móvel</t>
        </is>
      </c>
      <c r="L813" s="5" t="inlineStr">
        <is>
          <t>mobile+broadband</t>
        </is>
      </c>
      <c r="M813" s="5" t="inlineStr">
        <is>
          <t>Fiber + Mobile</t>
        </is>
      </c>
      <c r="N813" s="5" t="b">
        <v>1</v>
      </c>
      <c r="O813" s="5" t="b">
        <v>1</v>
      </c>
      <c r="P813" s="5" t="b">
        <v>0</v>
      </c>
      <c r="Q813" s="5" t="b">
        <v>0</v>
      </c>
      <c r="R813" s="7" t="n">
        <v>1000</v>
      </c>
      <c r="S813" s="7" t="n">
        <v>100</v>
      </c>
      <c r="T813" s="7" t="n">
        <v>1</v>
      </c>
      <c r="U813" s="5" t="inlineStr"/>
      <c r="V813" s="5" t="inlineStr"/>
      <c r="W813" s="5" t="inlineStr"/>
      <c r="X813" s="5" t="inlineStr">
        <is>
          <t>Pós 100GB</t>
        </is>
      </c>
      <c r="Y813" s="5" t="inlineStr">
        <is>
          <t>https://www.claro.com.br/multi</t>
        </is>
      </c>
      <c r="Z813" s="5" t="inlineStr">
        <is>
          <t>data/raw/claro_convergent_multi_SP.html</t>
        </is>
      </c>
    </row>
    <row r="814">
      <c r="A814" s="2" t="inlineStr">
        <is>
          <t>2026-09-05</t>
        </is>
      </c>
      <c r="B814" s="2" t="inlineStr">
        <is>
          <t>2026-09-05T19:37:33</t>
        </is>
      </c>
      <c r="C814" s="2" t="inlineStr">
        <is>
          <t>claro</t>
        </is>
      </c>
      <c r="D814" s="2" t="inlineStr">
        <is>
          <t>SP</t>
        </is>
      </c>
      <c r="E814" s="2" t="inlineStr">
        <is>
          <t>1 Giga com Globoplay incluso + Pós 100GB + Claro tv+ Box + Disney+ Amazon Prime + Netflix + HBO Max + Apple TV + Globoplay</t>
        </is>
      </c>
      <c r="F814" s="2" t="inlineStr">
        <is>
          <t>claro:548c4bad-7857-4c0c-94d5-45d33d66c57f</t>
        </is>
      </c>
      <c r="G814" s="3" t="n">
        <v>289.8</v>
      </c>
      <c r="H814" s="3" t="inlineStr"/>
      <c r="I814" s="2" t="inlineStr"/>
      <c r="J814" s="2" t="inlineStr"/>
      <c r="K814" s="2" t="inlineStr">
        <is>
          <t>tab: Fibra + Móvel + TV</t>
        </is>
      </c>
      <c r="L814" s="2" t="inlineStr">
        <is>
          <t>mobile+broadband+tv</t>
        </is>
      </c>
      <c r="M814" s="2" t="inlineStr">
        <is>
          <t>Fiber + Mobile + TV</t>
        </is>
      </c>
      <c r="N814" s="2" t="b">
        <v>1</v>
      </c>
      <c r="O814" s="2" t="b">
        <v>1</v>
      </c>
      <c r="P814" s="2" t="b">
        <v>1</v>
      </c>
      <c r="Q814" s="2" t="b">
        <v>0</v>
      </c>
      <c r="R814" s="4" t="n">
        <v>1000</v>
      </c>
      <c r="S814" s="4" t="n">
        <v>100</v>
      </c>
      <c r="T814" s="4" t="n">
        <v>1</v>
      </c>
      <c r="U814" s="2" t="inlineStr">
        <is>
          <t>Claro tv+ Box + Disney+ Amazon Prime + Netflix + HBO Max + Apple TV + Globoplay</t>
        </is>
      </c>
      <c r="V814" s="2" t="inlineStr"/>
      <c r="W814" s="2" t="inlineStr"/>
      <c r="X814" s="2" t="inlineStr">
        <is>
          <t>Pós 100GB</t>
        </is>
      </c>
      <c r="Y814" s="2" t="inlineStr">
        <is>
          <t>https://www.claro.com.br/multi</t>
        </is>
      </c>
      <c r="Z814" s="2" t="inlineStr">
        <is>
          <t>data/raw/claro_convergent_multi_SP.html</t>
        </is>
      </c>
    </row>
    <row r="815">
      <c r="A815" s="5" t="inlineStr">
        <is>
          <t>2026-09-05</t>
        </is>
      </c>
      <c r="B815" s="5" t="inlineStr">
        <is>
          <t>2026-09-05T19:37:33</t>
        </is>
      </c>
      <c r="C815" s="5" t="inlineStr">
        <is>
          <t>claro</t>
        </is>
      </c>
      <c r="D815" s="5" t="inlineStr">
        <is>
          <t>SP</t>
        </is>
      </c>
      <c r="E815" s="5" t="inlineStr">
        <is>
          <t>1 Giga com Globoplay incluso + Pós 150GB</t>
        </is>
      </c>
      <c r="F815" s="5" t="inlineStr">
        <is>
          <t>claro:d47e2a3b-dfd0-410e-9c24-d07a334d01d4</t>
        </is>
      </c>
      <c r="G815" s="6" t="n">
        <v>299.9</v>
      </c>
      <c r="H815" s="6" t="inlineStr"/>
      <c r="I815" s="5" t="inlineStr"/>
      <c r="J815" s="5" t="inlineStr"/>
      <c r="K815" s="5" t="inlineStr">
        <is>
          <t>tab: Fibra + Móvel</t>
        </is>
      </c>
      <c r="L815" s="5" t="inlineStr">
        <is>
          <t>mobile+broadband</t>
        </is>
      </c>
      <c r="M815" s="5" t="inlineStr">
        <is>
          <t>Fiber + Mobile</t>
        </is>
      </c>
      <c r="N815" s="5" t="b">
        <v>1</v>
      </c>
      <c r="O815" s="5" t="b">
        <v>1</v>
      </c>
      <c r="P815" s="5" t="b">
        <v>0</v>
      </c>
      <c r="Q815" s="5" t="b">
        <v>0</v>
      </c>
      <c r="R815" s="7" t="n">
        <v>1000</v>
      </c>
      <c r="S815" s="7" t="n">
        <v>150</v>
      </c>
      <c r="T815" s="7" t="n">
        <v>2</v>
      </c>
      <c r="U815" s="5" t="inlineStr"/>
      <c r="V815" s="5" t="inlineStr"/>
      <c r="W815" s="5" t="inlineStr"/>
      <c r="X815" s="5" t="inlineStr">
        <is>
          <t>Pós 150GB</t>
        </is>
      </c>
      <c r="Y815" s="5" t="inlineStr">
        <is>
          <t>https://www.claro.com.br/multi</t>
        </is>
      </c>
      <c r="Z815" s="5" t="inlineStr">
        <is>
          <t>data/raw/claro_convergent_multi_SP.html</t>
        </is>
      </c>
    </row>
    <row r="816">
      <c r="A816" s="2" t="inlineStr">
        <is>
          <t>2026-09-05</t>
        </is>
      </c>
      <c r="B816" s="2" t="inlineStr">
        <is>
          <t>2026-09-05T19:37:33</t>
        </is>
      </c>
      <c r="C816" s="2" t="inlineStr">
        <is>
          <t>claro</t>
        </is>
      </c>
      <c r="D816" s="2" t="inlineStr">
        <is>
          <t>SP</t>
        </is>
      </c>
      <c r="E816" s="2" t="inlineStr">
        <is>
          <t>1 Giga com Globoplay incluso + Pós 150GB + Claro tv+ Box + Disney+ Amazon Prime + Netflix + HBO Max + Apple TV + Globoplay</t>
        </is>
      </c>
      <c r="F816" s="2" t="inlineStr">
        <is>
          <t>claro:7785b449-69f2-4234-9e24-8837e32a55c0</t>
        </is>
      </c>
      <c r="G816" s="3" t="n">
        <v>409.8</v>
      </c>
      <c r="H816" s="3" t="inlineStr"/>
      <c r="I816" s="2" t="inlineStr"/>
      <c r="J816" s="2" t="inlineStr"/>
      <c r="K816" s="2" t="inlineStr">
        <is>
          <t>tab: Fibra + Móvel + TV</t>
        </is>
      </c>
      <c r="L816" s="2" t="inlineStr">
        <is>
          <t>mobile+broadband+tv</t>
        </is>
      </c>
      <c r="M816" s="2" t="inlineStr">
        <is>
          <t>Fiber + Mobile + TV</t>
        </is>
      </c>
      <c r="N816" s="2" t="b">
        <v>1</v>
      </c>
      <c r="O816" s="2" t="b">
        <v>1</v>
      </c>
      <c r="P816" s="2" t="b">
        <v>1</v>
      </c>
      <c r="Q816" s="2" t="b">
        <v>0</v>
      </c>
      <c r="R816" s="4" t="n">
        <v>1000</v>
      </c>
      <c r="S816" s="4" t="n">
        <v>150</v>
      </c>
      <c r="T816" s="4" t="n">
        <v>1</v>
      </c>
      <c r="U816" s="2" t="inlineStr">
        <is>
          <t>Claro tv+ Box + Disney+ Amazon Prime + Netflix + HBO Max + Apple TV + Globoplay</t>
        </is>
      </c>
      <c r="V816" s="2" t="inlineStr"/>
      <c r="W816" s="2" t="inlineStr"/>
      <c r="X816" s="2" t="inlineStr">
        <is>
          <t>Pós 150GB</t>
        </is>
      </c>
      <c r="Y816" s="2" t="inlineStr">
        <is>
          <t>https://www.claro.com.br/multi</t>
        </is>
      </c>
      <c r="Z816" s="2" t="inlineStr">
        <is>
          <t>data/raw/claro_convergent_multi_SP.html</t>
        </is>
      </c>
    </row>
    <row r="817">
      <c r="A817" s="5" t="inlineStr">
        <is>
          <t>2026-09-05</t>
        </is>
      </c>
      <c r="B817" s="5" t="inlineStr">
        <is>
          <t>2026-09-05T19:37:33</t>
        </is>
      </c>
      <c r="C817" s="5" t="inlineStr">
        <is>
          <t>claro</t>
        </is>
      </c>
      <c r="D817" s="5" t="inlineStr">
        <is>
          <t>SP</t>
        </is>
      </c>
      <c r="E817" s="5" t="inlineStr">
        <is>
          <t>1 Giga com Globoplay incluso + Pós 200GB</t>
        </is>
      </c>
      <c r="F817" s="5" t="inlineStr">
        <is>
          <t>claro:1961a62d-3213-4ff0-a152-401a45c5b1b5</t>
        </is>
      </c>
      <c r="G817" s="6" t="n">
        <v>359.9</v>
      </c>
      <c r="H817" s="6" t="inlineStr"/>
      <c r="I817" s="5" t="inlineStr"/>
      <c r="J817" s="5" t="inlineStr"/>
      <c r="K817" s="5" t="inlineStr">
        <is>
          <t>tab: Fibra + Móvel</t>
        </is>
      </c>
      <c r="L817" s="5" t="inlineStr">
        <is>
          <t>mobile+broadband</t>
        </is>
      </c>
      <c r="M817" s="5" t="inlineStr">
        <is>
          <t>Fiber + Mobile</t>
        </is>
      </c>
      <c r="N817" s="5" t="b">
        <v>1</v>
      </c>
      <c r="O817" s="5" t="b">
        <v>1</v>
      </c>
      <c r="P817" s="5" t="b">
        <v>0</v>
      </c>
      <c r="Q817" s="5" t="b">
        <v>0</v>
      </c>
      <c r="R817" s="7" t="n">
        <v>1000</v>
      </c>
      <c r="S817" s="7" t="n">
        <v>200</v>
      </c>
      <c r="T817" s="7" t="n">
        <v>3</v>
      </c>
      <c r="U817" s="5" t="inlineStr"/>
      <c r="V817" s="5" t="inlineStr"/>
      <c r="W817" s="5" t="inlineStr"/>
      <c r="X817" s="5" t="inlineStr">
        <is>
          <t>Pós 200GB</t>
        </is>
      </c>
      <c r="Y817" s="5" t="inlineStr">
        <is>
          <t>https://www.claro.com.br/multi</t>
        </is>
      </c>
      <c r="Z817" s="5" t="inlineStr">
        <is>
          <t>data/raw/claro_convergent_multi_SP.html</t>
        </is>
      </c>
    </row>
    <row r="818">
      <c r="A818" s="2" t="inlineStr">
        <is>
          <t>2026-09-05</t>
        </is>
      </c>
      <c r="B818" s="2" t="inlineStr">
        <is>
          <t>2026-09-05T19:37:33</t>
        </is>
      </c>
      <c r="C818" s="2" t="inlineStr">
        <is>
          <t>claro</t>
        </is>
      </c>
      <c r="D818" s="2" t="inlineStr">
        <is>
          <t>SP</t>
        </is>
      </c>
      <c r="E818" s="2" t="inlineStr">
        <is>
          <t>1 Giga com Globoplay incluso + Pós 200GB + Claro tv+ Box + Disney+ Amazon Prime + Netflix + HBO Max + Apple TV + Globoplay</t>
        </is>
      </c>
      <c r="F818" s="2" t="inlineStr">
        <is>
          <t>claro:312815a2-b3a5-43bb-89a1-272d53ccb212</t>
        </is>
      </c>
      <c r="G818" s="3" t="n">
        <v>469.8</v>
      </c>
      <c r="H818" s="3" t="inlineStr"/>
      <c r="I818" s="2" t="inlineStr"/>
      <c r="J818" s="2" t="inlineStr"/>
      <c r="K818" s="2" t="inlineStr">
        <is>
          <t>tab: Fibra + Móvel + TV</t>
        </is>
      </c>
      <c r="L818" s="2" t="inlineStr">
        <is>
          <t>mobile+broadband+tv</t>
        </is>
      </c>
      <c r="M818" s="2" t="inlineStr">
        <is>
          <t>Fiber + Mobile + TV</t>
        </is>
      </c>
      <c r="N818" s="2" t="b">
        <v>1</v>
      </c>
      <c r="O818" s="2" t="b">
        <v>1</v>
      </c>
      <c r="P818" s="2" t="b">
        <v>1</v>
      </c>
      <c r="Q818" s="2" t="b">
        <v>0</v>
      </c>
      <c r="R818" s="4" t="n">
        <v>1000</v>
      </c>
      <c r="S818" s="4" t="n">
        <v>200</v>
      </c>
      <c r="T818" s="4" t="n">
        <v>1</v>
      </c>
      <c r="U818" s="2" t="inlineStr">
        <is>
          <t>Claro tv+ Box + Disney+ Amazon Prime + Netflix + HBO Max + Apple TV + Globoplay</t>
        </is>
      </c>
      <c r="V818" s="2" t="inlineStr"/>
      <c r="W818" s="2" t="inlineStr"/>
      <c r="X818" s="2" t="inlineStr">
        <is>
          <t>Pós 200GB</t>
        </is>
      </c>
      <c r="Y818" s="2" t="inlineStr">
        <is>
          <t>https://www.claro.com.br/multi</t>
        </is>
      </c>
      <c r="Z818" s="2" t="inlineStr">
        <is>
          <t>data/raw/claro_convergent_multi_SP.html</t>
        </is>
      </c>
    </row>
    <row r="819">
      <c r="A819" s="5" t="inlineStr">
        <is>
          <t>2026-09-05</t>
        </is>
      </c>
      <c r="B819" s="5" t="inlineStr">
        <is>
          <t>2026-09-05T19:37:33</t>
        </is>
      </c>
      <c r="C819" s="5" t="inlineStr">
        <is>
          <t>claro</t>
        </is>
      </c>
      <c r="D819" s="5" t="inlineStr">
        <is>
          <t>SP</t>
        </is>
      </c>
      <c r="E819" s="5" t="inlineStr">
        <is>
          <t>350 Mega com Globoplay incluso + Claro tv+ Box + Disney+ Amazon Prime + Netflix + HBO Max + Apple TV + Globoplay</t>
        </is>
      </c>
      <c r="F819" s="5" t="inlineStr">
        <is>
          <t>claro:97b00450-6f21-4349-8363-83d624b18328</t>
        </is>
      </c>
      <c r="G819" s="6" t="n">
        <v>229.8</v>
      </c>
      <c r="H819" s="6" t="inlineStr"/>
      <c r="I819" s="5" t="inlineStr"/>
      <c r="J819" s="5" t="inlineStr"/>
      <c r="K819" s="5" t="inlineStr">
        <is>
          <t>tab: Fibra + TV</t>
        </is>
      </c>
      <c r="L819" s="5" t="inlineStr">
        <is>
          <t>broadband+tv</t>
        </is>
      </c>
      <c r="M819" s="5" t="inlineStr">
        <is>
          <t>Fiber + TV</t>
        </is>
      </c>
      <c r="N819" s="5" t="b">
        <v>0</v>
      </c>
      <c r="O819" s="5" t="b">
        <v>1</v>
      </c>
      <c r="P819" s="5" t="b">
        <v>1</v>
      </c>
      <c r="Q819" s="5" t="b">
        <v>0</v>
      </c>
      <c r="R819" s="7" t="n">
        <v>350</v>
      </c>
      <c r="S819" s="7" t="inlineStr"/>
      <c r="T819" s="7" t="inlineStr"/>
      <c r="U819" s="5" t="inlineStr">
        <is>
          <t>Claro tv+ Box + Disney+ Amazon Prime + Netflix + HBO Max + Apple TV + Globoplay</t>
        </is>
      </c>
      <c r="V819" s="5" t="inlineStr"/>
      <c r="W819" s="5" t="inlineStr"/>
      <c r="X819" s="5" t="inlineStr"/>
      <c r="Y819" s="5" t="inlineStr">
        <is>
          <t>https://www.claro.com.br/multi</t>
        </is>
      </c>
      <c r="Z819" s="5" t="inlineStr">
        <is>
          <t>data/raw/claro_convergent_multi_SP.html</t>
        </is>
      </c>
    </row>
    <row r="820">
      <c r="A820" s="2" t="inlineStr">
        <is>
          <t>2026-09-05</t>
        </is>
      </c>
      <c r="B820" s="2" t="inlineStr">
        <is>
          <t>2026-09-05T19:37:33</t>
        </is>
      </c>
      <c r="C820" s="2" t="inlineStr">
        <is>
          <t>claro</t>
        </is>
      </c>
      <c r="D820" s="2" t="inlineStr">
        <is>
          <t>SP</t>
        </is>
      </c>
      <c r="E820" s="2" t="inlineStr">
        <is>
          <t>350 Mega com Globoplay incluso + Controle 40GB</t>
        </is>
      </c>
      <c r="F820" s="2" t="inlineStr">
        <is>
          <t>claro:a866ea9a-6a70-4b6e-b886-f8178086ca91</t>
        </is>
      </c>
      <c r="G820" s="3" t="n">
        <v>129.8</v>
      </c>
      <c r="H820" s="3" t="inlineStr"/>
      <c r="I820" s="2" t="inlineStr"/>
      <c r="J820" s="2" t="inlineStr">
        <is>
          <t>debit_auto</t>
        </is>
      </c>
      <c r="K820" s="2" t="inlineStr">
        <is>
          <t>tab: Fibra + Móvel; preço em débito em conta; +R$ 5.00 sem débito automático</t>
        </is>
      </c>
      <c r="L820" s="2" t="inlineStr">
        <is>
          <t>mobile+broadband</t>
        </is>
      </c>
      <c r="M820" s="2" t="inlineStr">
        <is>
          <t>Fiber + Mobile</t>
        </is>
      </c>
      <c r="N820" s="2" t="b">
        <v>1</v>
      </c>
      <c r="O820" s="2" t="b">
        <v>1</v>
      </c>
      <c r="P820" s="2" t="b">
        <v>0</v>
      </c>
      <c r="Q820" s="2" t="b">
        <v>0</v>
      </c>
      <c r="R820" s="4" t="n">
        <v>350</v>
      </c>
      <c r="S820" s="4" t="n">
        <v>40</v>
      </c>
      <c r="T820" s="4" t="n">
        <v>1</v>
      </c>
      <c r="U820" s="2" t="inlineStr"/>
      <c r="V820" s="2" t="inlineStr"/>
      <c r="W820" s="2" t="inlineStr"/>
      <c r="X820" s="2" t="inlineStr">
        <is>
          <t>Controle 40GB</t>
        </is>
      </c>
      <c r="Y820" s="2" t="inlineStr">
        <is>
          <t>https://www.claro.com.br/multi</t>
        </is>
      </c>
      <c r="Z820" s="2" t="inlineStr">
        <is>
          <t>data/raw/claro_convergent_multi_SP.html</t>
        </is>
      </c>
    </row>
    <row r="821">
      <c r="A821" s="5" t="inlineStr">
        <is>
          <t>2026-09-05</t>
        </is>
      </c>
      <c r="B821" s="5" t="inlineStr">
        <is>
          <t>2026-09-05T19:37:33</t>
        </is>
      </c>
      <c r="C821" s="5" t="inlineStr">
        <is>
          <t>claro</t>
        </is>
      </c>
      <c r="D821" s="5" t="inlineStr">
        <is>
          <t>SP</t>
        </is>
      </c>
      <c r="E821" s="5" t="inlineStr">
        <is>
          <t>350 Mega com Globoplay incluso + Pós 100GB + Claro tv+ Box + Disney+ Amazon Prime + Netflix + HBO Max + Apple TV + Globoplay</t>
        </is>
      </c>
      <c r="F821" s="5" t="inlineStr">
        <is>
          <t>claro:746fa9cf-ea2b-40de-ad2c-5803b3e0ab08</t>
        </is>
      </c>
      <c r="G821" s="6" t="n">
        <v>249.8</v>
      </c>
      <c r="H821" s="6" t="inlineStr"/>
      <c r="I821" s="5" t="inlineStr"/>
      <c r="J821" s="5" t="inlineStr"/>
      <c r="K821" s="5" t="inlineStr">
        <is>
          <t>tab: Fibra + Móvel + TV</t>
        </is>
      </c>
      <c r="L821" s="5" t="inlineStr">
        <is>
          <t>mobile+broadband+tv</t>
        </is>
      </c>
      <c r="M821" s="5" t="inlineStr">
        <is>
          <t>Fiber + Mobile + TV</t>
        </is>
      </c>
      <c r="N821" s="5" t="b">
        <v>1</v>
      </c>
      <c r="O821" s="5" t="b">
        <v>1</v>
      </c>
      <c r="P821" s="5" t="b">
        <v>1</v>
      </c>
      <c r="Q821" s="5" t="b">
        <v>0</v>
      </c>
      <c r="R821" s="7" t="n">
        <v>350</v>
      </c>
      <c r="S821" s="7" t="n">
        <v>100</v>
      </c>
      <c r="T821" s="7" t="n">
        <v>1</v>
      </c>
      <c r="U821" s="5" t="inlineStr">
        <is>
          <t>Claro tv+ Box + Disney+ Amazon Prime + Netflix + HBO Max + Apple TV + Globoplay</t>
        </is>
      </c>
      <c r="V821" s="5" t="inlineStr"/>
      <c r="W821" s="5" t="inlineStr"/>
      <c r="X821" s="5" t="inlineStr">
        <is>
          <t>Pós 100GB</t>
        </is>
      </c>
      <c r="Y821" s="5" t="inlineStr">
        <is>
          <t>https://www.claro.com.br/multi</t>
        </is>
      </c>
      <c r="Z821" s="5" t="inlineStr">
        <is>
          <t>data/raw/claro_convergent_multi_SP.html</t>
        </is>
      </c>
    </row>
    <row r="822">
      <c r="A822" s="2" t="inlineStr">
        <is>
          <t>2026-09-05</t>
        </is>
      </c>
      <c r="B822" s="2" t="inlineStr">
        <is>
          <t>2026-09-05T19:37:33</t>
        </is>
      </c>
      <c r="C822" s="2" t="inlineStr">
        <is>
          <t>claro</t>
        </is>
      </c>
      <c r="D822" s="2" t="inlineStr">
        <is>
          <t>SP</t>
        </is>
      </c>
      <c r="E822" s="2" t="inlineStr">
        <is>
          <t>600 Mega com Globoplay incluso + Claro tv+ Box + Disney+ Amazon Prime + Netflix + HBO Max + Apple TV + Globoplay</t>
        </is>
      </c>
      <c r="F822" s="2" t="inlineStr">
        <is>
          <t>claro:545261b1-2f4d-4dab-82a6-02d9e66c5d3d</t>
        </is>
      </c>
      <c r="G822" s="3" t="n">
        <v>239.8</v>
      </c>
      <c r="H822" s="3" t="inlineStr"/>
      <c r="I822" s="2" t="inlineStr"/>
      <c r="J822" s="2" t="inlineStr"/>
      <c r="K822" s="2" t="inlineStr">
        <is>
          <t>tab: Fibra + TV</t>
        </is>
      </c>
      <c r="L822" s="2" t="inlineStr">
        <is>
          <t>broadband+tv</t>
        </is>
      </c>
      <c r="M822" s="2" t="inlineStr">
        <is>
          <t>Fiber + TV</t>
        </is>
      </c>
      <c r="N822" s="2" t="b">
        <v>0</v>
      </c>
      <c r="O822" s="2" t="b">
        <v>1</v>
      </c>
      <c r="P822" s="2" t="b">
        <v>1</v>
      </c>
      <c r="Q822" s="2" t="b">
        <v>0</v>
      </c>
      <c r="R822" s="4" t="n">
        <v>600</v>
      </c>
      <c r="S822" s="4" t="inlineStr"/>
      <c r="T822" s="4" t="inlineStr"/>
      <c r="U822" s="2" t="inlineStr">
        <is>
          <t>Claro tv+ Box + Disney+ Amazon Prime + Netflix + HBO Max + Apple TV + Globoplay</t>
        </is>
      </c>
      <c r="V822" s="2" t="inlineStr"/>
      <c r="W822" s="2" t="inlineStr"/>
      <c r="X822" s="2" t="inlineStr"/>
      <c r="Y822" s="2" t="inlineStr">
        <is>
          <t>https://www.claro.com.br/multi</t>
        </is>
      </c>
      <c r="Z822" s="2" t="inlineStr">
        <is>
          <t>data/raw/claro_convergent_multi_SP.html</t>
        </is>
      </c>
    </row>
    <row r="823">
      <c r="A823" s="5" t="inlineStr">
        <is>
          <t>2026-09-05</t>
        </is>
      </c>
      <c r="B823" s="5" t="inlineStr">
        <is>
          <t>2026-09-05T19:37:33</t>
        </is>
      </c>
      <c r="C823" s="5" t="inlineStr">
        <is>
          <t>claro</t>
        </is>
      </c>
      <c r="D823" s="5" t="inlineStr">
        <is>
          <t>SP</t>
        </is>
      </c>
      <c r="E823" s="5" t="inlineStr">
        <is>
          <t>600 Mega com Globoplay incluso + Pós 100GB</t>
        </is>
      </c>
      <c r="F823" s="5" t="inlineStr">
        <is>
          <t>claro:350ac58a-533c-4858-83be-be3ea39c8874</t>
        </is>
      </c>
      <c r="G823" s="6" t="n">
        <v>159.9</v>
      </c>
      <c r="H823" s="6" t="inlineStr"/>
      <c r="I823" s="5" t="inlineStr"/>
      <c r="J823" s="5" t="inlineStr"/>
      <c r="K823" s="5" t="inlineStr">
        <is>
          <t>tab: Fibra + Móvel</t>
        </is>
      </c>
      <c r="L823" s="5" t="inlineStr">
        <is>
          <t>mobile+broadband</t>
        </is>
      </c>
      <c r="M823" s="5" t="inlineStr">
        <is>
          <t>Fiber + Mobile</t>
        </is>
      </c>
      <c r="N823" s="5" t="b">
        <v>1</v>
      </c>
      <c r="O823" s="5" t="b">
        <v>1</v>
      </c>
      <c r="P823" s="5" t="b">
        <v>0</v>
      </c>
      <c r="Q823" s="5" t="b">
        <v>0</v>
      </c>
      <c r="R823" s="7" t="n">
        <v>600</v>
      </c>
      <c r="S823" s="7" t="n">
        <v>100</v>
      </c>
      <c r="T823" s="7" t="n">
        <v>1</v>
      </c>
      <c r="U823" s="5" t="inlineStr"/>
      <c r="V823" s="5" t="inlineStr"/>
      <c r="W823" s="5" t="inlineStr"/>
      <c r="X823" s="5" t="inlineStr">
        <is>
          <t>Pós 100GB</t>
        </is>
      </c>
      <c r="Y823" s="5" t="inlineStr">
        <is>
          <t>https://www.claro.com.br/multi</t>
        </is>
      </c>
      <c r="Z823" s="5" t="inlineStr">
        <is>
          <t>data/raw/claro_convergent_multi_SP.html</t>
        </is>
      </c>
    </row>
    <row r="824">
      <c r="A824" s="2" t="inlineStr">
        <is>
          <t>2026-09-05</t>
        </is>
      </c>
      <c r="B824" s="2" t="inlineStr">
        <is>
          <t>2026-09-05T19:37:33</t>
        </is>
      </c>
      <c r="C824" s="2" t="inlineStr">
        <is>
          <t>claro</t>
        </is>
      </c>
      <c r="D824" s="2" t="inlineStr">
        <is>
          <t>SP</t>
        </is>
      </c>
      <c r="E824" s="2" t="inlineStr">
        <is>
          <t>600 Mega com Globoplay incluso + Pós 100GB + Claro tv+ Box + Disney+ Amazon Prime + Netflix + HBO Max + Apple TV + Globoplay</t>
        </is>
      </c>
      <c r="F824" s="2" t="inlineStr">
        <is>
          <t>claro:f36e7dfb-f7c9-4055-844f-7bc101699de8</t>
        </is>
      </c>
      <c r="G824" s="3" t="n">
        <v>269.8</v>
      </c>
      <c r="H824" s="3" t="inlineStr"/>
      <c r="I824" s="2" t="inlineStr"/>
      <c r="J824" s="2" t="inlineStr"/>
      <c r="K824" s="2" t="inlineStr">
        <is>
          <t>tab: Fibra + Móvel + TV</t>
        </is>
      </c>
      <c r="L824" s="2" t="inlineStr">
        <is>
          <t>mobile+broadband+tv</t>
        </is>
      </c>
      <c r="M824" s="2" t="inlineStr">
        <is>
          <t>Fiber + Mobile + TV</t>
        </is>
      </c>
      <c r="N824" s="2" t="b">
        <v>1</v>
      </c>
      <c r="O824" s="2" t="b">
        <v>1</v>
      </c>
      <c r="P824" s="2" t="b">
        <v>1</v>
      </c>
      <c r="Q824" s="2" t="b">
        <v>0</v>
      </c>
      <c r="R824" s="4" t="n">
        <v>600</v>
      </c>
      <c r="S824" s="4" t="n">
        <v>100</v>
      </c>
      <c r="T824" s="4" t="n">
        <v>1</v>
      </c>
      <c r="U824" s="2" t="inlineStr">
        <is>
          <t>Claro tv+ Box + Disney+ Amazon Prime + Netflix + HBO Max + Apple TV + Globoplay</t>
        </is>
      </c>
      <c r="V824" s="2" t="inlineStr"/>
      <c r="W824" s="2" t="inlineStr"/>
      <c r="X824" s="2" t="inlineStr">
        <is>
          <t>Pós 100GB</t>
        </is>
      </c>
      <c r="Y824" s="2" t="inlineStr">
        <is>
          <t>https://www.claro.com.br/multi</t>
        </is>
      </c>
      <c r="Z824" s="2" t="inlineStr">
        <is>
          <t>data/raw/claro_convergent_multi_SP.html</t>
        </is>
      </c>
    </row>
    <row r="825">
      <c r="A825" s="5" t="inlineStr">
        <is>
          <t>2026-09-05</t>
        </is>
      </c>
      <c r="B825" s="5" t="inlineStr">
        <is>
          <t>2026-09-05T19:37:33</t>
        </is>
      </c>
      <c r="C825" s="5" t="inlineStr">
        <is>
          <t>tim</t>
        </is>
      </c>
      <c r="D825" s="5" t="inlineStr">
        <is>
          <t>SP</t>
        </is>
      </c>
      <c r="E825" s="5" t="inlineStr">
        <is>
          <t>TIM Ultracombo 5</t>
        </is>
      </c>
      <c r="F825" s="5" t="inlineStr">
        <is>
          <t>tim:167756</t>
        </is>
      </c>
      <c r="G825" s="6" t="n">
        <v>169.99</v>
      </c>
      <c r="H825" s="6" t="inlineStr"/>
      <c r="I825" s="5" t="inlineStr"/>
      <c r="J825" s="5" t="inlineStr">
        <is>
          <t>debit_auto</t>
        </is>
      </c>
      <c r="K825" s="5" t="inlineStr">
        <is>
          <t>preço em débito automático; R$ 179,99/mês no pagamento por fatura</t>
        </is>
      </c>
      <c r="L825" s="5" t="inlineStr">
        <is>
          <t>mobile+broadband</t>
        </is>
      </c>
      <c r="M825" s="5" t="inlineStr">
        <is>
          <t>Fiber + Mobile</t>
        </is>
      </c>
      <c r="N825" s="5" t="b">
        <v>1</v>
      </c>
      <c r="O825" s="5" t="b">
        <v>1</v>
      </c>
      <c r="P825" s="5" t="b">
        <v>0</v>
      </c>
      <c r="Q825" s="5" t="b">
        <v>0</v>
      </c>
      <c r="R825" s="7" t="n">
        <v>1000</v>
      </c>
      <c r="S825" s="7" t="n">
        <v>115</v>
      </c>
      <c r="T825" s="7" t="n">
        <v>1</v>
      </c>
      <c r="U825" s="5" t="inlineStr"/>
      <c r="V825" s="5" t="inlineStr">
        <is>
          <t>Paramount+, Deezer</t>
        </is>
      </c>
      <c r="W825" s="5" t="inlineStr"/>
      <c r="X825" s="5" t="inlineStr">
        <is>
          <t>1GIGA de Ultrafibra para casa + 115GB de TIM Black C Hero para móvel: (25GB do plano + 40GB promo + 50GB bônus especial)</t>
        </is>
      </c>
      <c r="Y825" s="5" t="inlineStr">
        <is>
          <t>https://www.tim.com.br/sp/internet/tim-ultracombo</t>
        </is>
      </c>
      <c r="Z825" s="5" t="inlineStr">
        <is>
          <t>data/raw/tim_convergent_ultracombo_SP.html</t>
        </is>
      </c>
    </row>
    <row r="826">
      <c r="A826" s="2" t="inlineStr">
        <is>
          <t>2026-09-05</t>
        </is>
      </c>
      <c r="B826" s="2" t="inlineStr">
        <is>
          <t>2026-09-05T19:37:33</t>
        </is>
      </c>
      <c r="C826" s="2" t="inlineStr">
        <is>
          <t>tim</t>
        </is>
      </c>
      <c r="D826" s="2" t="inlineStr">
        <is>
          <t>SP</t>
        </is>
      </c>
      <c r="E826" s="2" t="inlineStr">
        <is>
          <t>TIM Ultracombo 6</t>
        </is>
      </c>
      <c r="F826" s="2" t="inlineStr">
        <is>
          <t>tim:167751</t>
        </is>
      </c>
      <c r="G826" s="3" t="n">
        <v>139.99</v>
      </c>
      <c r="H826" s="3" t="inlineStr"/>
      <c r="I826" s="2" t="inlineStr"/>
      <c r="J826" s="2" t="inlineStr">
        <is>
          <t>debit_auto</t>
        </is>
      </c>
      <c r="K826" s="2" t="inlineStr">
        <is>
          <t>preço em débito automático; R$ 149,99/mês no pagamento por fatura</t>
        </is>
      </c>
      <c r="L826" s="2" t="inlineStr">
        <is>
          <t>mobile+broadband</t>
        </is>
      </c>
      <c r="M826" s="2" t="inlineStr">
        <is>
          <t>Fiber + Mobile</t>
        </is>
      </c>
      <c r="N826" s="2" t="b">
        <v>1</v>
      </c>
      <c r="O826" s="2" t="b">
        <v>1</v>
      </c>
      <c r="P826" s="2" t="b">
        <v>0</v>
      </c>
      <c r="Q826" s="2" t="b">
        <v>0</v>
      </c>
      <c r="R826" s="4" t="n">
        <v>1000</v>
      </c>
      <c r="S826" s="4" t="n">
        <v>70</v>
      </c>
      <c r="T826" s="4" t="n">
        <v>1</v>
      </c>
      <c r="U826" s="2" t="inlineStr"/>
      <c r="V826" s="2" t="inlineStr">
        <is>
          <t>Paramount+, Deezer</t>
        </is>
      </c>
      <c r="W826" s="2" t="inlineStr"/>
      <c r="X826" s="2" t="inlineStr">
        <is>
          <t>1GIGA de Ultrafibra para casa + 70GB de TIM Black A para móvel: (15GB do plano + 50GB promo + 5GB bônus especial)</t>
        </is>
      </c>
      <c r="Y826" s="2" t="inlineStr">
        <is>
          <t>https://www.tim.com.br/sp/internet/tim-ultracombo</t>
        </is>
      </c>
      <c r="Z826" s="2" t="inlineStr">
        <is>
          <t>data/raw/tim_convergent_ultracombo_SP.html</t>
        </is>
      </c>
    </row>
    <row r="827">
      <c r="A827" s="5" t="inlineStr">
        <is>
          <t>2026-09-05</t>
        </is>
      </c>
      <c r="B827" s="5" t="inlineStr">
        <is>
          <t>2026-09-05T19:37:33</t>
        </is>
      </c>
      <c r="C827" s="5" t="inlineStr">
        <is>
          <t>tim</t>
        </is>
      </c>
      <c r="D827" s="5" t="inlineStr">
        <is>
          <t>SP</t>
        </is>
      </c>
      <c r="E827" s="5" t="inlineStr">
        <is>
          <t>TIM Ultracombo 7</t>
        </is>
      </c>
      <c r="F827" s="5" t="inlineStr">
        <is>
          <t>tim:167761</t>
        </is>
      </c>
      <c r="G827" s="6" t="n">
        <v>89.98999999999999</v>
      </c>
      <c r="H827" s="6" t="inlineStr"/>
      <c r="I827" s="5" t="inlineStr"/>
      <c r="J827" s="5" t="inlineStr">
        <is>
          <t>debit_auto</t>
        </is>
      </c>
      <c r="K827" s="5" t="inlineStr">
        <is>
          <t>preço em débito automático; R$ 99,99/mês no pagamento por fatura</t>
        </is>
      </c>
      <c r="L827" s="5" t="inlineStr">
        <is>
          <t>mobile+broadband</t>
        </is>
      </c>
      <c r="M827" s="5" t="inlineStr">
        <is>
          <t>Fiber + Mobile</t>
        </is>
      </c>
      <c r="N827" s="5" t="b">
        <v>1</v>
      </c>
      <c r="O827" s="5" t="b">
        <v>1</v>
      </c>
      <c r="P827" s="5" t="b">
        <v>0</v>
      </c>
      <c r="Q827" s="5" t="b">
        <v>0</v>
      </c>
      <c r="R827" s="7" t="n">
        <v>500</v>
      </c>
      <c r="S827" s="7" t="n">
        <v>65</v>
      </c>
      <c r="T827" s="7" t="n">
        <v>1</v>
      </c>
      <c r="U827" s="5" t="inlineStr"/>
      <c r="V827" s="5" t="inlineStr"/>
      <c r="W827" s="5" t="inlineStr"/>
      <c r="X827" s="5" t="inlineStr">
        <is>
          <t>500MEGA de Ultrafibra para casa + 65GB de TIM Black A Light para móvel: (10GB do plano + 50GB promo)</t>
        </is>
      </c>
      <c r="Y827" s="5" t="inlineStr">
        <is>
          <t>https://www.tim.com.br/sp/internet/tim-ultracombo</t>
        </is>
      </c>
      <c r="Z827" s="5" t="inlineStr">
        <is>
          <t>data/raw/tim_convergent_ultracombo_SP.html</t>
        </is>
      </c>
    </row>
    <row r="828">
      <c r="A828" s="2" t="inlineStr">
        <is>
          <t>2026-09-05</t>
        </is>
      </c>
      <c r="B828" s="2" t="inlineStr">
        <is>
          <t>2026-09-05T19:37:33</t>
        </is>
      </c>
      <c r="C828" s="2" t="inlineStr">
        <is>
          <t>vivo</t>
        </is>
      </c>
      <c r="D828" s="2" t="inlineStr">
        <is>
          <t>SP</t>
        </is>
      </c>
      <c r="E828" s="2" t="inlineStr">
        <is>
          <t>Vivo Família 2 + TV</t>
        </is>
      </c>
      <c r="F828" s="2" t="inlineStr">
        <is>
          <t>vivo:VIV202604032132-3-305-316-336-408-411-426-430-442</t>
        </is>
      </c>
      <c r="G828" s="3" t="n">
        <v>290</v>
      </c>
      <c r="H828" s="3" t="inlineStr"/>
      <c r="I828" s="2" t="inlineStr"/>
      <c r="J828" s="2" t="inlineStr"/>
      <c r="K828" s="2" t="inlineStr">
        <is>
          <t>instalação grátis mediante fidelização (não afeta a mensalidade)</t>
        </is>
      </c>
      <c r="L828" s="2" t="inlineStr">
        <is>
          <t>mobile+broadband+tv</t>
        </is>
      </c>
      <c r="M828" s="2" t="inlineStr">
        <is>
          <t>Fiber + Mobile + TV</t>
        </is>
      </c>
      <c r="N828" s="2" t="b">
        <v>1</v>
      </c>
      <c r="O828" s="2" t="b">
        <v>1</v>
      </c>
      <c r="P828" s="2" t="b">
        <v>1</v>
      </c>
      <c r="Q828" s="2" t="b">
        <v>0</v>
      </c>
      <c r="R828" s="4" t="n">
        <v>700</v>
      </c>
      <c r="S828" s="4" t="n">
        <v>120</v>
      </c>
      <c r="T828" s="4" t="n">
        <v>2</v>
      </c>
      <c r="U828" s="2" t="inlineStr">
        <is>
          <t>80 canais de Vivo Estendido</t>
        </is>
      </c>
      <c r="V828" s="2" t="inlineStr"/>
      <c r="W828" s="2" t="inlineStr">
        <is>
          <t>Vivo Travel Américas e Europa; 1 linha adicional inclusa</t>
        </is>
      </c>
      <c r="X828" s="2" t="inlineStr">
        <is>
          <t>700 Mega de Vivo Fibra</t>
        </is>
      </c>
      <c r="Y828" s="2" t="inlineStr">
        <is>
          <t>https://vivo.com.br/para-voce/produtos-e-servicos/combos/vivo-total</t>
        </is>
      </c>
      <c r="Z828" s="2" t="inlineStr">
        <is>
          <t>data/raw/vivo_convergent_total_SP.html</t>
        </is>
      </c>
    </row>
    <row r="829">
      <c r="A829" s="5" t="inlineStr">
        <is>
          <t>2026-09-05</t>
        </is>
      </c>
      <c r="B829" s="5" t="inlineStr">
        <is>
          <t>2026-09-05T19:37:33</t>
        </is>
      </c>
      <c r="C829" s="5" t="inlineStr">
        <is>
          <t>vivo</t>
        </is>
      </c>
      <c r="D829" s="5" t="inlineStr">
        <is>
          <t>SP</t>
        </is>
      </c>
      <c r="E829" s="5" t="inlineStr">
        <is>
          <t>Vivo Família 2 + TV</t>
        </is>
      </c>
      <c r="F829" s="5" t="inlineStr">
        <is>
          <t>vivo:VIV202604032112-3-9-305-316-408-411-426-430-442</t>
        </is>
      </c>
      <c r="G829" s="6" t="n">
        <v>390</v>
      </c>
      <c r="H829" s="6" t="inlineStr"/>
      <c r="I829" s="5" t="inlineStr"/>
      <c r="J829" s="5" t="inlineStr"/>
      <c r="K829" s="5" t="inlineStr">
        <is>
          <t>instalação grátis mediante fidelização (não afeta a mensalidade)</t>
        </is>
      </c>
      <c r="L829" s="5" t="inlineStr">
        <is>
          <t>mobile+broadband+tv</t>
        </is>
      </c>
      <c r="M829" s="5" t="inlineStr">
        <is>
          <t>Fiber + Mobile + TV</t>
        </is>
      </c>
      <c r="N829" s="5" t="b">
        <v>1</v>
      </c>
      <c r="O829" s="5" t="b">
        <v>1</v>
      </c>
      <c r="P829" s="5" t="b">
        <v>1</v>
      </c>
      <c r="Q829" s="5" t="b">
        <v>0</v>
      </c>
      <c r="R829" s="7" t="n">
        <v>700</v>
      </c>
      <c r="S829" s="7" t="n">
        <v>120</v>
      </c>
      <c r="T829" s="7" t="n">
        <v>2</v>
      </c>
      <c r="U829" s="5" t="inlineStr">
        <is>
          <t>120 canais de Vivo TV Avançado + 1 ponto adicional</t>
        </is>
      </c>
      <c r="V829" s="5" t="inlineStr"/>
      <c r="W829" s="5" t="inlineStr">
        <is>
          <t>Vivo Travel Américas e Europa; 1 linha adicional inclusa</t>
        </is>
      </c>
      <c r="X829" s="5" t="inlineStr">
        <is>
          <t>700 Mega de Vivo Fibra</t>
        </is>
      </c>
      <c r="Y829" s="5" t="inlineStr">
        <is>
          <t>https://vivo.com.br/para-voce/produtos-e-servicos/combos/vivo-total</t>
        </is>
      </c>
      <c r="Z829" s="5" t="inlineStr">
        <is>
          <t>data/raw/vivo_convergent_total_SP.html</t>
        </is>
      </c>
    </row>
    <row r="830">
      <c r="A830" s="2" t="inlineStr">
        <is>
          <t>2026-09-05</t>
        </is>
      </c>
      <c r="B830" s="2" t="inlineStr">
        <is>
          <t>2026-09-05T19:37:33</t>
        </is>
      </c>
      <c r="C830" s="2" t="inlineStr">
        <is>
          <t>vivo</t>
        </is>
      </c>
      <c r="D830" s="2" t="inlineStr">
        <is>
          <t>SP</t>
        </is>
      </c>
      <c r="E830" s="2" t="inlineStr">
        <is>
          <t>Vivo Total Família 2</t>
        </is>
      </c>
      <c r="F830" s="2" t="inlineStr">
        <is>
          <t>vivo:VIV202604032132-3-305-316-408-411-426-430-442</t>
        </is>
      </c>
      <c r="G830" s="3" t="n">
        <v>270</v>
      </c>
      <c r="H830" s="3" t="inlineStr"/>
      <c r="I830" s="2" t="inlineStr"/>
      <c r="J830" s="2" t="inlineStr"/>
      <c r="K830" s="2" t="inlineStr">
        <is>
          <t>instalação grátis mediante fidelização (não afeta a mensalidade)</t>
        </is>
      </c>
      <c r="L830" s="2" t="inlineStr">
        <is>
          <t>mobile+broadband</t>
        </is>
      </c>
      <c r="M830" s="2" t="inlineStr">
        <is>
          <t>Fiber + Mobile</t>
        </is>
      </c>
      <c r="N830" s="2" t="b">
        <v>1</v>
      </c>
      <c r="O830" s="2" t="b">
        <v>1</v>
      </c>
      <c r="P830" s="2" t="b">
        <v>0</v>
      </c>
      <c r="Q830" s="2" t="b">
        <v>0</v>
      </c>
      <c r="R830" s="4" t="n">
        <v>700</v>
      </c>
      <c r="S830" s="4" t="n">
        <v>120</v>
      </c>
      <c r="T830" s="4" t="n">
        <v>2</v>
      </c>
      <c r="U830" s="2" t="inlineStr"/>
      <c r="V830" s="2" t="inlineStr"/>
      <c r="W830" s="2" t="inlineStr">
        <is>
          <t>Vivo Travel Américas e Europa; 1 linha adicional inclusa</t>
        </is>
      </c>
      <c r="X830" s="2" t="inlineStr">
        <is>
          <t>700 Mega de Vivo Fibra</t>
        </is>
      </c>
      <c r="Y830" s="2" t="inlineStr">
        <is>
          <t>https://vivo.com.br/para-voce/produtos-e-servicos/combos/vivo-total</t>
        </is>
      </c>
      <c r="Z830" s="2" t="inlineStr">
        <is>
          <t>data/raw/vivo_convergent_total_SP.html</t>
        </is>
      </c>
    </row>
    <row r="831">
      <c r="A831" s="5" t="inlineStr">
        <is>
          <t>2026-09-05</t>
        </is>
      </c>
      <c r="B831" s="5" t="inlineStr">
        <is>
          <t>2026-09-05T19:37:33</t>
        </is>
      </c>
      <c r="C831" s="5" t="inlineStr">
        <is>
          <t>vivo</t>
        </is>
      </c>
      <c r="D831" s="5" t="inlineStr">
        <is>
          <t>SP</t>
        </is>
      </c>
      <c r="E831" s="5" t="inlineStr">
        <is>
          <t>Vivo Total Família 3</t>
        </is>
      </c>
      <c r="F831" s="5" t="inlineStr">
        <is>
          <t>vivo:VIV202604032212-4-305-316-408-411-426-430-442</t>
        </is>
      </c>
      <c r="G831" s="6" t="n">
        <v>330</v>
      </c>
      <c r="H831" s="6" t="inlineStr"/>
      <c r="I831" s="5" t="inlineStr"/>
      <c r="J831" s="5" t="inlineStr"/>
      <c r="K831" s="5" t="inlineStr">
        <is>
          <t>instalação grátis mediante fidelização (não afeta a mensalidade)</t>
        </is>
      </c>
      <c r="L831" s="5" t="inlineStr">
        <is>
          <t>mobile+broadband</t>
        </is>
      </c>
      <c r="M831" s="5" t="inlineStr">
        <is>
          <t>Fiber + Mobile</t>
        </is>
      </c>
      <c r="N831" s="5" t="b">
        <v>1</v>
      </c>
      <c r="O831" s="5" t="b">
        <v>1</v>
      </c>
      <c r="P831" s="5" t="b">
        <v>0</v>
      </c>
      <c r="Q831" s="5" t="b">
        <v>0</v>
      </c>
      <c r="R831" s="7" t="n">
        <v>700</v>
      </c>
      <c r="S831" s="7" t="n">
        <v>180</v>
      </c>
      <c r="T831" s="7" t="n">
        <v>3</v>
      </c>
      <c r="U831" s="5" t="inlineStr"/>
      <c r="V831" s="5" t="inlineStr"/>
      <c r="W831" s="5" t="inlineStr">
        <is>
          <t>Vivo Travel Américas e Europa; 2 linhas adicionais inclusas</t>
        </is>
      </c>
      <c r="X831" s="5" t="inlineStr">
        <is>
          <t>700 Mega de Vivo Fibra</t>
        </is>
      </c>
      <c r="Y831" s="5" t="inlineStr">
        <is>
          <t>https://vivo.com.br/para-voce/produtos-e-servicos/combos/vivo-total</t>
        </is>
      </c>
      <c r="Z831" s="5" t="inlineStr">
        <is>
          <t>data/raw/vivo_convergent_total_SP.html</t>
        </is>
      </c>
    </row>
    <row r="832">
      <c r="A832" s="2" t="inlineStr">
        <is>
          <t>2026-09-05</t>
        </is>
      </c>
      <c r="B832" s="2" t="inlineStr">
        <is>
          <t>2026-09-05T19:37:33</t>
        </is>
      </c>
      <c r="C832" s="2" t="inlineStr">
        <is>
          <t>vivo</t>
        </is>
      </c>
      <c r="D832" s="2" t="inlineStr">
        <is>
          <t>SP</t>
        </is>
      </c>
      <c r="E832" s="2" t="inlineStr">
        <is>
          <t>Vivo Total Família 4</t>
        </is>
      </c>
      <c r="F832" s="2" t="inlineStr">
        <is>
          <t>vivo:VIV202604032292-237-305-316-408-411-426-430-442</t>
        </is>
      </c>
      <c r="G832" s="3" t="n">
        <v>420</v>
      </c>
      <c r="H832" s="3" t="inlineStr"/>
      <c r="I832" s="2" t="inlineStr"/>
      <c r="J832" s="2" t="inlineStr"/>
      <c r="K832" s="2" t="inlineStr">
        <is>
          <t>instalação grátis mediante fidelização (não afeta a mensalidade)</t>
        </is>
      </c>
      <c r="L832" s="2" t="inlineStr">
        <is>
          <t>mobile+broadband</t>
        </is>
      </c>
      <c r="M832" s="2" t="inlineStr">
        <is>
          <t>Fiber + Mobile</t>
        </is>
      </c>
      <c r="N832" s="2" t="b">
        <v>1</v>
      </c>
      <c r="O832" s="2" t="b">
        <v>1</v>
      </c>
      <c r="P832" s="2" t="b">
        <v>0</v>
      </c>
      <c r="Q832" s="2" t="b">
        <v>0</v>
      </c>
      <c r="R832" s="4" t="n">
        <v>700</v>
      </c>
      <c r="S832" s="4" t="n">
        <v>240</v>
      </c>
      <c r="T832" s="4" t="n">
        <v>4</v>
      </c>
      <c r="U832" s="2" t="inlineStr"/>
      <c r="V832" s="2" t="inlineStr"/>
      <c r="W832" s="2" t="inlineStr">
        <is>
          <t>Vivo Travel Américas e Europa; 3 linhas adicionais inclusas</t>
        </is>
      </c>
      <c r="X832" s="2" t="inlineStr">
        <is>
          <t>700 Mega de Vivo Fibra</t>
        </is>
      </c>
      <c r="Y832" s="2" t="inlineStr">
        <is>
          <t>https://vivo.com.br/para-voce/produtos-e-servicos/combos/vivo-total</t>
        </is>
      </c>
      <c r="Z832" s="2" t="inlineStr">
        <is>
          <t>data/raw/vivo_convergent_total_SP.html</t>
        </is>
      </c>
    </row>
    <row r="833">
      <c r="A833" s="5" t="inlineStr">
        <is>
          <t>2026-09-05</t>
        </is>
      </c>
      <c r="B833" s="5" t="inlineStr">
        <is>
          <t>2026-09-05T19:37:33</t>
        </is>
      </c>
      <c r="C833" s="5" t="inlineStr">
        <is>
          <t>vivo</t>
        </is>
      </c>
      <c r="D833" s="5" t="inlineStr">
        <is>
          <t>SP</t>
        </is>
      </c>
      <c r="E833" s="5" t="inlineStr">
        <is>
          <t>Vivo Total Família 5</t>
        </is>
      </c>
      <c r="F833" s="5" t="inlineStr">
        <is>
          <t>vivo:VIV202604032372-5-305-316-408-411-426-430-442</t>
        </is>
      </c>
      <c r="G833" s="6" t="n">
        <v>520</v>
      </c>
      <c r="H833" s="6" t="inlineStr"/>
      <c r="I833" s="5" t="inlineStr"/>
      <c r="J833" s="5" t="inlineStr"/>
      <c r="K833" s="5" t="inlineStr">
        <is>
          <t>instalação grátis mediante fidelização (não afeta a mensalidade)</t>
        </is>
      </c>
      <c r="L833" s="5" t="inlineStr">
        <is>
          <t>mobile+broadband</t>
        </is>
      </c>
      <c r="M833" s="5" t="inlineStr">
        <is>
          <t>Fiber + Mobile</t>
        </is>
      </c>
      <c r="N833" s="5" t="b">
        <v>1</v>
      </c>
      <c r="O833" s="5" t="b">
        <v>1</v>
      </c>
      <c r="P833" s="5" t="b">
        <v>0</v>
      </c>
      <c r="Q833" s="5" t="b">
        <v>0</v>
      </c>
      <c r="R833" s="7" t="n">
        <v>700</v>
      </c>
      <c r="S833" s="7" t="n">
        <v>300</v>
      </c>
      <c r="T833" s="7" t="n">
        <v>5</v>
      </c>
      <c r="U833" s="5" t="inlineStr"/>
      <c r="V833" s="5" t="inlineStr"/>
      <c r="W833" s="5" t="inlineStr">
        <is>
          <t>Vivo Travel Américas e Europa; 4 linhas adicionais inclusas</t>
        </is>
      </c>
      <c r="X833" s="5" t="inlineStr">
        <is>
          <t>700 Mega de Vivo Fibra</t>
        </is>
      </c>
      <c r="Y833" s="5" t="inlineStr">
        <is>
          <t>https://vivo.com.br/para-voce/produtos-e-servicos/combos/vivo-total</t>
        </is>
      </c>
      <c r="Z833" s="5" t="inlineStr">
        <is>
          <t>data/raw/vivo_convergent_total_SP.html</t>
        </is>
      </c>
    </row>
    <row r="834">
      <c r="A834" s="2" t="inlineStr">
        <is>
          <t>2026-09-05</t>
        </is>
      </c>
      <c r="B834" s="2" t="inlineStr">
        <is>
          <t>2026-09-05T19:37:33</t>
        </is>
      </c>
      <c r="C834" s="2" t="inlineStr">
        <is>
          <t>vivo</t>
        </is>
      </c>
      <c r="D834" s="2" t="inlineStr">
        <is>
          <t>SP</t>
        </is>
      </c>
      <c r="E834" s="2" t="inlineStr">
        <is>
          <t>Vivo Total Pro</t>
        </is>
      </c>
      <c r="F834" s="2" t="inlineStr">
        <is>
          <t>vivo:VIV202604031772-2-305-308-316-326-342-411-430</t>
        </is>
      </c>
      <c r="G834" s="3" t="n">
        <v>160</v>
      </c>
      <c r="H834" s="3" t="inlineStr"/>
      <c r="I834" s="2" t="inlineStr"/>
      <c r="J834" s="2" t="inlineStr"/>
      <c r="K834" s="2" t="inlineStr">
        <is>
          <t>instalação grátis mediante fidelização (não afeta a mensalidade)</t>
        </is>
      </c>
      <c r="L834" s="2" t="inlineStr">
        <is>
          <t>mobile+broadband</t>
        </is>
      </c>
      <c r="M834" s="2" t="inlineStr">
        <is>
          <t>Fiber + Mobile</t>
        </is>
      </c>
      <c r="N834" s="2" t="b">
        <v>1</v>
      </c>
      <c r="O834" s="2" t="b">
        <v>1</v>
      </c>
      <c r="P834" s="2" t="b">
        <v>0</v>
      </c>
      <c r="Q834" s="2" t="b">
        <v>0</v>
      </c>
      <c r="R834" s="4" t="n">
        <v>500</v>
      </c>
      <c r="S834" s="4" t="n">
        <v>70</v>
      </c>
      <c r="T834" s="4" t="n">
        <v>1</v>
      </c>
      <c r="U834" s="2" t="inlineStr"/>
      <c r="V834" s="2" t="inlineStr"/>
      <c r="W834" s="2" t="inlineStr">
        <is>
          <t>Vivo Travel Américas; 50 GB de franquia + 20 GB de bônus</t>
        </is>
      </c>
      <c r="X834" s="2" t="inlineStr">
        <is>
          <t>500 Mega de Vivo Fibra</t>
        </is>
      </c>
      <c r="Y834" s="2" t="inlineStr">
        <is>
          <t>https://vivo.com.br/para-voce/produtos-e-servicos/combos/vivo-total</t>
        </is>
      </c>
      <c r="Z834" s="2" t="inlineStr">
        <is>
          <t>data/raw/vivo_convergent_total_SP.html</t>
        </is>
      </c>
    </row>
    <row r="835">
      <c r="A835" s="5" t="inlineStr">
        <is>
          <t>2026-09-05</t>
        </is>
      </c>
      <c r="B835" s="5" t="inlineStr">
        <is>
          <t>2026-09-05T19:37:33</t>
        </is>
      </c>
      <c r="C835" s="5" t="inlineStr">
        <is>
          <t>vivo</t>
        </is>
      </c>
      <c r="D835" s="5" t="inlineStr">
        <is>
          <t>SP</t>
        </is>
      </c>
      <c r="E835" s="5" t="inlineStr">
        <is>
          <t>Vivo Total Ultra</t>
        </is>
      </c>
      <c r="F835" s="5" t="inlineStr">
        <is>
          <t>vivo:VIV202604032034-305-313-316-408-411-426-430-442</t>
        </is>
      </c>
      <c r="G835" s="6" t="n">
        <v>190</v>
      </c>
      <c r="H835" s="6" t="inlineStr"/>
      <c r="I835" s="5" t="inlineStr"/>
      <c r="J835" s="5" t="inlineStr"/>
      <c r="K835" s="5" t="inlineStr">
        <is>
          <t>instalação grátis mediante fidelização (não afeta a mensalidade)</t>
        </is>
      </c>
      <c r="L835" s="5" t="inlineStr">
        <is>
          <t>mobile+broadband</t>
        </is>
      </c>
      <c r="M835" s="5" t="inlineStr">
        <is>
          <t>Fiber + Mobile</t>
        </is>
      </c>
      <c r="N835" s="5" t="b">
        <v>1</v>
      </c>
      <c r="O835" s="5" t="b">
        <v>1</v>
      </c>
      <c r="P835" s="5" t="b">
        <v>0</v>
      </c>
      <c r="Q835" s="5" t="b">
        <v>0</v>
      </c>
      <c r="R835" s="7" t="n">
        <v>700</v>
      </c>
      <c r="S835" s="7" t="n">
        <v>80</v>
      </c>
      <c r="T835" s="7" t="n">
        <v>1</v>
      </c>
      <c r="U835" s="5" t="inlineStr"/>
      <c r="V835" s="5" t="inlineStr"/>
      <c r="W835" s="5" t="inlineStr">
        <is>
          <t>Vivo Travel Américas; 70 GB de franquia + 10 GB de bônus</t>
        </is>
      </c>
      <c r="X835" s="5" t="inlineStr">
        <is>
          <t>700 Mega de Vivo Fibra</t>
        </is>
      </c>
      <c r="Y835" s="5" t="inlineStr">
        <is>
          <t>https://vivo.com.br/para-voce/produtos-e-servicos/combos/vivo-total</t>
        </is>
      </c>
      <c r="Z835" s="5" t="inlineStr">
        <is>
          <t>data/raw/vivo_convergent_total_SP.html</t>
        </is>
      </c>
    </row>
    <row r="836">
      <c r="A836" s="2" t="inlineStr">
        <is>
          <t>2026-09-05</t>
        </is>
      </c>
      <c r="B836" s="2" t="inlineStr">
        <is>
          <t>2026-09-05T19:37:33</t>
        </is>
      </c>
      <c r="C836" s="2" t="inlineStr">
        <is>
          <t>vivo</t>
        </is>
      </c>
      <c r="D836" s="2" t="inlineStr">
        <is>
          <t>SP</t>
        </is>
      </c>
      <c r="E836" s="2" t="inlineStr">
        <is>
          <t>Vivo Total Ultra + TV</t>
        </is>
      </c>
      <c r="F836" s="2" t="inlineStr">
        <is>
          <t>vivo:VIV202604031882-9-305-313-316-408-411-426-430-442</t>
        </is>
      </c>
      <c r="G836" s="3" t="n">
        <v>310</v>
      </c>
      <c r="H836" s="3" t="inlineStr"/>
      <c r="I836" s="2" t="inlineStr"/>
      <c r="J836" s="2" t="inlineStr"/>
      <c r="K836" s="2" t="inlineStr">
        <is>
          <t>instalação grátis mediante fidelização (não afeta a mensalidade)</t>
        </is>
      </c>
      <c r="L836" s="2" t="inlineStr">
        <is>
          <t>mobile+broadband+tv</t>
        </is>
      </c>
      <c r="M836" s="2" t="inlineStr">
        <is>
          <t>Fiber + Mobile + TV</t>
        </is>
      </c>
      <c r="N836" s="2" t="b">
        <v>1</v>
      </c>
      <c r="O836" s="2" t="b">
        <v>1</v>
      </c>
      <c r="P836" s="2" t="b">
        <v>1</v>
      </c>
      <c r="Q836" s="2" t="b">
        <v>0</v>
      </c>
      <c r="R836" s="4" t="n">
        <v>700</v>
      </c>
      <c r="S836" s="4" t="n">
        <v>80</v>
      </c>
      <c r="T836" s="4" t="n">
        <v>1</v>
      </c>
      <c r="U836" s="2" t="inlineStr">
        <is>
          <t>120 canais de Vivo TV Avançado + 1 ponto adicional</t>
        </is>
      </c>
      <c r="V836" s="2" t="inlineStr"/>
      <c r="W836" s="2" t="inlineStr">
        <is>
          <t>Vivo Travel Américas; 70 GB de franquia + 10 GB de bônus</t>
        </is>
      </c>
      <c r="X836" s="2" t="inlineStr">
        <is>
          <t>700 Mega de Vivo Fibra</t>
        </is>
      </c>
      <c r="Y836" s="2" t="inlineStr">
        <is>
          <t>https://vivo.com.br/para-voce/produtos-e-servicos/combos/vivo-total</t>
        </is>
      </c>
      <c r="Z836" s="2" t="inlineStr">
        <is>
          <t>data/raw/vivo_convergent_total_SP.html</t>
        </is>
      </c>
    </row>
    <row r="837">
      <c r="A837" s="5" t="inlineStr">
        <is>
          <t>2026-09-05</t>
        </is>
      </c>
      <c r="B837" s="5" t="inlineStr">
        <is>
          <t>2026-09-05T19:37:33</t>
        </is>
      </c>
      <c r="C837" s="5" t="inlineStr">
        <is>
          <t>vivo</t>
        </is>
      </c>
      <c r="D837" s="5" t="inlineStr">
        <is>
          <t>SP</t>
        </is>
      </c>
      <c r="E837" s="5" t="inlineStr">
        <is>
          <t>Vivo Total Ultra + TV online</t>
        </is>
      </c>
      <c r="F837" s="5" t="inlineStr">
        <is>
          <t>vivo:VIV202604032034-305-313-316-336-408-411-426-430-442</t>
        </is>
      </c>
      <c r="G837" s="6" t="n">
        <v>210</v>
      </c>
      <c r="H837" s="6" t="inlineStr"/>
      <c r="I837" s="5" t="inlineStr"/>
      <c r="J837" s="5" t="inlineStr"/>
      <c r="K837" s="5" t="inlineStr">
        <is>
          <t>instalação grátis mediante fidelização (não afeta a mensalidade)</t>
        </is>
      </c>
      <c r="L837" s="5" t="inlineStr">
        <is>
          <t>mobile+broadband+tv</t>
        </is>
      </c>
      <c r="M837" s="5" t="inlineStr">
        <is>
          <t>Fiber + Mobile + TV</t>
        </is>
      </c>
      <c r="N837" s="5" t="b">
        <v>1</v>
      </c>
      <c r="O837" s="5" t="b">
        <v>1</v>
      </c>
      <c r="P837" s="5" t="b">
        <v>1</v>
      </c>
      <c r="Q837" s="5" t="b">
        <v>0</v>
      </c>
      <c r="R837" s="7" t="n">
        <v>700</v>
      </c>
      <c r="S837" s="7" t="n">
        <v>80</v>
      </c>
      <c r="T837" s="7" t="n">
        <v>1</v>
      </c>
      <c r="U837" s="5" t="inlineStr">
        <is>
          <t>80 canais de Vivo Estendido</t>
        </is>
      </c>
      <c r="V837" s="5" t="inlineStr"/>
      <c r="W837" s="5" t="inlineStr">
        <is>
          <t>Vivo Travel Américas; 70 GB de franquia + 10 GB de bônus</t>
        </is>
      </c>
      <c r="X837" s="5" t="inlineStr">
        <is>
          <t>700 Mega de Vivo Fibra</t>
        </is>
      </c>
      <c r="Y837" s="5" t="inlineStr">
        <is>
          <t>https://vivo.com.br/para-voce/produtos-e-servicos/combos/vivo-total</t>
        </is>
      </c>
      <c r="Z837" s="5" t="inlineStr">
        <is>
          <t>data/raw/vivo_convergent_total_SP.html</t>
        </is>
      </c>
    </row>
    <row r="838">
      <c r="A838" s="2" t="inlineStr">
        <is>
          <t>2026-09-05</t>
        </is>
      </c>
      <c r="B838" s="2" t="inlineStr">
        <is>
          <t>2026-09-05T19:37:33</t>
        </is>
      </c>
      <c r="C838" s="2" t="inlineStr">
        <is>
          <t>vivo</t>
        </is>
      </c>
      <c r="D838" s="2" t="inlineStr">
        <is>
          <t>SP</t>
        </is>
      </c>
      <c r="E838" s="2" t="inlineStr">
        <is>
          <t>Vivo Total V 1 Giga</t>
        </is>
      </c>
      <c r="F838" s="2" t="inlineStr">
        <is>
          <t>vivo:VIV202604032532-2-305-316-408-426-430-442</t>
        </is>
      </c>
      <c r="G838" s="3" t="n">
        <v>1200</v>
      </c>
      <c r="H838" s="3" t="inlineStr"/>
      <c r="I838" s="2" t="inlineStr"/>
      <c r="J838" s="2" t="inlineStr"/>
      <c r="K838" s="2" t="inlineStr">
        <is>
          <t>instalação grátis mediante fidelização (não afeta a mensalidade)</t>
        </is>
      </c>
      <c r="L838" s="2" t="inlineStr">
        <is>
          <t>mobile+broadband+tv</t>
        </is>
      </c>
      <c r="M838" s="2" t="inlineStr">
        <is>
          <t>Fiber + Mobile + TV</t>
        </is>
      </c>
      <c r="N838" s="2" t="b">
        <v>1</v>
      </c>
      <c r="O838" s="2" t="b">
        <v>1</v>
      </c>
      <c r="P838" s="2" t="b">
        <v>1</v>
      </c>
      <c r="Q838" s="2" t="b">
        <v>0</v>
      </c>
      <c r="R838" s="4" t="n">
        <v>1000</v>
      </c>
      <c r="S838" s="4" t="n">
        <v>600</v>
      </c>
      <c r="T838" s="4" t="n">
        <v>11</v>
      </c>
      <c r="U838" s="2" t="inlineStr">
        <is>
          <t>Vivo TV Completo com HBO Max e Telecine</t>
        </is>
      </c>
      <c r="V838" s="2" t="inlineStr"/>
      <c r="W838" s="2" t="inlineStr">
        <is>
          <t>Vivo Travel Mundo; 10 linhas adicionais inclusas; Vivo TV Completo com HBO Max e Telecine</t>
        </is>
      </c>
      <c r="X838" s="2" t="inlineStr">
        <is>
          <t>1Giga de Vivo Fibra</t>
        </is>
      </c>
      <c r="Y838" s="2" t="inlineStr">
        <is>
          <t>https://vivo.com.br/para-voce/produtos-e-servicos/combos/vivo-total</t>
        </is>
      </c>
      <c r="Z838" s="2" t="inlineStr">
        <is>
          <t>data/raw/vivo_convergent_total_SP.html</t>
        </is>
      </c>
    </row>
  </sheetData>
  <autoFilter ref="A1:Z83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5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3">
      <c r="A33" s="12" t="n">
        <v>46270</v>
      </c>
      <c r="B33" s="3">
        <f>IFERROR(IF(_xlfn.MINIFS(convergent_history!$G:$G,convergent_history!$C:$C,"tim",convergent_history!$M:$M,"Fiber + Mobile",convergent_history!$A:$A,YEAR($A33)&amp;"-"&amp;TEXT(MONTH($A33),"00")&amp;"-"&amp;TEXT(DAY($A33),"00"))=0,"",_xlfn.MINIFS(convergent_history!$G:$G,convergent_history!$C:$C,"tim",convergent_history!$M:$M,"Fiber + Mobile",convergent_history!$A:$A,YEAR($A33)&amp;"-"&amp;TEXT(MONTH($A33),"00")&amp;"-"&amp;TEXT(DAY($A33),"00"))),"")</f>
        <v>89.99</v>
      </c>
      <c r="C33" s="3">
        <f>IFERROR(IF(_xlfn.MINIFS(convergent_history!$G:$G,convergent_history!$C:$C,"vivo",convergent_history!$M:$M,"Fiber + Mobile",convergent_history!$A:$A,YEAR($A33)&amp;"-"&amp;TEXT(MONTH($A33),"00")&amp;"-"&amp;TEXT(DAY($A33),"00"))=0,"",_xlfn.MINIFS(convergent_history!$G:$G,convergent_history!$C:$C,"vivo",convergent_history!$M:$M,"Fiber + Mobile",convergent_history!$A:$A,YEAR($A33)&amp;"-"&amp;TEXT(MONTH($A33),"00")&amp;"-"&amp;TEXT(DAY($A33),"00"))),"")</f>
        <v>160</v>
      </c>
      <c r="D33" s="3">
        <f>IFERROR(IF(_xlfn.MINIFS(convergent_history!$G:$G,convergent_history!$C:$C,"claro",convergent_history!$M:$M,"Fiber + Mobile",convergent_history!$A:$A,YEAR($A33)&amp;"-"&amp;TEXT(MONTH($A33),"00")&amp;"-"&amp;TEXT(DAY($A33),"00"))=0,"",_xlfn.MINIFS(convergent_history!$G:$G,convergent_history!$C:$C,"claro",convergent_history!$M:$M,"Fiber + Mobile",convergent_history!$A:$A,YEAR($A33)&amp;"-"&amp;TEXT(MONTH($A33),"00")&amp;"-"&amp;TEXT(DAY($A33),"00"))),"")</f>
        <v>129.8</v>
      </c>
    </row>
    <row r="35">
      <c r="A35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3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2026-09-05T22:40:13Z</dcterms:created>
  <dcterms:modified xsi:type="dcterms:W3CDTF">2026-09-05T22:40:19Z</dcterms:modified>
</cp:coreProperties>
</file>