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'history'!$A$1:$V$2109</definedName>
    <definedName name="_xlnm._FilterDatabase" localSheetId="1" hidden="1">'latest'!$A$1:$V$58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'comparison'!$A$3:$A$40</f>
            </numRef>
          </cat>
          <val>
            <numRef>
              <f>'comparison'!$B$3:$B$40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'comparison'!$A$3:$A$40</f>
            </numRef>
          </cat>
          <val>
            <numRef>
              <f>'comparison'!$C$3:$C$40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'comparison'!$A$3:$A$40</f>
            </numRef>
          </cat>
          <val>
            <numRef>
              <f>'comparison'!$D$3:$D$40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'comparison'!$A$3:$A$40</f>
            </numRef>
          </cat>
          <val>
            <numRef>
              <f>'comparison'!$E$3:$E$40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'comparison'!$A$3:$A$40</f>
            </numRef>
          </cat>
          <val>
            <numRef>
              <f>'comparison'!$F$3:$F$40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'comparison'!$A$3:$A$40</f>
            </numRef>
          </cat>
          <val>
            <numRef>
              <f>'comparison'!$G$3:$G$40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'comparison'!$A$3:$A$40</f>
            </numRef>
          </cat>
          <val>
            <numRef>
              <f>'comparison'!$H$3:$H$40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'comparison'!$A$3:$A$40</f>
            </numRef>
          </cat>
          <val>
            <numRef>
              <f>'comparison'!$I$3:$I$40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'comparison'!$A$3:$A$40</f>
            </numRef>
          </cat>
          <val>
            <numRef>
              <f>'comparison'!$J$3:$J$40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'comparison'!$A$3:$A$40</f>
            </numRef>
          </cat>
          <val>
            <numRef>
              <f>'comparison'!$K$3:$K$40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'comparison'!$A$3:$A$40</f>
            </numRef>
          </cat>
          <val>
            <numRef>
              <f>'comparison'!$L$3:$L$40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'comparison'!$A$3:$A$40</f>
            </numRef>
          </cat>
          <val>
            <numRef>
              <f>'comparison'!$M$3:$M$40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210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</sheetData>
  <autoFilter ref="A1:V210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2026-07-29</t>
        </is>
      </c>
      <c r="B2" s="2" t="inlineStr">
        <is>
          <t>2026-07-29T21:57:34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2026-07-29</t>
        </is>
      </c>
      <c r="B3" s="5" t="inlineStr">
        <is>
          <t>2026-07-29T21:57:34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Pais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2026-07-29</t>
        </is>
      </c>
      <c r="B4" s="2" t="inlineStr">
        <is>
          <t>2026-07-29T21:57:34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2026-07-29</t>
        </is>
      </c>
      <c r="B5" s="5" t="inlineStr">
        <is>
          <t>2026-07-29T21:57:34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2026-07-29</t>
        </is>
      </c>
      <c r="B6" s="2" t="inlineStr">
        <is>
          <t>2026-07-29T21:57:34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2026-07-29</t>
        </is>
      </c>
      <c r="B7" s="5" t="inlineStr">
        <is>
          <t>2026-07-29T21:57:34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2026-07-29</t>
        </is>
      </c>
      <c r="B8" s="2" t="inlineStr">
        <is>
          <t>2026-07-29T21:57:34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2026-07-29</t>
        </is>
      </c>
      <c r="B9" s="5" t="inlineStr">
        <is>
          <t>2026-07-29T21:57:34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2026-07-29</t>
        </is>
      </c>
      <c r="B10" s="2" t="inlineStr">
        <is>
          <t>2026-07-29T21:57:34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2026-07-29</t>
        </is>
      </c>
      <c r="B11" s="5" t="inlineStr">
        <is>
          <t>2026-07-29T21:57:34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2026-07-29</t>
        </is>
      </c>
      <c r="B12" s="2" t="inlineStr">
        <is>
          <t>2026-07-29T21:57:34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2026-07-29</t>
        </is>
      </c>
      <c r="B13" s="5" t="inlineStr">
        <is>
          <t>2026-07-29T21:57:34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2026-07-29</t>
        </is>
      </c>
      <c r="B14" s="2" t="inlineStr">
        <is>
          <t>2026-07-29T21:57:34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2026-07-29</t>
        </is>
      </c>
      <c r="B15" s="5" t="inlineStr">
        <is>
          <t>2026-07-29T21:57:34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2026-07-29</t>
        </is>
      </c>
      <c r="B16" s="2" t="inlineStr">
        <is>
          <t>2026-07-29T21:57:34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2026-07-29</t>
        </is>
      </c>
      <c r="B17" s="5" t="inlineStr">
        <is>
          <t>2026-07-29T21:57:34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2026-07-29</t>
        </is>
      </c>
      <c r="B18" s="2" t="inlineStr">
        <is>
          <t>2026-07-29T21:57:34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2026-07-29</t>
        </is>
      </c>
      <c r="B19" s="5" t="inlineStr">
        <is>
          <t>2026-07-29T21:57:34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2026-07-29</t>
        </is>
      </c>
      <c r="B20" s="2" t="inlineStr">
        <is>
          <t>2026-07-29T21:57:34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2026-07-29</t>
        </is>
      </c>
      <c r="B21" s="5" t="inlineStr">
        <is>
          <t>2026-07-29T21:57:34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Light Express 45GB fs/ro</t>
        </is>
      </c>
      <c r="G21" s="5" t="inlineStr">
        <is>
          <t>tim:167726</t>
        </is>
      </c>
      <c r="H21" s="6" t="n">
        <v>60.99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2026-07-29</t>
        </is>
      </c>
      <c r="B22" s="2" t="inlineStr">
        <is>
          <t>2026-07-29T21:57:34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Premium 55GB fs/ro</t>
        </is>
      </c>
      <c r="G22" s="2" t="inlineStr">
        <is>
          <t>tim:167041</t>
        </is>
      </c>
      <c r="H22" s="3" t="n">
        <v>84.98999999999999</v>
      </c>
      <c r="I22" s="3" t="inlineStr"/>
      <c r="J22" s="2" t="inlineStr"/>
      <c r="K22" s="2" t="inlineStr"/>
      <c r="L22" s="4" t="n">
        <v>55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2026-07-29</t>
        </is>
      </c>
      <c r="B23" s="5" t="inlineStr">
        <is>
          <t>2026-07-29T21:57:34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Pro Express 46GB fs/ro</t>
        </is>
      </c>
      <c r="G23" s="5" t="inlineStr">
        <is>
          <t>tim:167731</t>
        </is>
      </c>
      <c r="H23" s="6" t="n">
        <v>64.98999999999999</v>
      </c>
      <c r="I23" s="6" t="inlineStr"/>
      <c r="J23" s="5" t="inlineStr"/>
      <c r="K23" s="5" t="inlineStr"/>
      <c r="L23" s="7" t="n">
        <v>46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2026-07-29</t>
        </is>
      </c>
      <c r="B24" s="2" t="inlineStr">
        <is>
          <t>2026-07-29T21:57:34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Redes Sociais 46GB fs/ro</t>
        </is>
      </c>
      <c r="G24" s="2" t="inlineStr">
        <is>
          <t>tim:167031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2026-07-29</t>
        </is>
      </c>
      <c r="B25" s="5" t="inlineStr">
        <is>
          <t>2026-07-29T21:57:34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Smart 45GB fs/ro</t>
        </is>
      </c>
      <c r="G25" s="5" t="inlineStr">
        <is>
          <t>tim:167036</t>
        </is>
      </c>
      <c r="H25" s="6" t="n">
        <v>58.99</v>
      </c>
      <c r="I25" s="6" t="inlineStr"/>
      <c r="J25" s="5" t="inlineStr"/>
      <c r="K25" s="5" t="inlineStr"/>
      <c r="L25" s="7" t="n">
        <v>45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2026-07-29</t>
        </is>
      </c>
      <c r="B26" s="2" t="inlineStr">
        <is>
          <t>2026-07-29T21:57:34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</t>
        </is>
      </c>
      <c r="G26" s="2" t="inlineStr">
        <is>
          <t>tim:TIM202600000271</t>
        </is>
      </c>
      <c r="H26" s="3" t="n">
        <v>30</v>
      </c>
      <c r="I26" s="3" t="inlineStr"/>
      <c r="J26" s="2" t="inlineStr">
        <is>
          <t>plano anual 12x no cartão de crédito; prazo de permanência 12m</t>
        </is>
      </c>
      <c r="K26" s="2" t="inlineStr">
        <is>
          <t>credit_card</t>
        </is>
      </c>
      <c r="L26" s="4" t="n">
        <v>30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2026-07-29</t>
        </is>
      </c>
      <c r="B27" s="5" t="inlineStr">
        <is>
          <t>2026-07-29T21:57:34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Mensal</t>
        </is>
      </c>
      <c r="G27" s="5" t="inlineStr">
        <is>
          <t>tim:TIM202600000270</t>
        </is>
      </c>
      <c r="H27" s="6" t="n">
        <v>35</v>
      </c>
      <c r="I27" s="6" t="inlineStr"/>
      <c r="J27" s="5" t="inlineStr">
        <is>
          <t>plano mensal, sem prazo de permanência</t>
        </is>
      </c>
      <c r="K27" s="5" t="inlineStr"/>
      <c r="L27" s="7" t="n">
        <v>20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2026-07-29</t>
        </is>
      </c>
      <c r="B28" s="2" t="inlineStr">
        <is>
          <t>2026-07-29T21:57:34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70GB</t>
        </is>
      </c>
      <c r="G28" s="2" t="inlineStr">
        <is>
          <t>tim:54206</t>
        </is>
      </c>
      <c r="H28" s="3" t="n">
        <v>129.99</v>
      </c>
      <c r="I28" s="3" t="inlineStr"/>
      <c r="J28" s="2" t="inlineStr"/>
      <c r="K28" s="2" t="inlineStr">
        <is>
          <t>bill</t>
        </is>
      </c>
      <c r="L28" s="4" t="n">
        <v>70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2026-07-29</t>
        </is>
      </c>
      <c r="B29" s="5" t="inlineStr">
        <is>
          <t>2026-07-29T21:57:34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A Express 67GB</t>
        </is>
      </c>
      <c r="G29" s="5" t="inlineStr">
        <is>
          <t>tim:55121</t>
        </is>
      </c>
      <c r="H29" s="6" t="n">
        <v>119.99</v>
      </c>
      <c r="I29" s="6" t="inlineStr"/>
      <c r="J29" s="5" t="inlineStr"/>
      <c r="K29" s="5" t="inlineStr">
        <is>
          <t>credit_card</t>
        </is>
      </c>
      <c r="L29" s="7" t="n">
        <v>67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2026-07-29</t>
        </is>
      </c>
      <c r="B30" s="2" t="inlineStr">
        <is>
          <t>2026-07-29T21:57:34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B Express 82GB</t>
        </is>
      </c>
      <c r="G30" s="2" t="inlineStr">
        <is>
          <t>tim:52146</t>
        </is>
      </c>
      <c r="H30" s="3" t="n">
        <v>144.99</v>
      </c>
      <c r="I30" s="3" t="inlineStr"/>
      <c r="J30" s="2" t="inlineStr"/>
      <c r="K30" s="2" t="inlineStr">
        <is>
          <t>credit_card</t>
        </is>
      </c>
      <c r="L30" s="4" t="n">
        <v>82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2026-07-29</t>
        </is>
      </c>
      <c r="B31" s="5" t="inlineStr">
        <is>
          <t>2026-07-29T21:57:34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C Express 107GB</t>
        </is>
      </c>
      <c r="G31" s="5" t="inlineStr">
        <is>
          <t>tim:52151</t>
        </is>
      </c>
      <c r="H31" s="6" t="n">
        <v>164.99</v>
      </c>
      <c r="I31" s="6" t="inlineStr"/>
      <c r="J31" s="5" t="inlineStr"/>
      <c r="K31" s="5" t="inlineStr">
        <is>
          <t>credit_card</t>
        </is>
      </c>
      <c r="L31" s="7" t="n">
        <v>107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2026-07-29</t>
        </is>
      </c>
      <c r="B32" s="2" t="inlineStr">
        <is>
          <t>2026-07-29T21:57:34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Ultra 95GB</t>
        </is>
      </c>
      <c r="G32" s="2" t="inlineStr">
        <is>
          <t>tim:100581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95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2026-07-29</t>
        </is>
      </c>
      <c r="B33" s="5" t="inlineStr">
        <is>
          <t>2026-07-29T21:57:34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2026-07-29</t>
        </is>
      </c>
      <c r="B34" s="2" t="inlineStr">
        <is>
          <t>2026-07-29T21:57:34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2026-07-29</t>
        </is>
      </c>
      <c r="B35" s="5" t="inlineStr">
        <is>
          <t>2026-07-29T21:57:34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2026-07-29</t>
        </is>
      </c>
      <c r="B36" s="2" t="inlineStr">
        <is>
          <t>2026-07-29T21:57:34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2026-07-29</t>
        </is>
      </c>
      <c r="B37" s="5" t="inlineStr">
        <is>
          <t>2026-07-29T21:57:34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2026-07-29</t>
        </is>
      </c>
      <c r="B38" s="2" t="inlineStr">
        <is>
          <t>2026-07-29T21:57:34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vivo:VIV202600030975-46gb</t>
        </is>
      </c>
      <c r="H38" s="3" t="n">
        <v>59</v>
      </c>
      <c r="I38" s="3" t="inlineStr"/>
      <c r="J38" s="2" t="inlineStr"/>
      <c r="K38" s="2" t="inlineStr"/>
      <c r="L38" s="4" t="n">
        <v>46</v>
      </c>
      <c r="M38" s="2" t="inlineStr">
        <is>
          <t>15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2 meses de YouTube sem consumo no plano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2026-07-29</t>
        </is>
      </c>
      <c r="B39" s="5" t="inlineStr">
        <is>
          <t>2026-07-29T21:57:34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vivo:VIV202600030945-61gb</t>
        </is>
      </c>
      <c r="H39" s="6" t="n">
        <v>80</v>
      </c>
      <c r="I39" s="6" t="inlineStr"/>
      <c r="J39" s="5" t="inlineStr"/>
      <c r="K39" s="5" t="inlineStr"/>
      <c r="L39" s="7" t="n">
        <v>61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2 meses de YouTube sem consumo no plano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2026-07-29</t>
        </is>
      </c>
      <c r="B40" s="2" t="inlineStr">
        <is>
          <t>2026-07-29T21:57:34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Educação</t>
        </is>
      </c>
      <c r="G40" s="2" t="inlineStr">
        <is>
          <t>vivo:VIV202600030972-61gb</t>
        </is>
      </c>
      <c r="H40" s="3" t="n">
        <v>90</v>
      </c>
      <c r="I40" s="3" t="inlineStr"/>
      <c r="J40" s="2" t="inlineStr"/>
      <c r="K40" s="2" t="inlineStr"/>
      <c r="L40" s="4" t="n">
        <v>61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Vivae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2026-07-29</t>
        </is>
      </c>
      <c r="B41" s="5" t="inlineStr">
        <is>
          <t>2026-07-29T21:57:34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Entretenimento</t>
        </is>
      </c>
      <c r="G41" s="5" t="inlineStr">
        <is>
          <t>vivo:VIV202600030939-61gb</t>
        </is>
      </c>
      <c r="H41" s="6" t="n">
        <v>110</v>
      </c>
      <c r="I41" s="6" t="inlineStr"/>
      <c r="J41" s="5" t="inlineStr"/>
      <c r="K41" s="5" t="inlineStr"/>
      <c r="L41" s="7" t="n">
        <v>61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Vivo TV Inicial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2026-07-29</t>
        </is>
      </c>
      <c r="B42" s="2" t="inlineStr">
        <is>
          <t>2026-07-29T21:57:34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Música</t>
        </is>
      </c>
      <c r="G42" s="2" t="inlineStr">
        <is>
          <t>vivo:VIV202600030980-61gb</t>
        </is>
      </c>
      <c r="H42" s="3" t="n">
        <v>90</v>
      </c>
      <c r="I42" s="3" t="inlineStr"/>
      <c r="J42" s="2" t="inlineStr"/>
      <c r="K42" s="2" t="inlineStr"/>
      <c r="L42" s="4" t="n">
        <v>61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Apple Music Individual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2026-07-29</t>
        </is>
      </c>
      <c r="B43" s="5" t="inlineStr">
        <is>
          <t>2026-07-29T21:57:34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Netflix</t>
        </is>
      </c>
      <c r="G43" s="5" t="inlineStr">
        <is>
          <t>vivo:VIV202600030938-61gb</t>
        </is>
      </c>
      <c r="H43" s="6" t="n">
        <v>95</v>
      </c>
      <c r="I43" s="6" t="inlineStr"/>
      <c r="J43" s="5" t="inlineStr"/>
      <c r="K43" s="5" t="inlineStr"/>
      <c r="L43" s="7" t="n">
        <v>61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Netflix Padrão com anúncios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2026-07-29</t>
        </is>
      </c>
      <c r="B44" s="2" t="inlineStr">
        <is>
          <t>2026-07-29T21:57:34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Saúde</t>
        </is>
      </c>
      <c r="G44" s="2" t="inlineStr">
        <is>
          <t>vivo:VIV202600030944-61gb</t>
        </is>
      </c>
      <c r="H44" s="3" t="n">
        <v>90</v>
      </c>
      <c r="I44" s="3" t="inlineStr"/>
      <c r="J44" s="2" t="inlineStr"/>
      <c r="K44" s="2" t="inlineStr"/>
      <c r="L44" s="4" t="n">
        <v>61</v>
      </c>
      <c r="M44" s="2" t="inlineStr">
        <is>
          <t>20 GB de franquia 31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Vale Saúde Sempre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2026-07-29</t>
        </is>
      </c>
      <c r="B45" s="5" t="inlineStr">
        <is>
          <t>2026-07-29T21:57:34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vivo:VIV202600032594-30gb</t>
        </is>
      </c>
      <c r="H45" s="6" t="n">
        <v>45</v>
      </c>
      <c r="I45" s="6" t="n">
        <v>30</v>
      </c>
      <c r="J45" s="5" t="inlineStr">
        <is>
          <t>preço sem fidelidade; fidelidade 12m no promo</t>
        </is>
      </c>
      <c r="K45" s="5" t="inlineStr"/>
      <c r="L45" s="7" t="n">
        <v>30</v>
      </c>
      <c r="M45" s="5" t="inlineStr">
        <is>
          <t>30 GB de franquia</t>
        </is>
      </c>
      <c r="N45" s="5" t="inlineStr"/>
      <c r="O45" s="5" t="inlineStr"/>
      <c r="P45" s="5" t="inlineStr"/>
      <c r="Q45" s="5" t="inlineStr"/>
      <c r="R45" s="5" t="inlineStr"/>
      <c r="S45" s="5" t="n">
        <v>12</v>
      </c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2026-07-29</t>
        </is>
      </c>
      <c r="B46" s="2" t="inlineStr">
        <is>
          <t>2026-07-29T21:57:34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Easy Lite</t>
        </is>
      </c>
      <c r="G46" s="2" t="inlineStr">
        <is>
          <t>vivo:VIV202600032596-40gb</t>
        </is>
      </c>
      <c r="H46" s="3" t="n">
        <v>55</v>
      </c>
      <c r="I46" s="3" t="n">
        <v>40</v>
      </c>
      <c r="J46" s="2" t="inlineStr">
        <is>
          <t>preço sem fidelidade; fidelidade 12m no promo</t>
        </is>
      </c>
      <c r="K46" s="2" t="inlineStr"/>
      <c r="L46" s="4" t="n">
        <v>40</v>
      </c>
      <c r="M46" s="2" t="inlineStr">
        <is>
          <t>40 GB de franquia</t>
        </is>
      </c>
      <c r="N46" s="2" t="inlineStr"/>
      <c r="O46" s="2" t="inlineStr"/>
      <c r="P46" s="2" t="inlineStr"/>
      <c r="Q46" s="2" t="inlineStr"/>
      <c r="R46" s="2" t="inlineStr"/>
      <c r="S46" s="2" t="n">
        <v>12</v>
      </c>
      <c r="T46" s="2" t="inlineStr">
        <is>
          <t>2 meses de YouTube sem consumo no plano</t>
        </is>
      </c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2026-07-29</t>
        </is>
      </c>
      <c r="B47" s="5" t="inlineStr">
        <is>
          <t>2026-07-29T21:57:34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Easy Lite</t>
        </is>
      </c>
      <c r="G47" s="5" t="inlineStr">
        <is>
          <t>vivo:VIV202600032599-20gb</t>
        </is>
      </c>
      <c r="H47" s="6" t="n">
        <v>35</v>
      </c>
      <c r="I47" s="6" t="inlineStr"/>
      <c r="J47" s="5" t="inlineStr"/>
      <c r="K47" s="5" t="inlineStr"/>
      <c r="L47" s="7" t="n">
        <v>20</v>
      </c>
      <c r="M47" s="5" t="inlineStr">
        <is>
          <t>20 GB de franquia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2026-07-29</t>
        </is>
      </c>
      <c r="B48" s="2" t="inlineStr">
        <is>
          <t>2026-07-29T21:57:34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Amazon</t>
        </is>
      </c>
      <c r="G48" s="2" t="inlineStr">
        <is>
          <t>vivo:VIV202600030935-60gb</t>
        </is>
      </c>
      <c r="H48" s="3" t="n">
        <v>150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Assinatura Amazon Prime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2026-07-29</t>
        </is>
      </c>
      <c r="B49" s="5" t="inlineStr">
        <is>
          <t>2026-07-29T21:57:34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Disney+</t>
        </is>
      </c>
      <c r="G49" s="5" t="inlineStr">
        <is>
          <t>vivo:VIV202600030937-60gb</t>
        </is>
      </c>
      <c r="H49" s="6" t="n">
        <v>180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Disney+</t>
        </is>
      </c>
      <c r="S49" s="5" t="inlineStr"/>
      <c r="T49" s="5" t="inlineStr">
        <is>
          <t>Assinatura Disney+ Padrão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2026-07-29</t>
        </is>
      </c>
      <c r="B50" s="2" t="inlineStr">
        <is>
          <t>2026-07-29T21:57:34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Globoplay</t>
        </is>
      </c>
      <c r="G50" s="2" t="inlineStr">
        <is>
          <t>vivo:VIV202600030870-60gb</t>
        </is>
      </c>
      <c r="H50" s="3" t="n">
        <v>165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Globoplay</t>
        </is>
      </c>
      <c r="S50" s="2" t="inlineStr"/>
      <c r="T50" s="2" t="inlineStr">
        <is>
          <t>Assinatura Globoplay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2026-07-29</t>
        </is>
      </c>
      <c r="B51" s="5" t="inlineStr">
        <is>
          <t>2026-07-29T21:57:34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Netflix</t>
        </is>
      </c>
      <c r="G51" s="5" t="inlineStr">
        <is>
          <t>vivo:VIV202600030882-60gb</t>
        </is>
      </c>
      <c r="H51" s="6" t="n">
        <v>180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Netflix</t>
        </is>
      </c>
      <c r="S51" s="5" t="inlineStr"/>
      <c r="T51" s="5" t="inlineStr">
        <is>
          <t>Assinatura Netflix Padrão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2026-07-29</t>
        </is>
      </c>
      <c r="B52" s="2" t="inlineStr">
        <is>
          <t>2026-07-29T21:57:34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Premiere</t>
        </is>
      </c>
      <c r="G52" s="2" t="inlineStr">
        <is>
          <t>vivo:VIV202600030867-60gb</t>
        </is>
      </c>
      <c r="H52" s="3" t="n">
        <v>180</v>
      </c>
      <c r="I52" s="3" t="inlineStr"/>
      <c r="J52" s="2" t="inlineStr"/>
      <c r="K52" s="2" t="inlineStr"/>
      <c r="L52" s="4" t="n">
        <v>60</v>
      </c>
      <c r="M52" s="2" t="inlineStr">
        <is>
          <t>50 GB de franquia 10 GB de bônus</t>
        </is>
      </c>
      <c r="N52" s="2" t="inlineStr"/>
      <c r="O52" s="2" t="inlineStr"/>
      <c r="P52" s="2" t="inlineStr"/>
      <c r="Q52" s="2" t="inlineStr"/>
      <c r="R52" s="2" t="inlineStr">
        <is>
          <t>Premiere</t>
        </is>
      </c>
      <c r="S52" s="2" t="inlineStr"/>
      <c r="T52" s="2" t="inlineStr">
        <is>
          <t>Assinatura Premiere inclusa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2026-07-29</t>
        </is>
      </c>
      <c r="B53" s="5" t="inlineStr">
        <is>
          <t>2026-07-29T21:57:34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Spotify</t>
        </is>
      </c>
      <c r="G53" s="5" t="inlineStr">
        <is>
          <t>vivo:VIV202600030888-60gb</t>
        </is>
      </c>
      <c r="H53" s="6" t="n">
        <v>165</v>
      </c>
      <c r="I53" s="6" t="inlineStr"/>
      <c r="J53" s="5" t="inlineStr"/>
      <c r="K53" s="5" t="inlineStr"/>
      <c r="L53" s="7" t="n">
        <v>60</v>
      </c>
      <c r="M53" s="5" t="inlineStr">
        <is>
          <t>50 GB de franquia 10 GB de bônus</t>
        </is>
      </c>
      <c r="N53" s="5" t="inlineStr"/>
      <c r="O53" s="5" t="inlineStr"/>
      <c r="P53" s="5" t="inlineStr"/>
      <c r="Q53" s="5" t="inlineStr"/>
      <c r="R53" s="5" t="inlineStr">
        <is>
          <t>Spotify</t>
        </is>
      </c>
      <c r="S53" s="5" t="inlineStr"/>
      <c r="T53" s="5" t="inlineStr">
        <is>
          <t>Assinatura Spotify Premium inclusa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2026-07-29</t>
        </is>
      </c>
      <c r="B54" s="2" t="inlineStr">
        <is>
          <t>2026-07-29T21:57:34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Travel</t>
        </is>
      </c>
      <c r="G54" s="2" t="inlineStr">
        <is>
          <t>vivo:VIV202600030894-70gb</t>
        </is>
      </c>
      <c r="H54" s="3" t="n">
        <v>215</v>
      </c>
      <c r="I54" s="3" t="inlineStr"/>
      <c r="J54" s="2" t="inlineStr"/>
      <c r="K54" s="2" t="inlineStr"/>
      <c r="L54" s="4" t="n">
        <v>70</v>
      </c>
      <c r="M54" s="2" t="inlineStr">
        <is>
          <t>60 GB de franquia 10 GB de bônus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2026-07-29</t>
        </is>
      </c>
      <c r="B55" s="5" t="inlineStr">
        <is>
          <t>2026-07-29T21:57:34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vivo:VIV202600029370-25gb</t>
        </is>
      </c>
      <c r="H55" s="6" t="n">
        <v>30</v>
      </c>
      <c r="I55" s="6" t="inlineStr"/>
      <c r="J55" s="5" t="inlineStr"/>
      <c r="K55" s="5" t="inlineStr"/>
      <c r="L55" s="7" t="n">
        <v>25</v>
      </c>
      <c r="M55" s="5" t="inlineStr">
        <is>
          <t>15 GB para navegar como quiser 5 GB de bônus 5 GB para navegar no Youtube</t>
        </is>
      </c>
      <c r="N55" s="5" t="n">
        <v>30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2026-07-29</t>
        </is>
      </c>
      <c r="B56" s="2" t="inlineStr">
        <is>
          <t>2026-07-29T21:57:34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vivo:VIV202600029370-9gb</t>
        </is>
      </c>
      <c r="H56" s="3" t="n">
        <v>25</v>
      </c>
      <c r="I56" s="3" t="inlineStr"/>
      <c r="J56" s="2" t="inlineStr"/>
      <c r="K56" s="2" t="inlineStr"/>
      <c r="L56" s="4" t="n">
        <v>9</v>
      </c>
      <c r="M56" s="2" t="inlineStr">
        <is>
          <t>6 GB para navegar como quiser 3 GB para navegar no YouTube</t>
        </is>
      </c>
      <c r="N56" s="2" t="n">
        <v>22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  <row r="57">
      <c r="A57" s="5" t="inlineStr">
        <is>
          <t>2026-07-29</t>
        </is>
      </c>
      <c r="B57" s="5" t="inlineStr">
        <is>
          <t>2026-07-29T21:57:34</t>
        </is>
      </c>
      <c r="C57" s="5" t="inlineStr">
        <is>
          <t>vivo</t>
        </is>
      </c>
      <c r="D57" s="5" t="inlineStr">
        <is>
          <t>prepaid</t>
        </is>
      </c>
      <c r="E57" s="5" t="inlineStr">
        <is>
          <t>SP</t>
        </is>
      </c>
      <c r="F57" s="5" t="inlineStr">
        <is>
          <t>Vivo Pré</t>
        </is>
      </c>
      <c r="G57" s="5" t="inlineStr">
        <is>
          <t>vivo:VIV202600029370-5gb</t>
        </is>
      </c>
      <c r="H57" s="6" t="n">
        <v>20</v>
      </c>
      <c r="I57" s="6" t="inlineStr"/>
      <c r="J57" s="5" t="inlineStr"/>
      <c r="K57" s="5" t="inlineStr"/>
      <c r="L57" s="7" t="n">
        <v>5</v>
      </c>
      <c r="M57" s="5" t="inlineStr">
        <is>
          <t>5 GB para navegar como quiser</t>
        </is>
      </c>
      <c r="N57" s="5" t="n">
        <v>17</v>
      </c>
      <c r="O57" s="5" t="inlineStr"/>
      <c r="P57" s="5" t="inlineStr"/>
      <c r="Q57" s="5" t="inlineStr"/>
      <c r="R57" s="5" t="inlineStr"/>
      <c r="S57" s="5" t="inlineStr"/>
      <c r="T57" s="5" t="inlineStr"/>
      <c r="U57" s="5" t="inlineStr">
        <is>
          <t>https://vivo.com.br/para-voce/produtos-e-servicos/para-o-celular/pre-pago/vivo-pre</t>
        </is>
      </c>
      <c r="V57" s="5" t="inlineStr">
        <is>
          <t>data/raw/vivo_prepaid_SP.html</t>
        </is>
      </c>
    </row>
    <row r="58">
      <c r="A58" s="2" t="inlineStr">
        <is>
          <t>2026-07-29</t>
        </is>
      </c>
      <c r="B58" s="2" t="inlineStr">
        <is>
          <t>2026-07-29T21:57:34</t>
        </is>
      </c>
      <c r="C58" s="2" t="inlineStr">
        <is>
          <t>vivo</t>
        </is>
      </c>
      <c r="D58" s="2" t="inlineStr">
        <is>
          <t>prepaid</t>
        </is>
      </c>
      <c r="E58" s="2" t="inlineStr">
        <is>
          <t>SP</t>
        </is>
      </c>
      <c r="F58" s="2" t="inlineStr">
        <is>
          <t>Vivo Pré</t>
        </is>
      </c>
      <c r="G58" s="2" t="inlineStr">
        <is>
          <t>vivo:VIV202600029370-4gb</t>
        </is>
      </c>
      <c r="H58" s="3" t="n">
        <v>17</v>
      </c>
      <c r="I58" s="3" t="inlineStr"/>
      <c r="J58" s="2" t="inlineStr"/>
      <c r="K58" s="2" t="inlineStr"/>
      <c r="L58" s="4" t="n">
        <v>4</v>
      </c>
      <c r="M58" s="2" t="inlineStr">
        <is>
          <t>4 GB para navegar como quiser</t>
        </is>
      </c>
      <c r="N58" s="2" t="n">
        <v>15</v>
      </c>
      <c r="O58" s="2" t="inlineStr"/>
      <c r="P58" s="2" t="inlineStr"/>
      <c r="Q58" s="2" t="inlineStr"/>
      <c r="R58" s="2" t="inlineStr"/>
      <c r="S58" s="2" t="inlineStr"/>
      <c r="T58" s="2" t="inlineStr"/>
      <c r="U58" s="2" t="inlineStr">
        <is>
          <t>https://vivo.com.br/para-voce/produtos-e-servicos/para-o-celular/pre-pago/vivo-pre</t>
        </is>
      </c>
      <c r="V58" s="2" t="inlineStr">
        <is>
          <t>data/raw/vivo_prepaid_SP.html</t>
        </is>
      </c>
    </row>
  </sheetData>
  <autoFilter ref="A1:V58"/>
  <conditionalFormatting sqref="H2:H5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8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2026-07-29T21:57:34</t>
        </is>
      </c>
    </row>
    <row r="4">
      <c r="A4" s="9" t="inlineStr">
        <is>
          <t>Latest snapshot</t>
        </is>
      </c>
      <c r="B4" s="2" t="inlineStr">
        <is>
          <t>2026-07-29</t>
        </is>
      </c>
    </row>
    <row r="5">
      <c r="A5" s="9" t="inlineStr">
        <is>
          <t>Plans in latest</t>
        </is>
      </c>
      <c r="B5" s="2" t="n">
        <v>57</v>
      </c>
    </row>
    <row r="6">
      <c r="A6" s="9" t="inlineStr">
        <is>
          <t>Snapshots in history</t>
        </is>
      </c>
      <c r="B6" s="2" t="n">
        <v>38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21</v>
      </c>
      <c r="C9" s="10">
        <f>IFERROR(_xlfn.MINIFS(latest!$H$2:$H$2000,latest!$C$2:$C$2000,$A$9),"-")</f>
        <v>17</v>
      </c>
      <c r="D9" s="10">
        <f>IFERROR(AVERAGEIFS(latest!$H$2:$H$2000,latest!$C$2:$C$2000,$A$9),"-")</f>
        <v>98.86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88.52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43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2">
      <c r="A42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43">
      <c r="A43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40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40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40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40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IF('comparison'!B40="",NA(),'comparison'!B40)</f>
        <v/>
      </c>
      <c r="R38" s="10">
        <f>IF('comparison'!C40="",NA(),'comparison'!C40)</f>
        <v/>
      </c>
      <c r="S38" s="10">
        <f>IF('comparison'!D40="",NA(),'comparison'!D40)</f>
        <v/>
      </c>
    </row>
    <row r="39">
      <c r="P39" s="2" t="inlineStr">
        <is>
          <t>Post</t>
        </is>
      </c>
      <c r="Q39" s="10">
        <f>IF('comparison'!E40="",NA(),'comparison'!E40)</f>
        <v/>
      </c>
      <c r="R39" s="10">
        <f>IF('comparison'!F40="",NA(),'comparison'!F40)</f>
        <v/>
      </c>
      <c r="S39" s="10">
        <f>IF('comparison'!G40="",NA(),'comparison'!G40)</f>
        <v/>
      </c>
    </row>
    <row r="40">
      <c r="P40" s="2" t="inlineStr">
        <is>
          <t>Pre</t>
        </is>
      </c>
      <c r="Q40" s="10">
        <f>IF('comparison'!H40="",NA(),'comparison'!H40)</f>
        <v/>
      </c>
      <c r="R40" s="10">
        <f>IF('comparison'!I40="",NA(),'comparison'!I40)</f>
        <v/>
      </c>
      <c r="S40" s="10">
        <f>IF('comparison'!J40="",NA(),'comparison'!J40)</f>
        <v/>
      </c>
    </row>
    <row r="41">
      <c r="P41" s="2" t="inlineStr">
        <is>
          <t>Digital</t>
        </is>
      </c>
      <c r="Q41" s="10">
        <f>IF('comparison'!K40="",NA(),'comparison'!K40)</f>
        <v/>
      </c>
      <c r="R41" s="10">
        <f>IF('comparison'!L40="",NA(),'comparison'!L40)</f>
        <v/>
      </c>
      <c r="S41" s="10">
        <f>IF('comparison'!M40="",NA(),'comparison'!M40)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0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Smart 45GB fs/ro (45GB)</t>
        </is>
      </c>
    </row>
    <row r="16">
      <c r="A16" s="5" t="n">
        <v>2</v>
      </c>
      <c r="B16" s="6" t="n">
        <v>80</v>
      </c>
      <c r="C16" s="6" t="n">
        <v>69.90000000000001</v>
      </c>
      <c r="D16" s="6" t="n">
        <v>60.99</v>
      </c>
      <c r="E16" s="5" t="inlineStr">
        <is>
          <t>Vivo Controle (61GB)</t>
        </is>
      </c>
      <c r="F16" s="5" t="inlineStr">
        <is>
          <t>Controle 30GB (30GB)</t>
        </is>
      </c>
      <c r="G16" s="5" t="inlineStr">
        <is>
          <t>TIM Controle Light Express 45GB fs/ro (45GB)</t>
        </is>
      </c>
    </row>
    <row r="17">
      <c r="A17" s="2" t="n">
        <v>3</v>
      </c>
      <c r="B17" s="3" t="n">
        <v>90</v>
      </c>
      <c r="C17" s="3" t="n">
        <v>99.90000000000001</v>
      </c>
      <c r="D17" s="3" t="n">
        <v>64.98999999999999</v>
      </c>
      <c r="E17" s="2" t="inlineStr">
        <is>
          <t>Vivo Controle Educação (61GB)</t>
        </is>
      </c>
      <c r="F17" s="2" t="inlineStr">
        <is>
          <t>Controle 30GB (30GB)</t>
        </is>
      </c>
      <c r="G17" s="2" t="inlineStr">
        <is>
          <t>TIM Controle Pro Express 46GB fs/ro (46GB)</t>
        </is>
      </c>
    </row>
    <row r="18">
      <c r="A18" s="5" t="n">
        <v>4</v>
      </c>
      <c r="B18" s="6" t="n">
        <v>90</v>
      </c>
      <c r="C18" s="15" t="n"/>
      <c r="D18" s="6" t="n">
        <v>64.98999999999999</v>
      </c>
      <c r="E18" s="5" t="inlineStr">
        <is>
          <t>Vivo Controle Música (61GB)</t>
        </is>
      </c>
      <c r="F18" s="15" t="n"/>
      <c r="G18" s="5" t="inlineStr">
        <is>
          <t>TIM Controle Redes Sociais 46GB fs/ro (46GB)</t>
        </is>
      </c>
    </row>
    <row r="19">
      <c r="A19" s="2" t="n">
        <v>5</v>
      </c>
      <c r="B19" s="3" t="n">
        <v>90</v>
      </c>
      <c r="D19" s="3" t="n">
        <v>84.98999999999999</v>
      </c>
      <c r="E19" s="2" t="inlineStr">
        <is>
          <t>Vivo Controle Saúde (61GB)</t>
        </is>
      </c>
      <c r="G19" s="2" t="inlineStr">
        <is>
          <t>TIM Controle Premium 55GB fs/ro (55GB)</t>
        </is>
      </c>
    </row>
    <row r="20">
      <c r="A20" s="5" t="n">
        <v>6</v>
      </c>
      <c r="B20" s="6" t="n">
        <v>95</v>
      </c>
      <c r="C20" s="15" t="n"/>
      <c r="D20" s="15" t="n"/>
      <c r="E20" s="5" t="inlineStr">
        <is>
          <t>Vivo Controle Netflix (61GB)</t>
        </is>
      </c>
      <c r="F20" s="15" t="n"/>
      <c r="G20" s="15" t="n"/>
    </row>
    <row r="21">
      <c r="A21" s="2" t="n">
        <v>7</v>
      </c>
      <c r="B21" s="3" t="n">
        <v>110</v>
      </c>
      <c r="E21" s="2" t="inlineStr">
        <is>
          <t>Vivo Controle Entretenimento (61GB)</t>
        </is>
      </c>
    </row>
    <row r="23">
      <c r="A23" s="14" t="inlineStr">
        <is>
          <t>Prepaid</t>
        </is>
      </c>
    </row>
    <row r="24">
      <c r="A24" s="13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15</v>
      </c>
      <c r="D26" s="3" t="n">
        <v>20</v>
      </c>
      <c r="E26" s="2" t="inlineStr">
        <is>
          <t>Vivo Pré (4GB)</t>
        </is>
      </c>
      <c r="F26" s="2" t="inlineStr">
        <is>
          <t>Prezão 4GB (12 dias) (4GB)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6" t="n">
        <v>15</v>
      </c>
      <c r="D27" s="6" t="n">
        <v>25</v>
      </c>
      <c r="E27" s="5" t="inlineStr">
        <is>
          <t>Vivo Pré (5GB)</t>
        </is>
      </c>
      <c r="F27" s="5" t="inlineStr">
        <is>
          <t>Prezão 5GB (15 dias) (5GB)</t>
        </is>
      </c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C28" s="3" t="n">
        <v>20</v>
      </c>
      <c r="D28" s="3" t="n">
        <v>30</v>
      </c>
      <c r="E28" s="2" t="inlineStr">
        <is>
          <t>Vivo Pré (9GB)</t>
        </is>
      </c>
      <c r="F28" s="2" t="inlineStr">
        <is>
          <t>Prezão 6GB (20 dias) (6GB)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6" t="n">
        <v>20</v>
      </c>
      <c r="D29" s="15" t="n"/>
      <c r="E29" s="5" t="inlineStr">
        <is>
          <t>Vivo Pré (25GB)</t>
        </is>
      </c>
      <c r="F29" s="5" t="inlineStr">
        <is>
          <t>Prezão 8GB (20 dias) (8GB)</t>
        </is>
      </c>
      <c r="G29" s="15" t="n"/>
    </row>
    <row r="30">
      <c r="A30" s="2" t="n">
        <v>5</v>
      </c>
      <c r="C30" s="3" t="n">
        <v>25</v>
      </c>
      <c r="F30" s="2" t="inlineStr">
        <is>
          <t>Prezão 10GB (25 dias) (10GB)</t>
        </is>
      </c>
    </row>
    <row r="31">
      <c r="A31" s="5" t="n">
        <v>6</v>
      </c>
      <c r="B31" s="15" t="n"/>
      <c r="C31" s="6" t="n">
        <v>25</v>
      </c>
      <c r="D31" s="15" t="n"/>
      <c r="E31" s="15" t="n"/>
      <c r="F31" s="5" t="inlineStr">
        <is>
          <t>Prezão 9GB (25 dias) (9GB)</t>
        </is>
      </c>
      <c r="G31" s="15" t="n"/>
    </row>
    <row r="32">
      <c r="A32" s="2" t="n">
        <v>7</v>
      </c>
      <c r="C32" s="3" t="n">
        <v>30</v>
      </c>
      <c r="F32" s="2" t="inlineStr">
        <is>
          <t>Prezão 12GB (30 dias) (12GB)</t>
        </is>
      </c>
    </row>
    <row r="34">
      <c r="A34" s="14" t="inlineStr">
        <is>
          <t>Digital</t>
        </is>
      </c>
    </row>
    <row r="35">
      <c r="A35" s="13" t="inlineStr">
        <is>
          <t>Digital = Vivo Lite + Claro Flex + TIM Fit (#28); entry-level = no-commitment versions.</t>
        </is>
      </c>
    </row>
    <row r="36">
      <c r="A36" s="1" t="inlineStr">
        <is>
          <t>Rank</t>
        </is>
      </c>
      <c r="B36" s="1" t="inlineStr">
        <is>
          <t>Vivo R$</t>
        </is>
      </c>
      <c r="C36" s="1" t="inlineStr">
        <is>
          <t>Claro R$</t>
        </is>
      </c>
      <c r="D36" s="1" t="inlineStr">
        <is>
          <t>TIM R$</t>
        </is>
      </c>
      <c r="E36" s="1" t="inlineStr">
        <is>
          <t>Vivo plan</t>
        </is>
      </c>
      <c r="F36" s="1" t="inlineStr">
        <is>
          <t>Claro plan</t>
        </is>
      </c>
      <c r="G36" s="1" t="inlineStr">
        <is>
          <t>TIM plan</t>
        </is>
      </c>
    </row>
    <row r="37">
      <c r="A37" s="2" t="n">
        <v>1</v>
      </c>
      <c r="B37" s="3" t="n">
        <v>35</v>
      </c>
      <c r="C37" s="3" t="n">
        <v>44.9</v>
      </c>
      <c r="D37" s="3" t="n">
        <v>35</v>
      </c>
      <c r="E37" s="2" t="inlineStr">
        <is>
          <t>Easy Lite (20GB)</t>
        </is>
      </c>
      <c r="F37" s="2" t="inlineStr">
        <is>
          <t>Flex 15GB (15GB)</t>
        </is>
      </c>
      <c r="G37" s="2" t="inlineStr">
        <is>
          <t>TIM Controle Fit Mensal (20GB)</t>
        </is>
      </c>
    </row>
    <row r="38">
      <c r="A38" s="5" t="n">
        <v>2</v>
      </c>
      <c r="B38" s="6" t="n">
        <v>45</v>
      </c>
      <c r="C38" s="6" t="n">
        <v>59.9</v>
      </c>
      <c r="D38" s="15" t="n"/>
      <c r="E38" s="5" t="inlineStr">
        <is>
          <t>Easy Lite (30GB) · promo R$30</t>
        </is>
      </c>
      <c r="F38" s="5" t="inlineStr">
        <is>
          <t>Flex 20GB (20GB)</t>
        </is>
      </c>
      <c r="G38" s="15" t="n"/>
    </row>
    <row r="39">
      <c r="A39" s="2" t="n">
        <v>3</v>
      </c>
      <c r="B39" s="3" t="n">
        <v>55</v>
      </c>
      <c r="C39" s="3" t="n">
        <v>69.90000000000001</v>
      </c>
      <c r="E39" s="2" t="inlineStr">
        <is>
          <t>Easy Lite (40GB) · promo R$40</t>
        </is>
      </c>
      <c r="F39" s="2" t="inlineStr">
        <is>
          <t>Flex 30GB (30GB)</t>
        </is>
      </c>
    </row>
    <row r="40">
      <c r="A40" s="5" t="n">
        <v>4</v>
      </c>
      <c r="B40" s="15" t="n"/>
      <c r="C40" s="6" t="n">
        <v>119.9</v>
      </c>
      <c r="D40" s="15" t="n"/>
      <c r="E40" s="15" t="n"/>
      <c r="F40" s="5" t="inlineStr">
        <is>
          <t>Flex 40GB (40GB)</t>
        </is>
      </c>
      <c r="G40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32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7:D40">
    <cfRule type="expression" priority="7" dxfId="1" stopIfTrue="1">
      <formula>AND(B37&lt;&gt;"",B37=MIN($B37:$D37))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80</v>
      </c>
      <c r="C12" s="6" t="n"/>
      <c r="D12" s="5" t="inlineStr">
        <is>
          <t>61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90</v>
      </c>
      <c r="C13" s="3" t="n"/>
      <c r="D13" s="2" t="inlineStr">
        <is>
          <t>61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Música</t>
        </is>
      </c>
      <c r="B14" s="6" t="n">
        <v>90</v>
      </c>
      <c r="C14" s="6" t="n"/>
      <c r="D14" s="5" t="inlineStr">
        <is>
          <t>61 GB (20 GB de franquia 31 GB de bônus)</t>
        </is>
      </c>
      <c r="E14" s="5" t="n"/>
      <c r="F14" s="5" t="n"/>
      <c r="G14" s="5" t="n"/>
      <c r="H14" s="5" t="inlineStr">
        <is>
          <t>Apple Music Individual</t>
        </is>
      </c>
    </row>
    <row r="15">
      <c r="A15" s="2" t="inlineStr">
        <is>
          <t>Vivo Controle Saúde</t>
        </is>
      </c>
      <c r="B15" s="3" t="n">
        <v>90</v>
      </c>
      <c r="C15" s="3" t="n"/>
      <c r="D15" s="2" t="inlineStr">
        <is>
          <t>61 GB (20 GB de franquia 31 GB de bônus)</t>
        </is>
      </c>
      <c r="E15" s="2" t="n"/>
      <c r="F15" s="2" t="n"/>
      <c r="G15" s="2" t="n"/>
      <c r="H15" s="2" t="inlineStr">
        <is>
          <t>Assinatura Vale Saúde Sempre inclusa</t>
        </is>
      </c>
    </row>
    <row r="16">
      <c r="A16" s="5" t="inlineStr">
        <is>
          <t>Vivo Controle Netflix</t>
        </is>
      </c>
      <c r="B16" s="6" t="n">
        <v>95</v>
      </c>
      <c r="C16" s="6" t="n"/>
      <c r="D16" s="5" t="inlineStr">
        <is>
          <t>61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110</v>
      </c>
      <c r="C17" s="3" t="n"/>
      <c r="D17" s="2" t="inlineStr">
        <is>
          <t>61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6" t="inlineStr">
        <is>
          <t>Digital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Easy Lite</t>
        </is>
      </c>
      <c r="B19" s="3" t="n">
        <v>35</v>
      </c>
      <c r="C19" s="3" t="n"/>
      <c r="D19" s="2" t="inlineStr">
        <is>
          <t>20 GB (20 GB de franquia)</t>
        </is>
      </c>
      <c r="E19" s="2" t="n"/>
      <c r="F19" s="2" t="n"/>
      <c r="G19" s="2" t="n"/>
      <c r="H19" s="2" t="inlineStr">
        <is>
          <t>2 meses de YouTube sem consumo no plano</t>
        </is>
      </c>
    </row>
    <row r="20">
      <c r="A20" s="5" t="inlineStr">
        <is>
          <t>Easy Lite</t>
        </is>
      </c>
      <c r="B20" s="6" t="n">
        <v>45</v>
      </c>
      <c r="C20" s="18" t="n">
        <v>30</v>
      </c>
      <c r="D20" s="5" t="inlineStr">
        <is>
          <t>30 GB (30 GB de franquia)</t>
        </is>
      </c>
      <c r="E20" s="5" t="n"/>
      <c r="F20" s="5" t="n"/>
      <c r="G20" s="5" t="n"/>
      <c r="H20" s="5" t="inlineStr">
        <is>
          <t>2 meses de YouTube sem consumo no plano · preço sem fidelidade; fidelidade 12m no promo</t>
        </is>
      </c>
    </row>
    <row r="21">
      <c r="A21" s="2" t="inlineStr">
        <is>
          <t>Easy Lite</t>
        </is>
      </c>
      <c r="B21" s="3" t="n">
        <v>55</v>
      </c>
      <c r="C21" s="18" t="n">
        <v>40</v>
      </c>
      <c r="D21" s="2" t="inlineStr">
        <is>
          <t>40 GB (40 GB de franquia)</t>
        </is>
      </c>
      <c r="E21" s="2" t="n"/>
      <c r="F21" s="2" t="n"/>
      <c r="G21" s="2" t="n"/>
      <c r="H21" s="2" t="inlineStr">
        <is>
          <t>2 meses de YouTube sem consumo no plano · preço sem fidelidade; fidelidade 12m no promo</t>
        </is>
      </c>
    </row>
    <row r="22">
      <c r="A22" s="16" t="inlineStr">
        <is>
          <t>Prepaid</t>
        </is>
      </c>
      <c r="B22" s="17" t="n"/>
      <c r="C22" s="17" t="n"/>
      <c r="D22" s="17" t="n"/>
      <c r="E22" s="17" t="n"/>
      <c r="F22" s="17" t="n"/>
      <c r="G22" s="17" t="n"/>
      <c r="H22" s="17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 · 15d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 · 17d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 · 22d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 · 30d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Pais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Smart 45GB fs/ro</t>
        </is>
      </c>
      <c r="B11" s="3" t="n">
        <v>58.99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Light Express 45GB fs/ro</t>
        </is>
      </c>
      <c r="B12" s="6" t="n">
        <v>60.99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Pro Express 46GB fs/ro</t>
        </is>
      </c>
      <c r="B13" s="3" t="n">
        <v>64.98999999999999</v>
      </c>
      <c r="C13" s="3" t="n"/>
      <c r="D13" s="2" t="inlineStr">
        <is>
          <t>46 GB</t>
        </is>
      </c>
      <c r="E13" s="2" t="n"/>
      <c r="F13" s="2" t="n"/>
      <c r="G13" s="2" t="n"/>
      <c r="H13" s="2" t="n"/>
    </row>
    <row r="14">
      <c r="A14" s="5" t="inlineStr">
        <is>
          <t>TIM Controle Redes Sociais 46GB fs/ro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 fs/ro</t>
        </is>
      </c>
      <c r="B15" s="3" t="n">
        <v>84.98999999999999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</t>
        </is>
      </c>
      <c r="B17" s="3" t="n">
        <v>30</v>
      </c>
      <c r="C17" s="3" t="n"/>
      <c r="D17" s="2" t="inlineStr">
        <is>
          <t>30 GB</t>
        </is>
      </c>
      <c r="E17" s="2" t="n"/>
      <c r="F17" s="2" t="n"/>
      <c r="G17" s="2" t="n"/>
      <c r="H17" s="2" t="inlineStr">
        <is>
          <t>plano anual 12x no cartão de crédito; prazo de permanência 12m</t>
        </is>
      </c>
    </row>
    <row r="18">
      <c r="A18" s="5" t="inlineStr">
        <is>
          <t>TIM Controle Fit Mensal</t>
        </is>
      </c>
      <c r="B18" s="6" t="n">
        <v>35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2026-07-29T21:59:09Z</dcterms:created>
  <dcterms:modified xsi:type="dcterms:W3CDTF">2026-07-29T21:59:11Z</dcterms:modified>
</cp:coreProperties>
</file>