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'history'!$A$1:$V$586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'comparison'!$B$3:$B$13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'comparison'!$C$3:$C$13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'comparison'!$D$3:$D$13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'comparison'!$E$3:$E$13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'comparison'!$F$3:$F$13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'comparison'!$G$3:$G$13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'comparison'!$H$3:$H$13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'comparison'!$I$3:$I$13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'comparison'!$J$3:$J$13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'comparison'!$K$3:$K$13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'comparison'!$L$3:$L$13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'comparison'!$A$3:$A$13</f>
            </numRef>
          </cat>
          <val>
            <numRef>
              <f>'comparison'!$M$3:$M$13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58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</sheetData>
  <autoFilter ref="A1:V5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2026-07-02</t>
        </is>
      </c>
      <c r="B2" s="2" t="inlineStr">
        <is>
          <t>2026-07-02T22:04:41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2026-07-02</t>
        </is>
      </c>
      <c r="B3" s="5" t="inlineStr">
        <is>
          <t>2026-07-02T22:04:41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2026-07-02</t>
        </is>
      </c>
      <c r="B4" s="2" t="inlineStr">
        <is>
          <t>2026-07-02T22:04:41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2026-07-02</t>
        </is>
      </c>
      <c r="B5" s="5" t="inlineStr">
        <is>
          <t>2026-07-02T22:04:41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2026-07-02</t>
        </is>
      </c>
      <c r="B6" s="2" t="inlineStr">
        <is>
          <t>2026-07-02T22:04:41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2026-07-02</t>
        </is>
      </c>
      <c r="B7" s="5" t="inlineStr">
        <is>
          <t>2026-07-02T22:04:41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2026-07-02</t>
        </is>
      </c>
      <c r="B8" s="2" t="inlineStr">
        <is>
          <t>2026-07-02T22:04:41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2026-07-02</t>
        </is>
      </c>
      <c r="B9" s="5" t="inlineStr">
        <is>
          <t>2026-07-02T22:04:41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2026-07-02</t>
        </is>
      </c>
      <c r="B10" s="2" t="inlineStr">
        <is>
          <t>2026-07-02T22:04:41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2026-07-02</t>
        </is>
      </c>
      <c r="B11" s="5" t="inlineStr">
        <is>
          <t>2026-07-02T22:04:41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2026-07-02</t>
        </is>
      </c>
      <c r="B12" s="2" t="inlineStr">
        <is>
          <t>2026-07-02T22:04:41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2026-07-02</t>
        </is>
      </c>
      <c r="B13" s="5" t="inlineStr">
        <is>
          <t>2026-07-02T22:04:41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2026-07-02</t>
        </is>
      </c>
      <c r="B14" s="2" t="inlineStr">
        <is>
          <t>2026-07-02T22:04:41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2026-07-02</t>
        </is>
      </c>
      <c r="B15" s="5" t="inlineStr">
        <is>
          <t>2026-07-02T22:04:41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2026-07-02</t>
        </is>
      </c>
      <c r="B16" s="2" t="inlineStr">
        <is>
          <t>2026-07-02T22:04:41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2026-07-02</t>
        </is>
      </c>
      <c r="B17" s="5" t="inlineStr">
        <is>
          <t>2026-07-02T22:04:41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2026-07-02</t>
        </is>
      </c>
      <c r="B18" s="2" t="inlineStr">
        <is>
          <t>2026-07-02T22:04:41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2026-07-02</t>
        </is>
      </c>
      <c r="B19" s="5" t="inlineStr">
        <is>
          <t>2026-07-02T22:04:41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2026-07-02</t>
        </is>
      </c>
      <c r="B20" s="2" t="inlineStr">
        <is>
          <t>2026-07-02T22:04:41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2026-07-02</t>
        </is>
      </c>
      <c r="B21" s="5" t="inlineStr">
        <is>
          <t>2026-07-02T22:04:41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2026-07-02</t>
        </is>
      </c>
      <c r="B22" s="2" t="inlineStr">
        <is>
          <t>2026-07-02T22:04:41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2026-07-02</t>
        </is>
      </c>
      <c r="B23" s="5" t="inlineStr">
        <is>
          <t>2026-07-02T22:04:41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2026-07-02</t>
        </is>
      </c>
      <c r="B24" s="2" t="inlineStr">
        <is>
          <t>2026-07-02T22:04:41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2026-07-02</t>
        </is>
      </c>
      <c r="B25" s="5" t="inlineStr">
        <is>
          <t>2026-07-02T22:04:41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2026-07-02</t>
        </is>
      </c>
      <c r="B26" s="2" t="inlineStr">
        <is>
          <t>2026-07-02T22:04:41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2026-07-02</t>
        </is>
      </c>
      <c r="B27" s="5" t="inlineStr">
        <is>
          <t>2026-07-02T22:04:41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2026-07-02</t>
        </is>
      </c>
      <c r="B28" s="2" t="inlineStr">
        <is>
          <t>2026-07-02T22:04:41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2026-07-02</t>
        </is>
      </c>
      <c r="B29" s="5" t="inlineStr">
        <is>
          <t>2026-07-02T22:04:41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2026-07-02</t>
        </is>
      </c>
      <c r="B30" s="2" t="inlineStr">
        <is>
          <t>2026-07-02T22:04:41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2026-07-02</t>
        </is>
      </c>
      <c r="B31" s="5" t="inlineStr">
        <is>
          <t>2026-07-02T22:04:41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2026-07-02</t>
        </is>
      </c>
      <c r="B32" s="2" t="inlineStr">
        <is>
          <t>2026-07-02T22:04:41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2026-07-02</t>
        </is>
      </c>
      <c r="B33" s="5" t="inlineStr">
        <is>
          <t>2026-07-02T22:04:41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2026-07-02</t>
        </is>
      </c>
      <c r="B34" s="2" t="inlineStr">
        <is>
          <t>2026-07-02T22:04:41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2026-07-02</t>
        </is>
      </c>
      <c r="B35" s="5" t="inlineStr">
        <is>
          <t>2026-07-02T22:04:41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2026-07-02</t>
        </is>
      </c>
      <c r="B36" s="2" t="inlineStr">
        <is>
          <t>2026-07-02T22:04:41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2026-07-02</t>
        </is>
      </c>
      <c r="B37" s="5" t="inlineStr">
        <is>
          <t>2026-07-02T22:04:41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vivo:VIV202600029300-51gb</t>
        </is>
      </c>
      <c r="H37" s="6" t="n">
        <v>75</v>
      </c>
      <c r="I37" s="6" t="inlineStr"/>
      <c r="J37" s="5" t="inlineStr"/>
      <c r="K37" s="5" t="inlineStr"/>
      <c r="L37" s="7" t="n">
        <v>51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2026-07-02</t>
        </is>
      </c>
      <c r="B38" s="2" t="inlineStr">
        <is>
          <t>2026-07-02T22:04:41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vivo:VIV202600029273-51gb</t>
        </is>
      </c>
      <c r="H38" s="3" t="n">
        <v>85</v>
      </c>
      <c r="I38" s="3" t="inlineStr"/>
      <c r="J38" s="2" t="inlineStr"/>
      <c r="K38" s="2" t="inlineStr"/>
      <c r="L38" s="4" t="n">
        <v>51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2026-07-02</t>
        </is>
      </c>
      <c r="B39" s="5" t="inlineStr">
        <is>
          <t>2026-07-02T22:04:41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vivo:VIV202600029307-51gb</t>
        </is>
      </c>
      <c r="H39" s="6" t="n">
        <v>105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2026-07-02</t>
        </is>
      </c>
      <c r="B40" s="2" t="inlineStr">
        <is>
          <t>2026-07-02T22:04:41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vivo:VIV202600029313-51gb</t>
        </is>
      </c>
      <c r="H40" s="3" t="n">
        <v>90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2026-07-02</t>
        </is>
      </c>
      <c r="B41" s="5" t="inlineStr">
        <is>
          <t>2026-07-02T22:04:41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vivo:VIV202600029308-51gb</t>
        </is>
      </c>
      <c r="H41" s="6" t="n">
        <v>90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2026-07-02</t>
        </is>
      </c>
      <c r="B42" s="2" t="inlineStr">
        <is>
          <t>2026-07-02T22:04:41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2026-07-02</t>
        </is>
      </c>
      <c r="B43" s="5" t="inlineStr">
        <is>
          <t>2026-07-02T22:04:41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vivo:VIV202600029274-51gb</t>
        </is>
      </c>
      <c r="H43" s="6" t="n">
        <v>85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2026-07-02</t>
        </is>
      </c>
      <c r="B44" s="2" t="inlineStr">
        <is>
          <t>2026-07-02T22:04:41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2026-07-02</t>
        </is>
      </c>
      <c r="B45" s="5" t="inlineStr">
        <is>
          <t>2026-07-02T22:04:41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2026-07-02</t>
        </is>
      </c>
      <c r="B46" s="2" t="inlineStr">
        <is>
          <t>2026-07-02T22:04:41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2026-07-02</t>
        </is>
      </c>
      <c r="B47" s="5" t="inlineStr">
        <is>
          <t>2026-07-02T22:04:41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2026-07-02</t>
        </is>
      </c>
      <c r="B48" s="2" t="inlineStr">
        <is>
          <t>2026-07-02T22:04:41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2026-07-02</t>
        </is>
      </c>
      <c r="B49" s="5" t="inlineStr">
        <is>
          <t>2026-07-02T22:04:41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2026-07-02</t>
        </is>
      </c>
      <c r="B50" s="2" t="inlineStr">
        <is>
          <t>2026-07-02T22:04:41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2026-07-02</t>
        </is>
      </c>
      <c r="B51" s="5" t="inlineStr">
        <is>
          <t>2026-07-02T22:04:41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2026-07-02</t>
        </is>
      </c>
      <c r="B52" s="2" t="inlineStr">
        <is>
          <t>2026-07-02T22:04:41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2026-07-02</t>
        </is>
      </c>
      <c r="B53" s="5" t="inlineStr">
        <is>
          <t>2026-07-02T22:04:41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2026-07-02</t>
        </is>
      </c>
      <c r="B54" s="2" t="inlineStr">
        <is>
          <t>2026-07-02T22:04:41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2026-07-02</t>
        </is>
      </c>
      <c r="B55" s="5" t="inlineStr">
        <is>
          <t>2026-07-02T22:04:41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2026-07-02</t>
        </is>
      </c>
      <c r="B56" s="2" t="inlineStr">
        <is>
          <t>2026-07-02T22:04:41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2026-07-02</t>
        </is>
      </c>
      <c r="B57" s="5" t="inlineStr">
        <is>
          <t>2026-07-02T22:04:41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vivo:VIV202600029273-51gb</t>
        </is>
      </c>
      <c r="F2" s="2" t="inlineStr">
        <is>
          <t>Vivo Controle Educação</t>
        </is>
      </c>
      <c r="G2" s="3" t="inlineStr"/>
      <c r="H2" s="3" t="n">
        <v>85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vivo:VIV202600029274-51gb</t>
        </is>
      </c>
      <c r="F3" s="5" t="inlineStr">
        <is>
          <t>Vivo Controle Segurança</t>
        </is>
      </c>
      <c r="G3" s="6" t="inlineStr"/>
      <c r="H3" s="6" t="n">
        <v>85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vivo:VIV202600029300-51gb</t>
        </is>
      </c>
      <c r="F4" s="2" t="inlineStr">
        <is>
          <t>Vivo Controle</t>
        </is>
      </c>
      <c r="G4" s="3" t="inlineStr"/>
      <c r="H4" s="3" t="n">
        <v>75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vivo:VIV202600029301-51gb</t>
        </is>
      </c>
      <c r="F5" s="5" t="inlineStr">
        <is>
          <t>Vivo Controle Saúde</t>
        </is>
      </c>
      <c r="G5" s="6" t="inlineStr"/>
      <c r="H5" s="6" t="n">
        <v>85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vivo:VIV202600029307-51gb</t>
        </is>
      </c>
      <c r="F6" s="2" t="inlineStr">
        <is>
          <t>Vivo Controle Entretenimento</t>
        </is>
      </c>
      <c r="G6" s="3" t="inlineStr"/>
      <c r="H6" s="3" t="n">
        <v>105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vivo:VIV202600029308-51gb</t>
        </is>
      </c>
      <c r="F7" s="5" t="inlineStr">
        <is>
          <t>Vivo Controle Netflix</t>
        </is>
      </c>
      <c r="G7" s="6" t="inlineStr"/>
      <c r="H7" s="6" t="n">
        <v>90</v>
      </c>
      <c r="I7" s="6" t="inlineStr"/>
    </row>
    <row r="8">
      <c r="A8" s="2" t="inlineStr">
        <is>
          <t>new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vivo:VIV202600029313-51gb</t>
        </is>
      </c>
      <c r="F8" s="2" t="inlineStr">
        <is>
          <t>Vivo Controle Música</t>
        </is>
      </c>
      <c r="G8" s="3" t="inlineStr"/>
      <c r="H8" s="3" t="n">
        <v>90</v>
      </c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vivo:VIV202600029273-61gb</t>
        </is>
      </c>
      <c r="F9" s="5" t="inlineStr">
        <is>
          <t>Vivo Controle Educação</t>
        </is>
      </c>
      <c r="G9" s="6" t="n">
        <v>90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vivo:VIV202600029274-61gb</t>
        </is>
      </c>
      <c r="F10" s="2" t="inlineStr">
        <is>
          <t>Vivo Controle Segurança</t>
        </is>
      </c>
      <c r="G10" s="3" t="n">
        <v>90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vivo:VIV202600029300-61gb</t>
        </is>
      </c>
      <c r="F11" s="5" t="inlineStr">
        <is>
          <t>Vivo Controle</t>
        </is>
      </c>
      <c r="G11" s="6" t="n">
        <v>80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vivo:VIV202600029301-61gb</t>
        </is>
      </c>
      <c r="F12" s="2" t="inlineStr">
        <is>
          <t>Vivo Controle Saúde</t>
        </is>
      </c>
      <c r="G12" s="3" t="n">
        <v>90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vivo:VIV202600029307-61gb</t>
        </is>
      </c>
      <c r="F13" s="5" t="inlineStr">
        <is>
          <t>Vivo Controle Entretenimento</t>
        </is>
      </c>
      <c r="G13" s="6" t="n">
        <v>110</v>
      </c>
      <c r="H13" s="6" t="inlineStr"/>
      <c r="I13" s="6" t="inlineStr"/>
    </row>
    <row r="14">
      <c r="A14" s="2" t="inlineStr">
        <is>
          <t>removed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vivo:VIV202600029308-61gb</t>
        </is>
      </c>
      <c r="F14" s="2" t="inlineStr">
        <is>
          <t>Vivo Controle Netflix</t>
        </is>
      </c>
      <c r="G14" s="3" t="n">
        <v>95</v>
      </c>
      <c r="H14" s="3" t="inlineStr"/>
      <c r="I14" s="3" t="inlineStr"/>
    </row>
    <row r="15">
      <c r="A15" s="5" t="inlineStr">
        <is>
          <t>removed</t>
        </is>
      </c>
      <c r="B15" s="5" t="inlineStr">
        <is>
          <t>vivo</t>
        </is>
      </c>
      <c r="C15" s="5" t="inlineStr">
        <is>
          <t>control</t>
        </is>
      </c>
      <c r="D15" s="5" t="inlineStr">
        <is>
          <t>SP</t>
        </is>
      </c>
      <c r="E15" s="5" t="inlineStr">
        <is>
          <t>vivo:VIV202600029313-61gb</t>
        </is>
      </c>
      <c r="F15" s="5" t="inlineStr">
        <is>
          <t>Vivo Controle Música</t>
        </is>
      </c>
      <c r="G15" s="6" t="n">
        <v>95</v>
      </c>
      <c r="H15" s="6" t="inlineStr"/>
      <c r="I15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2026-07-02T22:04:41</t>
        </is>
      </c>
    </row>
    <row r="4">
      <c r="A4" s="9" t="inlineStr">
        <is>
          <t>Latest snapshot</t>
        </is>
      </c>
      <c r="B4" s="2" t="inlineStr">
        <is>
          <t>2026-07-02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97.09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,history!$K:$K,"&lt;&gt;credit_card")=0,"",_xlfn.MINIFS(history!$H:$H,history!$C:$C,"tim",history!$D:$D,"postpaid",history!$A:$A,YEAR($A3)&amp;"-"&amp;TEXT(MONTH($A3),"00")&amp;"-"&amp;TEXT(DAY($A3),"00"),history!$K:$K,"&lt;&gt;credit_card")),"")</f>
        <v>119.99</v>
      </c>
      <c r="F3" s="3">
        <f>IFERROR(IF(_xlfn.MINIFS(history!$H:$H,history!$C:$C,"vivo",history!$D:$D,"postpaid",history!$A:$A,YEAR($A3)&amp;"-"&amp;TEXT(MONTH($A3),"00")&amp;"-"&amp;TEXT(DAY($A3),"00"),history!$K:$K,"&lt;&gt;credit_card")=0,"",_xlfn.MINIFS(history!$H:$H,history!$C:$C,"vivo",history!$D:$D,"postpaid",history!$A:$A,YEAR($A3)&amp;"-"&amp;TEXT(MONTH($A3),"00")&amp;"-"&amp;TEXT(DAY($A3),"00"),history!$K:$K,"&lt;&gt;credit_card")),"")</f>
        <v>150</v>
      </c>
      <c r="G3" s="3">
        <f>IFERROR(IF(_xlfn.MINIFS(history!$H:$H,history!$C:$C,"claro",history!$D:$D,"postpaid",history!$A:$A,YEAR($A3)&amp;"-"&amp;TEXT(MONTH($A3),"00")&amp;"-"&amp;TEXT(DAY($A3),"00"),history!$K:$K,"&lt;&gt;credit_card")=0,"",_xlfn.MINIFS(history!$H:$H,history!$C:$C,"claro",history!$D:$D,"postpaid",history!$A:$A,YEAR($A3)&amp;"-"&amp;TEXT(MONTH($A3),"00")&amp;"-"&amp;TEXT(DAY($A3),"00"),history!$K:$K,"&lt;&gt;credit_card"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,history!$K:$K,"&lt;&gt;credit_card")=0,"",_xlfn.MINIFS(history!$H:$H,history!$C:$C,"tim",history!$D:$D,"postpaid",history!$A:$A,YEAR($A4)&amp;"-"&amp;TEXT(MONTH($A4),"00")&amp;"-"&amp;TEXT(DAY($A4),"00"),history!$K:$K,"&lt;&gt;credit_card")),"")</f>
        <v>119.99</v>
      </c>
      <c r="F4" s="3">
        <f>IFERROR(IF(_xlfn.MINIFS(history!$H:$H,history!$C:$C,"vivo",history!$D:$D,"postpaid",history!$A:$A,YEAR($A4)&amp;"-"&amp;TEXT(MONTH($A4),"00")&amp;"-"&amp;TEXT(DAY($A4),"00"),history!$K:$K,"&lt;&gt;credit_card")=0,"",_xlfn.MINIFS(history!$H:$H,history!$C:$C,"vivo",history!$D:$D,"postpaid",history!$A:$A,YEAR($A4)&amp;"-"&amp;TEXT(MONTH($A4),"00")&amp;"-"&amp;TEXT(DAY($A4),"00"),history!$K:$K,"&lt;&gt;credit_card")),"")</f>
        <v>150</v>
      </c>
      <c r="G4" s="3">
        <f>IFERROR(IF(_xlfn.MINIFS(history!$H:$H,history!$C:$C,"claro",history!$D:$D,"postpaid",history!$A:$A,YEAR($A4)&amp;"-"&amp;TEXT(MONTH($A4),"00")&amp;"-"&amp;TEXT(DAY($A4),"00"),history!$K:$K,"&lt;&gt;credit_card")=0,"",_xlfn.MINIFS(history!$H:$H,history!$C:$C,"claro",history!$D:$D,"postpaid",history!$A:$A,YEAR($A4)&amp;"-"&amp;TEXT(MONTH($A4),"00")&amp;"-"&amp;TEXT(DAY($A4),"00"),history!$K:$K,"&lt;&gt;credit_card"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,history!$K:$K,"&lt;&gt;credit_card")=0,"",_xlfn.MINIFS(history!$H:$H,history!$C:$C,"tim",history!$D:$D,"postpaid",history!$A:$A,YEAR($A5)&amp;"-"&amp;TEXT(MONTH($A5),"00")&amp;"-"&amp;TEXT(DAY($A5),"00"),history!$K:$K,"&lt;&gt;credit_card")),"")</f>
        <v>119.99</v>
      </c>
      <c r="F5" s="3">
        <f>IFERROR(IF(_xlfn.MINIFS(history!$H:$H,history!$C:$C,"vivo",history!$D:$D,"postpaid",history!$A:$A,YEAR($A5)&amp;"-"&amp;TEXT(MONTH($A5),"00")&amp;"-"&amp;TEXT(DAY($A5),"00"),history!$K:$K,"&lt;&gt;credit_card")=0,"",_xlfn.MINIFS(history!$H:$H,history!$C:$C,"vivo",history!$D:$D,"postpaid",history!$A:$A,YEAR($A5)&amp;"-"&amp;TEXT(MONTH($A5),"00")&amp;"-"&amp;TEXT(DAY($A5),"00"),history!$K:$K,"&lt;&gt;credit_card")),"")</f>
        <v>150</v>
      </c>
      <c r="G5" s="3">
        <f>IFERROR(IF(_xlfn.MINIFS(history!$H:$H,history!$C:$C,"claro",history!$D:$D,"postpaid",history!$A:$A,YEAR($A5)&amp;"-"&amp;TEXT(MONTH($A5),"00")&amp;"-"&amp;TEXT(DAY($A5),"00"),history!$K:$K,"&lt;&gt;credit_card")=0,"",_xlfn.MINIFS(history!$H:$H,history!$C:$C,"claro",history!$D:$D,"postpaid",history!$A:$A,YEAR($A5)&amp;"-"&amp;TEXT(MONTH($A5),"00")&amp;"-"&amp;TEXT(DAY($A5),"00"),history!$K:$K,"&lt;&gt;credit_card"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,history!$K:$K,"&lt;&gt;credit_card")=0,"",_xlfn.MINIFS(history!$H:$H,history!$C:$C,"tim",history!$D:$D,"postpaid",history!$A:$A,YEAR($A6)&amp;"-"&amp;TEXT(MONTH($A6),"00")&amp;"-"&amp;TEXT(DAY($A6),"00"),history!$K:$K,"&lt;&gt;credit_card")),"")</f>
        <v>119.99</v>
      </c>
      <c r="F6" s="3">
        <f>IFERROR(IF(_xlfn.MINIFS(history!$H:$H,history!$C:$C,"vivo",history!$D:$D,"postpaid",history!$A:$A,YEAR($A6)&amp;"-"&amp;TEXT(MONTH($A6),"00")&amp;"-"&amp;TEXT(DAY($A6),"00"),history!$K:$K,"&lt;&gt;credit_card")=0,"",_xlfn.MINIFS(history!$H:$H,history!$C:$C,"vivo",history!$D:$D,"postpaid",history!$A:$A,YEAR($A6)&amp;"-"&amp;TEXT(MONTH($A6),"00")&amp;"-"&amp;TEXT(DAY($A6),"00"),history!$K:$K,"&lt;&gt;credit_card")),"")</f>
        <v>150</v>
      </c>
      <c r="G6" s="3">
        <f>IFERROR(IF(_xlfn.MINIFS(history!$H:$H,history!$C:$C,"claro",history!$D:$D,"postpaid",history!$A:$A,YEAR($A6)&amp;"-"&amp;TEXT(MONTH($A6),"00")&amp;"-"&amp;TEXT(DAY($A6),"00"),history!$K:$K,"&lt;&gt;credit_card")=0,"",_xlfn.MINIFS(history!$H:$H,history!$C:$C,"claro",history!$D:$D,"postpaid",history!$A:$A,YEAR($A6)&amp;"-"&amp;TEXT(MONTH($A6),"00")&amp;"-"&amp;TEXT(DAY($A6),"00"),history!$K:$K,"&lt;&gt;credit_card"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,history!$K:$K,"&lt;&gt;credit_card")=0,"",_xlfn.MINIFS(history!$H:$H,history!$C:$C,"tim",history!$D:$D,"postpaid",history!$A:$A,YEAR($A7)&amp;"-"&amp;TEXT(MONTH($A7),"00")&amp;"-"&amp;TEXT(DAY($A7),"00"),history!$K:$K,"&lt;&gt;credit_card")),"")</f>
        <v>119.99</v>
      </c>
      <c r="F7" s="3">
        <f>IFERROR(IF(_xlfn.MINIFS(history!$H:$H,history!$C:$C,"vivo",history!$D:$D,"postpaid",history!$A:$A,YEAR($A7)&amp;"-"&amp;TEXT(MONTH($A7),"00")&amp;"-"&amp;TEXT(DAY($A7),"00"),history!$K:$K,"&lt;&gt;credit_card")=0,"",_xlfn.MINIFS(history!$H:$H,history!$C:$C,"vivo",history!$D:$D,"postpaid",history!$A:$A,YEAR($A7)&amp;"-"&amp;TEXT(MONTH($A7),"00")&amp;"-"&amp;TEXT(DAY($A7),"00"),history!$K:$K,"&lt;&gt;credit_card")),"")</f>
        <v>150</v>
      </c>
      <c r="G7" s="3">
        <f>IFERROR(IF(_xlfn.MINIFS(history!$H:$H,history!$C:$C,"claro",history!$D:$D,"postpaid",history!$A:$A,YEAR($A7)&amp;"-"&amp;TEXT(MONTH($A7),"00")&amp;"-"&amp;TEXT(DAY($A7),"00"),history!$K:$K,"&lt;&gt;credit_card")=0,"",_xlfn.MINIFS(history!$H:$H,history!$C:$C,"claro",history!$D:$D,"postpaid",history!$A:$A,YEAR($A7)&amp;"-"&amp;TEXT(MONTH($A7),"00")&amp;"-"&amp;TEXT(DAY($A7),"00"),history!$K:$K,"&lt;&gt;credit_card"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,history!$K:$K,"&lt;&gt;credit_card")=0,"",_xlfn.MINIFS(history!$H:$H,history!$C:$C,"tim",history!$D:$D,"postpaid",history!$A:$A,YEAR($A8)&amp;"-"&amp;TEXT(MONTH($A8),"00")&amp;"-"&amp;TEXT(DAY($A8),"00"),history!$K:$K,"&lt;&gt;credit_card")),"")</f>
        <v>119.99</v>
      </c>
      <c r="F8" s="3">
        <f>IFERROR(IF(_xlfn.MINIFS(history!$H:$H,history!$C:$C,"vivo",history!$D:$D,"postpaid",history!$A:$A,YEAR($A8)&amp;"-"&amp;TEXT(MONTH($A8),"00")&amp;"-"&amp;TEXT(DAY($A8),"00"),history!$K:$K,"&lt;&gt;credit_card")=0,"",_xlfn.MINIFS(history!$H:$H,history!$C:$C,"vivo",history!$D:$D,"postpaid",history!$A:$A,YEAR($A8)&amp;"-"&amp;TEXT(MONTH($A8),"00")&amp;"-"&amp;TEXT(DAY($A8),"00"),history!$K:$K,"&lt;&gt;credit_card")),"")</f>
        <v>150</v>
      </c>
      <c r="G8" s="3">
        <f>IFERROR(IF(_xlfn.MINIFS(history!$H:$H,history!$C:$C,"claro",history!$D:$D,"postpaid",history!$A:$A,YEAR($A8)&amp;"-"&amp;TEXT(MONTH($A8),"00")&amp;"-"&amp;TEXT(DAY($A8),"00"),history!$K:$K,"&lt;&gt;credit_card")=0,"",_xlfn.MINIFS(history!$H:$H,history!$C:$C,"claro",history!$D:$D,"postpaid",history!$A:$A,YEAR($A8)&amp;"-"&amp;TEXT(MONTH($A8),"00")&amp;"-"&amp;TEXT(DAY($A8),"00"),history!$K:$K,"&lt;&gt;credit_card"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,history!$K:$K,"&lt;&gt;credit_card")=0,"",_xlfn.MINIFS(history!$H:$H,history!$C:$C,"tim",history!$D:$D,"postpaid",history!$A:$A,YEAR($A9)&amp;"-"&amp;TEXT(MONTH($A9),"00")&amp;"-"&amp;TEXT(DAY($A9),"00"),history!$K:$K,"&lt;&gt;credit_card")),"")</f>
        <v>119.99</v>
      </c>
      <c r="F9" s="3">
        <f>IFERROR(IF(_xlfn.MINIFS(history!$H:$H,history!$C:$C,"vivo",history!$D:$D,"postpaid",history!$A:$A,YEAR($A9)&amp;"-"&amp;TEXT(MONTH($A9),"00")&amp;"-"&amp;TEXT(DAY($A9),"00"),history!$K:$K,"&lt;&gt;credit_card")=0,"",_xlfn.MINIFS(history!$H:$H,history!$C:$C,"vivo",history!$D:$D,"postpaid",history!$A:$A,YEAR($A9)&amp;"-"&amp;TEXT(MONTH($A9),"00")&amp;"-"&amp;TEXT(DAY($A9),"00"),history!$K:$K,"&lt;&gt;credit_card")),"")</f>
        <v>150</v>
      </c>
      <c r="G9" s="3">
        <f>IFERROR(IF(_xlfn.MINIFS(history!$H:$H,history!$C:$C,"claro",history!$D:$D,"postpaid",history!$A:$A,YEAR($A9)&amp;"-"&amp;TEXT(MONTH($A9),"00")&amp;"-"&amp;TEXT(DAY($A9),"00"),history!$K:$K,"&lt;&gt;credit_card")=0,"",_xlfn.MINIFS(history!$H:$H,history!$C:$C,"claro",history!$D:$D,"postpaid",history!$A:$A,YEAR($A9)&amp;"-"&amp;TEXT(MONTH($A9),"00")&amp;"-"&amp;TEXT(DAY($A9),"00"),history!$K:$K,"&lt;&gt;credit_card"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,history!$K:$K,"&lt;&gt;credit_card")=0,"",_xlfn.MINIFS(history!$H:$H,history!$C:$C,"tim",history!$D:$D,"postpaid",history!$A:$A,YEAR($A10)&amp;"-"&amp;TEXT(MONTH($A10),"00")&amp;"-"&amp;TEXT(DAY($A10),"00"),history!$K:$K,"&lt;&gt;credit_card")),"")</f>
        <v>119.99</v>
      </c>
      <c r="F10" s="3">
        <f>IFERROR(IF(_xlfn.MINIFS(history!$H:$H,history!$C:$C,"vivo",history!$D:$D,"postpaid",history!$A:$A,YEAR($A10)&amp;"-"&amp;TEXT(MONTH($A10),"00")&amp;"-"&amp;TEXT(DAY($A10),"00"),history!$K:$K,"&lt;&gt;credit_card")=0,"",_xlfn.MINIFS(history!$H:$H,history!$C:$C,"vivo",history!$D:$D,"postpaid",history!$A:$A,YEAR($A10)&amp;"-"&amp;TEXT(MONTH($A10),"00")&amp;"-"&amp;TEXT(DAY($A10),"00"),history!$K:$K,"&lt;&gt;credit_card")),"")</f>
        <v>150</v>
      </c>
      <c r="G10" s="3">
        <f>IFERROR(IF(_xlfn.MINIFS(history!$H:$H,history!$C:$C,"claro",history!$D:$D,"postpaid",history!$A:$A,YEAR($A10)&amp;"-"&amp;TEXT(MONTH($A10),"00")&amp;"-"&amp;TEXT(DAY($A10),"00"),history!$K:$K,"&lt;&gt;credit_card")=0,"",_xlfn.MINIFS(history!$H:$H,history!$C:$C,"claro",history!$D:$D,"postpaid",history!$A:$A,YEAR($A10)&amp;"-"&amp;TEXT(MONTH($A10),"00")&amp;"-"&amp;TEXT(DAY($A10),"00"),history!$K:$K,"&lt;&gt;credit_card"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,history!$K:$K,"&lt;&gt;credit_card")=0,"",_xlfn.MINIFS(history!$H:$H,history!$C:$C,"tim",history!$D:$D,"postpaid",history!$A:$A,YEAR($A11)&amp;"-"&amp;TEXT(MONTH($A11),"00")&amp;"-"&amp;TEXT(DAY($A11),"00"),history!$K:$K,"&lt;&gt;credit_card")),"")</f>
        <v>119.99</v>
      </c>
      <c r="F11" s="3">
        <f>IFERROR(IF(_xlfn.MINIFS(history!$H:$H,history!$C:$C,"vivo",history!$D:$D,"postpaid",history!$A:$A,YEAR($A11)&amp;"-"&amp;TEXT(MONTH($A11),"00")&amp;"-"&amp;TEXT(DAY($A11),"00"),history!$K:$K,"&lt;&gt;credit_card")=0,"",_xlfn.MINIFS(history!$H:$H,history!$C:$C,"vivo",history!$D:$D,"postpaid",history!$A:$A,YEAR($A11)&amp;"-"&amp;TEXT(MONTH($A11),"00")&amp;"-"&amp;TEXT(DAY($A11),"00"),history!$K:$K,"&lt;&gt;credit_card")),"")</f>
        <v>150</v>
      </c>
      <c r="G11" s="3">
        <f>IFERROR(IF(_xlfn.MINIFS(history!$H:$H,history!$C:$C,"claro",history!$D:$D,"postpaid",history!$A:$A,YEAR($A11)&amp;"-"&amp;TEXT(MONTH($A11),"00")&amp;"-"&amp;TEXT(DAY($A11),"00"),history!$K:$K,"&lt;&gt;credit_card")=0,"",_xlfn.MINIFS(history!$H:$H,history!$C:$C,"claro",history!$D:$D,"postpaid",history!$A:$A,YEAR($A11)&amp;"-"&amp;TEXT(MONTH($A11),"00")&amp;"-"&amp;TEXT(DAY($A11),"00"),history!$K:$K,"&lt;&gt;credit_card"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,history!$K:$K,"&lt;&gt;credit_card")=0,"",_xlfn.MINIFS(history!$H:$H,history!$C:$C,"tim",history!$D:$D,"postpaid",history!$A:$A,YEAR($A12)&amp;"-"&amp;TEXT(MONTH($A12),"00")&amp;"-"&amp;TEXT(DAY($A12),"00"),history!$K:$K,"&lt;&gt;credit_card")),"")</f>
        <v>129.99</v>
      </c>
      <c r="F12" s="3">
        <f>IFERROR(IF(_xlfn.MINIFS(history!$H:$H,history!$C:$C,"vivo",history!$D:$D,"postpaid",history!$A:$A,YEAR($A12)&amp;"-"&amp;TEXT(MONTH($A12),"00")&amp;"-"&amp;TEXT(DAY($A12),"00"),history!$K:$K,"&lt;&gt;credit_card")=0,"",_xlfn.MINIFS(history!$H:$H,history!$C:$C,"vivo",history!$D:$D,"postpaid",history!$A:$A,YEAR($A12)&amp;"-"&amp;TEXT(MONTH($A12),"00")&amp;"-"&amp;TEXT(DAY($A12),"00"),history!$K:$K,"&lt;&gt;credit_card")),"")</f>
        <v>150</v>
      </c>
      <c r="G12" s="3">
        <f>IFERROR(IF(_xlfn.MINIFS(history!$H:$H,history!$C:$C,"claro",history!$D:$D,"postpaid",history!$A:$A,YEAR($A12)&amp;"-"&amp;TEXT(MONTH($A12),"00")&amp;"-"&amp;TEXT(DAY($A12),"00"),history!$K:$K,"&lt;&gt;credit_card")=0,"",_xlfn.MINIFS(history!$H:$H,history!$C:$C,"claro",history!$D:$D,"postpaid",history!$A:$A,YEAR($A12)&amp;"-"&amp;TEXT(MONTH($A12),"00")&amp;"-"&amp;TEXT(DAY($A12),"00"),history!$K:$K,"&lt;&gt;credit_card"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,history!$K:$K,"&lt;&gt;credit_card")=0,"",_xlfn.MINIFS(history!$H:$H,history!$C:$C,"tim",history!$D:$D,"postpaid",history!$A:$A,YEAR($A13)&amp;"-"&amp;TEXT(MONTH($A13),"00")&amp;"-"&amp;TEXT(DAY($A13),"00"),history!$K:$K,"&lt;&gt;credit_card")),"")</f>
        <v>129.99</v>
      </c>
      <c r="F13" s="3">
        <f>IFERROR(IF(_xlfn.MINIFS(history!$H:$H,history!$C:$C,"vivo",history!$D:$D,"postpaid",history!$A:$A,YEAR($A13)&amp;"-"&amp;TEXT(MONTH($A13),"00")&amp;"-"&amp;TEXT(DAY($A13),"00"),history!$K:$K,"&lt;&gt;credit_card")=0,"",_xlfn.MINIFS(history!$H:$H,history!$C:$C,"vivo",history!$D:$D,"postpaid",history!$A:$A,YEAR($A13)&amp;"-"&amp;TEXT(MONTH($A13),"00")&amp;"-"&amp;TEXT(DAY($A13),"00"),history!$K:$K,"&lt;&gt;credit_card")),"")</f>
        <v>150</v>
      </c>
      <c r="G13" s="3">
        <f>IFERROR(IF(_xlfn.MINIFS(history!$H:$H,history!$C:$C,"claro",history!$D:$D,"postpaid",history!$A:$A,YEAR($A13)&amp;"-"&amp;TEXT(MONTH($A13),"00")&amp;"-"&amp;TEXT(DAY($A13),"00"),history!$K:$K,"&lt;&gt;credit_card")=0,"",_xlfn.MINIFS(history!$H:$H,history!$C:$C,"claro",history!$D:$D,"postpaid",history!$A:$A,YEAR($A13)&amp;"-"&amp;TEXT(MONTH($A13),"00")&amp;"-"&amp;TEXT(DAY($A13),"00"),history!$K:$K,"&lt;&gt;credit_card"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5">
      <c r="A1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6">
      <c r="A16" s="13" t="inlineStr">
        <is>
          <t>Post — TIM: the entry-level price is the cheapest BILL-payment plan (R$129,99), not the R$119,99 credit-card-only plan — credit-card-only plans have low adoption, so they are excluded from the entry-level comparison (JPMorgan methodology). All TIM plans still appear in `history` + the TIM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IF('comparison'!B13="",NA(),'comparison'!B13)</f>
        <v/>
      </c>
      <c r="R38" s="10">
        <f>IF('comparison'!C13="",NA(),'comparison'!C13)</f>
        <v/>
      </c>
      <c r="S38" s="10">
        <f>IF('comparison'!D13="",NA(),'comparison'!D13)</f>
        <v/>
      </c>
    </row>
    <row r="39">
      <c r="P39" s="2" t="inlineStr">
        <is>
          <t>Post</t>
        </is>
      </c>
      <c r="Q39" s="10">
        <f>IF('comparison'!E13="",NA(),'comparison'!E13)</f>
        <v/>
      </c>
      <c r="R39" s="10">
        <f>IF('comparison'!F13="",NA(),'comparison'!F13)</f>
        <v/>
      </c>
      <c r="S39" s="10">
        <f>IF('comparison'!G13="",NA(),'comparison'!G13)</f>
        <v/>
      </c>
    </row>
    <row r="40">
      <c r="P40" s="2" t="inlineStr">
        <is>
          <t>Pre</t>
        </is>
      </c>
      <c r="Q40" s="10">
        <f>IF('comparison'!H13="",NA(),'comparison'!H13)</f>
        <v/>
      </c>
      <c r="R40" s="10">
        <f>IF('comparison'!I13="",NA(),'comparison'!I13)</f>
        <v/>
      </c>
      <c r="S40" s="10">
        <f>IF('comparison'!J13="",NA(),'comparison'!J13)</f>
        <v/>
      </c>
    </row>
    <row r="41">
      <c r="P41" s="2" t="inlineStr">
        <is>
          <t>Digital</t>
        </is>
      </c>
      <c r="Q41" s="10">
        <f>IF('comparison'!K13="",NA(),'comparison'!K13)</f>
        <v/>
      </c>
      <c r="R41" s="10">
        <f>IF('comparison'!L13="",NA(),'comparison'!L13)</f>
        <v/>
      </c>
      <c r="S41" s="10">
        <f>IF('comparison'!M13="",NA(),'comparison'!M13)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Saúde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Segurança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Música (51GB)</t>
        </is>
      </c>
      <c r="F20" s="15" t="n"/>
      <c r="G20" s="15" t="n"/>
    </row>
    <row r="21">
      <c r="A21" s="2" t="n">
        <v>7</v>
      </c>
      <c r="B21" s="3" t="n">
        <v>90</v>
      </c>
      <c r="E21" s="2" t="inlineStr">
        <is>
          <t>Vivo Controle Netflix (51GB)</t>
        </is>
      </c>
    </row>
    <row r="22">
      <c r="A22" s="5" t="n">
        <v>8</v>
      </c>
      <c r="B22" s="6" t="n">
        <v>105</v>
      </c>
      <c r="C22" s="15" t="n"/>
      <c r="D22" s="15" t="n"/>
      <c r="E22" s="5" t="inlineStr">
        <is>
          <t>Vivo Controle Entretenimento (51GB)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90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105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2026-07-02T22:06:05Z</dcterms:created>
  <dcterms:modified xsi:type="dcterms:W3CDTF">2026-07-02T22:06:05Z</dcterms:modified>
</cp:coreProperties>
</file>