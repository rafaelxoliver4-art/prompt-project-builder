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'history'!$A$1:$V$4370</definedName>
    <definedName name="_xlnm._FilterDatabase" localSheetId="1" hidden="1">'latest'!$A$1:$V$65</definedName>
    <definedName name="_xlnm._FilterDatabase" localSheetId="10" hidden="1">'convergent_history'!$A$1:$Z$852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'comparison'!$B$3:$B$76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'comparison'!$C$3:$C$76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'comparison'!$D$3:$D$76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'comparison'!$E$3:$E$76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'comparison'!$F$3:$F$76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'comparison'!$G$3:$G$76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'comparison'!$H$3:$H$76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'comparison'!$I$3:$I$76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'comparison'!$J$3:$J$76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'comparison'!$K$3:$K$76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'comparison'!$L$3:$L$76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'comparison'!$A$3:$A$76</f>
            </numRef>
          </cat>
          <val>
            <numRef>
              <f>'comparison'!$M$3:$M$76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37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2026-09-04T19:45:10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2026-09-04T19:45:10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2026-09-04T19:45:10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2026-09-04T19:45:10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2026-09-04T19:45:10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2026-09-04T19:45:10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2026-09-04T19:45:10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2026-09-04T19:45:10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2026-09-04T19:45:10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2026-09-04T19:45:10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2026-09-04T19:45:10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2026-09-04T19:45:10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2026-09-04T19:45:10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2026-09-04T19:45:10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2026-09-04T19:45:10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2026-09-04T19:45:10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2026-09-04T19:45:10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2026-09-04T19:45:10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2026-09-04T19:45:10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2026-09-04T19:45:10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2026-09-04T19:45:10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2026-09-04T19:45:10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2026-09-04T19:45:10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2026-09-04T19:45:10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2026-09-04T19:45:10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2026-09-04T19:45:10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2026-09-04T19:45:10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2026-09-04T19:45:10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2026-09-04T19:45:10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2026-09-04T19:45:10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A Express 67GB</t>
        </is>
      </c>
      <c r="G4208" s="2" t="inlineStr">
        <is>
          <t>tim:55121</t>
        </is>
      </c>
      <c r="H4208" s="3" t="n">
        <v>119.99</v>
      </c>
      <c r="I4208" s="3" t="inlineStr"/>
      <c r="J4208" s="2" t="inlineStr"/>
      <c r="K4208" s="2" t="inlineStr">
        <is>
          <t>credit_card</t>
        </is>
      </c>
      <c r="L4208" s="4" t="n">
        <v>67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2026-09-04T19:45:10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B Express 82GB</t>
        </is>
      </c>
      <c r="G4209" s="5" t="inlineStr">
        <is>
          <t>tim:52146</t>
        </is>
      </c>
      <c r="H4209" s="6" t="n">
        <v>144.99</v>
      </c>
      <c r="I4209" s="6" t="inlineStr"/>
      <c r="J4209" s="5" t="inlineStr"/>
      <c r="K4209" s="5" t="inlineStr">
        <is>
          <t>credit_card</t>
        </is>
      </c>
      <c r="L4209" s="7" t="n">
        <v>82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2026-09-04T19:45:10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C Express 107GB</t>
        </is>
      </c>
      <c r="G4210" s="2" t="inlineStr">
        <is>
          <t>tim:52151</t>
        </is>
      </c>
      <c r="H4210" s="3" t="n">
        <v>164.99</v>
      </c>
      <c r="I4210" s="3" t="inlineStr"/>
      <c r="J4210" s="2" t="inlineStr"/>
      <c r="K4210" s="2" t="inlineStr">
        <is>
          <t>credit_card</t>
        </is>
      </c>
      <c r="L4210" s="4" t="n">
        <v>107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2026-09-04T19:45:10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Plus 80GB</t>
        </is>
      </c>
      <c r="G4211" s="5" t="inlineStr">
        <is>
          <t>tim:54256</t>
        </is>
      </c>
      <c r="H4211" s="6" t="n">
        <v>149.99</v>
      </c>
      <c r="I4211" s="6" t="inlineStr"/>
      <c r="J4211" s="5" t="inlineStr"/>
      <c r="K4211" s="5" t="inlineStr">
        <is>
          <t>bill</t>
        </is>
      </c>
      <c r="L4211" s="7" t="n">
        <v>80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2026-09-04T19:45:10</t>
        </is>
      </c>
      <c r="C4212" s="2" t="inlineStr">
        <is>
          <t>tim</t>
        </is>
      </c>
      <c r="D4212" s="2" t="inlineStr">
        <is>
          <t>postpaid</t>
        </is>
      </c>
      <c r="E4212" s="2" t="inlineStr">
        <is>
          <t>SP</t>
        </is>
      </c>
      <c r="F4212" s="2" t="inlineStr">
        <is>
          <t>TIM Black Premium 110GB</t>
        </is>
      </c>
      <c r="G4212" s="2" t="inlineStr">
        <is>
          <t>tim:54261</t>
        </is>
      </c>
      <c r="H4212" s="3" t="n">
        <v>159.99</v>
      </c>
      <c r="I4212" s="3" t="inlineStr"/>
      <c r="J4212" s="2" t="inlineStr"/>
      <c r="K4212" s="2" t="inlineStr">
        <is>
          <t>bill</t>
        </is>
      </c>
      <c r="L4212" s="4" t="n">
        <v>110</v>
      </c>
      <c r="M4212" s="2" t="inlineStr"/>
      <c r="N4212" s="2" t="inlineStr"/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https://www.tim.com.br/sp/para-voce/planos/pos-pago/tim-black</t>
        </is>
      </c>
      <c r="V4212" s="2" t="inlineStr">
        <is>
          <t>data/raw/tim_postpaid_SP.html</t>
        </is>
      </c>
    </row>
    <row r="4213">
      <c r="A4213" s="5" t="inlineStr">
        <is>
          <t>2026-09-04</t>
        </is>
      </c>
      <c r="B4213" s="5" t="inlineStr">
        <is>
          <t>2026-09-04T19:45:10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16GB</t>
        </is>
      </c>
      <c r="G4213" s="5" t="inlineStr">
        <is>
          <t>tim:106306</t>
        </is>
      </c>
      <c r="H4213" s="6" t="n">
        <v>30</v>
      </c>
      <c r="I4213" s="6" t="inlineStr"/>
      <c r="J4213" s="5" t="inlineStr"/>
      <c r="K4213" s="5" t="inlineStr"/>
      <c r="L4213" s="7" t="n">
        <v>16</v>
      </c>
      <c r="M4213" s="5" t="inlineStr"/>
      <c r="N4213" s="5" t="n">
        <v>30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2026-09-04T19:45:10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6GB</t>
        </is>
      </c>
      <c r="G4214" s="2" t="inlineStr">
        <is>
          <t>tim:59906</t>
        </is>
      </c>
      <c r="H4214" s="3" t="n">
        <v>20</v>
      </c>
      <c r="I4214" s="3" t="inlineStr"/>
      <c r="J4214" s="2" t="inlineStr"/>
      <c r="K4214" s="2" t="inlineStr"/>
      <c r="L4214" s="4" t="n">
        <v>6</v>
      </c>
      <c r="M4214" s="2" t="inlineStr"/>
      <c r="N4214" s="2" t="n">
        <v>17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2026-09-04T19:45:10</t>
        </is>
      </c>
      <c r="C4215" s="5" t="inlineStr">
        <is>
          <t>tim</t>
        </is>
      </c>
      <c r="D4215" s="5" t="inlineStr">
        <is>
          <t>prepaid</t>
        </is>
      </c>
      <c r="E4215" s="5" t="inlineStr">
        <is>
          <t>SP</t>
        </is>
      </c>
      <c r="F4215" s="5" t="inlineStr">
        <is>
          <t>TIM Pré XIP Plus 8GB</t>
        </is>
      </c>
      <c r="G4215" s="5" t="inlineStr">
        <is>
          <t>tim:59901</t>
        </is>
      </c>
      <c r="H4215" s="6" t="n">
        <v>25</v>
      </c>
      <c r="I4215" s="6" t="inlineStr"/>
      <c r="J4215" s="5" t="inlineStr"/>
      <c r="K4215" s="5" t="inlineStr"/>
      <c r="L4215" s="7" t="n">
        <v>8</v>
      </c>
      <c r="M4215" s="5" t="inlineStr"/>
      <c r="N4215" s="5" t="n">
        <v>22</v>
      </c>
      <c r="O4215" s="5" t="inlineStr"/>
      <c r="P4215" s="5" t="inlineStr"/>
      <c r="Q4215" s="5" t="inlineStr"/>
      <c r="R4215" s="5" t="inlineStr"/>
      <c r="S4215" s="5" t="inlineStr"/>
      <c r="T4215" s="5" t="inlineStr"/>
      <c r="U4215" s="5" t="inlineStr">
        <is>
          <t>https://www.tim.com.br/sp/para-voce/planos/pre-pago</t>
        </is>
      </c>
      <c r="V4215" s="5" t="inlineStr">
        <is>
          <t>data/raw/tim_prepaid_SP.html</t>
        </is>
      </c>
    </row>
    <row r="4216">
      <c r="A4216" s="2" t="inlineStr">
        <is>
          <t>2026-09-04</t>
        </is>
      </c>
      <c r="B4216" s="2" t="inlineStr">
        <is>
          <t>2026-09-04T19:45:10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vivo:VIV202600034591</t>
        </is>
      </c>
      <c r="H4216" s="3" t="n">
        <v>59</v>
      </c>
      <c r="I4216" s="3" t="inlineStr"/>
      <c r="J4216" s="2" t="inlineStr"/>
      <c r="K4216" s="2" t="inlineStr"/>
      <c r="L4216" s="4" t="n">
        <v>45</v>
      </c>
      <c r="M4216" s="2" t="inlineStr">
        <is>
          <t>15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2026-09-04T19:45:10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</t>
        </is>
      </c>
      <c r="G4217" s="5" t="inlineStr">
        <is>
          <t>vivo:VIV202600034599</t>
        </is>
      </c>
      <c r="H4217" s="6" t="n">
        <v>75</v>
      </c>
      <c r="I4217" s="6" t="inlineStr"/>
      <c r="J4217" s="5" t="inlineStr">
        <is>
          <t>preço-base do plano; a tela exibia R$ 80 com o adicional pré-selecionado (+R$ 5/mês, opcional); 60 GB na tela incluem +10 GB do adicional</t>
        </is>
      </c>
      <c r="K4217" s="5" t="inlineStr"/>
      <c r="L4217" s="7" t="n">
        <v>50</v>
      </c>
      <c r="M4217" s="5" t="inlineStr">
        <is>
          <t>20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6 meses grátis de Gemini com AI Plus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2026-09-04T19:45:10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Amazon</t>
        </is>
      </c>
      <c r="G4218" s="2" t="inlineStr">
        <is>
          <t>vivo:VIV202600038804</t>
        </is>
      </c>
      <c r="H4218" s="3" t="n">
        <v>70</v>
      </c>
      <c r="I4218" s="3" t="inlineStr"/>
      <c r="J4218" s="2" t="inlineStr">
        <is>
          <t>preço-base do plano; a tela exibia R$ 75 com o adicional pré-selecionado (+R$ 5/mês, opcional); 58 GB na tela incluem +10 GB do adicional</t>
        </is>
      </c>
      <c r="K4218" s="2" t="inlineStr"/>
      <c r="L4218" s="4" t="n">
        <v>48</v>
      </c>
      <c r="M4218" s="2" t="inlineStr">
        <is>
          <t>18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Amazon Prime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2026-09-04T19:45:10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Educação</t>
        </is>
      </c>
      <c r="G4219" s="5" t="inlineStr">
        <is>
          <t>vivo:VIV202600034616</t>
        </is>
      </c>
      <c r="H4219" s="6" t="n">
        <v>85</v>
      </c>
      <c r="I4219" s="6" t="inlineStr"/>
      <c r="J4219" s="5" t="inlineStr">
        <is>
          <t>preço-base do plano; a tela exibia R$ 90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Vivae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2026-09-04T19:45:10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Entretenimento</t>
        </is>
      </c>
      <c r="G4220" s="2" t="inlineStr">
        <is>
          <t>vivo:VIV202600034619</t>
        </is>
      </c>
      <c r="H4220" s="3" t="n">
        <v>105</v>
      </c>
      <c r="I4220" s="3" t="inlineStr"/>
      <c r="J4220" s="2" t="inlineStr">
        <is>
          <t>preço-base do plano; a tela exibia R$ 110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Assinatura Vivo TV Inicial inclusa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2026-09-04T19:45:10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Música</t>
        </is>
      </c>
      <c r="G4221" s="5" t="inlineStr">
        <is>
          <t>vivo:VIV202600034620</t>
        </is>
      </c>
      <c r="H4221" s="6" t="n">
        <v>85</v>
      </c>
      <c r="I4221" s="6" t="inlineStr"/>
      <c r="J4221" s="5" t="inlineStr">
        <is>
          <t>preço-base do plano; a tela exibia R$ 90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Apple Music Individual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2026-09-04T19:45:10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Netflix</t>
        </is>
      </c>
      <c r="G4222" s="2" t="inlineStr">
        <is>
          <t>vivo:VIV202600034623</t>
        </is>
      </c>
      <c r="H4222" s="3" t="n">
        <v>90</v>
      </c>
      <c r="I4222" s="3" t="inlineStr"/>
      <c r="J4222" s="2" t="inlineStr">
        <is>
          <t>preço-base do plano; a tela exibia R$ 95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Netflix Padrão com anúncios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2026-09-04T19:45:10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Saúde</t>
        </is>
      </c>
      <c r="G4223" s="5" t="inlineStr">
        <is>
          <t>vivo:VIV202600034625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Vale Saúde Sempre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2026-09-04T19:45:10</t>
        </is>
      </c>
      <c r="C4224" s="2" t="inlineStr">
        <is>
          <t>vivo</t>
        </is>
      </c>
      <c r="D4224" s="2" t="inlineStr">
        <is>
          <t>control</t>
        </is>
      </c>
      <c r="E4224" s="2" t="inlineStr">
        <is>
          <t>SP</t>
        </is>
      </c>
      <c r="F4224" s="2" t="inlineStr">
        <is>
          <t>Vivo Controle Youtube Lite</t>
        </is>
      </c>
      <c r="G4224" s="2" t="inlineStr">
        <is>
          <t>vivo:VIV202600034626</t>
        </is>
      </c>
      <c r="H4224" s="3" t="n">
        <v>85</v>
      </c>
      <c r="I4224" s="3" t="inlineStr"/>
      <c r="J4224" s="2" t="inlineStr">
        <is>
          <t>preço-base do plano; a tela exibia R$ 90 com o adicional pré-selecionado (+R$ 5/mês, opcional); 60 GB na tela incluem +10 GB do adicional</t>
        </is>
      </c>
      <c r="K4224" s="2" t="inlineStr"/>
      <c r="L4224" s="4" t="n">
        <v>50</v>
      </c>
      <c r="M4224" s="2" t="inlineStr">
        <is>
          <t>20 GB de franquia 30 GB de bônus</t>
        </is>
      </c>
      <c r="N4224" s="2" t="inlineStr"/>
      <c r="O4224" s="2" t="inlineStr"/>
      <c r="P4224" s="2" t="inlineStr"/>
      <c r="Q4224" s="2" t="inlineStr"/>
      <c r="R4224" s="2" t="inlineStr"/>
      <c r="S4224" s="2" t="inlineStr"/>
      <c r="T4224" s="2" t="inlineStr">
        <is>
          <t>Assinatura Youtube Premium Lite Inclusa</t>
        </is>
      </c>
      <c r="U4224" s="2" t="inlineStr">
        <is>
          <t>https://vivo.com.br/para-voce/produtos-e-servicos/para-o-celular/planos-controle</t>
        </is>
      </c>
      <c r="V4224" s="2" t="inlineStr">
        <is>
          <t>data/raw/vivo_control_SP.html</t>
        </is>
      </c>
    </row>
    <row r="4225">
      <c r="A4225" s="5" t="inlineStr">
        <is>
          <t>2026-09-04</t>
        </is>
      </c>
      <c r="B4225" s="5" t="inlineStr">
        <is>
          <t>2026-09-04T19:45:10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vivo:VIV202600038808</t>
        </is>
      </c>
      <c r="H4225" s="6" t="n">
        <v>45</v>
      </c>
      <c r="I4225" s="6" t="n">
        <v>30</v>
      </c>
      <c r="J4225" s="5" t="inlineStr">
        <is>
          <t>preço sem fidelidade; fidelidade 12m no promo</t>
        </is>
      </c>
      <c r="K4225" s="5" t="inlineStr"/>
      <c r="L4225" s="7" t="n">
        <v>30</v>
      </c>
      <c r="M4225" s="5" t="inlineStr">
        <is>
          <t>30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2026-09-04T19:45:10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vivo:VIV202600038810</t>
        </is>
      </c>
      <c r="H4226" s="3" t="n">
        <v>55</v>
      </c>
      <c r="I4226" s="3" t="n">
        <v>40</v>
      </c>
      <c r="J4226" s="2" t="inlineStr">
        <is>
          <t>preço sem fidelidade; fidelidade 12m no promo</t>
        </is>
      </c>
      <c r="K4226" s="2" t="inlineStr"/>
      <c r="L4226" s="4" t="n">
        <v>40</v>
      </c>
      <c r="M4226" s="2" t="inlineStr">
        <is>
          <t>40 GB de franquia</t>
        </is>
      </c>
      <c r="N4226" s="2" t="inlineStr"/>
      <c r="O4226" s="2" t="inlineStr"/>
      <c r="P4226" s="2" t="inlineStr"/>
      <c r="Q4226" s="2" t="inlineStr"/>
      <c r="R4226" s="2" t="inlineStr"/>
      <c r="S4226" s="2" t="n">
        <v>12</v>
      </c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2026-09-04T19:45:10</t>
        </is>
      </c>
      <c r="C4227" s="5" t="inlineStr">
        <is>
          <t>vivo</t>
        </is>
      </c>
      <c r="D4227" s="5" t="inlineStr">
        <is>
          <t>lite</t>
        </is>
      </c>
      <c r="E4227" s="5" t="inlineStr">
        <is>
          <t>SP</t>
        </is>
      </c>
      <c r="F4227" s="5" t="inlineStr">
        <is>
          <t>Vivo Lite</t>
        </is>
      </c>
      <c r="G4227" s="5" t="inlineStr">
        <is>
          <t>vivo:VIV202600038814</t>
        </is>
      </c>
      <c r="H4227" s="6" t="n">
        <v>35</v>
      </c>
      <c r="I4227" s="6" t="inlineStr"/>
      <c r="J4227" s="5" t="inlineStr"/>
      <c r="K4227" s="5" t="inlineStr"/>
      <c r="L4227" s="7" t="n">
        <v>20</v>
      </c>
      <c r="M4227" s="5" t="inlineStr">
        <is>
          <t>20 GB de franquia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/>
      <c r="U4227" s="5" t="inlineStr">
        <is>
          <t>https://vivo.com.br/para-voce/produtos-e-servicos/para-o-celular/easy-lite</t>
        </is>
      </c>
      <c r="V4227" s="5" t="inlineStr">
        <is>
          <t>data/raw/vivo_lite_SP.html</t>
        </is>
      </c>
    </row>
    <row r="4228">
      <c r="A4228" s="2" t="inlineStr">
        <is>
          <t>2026-09-04</t>
        </is>
      </c>
      <c r="B4228" s="2" t="inlineStr">
        <is>
          <t>2026-09-04T19:45:10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2</t>
        </is>
      </c>
      <c r="G4228" s="2" t="inlineStr">
        <is>
          <t>vivo:VIV202600034547</t>
        </is>
      </c>
      <c r="H4228" s="3" t="n">
        <v>270</v>
      </c>
      <c r="I4228" s="3" t="inlineStr"/>
      <c r="J4228" s="2" t="inlineStr"/>
      <c r="K4228" s="2" t="inlineStr"/>
      <c r="L4228" s="4" t="n">
        <v>120</v>
      </c>
      <c r="M4228" s="2" t="inlineStr">
        <is>
          <t>120 GB de franquia Você + 1 linha adicional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2026-09-04T19:45:10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3</t>
        </is>
      </c>
      <c r="G4229" s="5" t="inlineStr">
        <is>
          <t>vivo:VIV202600034540</t>
        </is>
      </c>
      <c r="H4229" s="6" t="n">
        <v>340</v>
      </c>
      <c r="I4229" s="6" t="inlineStr"/>
      <c r="J4229" s="5" t="inlineStr"/>
      <c r="K4229" s="5" t="inlineStr"/>
      <c r="L4229" s="7" t="n">
        <v>180</v>
      </c>
      <c r="M4229" s="5" t="inlineStr">
        <is>
          <t>180 GB de franquia Você + 2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2026-09-04T19:45:10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4</t>
        </is>
      </c>
      <c r="G4230" s="2" t="inlineStr">
        <is>
          <t>vivo:VIV202600034531</t>
        </is>
      </c>
      <c r="H4230" s="3" t="n">
        <v>430</v>
      </c>
      <c r="I4230" s="3" t="inlineStr"/>
      <c r="J4230" s="2" t="inlineStr"/>
      <c r="K4230" s="2" t="inlineStr"/>
      <c r="L4230" s="4" t="n">
        <v>240</v>
      </c>
      <c r="M4230" s="2" t="inlineStr">
        <is>
          <t>240 GB de franquia Você + 3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2026-09-04T19:45:10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Família 5</t>
        </is>
      </c>
      <c r="G4231" s="5" t="inlineStr">
        <is>
          <t>vivo:VIV202600034526</t>
        </is>
      </c>
      <c r="H4231" s="6" t="n">
        <v>530</v>
      </c>
      <c r="I4231" s="6" t="inlineStr"/>
      <c r="J4231" s="5" t="inlineStr"/>
      <c r="K4231" s="5" t="inlineStr"/>
      <c r="L4231" s="7" t="n">
        <v>300</v>
      </c>
      <c r="M4231" s="5" t="inlineStr">
        <is>
          <t>300 GB de franquia Você + 4 linhas adicionais Roaming Internacional com Vivo Travel Américas e Europa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12 meses grátis de Gemini com AI Plus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2026-09-04T19:45:10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Amazon</t>
        </is>
      </c>
      <c r="G4232" s="2" t="inlineStr">
        <is>
          <t>vivo:VIV202600034554</t>
        </is>
      </c>
      <c r="H4232" s="3" t="n">
        <v>150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/>
      <c r="S4232" s="2" t="inlineStr"/>
      <c r="T4232" s="2" t="inlineStr">
        <is>
          <t>Assinatura Amazon Prime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2026-09-04T19:45:10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Disney+</t>
        </is>
      </c>
      <c r="G4233" s="5" t="inlineStr">
        <is>
          <t>vivo:VIV202600034532</t>
        </is>
      </c>
      <c r="H4233" s="6" t="n">
        <v>180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Disney+</t>
        </is>
      </c>
      <c r="S4233" s="5" t="inlineStr"/>
      <c r="T4233" s="5" t="inlineStr">
        <is>
          <t>Assinatura Disney+ Padrão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2026-09-04T19:45:10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Globoplay</t>
        </is>
      </c>
      <c r="G4234" s="2" t="inlineStr">
        <is>
          <t>vivo:VIV202600034575</t>
        </is>
      </c>
      <c r="H4234" s="3" t="n">
        <v>165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Globoplay</t>
        </is>
      </c>
      <c r="S4234" s="2" t="inlineStr"/>
      <c r="T4234" s="2" t="inlineStr">
        <is>
          <t>Assinatura Globoplay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2026-09-04T19:45:10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Netflix</t>
        </is>
      </c>
      <c r="G4235" s="5" t="inlineStr">
        <is>
          <t>vivo:VIV202600034562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Netflix</t>
        </is>
      </c>
      <c r="S4235" s="5" t="inlineStr"/>
      <c r="T4235" s="5" t="inlineStr">
        <is>
          <t>Assinatura Netflix Padrão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2026-09-04T19:45:10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Premiere</t>
        </is>
      </c>
      <c r="G4236" s="2" t="inlineStr">
        <is>
          <t>vivo:VIV202600034579</t>
        </is>
      </c>
      <c r="H4236" s="3" t="n">
        <v>180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Premiere</t>
        </is>
      </c>
      <c r="S4236" s="2" t="inlineStr"/>
      <c r="T4236" s="2" t="inlineStr">
        <is>
          <t>Assinatura Premiere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2026-09-04T19:45:10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Spotify</t>
        </is>
      </c>
      <c r="G4237" s="5" t="inlineStr">
        <is>
          <t>vivo:VIV202600034556</t>
        </is>
      </c>
      <c r="H4237" s="6" t="n">
        <v>165</v>
      </c>
      <c r="I4237" s="6" t="inlineStr"/>
      <c r="J4237" s="5" t="inlineStr"/>
      <c r="K4237" s="5" t="inlineStr"/>
      <c r="L4237" s="7" t="n">
        <v>60</v>
      </c>
      <c r="M4237" s="5" t="inlineStr">
        <is>
          <t>50 GB de franquia 10 GB de bônus</t>
        </is>
      </c>
      <c r="N4237" s="5" t="inlineStr"/>
      <c r="O4237" s="5" t="inlineStr"/>
      <c r="P4237" s="5" t="inlineStr"/>
      <c r="Q4237" s="5" t="inlineStr"/>
      <c r="R4237" s="5" t="inlineStr">
        <is>
          <t>Spotify</t>
        </is>
      </c>
      <c r="S4237" s="5" t="inlineStr"/>
      <c r="T4237" s="5" t="inlineStr">
        <is>
          <t>Assinatura Spotify Premium inclusa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2026-09-04T19:45:10</t>
        </is>
      </c>
      <c r="C4238" s="2" t="inlineStr">
        <is>
          <t>vivo</t>
        </is>
      </c>
      <c r="D4238" s="2" t="inlineStr">
        <is>
          <t>postpaid</t>
        </is>
      </c>
      <c r="E4238" s="2" t="inlineStr">
        <is>
          <t>SP</t>
        </is>
      </c>
      <c r="F4238" s="2" t="inlineStr">
        <is>
          <t>Vivo Pós com Travel</t>
        </is>
      </c>
      <c r="G4238" s="2" t="inlineStr">
        <is>
          <t>vivo:VIV202600034573</t>
        </is>
      </c>
      <c r="H4238" s="3" t="n">
        <v>215</v>
      </c>
      <c r="I4238" s="3" t="inlineStr"/>
      <c r="J4238" s="2" t="inlineStr"/>
      <c r="K4238" s="2" t="inlineStr"/>
      <c r="L4238" s="4" t="n">
        <v>70</v>
      </c>
      <c r="M4238" s="2" t="inlineStr">
        <is>
          <t>60 GB de franquia 10 GB de bônus</t>
        </is>
      </c>
      <c r="N4238" s="2" t="inlineStr"/>
      <c r="O4238" s="2" t="inlineStr"/>
      <c r="P4238" s="2" t="inlineStr"/>
      <c r="Q4238" s="2" t="inlineStr"/>
      <c r="R4238" s="2" t="inlineStr"/>
      <c r="S4238" s="2" t="inlineStr"/>
      <c r="T4238" s="2" t="inlineStr">
        <is>
          <t>6 meses grátis de Gemini com AI Plus</t>
        </is>
      </c>
      <c r="U4238" s="2" t="inlineStr">
        <is>
          <t>https://vivo.com.br/para-voce/produtos-e-servicos/para-o-celular/planos-pos-pago</t>
        </is>
      </c>
      <c r="V4238" s="2" t="inlineStr">
        <is>
          <t>data/raw/vivo_postpaid_SP.html</t>
        </is>
      </c>
    </row>
    <row r="4239">
      <c r="A4239" s="5" t="inlineStr">
        <is>
          <t>2026-09-04</t>
        </is>
      </c>
      <c r="B4239" s="5" t="inlineStr">
        <is>
          <t>2026-09-04T19:45:10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vivo:VIV202600029370-30d</t>
        </is>
      </c>
      <c r="H4239" s="6" t="n">
        <v>30</v>
      </c>
      <c r="I4239" s="6" t="inlineStr"/>
      <c r="J4239" s="5" t="inlineStr"/>
      <c r="K4239" s="5" t="inlineStr"/>
      <c r="L4239" s="7" t="n">
        <v>25</v>
      </c>
      <c r="M4239" s="5" t="inlineStr">
        <is>
          <t>15 GB para navegar como quiser 5 GB de bônus 5 GB para navegar no Youtube</t>
        </is>
      </c>
      <c r="N4239" s="5" t="n">
        <v>30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2026-09-04T19:45:10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vivo:VIV202600029370-22d</t>
        </is>
      </c>
      <c r="H4240" s="3" t="n">
        <v>25</v>
      </c>
      <c r="I4240" s="3" t="inlineStr"/>
      <c r="J4240" s="2" t="inlineStr"/>
      <c r="K4240" s="2" t="inlineStr"/>
      <c r="L4240" s="4" t="n">
        <v>9</v>
      </c>
      <c r="M4240" s="2" t="inlineStr">
        <is>
          <t>6 GB para navegar como quiser 3 GB para navegar no YouTube</t>
        </is>
      </c>
      <c r="N4240" s="2" t="n">
        <v>22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2026-09-04T19:45:10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vivo:VIV202600029370-17d</t>
        </is>
      </c>
      <c r="H4241" s="6" t="n">
        <v>20</v>
      </c>
      <c r="I4241" s="6" t="inlineStr"/>
      <c r="J4241" s="5" t="inlineStr"/>
      <c r="K4241" s="5" t="inlineStr"/>
      <c r="L4241" s="7" t="n">
        <v>5</v>
      </c>
      <c r="M4241" s="5" t="inlineStr">
        <is>
          <t>5 GB para navegar como quiser</t>
        </is>
      </c>
      <c r="N4241" s="5" t="n">
        <v>17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  <row r="4242">
      <c r="A4242" s="2" t="inlineStr">
        <is>
          <t>2026-09-04</t>
        </is>
      </c>
      <c r="B4242" s="2" t="inlineStr">
        <is>
          <t>2026-09-04T19:45:10</t>
        </is>
      </c>
      <c r="C4242" s="2" t="inlineStr">
        <is>
          <t>vivo</t>
        </is>
      </c>
      <c r="D4242" s="2" t="inlineStr">
        <is>
          <t>prepaid</t>
        </is>
      </c>
      <c r="E4242" s="2" t="inlineStr">
        <is>
          <t>SP</t>
        </is>
      </c>
      <c r="F4242" s="2" t="inlineStr">
        <is>
          <t>Vivo Pré</t>
        </is>
      </c>
      <c r="G4242" s="2" t="inlineStr">
        <is>
          <t>vivo:VIV202600029370-15d</t>
        </is>
      </c>
      <c r="H4242" s="3" t="n">
        <v>17</v>
      </c>
      <c r="I4242" s="3" t="inlineStr"/>
      <c r="J4242" s="2" t="inlineStr"/>
      <c r="K4242" s="2" t="inlineStr"/>
      <c r="L4242" s="4" t="n">
        <v>4</v>
      </c>
      <c r="M4242" s="2" t="inlineStr">
        <is>
          <t>4 GB para navegar como quiser</t>
        </is>
      </c>
      <c r="N4242" s="2" t="n">
        <v>15</v>
      </c>
      <c r="O4242" s="2" t="inlineStr"/>
      <c r="P4242" s="2" t="inlineStr"/>
      <c r="Q4242" s="2" t="inlineStr"/>
      <c r="R4242" s="2" t="inlineStr"/>
      <c r="S4242" s="2" t="inlineStr"/>
      <c r="T4242" s="2" t="inlineStr"/>
      <c r="U4242" s="2" t="inlineStr">
        <is>
          <t>https://vivo.com.br/para-voce/produtos-e-servicos/para-o-celular/pre-pago/vivo-pre</t>
        </is>
      </c>
      <c r="V4242" s="2" t="inlineStr">
        <is>
          <t>data/raw/vivo_prepaid_SP.html</t>
        </is>
      </c>
    </row>
    <row r="4243">
      <c r="A4243" s="5" t="inlineStr">
        <is>
          <t>2026-09-05</t>
        </is>
      </c>
      <c r="B4243" s="5" t="inlineStr">
        <is>
          <t>2026-09-05T19:37:33</t>
        </is>
      </c>
      <c r="C4243" s="5" t="inlineStr">
        <is>
          <t>claro</t>
        </is>
      </c>
      <c r="D4243" s="5" t="inlineStr">
        <is>
          <t>control</t>
        </is>
      </c>
      <c r="E4243" s="5" t="inlineStr">
        <is>
          <t>SP</t>
        </is>
      </c>
      <c r="F4243" s="5" t="inlineStr">
        <is>
          <t>Controle 25GB</t>
        </is>
      </c>
      <c r="G4243" s="5" t="inlineStr">
        <is>
          <t>claro:plano-controle-25gb</t>
        </is>
      </c>
      <c r="H4243" s="6" t="n">
        <v>59.9</v>
      </c>
      <c r="I4243" s="6" t="n">
        <v>54.9</v>
      </c>
      <c r="J4243" s="5" t="inlineStr">
        <is>
          <t>De R$ 59,90 Por:</t>
        </is>
      </c>
      <c r="K4243" s="5" t="inlineStr"/>
      <c r="L4243" s="7" t="n">
        <v>25</v>
      </c>
      <c r="M4243" s="5" t="inlineStr"/>
      <c r="N4243" s="5" t="inlineStr"/>
      <c r="O4243" s="5" t="inlineStr">
        <is>
          <t>WhatsApp</t>
        </is>
      </c>
      <c r="P4243" s="5" t="inlineStr"/>
      <c r="Q4243" s="5" t="inlineStr"/>
      <c r="R4243" s="5" t="inlineStr"/>
      <c r="S4243" s="5" t="inlineStr"/>
      <c r="T4243" s="5" t="inlineStr">
        <is>
          <t>Para uso livre; Para redes sociais e vídeos; Bônus exclusivo; Aproveite na sua franquia; WhatsApp e ligações ilimitadas</t>
        </is>
      </c>
      <c r="U4243" s="5" t="inlineStr">
        <is>
          <t>https://www.claro.com.br/celular/controle</t>
        </is>
      </c>
      <c r="V4243" s="5" t="inlineStr">
        <is>
          <t>data/raw/claro_control_SP.json</t>
        </is>
      </c>
    </row>
    <row r="4244">
      <c r="A4244" s="2" t="inlineStr">
        <is>
          <t>2026-09-05</t>
        </is>
      </c>
      <c r="B4244" s="2" t="inlineStr">
        <is>
          <t>2026-09-05T19:37:33</t>
        </is>
      </c>
      <c r="C4244" s="2" t="inlineStr">
        <is>
          <t>claro</t>
        </is>
      </c>
      <c r="D4244" s="2" t="inlineStr">
        <is>
          <t>control</t>
        </is>
      </c>
      <c r="E4244" s="2" t="inlineStr">
        <is>
          <t>SP</t>
        </is>
      </c>
      <c r="F4244" s="2" t="inlineStr">
        <is>
          <t>Controle 30GB</t>
        </is>
      </c>
      <c r="G4244" s="2" t="inlineStr">
        <is>
          <t>claro:plano-controle-30gb</t>
        </is>
      </c>
      <c r="H4244" s="3" t="n">
        <v>69.90000000000001</v>
      </c>
      <c r="I4244" s="3" t="inlineStr"/>
      <c r="J4244" s="2" t="inlineStr"/>
      <c r="K4244" s="2" t="inlineStr"/>
      <c r="L4244" s="4" t="n">
        <v>30</v>
      </c>
      <c r="M4244" s="2" t="inlineStr"/>
      <c r="N4244" s="2" t="inlineStr"/>
      <c r="O4244" s="2" t="inlineStr">
        <is>
          <t>WhatsApp</t>
        </is>
      </c>
      <c r="P4244" s="2" t="inlineStr"/>
      <c r="Q4244" s="2" t="inlineStr"/>
      <c r="R4244" s="2" t="inlineStr"/>
      <c r="S4244" s="2" t="inlineStr"/>
      <c r="T4244" s="2" t="inlineStr">
        <is>
          <t>Para uso livre; Bônus para uso livre; Bônus para redes sociais e apps; Assinatura Amazon Prime por 3 meses; Redes sociais e apps; WhatsApp ilimitado</t>
        </is>
      </c>
      <c r="U4244" s="2" t="inlineStr">
        <is>
          <t>https://www.claro.com.br/celular/controle</t>
        </is>
      </c>
      <c r="V4244" s="2" t="inlineStr">
        <is>
          <t>data/raw/claro_control_SP.json</t>
        </is>
      </c>
    </row>
    <row r="4245">
      <c r="A4245" s="5" t="inlineStr">
        <is>
          <t>2026-09-05</t>
        </is>
      </c>
      <c r="B4245" s="5" t="inlineStr">
        <is>
          <t>2026-09-05T19:37:33</t>
        </is>
      </c>
      <c r="C4245" s="5" t="inlineStr">
        <is>
          <t>claro</t>
        </is>
      </c>
      <c r="D4245" s="5" t="inlineStr">
        <is>
          <t>control</t>
        </is>
      </c>
      <c r="E4245" s="5" t="inlineStr">
        <is>
          <t>SP</t>
        </is>
      </c>
      <c r="F4245" s="5" t="inlineStr">
        <is>
          <t>Controle 30GB</t>
        </is>
      </c>
      <c r="G4245" s="5" t="inlineStr">
        <is>
          <t>claro:plano-controle-30gb-gaming</t>
        </is>
      </c>
      <c r="H4245" s="6" t="n">
        <v>99.90000000000001</v>
      </c>
      <c r="I4245" s="6" t="inlineStr"/>
      <c r="J4245" s="5" t="inlineStr"/>
      <c r="K4245" s="5" t="inlineStr"/>
      <c r="L4245" s="7" t="n">
        <v>30</v>
      </c>
      <c r="M4245" s="5" t="inlineStr"/>
      <c r="N4245" s="5" t="inlineStr"/>
      <c r="O4245" s="5" t="inlineStr">
        <is>
          <t>WhatsApp</t>
        </is>
      </c>
      <c r="P4245" s="5" t="inlineStr"/>
      <c r="Q4245" s="5" t="inlineStr"/>
      <c r="R4245" s="5" t="inlineStr"/>
      <c r="S4245" s="5" t="inlineStr"/>
      <c r="T4245" s="5" t="inlineStr">
        <is>
          <t>Para uso livre; Bônus para redes sociais e apps; Bônus uso livre; Assinatura Amazon Prime por 3 meses; Redes sociais e apps; WhatsApp ilimitado</t>
        </is>
      </c>
      <c r="U4245" s="5" t="inlineStr">
        <is>
          <t>https://www.claro.com.br/celular/controle</t>
        </is>
      </c>
      <c r="V4245" s="5" t="inlineStr">
        <is>
          <t>data/raw/claro_control_SP.json</t>
        </is>
      </c>
    </row>
    <row r="4246">
      <c r="A4246" s="2" t="inlineStr">
        <is>
          <t>2026-09-05</t>
        </is>
      </c>
      <c r="B4246" s="2" t="inlineStr">
        <is>
          <t>2026-09-05T19:37:33</t>
        </is>
      </c>
      <c r="C4246" s="2" t="inlineStr">
        <is>
          <t>claro</t>
        </is>
      </c>
      <c r="D4246" s="2" t="inlineStr">
        <is>
          <t>flex</t>
        </is>
      </c>
      <c r="E4246" s="2" t="inlineStr">
        <is>
          <t>SP</t>
        </is>
      </c>
      <c r="F4246" s="2" t="inlineStr">
        <is>
          <t>Flex 15GB</t>
        </is>
      </c>
      <c r="G4246" s="2" t="inlineStr">
        <is>
          <t>claro:plano-flex-15gb</t>
        </is>
      </c>
      <c r="H4246" s="3" t="n">
        <v>44.9</v>
      </c>
      <c r="I4246" s="3" t="inlineStr"/>
      <c r="J4246" s="2" t="inlineStr"/>
      <c r="K4246" s="2" t="inlineStr"/>
      <c r="L4246" s="4" t="n">
        <v>15</v>
      </c>
      <c r="M4246" s="2" t="inlineStr"/>
      <c r="N4246" s="2" t="inlineStr"/>
      <c r="O4246" s="2" t="inlineStr">
        <is>
          <t>WhatsApp</t>
        </is>
      </c>
      <c r="P4246" s="2" t="inlineStr"/>
      <c r="Q4246" s="2" t="inlineStr"/>
      <c r="R4246" s="2" t="inlineStr"/>
      <c r="S4246" s="2" t="inlineStr"/>
      <c r="T4246" s="2" t="inlineStr">
        <is>
          <t>Para uso livre; Para redes sociais e apps; Bônus extra nos apps; WhatsApp ilimitado</t>
        </is>
      </c>
      <c r="U4246" s="2" t="inlineStr">
        <is>
          <t>https://www.claro.com.br/celular/flex</t>
        </is>
      </c>
      <c r="V4246" s="2" t="inlineStr">
        <is>
          <t>data/raw/claro_flex_SP.json</t>
        </is>
      </c>
    </row>
    <row r="4247">
      <c r="A4247" s="5" t="inlineStr">
        <is>
          <t>2026-09-05</t>
        </is>
      </c>
      <c r="B4247" s="5" t="inlineStr">
        <is>
          <t>2026-09-05T19:37:33</t>
        </is>
      </c>
      <c r="C4247" s="5" t="inlineStr">
        <is>
          <t>claro</t>
        </is>
      </c>
      <c r="D4247" s="5" t="inlineStr">
        <is>
          <t>flex</t>
        </is>
      </c>
      <c r="E4247" s="5" t="inlineStr">
        <is>
          <t>SP</t>
        </is>
      </c>
      <c r="F4247" s="5" t="inlineStr">
        <is>
          <t>Flex 20GB</t>
        </is>
      </c>
      <c r="G4247" s="5" t="inlineStr">
        <is>
          <t>claro:plano-flex-20gb</t>
        </is>
      </c>
      <c r="H4247" s="6" t="n">
        <v>59.9</v>
      </c>
      <c r="I4247" s="6" t="inlineStr"/>
      <c r="J4247" s="5" t="inlineStr"/>
      <c r="K4247" s="5" t="inlineStr"/>
      <c r="L4247" s="7" t="n">
        <v>20</v>
      </c>
      <c r="M4247" s="5" t="inlineStr"/>
      <c r="N4247" s="5" t="inlineStr"/>
      <c r="O4247" s="5" t="inlineStr">
        <is>
          <t>WhatsApp</t>
        </is>
      </c>
      <c r="P4247" s="5" t="inlineStr"/>
      <c r="Q4247" s="5" t="inlineStr"/>
      <c r="R4247" s="5" t="inlineStr"/>
      <c r="S4247" s="5" t="inlineStr"/>
      <c r="T4247" s="5" t="inlineStr">
        <is>
          <t>Para uso livre; Para redes sociais e apps; Bônus extra nos apps; WhatsApp ilimitado</t>
        </is>
      </c>
      <c r="U4247" s="5" t="inlineStr">
        <is>
          <t>https://www.claro.com.br/celular/flex</t>
        </is>
      </c>
      <c r="V4247" s="5" t="inlineStr">
        <is>
          <t>data/raw/claro_flex_SP.json</t>
        </is>
      </c>
    </row>
    <row r="4248">
      <c r="A4248" s="2" t="inlineStr">
        <is>
          <t>2026-09-05</t>
        </is>
      </c>
      <c r="B4248" s="2" t="inlineStr">
        <is>
          <t>2026-09-05T19:37:33</t>
        </is>
      </c>
      <c r="C4248" s="2" t="inlineStr">
        <is>
          <t>claro</t>
        </is>
      </c>
      <c r="D4248" s="2" t="inlineStr">
        <is>
          <t>flex</t>
        </is>
      </c>
      <c r="E4248" s="2" t="inlineStr">
        <is>
          <t>SP</t>
        </is>
      </c>
      <c r="F4248" s="2" t="inlineStr">
        <is>
          <t>Flex 30GB</t>
        </is>
      </c>
      <c r="G4248" s="2" t="inlineStr">
        <is>
          <t>claro:plano-flex-30gb</t>
        </is>
      </c>
      <c r="H4248" s="3" t="n">
        <v>69.90000000000001</v>
      </c>
      <c r="I4248" s="3" t="inlineStr"/>
      <c r="J4248" s="2" t="inlineStr"/>
      <c r="K4248" s="2" t="inlineStr"/>
      <c r="L4248" s="4" t="n">
        <v>30</v>
      </c>
      <c r="M4248" s="2" t="inlineStr"/>
      <c r="N4248" s="2" t="inlineStr"/>
      <c r="O4248" s="2" t="inlineStr">
        <is>
          <t>WhatsApp</t>
        </is>
      </c>
      <c r="P4248" s="2" t="inlineStr"/>
      <c r="Q4248" s="2" t="inlineStr"/>
      <c r="R4248" s="2" t="inlineStr"/>
      <c r="S4248" s="2" t="inlineStr"/>
      <c r="T4248" s="2" t="inlineStr">
        <is>
          <t>Para uso livre; Para redes sociais e apps; Bônus extra nos apps; WhatsApp ilimitado; Assinatura Claro musica inclusa</t>
        </is>
      </c>
      <c r="U4248" s="2" t="inlineStr">
        <is>
          <t>https://www.claro.com.br/celular/flex</t>
        </is>
      </c>
      <c r="V4248" s="2" t="inlineStr">
        <is>
          <t>data/raw/claro_flex_SP.json</t>
        </is>
      </c>
    </row>
    <row r="4249">
      <c r="A4249" s="5" t="inlineStr">
        <is>
          <t>2026-09-05</t>
        </is>
      </c>
      <c r="B4249" s="5" t="inlineStr">
        <is>
          <t>2026-09-05T19:37:33</t>
        </is>
      </c>
      <c r="C4249" s="5" t="inlineStr">
        <is>
          <t>claro</t>
        </is>
      </c>
      <c r="D4249" s="5" t="inlineStr">
        <is>
          <t>flex</t>
        </is>
      </c>
      <c r="E4249" s="5" t="inlineStr">
        <is>
          <t>SP</t>
        </is>
      </c>
      <c r="F4249" s="5" t="inlineStr">
        <is>
          <t>Flex 40GB</t>
        </is>
      </c>
      <c r="G4249" s="5" t="inlineStr">
        <is>
          <t>claro:plano-flex-40gb</t>
        </is>
      </c>
      <c r="H4249" s="6" t="n">
        <v>119.9</v>
      </c>
      <c r="I4249" s="6" t="inlineStr"/>
      <c r="J4249" s="5" t="inlineStr"/>
      <c r="K4249" s="5" t="inlineStr"/>
      <c r="L4249" s="7" t="n">
        <v>40</v>
      </c>
      <c r="M4249" s="5" t="inlineStr"/>
      <c r="N4249" s="5" t="inlineStr"/>
      <c r="O4249" s="5" t="inlineStr">
        <is>
          <t>WhatsApp</t>
        </is>
      </c>
      <c r="P4249" s="5" t="inlineStr"/>
      <c r="Q4249" s="5" t="inlineStr"/>
      <c r="R4249" s="5" t="inlineStr"/>
      <c r="S4249" s="5" t="inlineStr"/>
      <c r="T4249" s="5" t="inlineStr">
        <is>
          <t>Para uso livre; WhatsApp ilimitado; Assinatura Claro musica inclusa; Roaming: Passaporte Américas</t>
        </is>
      </c>
      <c r="U4249" s="5" t="inlineStr">
        <is>
          <t>https://www.claro.com.br/celular/flex</t>
        </is>
      </c>
      <c r="V4249" s="5" t="inlineStr">
        <is>
          <t>data/raw/claro_flex_SP.json</t>
        </is>
      </c>
    </row>
    <row r="4250">
      <c r="A4250" s="2" t="inlineStr">
        <is>
          <t>2026-09-05</t>
        </is>
      </c>
      <c r="B4250" s="2" t="inlineStr">
        <is>
          <t>2026-09-05T19:37:33</t>
        </is>
      </c>
      <c r="C4250" s="2" t="inlineStr">
        <is>
          <t>claro</t>
        </is>
      </c>
      <c r="D4250" s="2" t="inlineStr">
        <is>
          <t>postpaid</t>
        </is>
      </c>
      <c r="E4250" s="2" t="inlineStr">
        <is>
          <t>SP</t>
        </is>
      </c>
      <c r="F4250" s="2" t="inlineStr">
        <is>
          <t>Pós 100GB</t>
        </is>
      </c>
      <c r="G4250" s="2" t="inlineStr">
        <is>
          <t>claro:plano-pos-100gb</t>
        </is>
      </c>
      <c r="H4250" s="3" t="n">
        <v>179.9</v>
      </c>
      <c r="I4250" s="3" t="inlineStr"/>
      <c r="J4250" s="2" t="inlineStr"/>
      <c r="K4250" s="2" t="inlineStr"/>
      <c r="L4250" s="4" t="n">
        <v>100</v>
      </c>
      <c r="M4250" s="2" t="inlineStr"/>
      <c r="N4250" s="2" t="inlineStr"/>
      <c r="O4250" s="2" t="inlineStr">
        <is>
          <t>WhatsApp</t>
        </is>
      </c>
      <c r="P4250" s="2" t="inlineStr"/>
      <c r="Q4250" s="2" t="inlineStr"/>
      <c r="R4250" s="2" t="inlineStr"/>
      <c r="S4250" s="2" t="inlineStr"/>
      <c r="T4250" s="2" t="inlineStr">
        <is>
          <t>Armazenamento na nuvem:; Google One ou iCloud+; WhatsApp ilimitado; Assinatura Amazon Prime por 3 meses; Roaming: Passaporte Américas; Claro Sync: Smartwatch conectado</t>
        </is>
      </c>
      <c r="U4250" s="2" t="inlineStr">
        <is>
          <t>https://www.claro.com.br/celular/pos</t>
        </is>
      </c>
      <c r="V4250" s="2" t="inlineStr">
        <is>
          <t>data/raw/claro_postpaid_SP.json</t>
        </is>
      </c>
    </row>
    <row r="4251">
      <c r="A4251" s="5" t="inlineStr">
        <is>
          <t>2026-09-05</t>
        </is>
      </c>
      <c r="B4251" s="5" t="inlineStr">
        <is>
          <t>2026-09-05T19:37:33</t>
        </is>
      </c>
      <c r="C4251" s="5" t="inlineStr">
        <is>
          <t>claro</t>
        </is>
      </c>
      <c r="D4251" s="5" t="inlineStr">
        <is>
          <t>postpaid</t>
        </is>
      </c>
      <c r="E4251" s="5" t="inlineStr">
        <is>
          <t>SP</t>
        </is>
      </c>
      <c r="F4251" s="5" t="inlineStr">
        <is>
          <t>Pós 150GB</t>
        </is>
      </c>
      <c r="G4251" s="5" t="inlineStr">
        <is>
          <t>claro:plano-pos-150gb</t>
        </is>
      </c>
      <c r="H4251" s="6" t="n">
        <v>239.9</v>
      </c>
      <c r="I4251" s="6" t="inlineStr"/>
      <c r="J4251" s="5" t="inlineStr"/>
      <c r="K4251" s="5" t="inlineStr"/>
      <c r="L4251" s="7" t="n">
        <v>150</v>
      </c>
      <c r="M4251" s="5" t="inlineStr"/>
      <c r="N4251" s="5" t="inlineStr"/>
      <c r="O4251" s="5" t="inlineStr">
        <is>
          <t>WhatsApp</t>
        </is>
      </c>
      <c r="P4251" s="5" t="inlineStr"/>
      <c r="Q4251" s="5" t="inlineStr"/>
      <c r="R4251" s="5" t="inlineStr"/>
      <c r="S4251" s="5" t="inlineStr"/>
      <c r="T425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251" s="5" t="inlineStr">
        <is>
          <t>https://www.claro.com.br/celular/pos</t>
        </is>
      </c>
      <c r="V4251" s="5" t="inlineStr">
        <is>
          <t>data/raw/claro_postpaid_SP.json</t>
        </is>
      </c>
    </row>
    <row r="4252">
      <c r="A4252" s="2" t="inlineStr">
        <is>
          <t>2026-09-05</t>
        </is>
      </c>
      <c r="B4252" s="2" t="inlineStr">
        <is>
          <t>2026-09-05T19:37:33</t>
        </is>
      </c>
      <c r="C4252" s="2" t="inlineStr">
        <is>
          <t>claro</t>
        </is>
      </c>
      <c r="D4252" s="2" t="inlineStr">
        <is>
          <t>postpaid</t>
        </is>
      </c>
      <c r="E4252" s="2" t="inlineStr">
        <is>
          <t>SP</t>
        </is>
      </c>
      <c r="F4252" s="2" t="inlineStr">
        <is>
          <t>Pós 200GB</t>
        </is>
      </c>
      <c r="G4252" s="2" t="inlineStr">
        <is>
          <t>claro:plano-pos-200gb</t>
        </is>
      </c>
      <c r="H4252" s="3" t="n">
        <v>339.9</v>
      </c>
      <c r="I4252" s="3" t="inlineStr"/>
      <c r="J4252" s="2" t="inlineStr"/>
      <c r="K4252" s="2" t="inlineStr"/>
      <c r="L4252" s="4" t="n">
        <v>200</v>
      </c>
      <c r="M4252" s="2" t="inlineStr"/>
      <c r="N4252" s="2" t="inlineStr"/>
      <c r="O4252" s="2" t="inlineStr">
        <is>
          <t>WhatsApp</t>
        </is>
      </c>
      <c r="P4252" s="2" t="inlineStr"/>
      <c r="Q4252" s="2" t="inlineStr"/>
      <c r="R4252" s="2" t="inlineStr"/>
      <c r="S4252" s="2" t="inlineStr"/>
      <c r="T4252" s="2" t="inlineStr">
        <is>
          <t>Armazenamento na nuvem:; Google One (AI Plus) ou iCloud+; WhatsApp ilimitado; Assinatura Amazon Prime por 3 meses; Roaming: Passaporte Mundo; Claro Sync: Smartwatch conectado</t>
        </is>
      </c>
      <c r="U4252" s="2" t="inlineStr">
        <is>
          <t>https://www.claro.com.br/celular/pos</t>
        </is>
      </c>
      <c r="V4252" s="2" t="inlineStr">
        <is>
          <t>data/raw/claro_postpaid_SP.json</t>
        </is>
      </c>
    </row>
    <row r="4253">
      <c r="A4253" s="5" t="inlineStr">
        <is>
          <t>2026-09-05</t>
        </is>
      </c>
      <c r="B4253" s="5" t="inlineStr">
        <is>
          <t>2026-09-05T19:37:33</t>
        </is>
      </c>
      <c r="C4253" s="5" t="inlineStr">
        <is>
          <t>claro</t>
        </is>
      </c>
      <c r="D4253" s="5" t="inlineStr">
        <is>
          <t>postpaid</t>
        </is>
      </c>
      <c r="E4253" s="5" t="inlineStr">
        <is>
          <t>SP</t>
        </is>
      </c>
      <c r="F4253" s="5" t="inlineStr">
        <is>
          <t>Pós 50GB com GeForce NOW</t>
        </is>
      </c>
      <c r="G4253" s="5" t="inlineStr">
        <is>
          <t>claro:plano-pos-60gb-geforce</t>
        </is>
      </c>
      <c r="H4253" s="6" t="n">
        <v>164.9</v>
      </c>
      <c r="I4253" s="6" t="inlineStr"/>
      <c r="J4253" s="5" t="inlineStr"/>
      <c r="K4253" s="5" t="inlineStr"/>
      <c r="L4253" s="7" t="n">
        <v>50</v>
      </c>
      <c r="M4253" s="5" t="inlineStr"/>
      <c r="N4253" s="5" t="inlineStr"/>
      <c r="O4253" s="5" t="inlineStr">
        <is>
          <t>WhatsApp</t>
        </is>
      </c>
      <c r="P4253" s="5" t="inlineStr"/>
      <c r="Q4253" s="5" t="inlineStr"/>
      <c r="R4253" s="5" t="inlineStr"/>
      <c r="S4253" s="5" t="inlineStr"/>
      <c r="T425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253" s="5" t="inlineStr">
        <is>
          <t>https://www.claro.com.br/celular/pos</t>
        </is>
      </c>
      <c r="V4253" s="5" t="inlineStr">
        <is>
          <t>data/raw/claro_postpaid_SP.json</t>
        </is>
      </c>
    </row>
    <row r="4254">
      <c r="A4254" s="2" t="inlineStr">
        <is>
          <t>2026-09-05</t>
        </is>
      </c>
      <c r="B4254" s="2" t="inlineStr">
        <is>
          <t>2026-09-05T19:37:33</t>
        </is>
      </c>
      <c r="C4254" s="2" t="inlineStr">
        <is>
          <t>claro</t>
        </is>
      </c>
      <c r="D4254" s="2" t="inlineStr">
        <is>
          <t>postpaid</t>
        </is>
      </c>
      <c r="E4254" s="2" t="inlineStr">
        <is>
          <t>SP</t>
        </is>
      </c>
      <c r="F4254" s="2" t="inlineStr">
        <is>
          <t>Pós 60GB</t>
        </is>
      </c>
      <c r="G4254" s="2" t="inlineStr">
        <is>
          <t>claro:plano-pos-60gb</t>
        </is>
      </c>
      <c r="H4254" s="3" t="n">
        <v>124.9</v>
      </c>
      <c r="I4254" s="3" t="inlineStr"/>
      <c r="J4254" s="2" t="inlineStr"/>
      <c r="K4254" s="2" t="inlineStr"/>
      <c r="L4254" s="4" t="n">
        <v>60</v>
      </c>
      <c r="M4254" s="2" t="inlineStr"/>
      <c r="N4254" s="2" t="inlineStr"/>
      <c r="O4254" s="2" t="inlineStr">
        <is>
          <t>WhatsApp</t>
        </is>
      </c>
      <c r="P4254" s="2" t="inlineStr"/>
      <c r="Q4254" s="2" t="inlineStr"/>
      <c r="R4254" s="2" t="inlineStr"/>
      <c r="S4254" s="2" t="inlineStr"/>
      <c r="T4254" s="2" t="inlineStr">
        <is>
          <t>Armazenamento na nuvem:; Google One ou iCloud+; WhatsApp ilimitado; Assinatura Amazon Prime por 3 meses; Roaming: Passaporte Américas; Claro Sync: Smartwatch conectado</t>
        </is>
      </c>
      <c r="U4254" s="2" t="inlineStr">
        <is>
          <t>https://www.claro.com.br/celular/pos</t>
        </is>
      </c>
      <c r="V4254" s="2" t="inlineStr">
        <is>
          <t>data/raw/claro_postpaid_SP.json</t>
        </is>
      </c>
    </row>
    <row r="4255">
      <c r="A4255" s="5" t="inlineStr">
        <is>
          <t>2026-09-05</t>
        </is>
      </c>
      <c r="B4255" s="5" t="inlineStr">
        <is>
          <t>2026-09-05T19:37:33</t>
        </is>
      </c>
      <c r="C4255" s="5" t="inlineStr">
        <is>
          <t>claro</t>
        </is>
      </c>
      <c r="D4255" s="5" t="inlineStr">
        <is>
          <t>prepaid</t>
        </is>
      </c>
      <c r="E4255" s="5" t="inlineStr">
        <is>
          <t>SP</t>
        </is>
      </c>
      <c r="F4255" s="5" t="inlineStr">
        <is>
          <t>Prezão 10GB (25 dias)</t>
        </is>
      </c>
      <c r="G4255" s="5" t="inlineStr">
        <is>
          <t>claro:prezao-25d-10gb</t>
        </is>
      </c>
      <c r="H4255" s="6" t="n">
        <v>25</v>
      </c>
      <c r="I4255" s="6" t="inlineStr"/>
      <c r="J4255" s="5" t="inlineStr">
        <is>
          <t>recarga Prezão R$25 — validade 25 dias</t>
        </is>
      </c>
      <c r="K4255" s="5" t="inlineStr"/>
      <c r="L4255" s="7" t="n">
        <v>10</v>
      </c>
      <c r="M4255" s="5" t="inlineStr"/>
      <c r="N4255" s="5" t="n">
        <v>25</v>
      </c>
      <c r="O4255" s="5" t="inlineStr"/>
      <c r="P4255" s="5" t="inlineStr"/>
      <c r="Q4255" s="5" t="inlineStr"/>
      <c r="R4255" s="5" t="inlineStr"/>
      <c r="S4255" s="5" t="inlineStr"/>
      <c r="T4255" s="5" t="inlineStr"/>
      <c r="U4255" s="5" t="inlineStr">
        <is>
          <t>https://www.claro.com.br/celular/planos-pre/prezao</t>
        </is>
      </c>
      <c r="V4255" s="5" t="inlineStr">
        <is>
          <t>data/raw/claro_prepaid_SP.json</t>
        </is>
      </c>
    </row>
    <row r="4256">
      <c r="A4256" s="2" t="inlineStr">
        <is>
          <t>2026-09-05</t>
        </is>
      </c>
      <c r="B4256" s="2" t="inlineStr">
        <is>
          <t>2026-09-05T19:37:33</t>
        </is>
      </c>
      <c r="C4256" s="2" t="inlineStr">
        <is>
          <t>claro</t>
        </is>
      </c>
      <c r="D4256" s="2" t="inlineStr">
        <is>
          <t>prepaid</t>
        </is>
      </c>
      <c r="E4256" s="2" t="inlineStr">
        <is>
          <t>SP</t>
        </is>
      </c>
      <c r="F4256" s="2" t="inlineStr">
        <is>
          <t>Prezão 12GB (30 dias)</t>
        </is>
      </c>
      <c r="G4256" s="2" t="inlineStr">
        <is>
          <t>claro:prezao-30d-12gb</t>
        </is>
      </c>
      <c r="H4256" s="3" t="n">
        <v>30</v>
      </c>
      <c r="I4256" s="3" t="inlineStr"/>
      <c r="J4256" s="2" t="inlineStr">
        <is>
          <t>recarga Prezão R$30 — validade 30 dias</t>
        </is>
      </c>
      <c r="K4256" s="2" t="inlineStr"/>
      <c r="L4256" s="4" t="n">
        <v>12</v>
      </c>
      <c r="M4256" s="2" t="inlineStr"/>
      <c r="N4256" s="2" t="n">
        <v>30</v>
      </c>
      <c r="O4256" s="2" t="inlineStr"/>
      <c r="P4256" s="2" t="inlineStr"/>
      <c r="Q4256" s="2" t="inlineStr"/>
      <c r="R4256" s="2" t="inlineStr"/>
      <c r="S4256" s="2" t="inlineStr"/>
      <c r="T4256" s="2" t="inlineStr"/>
      <c r="U4256" s="2" t="inlineStr">
        <is>
          <t>https://www.claro.com.br/celular/planos-pre/prezao</t>
        </is>
      </c>
      <c r="V4256" s="2" t="inlineStr">
        <is>
          <t>data/raw/claro_prepaid_SP.json</t>
        </is>
      </c>
    </row>
    <row r="4257">
      <c r="A4257" s="5" t="inlineStr">
        <is>
          <t>2026-09-05</t>
        </is>
      </c>
      <c r="B4257" s="5" t="inlineStr">
        <is>
          <t>2026-09-05T19:37:33</t>
        </is>
      </c>
      <c r="C4257" s="5" t="inlineStr">
        <is>
          <t>claro</t>
        </is>
      </c>
      <c r="D4257" s="5" t="inlineStr">
        <is>
          <t>prepaid</t>
        </is>
      </c>
      <c r="E4257" s="5" t="inlineStr">
        <is>
          <t>SP</t>
        </is>
      </c>
      <c r="F4257" s="5" t="inlineStr">
        <is>
          <t>Prezão 4GB (12 dias)</t>
        </is>
      </c>
      <c r="G4257" s="5" t="inlineStr">
        <is>
          <t>claro:prezao-12d-4gb</t>
        </is>
      </c>
      <c r="H4257" s="6" t="n">
        <v>15</v>
      </c>
      <c r="I4257" s="6" t="inlineStr"/>
      <c r="J4257" s="5" t="inlineStr">
        <is>
          <t>recarga Prezão R$15 — validade 12 dias</t>
        </is>
      </c>
      <c r="K4257" s="5" t="inlineStr"/>
      <c r="L4257" s="7" t="n">
        <v>4</v>
      </c>
      <c r="M4257" s="5" t="inlineStr"/>
      <c r="N4257" s="5" t="n">
        <v>12</v>
      </c>
      <c r="O4257" s="5" t="inlineStr"/>
      <c r="P4257" s="5" t="inlineStr"/>
      <c r="Q4257" s="5" t="inlineStr"/>
      <c r="R4257" s="5" t="inlineStr"/>
      <c r="S4257" s="5" t="inlineStr"/>
      <c r="T4257" s="5" t="inlineStr"/>
      <c r="U4257" s="5" t="inlineStr">
        <is>
          <t>https://www.claro.com.br/celular/planos-pre/prezao</t>
        </is>
      </c>
      <c r="V4257" s="5" t="inlineStr">
        <is>
          <t>data/raw/claro_prepaid_SP.json</t>
        </is>
      </c>
    </row>
    <row r="4258">
      <c r="A4258" s="2" t="inlineStr">
        <is>
          <t>2026-09-05</t>
        </is>
      </c>
      <c r="B4258" s="2" t="inlineStr">
        <is>
          <t>2026-09-05T19:37:33</t>
        </is>
      </c>
      <c r="C4258" s="2" t="inlineStr">
        <is>
          <t>claro</t>
        </is>
      </c>
      <c r="D4258" s="2" t="inlineStr">
        <is>
          <t>prepaid</t>
        </is>
      </c>
      <c r="E4258" s="2" t="inlineStr">
        <is>
          <t>SP</t>
        </is>
      </c>
      <c r="F4258" s="2" t="inlineStr">
        <is>
          <t>Prezão 5GB (15 dias)</t>
        </is>
      </c>
      <c r="G4258" s="2" t="inlineStr">
        <is>
          <t>claro:prezao-15d-5gb</t>
        </is>
      </c>
      <c r="H4258" s="3" t="n">
        <v>15</v>
      </c>
      <c r="I4258" s="3" t="inlineStr"/>
      <c r="J4258" s="2" t="inlineStr">
        <is>
          <t>recarga Prezão R$15 — validade 15 dias</t>
        </is>
      </c>
      <c r="K4258" s="2" t="inlineStr"/>
      <c r="L4258" s="4" t="n">
        <v>5</v>
      </c>
      <c r="M4258" s="2" t="inlineStr"/>
      <c r="N4258" s="2" t="n">
        <v>15</v>
      </c>
      <c r="O4258" s="2" t="inlineStr"/>
      <c r="P4258" s="2" t="inlineStr"/>
      <c r="Q4258" s="2" t="inlineStr"/>
      <c r="R4258" s="2" t="inlineStr"/>
      <c r="S4258" s="2" t="inlineStr"/>
      <c r="T4258" s="2" t="inlineStr"/>
      <c r="U4258" s="2" t="inlineStr">
        <is>
          <t>https://www.claro.com.br/celular/planos-pre/prezao</t>
        </is>
      </c>
      <c r="V4258" s="2" t="inlineStr">
        <is>
          <t>data/raw/claro_prepaid_SP.json</t>
        </is>
      </c>
    </row>
    <row r="4259">
      <c r="A4259" s="5" t="inlineStr">
        <is>
          <t>2026-09-05</t>
        </is>
      </c>
      <c r="B4259" s="5" t="inlineStr">
        <is>
          <t>2026-09-05T19:37:33</t>
        </is>
      </c>
      <c r="C4259" s="5" t="inlineStr">
        <is>
          <t>claro</t>
        </is>
      </c>
      <c r="D4259" s="5" t="inlineStr">
        <is>
          <t>prepaid</t>
        </is>
      </c>
      <c r="E4259" s="5" t="inlineStr">
        <is>
          <t>SP</t>
        </is>
      </c>
      <c r="F4259" s="5" t="inlineStr">
        <is>
          <t>Prezão 6GB (20 dias)</t>
        </is>
      </c>
      <c r="G4259" s="5" t="inlineStr">
        <is>
          <t>claro:prezao-20d-6gb</t>
        </is>
      </c>
      <c r="H4259" s="6" t="n">
        <v>20</v>
      </c>
      <c r="I4259" s="6" t="inlineStr"/>
      <c r="J4259" s="5" t="inlineStr">
        <is>
          <t>recarga Prezão R$20 — validade 20 dias</t>
        </is>
      </c>
      <c r="K4259" s="5" t="inlineStr"/>
      <c r="L4259" s="7" t="n">
        <v>6</v>
      </c>
      <c r="M4259" s="5" t="inlineStr"/>
      <c r="N4259" s="5" t="n">
        <v>20</v>
      </c>
      <c r="O4259" s="5" t="inlineStr"/>
      <c r="P4259" s="5" t="inlineStr"/>
      <c r="Q4259" s="5" t="inlineStr"/>
      <c r="R4259" s="5" t="inlineStr"/>
      <c r="S4259" s="5" t="inlineStr"/>
      <c r="T4259" s="5" t="inlineStr"/>
      <c r="U4259" s="5" t="inlineStr">
        <is>
          <t>https://www.claro.com.br/celular/planos-pre/prezao</t>
        </is>
      </c>
      <c r="V4259" s="5" t="inlineStr">
        <is>
          <t>data/raw/claro_prepaid_SP.json</t>
        </is>
      </c>
    </row>
    <row r="4260">
      <c r="A4260" s="2" t="inlineStr">
        <is>
          <t>2026-09-05</t>
        </is>
      </c>
      <c r="B4260" s="2" t="inlineStr">
        <is>
          <t>2026-09-05T19:37:33</t>
        </is>
      </c>
      <c r="C4260" s="2" t="inlineStr">
        <is>
          <t>claro</t>
        </is>
      </c>
      <c r="D4260" s="2" t="inlineStr">
        <is>
          <t>prepaid</t>
        </is>
      </c>
      <c r="E4260" s="2" t="inlineStr">
        <is>
          <t>SP</t>
        </is>
      </c>
      <c r="F4260" s="2" t="inlineStr">
        <is>
          <t>Prezão 8GB (20 dias)</t>
        </is>
      </c>
      <c r="G4260" s="2" t="inlineStr">
        <is>
          <t>claro:prezao-20d-8gb</t>
        </is>
      </c>
      <c r="H4260" s="3" t="n">
        <v>20</v>
      </c>
      <c r="I4260" s="3" t="inlineStr"/>
      <c r="J4260" s="2" t="inlineStr">
        <is>
          <t>recarga Prezão R$20 — validade 20 dias</t>
        </is>
      </c>
      <c r="K4260" s="2" t="inlineStr"/>
      <c r="L4260" s="4" t="n">
        <v>8</v>
      </c>
      <c r="M4260" s="2" t="inlineStr"/>
      <c r="N4260" s="2" t="n">
        <v>20</v>
      </c>
      <c r="O4260" s="2" t="inlineStr"/>
      <c r="P4260" s="2" t="inlineStr"/>
      <c r="Q4260" s="2" t="inlineStr"/>
      <c r="R4260" s="2" t="inlineStr"/>
      <c r="S4260" s="2" t="inlineStr"/>
      <c r="T4260" s="2" t="inlineStr"/>
      <c r="U4260" s="2" t="inlineStr">
        <is>
          <t>https://www.claro.com.br/celular/planos-pre/prezao</t>
        </is>
      </c>
      <c r="V4260" s="2" t="inlineStr">
        <is>
          <t>data/raw/claro_prepaid_SP.json</t>
        </is>
      </c>
    </row>
    <row r="4261">
      <c r="A4261" s="5" t="inlineStr">
        <is>
          <t>2026-09-05</t>
        </is>
      </c>
      <c r="B4261" s="5" t="inlineStr">
        <is>
          <t>2026-09-05T19:37:33</t>
        </is>
      </c>
      <c r="C4261" s="5" t="inlineStr">
        <is>
          <t>claro</t>
        </is>
      </c>
      <c r="D4261" s="5" t="inlineStr">
        <is>
          <t>prepaid</t>
        </is>
      </c>
      <c r="E4261" s="5" t="inlineStr">
        <is>
          <t>SP</t>
        </is>
      </c>
      <c r="F4261" s="5" t="inlineStr">
        <is>
          <t>Prezão 9GB (25 dias)</t>
        </is>
      </c>
      <c r="G4261" s="5" t="inlineStr">
        <is>
          <t>claro:prezao-25d-9gb</t>
        </is>
      </c>
      <c r="H4261" s="6" t="n">
        <v>25</v>
      </c>
      <c r="I4261" s="6" t="inlineStr"/>
      <c r="J4261" s="5" t="inlineStr">
        <is>
          <t>recarga Prezão R$25 — validade 25 dias</t>
        </is>
      </c>
      <c r="K4261" s="5" t="inlineStr"/>
      <c r="L4261" s="7" t="n">
        <v>9</v>
      </c>
      <c r="M4261" s="5" t="inlineStr"/>
      <c r="N4261" s="5" t="n">
        <v>25</v>
      </c>
      <c r="O4261" s="5" t="inlineStr"/>
      <c r="P4261" s="5" t="inlineStr"/>
      <c r="Q4261" s="5" t="inlineStr"/>
      <c r="R4261" s="5" t="inlineStr"/>
      <c r="S4261" s="5" t="inlineStr"/>
      <c r="T4261" s="5" t="inlineStr"/>
      <c r="U4261" s="5" t="inlineStr">
        <is>
          <t>https://www.claro.com.br/celular/planos-pre/prezao</t>
        </is>
      </c>
      <c r="V4261" s="5" t="inlineStr">
        <is>
          <t>data/raw/claro_prepaid_SP.json</t>
        </is>
      </c>
    </row>
    <row r="4262">
      <c r="A4262" s="2" t="inlineStr">
        <is>
          <t>2026-09-05</t>
        </is>
      </c>
      <c r="B4262" s="2" t="inlineStr">
        <is>
          <t>2026-09-05T19:37:33</t>
        </is>
      </c>
      <c r="C4262" s="2" t="inlineStr">
        <is>
          <t>tim</t>
        </is>
      </c>
      <c r="D4262" s="2" t="inlineStr">
        <is>
          <t>control</t>
        </is>
      </c>
      <c r="E4262" s="2" t="inlineStr">
        <is>
          <t>SP</t>
        </is>
      </c>
      <c r="F4262" s="2" t="inlineStr">
        <is>
          <t>TIM Controle 45GB</t>
        </is>
      </c>
      <c r="G4262" s="2" t="inlineStr">
        <is>
          <t>tim:182766</t>
        </is>
      </c>
      <c r="H4262" s="3" t="n">
        <v>49.99</v>
      </c>
      <c r="I4262" s="3" t="inlineStr"/>
      <c r="J4262" s="2" t="inlineStr"/>
      <c r="K4262" s="2" t="inlineStr"/>
      <c r="L4262" s="4" t="n">
        <v>45</v>
      </c>
      <c r="M4262" s="2" t="inlineStr"/>
      <c r="N4262" s="2" t="inlineStr"/>
      <c r="O4262" s="2" t="inlineStr"/>
      <c r="P4262" s="2" t="inlineStr"/>
      <c r="Q4262" s="2" t="inlineStr"/>
      <c r="R4262" s="2" t="inlineStr"/>
      <c r="S4262" s="2" t="inlineStr"/>
      <c r="T4262" s="2" t="inlineStr"/>
      <c r="U4262" s="2" t="inlineStr">
        <is>
          <t>https://www.tim.com.br/sp/para-voce/planos/controle</t>
        </is>
      </c>
      <c r="V4262" s="2" t="inlineStr">
        <is>
          <t>data/raw/tim_control_SP.html</t>
        </is>
      </c>
    </row>
    <row r="4263">
      <c r="A4263" s="5" t="inlineStr">
        <is>
          <t>2026-09-05</t>
        </is>
      </c>
      <c r="B4263" s="5" t="inlineStr">
        <is>
          <t>2026-09-05T19:37:33</t>
        </is>
      </c>
      <c r="C4263" s="5" t="inlineStr">
        <is>
          <t>tim</t>
        </is>
      </c>
      <c r="D4263" s="5" t="inlineStr">
        <is>
          <t>control</t>
        </is>
      </c>
      <c r="E4263" s="5" t="inlineStr">
        <is>
          <t>SP</t>
        </is>
      </c>
      <c r="F4263" s="5" t="inlineStr">
        <is>
          <t>TIM Controle Light Express 45GB</t>
        </is>
      </c>
      <c r="G4263" s="5" t="inlineStr">
        <is>
          <t>tim:167726</t>
        </is>
      </c>
      <c r="H4263" s="6" t="n">
        <v>60.99</v>
      </c>
      <c r="I4263" s="6" t="inlineStr"/>
      <c r="J4263" s="5" t="inlineStr"/>
      <c r="K4263" s="5" t="inlineStr"/>
      <c r="L4263" s="7" t="n">
        <v>45</v>
      </c>
      <c r="M4263" s="5" t="inlineStr"/>
      <c r="N4263" s="5" t="inlineStr"/>
      <c r="O4263" s="5" t="inlineStr"/>
      <c r="P4263" s="5" t="inlineStr"/>
      <c r="Q4263" s="5" t="inlineStr"/>
      <c r="R4263" s="5" t="inlineStr"/>
      <c r="S4263" s="5" t="inlineStr"/>
      <c r="T4263" s="5" t="inlineStr"/>
      <c r="U4263" s="5" t="inlineStr">
        <is>
          <t>https://www.tim.com.br/sp/para-voce/planos/controle</t>
        </is>
      </c>
      <c r="V4263" s="5" t="inlineStr">
        <is>
          <t>data/raw/tim_control_SP.html</t>
        </is>
      </c>
    </row>
    <row r="4264">
      <c r="A4264" s="2" t="inlineStr">
        <is>
          <t>2026-09-05</t>
        </is>
      </c>
      <c r="B4264" s="2" t="inlineStr">
        <is>
          <t>2026-09-05T19:37:33</t>
        </is>
      </c>
      <c r="C4264" s="2" t="inlineStr">
        <is>
          <t>tim</t>
        </is>
      </c>
      <c r="D4264" s="2" t="inlineStr">
        <is>
          <t>control</t>
        </is>
      </c>
      <c r="E4264" s="2" t="inlineStr">
        <is>
          <t>SP</t>
        </is>
      </c>
      <c r="F4264" s="2" t="inlineStr">
        <is>
          <t>TIM Controle Premium 55GB</t>
        </is>
      </c>
      <c r="G4264" s="2" t="inlineStr">
        <is>
          <t>tim:180756</t>
        </is>
      </c>
      <c r="H4264" s="3" t="n">
        <v>69.98999999999999</v>
      </c>
      <c r="I4264" s="3" t="inlineStr"/>
      <c r="J4264" s="2" t="inlineStr"/>
      <c r="K4264" s="2" t="inlineStr"/>
      <c r="L4264" s="4" t="n">
        <v>55</v>
      </c>
      <c r="M4264" s="2" t="inlineStr"/>
      <c r="N4264" s="2" t="inlineStr"/>
      <c r="O4264" s="2" t="inlineStr"/>
      <c r="P4264" s="2" t="inlineStr"/>
      <c r="Q4264" s="2" t="inlineStr"/>
      <c r="R4264" s="2" t="inlineStr"/>
      <c r="S4264" s="2" t="inlineStr"/>
      <c r="T4264" s="2" t="inlineStr"/>
      <c r="U4264" s="2" t="inlineStr">
        <is>
          <t>https://www.tim.com.br/sp/para-voce/planos/controle</t>
        </is>
      </c>
      <c r="V4264" s="2" t="inlineStr">
        <is>
          <t>data/raw/tim_control_SP.html</t>
        </is>
      </c>
    </row>
    <row r="4265">
      <c r="A4265" s="5" t="inlineStr">
        <is>
          <t>2026-09-05</t>
        </is>
      </c>
      <c r="B4265" s="5" t="inlineStr">
        <is>
          <t>2026-09-05T19:37:33</t>
        </is>
      </c>
      <c r="C4265" s="5" t="inlineStr">
        <is>
          <t>tim</t>
        </is>
      </c>
      <c r="D4265" s="5" t="inlineStr">
        <is>
          <t>control</t>
        </is>
      </c>
      <c r="E4265" s="5" t="inlineStr">
        <is>
          <t>SP</t>
        </is>
      </c>
      <c r="F4265" s="5" t="inlineStr">
        <is>
          <t>TIM Controle Pro Express 46GB</t>
        </is>
      </c>
      <c r="G4265" s="5" t="inlineStr">
        <is>
          <t>tim:167731</t>
        </is>
      </c>
      <c r="H4265" s="6" t="n">
        <v>64.98999999999999</v>
      </c>
      <c r="I4265" s="6" t="inlineStr"/>
      <c r="J4265" s="5" t="inlineStr"/>
      <c r="K4265" s="5" t="inlineStr"/>
      <c r="L4265" s="7" t="n">
        <v>46</v>
      </c>
      <c r="M4265" s="5" t="inlineStr"/>
      <c r="N4265" s="5" t="inlineStr"/>
      <c r="O4265" s="5" t="inlineStr"/>
      <c r="P4265" s="5" t="inlineStr"/>
      <c r="Q4265" s="5" t="inlineStr"/>
      <c r="R4265" s="5" t="inlineStr"/>
      <c r="S4265" s="5" t="inlineStr"/>
      <c r="T4265" s="5" t="inlineStr"/>
      <c r="U4265" s="5" t="inlineStr">
        <is>
          <t>https://www.tim.com.br/sp/para-voce/planos/controle</t>
        </is>
      </c>
      <c r="V4265" s="5" t="inlineStr">
        <is>
          <t>data/raw/tim_control_SP.html</t>
        </is>
      </c>
    </row>
    <row r="4266">
      <c r="A4266" s="2" t="inlineStr">
        <is>
          <t>2026-09-05</t>
        </is>
      </c>
      <c r="B4266" s="2" t="inlineStr">
        <is>
          <t>2026-09-05T19:37:33</t>
        </is>
      </c>
      <c r="C4266" s="2" t="inlineStr">
        <is>
          <t>tim</t>
        </is>
      </c>
      <c r="D4266" s="2" t="inlineStr">
        <is>
          <t>control</t>
        </is>
      </c>
      <c r="E4266" s="2" t="inlineStr">
        <is>
          <t>SP</t>
        </is>
      </c>
      <c r="F4266" s="2" t="inlineStr">
        <is>
          <t>TIM Controle Redes Sociais 46GB</t>
        </is>
      </c>
      <c r="G4266" s="2" t="inlineStr">
        <is>
          <t>tim:167031</t>
        </is>
      </c>
      <c r="H4266" s="3" t="n">
        <v>59.99</v>
      </c>
      <c r="I4266" s="3" t="inlineStr"/>
      <c r="J4266" s="2" t="inlineStr"/>
      <c r="K4266" s="2" t="inlineStr"/>
      <c r="L4266" s="4" t="n">
        <v>46</v>
      </c>
      <c r="M4266" s="2" t="inlineStr"/>
      <c r="N4266" s="2" t="inlineStr"/>
      <c r="O4266" s="2" t="inlineStr"/>
      <c r="P4266" s="2" t="inlineStr"/>
      <c r="Q4266" s="2" t="inlineStr"/>
      <c r="R4266" s="2" t="inlineStr"/>
      <c r="S4266" s="2" t="inlineStr"/>
      <c r="T4266" s="2" t="inlineStr"/>
      <c r="U4266" s="2" t="inlineStr">
        <is>
          <t>https://www.tim.com.br/sp/para-voce/planos/controle</t>
        </is>
      </c>
      <c r="V4266" s="2" t="inlineStr">
        <is>
          <t>data/raw/tim_control_SP.html</t>
        </is>
      </c>
    </row>
    <row r="4267">
      <c r="A4267" s="5" t="inlineStr">
        <is>
          <t>2026-09-05</t>
        </is>
      </c>
      <c r="B4267" s="5" t="inlineStr">
        <is>
          <t>2026-09-05T19:37:33</t>
        </is>
      </c>
      <c r="C4267" s="5" t="inlineStr">
        <is>
          <t>tim</t>
        </is>
      </c>
      <c r="D4267" s="5" t="inlineStr">
        <is>
          <t>fit</t>
        </is>
      </c>
      <c r="E4267" s="5" t="inlineStr">
        <is>
          <t>SP</t>
        </is>
      </c>
      <c r="F4267" s="5" t="inlineStr">
        <is>
          <t>TIM Controle Fit Anual 1.0</t>
        </is>
      </c>
      <c r="G4267" s="5" t="inlineStr">
        <is>
          <t>tim:TIM202600000306</t>
        </is>
      </c>
      <c r="H4267" s="6" t="n">
        <v>20</v>
      </c>
      <c r="I4267" s="6" t="inlineStr"/>
      <c r="J4267" s="5" t="inlineStr">
        <is>
          <t>plano anual 12x no cartão de crédito; a etiqueta TIM informa 'sem prazo de permanência'</t>
        </is>
      </c>
      <c r="K4267" s="5" t="inlineStr">
        <is>
          <t>credit_card</t>
        </is>
      </c>
      <c r="L4267" s="7" t="n">
        <v>25</v>
      </c>
      <c r="M4267" s="5" t="inlineStr"/>
      <c r="N4267" s="5" t="inlineStr"/>
      <c r="O4267" s="5" t="inlineStr"/>
      <c r="P4267" s="5" t="inlineStr"/>
      <c r="Q4267" s="5" t="inlineStr"/>
      <c r="R4267" s="5" t="inlineStr"/>
      <c r="S4267" s="5" t="n">
        <v>12</v>
      </c>
      <c r="T4267" s="5" t="inlineStr"/>
      <c r="U4267" s="5" t="inlineStr">
        <is>
          <t>https://www.tim.com.br/sp/para-voce/planos/controle</t>
        </is>
      </c>
      <c r="V4267" s="5" t="inlineStr">
        <is>
          <t>data/raw/tim_fit_SP.html</t>
        </is>
      </c>
    </row>
    <row r="4268">
      <c r="A4268" s="2" t="inlineStr">
        <is>
          <t>2026-09-05</t>
        </is>
      </c>
      <c r="B4268" s="2" t="inlineStr">
        <is>
          <t>2026-09-05T19:37:33</t>
        </is>
      </c>
      <c r="C4268" s="2" t="inlineStr">
        <is>
          <t>tim</t>
        </is>
      </c>
      <c r="D4268" s="2" t="inlineStr">
        <is>
          <t>fit</t>
        </is>
      </c>
      <c r="E4268" s="2" t="inlineStr">
        <is>
          <t>SP</t>
        </is>
      </c>
      <c r="F4268" s="2" t="inlineStr">
        <is>
          <t>TIM Controle Fit Anual 2.0</t>
        </is>
      </c>
      <c r="G4268" s="2" t="inlineStr">
        <is>
          <t>tim:TIM202600000271</t>
        </is>
      </c>
      <c r="H4268" s="3" t="n">
        <v>30</v>
      </c>
      <c r="I4268" s="3" t="inlineStr"/>
      <c r="J4268" s="2" t="inlineStr">
        <is>
          <t>plano anual 12x no cartão de crédito; a etiqueta TIM informa 'sem prazo de permanência'</t>
        </is>
      </c>
      <c r="K4268" s="2" t="inlineStr">
        <is>
          <t>credit_card</t>
        </is>
      </c>
      <c r="L4268" s="4" t="n">
        <v>35</v>
      </c>
      <c r="M4268" s="2" t="inlineStr"/>
      <c r="N4268" s="2" t="inlineStr"/>
      <c r="O4268" s="2" t="inlineStr"/>
      <c r="P4268" s="2" t="inlineStr"/>
      <c r="Q4268" s="2" t="inlineStr"/>
      <c r="R4268" s="2" t="inlineStr"/>
      <c r="S4268" s="2" t="n">
        <v>12</v>
      </c>
      <c r="T4268" s="2" t="inlineStr"/>
      <c r="U4268" s="2" t="inlineStr">
        <is>
          <t>https://www.tim.com.br/sp/para-voce/planos/controle</t>
        </is>
      </c>
      <c r="V4268" s="2" t="inlineStr">
        <is>
          <t>data/raw/tim_fit_SP.html</t>
        </is>
      </c>
    </row>
    <row r="4269">
      <c r="A4269" s="5" t="inlineStr">
        <is>
          <t>2026-09-05</t>
        </is>
      </c>
      <c r="B4269" s="5" t="inlineStr">
        <is>
          <t>2026-09-05T19:37:33</t>
        </is>
      </c>
      <c r="C4269" s="5" t="inlineStr">
        <is>
          <t>tim</t>
        </is>
      </c>
      <c r="D4269" s="5" t="inlineStr">
        <is>
          <t>fit</t>
        </is>
      </c>
      <c r="E4269" s="5" t="inlineStr">
        <is>
          <t>SP</t>
        </is>
      </c>
      <c r="F4269" s="5" t="inlineStr">
        <is>
          <t>TIM Controle Fit Mensal 1.0</t>
        </is>
      </c>
      <c r="G4269" s="5" t="inlineStr">
        <is>
          <t>tim:TIM202600000270</t>
        </is>
      </c>
      <c r="H4269" s="6" t="n">
        <v>20</v>
      </c>
      <c r="I4269" s="6" t="inlineStr"/>
      <c r="J426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69" s="5" t="inlineStr"/>
      <c r="L4269" s="7" t="n">
        <v>20</v>
      </c>
      <c r="M4269" s="5" t="inlineStr"/>
      <c r="N4269" s="5" t="inlineStr"/>
      <c r="O4269" s="5" t="inlineStr"/>
      <c r="P4269" s="5" t="inlineStr"/>
      <c r="Q4269" s="5" t="inlineStr"/>
      <c r="R4269" s="5" t="inlineStr"/>
      <c r="S4269" s="5" t="inlineStr"/>
      <c r="T4269" s="5" t="inlineStr"/>
      <c r="U4269" s="5" t="inlineStr">
        <is>
          <t>https://www.tim.com.br/sp/para-voce/planos/controle</t>
        </is>
      </c>
      <c r="V4269" s="5" t="inlineStr">
        <is>
          <t>data/raw/tim_fit_SP.html</t>
        </is>
      </c>
    </row>
    <row r="4270">
      <c r="A4270" s="2" t="inlineStr">
        <is>
          <t>2026-09-05</t>
        </is>
      </c>
      <c r="B4270" s="2" t="inlineStr">
        <is>
          <t>2026-09-05T19:37:33</t>
        </is>
      </c>
      <c r="C4270" s="2" t="inlineStr">
        <is>
          <t>tim</t>
        </is>
      </c>
      <c r="D4270" s="2" t="inlineStr">
        <is>
          <t>fit</t>
        </is>
      </c>
      <c r="E4270" s="2" t="inlineStr">
        <is>
          <t>SP</t>
        </is>
      </c>
      <c r="F4270" s="2" t="inlineStr">
        <is>
          <t>TIM Controle Fit Mensal 2.0</t>
        </is>
      </c>
      <c r="G4270" s="2" t="inlineStr">
        <is>
          <t>tim:TIM202600000305</t>
        </is>
      </c>
      <c r="H4270" s="3" t="n">
        <v>45</v>
      </c>
      <c r="I4270" s="3" t="inlineStr"/>
      <c r="J4270" s="2" t="inlineStr">
        <is>
          <t>plano mensal, sem prazo de permanência; a etiqueta TIM informa 'sem prazo de permanência'</t>
        </is>
      </c>
      <c r="K4270" s="2" t="inlineStr"/>
      <c r="L4270" s="4" t="n">
        <v>35</v>
      </c>
      <c r="M4270" s="2" t="inlineStr"/>
      <c r="N4270" s="2" t="inlineStr"/>
      <c r="O4270" s="2" t="inlineStr"/>
      <c r="P4270" s="2" t="inlineStr"/>
      <c r="Q4270" s="2" t="inlineStr"/>
      <c r="R4270" s="2" t="inlineStr"/>
      <c r="S4270" s="2" t="inlineStr"/>
      <c r="T4270" s="2" t="inlineStr"/>
      <c r="U4270" s="2" t="inlineStr">
        <is>
          <t>https://www.tim.com.br/sp/para-voce/planos/controle</t>
        </is>
      </c>
      <c r="V4270" s="2" t="inlineStr">
        <is>
          <t>data/raw/tim_fit_SP.html</t>
        </is>
      </c>
    </row>
    <row r="4271">
      <c r="A4271" s="5" t="inlineStr">
        <is>
          <t>2026-09-05</t>
        </is>
      </c>
      <c r="B4271" s="5" t="inlineStr">
        <is>
          <t>2026-09-05T19:37:33</t>
        </is>
      </c>
      <c r="C4271" s="5" t="inlineStr">
        <is>
          <t>tim</t>
        </is>
      </c>
      <c r="D4271" s="5" t="inlineStr">
        <is>
          <t>postpaid</t>
        </is>
      </c>
      <c r="E4271" s="5" t="inlineStr">
        <is>
          <t>SP</t>
        </is>
      </c>
      <c r="F4271" s="5" t="inlineStr">
        <is>
          <t>TIM Black 70GB</t>
        </is>
      </c>
      <c r="G4271" s="5" t="inlineStr">
        <is>
          <t>tim:54206</t>
        </is>
      </c>
      <c r="H4271" s="6" t="n">
        <v>129.99</v>
      </c>
      <c r="I4271" s="6" t="inlineStr"/>
      <c r="J4271" s="5" t="inlineStr"/>
      <c r="K4271" s="5" t="inlineStr">
        <is>
          <t>bill</t>
        </is>
      </c>
      <c r="L4271" s="7" t="n">
        <v>70</v>
      </c>
      <c r="M4271" s="5" t="inlineStr"/>
      <c r="N4271" s="5" t="inlineStr"/>
      <c r="O4271" s="5" t="inlineStr"/>
      <c r="P4271" s="5" t="inlineStr"/>
      <c r="Q4271" s="5" t="inlineStr"/>
      <c r="R4271" s="5" t="inlineStr"/>
      <c r="S4271" s="5" t="inlineStr"/>
      <c r="T4271" s="5" t="inlineStr"/>
      <c r="U4271" s="5" t="inlineStr">
        <is>
          <t>https://www.tim.com.br/sp/para-voce/planos/pos-pago/tim-black</t>
        </is>
      </c>
      <c r="V4271" s="5" t="inlineStr">
        <is>
          <t>data/raw/tim_postpaid_SP.html</t>
        </is>
      </c>
    </row>
    <row r="4272">
      <c r="A4272" s="2" t="inlineStr">
        <is>
          <t>2026-09-05</t>
        </is>
      </c>
      <c r="B4272" s="2" t="inlineStr">
        <is>
          <t>2026-09-05T19:37:33</t>
        </is>
      </c>
      <c r="C4272" s="2" t="inlineStr">
        <is>
          <t>tim</t>
        </is>
      </c>
      <c r="D4272" s="2" t="inlineStr">
        <is>
          <t>postpaid</t>
        </is>
      </c>
      <c r="E4272" s="2" t="inlineStr">
        <is>
          <t>SP</t>
        </is>
      </c>
      <c r="F4272" s="2" t="inlineStr">
        <is>
          <t>TIM Black A Express 67GB</t>
        </is>
      </c>
      <c r="G4272" s="2" t="inlineStr">
        <is>
          <t>tim:55121</t>
        </is>
      </c>
      <c r="H4272" s="3" t="n">
        <v>119.99</v>
      </c>
      <c r="I4272" s="3" t="inlineStr"/>
      <c r="J4272" s="2" t="inlineStr"/>
      <c r="K4272" s="2" t="inlineStr">
        <is>
          <t>credit_card</t>
        </is>
      </c>
      <c r="L4272" s="4" t="n">
        <v>67</v>
      </c>
      <c r="M4272" s="2" t="inlineStr"/>
      <c r="N4272" s="2" t="inlineStr"/>
      <c r="O4272" s="2" t="inlineStr"/>
      <c r="P4272" s="2" t="inlineStr"/>
      <c r="Q4272" s="2" t="inlineStr"/>
      <c r="R4272" s="2" t="inlineStr"/>
      <c r="S4272" s="2" t="inlineStr"/>
      <c r="T4272" s="2" t="inlineStr"/>
      <c r="U4272" s="2" t="inlineStr">
        <is>
          <t>https://www.tim.com.br/sp/para-voce/planos/pos-pago/tim-black</t>
        </is>
      </c>
      <c r="V4272" s="2" t="inlineStr">
        <is>
          <t>data/raw/tim_postpaid_SP.html</t>
        </is>
      </c>
    </row>
    <row r="4273">
      <c r="A4273" s="5" t="inlineStr">
        <is>
          <t>2026-09-05</t>
        </is>
      </c>
      <c r="B4273" s="5" t="inlineStr">
        <is>
          <t>2026-09-05T19:37:33</t>
        </is>
      </c>
      <c r="C4273" s="5" t="inlineStr">
        <is>
          <t>tim</t>
        </is>
      </c>
      <c r="D4273" s="5" t="inlineStr">
        <is>
          <t>postpaid</t>
        </is>
      </c>
      <c r="E4273" s="5" t="inlineStr">
        <is>
          <t>SP</t>
        </is>
      </c>
      <c r="F4273" s="5" t="inlineStr">
        <is>
          <t>TIM Black B Express 82GB</t>
        </is>
      </c>
      <c r="G4273" s="5" t="inlineStr">
        <is>
          <t>tim:52146</t>
        </is>
      </c>
      <c r="H4273" s="6" t="n">
        <v>144.99</v>
      </c>
      <c r="I4273" s="6" t="inlineStr"/>
      <c r="J4273" s="5" t="inlineStr"/>
      <c r="K4273" s="5" t="inlineStr">
        <is>
          <t>credit_card</t>
        </is>
      </c>
      <c r="L4273" s="7" t="n">
        <v>82</v>
      </c>
      <c r="M4273" s="5" t="inlineStr"/>
      <c r="N4273" s="5" t="inlineStr"/>
      <c r="O4273" s="5" t="inlineStr"/>
      <c r="P4273" s="5" t="inlineStr"/>
      <c r="Q4273" s="5" t="inlineStr"/>
      <c r="R4273" s="5" t="inlineStr"/>
      <c r="S4273" s="5" t="inlineStr"/>
      <c r="T4273" s="5" t="inlineStr"/>
      <c r="U4273" s="5" t="inlineStr">
        <is>
          <t>https://www.tim.com.br/sp/para-voce/planos/pos-pago/tim-black</t>
        </is>
      </c>
      <c r="V4273" s="5" t="inlineStr">
        <is>
          <t>data/raw/tim_postpaid_SP.html</t>
        </is>
      </c>
    </row>
    <row r="4274">
      <c r="A4274" s="2" t="inlineStr">
        <is>
          <t>2026-09-05</t>
        </is>
      </c>
      <c r="B4274" s="2" t="inlineStr">
        <is>
          <t>2026-09-05T19:37:33</t>
        </is>
      </c>
      <c r="C4274" s="2" t="inlineStr">
        <is>
          <t>tim</t>
        </is>
      </c>
      <c r="D4274" s="2" t="inlineStr">
        <is>
          <t>postpaid</t>
        </is>
      </c>
      <c r="E4274" s="2" t="inlineStr">
        <is>
          <t>SP</t>
        </is>
      </c>
      <c r="F4274" s="2" t="inlineStr">
        <is>
          <t>TIM Black C Express 107GB</t>
        </is>
      </c>
      <c r="G4274" s="2" t="inlineStr">
        <is>
          <t>tim:52151</t>
        </is>
      </c>
      <c r="H4274" s="3" t="n">
        <v>164.99</v>
      </c>
      <c r="I4274" s="3" t="inlineStr"/>
      <c r="J4274" s="2" t="inlineStr"/>
      <c r="K4274" s="2" t="inlineStr">
        <is>
          <t>credit_card</t>
        </is>
      </c>
      <c r="L4274" s="4" t="n">
        <v>107</v>
      </c>
      <c r="M4274" s="2" t="inlineStr"/>
      <c r="N4274" s="2" t="inlineStr"/>
      <c r="O4274" s="2" t="inlineStr"/>
      <c r="P4274" s="2" t="inlineStr"/>
      <c r="Q4274" s="2" t="inlineStr"/>
      <c r="R4274" s="2" t="inlineStr"/>
      <c r="S4274" s="2" t="inlineStr"/>
      <c r="T4274" s="2" t="inlineStr"/>
      <c r="U4274" s="2" t="inlineStr">
        <is>
          <t>https://www.tim.com.br/sp/para-voce/planos/pos-pago/tim-black</t>
        </is>
      </c>
      <c r="V4274" s="2" t="inlineStr">
        <is>
          <t>data/raw/tim_postpaid_SP.html</t>
        </is>
      </c>
    </row>
    <row r="4275">
      <c r="A4275" s="5" t="inlineStr">
        <is>
          <t>2026-09-05</t>
        </is>
      </c>
      <c r="B4275" s="5" t="inlineStr">
        <is>
          <t>2026-09-05T19:37:33</t>
        </is>
      </c>
      <c r="C4275" s="5" t="inlineStr">
        <is>
          <t>tim</t>
        </is>
      </c>
      <c r="D4275" s="5" t="inlineStr">
        <is>
          <t>postpaid</t>
        </is>
      </c>
      <c r="E4275" s="5" t="inlineStr">
        <is>
          <t>SP</t>
        </is>
      </c>
      <c r="F4275" s="5" t="inlineStr">
        <is>
          <t>TIM Black Plus 80GB</t>
        </is>
      </c>
      <c r="G4275" s="5" t="inlineStr">
        <is>
          <t>tim:54256</t>
        </is>
      </c>
      <c r="H4275" s="6" t="n">
        <v>149.99</v>
      </c>
      <c r="I4275" s="6" t="inlineStr"/>
      <c r="J4275" s="5" t="inlineStr"/>
      <c r="K4275" s="5" t="inlineStr">
        <is>
          <t>bill</t>
        </is>
      </c>
      <c r="L4275" s="7" t="n">
        <v>80</v>
      </c>
      <c r="M4275" s="5" t="inlineStr"/>
      <c r="N4275" s="5" t="inlineStr"/>
      <c r="O4275" s="5" t="inlineStr"/>
      <c r="P4275" s="5" t="inlineStr"/>
      <c r="Q4275" s="5" t="inlineStr"/>
      <c r="R4275" s="5" t="inlineStr"/>
      <c r="S4275" s="5" t="inlineStr"/>
      <c r="T4275" s="5" t="inlineStr"/>
      <c r="U4275" s="5" t="inlineStr">
        <is>
          <t>https://www.tim.com.br/sp/para-voce/planos/pos-pago/tim-black</t>
        </is>
      </c>
      <c r="V4275" s="5" t="inlineStr">
        <is>
          <t>data/raw/tim_postpaid_SP.html</t>
        </is>
      </c>
    </row>
    <row r="4276">
      <c r="A4276" s="2" t="inlineStr">
        <is>
          <t>2026-09-05</t>
        </is>
      </c>
      <c r="B4276" s="2" t="inlineStr">
        <is>
          <t>2026-09-05T19:37:33</t>
        </is>
      </c>
      <c r="C4276" s="2" t="inlineStr">
        <is>
          <t>tim</t>
        </is>
      </c>
      <c r="D4276" s="2" t="inlineStr">
        <is>
          <t>postpaid</t>
        </is>
      </c>
      <c r="E4276" s="2" t="inlineStr">
        <is>
          <t>SP</t>
        </is>
      </c>
      <c r="F4276" s="2" t="inlineStr">
        <is>
          <t>TIM Black Premium 110GB</t>
        </is>
      </c>
      <c r="G4276" s="2" t="inlineStr">
        <is>
          <t>tim:54261</t>
        </is>
      </c>
      <c r="H4276" s="3" t="n">
        <v>159.99</v>
      </c>
      <c r="I4276" s="3" t="inlineStr"/>
      <c r="J4276" s="2" t="inlineStr"/>
      <c r="K4276" s="2" t="inlineStr">
        <is>
          <t>bill</t>
        </is>
      </c>
      <c r="L4276" s="4" t="n">
        <v>110</v>
      </c>
      <c r="M4276" s="2" t="inlineStr"/>
      <c r="N4276" s="2" t="inlineStr"/>
      <c r="O4276" s="2" t="inlineStr"/>
      <c r="P4276" s="2" t="inlineStr"/>
      <c r="Q4276" s="2" t="inlineStr"/>
      <c r="R4276" s="2" t="inlineStr"/>
      <c r="S4276" s="2" t="inlineStr"/>
      <c r="T4276" s="2" t="inlineStr"/>
      <c r="U4276" s="2" t="inlineStr">
        <is>
          <t>https://www.tim.com.br/sp/para-voce/planos/pos-pago/tim-black</t>
        </is>
      </c>
      <c r="V4276" s="2" t="inlineStr">
        <is>
          <t>data/raw/tim_postpaid_SP.html</t>
        </is>
      </c>
    </row>
    <row r="4277">
      <c r="A4277" s="5" t="inlineStr">
        <is>
          <t>2026-09-05</t>
        </is>
      </c>
      <c r="B4277" s="5" t="inlineStr">
        <is>
          <t>2026-09-05T19:37:33</t>
        </is>
      </c>
      <c r="C4277" s="5" t="inlineStr">
        <is>
          <t>tim</t>
        </is>
      </c>
      <c r="D4277" s="5" t="inlineStr">
        <is>
          <t>prepaid</t>
        </is>
      </c>
      <c r="E4277" s="5" t="inlineStr">
        <is>
          <t>SP</t>
        </is>
      </c>
      <c r="F4277" s="5" t="inlineStr">
        <is>
          <t>TIM Pré XIP Plus 16GB</t>
        </is>
      </c>
      <c r="G4277" s="5" t="inlineStr">
        <is>
          <t>tim:106306</t>
        </is>
      </c>
      <c r="H4277" s="6" t="n">
        <v>30</v>
      </c>
      <c r="I4277" s="6" t="inlineStr"/>
      <c r="J4277" s="5" t="inlineStr"/>
      <c r="K4277" s="5" t="inlineStr"/>
      <c r="L4277" s="7" t="n">
        <v>16</v>
      </c>
      <c r="M4277" s="5" t="inlineStr"/>
      <c r="N4277" s="5" t="n">
        <v>30</v>
      </c>
      <c r="O4277" s="5" t="inlineStr"/>
      <c r="P4277" s="5" t="inlineStr"/>
      <c r="Q4277" s="5" t="inlineStr"/>
      <c r="R4277" s="5" t="inlineStr"/>
      <c r="S4277" s="5" t="inlineStr"/>
      <c r="T4277" s="5" t="inlineStr"/>
      <c r="U4277" s="5" t="inlineStr">
        <is>
          <t>https://www.tim.com.br/sp/para-voce/planos/pre-pago</t>
        </is>
      </c>
      <c r="V4277" s="5" t="inlineStr">
        <is>
          <t>data/raw/tim_prepaid_SP.html</t>
        </is>
      </c>
    </row>
    <row r="4278">
      <c r="A4278" s="2" t="inlineStr">
        <is>
          <t>2026-09-05</t>
        </is>
      </c>
      <c r="B4278" s="2" t="inlineStr">
        <is>
          <t>2026-09-05T19:37:33</t>
        </is>
      </c>
      <c r="C4278" s="2" t="inlineStr">
        <is>
          <t>tim</t>
        </is>
      </c>
      <c r="D4278" s="2" t="inlineStr">
        <is>
          <t>prepaid</t>
        </is>
      </c>
      <c r="E4278" s="2" t="inlineStr">
        <is>
          <t>SP</t>
        </is>
      </c>
      <c r="F4278" s="2" t="inlineStr">
        <is>
          <t>TIM Pré XIP Plus 6GB</t>
        </is>
      </c>
      <c r="G4278" s="2" t="inlineStr">
        <is>
          <t>tim:59906</t>
        </is>
      </c>
      <c r="H4278" s="3" t="n">
        <v>20</v>
      </c>
      <c r="I4278" s="3" t="inlineStr"/>
      <c r="J4278" s="2" t="inlineStr"/>
      <c r="K4278" s="2" t="inlineStr"/>
      <c r="L4278" s="4" t="n">
        <v>6</v>
      </c>
      <c r="M4278" s="2" t="inlineStr"/>
      <c r="N4278" s="2" t="n">
        <v>17</v>
      </c>
      <c r="O4278" s="2" t="inlineStr"/>
      <c r="P4278" s="2" t="inlineStr"/>
      <c r="Q4278" s="2" t="inlineStr"/>
      <c r="R4278" s="2" t="inlineStr"/>
      <c r="S4278" s="2" t="inlineStr"/>
      <c r="T4278" s="2" t="inlineStr"/>
      <c r="U4278" s="2" t="inlineStr">
        <is>
          <t>https://www.tim.com.br/sp/para-voce/planos/pre-pago</t>
        </is>
      </c>
      <c r="V4278" s="2" t="inlineStr">
        <is>
          <t>data/raw/tim_prepaid_SP.html</t>
        </is>
      </c>
    </row>
    <row r="4279">
      <c r="A4279" s="5" t="inlineStr">
        <is>
          <t>2026-09-05</t>
        </is>
      </c>
      <c r="B4279" s="5" t="inlineStr">
        <is>
          <t>2026-09-05T19:37:33</t>
        </is>
      </c>
      <c r="C4279" s="5" t="inlineStr">
        <is>
          <t>tim</t>
        </is>
      </c>
      <c r="D4279" s="5" t="inlineStr">
        <is>
          <t>prepaid</t>
        </is>
      </c>
      <c r="E4279" s="5" t="inlineStr">
        <is>
          <t>SP</t>
        </is>
      </c>
      <c r="F4279" s="5" t="inlineStr">
        <is>
          <t>TIM Pré XIP Plus 8GB</t>
        </is>
      </c>
      <c r="G4279" s="5" t="inlineStr">
        <is>
          <t>tim:59901</t>
        </is>
      </c>
      <c r="H4279" s="6" t="n">
        <v>25</v>
      </c>
      <c r="I4279" s="6" t="inlineStr"/>
      <c r="J4279" s="5" t="inlineStr"/>
      <c r="K4279" s="5" t="inlineStr"/>
      <c r="L4279" s="7" t="n">
        <v>8</v>
      </c>
      <c r="M4279" s="5" t="inlineStr"/>
      <c r="N4279" s="5" t="n">
        <v>22</v>
      </c>
      <c r="O4279" s="5" t="inlineStr"/>
      <c r="P4279" s="5" t="inlineStr"/>
      <c r="Q4279" s="5" t="inlineStr"/>
      <c r="R4279" s="5" t="inlineStr"/>
      <c r="S4279" s="5" t="inlineStr"/>
      <c r="T4279" s="5" t="inlineStr"/>
      <c r="U4279" s="5" t="inlineStr">
        <is>
          <t>https://www.tim.com.br/sp/para-voce/planos/pre-pago</t>
        </is>
      </c>
      <c r="V4279" s="5" t="inlineStr">
        <is>
          <t>data/raw/tim_prepaid_SP.html</t>
        </is>
      </c>
    </row>
    <row r="4280">
      <c r="A4280" s="2" t="inlineStr">
        <is>
          <t>2026-09-05</t>
        </is>
      </c>
      <c r="B4280" s="2" t="inlineStr">
        <is>
          <t>2026-09-05T19:37:33</t>
        </is>
      </c>
      <c r="C4280" s="2" t="inlineStr">
        <is>
          <t>vivo</t>
        </is>
      </c>
      <c r="D4280" s="2" t="inlineStr">
        <is>
          <t>control</t>
        </is>
      </c>
      <c r="E4280" s="2" t="inlineStr">
        <is>
          <t>SP</t>
        </is>
      </c>
      <c r="F4280" s="2" t="inlineStr">
        <is>
          <t>Vivo Controle</t>
        </is>
      </c>
      <c r="G4280" s="2" t="inlineStr">
        <is>
          <t>vivo:VIV202600034591</t>
        </is>
      </c>
      <c r="H4280" s="3" t="n">
        <v>59</v>
      </c>
      <c r="I4280" s="3" t="inlineStr"/>
      <c r="J4280" s="2" t="inlineStr"/>
      <c r="K4280" s="2" t="inlineStr"/>
      <c r="L4280" s="4" t="n">
        <v>45</v>
      </c>
      <c r="M4280" s="2" t="inlineStr">
        <is>
          <t>15 GB de franquia 30 GB de bônus</t>
        </is>
      </c>
      <c r="N4280" s="2" t="inlineStr"/>
      <c r="O4280" s="2" t="inlineStr"/>
      <c r="P4280" s="2" t="inlineStr"/>
      <c r="Q4280" s="2" t="inlineStr"/>
      <c r="R4280" s="2" t="inlineStr"/>
      <c r="S4280" s="2" t="inlineStr"/>
      <c r="T4280" s="2" t="inlineStr">
        <is>
          <t>6 meses grátis de Gemini com AI Plus</t>
        </is>
      </c>
      <c r="U4280" s="2" t="inlineStr">
        <is>
          <t>https://vivo.com.br/para-voce/produtos-e-servicos/para-o-celular/planos-controle</t>
        </is>
      </c>
      <c r="V4280" s="2" t="inlineStr">
        <is>
          <t>data/raw/vivo_control_SP.html</t>
        </is>
      </c>
    </row>
    <row r="4281">
      <c r="A4281" s="5" t="inlineStr">
        <is>
          <t>2026-09-05</t>
        </is>
      </c>
      <c r="B4281" s="5" t="inlineStr">
        <is>
          <t>2026-09-05T19:37:33</t>
        </is>
      </c>
      <c r="C4281" s="5" t="inlineStr">
        <is>
          <t>vivo</t>
        </is>
      </c>
      <c r="D4281" s="5" t="inlineStr">
        <is>
          <t>control</t>
        </is>
      </c>
      <c r="E4281" s="5" t="inlineStr">
        <is>
          <t>SP</t>
        </is>
      </c>
      <c r="F4281" s="5" t="inlineStr">
        <is>
          <t>Vivo Controle</t>
        </is>
      </c>
      <c r="G4281" s="5" t="inlineStr">
        <is>
          <t>vivo:VIV202600034599</t>
        </is>
      </c>
      <c r="H4281" s="6" t="n">
        <v>75</v>
      </c>
      <c r="I4281" s="6" t="inlineStr"/>
      <c r="J4281" s="5" t="inlineStr">
        <is>
          <t>preço-base do plano; a tela exibia R$ 80 com o adicional pré-selecionado (+R$ 5/mês, opcional); 60 GB na tela incluem +10 GB do adicional</t>
        </is>
      </c>
      <c r="K4281" s="5" t="inlineStr"/>
      <c r="L4281" s="7" t="n">
        <v>50</v>
      </c>
      <c r="M4281" s="5" t="inlineStr">
        <is>
          <t>20 GB de franquia 30 GB de bônus</t>
        </is>
      </c>
      <c r="N4281" s="5" t="inlineStr"/>
      <c r="O4281" s="5" t="inlineStr"/>
      <c r="P4281" s="5" t="inlineStr"/>
      <c r="Q4281" s="5" t="inlineStr"/>
      <c r="R4281" s="5" t="inlineStr"/>
      <c r="S4281" s="5" t="inlineStr"/>
      <c r="T4281" s="5" t="inlineStr">
        <is>
          <t>6 meses grátis de Gemini com AI Plus</t>
        </is>
      </c>
      <c r="U4281" s="5" t="inlineStr">
        <is>
          <t>https://vivo.com.br/para-voce/produtos-e-servicos/para-o-celular/planos-controle</t>
        </is>
      </c>
      <c r="V4281" s="5" t="inlineStr">
        <is>
          <t>data/raw/vivo_control_SP.html</t>
        </is>
      </c>
    </row>
    <row r="4282">
      <c r="A4282" s="2" t="inlineStr">
        <is>
          <t>2026-09-05</t>
        </is>
      </c>
      <c r="B4282" s="2" t="inlineStr">
        <is>
          <t>2026-09-05T19:37:33</t>
        </is>
      </c>
      <c r="C4282" s="2" t="inlineStr">
        <is>
          <t>vivo</t>
        </is>
      </c>
      <c r="D4282" s="2" t="inlineStr">
        <is>
          <t>control</t>
        </is>
      </c>
      <c r="E4282" s="2" t="inlineStr">
        <is>
          <t>SP</t>
        </is>
      </c>
      <c r="F4282" s="2" t="inlineStr">
        <is>
          <t>Vivo Controle Amazon</t>
        </is>
      </c>
      <c r="G4282" s="2" t="inlineStr">
        <is>
          <t>vivo:VIV202600038804</t>
        </is>
      </c>
      <c r="H4282" s="3" t="n">
        <v>70</v>
      </c>
      <c r="I4282" s="3" t="inlineStr"/>
      <c r="J4282" s="2" t="inlineStr">
        <is>
          <t>preço-base do plano; a tela exibia R$ 75 com o adicional pré-selecionado (+R$ 5/mês, opcional); 58 GB na tela incluem +10 GB do adicional</t>
        </is>
      </c>
      <c r="K4282" s="2" t="inlineStr"/>
      <c r="L4282" s="4" t="n">
        <v>48</v>
      </c>
      <c r="M4282" s="2" t="inlineStr">
        <is>
          <t>18 GB de franquia 30 GB de bônus</t>
        </is>
      </c>
      <c r="N4282" s="2" t="inlineStr"/>
      <c r="O4282" s="2" t="inlineStr"/>
      <c r="P4282" s="2" t="inlineStr"/>
      <c r="Q4282" s="2" t="inlineStr"/>
      <c r="R4282" s="2" t="inlineStr"/>
      <c r="S4282" s="2" t="inlineStr"/>
      <c r="T4282" s="2" t="inlineStr">
        <is>
          <t>Assinatura Amazon Prime inclusa</t>
        </is>
      </c>
      <c r="U4282" s="2" t="inlineStr">
        <is>
          <t>https://vivo.com.br/para-voce/produtos-e-servicos/para-o-celular/planos-controle</t>
        </is>
      </c>
      <c r="V4282" s="2" t="inlineStr">
        <is>
          <t>data/raw/vivo_control_SP.html</t>
        </is>
      </c>
    </row>
    <row r="4283">
      <c r="A4283" s="5" t="inlineStr">
        <is>
          <t>2026-09-05</t>
        </is>
      </c>
      <c r="B4283" s="5" t="inlineStr">
        <is>
          <t>2026-09-05T19:37:33</t>
        </is>
      </c>
      <c r="C4283" s="5" t="inlineStr">
        <is>
          <t>vivo</t>
        </is>
      </c>
      <c r="D4283" s="5" t="inlineStr">
        <is>
          <t>control</t>
        </is>
      </c>
      <c r="E4283" s="5" t="inlineStr">
        <is>
          <t>SP</t>
        </is>
      </c>
      <c r="F4283" s="5" t="inlineStr">
        <is>
          <t>Vivo Controle Educação</t>
        </is>
      </c>
      <c r="G4283" s="5" t="inlineStr">
        <is>
          <t>vivo:VIV202600034616</t>
        </is>
      </c>
      <c r="H4283" s="6" t="n">
        <v>85</v>
      </c>
      <c r="I4283" s="6" t="inlineStr"/>
      <c r="J4283" s="5" t="inlineStr">
        <is>
          <t>preço-base do plano; a tela exibia R$ 90 com o adicional pré-selecionado (+R$ 5/mês, opcional); 60 GB na tela incluem +10 GB do adicional</t>
        </is>
      </c>
      <c r="K4283" s="5" t="inlineStr"/>
      <c r="L4283" s="7" t="n">
        <v>50</v>
      </c>
      <c r="M4283" s="5" t="inlineStr">
        <is>
          <t>20 GB de franquia 30 GB de bônus</t>
        </is>
      </c>
      <c r="N4283" s="5" t="inlineStr"/>
      <c r="O4283" s="5" t="inlineStr"/>
      <c r="P4283" s="5" t="inlineStr"/>
      <c r="Q4283" s="5" t="inlineStr"/>
      <c r="R4283" s="5" t="inlineStr"/>
      <c r="S4283" s="5" t="inlineStr"/>
      <c r="T4283" s="5" t="inlineStr">
        <is>
          <t>Assinatura Vivae inclusa</t>
        </is>
      </c>
      <c r="U4283" s="5" t="inlineStr">
        <is>
          <t>https://vivo.com.br/para-voce/produtos-e-servicos/para-o-celular/planos-controle</t>
        </is>
      </c>
      <c r="V4283" s="5" t="inlineStr">
        <is>
          <t>data/raw/vivo_control_SP.html</t>
        </is>
      </c>
    </row>
    <row r="4284">
      <c r="A4284" s="2" t="inlineStr">
        <is>
          <t>2026-09-05</t>
        </is>
      </c>
      <c r="B4284" s="2" t="inlineStr">
        <is>
          <t>2026-09-05T19:37:33</t>
        </is>
      </c>
      <c r="C4284" s="2" t="inlineStr">
        <is>
          <t>vivo</t>
        </is>
      </c>
      <c r="D4284" s="2" t="inlineStr">
        <is>
          <t>control</t>
        </is>
      </c>
      <c r="E4284" s="2" t="inlineStr">
        <is>
          <t>SP</t>
        </is>
      </c>
      <c r="F4284" s="2" t="inlineStr">
        <is>
          <t>Vivo Controle Entretenimento</t>
        </is>
      </c>
      <c r="G4284" s="2" t="inlineStr">
        <is>
          <t>vivo:VIV202600034619</t>
        </is>
      </c>
      <c r="H4284" s="3" t="n">
        <v>105</v>
      </c>
      <c r="I4284" s="3" t="inlineStr"/>
      <c r="J4284" s="2" t="inlineStr">
        <is>
          <t>preço-base do plano; a tela exibia R$ 110 com o adicional pré-selecionado (+R$ 5/mês, opcional); 60 GB na tela incluem +10 GB do adicional</t>
        </is>
      </c>
      <c r="K4284" s="2" t="inlineStr"/>
      <c r="L4284" s="4" t="n">
        <v>50</v>
      </c>
      <c r="M4284" s="2" t="inlineStr">
        <is>
          <t>20 GB de franquia 30 GB de bônus</t>
        </is>
      </c>
      <c r="N4284" s="2" t="inlineStr"/>
      <c r="O4284" s="2" t="inlineStr"/>
      <c r="P4284" s="2" t="inlineStr"/>
      <c r="Q4284" s="2" t="inlineStr"/>
      <c r="R4284" s="2" t="inlineStr"/>
      <c r="S4284" s="2" t="inlineStr"/>
      <c r="T4284" s="2" t="inlineStr">
        <is>
          <t>Assinatura Vivo TV Inicial inclusa</t>
        </is>
      </c>
      <c r="U4284" s="2" t="inlineStr">
        <is>
          <t>https://vivo.com.br/para-voce/produtos-e-servicos/para-o-celular/planos-controle</t>
        </is>
      </c>
      <c r="V4284" s="2" t="inlineStr">
        <is>
          <t>data/raw/vivo_control_SP.html</t>
        </is>
      </c>
    </row>
    <row r="4285">
      <c r="A4285" s="5" t="inlineStr">
        <is>
          <t>2026-09-05</t>
        </is>
      </c>
      <c r="B4285" s="5" t="inlineStr">
        <is>
          <t>2026-09-05T19:37:33</t>
        </is>
      </c>
      <c r="C4285" s="5" t="inlineStr">
        <is>
          <t>vivo</t>
        </is>
      </c>
      <c r="D4285" s="5" t="inlineStr">
        <is>
          <t>control</t>
        </is>
      </c>
      <c r="E4285" s="5" t="inlineStr">
        <is>
          <t>SP</t>
        </is>
      </c>
      <c r="F4285" s="5" t="inlineStr">
        <is>
          <t>Vivo Controle Música</t>
        </is>
      </c>
      <c r="G4285" s="5" t="inlineStr">
        <is>
          <t>vivo:VIV202600034620</t>
        </is>
      </c>
      <c r="H4285" s="6" t="n">
        <v>85</v>
      </c>
      <c r="I4285" s="6" t="inlineStr"/>
      <c r="J4285" s="5" t="inlineStr">
        <is>
          <t>preço-base do plano; a tela exibia R$ 90 com o adicional pré-selecionado (+R$ 5/mês, opcional); 60 GB na tela incluem +10 GB do adicional</t>
        </is>
      </c>
      <c r="K4285" s="5" t="inlineStr"/>
      <c r="L4285" s="7" t="n">
        <v>50</v>
      </c>
      <c r="M4285" s="5" t="inlineStr">
        <is>
          <t>20 GB de franquia 30 GB de bônus</t>
        </is>
      </c>
      <c r="N4285" s="5" t="inlineStr"/>
      <c r="O4285" s="5" t="inlineStr"/>
      <c r="P4285" s="5" t="inlineStr"/>
      <c r="Q4285" s="5" t="inlineStr"/>
      <c r="R4285" s="5" t="inlineStr"/>
      <c r="S4285" s="5" t="inlineStr"/>
      <c r="T4285" s="5" t="inlineStr">
        <is>
          <t>Apple Music Individual</t>
        </is>
      </c>
      <c r="U4285" s="5" t="inlineStr">
        <is>
          <t>https://vivo.com.br/para-voce/produtos-e-servicos/para-o-celular/planos-controle</t>
        </is>
      </c>
      <c r="V4285" s="5" t="inlineStr">
        <is>
          <t>data/raw/vivo_control_SP.html</t>
        </is>
      </c>
    </row>
    <row r="4286">
      <c r="A4286" s="2" t="inlineStr">
        <is>
          <t>2026-09-05</t>
        </is>
      </c>
      <c r="B4286" s="2" t="inlineStr">
        <is>
          <t>2026-09-05T19:37:33</t>
        </is>
      </c>
      <c r="C4286" s="2" t="inlineStr">
        <is>
          <t>vivo</t>
        </is>
      </c>
      <c r="D4286" s="2" t="inlineStr">
        <is>
          <t>control</t>
        </is>
      </c>
      <c r="E4286" s="2" t="inlineStr">
        <is>
          <t>SP</t>
        </is>
      </c>
      <c r="F4286" s="2" t="inlineStr">
        <is>
          <t>Vivo Controle Netflix</t>
        </is>
      </c>
      <c r="G4286" s="2" t="inlineStr">
        <is>
          <t>vivo:VIV202600034623</t>
        </is>
      </c>
      <c r="H4286" s="3" t="n">
        <v>90</v>
      </c>
      <c r="I4286" s="3" t="inlineStr"/>
      <c r="J4286" s="2" t="inlineStr">
        <is>
          <t>preço-base do plano; a tela exibia R$ 95 com o adicional pré-selecionado (+R$ 5/mês, opcional); 60 GB na tela incluem +10 GB do adicional</t>
        </is>
      </c>
      <c r="K4286" s="2" t="inlineStr"/>
      <c r="L4286" s="4" t="n">
        <v>50</v>
      </c>
      <c r="M4286" s="2" t="inlineStr">
        <is>
          <t>20 GB de franquia 30 GB de bônus</t>
        </is>
      </c>
      <c r="N4286" s="2" t="inlineStr"/>
      <c r="O4286" s="2" t="inlineStr"/>
      <c r="P4286" s="2" t="inlineStr"/>
      <c r="Q4286" s="2" t="inlineStr"/>
      <c r="R4286" s="2" t="inlineStr"/>
      <c r="S4286" s="2" t="inlineStr"/>
      <c r="T4286" s="2" t="inlineStr">
        <is>
          <t>Assinatura Netflix Padrão com anúncios</t>
        </is>
      </c>
      <c r="U4286" s="2" t="inlineStr">
        <is>
          <t>https://vivo.com.br/para-voce/produtos-e-servicos/para-o-celular/planos-controle</t>
        </is>
      </c>
      <c r="V4286" s="2" t="inlineStr">
        <is>
          <t>data/raw/vivo_control_SP.html</t>
        </is>
      </c>
    </row>
    <row r="4287">
      <c r="A4287" s="5" t="inlineStr">
        <is>
          <t>2026-09-05</t>
        </is>
      </c>
      <c r="B4287" s="5" t="inlineStr">
        <is>
          <t>2026-09-05T19:37:33</t>
        </is>
      </c>
      <c r="C4287" s="5" t="inlineStr">
        <is>
          <t>vivo</t>
        </is>
      </c>
      <c r="D4287" s="5" t="inlineStr">
        <is>
          <t>control</t>
        </is>
      </c>
      <c r="E4287" s="5" t="inlineStr">
        <is>
          <t>SP</t>
        </is>
      </c>
      <c r="F4287" s="5" t="inlineStr">
        <is>
          <t>Vivo Controle Saúde</t>
        </is>
      </c>
      <c r="G4287" s="5" t="inlineStr">
        <is>
          <t>vivo:VIV202600034625</t>
        </is>
      </c>
      <c r="H4287" s="6" t="n">
        <v>85</v>
      </c>
      <c r="I4287" s="6" t="inlineStr"/>
      <c r="J4287" s="5" t="inlineStr">
        <is>
          <t>preço-base do plano; a tela exibia R$ 90 com o adicional pré-selecionado (+R$ 5/mês, opcional); 60 GB na tela incluem +10 GB do adicional</t>
        </is>
      </c>
      <c r="K4287" s="5" t="inlineStr"/>
      <c r="L4287" s="7" t="n">
        <v>50</v>
      </c>
      <c r="M4287" s="5" t="inlineStr">
        <is>
          <t>20 GB de franquia 30 GB de bônus</t>
        </is>
      </c>
      <c r="N4287" s="5" t="inlineStr"/>
      <c r="O4287" s="5" t="inlineStr"/>
      <c r="P4287" s="5" t="inlineStr"/>
      <c r="Q4287" s="5" t="inlineStr"/>
      <c r="R4287" s="5" t="inlineStr"/>
      <c r="S4287" s="5" t="inlineStr"/>
      <c r="T4287" s="5" t="inlineStr">
        <is>
          <t>Assinatura Vale Saúde Sempre inclusa</t>
        </is>
      </c>
      <c r="U4287" s="5" t="inlineStr">
        <is>
          <t>https://vivo.com.br/para-voce/produtos-e-servicos/para-o-celular/planos-controle</t>
        </is>
      </c>
      <c r="V4287" s="5" t="inlineStr">
        <is>
          <t>data/raw/vivo_control_SP.html</t>
        </is>
      </c>
    </row>
    <row r="4288">
      <c r="A4288" s="2" t="inlineStr">
        <is>
          <t>2026-09-05</t>
        </is>
      </c>
      <c r="B4288" s="2" t="inlineStr">
        <is>
          <t>2026-09-05T19:37:33</t>
        </is>
      </c>
      <c r="C4288" s="2" t="inlineStr">
        <is>
          <t>vivo</t>
        </is>
      </c>
      <c r="D4288" s="2" t="inlineStr">
        <is>
          <t>control</t>
        </is>
      </c>
      <c r="E4288" s="2" t="inlineStr">
        <is>
          <t>SP</t>
        </is>
      </c>
      <c r="F4288" s="2" t="inlineStr">
        <is>
          <t>Vivo Controle Youtube Lite</t>
        </is>
      </c>
      <c r="G4288" s="2" t="inlineStr">
        <is>
          <t>vivo:VIV202600034626</t>
        </is>
      </c>
      <c r="H4288" s="3" t="n">
        <v>85</v>
      </c>
      <c r="I4288" s="3" t="inlineStr"/>
      <c r="J4288" s="2" t="inlineStr">
        <is>
          <t>preço-base do plano; a tela exibia R$ 90 com o adicional pré-selecionado (+R$ 5/mês, opcional); 60 GB na tela incluem +10 GB do adicional</t>
        </is>
      </c>
      <c r="K4288" s="2" t="inlineStr"/>
      <c r="L4288" s="4" t="n">
        <v>50</v>
      </c>
      <c r="M4288" s="2" t="inlineStr">
        <is>
          <t>20 GB de franquia 30 GB de bônus</t>
        </is>
      </c>
      <c r="N4288" s="2" t="inlineStr"/>
      <c r="O4288" s="2" t="inlineStr"/>
      <c r="P4288" s="2" t="inlineStr"/>
      <c r="Q4288" s="2" t="inlineStr"/>
      <c r="R4288" s="2" t="inlineStr"/>
      <c r="S4288" s="2" t="inlineStr"/>
      <c r="T4288" s="2" t="inlineStr">
        <is>
          <t>Assinatura Youtube Premium Lite Inclusa</t>
        </is>
      </c>
      <c r="U4288" s="2" t="inlineStr">
        <is>
          <t>https://vivo.com.br/para-voce/produtos-e-servicos/para-o-celular/planos-controle</t>
        </is>
      </c>
      <c r="V4288" s="2" t="inlineStr">
        <is>
          <t>data/raw/vivo_control_SP.html</t>
        </is>
      </c>
    </row>
    <row r="4289">
      <c r="A4289" s="5" t="inlineStr">
        <is>
          <t>2026-09-05</t>
        </is>
      </c>
      <c r="B4289" s="5" t="inlineStr">
        <is>
          <t>2026-09-05T19:37:33</t>
        </is>
      </c>
      <c r="C4289" s="5" t="inlineStr">
        <is>
          <t>vivo</t>
        </is>
      </c>
      <c r="D4289" s="5" t="inlineStr">
        <is>
          <t>lite</t>
        </is>
      </c>
      <c r="E4289" s="5" t="inlineStr">
        <is>
          <t>SP</t>
        </is>
      </c>
      <c r="F4289" s="5" t="inlineStr">
        <is>
          <t>Vivo Lite</t>
        </is>
      </c>
      <c r="G4289" s="5" t="inlineStr">
        <is>
          <t>vivo:VIV202600038808</t>
        </is>
      </c>
      <c r="H4289" s="6" t="n">
        <v>45</v>
      </c>
      <c r="I4289" s="6" t="n">
        <v>30</v>
      </c>
      <c r="J4289" s="5" t="inlineStr">
        <is>
          <t>preço sem fidelidade; fidelidade 12m no promo</t>
        </is>
      </c>
      <c r="K4289" s="5" t="inlineStr"/>
      <c r="L4289" s="7" t="n">
        <v>30</v>
      </c>
      <c r="M4289" s="5" t="inlineStr">
        <is>
          <t>30 GB de franquia</t>
        </is>
      </c>
      <c r="N4289" s="5" t="inlineStr"/>
      <c r="O4289" s="5" t="inlineStr"/>
      <c r="P4289" s="5" t="inlineStr"/>
      <c r="Q4289" s="5" t="inlineStr"/>
      <c r="R4289" s="5" t="inlineStr"/>
      <c r="S4289" s="5" t="n">
        <v>12</v>
      </c>
      <c r="T4289" s="5" t="inlineStr"/>
      <c r="U4289" s="5" t="inlineStr">
        <is>
          <t>https://vivo.com.br/para-voce/produtos-e-servicos/para-o-celular/easy-lite</t>
        </is>
      </c>
      <c r="V4289" s="5" t="inlineStr">
        <is>
          <t>data/raw/vivo_lite_SP.html</t>
        </is>
      </c>
    </row>
    <row r="4290">
      <c r="A4290" s="2" t="inlineStr">
        <is>
          <t>2026-09-05</t>
        </is>
      </c>
      <c r="B4290" s="2" t="inlineStr">
        <is>
          <t>2026-09-05T19:37:33</t>
        </is>
      </c>
      <c r="C4290" s="2" t="inlineStr">
        <is>
          <t>vivo</t>
        </is>
      </c>
      <c r="D4290" s="2" t="inlineStr">
        <is>
          <t>lite</t>
        </is>
      </c>
      <c r="E4290" s="2" t="inlineStr">
        <is>
          <t>SP</t>
        </is>
      </c>
      <c r="F4290" s="2" t="inlineStr">
        <is>
          <t>Vivo Lite</t>
        </is>
      </c>
      <c r="G4290" s="2" t="inlineStr">
        <is>
          <t>vivo:VIV202600038810</t>
        </is>
      </c>
      <c r="H4290" s="3" t="n">
        <v>55</v>
      </c>
      <c r="I4290" s="3" t="n">
        <v>40</v>
      </c>
      <c r="J4290" s="2" t="inlineStr">
        <is>
          <t>preço sem fidelidade; fidelidade 12m no promo</t>
        </is>
      </c>
      <c r="K4290" s="2" t="inlineStr"/>
      <c r="L4290" s="4" t="n">
        <v>40</v>
      </c>
      <c r="M4290" s="2" t="inlineStr">
        <is>
          <t>40 GB de franquia</t>
        </is>
      </c>
      <c r="N4290" s="2" t="inlineStr"/>
      <c r="O4290" s="2" t="inlineStr"/>
      <c r="P4290" s="2" t="inlineStr"/>
      <c r="Q4290" s="2" t="inlineStr"/>
      <c r="R4290" s="2" t="inlineStr"/>
      <c r="S4290" s="2" t="n">
        <v>12</v>
      </c>
      <c r="T4290" s="2" t="inlineStr"/>
      <c r="U4290" s="2" t="inlineStr">
        <is>
          <t>https://vivo.com.br/para-voce/produtos-e-servicos/para-o-celular/easy-lite</t>
        </is>
      </c>
      <c r="V4290" s="2" t="inlineStr">
        <is>
          <t>data/raw/vivo_lite_SP.html</t>
        </is>
      </c>
    </row>
    <row r="4291">
      <c r="A4291" s="5" t="inlineStr">
        <is>
          <t>2026-09-05</t>
        </is>
      </c>
      <c r="B4291" s="5" t="inlineStr">
        <is>
          <t>2026-09-05T19:37:33</t>
        </is>
      </c>
      <c r="C4291" s="5" t="inlineStr">
        <is>
          <t>vivo</t>
        </is>
      </c>
      <c r="D4291" s="5" t="inlineStr">
        <is>
          <t>lite</t>
        </is>
      </c>
      <c r="E4291" s="5" t="inlineStr">
        <is>
          <t>SP</t>
        </is>
      </c>
      <c r="F4291" s="5" t="inlineStr">
        <is>
          <t>Vivo Lite</t>
        </is>
      </c>
      <c r="G4291" s="5" t="inlineStr">
        <is>
          <t>vivo:VIV202600038814</t>
        </is>
      </c>
      <c r="H4291" s="6" t="n">
        <v>35</v>
      </c>
      <c r="I4291" s="6" t="inlineStr"/>
      <c r="J4291" s="5" t="inlineStr"/>
      <c r="K4291" s="5" t="inlineStr"/>
      <c r="L4291" s="7" t="n">
        <v>20</v>
      </c>
      <c r="M4291" s="5" t="inlineStr">
        <is>
          <t>20 GB de franquia</t>
        </is>
      </c>
      <c r="N4291" s="5" t="inlineStr"/>
      <c r="O4291" s="5" t="inlineStr"/>
      <c r="P4291" s="5" t="inlineStr"/>
      <c r="Q4291" s="5" t="inlineStr"/>
      <c r="R4291" s="5" t="inlineStr"/>
      <c r="S4291" s="5" t="inlineStr"/>
      <c r="T4291" s="5" t="inlineStr"/>
      <c r="U4291" s="5" t="inlineStr">
        <is>
          <t>https://vivo.com.br/para-voce/produtos-e-servicos/para-o-celular/easy-lite</t>
        </is>
      </c>
      <c r="V4291" s="5" t="inlineStr">
        <is>
          <t>data/raw/vivo_lite_SP.html</t>
        </is>
      </c>
    </row>
    <row r="4292">
      <c r="A4292" s="2" t="inlineStr">
        <is>
          <t>2026-09-05</t>
        </is>
      </c>
      <c r="B4292" s="2" t="inlineStr">
        <is>
          <t>2026-09-05T19:37:33</t>
        </is>
      </c>
      <c r="C4292" s="2" t="inlineStr">
        <is>
          <t>vivo</t>
        </is>
      </c>
      <c r="D4292" s="2" t="inlineStr">
        <is>
          <t>postpaid</t>
        </is>
      </c>
      <c r="E4292" s="2" t="inlineStr">
        <is>
          <t>SP</t>
        </is>
      </c>
      <c r="F4292" s="2" t="inlineStr">
        <is>
          <t>Vivo Família 2</t>
        </is>
      </c>
      <c r="G4292" s="2" t="inlineStr">
        <is>
          <t>vivo:VIV202600034547</t>
        </is>
      </c>
      <c r="H4292" s="3" t="n">
        <v>270</v>
      </c>
      <c r="I4292" s="3" t="inlineStr"/>
      <c r="J4292" s="2" t="inlineStr"/>
      <c r="K4292" s="2" t="inlineStr"/>
      <c r="L4292" s="4" t="n">
        <v>120</v>
      </c>
      <c r="M4292" s="2" t="inlineStr">
        <is>
          <t>120 GB de franquia Você + 1 linha adicional Roaming Internacional com Vivo Travel Américas e Europa</t>
        </is>
      </c>
      <c r="N4292" s="2" t="inlineStr"/>
      <c r="O4292" s="2" t="inlineStr"/>
      <c r="P4292" s="2" t="inlineStr"/>
      <c r="Q4292" s="2" t="inlineStr"/>
      <c r="R4292" s="2" t="inlineStr"/>
      <c r="S4292" s="2" t="inlineStr"/>
      <c r="T4292" s="2" t="inlineStr">
        <is>
          <t>12 meses grátis de Gemini com AI Plus</t>
        </is>
      </c>
      <c r="U4292" s="2" t="inlineStr">
        <is>
          <t>https://vivo.com.br/para-voce/produtos-e-servicos/para-o-celular/planos-pos-pago</t>
        </is>
      </c>
      <c r="V4292" s="2" t="inlineStr">
        <is>
          <t>data/raw/vivo_postpaid_SP.html</t>
        </is>
      </c>
    </row>
    <row r="4293">
      <c r="A4293" s="5" t="inlineStr">
        <is>
          <t>2026-09-05</t>
        </is>
      </c>
      <c r="B4293" s="5" t="inlineStr">
        <is>
          <t>2026-09-05T19:37:33</t>
        </is>
      </c>
      <c r="C4293" s="5" t="inlineStr">
        <is>
          <t>vivo</t>
        </is>
      </c>
      <c r="D4293" s="5" t="inlineStr">
        <is>
          <t>postpaid</t>
        </is>
      </c>
      <c r="E4293" s="5" t="inlineStr">
        <is>
          <t>SP</t>
        </is>
      </c>
      <c r="F4293" s="5" t="inlineStr">
        <is>
          <t>Vivo Família 3</t>
        </is>
      </c>
      <c r="G4293" s="5" t="inlineStr">
        <is>
          <t>vivo:VIV202600034540</t>
        </is>
      </c>
      <c r="H4293" s="6" t="n">
        <v>340</v>
      </c>
      <c r="I4293" s="6" t="inlineStr"/>
      <c r="J4293" s="5" t="inlineStr"/>
      <c r="K4293" s="5" t="inlineStr"/>
      <c r="L4293" s="7" t="n">
        <v>180</v>
      </c>
      <c r="M4293" s="5" t="inlineStr">
        <is>
          <t>180 GB de franquia Você + 2 linhas adicionais Roaming Internacional com Vivo Travel Américas e Europa</t>
        </is>
      </c>
      <c r="N4293" s="5" t="inlineStr"/>
      <c r="O4293" s="5" t="inlineStr"/>
      <c r="P4293" s="5" t="inlineStr"/>
      <c r="Q4293" s="5" t="inlineStr"/>
      <c r="R4293" s="5" t="inlineStr"/>
      <c r="S4293" s="5" t="inlineStr"/>
      <c r="T4293" s="5" t="inlineStr">
        <is>
          <t>12 meses grátis de Gemini com AI Plus</t>
        </is>
      </c>
      <c r="U4293" s="5" t="inlineStr">
        <is>
          <t>https://vivo.com.br/para-voce/produtos-e-servicos/para-o-celular/planos-pos-pago</t>
        </is>
      </c>
      <c r="V4293" s="5" t="inlineStr">
        <is>
          <t>data/raw/vivo_postpaid_SP.html</t>
        </is>
      </c>
    </row>
    <row r="4294">
      <c r="A4294" s="2" t="inlineStr">
        <is>
          <t>2026-09-05</t>
        </is>
      </c>
      <c r="B4294" s="2" t="inlineStr">
        <is>
          <t>2026-09-05T19:37:33</t>
        </is>
      </c>
      <c r="C4294" s="2" t="inlineStr">
        <is>
          <t>vivo</t>
        </is>
      </c>
      <c r="D4294" s="2" t="inlineStr">
        <is>
          <t>postpaid</t>
        </is>
      </c>
      <c r="E4294" s="2" t="inlineStr">
        <is>
          <t>SP</t>
        </is>
      </c>
      <c r="F4294" s="2" t="inlineStr">
        <is>
          <t>Vivo Família 4</t>
        </is>
      </c>
      <c r="G4294" s="2" t="inlineStr">
        <is>
          <t>vivo:VIV202600034531</t>
        </is>
      </c>
      <c r="H4294" s="3" t="n">
        <v>430</v>
      </c>
      <c r="I4294" s="3" t="inlineStr"/>
      <c r="J4294" s="2" t="inlineStr"/>
      <c r="K4294" s="2" t="inlineStr"/>
      <c r="L4294" s="4" t="n">
        <v>240</v>
      </c>
      <c r="M4294" s="2" t="inlineStr">
        <is>
          <t>240 GB de franquia Você + 3 linhas adicionais Roaming Internacional com Vivo Travel Américas e Europa</t>
        </is>
      </c>
      <c r="N4294" s="2" t="inlineStr"/>
      <c r="O4294" s="2" t="inlineStr"/>
      <c r="P4294" s="2" t="inlineStr"/>
      <c r="Q4294" s="2" t="inlineStr"/>
      <c r="R4294" s="2" t="inlineStr"/>
      <c r="S4294" s="2" t="inlineStr"/>
      <c r="T4294" s="2" t="inlineStr">
        <is>
          <t>12 meses grátis de Gemini com AI Plus</t>
        </is>
      </c>
      <c r="U4294" s="2" t="inlineStr">
        <is>
          <t>https://vivo.com.br/para-voce/produtos-e-servicos/para-o-celular/planos-pos-pago</t>
        </is>
      </c>
      <c r="V4294" s="2" t="inlineStr">
        <is>
          <t>data/raw/vivo_postpaid_SP.html</t>
        </is>
      </c>
    </row>
    <row r="4295">
      <c r="A4295" s="5" t="inlineStr">
        <is>
          <t>2026-09-05</t>
        </is>
      </c>
      <c r="B4295" s="5" t="inlineStr">
        <is>
          <t>2026-09-05T19:37:33</t>
        </is>
      </c>
      <c r="C4295" s="5" t="inlineStr">
        <is>
          <t>vivo</t>
        </is>
      </c>
      <c r="D4295" s="5" t="inlineStr">
        <is>
          <t>postpaid</t>
        </is>
      </c>
      <c r="E4295" s="5" t="inlineStr">
        <is>
          <t>SP</t>
        </is>
      </c>
      <c r="F4295" s="5" t="inlineStr">
        <is>
          <t>Vivo Família 5</t>
        </is>
      </c>
      <c r="G4295" s="5" t="inlineStr">
        <is>
          <t>vivo:VIV202600034526</t>
        </is>
      </c>
      <c r="H4295" s="6" t="n">
        <v>530</v>
      </c>
      <c r="I4295" s="6" t="inlineStr"/>
      <c r="J4295" s="5" t="inlineStr"/>
      <c r="K4295" s="5" t="inlineStr"/>
      <c r="L4295" s="7" t="n">
        <v>300</v>
      </c>
      <c r="M4295" s="5" t="inlineStr">
        <is>
          <t>300 GB de franquia Você + 4 linhas adicionais Roaming Internacional com Vivo Travel Américas e Europa</t>
        </is>
      </c>
      <c r="N4295" s="5" t="inlineStr"/>
      <c r="O4295" s="5" t="inlineStr"/>
      <c r="P4295" s="5" t="inlineStr"/>
      <c r="Q4295" s="5" t="inlineStr"/>
      <c r="R4295" s="5" t="inlineStr"/>
      <c r="S4295" s="5" t="inlineStr"/>
      <c r="T4295" s="5" t="inlineStr">
        <is>
          <t>12 meses grátis de Gemini com AI Plus</t>
        </is>
      </c>
      <c r="U4295" s="5" t="inlineStr">
        <is>
          <t>https://vivo.com.br/para-voce/produtos-e-servicos/para-o-celular/planos-pos-pago</t>
        </is>
      </c>
      <c r="V4295" s="5" t="inlineStr">
        <is>
          <t>data/raw/vivo_postpaid_SP.html</t>
        </is>
      </c>
    </row>
    <row r="4296">
      <c r="A4296" s="2" t="inlineStr">
        <is>
          <t>2026-09-05</t>
        </is>
      </c>
      <c r="B4296" s="2" t="inlineStr">
        <is>
          <t>2026-09-05T19:37:33</t>
        </is>
      </c>
      <c r="C4296" s="2" t="inlineStr">
        <is>
          <t>vivo</t>
        </is>
      </c>
      <c r="D4296" s="2" t="inlineStr">
        <is>
          <t>postpaid</t>
        </is>
      </c>
      <c r="E4296" s="2" t="inlineStr">
        <is>
          <t>SP</t>
        </is>
      </c>
      <c r="F4296" s="2" t="inlineStr">
        <is>
          <t>Vivo Pós com Amazon</t>
        </is>
      </c>
      <c r="G4296" s="2" t="inlineStr">
        <is>
          <t>vivo:VIV202600034554</t>
        </is>
      </c>
      <c r="H4296" s="3" t="n">
        <v>150</v>
      </c>
      <c r="I4296" s="3" t="inlineStr"/>
      <c r="J4296" s="2" t="inlineStr"/>
      <c r="K4296" s="2" t="inlineStr"/>
      <c r="L4296" s="4" t="n">
        <v>60</v>
      </c>
      <c r="M4296" s="2" t="inlineStr">
        <is>
          <t>50 GB de franquia 10 GB de bônus</t>
        </is>
      </c>
      <c r="N4296" s="2" t="inlineStr"/>
      <c r="O4296" s="2" t="inlineStr"/>
      <c r="P4296" s="2" t="inlineStr"/>
      <c r="Q4296" s="2" t="inlineStr"/>
      <c r="R4296" s="2" t="inlineStr"/>
      <c r="S4296" s="2" t="inlineStr"/>
      <c r="T4296" s="2" t="inlineStr">
        <is>
          <t>Assinatura Amazon Prime inclusa</t>
        </is>
      </c>
      <c r="U4296" s="2" t="inlineStr">
        <is>
          <t>https://vivo.com.br/para-voce/produtos-e-servicos/para-o-celular/planos-pos-pago</t>
        </is>
      </c>
      <c r="V4296" s="2" t="inlineStr">
        <is>
          <t>data/raw/vivo_postpaid_SP.html</t>
        </is>
      </c>
    </row>
    <row r="4297">
      <c r="A4297" s="5" t="inlineStr">
        <is>
          <t>2026-09-05</t>
        </is>
      </c>
      <c r="B4297" s="5" t="inlineStr">
        <is>
          <t>2026-09-05T19:37:33</t>
        </is>
      </c>
      <c r="C4297" s="5" t="inlineStr">
        <is>
          <t>vivo</t>
        </is>
      </c>
      <c r="D4297" s="5" t="inlineStr">
        <is>
          <t>postpaid</t>
        </is>
      </c>
      <c r="E4297" s="5" t="inlineStr">
        <is>
          <t>SP</t>
        </is>
      </c>
      <c r="F4297" s="5" t="inlineStr">
        <is>
          <t>Vivo Pós com Disney+</t>
        </is>
      </c>
      <c r="G4297" s="5" t="inlineStr">
        <is>
          <t>vivo:VIV202600034532</t>
        </is>
      </c>
      <c r="H4297" s="6" t="n">
        <v>180</v>
      </c>
      <c r="I4297" s="6" t="inlineStr"/>
      <c r="J4297" s="5" t="inlineStr"/>
      <c r="K4297" s="5" t="inlineStr"/>
      <c r="L4297" s="7" t="n">
        <v>60</v>
      </c>
      <c r="M4297" s="5" t="inlineStr">
        <is>
          <t>50 GB de franquia 10 GB de bônus</t>
        </is>
      </c>
      <c r="N4297" s="5" t="inlineStr"/>
      <c r="O4297" s="5" t="inlineStr"/>
      <c r="P4297" s="5" t="inlineStr"/>
      <c r="Q4297" s="5" t="inlineStr"/>
      <c r="R4297" s="5" t="inlineStr">
        <is>
          <t>Disney+</t>
        </is>
      </c>
      <c r="S4297" s="5" t="inlineStr"/>
      <c r="T4297" s="5" t="inlineStr">
        <is>
          <t>Assinatura Disney+ Padrão inclusa</t>
        </is>
      </c>
      <c r="U4297" s="5" t="inlineStr">
        <is>
          <t>https://vivo.com.br/para-voce/produtos-e-servicos/para-o-celular/planos-pos-pago</t>
        </is>
      </c>
      <c r="V4297" s="5" t="inlineStr">
        <is>
          <t>data/raw/vivo_postpaid_SP.html</t>
        </is>
      </c>
    </row>
    <row r="4298">
      <c r="A4298" s="2" t="inlineStr">
        <is>
          <t>2026-09-05</t>
        </is>
      </c>
      <c r="B4298" s="2" t="inlineStr">
        <is>
          <t>2026-09-05T19:37:33</t>
        </is>
      </c>
      <c r="C4298" s="2" t="inlineStr">
        <is>
          <t>vivo</t>
        </is>
      </c>
      <c r="D4298" s="2" t="inlineStr">
        <is>
          <t>postpaid</t>
        </is>
      </c>
      <c r="E4298" s="2" t="inlineStr">
        <is>
          <t>SP</t>
        </is>
      </c>
      <c r="F4298" s="2" t="inlineStr">
        <is>
          <t>Vivo Pós com Globoplay</t>
        </is>
      </c>
      <c r="G4298" s="2" t="inlineStr">
        <is>
          <t>vivo:VIV202600034575</t>
        </is>
      </c>
      <c r="H4298" s="3" t="n">
        <v>165</v>
      </c>
      <c r="I4298" s="3" t="inlineStr"/>
      <c r="J4298" s="2" t="inlineStr"/>
      <c r="K4298" s="2" t="inlineStr"/>
      <c r="L4298" s="4" t="n">
        <v>60</v>
      </c>
      <c r="M4298" s="2" t="inlineStr">
        <is>
          <t>50 GB de franquia 10 GB de bônus</t>
        </is>
      </c>
      <c r="N4298" s="2" t="inlineStr"/>
      <c r="O4298" s="2" t="inlineStr"/>
      <c r="P4298" s="2" t="inlineStr"/>
      <c r="Q4298" s="2" t="inlineStr"/>
      <c r="R4298" s="2" t="inlineStr">
        <is>
          <t>Globoplay</t>
        </is>
      </c>
      <c r="S4298" s="2" t="inlineStr"/>
      <c r="T4298" s="2" t="inlineStr">
        <is>
          <t>Assinatura Globoplay inclusa</t>
        </is>
      </c>
      <c r="U4298" s="2" t="inlineStr">
        <is>
          <t>https://vivo.com.br/para-voce/produtos-e-servicos/para-o-celular/planos-pos-pago</t>
        </is>
      </c>
      <c r="V4298" s="2" t="inlineStr">
        <is>
          <t>data/raw/vivo_postpaid_SP.html</t>
        </is>
      </c>
    </row>
    <row r="4299">
      <c r="A4299" s="5" t="inlineStr">
        <is>
          <t>2026-09-05</t>
        </is>
      </c>
      <c r="B4299" s="5" t="inlineStr">
        <is>
          <t>2026-09-05T19:37:33</t>
        </is>
      </c>
      <c r="C4299" s="5" t="inlineStr">
        <is>
          <t>vivo</t>
        </is>
      </c>
      <c r="D4299" s="5" t="inlineStr">
        <is>
          <t>postpaid</t>
        </is>
      </c>
      <c r="E4299" s="5" t="inlineStr">
        <is>
          <t>SP</t>
        </is>
      </c>
      <c r="F4299" s="5" t="inlineStr">
        <is>
          <t>Vivo Pós com Netflix</t>
        </is>
      </c>
      <c r="G4299" s="5" t="inlineStr">
        <is>
          <t>vivo:VIV202600034562</t>
        </is>
      </c>
      <c r="H4299" s="6" t="n">
        <v>180</v>
      </c>
      <c r="I4299" s="6" t="inlineStr"/>
      <c r="J4299" s="5" t="inlineStr"/>
      <c r="K4299" s="5" t="inlineStr"/>
      <c r="L4299" s="7" t="n">
        <v>60</v>
      </c>
      <c r="M4299" s="5" t="inlineStr">
        <is>
          <t>50 GB de franquia 10 GB de bônus</t>
        </is>
      </c>
      <c r="N4299" s="5" t="inlineStr"/>
      <c r="O4299" s="5" t="inlineStr"/>
      <c r="P4299" s="5" t="inlineStr"/>
      <c r="Q4299" s="5" t="inlineStr"/>
      <c r="R4299" s="5" t="inlineStr">
        <is>
          <t>Netflix</t>
        </is>
      </c>
      <c r="S4299" s="5" t="inlineStr"/>
      <c r="T4299" s="5" t="inlineStr">
        <is>
          <t>Assinatura Netflix Padrão inclusa</t>
        </is>
      </c>
      <c r="U4299" s="5" t="inlineStr">
        <is>
          <t>https://vivo.com.br/para-voce/produtos-e-servicos/para-o-celular/planos-pos-pago</t>
        </is>
      </c>
      <c r="V4299" s="5" t="inlineStr">
        <is>
          <t>data/raw/vivo_postpaid_SP.html</t>
        </is>
      </c>
    </row>
    <row r="4300">
      <c r="A4300" s="2" t="inlineStr">
        <is>
          <t>2026-09-05</t>
        </is>
      </c>
      <c r="B4300" s="2" t="inlineStr">
        <is>
          <t>2026-09-05T19:37:33</t>
        </is>
      </c>
      <c r="C4300" s="2" t="inlineStr">
        <is>
          <t>vivo</t>
        </is>
      </c>
      <c r="D4300" s="2" t="inlineStr">
        <is>
          <t>postpaid</t>
        </is>
      </c>
      <c r="E4300" s="2" t="inlineStr">
        <is>
          <t>SP</t>
        </is>
      </c>
      <c r="F4300" s="2" t="inlineStr">
        <is>
          <t>Vivo Pós com Premiere</t>
        </is>
      </c>
      <c r="G4300" s="2" t="inlineStr">
        <is>
          <t>vivo:VIV202600034579</t>
        </is>
      </c>
      <c r="H4300" s="3" t="n">
        <v>180</v>
      </c>
      <c r="I4300" s="3" t="inlineStr"/>
      <c r="J4300" s="2" t="inlineStr"/>
      <c r="K4300" s="2" t="inlineStr"/>
      <c r="L4300" s="4" t="n">
        <v>60</v>
      </c>
      <c r="M4300" s="2" t="inlineStr">
        <is>
          <t>50 GB de franquia 10 GB de bônus</t>
        </is>
      </c>
      <c r="N4300" s="2" t="inlineStr"/>
      <c r="O4300" s="2" t="inlineStr"/>
      <c r="P4300" s="2" t="inlineStr"/>
      <c r="Q4300" s="2" t="inlineStr"/>
      <c r="R4300" s="2" t="inlineStr">
        <is>
          <t>Premiere</t>
        </is>
      </c>
      <c r="S4300" s="2" t="inlineStr"/>
      <c r="T4300" s="2" t="inlineStr">
        <is>
          <t>Assinatura Premiere inclusa</t>
        </is>
      </c>
      <c r="U4300" s="2" t="inlineStr">
        <is>
          <t>https://vivo.com.br/para-voce/produtos-e-servicos/para-o-celular/planos-pos-pago</t>
        </is>
      </c>
      <c r="V4300" s="2" t="inlineStr">
        <is>
          <t>data/raw/vivo_postpaid_SP.html</t>
        </is>
      </c>
    </row>
    <row r="4301">
      <c r="A4301" s="5" t="inlineStr">
        <is>
          <t>2026-09-05</t>
        </is>
      </c>
      <c r="B4301" s="5" t="inlineStr">
        <is>
          <t>2026-09-05T19:37:33</t>
        </is>
      </c>
      <c r="C4301" s="5" t="inlineStr">
        <is>
          <t>vivo</t>
        </is>
      </c>
      <c r="D4301" s="5" t="inlineStr">
        <is>
          <t>postpaid</t>
        </is>
      </c>
      <c r="E4301" s="5" t="inlineStr">
        <is>
          <t>SP</t>
        </is>
      </c>
      <c r="F4301" s="5" t="inlineStr">
        <is>
          <t>Vivo Pós com Spotify</t>
        </is>
      </c>
      <c r="G4301" s="5" t="inlineStr">
        <is>
          <t>vivo:VIV202600034556</t>
        </is>
      </c>
      <c r="H4301" s="6" t="n">
        <v>165</v>
      </c>
      <c r="I4301" s="6" t="inlineStr"/>
      <c r="J4301" s="5" t="inlineStr"/>
      <c r="K4301" s="5" t="inlineStr"/>
      <c r="L4301" s="7" t="n">
        <v>60</v>
      </c>
      <c r="M4301" s="5" t="inlineStr">
        <is>
          <t>50 GB de franquia 10 GB de bônus</t>
        </is>
      </c>
      <c r="N4301" s="5" t="inlineStr"/>
      <c r="O4301" s="5" t="inlineStr"/>
      <c r="P4301" s="5" t="inlineStr"/>
      <c r="Q4301" s="5" t="inlineStr"/>
      <c r="R4301" s="5" t="inlineStr">
        <is>
          <t>Spotify</t>
        </is>
      </c>
      <c r="S4301" s="5" t="inlineStr"/>
      <c r="T4301" s="5" t="inlineStr">
        <is>
          <t>Assinatura Spotify Premium inclusa</t>
        </is>
      </c>
      <c r="U4301" s="5" t="inlineStr">
        <is>
          <t>https://vivo.com.br/para-voce/produtos-e-servicos/para-o-celular/planos-pos-pago</t>
        </is>
      </c>
      <c r="V4301" s="5" t="inlineStr">
        <is>
          <t>data/raw/vivo_postpaid_SP.html</t>
        </is>
      </c>
    </row>
    <row r="4302">
      <c r="A4302" s="2" t="inlineStr">
        <is>
          <t>2026-09-05</t>
        </is>
      </c>
      <c r="B4302" s="2" t="inlineStr">
        <is>
          <t>2026-09-05T19:37:33</t>
        </is>
      </c>
      <c r="C4302" s="2" t="inlineStr">
        <is>
          <t>vivo</t>
        </is>
      </c>
      <c r="D4302" s="2" t="inlineStr">
        <is>
          <t>postpaid</t>
        </is>
      </c>
      <c r="E4302" s="2" t="inlineStr">
        <is>
          <t>SP</t>
        </is>
      </c>
      <c r="F4302" s="2" t="inlineStr">
        <is>
          <t>Vivo Pós com Travel</t>
        </is>
      </c>
      <c r="G4302" s="2" t="inlineStr">
        <is>
          <t>vivo:VIV202600034573</t>
        </is>
      </c>
      <c r="H4302" s="3" t="n">
        <v>215</v>
      </c>
      <c r="I4302" s="3" t="inlineStr"/>
      <c r="J4302" s="2" t="inlineStr"/>
      <c r="K4302" s="2" t="inlineStr"/>
      <c r="L4302" s="4" t="n">
        <v>70</v>
      </c>
      <c r="M4302" s="2" t="inlineStr">
        <is>
          <t>60 GB de franquia 10 GB de bônus</t>
        </is>
      </c>
      <c r="N4302" s="2" t="inlineStr"/>
      <c r="O4302" s="2" t="inlineStr"/>
      <c r="P4302" s="2" t="inlineStr"/>
      <c r="Q4302" s="2" t="inlineStr"/>
      <c r="R4302" s="2" t="inlineStr"/>
      <c r="S4302" s="2" t="inlineStr"/>
      <c r="T4302" s="2" t="inlineStr">
        <is>
          <t>6 meses grátis de Gemini com AI Plus</t>
        </is>
      </c>
      <c r="U4302" s="2" t="inlineStr">
        <is>
          <t>https://vivo.com.br/para-voce/produtos-e-servicos/para-o-celular/planos-pos-pago</t>
        </is>
      </c>
      <c r="V4302" s="2" t="inlineStr">
        <is>
          <t>data/raw/vivo_postpaid_SP.html</t>
        </is>
      </c>
    </row>
    <row r="4303">
      <c r="A4303" s="5" t="inlineStr">
        <is>
          <t>2026-09-05</t>
        </is>
      </c>
      <c r="B4303" s="5" t="inlineStr">
        <is>
          <t>2026-09-05T19:37:33</t>
        </is>
      </c>
      <c r="C4303" s="5" t="inlineStr">
        <is>
          <t>vivo</t>
        </is>
      </c>
      <c r="D4303" s="5" t="inlineStr">
        <is>
          <t>prepaid</t>
        </is>
      </c>
      <c r="E4303" s="5" t="inlineStr">
        <is>
          <t>SP</t>
        </is>
      </c>
      <c r="F4303" s="5" t="inlineStr">
        <is>
          <t>Vivo Pré</t>
        </is>
      </c>
      <c r="G4303" s="5" t="inlineStr">
        <is>
          <t>vivo:VIV202600029370-30d</t>
        </is>
      </c>
      <c r="H4303" s="6" t="n">
        <v>30</v>
      </c>
      <c r="I4303" s="6" t="inlineStr"/>
      <c r="J4303" s="5" t="inlineStr"/>
      <c r="K4303" s="5" t="inlineStr"/>
      <c r="L4303" s="7" t="n">
        <v>25</v>
      </c>
      <c r="M4303" s="5" t="inlineStr">
        <is>
          <t>15 GB para navegar como quiser 5 GB de bônus 5 GB para navegar no Youtube</t>
        </is>
      </c>
      <c r="N4303" s="5" t="n">
        <v>30</v>
      </c>
      <c r="O4303" s="5" t="inlineStr"/>
      <c r="P4303" s="5" t="inlineStr"/>
      <c r="Q4303" s="5" t="inlineStr"/>
      <c r="R4303" s="5" t="inlineStr"/>
      <c r="S4303" s="5" t="inlineStr"/>
      <c r="T4303" s="5" t="inlineStr"/>
      <c r="U4303" s="5" t="inlineStr">
        <is>
          <t>https://vivo.com.br/para-voce/produtos-e-servicos/para-o-celular/pre-pago/vivo-pre</t>
        </is>
      </c>
      <c r="V4303" s="5" t="inlineStr">
        <is>
          <t>data/raw/vivo_prepaid_SP.html</t>
        </is>
      </c>
    </row>
    <row r="4304">
      <c r="A4304" s="2" t="inlineStr">
        <is>
          <t>2026-09-05</t>
        </is>
      </c>
      <c r="B4304" s="2" t="inlineStr">
        <is>
          <t>2026-09-05T19:37:33</t>
        </is>
      </c>
      <c r="C4304" s="2" t="inlineStr">
        <is>
          <t>vivo</t>
        </is>
      </c>
      <c r="D4304" s="2" t="inlineStr">
        <is>
          <t>prepaid</t>
        </is>
      </c>
      <c r="E4304" s="2" t="inlineStr">
        <is>
          <t>SP</t>
        </is>
      </c>
      <c r="F4304" s="2" t="inlineStr">
        <is>
          <t>Vivo Pré</t>
        </is>
      </c>
      <c r="G4304" s="2" t="inlineStr">
        <is>
          <t>vivo:VIV202600029370-22d</t>
        </is>
      </c>
      <c r="H4304" s="3" t="n">
        <v>25</v>
      </c>
      <c r="I4304" s="3" t="inlineStr"/>
      <c r="J4304" s="2" t="inlineStr"/>
      <c r="K4304" s="2" t="inlineStr"/>
      <c r="L4304" s="4" t="n">
        <v>9</v>
      </c>
      <c r="M4304" s="2" t="inlineStr">
        <is>
          <t>6 GB para navegar como quiser 3 GB para navegar no YouTube</t>
        </is>
      </c>
      <c r="N4304" s="2" t="n">
        <v>22</v>
      </c>
      <c r="O4304" s="2" t="inlineStr"/>
      <c r="P4304" s="2" t="inlineStr"/>
      <c r="Q4304" s="2" t="inlineStr"/>
      <c r="R4304" s="2" t="inlineStr"/>
      <c r="S4304" s="2" t="inlineStr"/>
      <c r="T4304" s="2" t="inlineStr"/>
      <c r="U4304" s="2" t="inlineStr">
        <is>
          <t>https://vivo.com.br/para-voce/produtos-e-servicos/para-o-celular/pre-pago/vivo-pre</t>
        </is>
      </c>
      <c r="V4304" s="2" t="inlineStr">
        <is>
          <t>data/raw/vivo_prepaid_SP.html</t>
        </is>
      </c>
    </row>
    <row r="4305">
      <c r="A4305" s="5" t="inlineStr">
        <is>
          <t>2026-09-05</t>
        </is>
      </c>
      <c r="B4305" s="5" t="inlineStr">
        <is>
          <t>2026-09-05T19:37:33</t>
        </is>
      </c>
      <c r="C4305" s="5" t="inlineStr">
        <is>
          <t>vivo</t>
        </is>
      </c>
      <c r="D4305" s="5" t="inlineStr">
        <is>
          <t>prepaid</t>
        </is>
      </c>
      <c r="E4305" s="5" t="inlineStr">
        <is>
          <t>SP</t>
        </is>
      </c>
      <c r="F4305" s="5" t="inlineStr">
        <is>
          <t>Vivo Pré</t>
        </is>
      </c>
      <c r="G4305" s="5" t="inlineStr">
        <is>
          <t>vivo:VIV202600029370-17d</t>
        </is>
      </c>
      <c r="H4305" s="6" t="n">
        <v>20</v>
      </c>
      <c r="I4305" s="6" t="inlineStr"/>
      <c r="J4305" s="5" t="inlineStr"/>
      <c r="K4305" s="5" t="inlineStr"/>
      <c r="L4305" s="7" t="n">
        <v>5</v>
      </c>
      <c r="M4305" s="5" t="inlineStr">
        <is>
          <t>5 GB para navegar como quiser</t>
        </is>
      </c>
      <c r="N4305" s="5" t="n">
        <v>17</v>
      </c>
      <c r="O4305" s="5" t="inlineStr"/>
      <c r="P4305" s="5" t="inlineStr"/>
      <c r="Q4305" s="5" t="inlineStr"/>
      <c r="R4305" s="5" t="inlineStr"/>
      <c r="S4305" s="5" t="inlineStr"/>
      <c r="T4305" s="5" t="inlineStr"/>
      <c r="U4305" s="5" t="inlineStr">
        <is>
          <t>https://vivo.com.br/para-voce/produtos-e-servicos/para-o-celular/pre-pago/vivo-pre</t>
        </is>
      </c>
      <c r="V4305" s="5" t="inlineStr">
        <is>
          <t>data/raw/vivo_prepaid_SP.html</t>
        </is>
      </c>
    </row>
    <row r="4306">
      <c r="A4306" s="2" t="inlineStr">
        <is>
          <t>2026-09-05</t>
        </is>
      </c>
      <c r="B4306" s="2" t="inlineStr">
        <is>
          <t>2026-09-05T19:37:33</t>
        </is>
      </c>
      <c r="C4306" s="2" t="inlineStr">
        <is>
          <t>vivo</t>
        </is>
      </c>
      <c r="D4306" s="2" t="inlineStr">
        <is>
          <t>prepaid</t>
        </is>
      </c>
      <c r="E4306" s="2" t="inlineStr">
        <is>
          <t>SP</t>
        </is>
      </c>
      <c r="F4306" s="2" t="inlineStr">
        <is>
          <t>Vivo Pré</t>
        </is>
      </c>
      <c r="G4306" s="2" t="inlineStr">
        <is>
          <t>vivo:VIV202600029370-15d</t>
        </is>
      </c>
      <c r="H4306" s="3" t="n">
        <v>17</v>
      </c>
      <c r="I4306" s="3" t="inlineStr"/>
      <c r="J4306" s="2" t="inlineStr"/>
      <c r="K4306" s="2" t="inlineStr"/>
      <c r="L4306" s="4" t="n">
        <v>4</v>
      </c>
      <c r="M4306" s="2" t="inlineStr">
        <is>
          <t>4 GB para navegar como quiser</t>
        </is>
      </c>
      <c r="N4306" s="2" t="n">
        <v>15</v>
      </c>
      <c r="O4306" s="2" t="inlineStr"/>
      <c r="P4306" s="2" t="inlineStr"/>
      <c r="Q4306" s="2" t="inlineStr"/>
      <c r="R4306" s="2" t="inlineStr"/>
      <c r="S4306" s="2" t="inlineStr"/>
      <c r="T4306" s="2" t="inlineStr"/>
      <c r="U4306" s="2" t="inlineStr">
        <is>
          <t>https://vivo.com.br/para-voce/produtos-e-servicos/para-o-celular/pre-pago/vivo-pre</t>
        </is>
      </c>
      <c r="V4306" s="2" t="inlineStr">
        <is>
          <t>data/raw/vivo_prepaid_SP.html</t>
        </is>
      </c>
    </row>
    <row r="4307">
      <c r="A4307" s="5" t="inlineStr">
        <is>
          <t>2026-09-06</t>
        </is>
      </c>
      <c r="B4307" s="5" t="inlineStr">
        <is>
          <t>2026-09-06T19:39:36</t>
        </is>
      </c>
      <c r="C4307" s="5" t="inlineStr">
        <is>
          <t>claro</t>
        </is>
      </c>
      <c r="D4307" s="5" t="inlineStr">
        <is>
          <t>control</t>
        </is>
      </c>
      <c r="E4307" s="5" t="inlineStr">
        <is>
          <t>SP</t>
        </is>
      </c>
      <c r="F4307" s="5" t="inlineStr">
        <is>
          <t>Controle 25GB</t>
        </is>
      </c>
      <c r="G4307" s="5" t="inlineStr">
        <is>
          <t>claro:plano-controle-25gb</t>
        </is>
      </c>
      <c r="H4307" s="6" t="n">
        <v>59.9</v>
      </c>
      <c r="I4307" s="6" t="n">
        <v>54.9</v>
      </c>
      <c r="J4307" s="5" t="inlineStr">
        <is>
          <t>De R$ 59,90 Por:</t>
        </is>
      </c>
      <c r="K4307" s="5" t="inlineStr"/>
      <c r="L4307" s="7" t="n">
        <v>25</v>
      </c>
      <c r="M4307" s="5" t="inlineStr"/>
      <c r="N4307" s="5" t="inlineStr"/>
      <c r="O4307" s="5" t="inlineStr">
        <is>
          <t>WhatsApp</t>
        </is>
      </c>
      <c r="P4307" s="5" t="inlineStr"/>
      <c r="Q4307" s="5" t="inlineStr"/>
      <c r="R4307" s="5" t="inlineStr"/>
      <c r="S4307" s="5" t="inlineStr"/>
      <c r="T4307" s="5" t="inlineStr">
        <is>
          <t>Para uso livre; Para redes sociais e vídeos; Bônus exclusivo; Aproveite na sua franquia; WhatsApp e ligações ilimitadas</t>
        </is>
      </c>
      <c r="U4307" s="5" t="inlineStr">
        <is>
          <t>https://www.claro.com.br/celular/controle</t>
        </is>
      </c>
      <c r="V4307" s="5" t="inlineStr">
        <is>
          <t>data/raw/claro_control_SP.json</t>
        </is>
      </c>
    </row>
    <row r="4308">
      <c r="A4308" s="2" t="inlineStr">
        <is>
          <t>2026-09-06</t>
        </is>
      </c>
      <c r="B4308" s="2" t="inlineStr">
        <is>
          <t>2026-09-06T19:39:36</t>
        </is>
      </c>
      <c r="C4308" s="2" t="inlineStr">
        <is>
          <t>claro</t>
        </is>
      </c>
      <c r="D4308" s="2" t="inlineStr">
        <is>
          <t>control</t>
        </is>
      </c>
      <c r="E4308" s="2" t="inlineStr">
        <is>
          <t>SP</t>
        </is>
      </c>
      <c r="F4308" s="2" t="inlineStr">
        <is>
          <t>Controle 30GB</t>
        </is>
      </c>
      <c r="G4308" s="2" t="inlineStr">
        <is>
          <t>claro:plano-controle-30gb</t>
        </is>
      </c>
      <c r="H4308" s="3" t="n">
        <v>69.90000000000001</v>
      </c>
      <c r="I4308" s="3" t="inlineStr"/>
      <c r="J4308" s="2" t="inlineStr"/>
      <c r="K4308" s="2" t="inlineStr"/>
      <c r="L4308" s="4" t="n">
        <v>30</v>
      </c>
      <c r="M4308" s="2" t="inlineStr"/>
      <c r="N4308" s="2" t="inlineStr"/>
      <c r="O4308" s="2" t="inlineStr">
        <is>
          <t>WhatsApp</t>
        </is>
      </c>
      <c r="P4308" s="2" t="inlineStr"/>
      <c r="Q4308" s="2" t="inlineStr"/>
      <c r="R4308" s="2" t="inlineStr"/>
      <c r="S4308" s="2" t="inlineStr"/>
      <c r="T4308" s="2" t="inlineStr">
        <is>
          <t>Para uso livre; Bônus para uso livre; Bônus para redes sociais e apps; Assinatura Amazon Prime por 3 meses; Redes sociais e apps; WhatsApp ilimitado</t>
        </is>
      </c>
      <c r="U4308" s="2" t="inlineStr">
        <is>
          <t>https://www.claro.com.br/celular/controle</t>
        </is>
      </c>
      <c r="V4308" s="2" t="inlineStr">
        <is>
          <t>data/raw/claro_control_SP.json</t>
        </is>
      </c>
    </row>
    <row r="4309">
      <c r="A4309" s="5" t="inlineStr">
        <is>
          <t>2026-09-06</t>
        </is>
      </c>
      <c r="B4309" s="5" t="inlineStr">
        <is>
          <t>2026-09-06T19:39:36</t>
        </is>
      </c>
      <c r="C4309" s="5" t="inlineStr">
        <is>
          <t>claro</t>
        </is>
      </c>
      <c r="D4309" s="5" t="inlineStr">
        <is>
          <t>control</t>
        </is>
      </c>
      <c r="E4309" s="5" t="inlineStr">
        <is>
          <t>SP</t>
        </is>
      </c>
      <c r="F4309" s="5" t="inlineStr">
        <is>
          <t>Controle 30GB</t>
        </is>
      </c>
      <c r="G4309" s="5" t="inlineStr">
        <is>
          <t>claro:plano-controle-30gb-gaming</t>
        </is>
      </c>
      <c r="H4309" s="6" t="n">
        <v>99.90000000000001</v>
      </c>
      <c r="I4309" s="6" t="inlineStr"/>
      <c r="J4309" s="5" t="inlineStr"/>
      <c r="K4309" s="5" t="inlineStr"/>
      <c r="L4309" s="7" t="n">
        <v>30</v>
      </c>
      <c r="M4309" s="5" t="inlineStr"/>
      <c r="N4309" s="5" t="inlineStr"/>
      <c r="O4309" s="5" t="inlineStr">
        <is>
          <t>WhatsApp</t>
        </is>
      </c>
      <c r="P4309" s="5" t="inlineStr"/>
      <c r="Q4309" s="5" t="inlineStr"/>
      <c r="R4309" s="5" t="inlineStr"/>
      <c r="S4309" s="5" t="inlineStr"/>
      <c r="T4309" s="5" t="inlineStr">
        <is>
          <t>Para uso livre; Bônus para redes sociais e apps; Bônus uso livre; Assinatura Amazon Prime por 3 meses; Redes sociais e apps; WhatsApp ilimitado</t>
        </is>
      </c>
      <c r="U4309" s="5" t="inlineStr">
        <is>
          <t>https://www.claro.com.br/celular/controle</t>
        </is>
      </c>
      <c r="V4309" s="5" t="inlineStr">
        <is>
          <t>data/raw/claro_control_SP.json</t>
        </is>
      </c>
    </row>
    <row r="4310">
      <c r="A4310" s="2" t="inlineStr">
        <is>
          <t>2026-09-06</t>
        </is>
      </c>
      <c r="B4310" s="2" t="inlineStr">
        <is>
          <t>2026-09-06T19:39:36</t>
        </is>
      </c>
      <c r="C4310" s="2" t="inlineStr">
        <is>
          <t>claro</t>
        </is>
      </c>
      <c r="D4310" s="2" t="inlineStr">
        <is>
          <t>flex</t>
        </is>
      </c>
      <c r="E4310" s="2" t="inlineStr">
        <is>
          <t>SP</t>
        </is>
      </c>
      <c r="F4310" s="2" t="inlineStr">
        <is>
          <t>Flex 15GB</t>
        </is>
      </c>
      <c r="G4310" s="2" t="inlineStr">
        <is>
          <t>claro:plano-flex-15gb</t>
        </is>
      </c>
      <c r="H4310" s="3" t="n">
        <v>44.9</v>
      </c>
      <c r="I4310" s="3" t="inlineStr"/>
      <c r="J4310" s="2" t="inlineStr"/>
      <c r="K4310" s="2" t="inlineStr"/>
      <c r="L4310" s="4" t="n">
        <v>15</v>
      </c>
      <c r="M4310" s="2" t="inlineStr"/>
      <c r="N4310" s="2" t="inlineStr"/>
      <c r="O4310" s="2" t="inlineStr">
        <is>
          <t>WhatsApp</t>
        </is>
      </c>
      <c r="P4310" s="2" t="inlineStr"/>
      <c r="Q4310" s="2" t="inlineStr"/>
      <c r="R4310" s="2" t="inlineStr"/>
      <c r="S4310" s="2" t="inlineStr"/>
      <c r="T4310" s="2" t="inlineStr">
        <is>
          <t>Para uso livre; Para redes sociais e apps; Bônus extra nos apps; WhatsApp ilimitado</t>
        </is>
      </c>
      <c r="U4310" s="2" t="inlineStr">
        <is>
          <t>https://www.claro.com.br/celular/flex</t>
        </is>
      </c>
      <c r="V4310" s="2" t="inlineStr">
        <is>
          <t>data/raw/claro_flex_SP.json</t>
        </is>
      </c>
    </row>
    <row r="4311">
      <c r="A4311" s="5" t="inlineStr">
        <is>
          <t>2026-09-06</t>
        </is>
      </c>
      <c r="B4311" s="5" t="inlineStr">
        <is>
          <t>2026-09-06T19:39:36</t>
        </is>
      </c>
      <c r="C4311" s="5" t="inlineStr">
        <is>
          <t>claro</t>
        </is>
      </c>
      <c r="D4311" s="5" t="inlineStr">
        <is>
          <t>flex</t>
        </is>
      </c>
      <c r="E4311" s="5" t="inlineStr">
        <is>
          <t>SP</t>
        </is>
      </c>
      <c r="F4311" s="5" t="inlineStr">
        <is>
          <t>Flex 20GB</t>
        </is>
      </c>
      <c r="G4311" s="5" t="inlineStr">
        <is>
          <t>claro:plano-flex-20gb</t>
        </is>
      </c>
      <c r="H4311" s="6" t="n">
        <v>59.9</v>
      </c>
      <c r="I4311" s="6" t="inlineStr"/>
      <c r="J4311" s="5" t="inlineStr"/>
      <c r="K4311" s="5" t="inlineStr"/>
      <c r="L4311" s="7" t="n">
        <v>20</v>
      </c>
      <c r="M4311" s="5" t="inlineStr"/>
      <c r="N4311" s="5" t="inlineStr"/>
      <c r="O4311" s="5" t="inlineStr">
        <is>
          <t>WhatsApp</t>
        </is>
      </c>
      <c r="P4311" s="5" t="inlineStr"/>
      <c r="Q4311" s="5" t="inlineStr"/>
      <c r="R4311" s="5" t="inlineStr"/>
      <c r="S4311" s="5" t="inlineStr"/>
      <c r="T4311" s="5" t="inlineStr">
        <is>
          <t>Para uso livre; Para redes sociais e apps; Bônus extra nos apps; WhatsApp ilimitado</t>
        </is>
      </c>
      <c r="U4311" s="5" t="inlineStr">
        <is>
          <t>https://www.claro.com.br/celular/flex</t>
        </is>
      </c>
      <c r="V4311" s="5" t="inlineStr">
        <is>
          <t>data/raw/claro_flex_SP.json</t>
        </is>
      </c>
    </row>
    <row r="4312">
      <c r="A4312" s="2" t="inlineStr">
        <is>
          <t>2026-09-06</t>
        </is>
      </c>
      <c r="B4312" s="2" t="inlineStr">
        <is>
          <t>2026-09-06T19:39:36</t>
        </is>
      </c>
      <c r="C4312" s="2" t="inlineStr">
        <is>
          <t>claro</t>
        </is>
      </c>
      <c r="D4312" s="2" t="inlineStr">
        <is>
          <t>flex</t>
        </is>
      </c>
      <c r="E4312" s="2" t="inlineStr">
        <is>
          <t>SP</t>
        </is>
      </c>
      <c r="F4312" s="2" t="inlineStr">
        <is>
          <t>Flex 30GB</t>
        </is>
      </c>
      <c r="G4312" s="2" t="inlineStr">
        <is>
          <t>claro:plano-flex-30gb</t>
        </is>
      </c>
      <c r="H4312" s="3" t="n">
        <v>69.90000000000001</v>
      </c>
      <c r="I4312" s="3" t="inlineStr"/>
      <c r="J4312" s="2" t="inlineStr"/>
      <c r="K4312" s="2" t="inlineStr"/>
      <c r="L4312" s="4" t="n">
        <v>30</v>
      </c>
      <c r="M4312" s="2" t="inlineStr"/>
      <c r="N4312" s="2" t="inlineStr"/>
      <c r="O4312" s="2" t="inlineStr">
        <is>
          <t>WhatsApp</t>
        </is>
      </c>
      <c r="P4312" s="2" t="inlineStr"/>
      <c r="Q4312" s="2" t="inlineStr"/>
      <c r="R4312" s="2" t="inlineStr"/>
      <c r="S4312" s="2" t="inlineStr"/>
      <c r="T4312" s="2" t="inlineStr">
        <is>
          <t>Para uso livre; Para redes sociais e apps; Bônus extra nos apps; WhatsApp ilimitado; Assinatura Claro musica inclusa</t>
        </is>
      </c>
      <c r="U4312" s="2" t="inlineStr">
        <is>
          <t>https://www.claro.com.br/celular/flex</t>
        </is>
      </c>
      <c r="V4312" s="2" t="inlineStr">
        <is>
          <t>data/raw/claro_flex_SP.json</t>
        </is>
      </c>
    </row>
    <row r="4313">
      <c r="A4313" s="5" t="inlineStr">
        <is>
          <t>2026-09-06</t>
        </is>
      </c>
      <c r="B4313" s="5" t="inlineStr">
        <is>
          <t>2026-09-06T19:39:36</t>
        </is>
      </c>
      <c r="C4313" s="5" t="inlineStr">
        <is>
          <t>claro</t>
        </is>
      </c>
      <c r="D4313" s="5" t="inlineStr">
        <is>
          <t>flex</t>
        </is>
      </c>
      <c r="E4313" s="5" t="inlineStr">
        <is>
          <t>SP</t>
        </is>
      </c>
      <c r="F4313" s="5" t="inlineStr">
        <is>
          <t>Flex 40GB</t>
        </is>
      </c>
      <c r="G4313" s="5" t="inlineStr">
        <is>
          <t>claro:plano-flex-40gb</t>
        </is>
      </c>
      <c r="H4313" s="6" t="n">
        <v>119.9</v>
      </c>
      <c r="I4313" s="6" t="inlineStr"/>
      <c r="J4313" s="5" t="inlineStr"/>
      <c r="K4313" s="5" t="inlineStr"/>
      <c r="L4313" s="7" t="n">
        <v>40</v>
      </c>
      <c r="M4313" s="5" t="inlineStr"/>
      <c r="N4313" s="5" t="inlineStr"/>
      <c r="O4313" s="5" t="inlineStr">
        <is>
          <t>WhatsApp</t>
        </is>
      </c>
      <c r="P4313" s="5" t="inlineStr"/>
      <c r="Q4313" s="5" t="inlineStr"/>
      <c r="R4313" s="5" t="inlineStr"/>
      <c r="S4313" s="5" t="inlineStr"/>
      <c r="T4313" s="5" t="inlineStr">
        <is>
          <t>Para uso livre; WhatsApp ilimitado; Assinatura Claro musica inclusa; Roaming: Passaporte Américas</t>
        </is>
      </c>
      <c r="U4313" s="5" t="inlineStr">
        <is>
          <t>https://www.claro.com.br/celular/flex</t>
        </is>
      </c>
      <c r="V4313" s="5" t="inlineStr">
        <is>
          <t>data/raw/claro_flex_SP.json</t>
        </is>
      </c>
    </row>
    <row r="4314">
      <c r="A4314" s="2" t="inlineStr">
        <is>
          <t>2026-09-06</t>
        </is>
      </c>
      <c r="B4314" s="2" t="inlineStr">
        <is>
          <t>2026-09-06T19:39:36</t>
        </is>
      </c>
      <c r="C4314" s="2" t="inlineStr">
        <is>
          <t>claro</t>
        </is>
      </c>
      <c r="D4314" s="2" t="inlineStr">
        <is>
          <t>postpaid</t>
        </is>
      </c>
      <c r="E4314" s="2" t="inlineStr">
        <is>
          <t>SP</t>
        </is>
      </c>
      <c r="F4314" s="2" t="inlineStr">
        <is>
          <t>Pós 100GB</t>
        </is>
      </c>
      <c r="G4314" s="2" t="inlineStr">
        <is>
          <t>claro:plano-pos-100gb</t>
        </is>
      </c>
      <c r="H4314" s="3" t="n">
        <v>179.9</v>
      </c>
      <c r="I4314" s="3" t="inlineStr"/>
      <c r="J4314" s="2" t="inlineStr"/>
      <c r="K4314" s="2" t="inlineStr"/>
      <c r="L4314" s="4" t="n">
        <v>100</v>
      </c>
      <c r="M4314" s="2" t="inlineStr"/>
      <c r="N4314" s="2" t="inlineStr"/>
      <c r="O4314" s="2" t="inlineStr">
        <is>
          <t>WhatsApp</t>
        </is>
      </c>
      <c r="P4314" s="2" t="inlineStr"/>
      <c r="Q4314" s="2" t="inlineStr"/>
      <c r="R4314" s="2" t="inlineStr"/>
      <c r="S4314" s="2" t="inlineStr"/>
      <c r="T4314" s="2" t="inlineStr">
        <is>
          <t>Armazenamento na nuvem:; Google One ou iCloud+; WhatsApp ilimitado; Assinatura Amazon Prime por 3 meses; Roaming: Passaporte Américas; Claro Sync: Smartwatch conectado</t>
        </is>
      </c>
      <c r="U4314" s="2" t="inlineStr">
        <is>
          <t>https://www.claro.com.br/celular/pos</t>
        </is>
      </c>
      <c r="V4314" s="2" t="inlineStr">
        <is>
          <t>data/raw/claro_postpaid_SP.json</t>
        </is>
      </c>
    </row>
    <row r="4315">
      <c r="A4315" s="5" t="inlineStr">
        <is>
          <t>2026-09-06</t>
        </is>
      </c>
      <c r="B4315" s="5" t="inlineStr">
        <is>
          <t>2026-09-06T19:39:36</t>
        </is>
      </c>
      <c r="C4315" s="5" t="inlineStr">
        <is>
          <t>claro</t>
        </is>
      </c>
      <c r="D4315" s="5" t="inlineStr">
        <is>
          <t>postpaid</t>
        </is>
      </c>
      <c r="E4315" s="5" t="inlineStr">
        <is>
          <t>SP</t>
        </is>
      </c>
      <c r="F4315" s="5" t="inlineStr">
        <is>
          <t>Pós 150GB</t>
        </is>
      </c>
      <c r="G4315" s="5" t="inlineStr">
        <is>
          <t>claro:plano-pos-150gb</t>
        </is>
      </c>
      <c r="H4315" s="6" t="n">
        <v>239.9</v>
      </c>
      <c r="I4315" s="6" t="inlineStr"/>
      <c r="J4315" s="5" t="inlineStr"/>
      <c r="K4315" s="5" t="inlineStr"/>
      <c r="L4315" s="7" t="n">
        <v>150</v>
      </c>
      <c r="M4315" s="5" t="inlineStr"/>
      <c r="N4315" s="5" t="inlineStr"/>
      <c r="O4315" s="5" t="inlineStr">
        <is>
          <t>WhatsApp</t>
        </is>
      </c>
      <c r="P4315" s="5" t="inlineStr"/>
      <c r="Q4315" s="5" t="inlineStr"/>
      <c r="R4315" s="5" t="inlineStr"/>
      <c r="S4315" s="5" t="inlineStr"/>
      <c r="T4315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315" s="5" t="inlineStr">
        <is>
          <t>https://www.claro.com.br/celular/pos</t>
        </is>
      </c>
      <c r="V4315" s="5" t="inlineStr">
        <is>
          <t>data/raw/claro_postpaid_SP.json</t>
        </is>
      </c>
    </row>
    <row r="4316">
      <c r="A4316" s="2" t="inlineStr">
        <is>
          <t>2026-09-06</t>
        </is>
      </c>
      <c r="B4316" s="2" t="inlineStr">
        <is>
          <t>2026-09-06T19:39:36</t>
        </is>
      </c>
      <c r="C4316" s="2" t="inlineStr">
        <is>
          <t>claro</t>
        </is>
      </c>
      <c r="D4316" s="2" t="inlineStr">
        <is>
          <t>postpaid</t>
        </is>
      </c>
      <c r="E4316" s="2" t="inlineStr">
        <is>
          <t>SP</t>
        </is>
      </c>
      <c r="F4316" s="2" t="inlineStr">
        <is>
          <t>Pós 200GB</t>
        </is>
      </c>
      <c r="G4316" s="2" t="inlineStr">
        <is>
          <t>claro:plano-pos-200gb</t>
        </is>
      </c>
      <c r="H4316" s="3" t="n">
        <v>339.9</v>
      </c>
      <c r="I4316" s="3" t="inlineStr"/>
      <c r="J4316" s="2" t="inlineStr"/>
      <c r="K4316" s="2" t="inlineStr"/>
      <c r="L4316" s="4" t="n">
        <v>200</v>
      </c>
      <c r="M4316" s="2" t="inlineStr"/>
      <c r="N4316" s="2" t="inlineStr"/>
      <c r="O4316" s="2" t="inlineStr">
        <is>
          <t>WhatsApp</t>
        </is>
      </c>
      <c r="P4316" s="2" t="inlineStr"/>
      <c r="Q4316" s="2" t="inlineStr"/>
      <c r="R4316" s="2" t="inlineStr"/>
      <c r="S4316" s="2" t="inlineStr"/>
      <c r="T4316" s="2" t="inlineStr">
        <is>
          <t>Armazenamento na nuvem:; Google One (AI Plus) ou iCloud+; WhatsApp ilimitado; Assinatura Amazon Prime por 3 meses; Roaming: Passaporte Mundo; Claro Sync: Smartwatch conectado</t>
        </is>
      </c>
      <c r="U4316" s="2" t="inlineStr">
        <is>
          <t>https://www.claro.com.br/celular/pos</t>
        </is>
      </c>
      <c r="V4316" s="2" t="inlineStr">
        <is>
          <t>data/raw/claro_postpaid_SP.json</t>
        </is>
      </c>
    </row>
    <row r="4317">
      <c r="A4317" s="5" t="inlineStr">
        <is>
          <t>2026-09-06</t>
        </is>
      </c>
      <c r="B4317" s="5" t="inlineStr">
        <is>
          <t>2026-09-06T19:39:36</t>
        </is>
      </c>
      <c r="C4317" s="5" t="inlineStr">
        <is>
          <t>claro</t>
        </is>
      </c>
      <c r="D4317" s="5" t="inlineStr">
        <is>
          <t>postpaid</t>
        </is>
      </c>
      <c r="E4317" s="5" t="inlineStr">
        <is>
          <t>SP</t>
        </is>
      </c>
      <c r="F4317" s="5" t="inlineStr">
        <is>
          <t>Pós 50GB com GeForce NOW</t>
        </is>
      </c>
      <c r="G4317" s="5" t="inlineStr">
        <is>
          <t>claro:plano-pos-60gb-geforce</t>
        </is>
      </c>
      <c r="H4317" s="6" t="n">
        <v>164.9</v>
      </c>
      <c r="I4317" s="6" t="inlineStr"/>
      <c r="J4317" s="5" t="inlineStr"/>
      <c r="K4317" s="5" t="inlineStr"/>
      <c r="L4317" s="7" t="n">
        <v>50</v>
      </c>
      <c r="M4317" s="5" t="inlineStr"/>
      <c r="N4317" s="5" t="inlineStr"/>
      <c r="O4317" s="5" t="inlineStr">
        <is>
          <t>WhatsApp</t>
        </is>
      </c>
      <c r="P4317" s="5" t="inlineStr"/>
      <c r="Q4317" s="5" t="inlineStr"/>
      <c r="R4317" s="5" t="inlineStr"/>
      <c r="S4317" s="5" t="inlineStr"/>
      <c r="T431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317" s="5" t="inlineStr">
        <is>
          <t>https://www.claro.com.br/celular/pos</t>
        </is>
      </c>
      <c r="V4317" s="5" t="inlineStr">
        <is>
          <t>data/raw/claro_postpaid_SP.json</t>
        </is>
      </c>
    </row>
    <row r="4318">
      <c r="A4318" s="2" t="inlineStr">
        <is>
          <t>2026-09-06</t>
        </is>
      </c>
      <c r="B4318" s="2" t="inlineStr">
        <is>
          <t>2026-09-06T19:39:36</t>
        </is>
      </c>
      <c r="C4318" s="2" t="inlineStr">
        <is>
          <t>claro</t>
        </is>
      </c>
      <c r="D4318" s="2" t="inlineStr">
        <is>
          <t>postpaid</t>
        </is>
      </c>
      <c r="E4318" s="2" t="inlineStr">
        <is>
          <t>SP</t>
        </is>
      </c>
      <c r="F4318" s="2" t="inlineStr">
        <is>
          <t>Pós 60GB</t>
        </is>
      </c>
      <c r="G4318" s="2" t="inlineStr">
        <is>
          <t>claro:plano-pos-60gb</t>
        </is>
      </c>
      <c r="H4318" s="3" t="n">
        <v>124.9</v>
      </c>
      <c r="I4318" s="3" t="inlineStr"/>
      <c r="J4318" s="2" t="inlineStr"/>
      <c r="K4318" s="2" t="inlineStr"/>
      <c r="L4318" s="4" t="n">
        <v>60</v>
      </c>
      <c r="M4318" s="2" t="inlineStr"/>
      <c r="N4318" s="2" t="inlineStr"/>
      <c r="O4318" s="2" t="inlineStr">
        <is>
          <t>WhatsApp</t>
        </is>
      </c>
      <c r="P4318" s="2" t="inlineStr"/>
      <c r="Q4318" s="2" t="inlineStr"/>
      <c r="R4318" s="2" t="inlineStr"/>
      <c r="S4318" s="2" t="inlineStr"/>
      <c r="T4318" s="2" t="inlineStr">
        <is>
          <t>Armazenamento na nuvem:; Google One ou iCloud+; WhatsApp ilimitado; Assinatura Amazon Prime por 3 meses; Roaming: Passaporte Américas; Claro Sync: Smartwatch conectado</t>
        </is>
      </c>
      <c r="U4318" s="2" t="inlineStr">
        <is>
          <t>https://www.claro.com.br/celular/pos</t>
        </is>
      </c>
      <c r="V4318" s="2" t="inlineStr">
        <is>
          <t>data/raw/claro_postpaid_SP.json</t>
        </is>
      </c>
    </row>
    <row r="4319">
      <c r="A4319" s="5" t="inlineStr">
        <is>
          <t>2026-09-06</t>
        </is>
      </c>
      <c r="B4319" s="5" t="inlineStr">
        <is>
          <t>2026-09-06T19:39:36</t>
        </is>
      </c>
      <c r="C4319" s="5" t="inlineStr">
        <is>
          <t>claro</t>
        </is>
      </c>
      <c r="D4319" s="5" t="inlineStr">
        <is>
          <t>prepaid</t>
        </is>
      </c>
      <c r="E4319" s="5" t="inlineStr">
        <is>
          <t>SP</t>
        </is>
      </c>
      <c r="F4319" s="5" t="inlineStr">
        <is>
          <t>Prezão 10GB (25 dias)</t>
        </is>
      </c>
      <c r="G4319" s="5" t="inlineStr">
        <is>
          <t>claro:prezao-25d-10gb</t>
        </is>
      </c>
      <c r="H4319" s="6" t="n">
        <v>25</v>
      </c>
      <c r="I4319" s="6" t="inlineStr"/>
      <c r="J4319" s="5" t="inlineStr">
        <is>
          <t>recarga Prezão R$25 — validade 25 dias</t>
        </is>
      </c>
      <c r="K4319" s="5" t="inlineStr"/>
      <c r="L4319" s="7" t="n">
        <v>10</v>
      </c>
      <c r="M4319" s="5" t="inlineStr"/>
      <c r="N4319" s="5" t="n">
        <v>25</v>
      </c>
      <c r="O4319" s="5" t="inlineStr"/>
      <c r="P4319" s="5" t="inlineStr"/>
      <c r="Q4319" s="5" t="inlineStr"/>
      <c r="R4319" s="5" t="inlineStr"/>
      <c r="S4319" s="5" t="inlineStr"/>
      <c r="T4319" s="5" t="inlineStr"/>
      <c r="U4319" s="5" t="inlineStr">
        <is>
          <t>https://www.claro.com.br/celular/planos-pre/prezao</t>
        </is>
      </c>
      <c r="V4319" s="5" t="inlineStr">
        <is>
          <t>data/raw/claro_prepaid_SP.json</t>
        </is>
      </c>
    </row>
    <row r="4320">
      <c r="A4320" s="2" t="inlineStr">
        <is>
          <t>2026-09-06</t>
        </is>
      </c>
      <c r="B4320" s="2" t="inlineStr">
        <is>
          <t>2026-09-06T19:39:36</t>
        </is>
      </c>
      <c r="C4320" s="2" t="inlineStr">
        <is>
          <t>claro</t>
        </is>
      </c>
      <c r="D4320" s="2" t="inlineStr">
        <is>
          <t>prepaid</t>
        </is>
      </c>
      <c r="E4320" s="2" t="inlineStr">
        <is>
          <t>SP</t>
        </is>
      </c>
      <c r="F4320" s="2" t="inlineStr">
        <is>
          <t>Prezão 12GB (30 dias)</t>
        </is>
      </c>
      <c r="G4320" s="2" t="inlineStr">
        <is>
          <t>claro:prezao-30d-12gb</t>
        </is>
      </c>
      <c r="H4320" s="3" t="n">
        <v>30</v>
      </c>
      <c r="I4320" s="3" t="inlineStr"/>
      <c r="J4320" s="2" t="inlineStr">
        <is>
          <t>recarga Prezão R$30 — validade 30 dias</t>
        </is>
      </c>
      <c r="K4320" s="2" t="inlineStr"/>
      <c r="L4320" s="4" t="n">
        <v>12</v>
      </c>
      <c r="M4320" s="2" t="inlineStr"/>
      <c r="N4320" s="2" t="n">
        <v>30</v>
      </c>
      <c r="O4320" s="2" t="inlineStr"/>
      <c r="P4320" s="2" t="inlineStr"/>
      <c r="Q4320" s="2" t="inlineStr"/>
      <c r="R4320" s="2" t="inlineStr"/>
      <c r="S4320" s="2" t="inlineStr"/>
      <c r="T4320" s="2" t="inlineStr"/>
      <c r="U4320" s="2" t="inlineStr">
        <is>
          <t>https://www.claro.com.br/celular/planos-pre/prezao</t>
        </is>
      </c>
      <c r="V4320" s="2" t="inlineStr">
        <is>
          <t>data/raw/claro_prepaid_SP.json</t>
        </is>
      </c>
    </row>
    <row r="4321">
      <c r="A4321" s="5" t="inlineStr">
        <is>
          <t>2026-09-06</t>
        </is>
      </c>
      <c r="B4321" s="5" t="inlineStr">
        <is>
          <t>2026-09-06T19:39:36</t>
        </is>
      </c>
      <c r="C4321" s="5" t="inlineStr">
        <is>
          <t>claro</t>
        </is>
      </c>
      <c r="D4321" s="5" t="inlineStr">
        <is>
          <t>prepaid</t>
        </is>
      </c>
      <c r="E4321" s="5" t="inlineStr">
        <is>
          <t>SP</t>
        </is>
      </c>
      <c r="F4321" s="5" t="inlineStr">
        <is>
          <t>Prezão 4GB (12 dias)</t>
        </is>
      </c>
      <c r="G4321" s="5" t="inlineStr">
        <is>
          <t>claro:prezao-12d-4gb</t>
        </is>
      </c>
      <c r="H4321" s="6" t="n">
        <v>15</v>
      </c>
      <c r="I4321" s="6" t="inlineStr"/>
      <c r="J4321" s="5" t="inlineStr">
        <is>
          <t>recarga Prezão R$15 — validade 12 dias</t>
        </is>
      </c>
      <c r="K4321" s="5" t="inlineStr"/>
      <c r="L4321" s="7" t="n">
        <v>4</v>
      </c>
      <c r="M4321" s="5" t="inlineStr"/>
      <c r="N4321" s="5" t="n">
        <v>12</v>
      </c>
      <c r="O4321" s="5" t="inlineStr"/>
      <c r="P4321" s="5" t="inlineStr"/>
      <c r="Q4321" s="5" t="inlineStr"/>
      <c r="R4321" s="5" t="inlineStr"/>
      <c r="S4321" s="5" t="inlineStr"/>
      <c r="T4321" s="5" t="inlineStr"/>
      <c r="U4321" s="5" t="inlineStr">
        <is>
          <t>https://www.claro.com.br/celular/planos-pre/prezao</t>
        </is>
      </c>
      <c r="V4321" s="5" t="inlineStr">
        <is>
          <t>data/raw/claro_prepaid_SP.json</t>
        </is>
      </c>
    </row>
    <row r="4322">
      <c r="A4322" s="2" t="inlineStr">
        <is>
          <t>2026-09-06</t>
        </is>
      </c>
      <c r="B4322" s="2" t="inlineStr">
        <is>
          <t>2026-09-06T19:39:36</t>
        </is>
      </c>
      <c r="C4322" s="2" t="inlineStr">
        <is>
          <t>claro</t>
        </is>
      </c>
      <c r="D4322" s="2" t="inlineStr">
        <is>
          <t>prepaid</t>
        </is>
      </c>
      <c r="E4322" s="2" t="inlineStr">
        <is>
          <t>SP</t>
        </is>
      </c>
      <c r="F4322" s="2" t="inlineStr">
        <is>
          <t>Prezão 5GB (15 dias)</t>
        </is>
      </c>
      <c r="G4322" s="2" t="inlineStr">
        <is>
          <t>claro:prezao-15d-5gb</t>
        </is>
      </c>
      <c r="H4322" s="3" t="n">
        <v>15</v>
      </c>
      <c r="I4322" s="3" t="inlineStr"/>
      <c r="J4322" s="2" t="inlineStr">
        <is>
          <t>recarga Prezão R$15 — validade 15 dias</t>
        </is>
      </c>
      <c r="K4322" s="2" t="inlineStr"/>
      <c r="L4322" s="4" t="n">
        <v>5</v>
      </c>
      <c r="M4322" s="2" t="inlineStr"/>
      <c r="N4322" s="2" t="n">
        <v>15</v>
      </c>
      <c r="O4322" s="2" t="inlineStr"/>
      <c r="P4322" s="2" t="inlineStr"/>
      <c r="Q4322" s="2" t="inlineStr"/>
      <c r="R4322" s="2" t="inlineStr"/>
      <c r="S4322" s="2" t="inlineStr"/>
      <c r="T4322" s="2" t="inlineStr"/>
      <c r="U4322" s="2" t="inlineStr">
        <is>
          <t>https://www.claro.com.br/celular/planos-pre/prezao</t>
        </is>
      </c>
      <c r="V4322" s="2" t="inlineStr">
        <is>
          <t>data/raw/claro_prepaid_SP.json</t>
        </is>
      </c>
    </row>
    <row r="4323">
      <c r="A4323" s="5" t="inlineStr">
        <is>
          <t>2026-09-06</t>
        </is>
      </c>
      <c r="B4323" s="5" t="inlineStr">
        <is>
          <t>2026-09-06T19:39:36</t>
        </is>
      </c>
      <c r="C4323" s="5" t="inlineStr">
        <is>
          <t>claro</t>
        </is>
      </c>
      <c r="D4323" s="5" t="inlineStr">
        <is>
          <t>prepaid</t>
        </is>
      </c>
      <c r="E4323" s="5" t="inlineStr">
        <is>
          <t>SP</t>
        </is>
      </c>
      <c r="F4323" s="5" t="inlineStr">
        <is>
          <t>Prezão 6GB (20 dias)</t>
        </is>
      </c>
      <c r="G4323" s="5" t="inlineStr">
        <is>
          <t>claro:prezao-20d-6gb</t>
        </is>
      </c>
      <c r="H4323" s="6" t="n">
        <v>20</v>
      </c>
      <c r="I4323" s="6" t="inlineStr"/>
      <c r="J4323" s="5" t="inlineStr">
        <is>
          <t>recarga Prezão R$20 — validade 20 dias</t>
        </is>
      </c>
      <c r="K4323" s="5" t="inlineStr"/>
      <c r="L4323" s="7" t="n">
        <v>6</v>
      </c>
      <c r="M4323" s="5" t="inlineStr"/>
      <c r="N4323" s="5" t="n">
        <v>20</v>
      </c>
      <c r="O4323" s="5" t="inlineStr"/>
      <c r="P4323" s="5" t="inlineStr"/>
      <c r="Q4323" s="5" t="inlineStr"/>
      <c r="R4323" s="5" t="inlineStr"/>
      <c r="S4323" s="5" t="inlineStr"/>
      <c r="T4323" s="5" t="inlineStr"/>
      <c r="U4323" s="5" t="inlineStr">
        <is>
          <t>https://www.claro.com.br/celular/planos-pre/prezao</t>
        </is>
      </c>
      <c r="V4323" s="5" t="inlineStr">
        <is>
          <t>data/raw/claro_prepaid_SP.json</t>
        </is>
      </c>
    </row>
    <row r="4324">
      <c r="A4324" s="2" t="inlineStr">
        <is>
          <t>2026-09-06</t>
        </is>
      </c>
      <c r="B4324" s="2" t="inlineStr">
        <is>
          <t>2026-09-06T19:39:36</t>
        </is>
      </c>
      <c r="C4324" s="2" t="inlineStr">
        <is>
          <t>claro</t>
        </is>
      </c>
      <c r="D4324" s="2" t="inlineStr">
        <is>
          <t>prepaid</t>
        </is>
      </c>
      <c r="E4324" s="2" t="inlineStr">
        <is>
          <t>SP</t>
        </is>
      </c>
      <c r="F4324" s="2" t="inlineStr">
        <is>
          <t>Prezão 8GB (20 dias)</t>
        </is>
      </c>
      <c r="G4324" s="2" t="inlineStr">
        <is>
          <t>claro:prezao-20d-8gb</t>
        </is>
      </c>
      <c r="H4324" s="3" t="n">
        <v>20</v>
      </c>
      <c r="I4324" s="3" t="inlineStr"/>
      <c r="J4324" s="2" t="inlineStr">
        <is>
          <t>recarga Prezão R$20 — validade 20 dias</t>
        </is>
      </c>
      <c r="K4324" s="2" t="inlineStr"/>
      <c r="L4324" s="4" t="n">
        <v>8</v>
      </c>
      <c r="M4324" s="2" t="inlineStr"/>
      <c r="N4324" s="2" t="n">
        <v>20</v>
      </c>
      <c r="O4324" s="2" t="inlineStr"/>
      <c r="P4324" s="2" t="inlineStr"/>
      <c r="Q4324" s="2" t="inlineStr"/>
      <c r="R4324" s="2" t="inlineStr"/>
      <c r="S4324" s="2" t="inlineStr"/>
      <c r="T4324" s="2" t="inlineStr"/>
      <c r="U4324" s="2" t="inlineStr">
        <is>
          <t>https://www.claro.com.br/celular/planos-pre/prezao</t>
        </is>
      </c>
      <c r="V4324" s="2" t="inlineStr">
        <is>
          <t>data/raw/claro_prepaid_SP.json</t>
        </is>
      </c>
    </row>
    <row r="4325">
      <c r="A4325" s="5" t="inlineStr">
        <is>
          <t>2026-09-06</t>
        </is>
      </c>
      <c r="B4325" s="5" t="inlineStr">
        <is>
          <t>2026-09-06T19:39:36</t>
        </is>
      </c>
      <c r="C4325" s="5" t="inlineStr">
        <is>
          <t>claro</t>
        </is>
      </c>
      <c r="D4325" s="5" t="inlineStr">
        <is>
          <t>prepaid</t>
        </is>
      </c>
      <c r="E4325" s="5" t="inlineStr">
        <is>
          <t>SP</t>
        </is>
      </c>
      <c r="F4325" s="5" t="inlineStr">
        <is>
          <t>Prezão 9GB (25 dias)</t>
        </is>
      </c>
      <c r="G4325" s="5" t="inlineStr">
        <is>
          <t>claro:prezao-25d-9gb</t>
        </is>
      </c>
      <c r="H4325" s="6" t="n">
        <v>25</v>
      </c>
      <c r="I4325" s="6" t="inlineStr"/>
      <c r="J4325" s="5" t="inlineStr">
        <is>
          <t>recarga Prezão R$25 — validade 25 dias</t>
        </is>
      </c>
      <c r="K4325" s="5" t="inlineStr"/>
      <c r="L4325" s="7" t="n">
        <v>9</v>
      </c>
      <c r="M4325" s="5" t="inlineStr"/>
      <c r="N4325" s="5" t="n">
        <v>25</v>
      </c>
      <c r="O4325" s="5" t="inlineStr"/>
      <c r="P4325" s="5" t="inlineStr"/>
      <c r="Q4325" s="5" t="inlineStr"/>
      <c r="R4325" s="5" t="inlineStr"/>
      <c r="S4325" s="5" t="inlineStr"/>
      <c r="T4325" s="5" t="inlineStr"/>
      <c r="U4325" s="5" t="inlineStr">
        <is>
          <t>https://www.claro.com.br/celular/planos-pre/prezao</t>
        </is>
      </c>
      <c r="V4325" s="5" t="inlineStr">
        <is>
          <t>data/raw/claro_prepaid_SP.json</t>
        </is>
      </c>
    </row>
    <row r="4326">
      <c r="A4326" s="2" t="inlineStr">
        <is>
          <t>2026-09-06</t>
        </is>
      </c>
      <c r="B4326" s="2" t="inlineStr">
        <is>
          <t>2026-09-06T19:39:36</t>
        </is>
      </c>
      <c r="C4326" s="2" t="inlineStr">
        <is>
          <t>tim</t>
        </is>
      </c>
      <c r="D4326" s="2" t="inlineStr">
        <is>
          <t>control</t>
        </is>
      </c>
      <c r="E4326" s="2" t="inlineStr">
        <is>
          <t>SP</t>
        </is>
      </c>
      <c r="F4326" s="2" t="inlineStr">
        <is>
          <t>TIM Controle 45GB</t>
        </is>
      </c>
      <c r="G4326" s="2" t="inlineStr">
        <is>
          <t>tim:182766</t>
        </is>
      </c>
      <c r="H4326" s="3" t="n">
        <v>49.99</v>
      </c>
      <c r="I4326" s="3" t="inlineStr"/>
      <c r="J4326" s="2" t="inlineStr"/>
      <c r="K4326" s="2" t="inlineStr"/>
      <c r="L4326" s="4" t="n">
        <v>45</v>
      </c>
      <c r="M4326" s="2" t="inlineStr"/>
      <c r="N4326" s="2" t="inlineStr"/>
      <c r="O4326" s="2" t="inlineStr"/>
      <c r="P4326" s="2" t="inlineStr"/>
      <c r="Q4326" s="2" t="inlineStr"/>
      <c r="R4326" s="2" t="inlineStr"/>
      <c r="S4326" s="2" t="inlineStr"/>
      <c r="T4326" s="2" t="inlineStr"/>
      <c r="U4326" s="2" t="inlineStr">
        <is>
          <t>https://www.tim.com.br/sp/para-voce/planos/controle</t>
        </is>
      </c>
      <c r="V4326" s="2" t="inlineStr">
        <is>
          <t>data/raw/tim_control_SP.html</t>
        </is>
      </c>
    </row>
    <row r="4327">
      <c r="A4327" s="5" t="inlineStr">
        <is>
          <t>2026-09-06</t>
        </is>
      </c>
      <c r="B4327" s="5" t="inlineStr">
        <is>
          <t>2026-09-06T19:39:36</t>
        </is>
      </c>
      <c r="C4327" s="5" t="inlineStr">
        <is>
          <t>tim</t>
        </is>
      </c>
      <c r="D4327" s="5" t="inlineStr">
        <is>
          <t>control</t>
        </is>
      </c>
      <c r="E4327" s="5" t="inlineStr">
        <is>
          <t>SP</t>
        </is>
      </c>
      <c r="F4327" s="5" t="inlineStr">
        <is>
          <t>TIM Controle Light Express 45GB</t>
        </is>
      </c>
      <c r="G4327" s="5" t="inlineStr">
        <is>
          <t>tim:167726</t>
        </is>
      </c>
      <c r="H4327" s="6" t="n">
        <v>60.99</v>
      </c>
      <c r="I4327" s="6" t="inlineStr"/>
      <c r="J4327" s="5" t="inlineStr"/>
      <c r="K4327" s="5" t="inlineStr"/>
      <c r="L4327" s="7" t="n">
        <v>45</v>
      </c>
      <c r="M4327" s="5" t="inlineStr"/>
      <c r="N4327" s="5" t="inlineStr"/>
      <c r="O4327" s="5" t="inlineStr"/>
      <c r="P4327" s="5" t="inlineStr"/>
      <c r="Q4327" s="5" t="inlineStr"/>
      <c r="R4327" s="5" t="inlineStr"/>
      <c r="S4327" s="5" t="inlineStr"/>
      <c r="T4327" s="5" t="inlineStr"/>
      <c r="U4327" s="5" t="inlineStr">
        <is>
          <t>https://www.tim.com.br/sp/para-voce/planos/controle</t>
        </is>
      </c>
      <c r="V4327" s="5" t="inlineStr">
        <is>
          <t>data/raw/tim_control_SP.html</t>
        </is>
      </c>
    </row>
    <row r="4328">
      <c r="A4328" s="2" t="inlineStr">
        <is>
          <t>2026-09-06</t>
        </is>
      </c>
      <c r="B4328" s="2" t="inlineStr">
        <is>
          <t>2026-09-06T19:39:36</t>
        </is>
      </c>
      <c r="C4328" s="2" t="inlineStr">
        <is>
          <t>tim</t>
        </is>
      </c>
      <c r="D4328" s="2" t="inlineStr">
        <is>
          <t>control</t>
        </is>
      </c>
      <c r="E4328" s="2" t="inlineStr">
        <is>
          <t>SP</t>
        </is>
      </c>
      <c r="F4328" s="2" t="inlineStr">
        <is>
          <t>TIM Controle Premium 55GB</t>
        </is>
      </c>
      <c r="G4328" s="2" t="inlineStr">
        <is>
          <t>tim:180756</t>
        </is>
      </c>
      <c r="H4328" s="3" t="n">
        <v>69.98999999999999</v>
      </c>
      <c r="I4328" s="3" t="inlineStr"/>
      <c r="J4328" s="2" t="inlineStr"/>
      <c r="K4328" s="2" t="inlineStr"/>
      <c r="L4328" s="4" t="n">
        <v>55</v>
      </c>
      <c r="M4328" s="2" t="inlineStr"/>
      <c r="N4328" s="2" t="inlineStr"/>
      <c r="O4328" s="2" t="inlineStr"/>
      <c r="P4328" s="2" t="inlineStr"/>
      <c r="Q4328" s="2" t="inlineStr"/>
      <c r="R4328" s="2" t="inlineStr"/>
      <c r="S4328" s="2" t="inlineStr"/>
      <c r="T4328" s="2" t="inlineStr"/>
      <c r="U4328" s="2" t="inlineStr">
        <is>
          <t>https://www.tim.com.br/sp/para-voce/planos/controle</t>
        </is>
      </c>
      <c r="V4328" s="2" t="inlineStr">
        <is>
          <t>data/raw/tim_control_SP.html</t>
        </is>
      </c>
    </row>
    <row r="4329">
      <c r="A4329" s="5" t="inlineStr">
        <is>
          <t>2026-09-06</t>
        </is>
      </c>
      <c r="B4329" s="5" t="inlineStr">
        <is>
          <t>2026-09-06T19:39:36</t>
        </is>
      </c>
      <c r="C4329" s="5" t="inlineStr">
        <is>
          <t>tim</t>
        </is>
      </c>
      <c r="D4329" s="5" t="inlineStr">
        <is>
          <t>control</t>
        </is>
      </c>
      <c r="E4329" s="5" t="inlineStr">
        <is>
          <t>SP</t>
        </is>
      </c>
      <c r="F4329" s="5" t="inlineStr">
        <is>
          <t>TIM Controle Pro Express 46GB</t>
        </is>
      </c>
      <c r="G4329" s="5" t="inlineStr">
        <is>
          <t>tim:167731</t>
        </is>
      </c>
      <c r="H4329" s="6" t="n">
        <v>64.98999999999999</v>
      </c>
      <c r="I4329" s="6" t="inlineStr"/>
      <c r="J4329" s="5" t="inlineStr"/>
      <c r="K4329" s="5" t="inlineStr"/>
      <c r="L4329" s="7" t="n">
        <v>46</v>
      </c>
      <c r="M4329" s="5" t="inlineStr"/>
      <c r="N4329" s="5" t="inlineStr"/>
      <c r="O4329" s="5" t="inlineStr"/>
      <c r="P4329" s="5" t="inlineStr"/>
      <c r="Q4329" s="5" t="inlineStr"/>
      <c r="R4329" s="5" t="inlineStr"/>
      <c r="S4329" s="5" t="inlineStr"/>
      <c r="T4329" s="5" t="inlineStr"/>
      <c r="U4329" s="5" t="inlineStr">
        <is>
          <t>https://www.tim.com.br/sp/para-voce/planos/controle</t>
        </is>
      </c>
      <c r="V4329" s="5" t="inlineStr">
        <is>
          <t>data/raw/tim_control_SP.html</t>
        </is>
      </c>
    </row>
    <row r="4330">
      <c r="A4330" s="2" t="inlineStr">
        <is>
          <t>2026-09-06</t>
        </is>
      </c>
      <c r="B4330" s="2" t="inlineStr">
        <is>
          <t>2026-09-06T19:39:36</t>
        </is>
      </c>
      <c r="C4330" s="2" t="inlineStr">
        <is>
          <t>tim</t>
        </is>
      </c>
      <c r="D4330" s="2" t="inlineStr">
        <is>
          <t>control</t>
        </is>
      </c>
      <c r="E4330" s="2" t="inlineStr">
        <is>
          <t>SP</t>
        </is>
      </c>
      <c r="F4330" s="2" t="inlineStr">
        <is>
          <t>TIM Controle Redes Sociais 46GB</t>
        </is>
      </c>
      <c r="G4330" s="2" t="inlineStr">
        <is>
          <t>tim:167031</t>
        </is>
      </c>
      <c r="H4330" s="3" t="n">
        <v>59.99</v>
      </c>
      <c r="I4330" s="3" t="inlineStr"/>
      <c r="J4330" s="2" t="inlineStr"/>
      <c r="K4330" s="2" t="inlineStr"/>
      <c r="L4330" s="4" t="n">
        <v>46</v>
      </c>
      <c r="M4330" s="2" t="inlineStr"/>
      <c r="N4330" s="2" t="inlineStr"/>
      <c r="O4330" s="2" t="inlineStr"/>
      <c r="P4330" s="2" t="inlineStr"/>
      <c r="Q4330" s="2" t="inlineStr"/>
      <c r="R4330" s="2" t="inlineStr"/>
      <c r="S4330" s="2" t="inlineStr"/>
      <c r="T4330" s="2" t="inlineStr"/>
      <c r="U4330" s="2" t="inlineStr">
        <is>
          <t>https://www.tim.com.br/sp/para-voce/planos/controle</t>
        </is>
      </c>
      <c r="V4330" s="2" t="inlineStr">
        <is>
          <t>data/raw/tim_control_SP.html</t>
        </is>
      </c>
    </row>
    <row r="4331">
      <c r="A4331" s="5" t="inlineStr">
        <is>
          <t>2026-09-06</t>
        </is>
      </c>
      <c r="B4331" s="5" t="inlineStr">
        <is>
          <t>2026-09-06T19:39:36</t>
        </is>
      </c>
      <c r="C4331" s="5" t="inlineStr">
        <is>
          <t>tim</t>
        </is>
      </c>
      <c r="D4331" s="5" t="inlineStr">
        <is>
          <t>fit</t>
        </is>
      </c>
      <c r="E4331" s="5" t="inlineStr">
        <is>
          <t>SP</t>
        </is>
      </c>
      <c r="F4331" s="5" t="inlineStr">
        <is>
          <t>TIM Controle Fit Anual 1.0</t>
        </is>
      </c>
      <c r="G4331" s="5" t="inlineStr">
        <is>
          <t>tim:TIM202600000306</t>
        </is>
      </c>
      <c r="H4331" s="6" t="n">
        <v>20</v>
      </c>
      <c r="I4331" s="6" t="inlineStr"/>
      <c r="J4331" s="5" t="inlineStr">
        <is>
          <t>plano anual 12x no cartão de crédito; a etiqueta TIM informa 'sem prazo de permanência'</t>
        </is>
      </c>
      <c r="K4331" s="5" t="inlineStr">
        <is>
          <t>credit_card</t>
        </is>
      </c>
      <c r="L4331" s="7" t="n">
        <v>25</v>
      </c>
      <c r="M4331" s="5" t="inlineStr"/>
      <c r="N4331" s="5" t="inlineStr"/>
      <c r="O4331" s="5" t="inlineStr"/>
      <c r="P4331" s="5" t="inlineStr"/>
      <c r="Q4331" s="5" t="inlineStr"/>
      <c r="R4331" s="5" t="inlineStr"/>
      <c r="S4331" s="5" t="n">
        <v>12</v>
      </c>
      <c r="T4331" s="5" t="inlineStr"/>
      <c r="U4331" s="5" t="inlineStr">
        <is>
          <t>https://www.tim.com.br/sp/para-voce/planos/controle</t>
        </is>
      </c>
      <c r="V4331" s="5" t="inlineStr">
        <is>
          <t>data/raw/tim_fit_SP.html</t>
        </is>
      </c>
    </row>
    <row r="4332">
      <c r="A4332" s="2" t="inlineStr">
        <is>
          <t>2026-09-06</t>
        </is>
      </c>
      <c r="B4332" s="2" t="inlineStr">
        <is>
          <t>2026-09-06T19:39:36</t>
        </is>
      </c>
      <c r="C4332" s="2" t="inlineStr">
        <is>
          <t>tim</t>
        </is>
      </c>
      <c r="D4332" s="2" t="inlineStr">
        <is>
          <t>fit</t>
        </is>
      </c>
      <c r="E4332" s="2" t="inlineStr">
        <is>
          <t>SP</t>
        </is>
      </c>
      <c r="F4332" s="2" t="inlineStr">
        <is>
          <t>TIM Controle Fit Anual 2.0</t>
        </is>
      </c>
      <c r="G4332" s="2" t="inlineStr">
        <is>
          <t>tim:TIM202600000271</t>
        </is>
      </c>
      <c r="H4332" s="3" t="n">
        <v>30</v>
      </c>
      <c r="I4332" s="3" t="inlineStr"/>
      <c r="J4332" s="2" t="inlineStr">
        <is>
          <t>plano anual 12x no cartão de crédito; a etiqueta TIM informa 'sem prazo de permanência'</t>
        </is>
      </c>
      <c r="K4332" s="2" t="inlineStr">
        <is>
          <t>credit_card</t>
        </is>
      </c>
      <c r="L4332" s="4" t="n">
        <v>35</v>
      </c>
      <c r="M4332" s="2" t="inlineStr"/>
      <c r="N4332" s="2" t="inlineStr"/>
      <c r="O4332" s="2" t="inlineStr"/>
      <c r="P4332" s="2" t="inlineStr"/>
      <c r="Q4332" s="2" t="inlineStr"/>
      <c r="R4332" s="2" t="inlineStr"/>
      <c r="S4332" s="2" t="n">
        <v>12</v>
      </c>
      <c r="T4332" s="2" t="inlineStr"/>
      <c r="U4332" s="2" t="inlineStr">
        <is>
          <t>https://www.tim.com.br/sp/para-voce/planos/controle</t>
        </is>
      </c>
      <c r="V4332" s="2" t="inlineStr">
        <is>
          <t>data/raw/tim_fit_SP.html</t>
        </is>
      </c>
    </row>
    <row r="4333">
      <c r="A4333" s="5" t="inlineStr">
        <is>
          <t>2026-09-06</t>
        </is>
      </c>
      <c r="B4333" s="5" t="inlineStr">
        <is>
          <t>2026-09-06T19:39:36</t>
        </is>
      </c>
      <c r="C4333" s="5" t="inlineStr">
        <is>
          <t>tim</t>
        </is>
      </c>
      <c r="D4333" s="5" t="inlineStr">
        <is>
          <t>fit</t>
        </is>
      </c>
      <c r="E4333" s="5" t="inlineStr">
        <is>
          <t>SP</t>
        </is>
      </c>
      <c r="F4333" s="5" t="inlineStr">
        <is>
          <t>TIM Controle Fit Mensal 1.0</t>
        </is>
      </c>
      <c r="G4333" s="5" t="inlineStr">
        <is>
          <t>tim:TIM202600000270</t>
        </is>
      </c>
      <c r="H4333" s="6" t="n">
        <v>20</v>
      </c>
      <c r="I4333" s="6" t="inlineStr"/>
      <c r="J4333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333" s="5" t="inlineStr"/>
      <c r="L4333" s="7" t="n">
        <v>20</v>
      </c>
      <c r="M4333" s="5" t="inlineStr"/>
      <c r="N4333" s="5" t="inlineStr"/>
      <c r="O4333" s="5" t="inlineStr"/>
      <c r="P4333" s="5" t="inlineStr"/>
      <c r="Q4333" s="5" t="inlineStr"/>
      <c r="R4333" s="5" t="inlineStr"/>
      <c r="S4333" s="5" t="inlineStr"/>
      <c r="T4333" s="5" t="inlineStr"/>
      <c r="U4333" s="5" t="inlineStr">
        <is>
          <t>https://www.tim.com.br/sp/para-voce/planos/controle</t>
        </is>
      </c>
      <c r="V4333" s="5" t="inlineStr">
        <is>
          <t>data/raw/tim_fit_SP.html</t>
        </is>
      </c>
    </row>
    <row r="4334">
      <c r="A4334" s="2" t="inlineStr">
        <is>
          <t>2026-09-06</t>
        </is>
      </c>
      <c r="B4334" s="2" t="inlineStr">
        <is>
          <t>2026-09-06T19:39:36</t>
        </is>
      </c>
      <c r="C4334" s="2" t="inlineStr">
        <is>
          <t>tim</t>
        </is>
      </c>
      <c r="D4334" s="2" t="inlineStr">
        <is>
          <t>fit</t>
        </is>
      </c>
      <c r="E4334" s="2" t="inlineStr">
        <is>
          <t>SP</t>
        </is>
      </c>
      <c r="F4334" s="2" t="inlineStr">
        <is>
          <t>TIM Controle Fit Mensal 2.0</t>
        </is>
      </c>
      <c r="G4334" s="2" t="inlineStr">
        <is>
          <t>tim:TIM202600000305</t>
        </is>
      </c>
      <c r="H4334" s="3" t="n">
        <v>45</v>
      </c>
      <c r="I4334" s="3" t="inlineStr"/>
      <c r="J4334" s="2" t="inlineStr">
        <is>
          <t>plano mensal, sem prazo de permanência; a etiqueta TIM informa 'sem prazo de permanência'</t>
        </is>
      </c>
      <c r="K4334" s="2" t="inlineStr"/>
      <c r="L4334" s="4" t="n">
        <v>35</v>
      </c>
      <c r="M4334" s="2" t="inlineStr"/>
      <c r="N4334" s="2" t="inlineStr"/>
      <c r="O4334" s="2" t="inlineStr"/>
      <c r="P4334" s="2" t="inlineStr"/>
      <c r="Q4334" s="2" t="inlineStr"/>
      <c r="R4334" s="2" t="inlineStr"/>
      <c r="S4334" s="2" t="inlineStr"/>
      <c r="T4334" s="2" t="inlineStr"/>
      <c r="U4334" s="2" t="inlineStr">
        <is>
          <t>https://www.tim.com.br/sp/para-voce/planos/controle</t>
        </is>
      </c>
      <c r="V4334" s="2" t="inlineStr">
        <is>
          <t>data/raw/tim_fit_SP.html</t>
        </is>
      </c>
    </row>
    <row r="4335">
      <c r="A4335" s="5" t="inlineStr">
        <is>
          <t>2026-09-06</t>
        </is>
      </c>
      <c r="B4335" s="5" t="inlineStr">
        <is>
          <t>2026-09-06T19:39:36</t>
        </is>
      </c>
      <c r="C4335" s="5" t="inlineStr">
        <is>
          <t>tim</t>
        </is>
      </c>
      <c r="D4335" s="5" t="inlineStr">
        <is>
          <t>postpaid</t>
        </is>
      </c>
      <c r="E4335" s="5" t="inlineStr">
        <is>
          <t>SP</t>
        </is>
      </c>
      <c r="F4335" s="5" t="inlineStr">
        <is>
          <t>TIM Black 70GB</t>
        </is>
      </c>
      <c r="G4335" s="5" t="inlineStr">
        <is>
          <t>tim:54206</t>
        </is>
      </c>
      <c r="H4335" s="6" t="n">
        <v>129.99</v>
      </c>
      <c r="I4335" s="6" t="inlineStr"/>
      <c r="J4335" s="5" t="inlineStr"/>
      <c r="K4335" s="5" t="inlineStr">
        <is>
          <t>bill</t>
        </is>
      </c>
      <c r="L4335" s="7" t="n">
        <v>70</v>
      </c>
      <c r="M4335" s="5" t="inlineStr"/>
      <c r="N4335" s="5" t="inlineStr"/>
      <c r="O4335" s="5" t="inlineStr"/>
      <c r="P4335" s="5" t="inlineStr"/>
      <c r="Q4335" s="5" t="inlineStr"/>
      <c r="R4335" s="5" t="inlineStr"/>
      <c r="S4335" s="5" t="inlineStr"/>
      <c r="T4335" s="5" t="inlineStr"/>
      <c r="U4335" s="5" t="inlineStr">
        <is>
          <t>https://www.tim.com.br/sp/para-voce/planos/pos-pago/tim-black</t>
        </is>
      </c>
      <c r="V4335" s="5" t="inlineStr">
        <is>
          <t>data/raw/tim_postpaid_SP.html</t>
        </is>
      </c>
    </row>
    <row r="4336">
      <c r="A4336" s="2" t="inlineStr">
        <is>
          <t>2026-09-06</t>
        </is>
      </c>
      <c r="B4336" s="2" t="inlineStr">
        <is>
          <t>2026-09-06T19:39:36</t>
        </is>
      </c>
      <c r="C4336" s="2" t="inlineStr">
        <is>
          <t>tim</t>
        </is>
      </c>
      <c r="D4336" s="2" t="inlineStr">
        <is>
          <t>postpaid</t>
        </is>
      </c>
      <c r="E4336" s="2" t="inlineStr">
        <is>
          <t>SP</t>
        </is>
      </c>
      <c r="F4336" s="2" t="inlineStr">
        <is>
          <t>TIM Black A Express 67GB</t>
        </is>
      </c>
      <c r="G4336" s="2" t="inlineStr">
        <is>
          <t>tim:55121</t>
        </is>
      </c>
      <c r="H4336" s="3" t="n">
        <v>119.99</v>
      </c>
      <c r="I4336" s="3" t="inlineStr"/>
      <c r="J4336" s="2" t="inlineStr"/>
      <c r="K4336" s="2" t="inlineStr">
        <is>
          <t>credit_card</t>
        </is>
      </c>
      <c r="L4336" s="4" t="n">
        <v>67</v>
      </c>
      <c r="M4336" s="2" t="inlineStr"/>
      <c r="N4336" s="2" t="inlineStr"/>
      <c r="O4336" s="2" t="inlineStr"/>
      <c r="P4336" s="2" t="inlineStr"/>
      <c r="Q4336" s="2" t="inlineStr"/>
      <c r="R4336" s="2" t="inlineStr"/>
      <c r="S4336" s="2" t="inlineStr"/>
      <c r="T4336" s="2" t="inlineStr"/>
      <c r="U4336" s="2" t="inlineStr">
        <is>
          <t>https://www.tim.com.br/sp/para-voce/planos/pos-pago/tim-black</t>
        </is>
      </c>
      <c r="V4336" s="2" t="inlineStr">
        <is>
          <t>data/raw/tim_postpaid_SP.html</t>
        </is>
      </c>
    </row>
    <row r="4337">
      <c r="A4337" s="5" t="inlineStr">
        <is>
          <t>2026-09-06</t>
        </is>
      </c>
      <c r="B4337" s="5" t="inlineStr">
        <is>
          <t>2026-09-06T19:39:36</t>
        </is>
      </c>
      <c r="C4337" s="5" t="inlineStr">
        <is>
          <t>tim</t>
        </is>
      </c>
      <c r="D4337" s="5" t="inlineStr">
        <is>
          <t>postpaid</t>
        </is>
      </c>
      <c r="E4337" s="5" t="inlineStr">
        <is>
          <t>SP</t>
        </is>
      </c>
      <c r="F4337" s="5" t="inlineStr">
        <is>
          <t>TIM Black B Express 82GB</t>
        </is>
      </c>
      <c r="G4337" s="5" t="inlineStr">
        <is>
          <t>tim:52146</t>
        </is>
      </c>
      <c r="H4337" s="6" t="n">
        <v>144.99</v>
      </c>
      <c r="I4337" s="6" t="inlineStr"/>
      <c r="J4337" s="5" t="inlineStr"/>
      <c r="K4337" s="5" t="inlineStr">
        <is>
          <t>credit_card</t>
        </is>
      </c>
      <c r="L4337" s="7" t="n">
        <v>82</v>
      </c>
      <c r="M4337" s="5" t="inlineStr"/>
      <c r="N4337" s="5" t="inlineStr"/>
      <c r="O4337" s="5" t="inlineStr"/>
      <c r="P4337" s="5" t="inlineStr"/>
      <c r="Q4337" s="5" t="inlineStr"/>
      <c r="R4337" s="5" t="inlineStr"/>
      <c r="S4337" s="5" t="inlineStr"/>
      <c r="T4337" s="5" t="inlineStr"/>
      <c r="U4337" s="5" t="inlineStr">
        <is>
          <t>https://www.tim.com.br/sp/para-voce/planos/pos-pago/tim-black</t>
        </is>
      </c>
      <c r="V4337" s="5" t="inlineStr">
        <is>
          <t>data/raw/tim_postpaid_SP.html</t>
        </is>
      </c>
    </row>
    <row r="4338">
      <c r="A4338" s="2" t="inlineStr">
        <is>
          <t>2026-09-06</t>
        </is>
      </c>
      <c r="B4338" s="2" t="inlineStr">
        <is>
          <t>2026-09-06T19:39:36</t>
        </is>
      </c>
      <c r="C4338" s="2" t="inlineStr">
        <is>
          <t>tim</t>
        </is>
      </c>
      <c r="D4338" s="2" t="inlineStr">
        <is>
          <t>postpaid</t>
        </is>
      </c>
      <c r="E4338" s="2" t="inlineStr">
        <is>
          <t>SP</t>
        </is>
      </c>
      <c r="F4338" s="2" t="inlineStr">
        <is>
          <t>TIM Black C Express 107GB</t>
        </is>
      </c>
      <c r="G4338" s="2" t="inlineStr">
        <is>
          <t>tim:52151</t>
        </is>
      </c>
      <c r="H4338" s="3" t="n">
        <v>164.99</v>
      </c>
      <c r="I4338" s="3" t="inlineStr"/>
      <c r="J4338" s="2" t="inlineStr"/>
      <c r="K4338" s="2" t="inlineStr">
        <is>
          <t>credit_card</t>
        </is>
      </c>
      <c r="L4338" s="4" t="n">
        <v>107</v>
      </c>
      <c r="M4338" s="2" t="inlineStr"/>
      <c r="N4338" s="2" t="inlineStr"/>
      <c r="O4338" s="2" t="inlineStr"/>
      <c r="P4338" s="2" t="inlineStr"/>
      <c r="Q4338" s="2" t="inlineStr"/>
      <c r="R4338" s="2" t="inlineStr"/>
      <c r="S4338" s="2" t="inlineStr"/>
      <c r="T4338" s="2" t="inlineStr"/>
      <c r="U4338" s="2" t="inlineStr">
        <is>
          <t>https://www.tim.com.br/sp/para-voce/planos/pos-pago/tim-black</t>
        </is>
      </c>
      <c r="V4338" s="2" t="inlineStr">
        <is>
          <t>data/raw/tim_postpaid_SP.html</t>
        </is>
      </c>
    </row>
    <row r="4339">
      <c r="A4339" s="5" t="inlineStr">
        <is>
          <t>2026-09-06</t>
        </is>
      </c>
      <c r="B4339" s="5" t="inlineStr">
        <is>
          <t>2026-09-06T19:39:36</t>
        </is>
      </c>
      <c r="C4339" s="5" t="inlineStr">
        <is>
          <t>tim</t>
        </is>
      </c>
      <c r="D4339" s="5" t="inlineStr">
        <is>
          <t>postpaid</t>
        </is>
      </c>
      <c r="E4339" s="5" t="inlineStr">
        <is>
          <t>SP</t>
        </is>
      </c>
      <c r="F4339" s="5" t="inlineStr">
        <is>
          <t>TIM Black Plus 80GB</t>
        </is>
      </c>
      <c r="G4339" s="5" t="inlineStr">
        <is>
          <t>tim:54256</t>
        </is>
      </c>
      <c r="H4339" s="6" t="n">
        <v>149.99</v>
      </c>
      <c r="I4339" s="6" t="inlineStr"/>
      <c r="J4339" s="5" t="inlineStr"/>
      <c r="K4339" s="5" t="inlineStr">
        <is>
          <t>bill</t>
        </is>
      </c>
      <c r="L4339" s="7" t="n">
        <v>80</v>
      </c>
      <c r="M4339" s="5" t="inlineStr"/>
      <c r="N4339" s="5" t="inlineStr"/>
      <c r="O4339" s="5" t="inlineStr"/>
      <c r="P4339" s="5" t="inlineStr"/>
      <c r="Q4339" s="5" t="inlineStr"/>
      <c r="R4339" s="5" t="inlineStr"/>
      <c r="S4339" s="5" t="inlineStr"/>
      <c r="T4339" s="5" t="inlineStr"/>
      <c r="U4339" s="5" t="inlineStr">
        <is>
          <t>https://www.tim.com.br/sp/para-voce/planos/pos-pago/tim-black</t>
        </is>
      </c>
      <c r="V4339" s="5" t="inlineStr">
        <is>
          <t>data/raw/tim_postpaid_SP.html</t>
        </is>
      </c>
    </row>
    <row r="4340">
      <c r="A4340" s="2" t="inlineStr">
        <is>
          <t>2026-09-06</t>
        </is>
      </c>
      <c r="B4340" s="2" t="inlineStr">
        <is>
          <t>2026-09-06T19:39:36</t>
        </is>
      </c>
      <c r="C4340" s="2" t="inlineStr">
        <is>
          <t>tim</t>
        </is>
      </c>
      <c r="D4340" s="2" t="inlineStr">
        <is>
          <t>postpaid</t>
        </is>
      </c>
      <c r="E4340" s="2" t="inlineStr">
        <is>
          <t>SP</t>
        </is>
      </c>
      <c r="F4340" s="2" t="inlineStr">
        <is>
          <t>TIM Black Premium 110GB</t>
        </is>
      </c>
      <c r="G4340" s="2" t="inlineStr">
        <is>
          <t>tim:54261</t>
        </is>
      </c>
      <c r="H4340" s="3" t="n">
        <v>159.99</v>
      </c>
      <c r="I4340" s="3" t="inlineStr"/>
      <c r="J4340" s="2" t="inlineStr"/>
      <c r="K4340" s="2" t="inlineStr">
        <is>
          <t>bill</t>
        </is>
      </c>
      <c r="L4340" s="4" t="n">
        <v>110</v>
      </c>
      <c r="M4340" s="2" t="inlineStr"/>
      <c r="N4340" s="2" t="inlineStr"/>
      <c r="O4340" s="2" t="inlineStr"/>
      <c r="P4340" s="2" t="inlineStr"/>
      <c r="Q4340" s="2" t="inlineStr"/>
      <c r="R4340" s="2" t="inlineStr"/>
      <c r="S4340" s="2" t="inlineStr"/>
      <c r="T4340" s="2" t="inlineStr"/>
      <c r="U4340" s="2" t="inlineStr">
        <is>
          <t>https://www.tim.com.br/sp/para-voce/planos/pos-pago/tim-black</t>
        </is>
      </c>
      <c r="V4340" s="2" t="inlineStr">
        <is>
          <t>data/raw/tim_postpaid_SP.html</t>
        </is>
      </c>
    </row>
    <row r="4341">
      <c r="A4341" s="5" t="inlineStr">
        <is>
          <t>2026-09-06</t>
        </is>
      </c>
      <c r="B4341" s="5" t="inlineStr">
        <is>
          <t>2026-09-06T19:39:36</t>
        </is>
      </c>
      <c r="C4341" s="5" t="inlineStr">
        <is>
          <t>tim</t>
        </is>
      </c>
      <c r="D4341" s="5" t="inlineStr">
        <is>
          <t>prepaid</t>
        </is>
      </c>
      <c r="E4341" s="5" t="inlineStr">
        <is>
          <t>SP</t>
        </is>
      </c>
      <c r="F4341" s="5" t="inlineStr">
        <is>
          <t>TIM Pré XIP Plus 16GB</t>
        </is>
      </c>
      <c r="G4341" s="5" t="inlineStr">
        <is>
          <t>tim:106306</t>
        </is>
      </c>
      <c r="H4341" s="6" t="n">
        <v>30</v>
      </c>
      <c r="I4341" s="6" t="inlineStr"/>
      <c r="J4341" s="5" t="inlineStr"/>
      <c r="K4341" s="5" t="inlineStr"/>
      <c r="L4341" s="7" t="n">
        <v>16</v>
      </c>
      <c r="M4341" s="5" t="inlineStr"/>
      <c r="N4341" s="5" t="n">
        <v>30</v>
      </c>
      <c r="O4341" s="5" t="inlineStr"/>
      <c r="P4341" s="5" t="inlineStr"/>
      <c r="Q4341" s="5" t="inlineStr"/>
      <c r="R4341" s="5" t="inlineStr"/>
      <c r="S4341" s="5" t="inlineStr"/>
      <c r="T4341" s="5" t="inlineStr"/>
      <c r="U4341" s="5" t="inlineStr">
        <is>
          <t>https://www.tim.com.br/sp/para-voce/planos/pre-pago</t>
        </is>
      </c>
      <c r="V4341" s="5" t="inlineStr">
        <is>
          <t>data/raw/tim_prepaid_SP.html</t>
        </is>
      </c>
    </row>
    <row r="4342">
      <c r="A4342" s="2" t="inlineStr">
        <is>
          <t>2026-09-06</t>
        </is>
      </c>
      <c r="B4342" s="2" t="inlineStr">
        <is>
          <t>2026-09-06T19:39:36</t>
        </is>
      </c>
      <c r="C4342" s="2" t="inlineStr">
        <is>
          <t>tim</t>
        </is>
      </c>
      <c r="D4342" s="2" t="inlineStr">
        <is>
          <t>prepaid</t>
        </is>
      </c>
      <c r="E4342" s="2" t="inlineStr">
        <is>
          <t>SP</t>
        </is>
      </c>
      <c r="F4342" s="2" t="inlineStr">
        <is>
          <t>TIM Pré XIP Plus 6GB</t>
        </is>
      </c>
      <c r="G4342" s="2" t="inlineStr">
        <is>
          <t>tim:59906</t>
        </is>
      </c>
      <c r="H4342" s="3" t="n">
        <v>20</v>
      </c>
      <c r="I4342" s="3" t="inlineStr"/>
      <c r="J4342" s="2" t="inlineStr"/>
      <c r="K4342" s="2" t="inlineStr"/>
      <c r="L4342" s="4" t="n">
        <v>6</v>
      </c>
      <c r="M4342" s="2" t="inlineStr"/>
      <c r="N4342" s="2" t="n">
        <v>17</v>
      </c>
      <c r="O4342" s="2" t="inlineStr"/>
      <c r="P4342" s="2" t="inlineStr"/>
      <c r="Q4342" s="2" t="inlineStr"/>
      <c r="R4342" s="2" t="inlineStr"/>
      <c r="S4342" s="2" t="inlineStr"/>
      <c r="T4342" s="2" t="inlineStr"/>
      <c r="U4342" s="2" t="inlineStr">
        <is>
          <t>https://www.tim.com.br/sp/para-voce/planos/pre-pago</t>
        </is>
      </c>
      <c r="V4342" s="2" t="inlineStr">
        <is>
          <t>data/raw/tim_prepaid_SP.html</t>
        </is>
      </c>
    </row>
    <row r="4343">
      <c r="A4343" s="5" t="inlineStr">
        <is>
          <t>2026-09-06</t>
        </is>
      </c>
      <c r="B4343" s="5" t="inlineStr">
        <is>
          <t>2026-09-06T19:39:36</t>
        </is>
      </c>
      <c r="C4343" s="5" t="inlineStr">
        <is>
          <t>tim</t>
        </is>
      </c>
      <c r="D4343" s="5" t="inlineStr">
        <is>
          <t>prepaid</t>
        </is>
      </c>
      <c r="E4343" s="5" t="inlineStr">
        <is>
          <t>SP</t>
        </is>
      </c>
      <c r="F4343" s="5" t="inlineStr">
        <is>
          <t>TIM Pré XIP Plus 8GB</t>
        </is>
      </c>
      <c r="G4343" s="5" t="inlineStr">
        <is>
          <t>tim:59901</t>
        </is>
      </c>
      <c r="H4343" s="6" t="n">
        <v>25</v>
      </c>
      <c r="I4343" s="6" t="inlineStr"/>
      <c r="J4343" s="5" t="inlineStr"/>
      <c r="K4343" s="5" t="inlineStr"/>
      <c r="L4343" s="7" t="n">
        <v>8</v>
      </c>
      <c r="M4343" s="5" t="inlineStr"/>
      <c r="N4343" s="5" t="n">
        <v>22</v>
      </c>
      <c r="O4343" s="5" t="inlineStr"/>
      <c r="P4343" s="5" t="inlineStr"/>
      <c r="Q4343" s="5" t="inlineStr"/>
      <c r="R4343" s="5" t="inlineStr"/>
      <c r="S4343" s="5" t="inlineStr"/>
      <c r="T4343" s="5" t="inlineStr"/>
      <c r="U4343" s="5" t="inlineStr">
        <is>
          <t>https://www.tim.com.br/sp/para-voce/planos/pre-pago</t>
        </is>
      </c>
      <c r="V4343" s="5" t="inlineStr">
        <is>
          <t>data/raw/tim_prepaid_SP.html</t>
        </is>
      </c>
    </row>
    <row r="4344">
      <c r="A4344" s="2" t="inlineStr">
        <is>
          <t>2026-09-06</t>
        </is>
      </c>
      <c r="B4344" s="2" t="inlineStr">
        <is>
          <t>2026-09-06T19:39:36</t>
        </is>
      </c>
      <c r="C4344" s="2" t="inlineStr">
        <is>
          <t>vivo</t>
        </is>
      </c>
      <c r="D4344" s="2" t="inlineStr">
        <is>
          <t>control</t>
        </is>
      </c>
      <c r="E4344" s="2" t="inlineStr">
        <is>
          <t>SP</t>
        </is>
      </c>
      <c r="F4344" s="2" t="inlineStr">
        <is>
          <t>Vivo Controle</t>
        </is>
      </c>
      <c r="G4344" s="2" t="inlineStr">
        <is>
          <t>vivo:VIV202600034591</t>
        </is>
      </c>
      <c r="H4344" s="3" t="n">
        <v>59</v>
      </c>
      <c r="I4344" s="3" t="inlineStr"/>
      <c r="J4344" s="2" t="inlineStr"/>
      <c r="K4344" s="2" t="inlineStr"/>
      <c r="L4344" s="4" t="n">
        <v>45</v>
      </c>
      <c r="M4344" s="2" t="inlineStr">
        <is>
          <t>15 GB de franquia 30 GB de bônus</t>
        </is>
      </c>
      <c r="N4344" s="2" t="inlineStr"/>
      <c r="O4344" s="2" t="inlineStr"/>
      <c r="P4344" s="2" t="inlineStr"/>
      <c r="Q4344" s="2" t="inlineStr"/>
      <c r="R4344" s="2" t="inlineStr"/>
      <c r="S4344" s="2" t="inlineStr"/>
      <c r="T4344" s="2" t="inlineStr">
        <is>
          <t>6 meses grátis de Gemini com AI Plus</t>
        </is>
      </c>
      <c r="U4344" s="2" t="inlineStr">
        <is>
          <t>https://vivo.com.br/para-voce/produtos-e-servicos/para-o-celular/planos-controle</t>
        </is>
      </c>
      <c r="V4344" s="2" t="inlineStr">
        <is>
          <t>data/raw/vivo_control_SP.html</t>
        </is>
      </c>
    </row>
    <row r="4345">
      <c r="A4345" s="5" t="inlineStr">
        <is>
          <t>2026-09-06</t>
        </is>
      </c>
      <c r="B4345" s="5" t="inlineStr">
        <is>
          <t>2026-09-06T19:39:36</t>
        </is>
      </c>
      <c r="C4345" s="5" t="inlineStr">
        <is>
          <t>vivo</t>
        </is>
      </c>
      <c r="D4345" s="5" t="inlineStr">
        <is>
          <t>control</t>
        </is>
      </c>
      <c r="E4345" s="5" t="inlineStr">
        <is>
          <t>SP</t>
        </is>
      </c>
      <c r="F4345" s="5" t="inlineStr">
        <is>
          <t>Vivo Controle</t>
        </is>
      </c>
      <c r="G4345" s="5" t="inlineStr">
        <is>
          <t>vivo:VIV202600034599</t>
        </is>
      </c>
      <c r="H4345" s="6" t="n">
        <v>75</v>
      </c>
      <c r="I4345" s="6" t="inlineStr"/>
      <c r="J4345" s="5" t="inlineStr">
        <is>
          <t>preço-base do plano; a tela exibia R$ 80 com o adicional pré-selecionado (+R$ 5/mês, opcional); 60 GB na tela incluem +10 GB do adicional</t>
        </is>
      </c>
      <c r="K4345" s="5" t="inlineStr"/>
      <c r="L4345" s="7" t="n">
        <v>50</v>
      </c>
      <c r="M4345" s="5" t="inlineStr">
        <is>
          <t>20 GB de franquia 30 GB de bônus</t>
        </is>
      </c>
      <c r="N4345" s="5" t="inlineStr"/>
      <c r="O4345" s="5" t="inlineStr"/>
      <c r="P4345" s="5" t="inlineStr"/>
      <c r="Q4345" s="5" t="inlineStr"/>
      <c r="R4345" s="5" t="inlineStr"/>
      <c r="S4345" s="5" t="inlineStr"/>
      <c r="T4345" s="5" t="inlineStr">
        <is>
          <t>6 meses grátis de Gemini com AI Plus</t>
        </is>
      </c>
      <c r="U4345" s="5" t="inlineStr">
        <is>
          <t>https://vivo.com.br/para-voce/produtos-e-servicos/para-o-celular/planos-controle</t>
        </is>
      </c>
      <c r="V4345" s="5" t="inlineStr">
        <is>
          <t>data/raw/vivo_control_SP.html</t>
        </is>
      </c>
    </row>
    <row r="4346">
      <c r="A4346" s="2" t="inlineStr">
        <is>
          <t>2026-09-06</t>
        </is>
      </c>
      <c r="B4346" s="2" t="inlineStr">
        <is>
          <t>2026-09-06T19:39:36</t>
        </is>
      </c>
      <c r="C4346" s="2" t="inlineStr">
        <is>
          <t>vivo</t>
        </is>
      </c>
      <c r="D4346" s="2" t="inlineStr">
        <is>
          <t>control</t>
        </is>
      </c>
      <c r="E4346" s="2" t="inlineStr">
        <is>
          <t>SP</t>
        </is>
      </c>
      <c r="F4346" s="2" t="inlineStr">
        <is>
          <t>Vivo Controle Amazon</t>
        </is>
      </c>
      <c r="G4346" s="2" t="inlineStr">
        <is>
          <t>vivo:VIV202600038804</t>
        </is>
      </c>
      <c r="H4346" s="3" t="n">
        <v>70</v>
      </c>
      <c r="I4346" s="3" t="inlineStr"/>
      <c r="J4346" s="2" t="inlineStr">
        <is>
          <t>preço-base do plano; a tela exibia R$ 75 com o adicional pré-selecionado (+R$ 5/mês, opcional); 58 GB na tela incluem +10 GB do adicional</t>
        </is>
      </c>
      <c r="K4346" s="2" t="inlineStr"/>
      <c r="L4346" s="4" t="n">
        <v>48</v>
      </c>
      <c r="M4346" s="2" t="inlineStr">
        <is>
          <t>18 GB de franquia 30 GB de bônus</t>
        </is>
      </c>
      <c r="N4346" s="2" t="inlineStr"/>
      <c r="O4346" s="2" t="inlineStr"/>
      <c r="P4346" s="2" t="inlineStr"/>
      <c r="Q4346" s="2" t="inlineStr"/>
      <c r="R4346" s="2" t="inlineStr"/>
      <c r="S4346" s="2" t="inlineStr"/>
      <c r="T4346" s="2" t="inlineStr">
        <is>
          <t>Assinatura Amazon Prime inclusa</t>
        </is>
      </c>
      <c r="U4346" s="2" t="inlineStr">
        <is>
          <t>https://vivo.com.br/para-voce/produtos-e-servicos/para-o-celular/planos-controle</t>
        </is>
      </c>
      <c r="V4346" s="2" t="inlineStr">
        <is>
          <t>data/raw/vivo_control_SP.html</t>
        </is>
      </c>
    </row>
    <row r="4347">
      <c r="A4347" s="5" t="inlineStr">
        <is>
          <t>2026-09-06</t>
        </is>
      </c>
      <c r="B4347" s="5" t="inlineStr">
        <is>
          <t>2026-09-06T19:39:36</t>
        </is>
      </c>
      <c r="C4347" s="5" t="inlineStr">
        <is>
          <t>vivo</t>
        </is>
      </c>
      <c r="D4347" s="5" t="inlineStr">
        <is>
          <t>control</t>
        </is>
      </c>
      <c r="E4347" s="5" t="inlineStr">
        <is>
          <t>SP</t>
        </is>
      </c>
      <c r="F4347" s="5" t="inlineStr">
        <is>
          <t>Vivo Controle Educação</t>
        </is>
      </c>
      <c r="G4347" s="5" t="inlineStr">
        <is>
          <t>vivo:VIV202600034616</t>
        </is>
      </c>
      <c r="H4347" s="6" t="n">
        <v>85</v>
      </c>
      <c r="I4347" s="6" t="inlineStr"/>
      <c r="J4347" s="5" t="inlineStr">
        <is>
          <t>preço-base do plano; a tela exibia R$ 90 com o adicional pré-selecionado (+R$ 5/mês, opcional); 60 GB na tela incluem +10 GB do adicional</t>
        </is>
      </c>
      <c r="K4347" s="5" t="inlineStr"/>
      <c r="L4347" s="7" t="n">
        <v>50</v>
      </c>
      <c r="M4347" s="5" t="inlineStr">
        <is>
          <t>20 GB de franquia 30 GB de bônus</t>
        </is>
      </c>
      <c r="N4347" s="5" t="inlineStr"/>
      <c r="O4347" s="5" t="inlineStr"/>
      <c r="P4347" s="5" t="inlineStr"/>
      <c r="Q4347" s="5" t="inlineStr"/>
      <c r="R4347" s="5" t="inlineStr"/>
      <c r="S4347" s="5" t="inlineStr"/>
      <c r="T4347" s="5" t="inlineStr">
        <is>
          <t>Assinatura Vivae inclusa</t>
        </is>
      </c>
      <c r="U4347" s="5" t="inlineStr">
        <is>
          <t>https://vivo.com.br/para-voce/produtos-e-servicos/para-o-celular/planos-controle</t>
        </is>
      </c>
      <c r="V4347" s="5" t="inlineStr">
        <is>
          <t>data/raw/vivo_control_SP.html</t>
        </is>
      </c>
    </row>
    <row r="4348">
      <c r="A4348" s="2" t="inlineStr">
        <is>
          <t>2026-09-06</t>
        </is>
      </c>
      <c r="B4348" s="2" t="inlineStr">
        <is>
          <t>2026-09-06T19:39:36</t>
        </is>
      </c>
      <c r="C4348" s="2" t="inlineStr">
        <is>
          <t>vivo</t>
        </is>
      </c>
      <c r="D4348" s="2" t="inlineStr">
        <is>
          <t>control</t>
        </is>
      </c>
      <c r="E4348" s="2" t="inlineStr">
        <is>
          <t>SP</t>
        </is>
      </c>
      <c r="F4348" s="2" t="inlineStr">
        <is>
          <t>Vivo Controle Entretenimento</t>
        </is>
      </c>
      <c r="G4348" s="2" t="inlineStr">
        <is>
          <t>vivo:VIV202600034619</t>
        </is>
      </c>
      <c r="H4348" s="3" t="n">
        <v>105</v>
      </c>
      <c r="I4348" s="3" t="inlineStr"/>
      <c r="J4348" s="2" t="inlineStr">
        <is>
          <t>preço-base do plano; a tela exibia R$ 110 com o adicional pré-selecionado (+R$ 5/mês, opcional); 60 GB na tela incluem +10 GB do adicional</t>
        </is>
      </c>
      <c r="K4348" s="2" t="inlineStr"/>
      <c r="L4348" s="4" t="n">
        <v>50</v>
      </c>
      <c r="M4348" s="2" t="inlineStr">
        <is>
          <t>20 GB de franquia 30 GB de bônus</t>
        </is>
      </c>
      <c r="N4348" s="2" t="inlineStr"/>
      <c r="O4348" s="2" t="inlineStr"/>
      <c r="P4348" s="2" t="inlineStr"/>
      <c r="Q4348" s="2" t="inlineStr"/>
      <c r="R4348" s="2" t="inlineStr"/>
      <c r="S4348" s="2" t="inlineStr"/>
      <c r="T4348" s="2" t="inlineStr">
        <is>
          <t>Assinatura Vivo TV Inicial inclusa</t>
        </is>
      </c>
      <c r="U4348" s="2" t="inlineStr">
        <is>
          <t>https://vivo.com.br/para-voce/produtos-e-servicos/para-o-celular/planos-controle</t>
        </is>
      </c>
      <c r="V4348" s="2" t="inlineStr">
        <is>
          <t>data/raw/vivo_control_SP.html</t>
        </is>
      </c>
    </row>
    <row r="4349">
      <c r="A4349" s="5" t="inlineStr">
        <is>
          <t>2026-09-06</t>
        </is>
      </c>
      <c r="B4349" s="5" t="inlineStr">
        <is>
          <t>2026-09-06T19:39:36</t>
        </is>
      </c>
      <c r="C4349" s="5" t="inlineStr">
        <is>
          <t>vivo</t>
        </is>
      </c>
      <c r="D4349" s="5" t="inlineStr">
        <is>
          <t>control</t>
        </is>
      </c>
      <c r="E4349" s="5" t="inlineStr">
        <is>
          <t>SP</t>
        </is>
      </c>
      <c r="F4349" s="5" t="inlineStr">
        <is>
          <t>Vivo Controle Música</t>
        </is>
      </c>
      <c r="G4349" s="5" t="inlineStr">
        <is>
          <t>vivo:VIV202600034620</t>
        </is>
      </c>
      <c r="H4349" s="6" t="n">
        <v>85</v>
      </c>
      <c r="I4349" s="6" t="inlineStr"/>
      <c r="J4349" s="5" t="inlineStr">
        <is>
          <t>preço-base do plano; a tela exibia R$ 90 com o adicional pré-selecionado (+R$ 5/mês, opcional); 60 GB na tela incluem +10 GB do adicional</t>
        </is>
      </c>
      <c r="K4349" s="5" t="inlineStr"/>
      <c r="L4349" s="7" t="n">
        <v>50</v>
      </c>
      <c r="M4349" s="5" t="inlineStr">
        <is>
          <t>20 GB de franquia 30 GB de bônus</t>
        </is>
      </c>
      <c r="N4349" s="5" t="inlineStr"/>
      <c r="O4349" s="5" t="inlineStr"/>
      <c r="P4349" s="5" t="inlineStr"/>
      <c r="Q4349" s="5" t="inlineStr"/>
      <c r="R4349" s="5" t="inlineStr"/>
      <c r="S4349" s="5" t="inlineStr"/>
      <c r="T4349" s="5" t="inlineStr">
        <is>
          <t>Apple Music Individual</t>
        </is>
      </c>
      <c r="U4349" s="5" t="inlineStr">
        <is>
          <t>https://vivo.com.br/para-voce/produtos-e-servicos/para-o-celular/planos-controle</t>
        </is>
      </c>
      <c r="V4349" s="5" t="inlineStr">
        <is>
          <t>data/raw/vivo_control_SP.html</t>
        </is>
      </c>
    </row>
    <row r="4350">
      <c r="A4350" s="2" t="inlineStr">
        <is>
          <t>2026-09-06</t>
        </is>
      </c>
      <c r="B4350" s="2" t="inlineStr">
        <is>
          <t>2026-09-06T19:39:36</t>
        </is>
      </c>
      <c r="C4350" s="2" t="inlineStr">
        <is>
          <t>vivo</t>
        </is>
      </c>
      <c r="D4350" s="2" t="inlineStr">
        <is>
          <t>control</t>
        </is>
      </c>
      <c r="E4350" s="2" t="inlineStr">
        <is>
          <t>SP</t>
        </is>
      </c>
      <c r="F4350" s="2" t="inlineStr">
        <is>
          <t>Vivo Controle Netflix</t>
        </is>
      </c>
      <c r="G4350" s="2" t="inlineStr">
        <is>
          <t>vivo:VIV202600034623</t>
        </is>
      </c>
      <c r="H4350" s="3" t="n">
        <v>90</v>
      </c>
      <c r="I4350" s="3" t="inlineStr"/>
      <c r="J4350" s="2" t="inlineStr">
        <is>
          <t>preço-base do plano; a tela exibia R$ 95 com o adicional pré-selecionado (+R$ 5/mês, opcional); 60 GB na tela incluem +10 GB do adicional</t>
        </is>
      </c>
      <c r="K4350" s="2" t="inlineStr"/>
      <c r="L4350" s="4" t="n">
        <v>50</v>
      </c>
      <c r="M4350" s="2" t="inlineStr">
        <is>
          <t>20 GB de franquia 30 GB de bônus</t>
        </is>
      </c>
      <c r="N4350" s="2" t="inlineStr"/>
      <c r="O4350" s="2" t="inlineStr"/>
      <c r="P4350" s="2" t="inlineStr"/>
      <c r="Q4350" s="2" t="inlineStr"/>
      <c r="R4350" s="2" t="inlineStr"/>
      <c r="S4350" s="2" t="inlineStr"/>
      <c r="T4350" s="2" t="inlineStr">
        <is>
          <t>Assinatura Netflix Padrão com anúncios</t>
        </is>
      </c>
      <c r="U4350" s="2" t="inlineStr">
        <is>
          <t>https://vivo.com.br/para-voce/produtos-e-servicos/para-o-celular/planos-controle</t>
        </is>
      </c>
      <c r="V4350" s="2" t="inlineStr">
        <is>
          <t>data/raw/vivo_control_SP.html</t>
        </is>
      </c>
    </row>
    <row r="4351">
      <c r="A4351" s="5" t="inlineStr">
        <is>
          <t>2026-09-06</t>
        </is>
      </c>
      <c r="B4351" s="5" t="inlineStr">
        <is>
          <t>2026-09-06T19:39:36</t>
        </is>
      </c>
      <c r="C4351" s="5" t="inlineStr">
        <is>
          <t>vivo</t>
        </is>
      </c>
      <c r="D4351" s="5" t="inlineStr">
        <is>
          <t>control</t>
        </is>
      </c>
      <c r="E4351" s="5" t="inlineStr">
        <is>
          <t>SP</t>
        </is>
      </c>
      <c r="F4351" s="5" t="inlineStr">
        <is>
          <t>Vivo Controle Saúde</t>
        </is>
      </c>
      <c r="G4351" s="5" t="inlineStr">
        <is>
          <t>vivo:VIV202600034625</t>
        </is>
      </c>
      <c r="H4351" s="6" t="n">
        <v>85</v>
      </c>
      <c r="I4351" s="6" t="inlineStr"/>
      <c r="J4351" s="5" t="inlineStr">
        <is>
          <t>preço-base do plano; a tela exibia R$ 90 com o adicional pré-selecionado (+R$ 5/mês, opcional); 60 GB na tela incluem +10 GB do adicional</t>
        </is>
      </c>
      <c r="K4351" s="5" t="inlineStr"/>
      <c r="L4351" s="7" t="n">
        <v>50</v>
      </c>
      <c r="M4351" s="5" t="inlineStr">
        <is>
          <t>20 GB de franquia 30 GB de bônus</t>
        </is>
      </c>
      <c r="N4351" s="5" t="inlineStr"/>
      <c r="O4351" s="5" t="inlineStr"/>
      <c r="P4351" s="5" t="inlineStr"/>
      <c r="Q4351" s="5" t="inlineStr"/>
      <c r="R4351" s="5" t="inlineStr"/>
      <c r="S4351" s="5" t="inlineStr"/>
      <c r="T4351" s="5" t="inlineStr">
        <is>
          <t>Assinatura Vale Saúde Sempre inclusa</t>
        </is>
      </c>
      <c r="U4351" s="5" t="inlineStr">
        <is>
          <t>https://vivo.com.br/para-voce/produtos-e-servicos/para-o-celular/planos-controle</t>
        </is>
      </c>
      <c r="V4351" s="5" t="inlineStr">
        <is>
          <t>data/raw/vivo_control_SP.html</t>
        </is>
      </c>
    </row>
    <row r="4352">
      <c r="A4352" s="2" t="inlineStr">
        <is>
          <t>2026-09-06</t>
        </is>
      </c>
      <c r="B4352" s="2" t="inlineStr">
        <is>
          <t>2026-09-06T19:39:36</t>
        </is>
      </c>
      <c r="C4352" s="2" t="inlineStr">
        <is>
          <t>vivo</t>
        </is>
      </c>
      <c r="D4352" s="2" t="inlineStr">
        <is>
          <t>control</t>
        </is>
      </c>
      <c r="E4352" s="2" t="inlineStr">
        <is>
          <t>SP</t>
        </is>
      </c>
      <c r="F4352" s="2" t="inlineStr">
        <is>
          <t>Vivo Controle Youtube Lite</t>
        </is>
      </c>
      <c r="G4352" s="2" t="inlineStr">
        <is>
          <t>vivo:VIV202600034626</t>
        </is>
      </c>
      <c r="H4352" s="3" t="n">
        <v>85</v>
      </c>
      <c r="I4352" s="3" t="inlineStr"/>
      <c r="J4352" s="2" t="inlineStr">
        <is>
          <t>preço-base do plano; a tela exibia R$ 90 com o adicional pré-selecionado (+R$ 5/mês, opcional); 60 GB na tela incluem +10 GB do adicional</t>
        </is>
      </c>
      <c r="K4352" s="2" t="inlineStr"/>
      <c r="L4352" s="4" t="n">
        <v>50</v>
      </c>
      <c r="M4352" s="2" t="inlineStr">
        <is>
          <t>20 GB de franquia 30 GB de bônus</t>
        </is>
      </c>
      <c r="N4352" s="2" t="inlineStr"/>
      <c r="O4352" s="2" t="inlineStr"/>
      <c r="P4352" s="2" t="inlineStr"/>
      <c r="Q4352" s="2" t="inlineStr"/>
      <c r="R4352" s="2" t="inlineStr"/>
      <c r="S4352" s="2" t="inlineStr"/>
      <c r="T4352" s="2" t="inlineStr">
        <is>
          <t>Assinatura Youtube Premium Lite Inclusa</t>
        </is>
      </c>
      <c r="U4352" s="2" t="inlineStr">
        <is>
          <t>https://vivo.com.br/para-voce/produtos-e-servicos/para-o-celular/planos-controle</t>
        </is>
      </c>
      <c r="V4352" s="2" t="inlineStr">
        <is>
          <t>data/raw/vivo_control_SP.html</t>
        </is>
      </c>
    </row>
    <row r="4353">
      <c r="A4353" s="5" t="inlineStr">
        <is>
          <t>2026-09-06</t>
        </is>
      </c>
      <c r="B4353" s="5" t="inlineStr">
        <is>
          <t>2026-09-06T19:39:36</t>
        </is>
      </c>
      <c r="C4353" s="5" t="inlineStr">
        <is>
          <t>vivo</t>
        </is>
      </c>
      <c r="D4353" s="5" t="inlineStr">
        <is>
          <t>lite</t>
        </is>
      </c>
      <c r="E4353" s="5" t="inlineStr">
        <is>
          <t>SP</t>
        </is>
      </c>
      <c r="F4353" s="5" t="inlineStr">
        <is>
          <t>Vivo Lite</t>
        </is>
      </c>
      <c r="G4353" s="5" t="inlineStr">
        <is>
          <t>vivo:VIV202600038808</t>
        </is>
      </c>
      <c r="H4353" s="6" t="n">
        <v>45</v>
      </c>
      <c r="I4353" s="6" t="n">
        <v>30</v>
      </c>
      <c r="J4353" s="5" t="inlineStr">
        <is>
          <t>preço sem fidelidade; fidelidade 12m no promo</t>
        </is>
      </c>
      <c r="K4353" s="5" t="inlineStr"/>
      <c r="L4353" s="7" t="n">
        <v>30</v>
      </c>
      <c r="M4353" s="5" t="inlineStr">
        <is>
          <t>30 GB de franquia</t>
        </is>
      </c>
      <c r="N4353" s="5" t="inlineStr"/>
      <c r="O4353" s="5" t="inlineStr"/>
      <c r="P4353" s="5" t="inlineStr"/>
      <c r="Q4353" s="5" t="inlineStr"/>
      <c r="R4353" s="5" t="inlineStr"/>
      <c r="S4353" s="5" t="n">
        <v>12</v>
      </c>
      <c r="T4353" s="5" t="inlineStr"/>
      <c r="U4353" s="5" t="inlineStr">
        <is>
          <t>https://vivo.com.br/para-voce/produtos-e-servicos/para-o-celular/easy-lite</t>
        </is>
      </c>
      <c r="V4353" s="5" t="inlineStr">
        <is>
          <t>data/raw/vivo_lite_SP.html</t>
        </is>
      </c>
    </row>
    <row r="4354">
      <c r="A4354" s="2" t="inlineStr">
        <is>
          <t>2026-09-06</t>
        </is>
      </c>
      <c r="B4354" s="2" t="inlineStr">
        <is>
          <t>2026-09-06T19:39:36</t>
        </is>
      </c>
      <c r="C4354" s="2" t="inlineStr">
        <is>
          <t>vivo</t>
        </is>
      </c>
      <c r="D4354" s="2" t="inlineStr">
        <is>
          <t>lite</t>
        </is>
      </c>
      <c r="E4354" s="2" t="inlineStr">
        <is>
          <t>SP</t>
        </is>
      </c>
      <c r="F4354" s="2" t="inlineStr">
        <is>
          <t>Vivo Lite</t>
        </is>
      </c>
      <c r="G4354" s="2" t="inlineStr">
        <is>
          <t>vivo:VIV202600038810</t>
        </is>
      </c>
      <c r="H4354" s="3" t="n">
        <v>55</v>
      </c>
      <c r="I4354" s="3" t="n">
        <v>40</v>
      </c>
      <c r="J4354" s="2" t="inlineStr">
        <is>
          <t>preço sem fidelidade; fidelidade 12m no promo</t>
        </is>
      </c>
      <c r="K4354" s="2" t="inlineStr"/>
      <c r="L4354" s="4" t="n">
        <v>40</v>
      </c>
      <c r="M4354" s="2" t="inlineStr">
        <is>
          <t>40 GB de franquia</t>
        </is>
      </c>
      <c r="N4354" s="2" t="inlineStr"/>
      <c r="O4354" s="2" t="inlineStr"/>
      <c r="P4354" s="2" t="inlineStr"/>
      <c r="Q4354" s="2" t="inlineStr"/>
      <c r="R4354" s="2" t="inlineStr"/>
      <c r="S4354" s="2" t="n">
        <v>12</v>
      </c>
      <c r="T4354" s="2" t="inlineStr"/>
      <c r="U4354" s="2" t="inlineStr">
        <is>
          <t>https://vivo.com.br/para-voce/produtos-e-servicos/para-o-celular/easy-lite</t>
        </is>
      </c>
      <c r="V4354" s="2" t="inlineStr">
        <is>
          <t>data/raw/vivo_lite_SP.html</t>
        </is>
      </c>
    </row>
    <row r="4355">
      <c r="A4355" s="5" t="inlineStr">
        <is>
          <t>2026-09-06</t>
        </is>
      </c>
      <c r="B4355" s="5" t="inlineStr">
        <is>
          <t>2026-09-06T19:39:36</t>
        </is>
      </c>
      <c r="C4355" s="5" t="inlineStr">
        <is>
          <t>vivo</t>
        </is>
      </c>
      <c r="D4355" s="5" t="inlineStr">
        <is>
          <t>lite</t>
        </is>
      </c>
      <c r="E4355" s="5" t="inlineStr">
        <is>
          <t>SP</t>
        </is>
      </c>
      <c r="F4355" s="5" t="inlineStr">
        <is>
          <t>Vivo Lite</t>
        </is>
      </c>
      <c r="G4355" s="5" t="inlineStr">
        <is>
          <t>vivo:VIV202600038814</t>
        </is>
      </c>
      <c r="H4355" s="6" t="n">
        <v>35</v>
      </c>
      <c r="I4355" s="6" t="inlineStr"/>
      <c r="J4355" s="5" t="inlineStr"/>
      <c r="K4355" s="5" t="inlineStr"/>
      <c r="L4355" s="7" t="n">
        <v>20</v>
      </c>
      <c r="M4355" s="5" t="inlineStr">
        <is>
          <t>20 GB de franquia</t>
        </is>
      </c>
      <c r="N4355" s="5" t="inlineStr"/>
      <c r="O4355" s="5" t="inlineStr"/>
      <c r="P4355" s="5" t="inlineStr"/>
      <c r="Q4355" s="5" t="inlineStr"/>
      <c r="R4355" s="5" t="inlineStr"/>
      <c r="S4355" s="5" t="inlineStr"/>
      <c r="T4355" s="5" t="inlineStr"/>
      <c r="U4355" s="5" t="inlineStr">
        <is>
          <t>https://vivo.com.br/para-voce/produtos-e-servicos/para-o-celular/easy-lite</t>
        </is>
      </c>
      <c r="V4355" s="5" t="inlineStr">
        <is>
          <t>data/raw/vivo_lite_SP.html</t>
        </is>
      </c>
    </row>
    <row r="4356">
      <c r="A4356" s="2" t="inlineStr">
        <is>
          <t>2026-09-06</t>
        </is>
      </c>
      <c r="B4356" s="2" t="inlineStr">
        <is>
          <t>2026-09-06T19:39:36</t>
        </is>
      </c>
      <c r="C4356" s="2" t="inlineStr">
        <is>
          <t>vivo</t>
        </is>
      </c>
      <c r="D4356" s="2" t="inlineStr">
        <is>
          <t>postpaid</t>
        </is>
      </c>
      <c r="E4356" s="2" t="inlineStr">
        <is>
          <t>SP</t>
        </is>
      </c>
      <c r="F4356" s="2" t="inlineStr">
        <is>
          <t>Vivo Família 2</t>
        </is>
      </c>
      <c r="G4356" s="2" t="inlineStr">
        <is>
          <t>vivo:VIV202600034547</t>
        </is>
      </c>
      <c r="H4356" s="3" t="n">
        <v>270</v>
      </c>
      <c r="I4356" s="3" t="inlineStr"/>
      <c r="J4356" s="2" t="inlineStr"/>
      <c r="K4356" s="2" t="inlineStr"/>
      <c r="L4356" s="4" t="n">
        <v>120</v>
      </c>
      <c r="M4356" s="2" t="inlineStr">
        <is>
          <t>120 GB de franquia Você + 1 linha adicional Roaming Internacional com Vivo Travel Américas e Europa</t>
        </is>
      </c>
      <c r="N4356" s="2" t="inlineStr"/>
      <c r="O4356" s="2" t="inlineStr"/>
      <c r="P4356" s="2" t="inlineStr"/>
      <c r="Q4356" s="2" t="inlineStr"/>
      <c r="R4356" s="2" t="inlineStr"/>
      <c r="S4356" s="2" t="inlineStr"/>
      <c r="T4356" s="2" t="inlineStr">
        <is>
          <t>12 meses grátis de Gemini com AI Plus</t>
        </is>
      </c>
      <c r="U4356" s="2" t="inlineStr">
        <is>
          <t>https://vivo.com.br/para-voce/produtos-e-servicos/para-o-celular/planos-pos-pago</t>
        </is>
      </c>
      <c r="V4356" s="2" t="inlineStr">
        <is>
          <t>data/raw/vivo_postpaid_SP.html</t>
        </is>
      </c>
    </row>
    <row r="4357">
      <c r="A4357" s="5" t="inlineStr">
        <is>
          <t>2026-09-06</t>
        </is>
      </c>
      <c r="B4357" s="5" t="inlineStr">
        <is>
          <t>2026-09-06T19:39:36</t>
        </is>
      </c>
      <c r="C4357" s="5" t="inlineStr">
        <is>
          <t>vivo</t>
        </is>
      </c>
      <c r="D4357" s="5" t="inlineStr">
        <is>
          <t>postpaid</t>
        </is>
      </c>
      <c r="E4357" s="5" t="inlineStr">
        <is>
          <t>SP</t>
        </is>
      </c>
      <c r="F4357" s="5" t="inlineStr">
        <is>
          <t>Vivo Família 3</t>
        </is>
      </c>
      <c r="G4357" s="5" t="inlineStr">
        <is>
          <t>vivo:VIV202600034540</t>
        </is>
      </c>
      <c r="H4357" s="6" t="n">
        <v>340</v>
      </c>
      <c r="I4357" s="6" t="inlineStr"/>
      <c r="J4357" s="5" t="inlineStr"/>
      <c r="K4357" s="5" t="inlineStr"/>
      <c r="L4357" s="7" t="n">
        <v>180</v>
      </c>
      <c r="M4357" s="5" t="inlineStr">
        <is>
          <t>180 GB de franquia Você + 2 linhas adicionais Roaming Internacional com Vivo Travel Américas e Europa</t>
        </is>
      </c>
      <c r="N4357" s="5" t="inlineStr"/>
      <c r="O4357" s="5" t="inlineStr"/>
      <c r="P4357" s="5" t="inlineStr"/>
      <c r="Q4357" s="5" t="inlineStr"/>
      <c r="R4357" s="5" t="inlineStr"/>
      <c r="S4357" s="5" t="inlineStr"/>
      <c r="T4357" s="5" t="inlineStr">
        <is>
          <t>12 meses grátis de Gemini com AI Plus</t>
        </is>
      </c>
      <c r="U4357" s="5" t="inlineStr">
        <is>
          <t>https://vivo.com.br/para-voce/produtos-e-servicos/para-o-celular/planos-pos-pago</t>
        </is>
      </c>
      <c r="V4357" s="5" t="inlineStr">
        <is>
          <t>data/raw/vivo_postpaid_SP.html</t>
        </is>
      </c>
    </row>
    <row r="4358">
      <c r="A4358" s="2" t="inlineStr">
        <is>
          <t>2026-09-06</t>
        </is>
      </c>
      <c r="B4358" s="2" t="inlineStr">
        <is>
          <t>2026-09-06T19:39:36</t>
        </is>
      </c>
      <c r="C4358" s="2" t="inlineStr">
        <is>
          <t>vivo</t>
        </is>
      </c>
      <c r="D4358" s="2" t="inlineStr">
        <is>
          <t>postpaid</t>
        </is>
      </c>
      <c r="E4358" s="2" t="inlineStr">
        <is>
          <t>SP</t>
        </is>
      </c>
      <c r="F4358" s="2" t="inlineStr">
        <is>
          <t>Vivo Família 4</t>
        </is>
      </c>
      <c r="G4358" s="2" t="inlineStr">
        <is>
          <t>vivo:VIV202600034531</t>
        </is>
      </c>
      <c r="H4358" s="3" t="n">
        <v>430</v>
      </c>
      <c r="I4358" s="3" t="inlineStr"/>
      <c r="J4358" s="2" t="inlineStr"/>
      <c r="K4358" s="2" t="inlineStr"/>
      <c r="L4358" s="4" t="n">
        <v>240</v>
      </c>
      <c r="M4358" s="2" t="inlineStr">
        <is>
          <t>240 GB de franquia Você + 3 linhas adicionais Roaming Internacional com Vivo Travel Américas e Europa</t>
        </is>
      </c>
      <c r="N4358" s="2" t="inlineStr"/>
      <c r="O4358" s="2" t="inlineStr"/>
      <c r="P4358" s="2" t="inlineStr"/>
      <c r="Q4358" s="2" t="inlineStr"/>
      <c r="R4358" s="2" t="inlineStr"/>
      <c r="S4358" s="2" t="inlineStr"/>
      <c r="T4358" s="2" t="inlineStr">
        <is>
          <t>12 meses grátis de Gemini com AI Plus</t>
        </is>
      </c>
      <c r="U4358" s="2" t="inlineStr">
        <is>
          <t>https://vivo.com.br/para-voce/produtos-e-servicos/para-o-celular/planos-pos-pago</t>
        </is>
      </c>
      <c r="V4358" s="2" t="inlineStr">
        <is>
          <t>data/raw/vivo_postpaid_SP.html</t>
        </is>
      </c>
    </row>
    <row r="4359">
      <c r="A4359" s="5" t="inlineStr">
        <is>
          <t>2026-09-06</t>
        </is>
      </c>
      <c r="B4359" s="5" t="inlineStr">
        <is>
          <t>2026-09-06T19:39:36</t>
        </is>
      </c>
      <c r="C4359" s="5" t="inlineStr">
        <is>
          <t>vivo</t>
        </is>
      </c>
      <c r="D4359" s="5" t="inlineStr">
        <is>
          <t>postpaid</t>
        </is>
      </c>
      <c r="E4359" s="5" t="inlineStr">
        <is>
          <t>SP</t>
        </is>
      </c>
      <c r="F4359" s="5" t="inlineStr">
        <is>
          <t>Vivo Família 5</t>
        </is>
      </c>
      <c r="G4359" s="5" t="inlineStr">
        <is>
          <t>vivo:VIV202600034526</t>
        </is>
      </c>
      <c r="H4359" s="6" t="n">
        <v>530</v>
      </c>
      <c r="I4359" s="6" t="inlineStr"/>
      <c r="J4359" s="5" t="inlineStr"/>
      <c r="K4359" s="5" t="inlineStr"/>
      <c r="L4359" s="7" t="n">
        <v>300</v>
      </c>
      <c r="M4359" s="5" t="inlineStr">
        <is>
          <t>300 GB de franquia Você + 4 linhas adicionais Roaming Internacional com Vivo Travel Américas e Europa</t>
        </is>
      </c>
      <c r="N4359" s="5" t="inlineStr"/>
      <c r="O4359" s="5" t="inlineStr"/>
      <c r="P4359" s="5" t="inlineStr"/>
      <c r="Q4359" s="5" t="inlineStr"/>
      <c r="R4359" s="5" t="inlineStr"/>
      <c r="S4359" s="5" t="inlineStr"/>
      <c r="T4359" s="5" t="inlineStr">
        <is>
          <t>12 meses grátis de Gemini com AI Plus</t>
        </is>
      </c>
      <c r="U4359" s="5" t="inlineStr">
        <is>
          <t>https://vivo.com.br/para-voce/produtos-e-servicos/para-o-celular/planos-pos-pago</t>
        </is>
      </c>
      <c r="V4359" s="5" t="inlineStr">
        <is>
          <t>data/raw/vivo_postpaid_SP.html</t>
        </is>
      </c>
    </row>
    <row r="4360">
      <c r="A4360" s="2" t="inlineStr">
        <is>
          <t>2026-09-06</t>
        </is>
      </c>
      <c r="B4360" s="2" t="inlineStr">
        <is>
          <t>2026-09-06T19:39:36</t>
        </is>
      </c>
      <c r="C4360" s="2" t="inlineStr">
        <is>
          <t>vivo</t>
        </is>
      </c>
      <c r="D4360" s="2" t="inlineStr">
        <is>
          <t>postpaid</t>
        </is>
      </c>
      <c r="E4360" s="2" t="inlineStr">
        <is>
          <t>SP</t>
        </is>
      </c>
      <c r="F4360" s="2" t="inlineStr">
        <is>
          <t>Vivo Pós com Amazon</t>
        </is>
      </c>
      <c r="G4360" s="2" t="inlineStr">
        <is>
          <t>vivo:VIV202600034554</t>
        </is>
      </c>
      <c r="H4360" s="3" t="n">
        <v>150</v>
      </c>
      <c r="I4360" s="3" t="inlineStr"/>
      <c r="J4360" s="2" t="inlineStr"/>
      <c r="K4360" s="2" t="inlineStr"/>
      <c r="L4360" s="4" t="n">
        <v>60</v>
      </c>
      <c r="M4360" s="2" t="inlineStr">
        <is>
          <t>50 GB de franquia 10 GB de bônus</t>
        </is>
      </c>
      <c r="N4360" s="2" t="inlineStr"/>
      <c r="O4360" s="2" t="inlineStr"/>
      <c r="P4360" s="2" t="inlineStr"/>
      <c r="Q4360" s="2" t="inlineStr"/>
      <c r="R4360" s="2" t="inlineStr"/>
      <c r="S4360" s="2" t="inlineStr"/>
      <c r="T4360" s="2" t="inlineStr">
        <is>
          <t>Assinatura Amazon Prime inclusa</t>
        </is>
      </c>
      <c r="U4360" s="2" t="inlineStr">
        <is>
          <t>https://vivo.com.br/para-voce/produtos-e-servicos/para-o-celular/planos-pos-pago</t>
        </is>
      </c>
      <c r="V4360" s="2" t="inlineStr">
        <is>
          <t>data/raw/vivo_postpaid_SP.html</t>
        </is>
      </c>
    </row>
    <row r="4361">
      <c r="A4361" s="5" t="inlineStr">
        <is>
          <t>2026-09-06</t>
        </is>
      </c>
      <c r="B4361" s="5" t="inlineStr">
        <is>
          <t>2026-09-06T19:39:36</t>
        </is>
      </c>
      <c r="C4361" s="5" t="inlineStr">
        <is>
          <t>vivo</t>
        </is>
      </c>
      <c r="D4361" s="5" t="inlineStr">
        <is>
          <t>postpaid</t>
        </is>
      </c>
      <c r="E4361" s="5" t="inlineStr">
        <is>
          <t>SP</t>
        </is>
      </c>
      <c r="F4361" s="5" t="inlineStr">
        <is>
          <t>Vivo Pós com Disney+</t>
        </is>
      </c>
      <c r="G4361" s="5" t="inlineStr">
        <is>
          <t>vivo:VIV202600034532</t>
        </is>
      </c>
      <c r="H4361" s="6" t="n">
        <v>180</v>
      </c>
      <c r="I4361" s="6" t="inlineStr"/>
      <c r="J4361" s="5" t="inlineStr"/>
      <c r="K4361" s="5" t="inlineStr"/>
      <c r="L4361" s="7" t="n">
        <v>60</v>
      </c>
      <c r="M4361" s="5" t="inlineStr">
        <is>
          <t>50 GB de franquia 10 GB de bônus</t>
        </is>
      </c>
      <c r="N4361" s="5" t="inlineStr"/>
      <c r="O4361" s="5" t="inlineStr"/>
      <c r="P4361" s="5" t="inlineStr"/>
      <c r="Q4361" s="5" t="inlineStr"/>
      <c r="R4361" s="5" t="inlineStr">
        <is>
          <t>Disney+</t>
        </is>
      </c>
      <c r="S4361" s="5" t="inlineStr"/>
      <c r="T4361" s="5" t="inlineStr">
        <is>
          <t>Assinatura Disney+ Padrão inclusa</t>
        </is>
      </c>
      <c r="U4361" s="5" t="inlineStr">
        <is>
          <t>https://vivo.com.br/para-voce/produtos-e-servicos/para-o-celular/planos-pos-pago</t>
        </is>
      </c>
      <c r="V4361" s="5" t="inlineStr">
        <is>
          <t>data/raw/vivo_postpaid_SP.html</t>
        </is>
      </c>
    </row>
    <row r="4362">
      <c r="A4362" s="2" t="inlineStr">
        <is>
          <t>2026-09-06</t>
        </is>
      </c>
      <c r="B4362" s="2" t="inlineStr">
        <is>
          <t>2026-09-06T19:39:36</t>
        </is>
      </c>
      <c r="C4362" s="2" t="inlineStr">
        <is>
          <t>vivo</t>
        </is>
      </c>
      <c r="D4362" s="2" t="inlineStr">
        <is>
          <t>postpaid</t>
        </is>
      </c>
      <c r="E4362" s="2" t="inlineStr">
        <is>
          <t>SP</t>
        </is>
      </c>
      <c r="F4362" s="2" t="inlineStr">
        <is>
          <t>Vivo Pós com Globoplay</t>
        </is>
      </c>
      <c r="G4362" s="2" t="inlineStr">
        <is>
          <t>vivo:VIV202600034575</t>
        </is>
      </c>
      <c r="H4362" s="3" t="n">
        <v>165</v>
      </c>
      <c r="I4362" s="3" t="inlineStr"/>
      <c r="J4362" s="2" t="inlineStr"/>
      <c r="K4362" s="2" t="inlineStr"/>
      <c r="L4362" s="4" t="n">
        <v>60</v>
      </c>
      <c r="M4362" s="2" t="inlineStr">
        <is>
          <t>50 GB de franquia 10 GB de bônus</t>
        </is>
      </c>
      <c r="N4362" s="2" t="inlineStr"/>
      <c r="O4362" s="2" t="inlineStr"/>
      <c r="P4362" s="2" t="inlineStr"/>
      <c r="Q4362" s="2" t="inlineStr"/>
      <c r="R4362" s="2" t="inlineStr">
        <is>
          <t>Globoplay</t>
        </is>
      </c>
      <c r="S4362" s="2" t="inlineStr"/>
      <c r="T4362" s="2" t="inlineStr">
        <is>
          <t>Assinatura Globoplay inclusa</t>
        </is>
      </c>
      <c r="U4362" s="2" t="inlineStr">
        <is>
          <t>https://vivo.com.br/para-voce/produtos-e-servicos/para-o-celular/planos-pos-pago</t>
        </is>
      </c>
      <c r="V4362" s="2" t="inlineStr">
        <is>
          <t>data/raw/vivo_postpaid_SP.html</t>
        </is>
      </c>
    </row>
    <row r="4363">
      <c r="A4363" s="5" t="inlineStr">
        <is>
          <t>2026-09-06</t>
        </is>
      </c>
      <c r="B4363" s="5" t="inlineStr">
        <is>
          <t>2026-09-06T19:39:36</t>
        </is>
      </c>
      <c r="C4363" s="5" t="inlineStr">
        <is>
          <t>vivo</t>
        </is>
      </c>
      <c r="D4363" s="5" t="inlineStr">
        <is>
          <t>postpaid</t>
        </is>
      </c>
      <c r="E4363" s="5" t="inlineStr">
        <is>
          <t>SP</t>
        </is>
      </c>
      <c r="F4363" s="5" t="inlineStr">
        <is>
          <t>Vivo Pós com Netflix</t>
        </is>
      </c>
      <c r="G4363" s="5" t="inlineStr">
        <is>
          <t>vivo:VIV202600034562</t>
        </is>
      </c>
      <c r="H4363" s="6" t="n">
        <v>180</v>
      </c>
      <c r="I4363" s="6" t="inlineStr"/>
      <c r="J4363" s="5" t="inlineStr"/>
      <c r="K4363" s="5" t="inlineStr"/>
      <c r="L4363" s="7" t="n">
        <v>60</v>
      </c>
      <c r="M4363" s="5" t="inlineStr">
        <is>
          <t>50 GB de franquia 10 GB de bônus</t>
        </is>
      </c>
      <c r="N4363" s="5" t="inlineStr"/>
      <c r="O4363" s="5" t="inlineStr"/>
      <c r="P4363" s="5" t="inlineStr"/>
      <c r="Q4363" s="5" t="inlineStr"/>
      <c r="R4363" s="5" t="inlineStr">
        <is>
          <t>Netflix</t>
        </is>
      </c>
      <c r="S4363" s="5" t="inlineStr"/>
      <c r="T4363" s="5" t="inlineStr">
        <is>
          <t>Assinatura Netflix Padrão inclusa</t>
        </is>
      </c>
      <c r="U4363" s="5" t="inlineStr">
        <is>
          <t>https://vivo.com.br/para-voce/produtos-e-servicos/para-o-celular/planos-pos-pago</t>
        </is>
      </c>
      <c r="V4363" s="5" t="inlineStr">
        <is>
          <t>data/raw/vivo_postpaid_SP.html</t>
        </is>
      </c>
    </row>
    <row r="4364">
      <c r="A4364" s="2" t="inlineStr">
        <is>
          <t>2026-09-06</t>
        </is>
      </c>
      <c r="B4364" s="2" t="inlineStr">
        <is>
          <t>2026-09-06T19:39:36</t>
        </is>
      </c>
      <c r="C4364" s="2" t="inlineStr">
        <is>
          <t>vivo</t>
        </is>
      </c>
      <c r="D4364" s="2" t="inlineStr">
        <is>
          <t>postpaid</t>
        </is>
      </c>
      <c r="E4364" s="2" t="inlineStr">
        <is>
          <t>SP</t>
        </is>
      </c>
      <c r="F4364" s="2" t="inlineStr">
        <is>
          <t>Vivo Pós com Premiere</t>
        </is>
      </c>
      <c r="G4364" s="2" t="inlineStr">
        <is>
          <t>vivo:VIV202600034579</t>
        </is>
      </c>
      <c r="H4364" s="3" t="n">
        <v>180</v>
      </c>
      <c r="I4364" s="3" t="inlineStr"/>
      <c r="J4364" s="2" t="inlineStr"/>
      <c r="K4364" s="2" t="inlineStr"/>
      <c r="L4364" s="4" t="n">
        <v>60</v>
      </c>
      <c r="M4364" s="2" t="inlineStr">
        <is>
          <t>50 GB de franquia 10 GB de bônus</t>
        </is>
      </c>
      <c r="N4364" s="2" t="inlineStr"/>
      <c r="O4364" s="2" t="inlineStr"/>
      <c r="P4364" s="2" t="inlineStr"/>
      <c r="Q4364" s="2" t="inlineStr"/>
      <c r="R4364" s="2" t="inlineStr">
        <is>
          <t>Premiere</t>
        </is>
      </c>
      <c r="S4364" s="2" t="inlineStr"/>
      <c r="T4364" s="2" t="inlineStr">
        <is>
          <t>Assinatura Premiere inclusa</t>
        </is>
      </c>
      <c r="U4364" s="2" t="inlineStr">
        <is>
          <t>https://vivo.com.br/para-voce/produtos-e-servicos/para-o-celular/planos-pos-pago</t>
        </is>
      </c>
      <c r="V4364" s="2" t="inlineStr">
        <is>
          <t>data/raw/vivo_postpaid_SP.html</t>
        </is>
      </c>
    </row>
    <row r="4365">
      <c r="A4365" s="5" t="inlineStr">
        <is>
          <t>2026-09-06</t>
        </is>
      </c>
      <c r="B4365" s="5" t="inlineStr">
        <is>
          <t>2026-09-06T19:39:36</t>
        </is>
      </c>
      <c r="C4365" s="5" t="inlineStr">
        <is>
          <t>vivo</t>
        </is>
      </c>
      <c r="D4365" s="5" t="inlineStr">
        <is>
          <t>postpaid</t>
        </is>
      </c>
      <c r="E4365" s="5" t="inlineStr">
        <is>
          <t>SP</t>
        </is>
      </c>
      <c r="F4365" s="5" t="inlineStr">
        <is>
          <t>Vivo Pós com Spotify</t>
        </is>
      </c>
      <c r="G4365" s="5" t="inlineStr">
        <is>
          <t>vivo:VIV202600034556</t>
        </is>
      </c>
      <c r="H4365" s="6" t="n">
        <v>165</v>
      </c>
      <c r="I4365" s="6" t="inlineStr"/>
      <c r="J4365" s="5" t="inlineStr"/>
      <c r="K4365" s="5" t="inlineStr"/>
      <c r="L4365" s="7" t="n">
        <v>60</v>
      </c>
      <c r="M4365" s="5" t="inlineStr">
        <is>
          <t>50 GB de franquia 10 GB de bônus</t>
        </is>
      </c>
      <c r="N4365" s="5" t="inlineStr"/>
      <c r="O4365" s="5" t="inlineStr"/>
      <c r="P4365" s="5" t="inlineStr"/>
      <c r="Q4365" s="5" t="inlineStr"/>
      <c r="R4365" s="5" t="inlineStr">
        <is>
          <t>Spotify</t>
        </is>
      </c>
      <c r="S4365" s="5" t="inlineStr"/>
      <c r="T4365" s="5" t="inlineStr">
        <is>
          <t>Assinatura Spotify Premium inclusa</t>
        </is>
      </c>
      <c r="U4365" s="5" t="inlineStr">
        <is>
          <t>https://vivo.com.br/para-voce/produtos-e-servicos/para-o-celular/planos-pos-pago</t>
        </is>
      </c>
      <c r="V4365" s="5" t="inlineStr">
        <is>
          <t>data/raw/vivo_postpaid_SP.html</t>
        </is>
      </c>
    </row>
    <row r="4366">
      <c r="A4366" s="2" t="inlineStr">
        <is>
          <t>2026-09-06</t>
        </is>
      </c>
      <c r="B4366" s="2" t="inlineStr">
        <is>
          <t>2026-09-06T19:39:36</t>
        </is>
      </c>
      <c r="C4366" s="2" t="inlineStr">
        <is>
          <t>vivo</t>
        </is>
      </c>
      <c r="D4366" s="2" t="inlineStr">
        <is>
          <t>postpaid</t>
        </is>
      </c>
      <c r="E4366" s="2" t="inlineStr">
        <is>
          <t>SP</t>
        </is>
      </c>
      <c r="F4366" s="2" t="inlineStr">
        <is>
          <t>Vivo Pós com Travel</t>
        </is>
      </c>
      <c r="G4366" s="2" t="inlineStr">
        <is>
          <t>vivo:VIV202600034573</t>
        </is>
      </c>
      <c r="H4366" s="3" t="n">
        <v>215</v>
      </c>
      <c r="I4366" s="3" t="inlineStr"/>
      <c r="J4366" s="2" t="inlineStr"/>
      <c r="K4366" s="2" t="inlineStr"/>
      <c r="L4366" s="4" t="n">
        <v>70</v>
      </c>
      <c r="M4366" s="2" t="inlineStr">
        <is>
          <t>60 GB de franquia 10 GB de bônus</t>
        </is>
      </c>
      <c r="N4366" s="2" t="inlineStr"/>
      <c r="O4366" s="2" t="inlineStr"/>
      <c r="P4366" s="2" t="inlineStr"/>
      <c r="Q4366" s="2" t="inlineStr"/>
      <c r="R4366" s="2" t="inlineStr"/>
      <c r="S4366" s="2" t="inlineStr"/>
      <c r="T4366" s="2" t="inlineStr">
        <is>
          <t>6 meses grátis de Gemini com AI Plus</t>
        </is>
      </c>
      <c r="U4366" s="2" t="inlineStr">
        <is>
          <t>https://vivo.com.br/para-voce/produtos-e-servicos/para-o-celular/planos-pos-pago</t>
        </is>
      </c>
      <c r="V4366" s="2" t="inlineStr">
        <is>
          <t>data/raw/vivo_postpaid_SP.html</t>
        </is>
      </c>
    </row>
    <row r="4367">
      <c r="A4367" s="5" t="inlineStr">
        <is>
          <t>2026-09-06</t>
        </is>
      </c>
      <c r="B4367" s="5" t="inlineStr">
        <is>
          <t>2026-09-06T19:39:36</t>
        </is>
      </c>
      <c r="C4367" s="5" t="inlineStr">
        <is>
          <t>vivo</t>
        </is>
      </c>
      <c r="D4367" s="5" t="inlineStr">
        <is>
          <t>prepaid</t>
        </is>
      </c>
      <c r="E4367" s="5" t="inlineStr">
        <is>
          <t>SP</t>
        </is>
      </c>
      <c r="F4367" s="5" t="inlineStr">
        <is>
          <t>Vivo Pré</t>
        </is>
      </c>
      <c r="G4367" s="5" t="inlineStr">
        <is>
          <t>vivo:VIV202600029370-30d</t>
        </is>
      </c>
      <c r="H4367" s="6" t="n">
        <v>30</v>
      </c>
      <c r="I4367" s="6" t="inlineStr"/>
      <c r="J4367" s="5" t="inlineStr"/>
      <c r="K4367" s="5" t="inlineStr"/>
      <c r="L4367" s="7" t="n">
        <v>25</v>
      </c>
      <c r="M4367" s="5" t="inlineStr">
        <is>
          <t>15 GB para navegar como quiser 5 GB de bônus 5 GB para navegar no Youtube</t>
        </is>
      </c>
      <c r="N4367" s="5" t="n">
        <v>30</v>
      </c>
      <c r="O4367" s="5" t="inlineStr"/>
      <c r="P4367" s="5" t="inlineStr"/>
      <c r="Q4367" s="5" t="inlineStr"/>
      <c r="R4367" s="5" t="inlineStr"/>
      <c r="S4367" s="5" t="inlineStr"/>
      <c r="T4367" s="5" t="inlineStr"/>
      <c r="U4367" s="5" t="inlineStr">
        <is>
          <t>https://vivo.com.br/para-voce/produtos-e-servicos/para-o-celular/pre-pago/vivo-pre</t>
        </is>
      </c>
      <c r="V4367" s="5" t="inlineStr">
        <is>
          <t>data/raw/vivo_prepaid_SP.html</t>
        </is>
      </c>
    </row>
    <row r="4368">
      <c r="A4368" s="2" t="inlineStr">
        <is>
          <t>2026-09-06</t>
        </is>
      </c>
      <c r="B4368" s="2" t="inlineStr">
        <is>
          <t>2026-09-06T19:39:36</t>
        </is>
      </c>
      <c r="C4368" s="2" t="inlineStr">
        <is>
          <t>vivo</t>
        </is>
      </c>
      <c r="D4368" s="2" t="inlineStr">
        <is>
          <t>prepaid</t>
        </is>
      </c>
      <c r="E4368" s="2" t="inlineStr">
        <is>
          <t>SP</t>
        </is>
      </c>
      <c r="F4368" s="2" t="inlineStr">
        <is>
          <t>Vivo Pré</t>
        </is>
      </c>
      <c r="G4368" s="2" t="inlineStr">
        <is>
          <t>vivo:VIV202600029370-22d</t>
        </is>
      </c>
      <c r="H4368" s="3" t="n">
        <v>25</v>
      </c>
      <c r="I4368" s="3" t="inlineStr"/>
      <c r="J4368" s="2" t="inlineStr"/>
      <c r="K4368" s="2" t="inlineStr"/>
      <c r="L4368" s="4" t="n">
        <v>9</v>
      </c>
      <c r="M4368" s="2" t="inlineStr">
        <is>
          <t>6 GB para navegar como quiser 3 GB para navegar no YouTube</t>
        </is>
      </c>
      <c r="N4368" s="2" t="n">
        <v>22</v>
      </c>
      <c r="O4368" s="2" t="inlineStr"/>
      <c r="P4368" s="2" t="inlineStr"/>
      <c r="Q4368" s="2" t="inlineStr"/>
      <c r="R4368" s="2" t="inlineStr"/>
      <c r="S4368" s="2" t="inlineStr"/>
      <c r="T4368" s="2" t="inlineStr"/>
      <c r="U4368" s="2" t="inlineStr">
        <is>
          <t>https://vivo.com.br/para-voce/produtos-e-servicos/para-o-celular/pre-pago/vivo-pre</t>
        </is>
      </c>
      <c r="V4368" s="2" t="inlineStr">
        <is>
          <t>data/raw/vivo_prepaid_SP.html</t>
        </is>
      </c>
    </row>
    <row r="4369">
      <c r="A4369" s="5" t="inlineStr">
        <is>
          <t>2026-09-06</t>
        </is>
      </c>
      <c r="B4369" s="5" t="inlineStr">
        <is>
          <t>2026-09-06T19:39:36</t>
        </is>
      </c>
      <c r="C4369" s="5" t="inlineStr">
        <is>
          <t>vivo</t>
        </is>
      </c>
      <c r="D4369" s="5" t="inlineStr">
        <is>
          <t>prepaid</t>
        </is>
      </c>
      <c r="E4369" s="5" t="inlineStr">
        <is>
          <t>SP</t>
        </is>
      </c>
      <c r="F4369" s="5" t="inlineStr">
        <is>
          <t>Vivo Pré</t>
        </is>
      </c>
      <c r="G4369" s="5" t="inlineStr">
        <is>
          <t>vivo:VIV202600029370-17d</t>
        </is>
      </c>
      <c r="H4369" s="6" t="n">
        <v>20</v>
      </c>
      <c r="I4369" s="6" t="inlineStr"/>
      <c r="J4369" s="5" t="inlineStr"/>
      <c r="K4369" s="5" t="inlineStr"/>
      <c r="L4369" s="7" t="n">
        <v>5</v>
      </c>
      <c r="M4369" s="5" t="inlineStr">
        <is>
          <t>5 GB para navegar como quiser</t>
        </is>
      </c>
      <c r="N4369" s="5" t="n">
        <v>17</v>
      </c>
      <c r="O4369" s="5" t="inlineStr"/>
      <c r="P4369" s="5" t="inlineStr"/>
      <c r="Q4369" s="5" t="inlineStr"/>
      <c r="R4369" s="5" t="inlineStr"/>
      <c r="S4369" s="5" t="inlineStr"/>
      <c r="T4369" s="5" t="inlineStr"/>
      <c r="U4369" s="5" t="inlineStr">
        <is>
          <t>https://vivo.com.br/para-voce/produtos-e-servicos/para-o-celular/pre-pago/vivo-pre</t>
        </is>
      </c>
      <c r="V4369" s="5" t="inlineStr">
        <is>
          <t>data/raw/vivo_prepaid_SP.html</t>
        </is>
      </c>
    </row>
    <row r="4370">
      <c r="A4370" s="2" t="inlineStr">
        <is>
          <t>2026-09-06</t>
        </is>
      </c>
      <c r="B4370" s="2" t="inlineStr">
        <is>
          <t>2026-09-06T19:39:36</t>
        </is>
      </c>
      <c r="C4370" s="2" t="inlineStr">
        <is>
          <t>vivo</t>
        </is>
      </c>
      <c r="D4370" s="2" t="inlineStr">
        <is>
          <t>prepaid</t>
        </is>
      </c>
      <c r="E4370" s="2" t="inlineStr">
        <is>
          <t>SP</t>
        </is>
      </c>
      <c r="F4370" s="2" t="inlineStr">
        <is>
          <t>Vivo Pré</t>
        </is>
      </c>
      <c r="G4370" s="2" t="inlineStr">
        <is>
          <t>vivo:VIV202600029370-15d</t>
        </is>
      </c>
      <c r="H4370" s="3" t="n">
        <v>17</v>
      </c>
      <c r="I4370" s="3" t="inlineStr"/>
      <c r="J4370" s="2" t="inlineStr"/>
      <c r="K4370" s="2" t="inlineStr"/>
      <c r="L4370" s="4" t="n">
        <v>4</v>
      </c>
      <c r="M4370" s="2" t="inlineStr">
        <is>
          <t>4 GB para navegar como quiser</t>
        </is>
      </c>
      <c r="N4370" s="2" t="n">
        <v>15</v>
      </c>
      <c r="O4370" s="2" t="inlineStr"/>
      <c r="P4370" s="2" t="inlineStr"/>
      <c r="Q4370" s="2" t="inlineStr"/>
      <c r="R4370" s="2" t="inlineStr"/>
      <c r="S4370" s="2" t="inlineStr"/>
      <c r="T4370" s="2" t="inlineStr"/>
      <c r="U4370" s="2" t="inlineStr">
        <is>
          <t>https://vivo.com.br/para-voce/produtos-e-servicos/para-o-celular/pre-pago/vivo-pre</t>
        </is>
      </c>
      <c r="V4370" s="2" t="inlineStr">
        <is>
          <t>data/raw/vivo_prepaid_SP.html</t>
        </is>
      </c>
    </row>
  </sheetData>
  <autoFilter ref="A1:V43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2026-09-06</t>
        </is>
      </c>
      <c r="B2" s="2" t="inlineStr">
        <is>
          <t>2026-09-06T19:39:36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2026-09-06</t>
        </is>
      </c>
      <c r="B3" s="5" t="inlineStr">
        <is>
          <t>2026-09-06T19:39:36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2026-09-06</t>
        </is>
      </c>
      <c r="B4" s="2" t="inlineStr">
        <is>
          <t>2026-09-06T19:39:36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2026-09-06</t>
        </is>
      </c>
      <c r="B5" s="5" t="inlineStr">
        <is>
          <t>2026-09-06T19:39:36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2026-09-06</t>
        </is>
      </c>
      <c r="B6" s="2" t="inlineStr">
        <is>
          <t>2026-09-06T19:39:36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2026-09-06</t>
        </is>
      </c>
      <c r="B7" s="5" t="inlineStr">
        <is>
          <t>2026-09-06T19:39:36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2026-09-06</t>
        </is>
      </c>
      <c r="B8" s="2" t="inlineStr">
        <is>
          <t>2026-09-06T19:39:36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2026-09-06</t>
        </is>
      </c>
      <c r="B9" s="5" t="inlineStr">
        <is>
          <t>2026-09-06T19:39:36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2026-09-06</t>
        </is>
      </c>
      <c r="B10" s="2" t="inlineStr">
        <is>
          <t>2026-09-06T19:39:36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2026-09-06</t>
        </is>
      </c>
      <c r="B11" s="5" t="inlineStr">
        <is>
          <t>2026-09-06T19:39:36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2026-09-06</t>
        </is>
      </c>
      <c r="B12" s="2" t="inlineStr">
        <is>
          <t>2026-09-06T19:39:36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2026-09-06</t>
        </is>
      </c>
      <c r="B13" s="5" t="inlineStr">
        <is>
          <t>2026-09-06T19:39:36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2026-09-06</t>
        </is>
      </c>
      <c r="B14" s="2" t="inlineStr">
        <is>
          <t>2026-09-06T19:39:36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2026-09-06</t>
        </is>
      </c>
      <c r="B15" s="5" t="inlineStr">
        <is>
          <t>2026-09-06T19:39:36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2026-09-06</t>
        </is>
      </c>
      <c r="B16" s="2" t="inlineStr">
        <is>
          <t>2026-09-06T19:39:36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2026-09-06</t>
        </is>
      </c>
      <c r="B17" s="5" t="inlineStr">
        <is>
          <t>2026-09-06T19:39:36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2026-09-06</t>
        </is>
      </c>
      <c r="B18" s="2" t="inlineStr">
        <is>
          <t>2026-09-06T19:39:36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2026-09-06</t>
        </is>
      </c>
      <c r="B19" s="5" t="inlineStr">
        <is>
          <t>2026-09-06T19:39:36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2026-09-06</t>
        </is>
      </c>
      <c r="B20" s="2" t="inlineStr">
        <is>
          <t>2026-09-06T19:39:36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2026-09-06</t>
        </is>
      </c>
      <c r="B21" s="5" t="inlineStr">
        <is>
          <t>2026-09-06T19:39:36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2026-09-06</t>
        </is>
      </c>
      <c r="B22" s="2" t="inlineStr">
        <is>
          <t>2026-09-06T19:39:36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2026-09-06</t>
        </is>
      </c>
      <c r="B23" s="5" t="inlineStr">
        <is>
          <t>2026-09-06T19:39:36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2026-09-06</t>
        </is>
      </c>
      <c r="B24" s="2" t="inlineStr">
        <is>
          <t>2026-09-06T19:39:36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2026-09-06</t>
        </is>
      </c>
      <c r="B25" s="5" t="inlineStr">
        <is>
          <t>2026-09-06T19:39:36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2026-09-06</t>
        </is>
      </c>
      <c r="B26" s="2" t="inlineStr">
        <is>
          <t>2026-09-06T19:39:36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2026-09-06</t>
        </is>
      </c>
      <c r="B27" s="5" t="inlineStr">
        <is>
          <t>2026-09-06T19:39:36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2026-09-06</t>
        </is>
      </c>
      <c r="B28" s="2" t="inlineStr">
        <is>
          <t>2026-09-06T19:39:36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2026-09-06</t>
        </is>
      </c>
      <c r="B29" s="5" t="inlineStr">
        <is>
          <t>2026-09-06T19:39:36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2026-09-06</t>
        </is>
      </c>
      <c r="B30" s="2" t="inlineStr">
        <is>
          <t>2026-09-06T19:39:36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2026-09-06</t>
        </is>
      </c>
      <c r="B31" s="5" t="inlineStr">
        <is>
          <t>2026-09-06T19:39:36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2026-09-06</t>
        </is>
      </c>
      <c r="B32" s="2" t="inlineStr">
        <is>
          <t>2026-09-06T19:39:36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2026-09-06</t>
        </is>
      </c>
      <c r="B33" s="5" t="inlineStr">
        <is>
          <t>2026-09-06T19:39:36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2026-09-06</t>
        </is>
      </c>
      <c r="B34" s="2" t="inlineStr">
        <is>
          <t>2026-09-06T19:39:36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Plus 80GB</t>
        </is>
      </c>
      <c r="G34" s="2" t="inlineStr">
        <is>
          <t>tim:54256</t>
        </is>
      </c>
      <c r="H34" s="3" t="n">
        <v>149.99</v>
      </c>
      <c r="I34" s="3" t="inlineStr"/>
      <c r="J34" s="2" t="inlineStr"/>
      <c r="K34" s="2" t="inlineStr">
        <is>
          <t>bill</t>
        </is>
      </c>
      <c r="L34" s="4" t="n">
        <v>80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2026-09-06</t>
        </is>
      </c>
      <c r="B35" s="5" t="inlineStr">
        <is>
          <t>2026-09-06T19:39:36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Premium 110GB</t>
        </is>
      </c>
      <c r="G35" s="5" t="inlineStr">
        <is>
          <t>tim:54261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110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2026-09-06</t>
        </is>
      </c>
      <c r="B36" s="2" t="inlineStr">
        <is>
          <t>2026-09-06T19:39:36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16GB</t>
        </is>
      </c>
      <c r="G36" s="2" t="inlineStr">
        <is>
          <t>tim:106306</t>
        </is>
      </c>
      <c r="H36" s="3" t="n">
        <v>30</v>
      </c>
      <c r="I36" s="3" t="inlineStr"/>
      <c r="J36" s="2" t="inlineStr"/>
      <c r="K36" s="2" t="inlineStr"/>
      <c r="L36" s="4" t="n">
        <v>16</v>
      </c>
      <c r="M36" s="2" t="inlineStr"/>
      <c r="N36" s="2" t="n">
        <v>30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2026-09-06</t>
        </is>
      </c>
      <c r="B37" s="5" t="inlineStr">
        <is>
          <t>2026-09-06T19:39:36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6GB</t>
        </is>
      </c>
      <c r="G37" s="5" t="inlineStr">
        <is>
          <t>tim:59906</t>
        </is>
      </c>
      <c r="H37" s="6" t="n">
        <v>20</v>
      </c>
      <c r="I37" s="6" t="inlineStr"/>
      <c r="J37" s="5" t="inlineStr"/>
      <c r="K37" s="5" t="inlineStr"/>
      <c r="L37" s="7" t="n">
        <v>6</v>
      </c>
      <c r="M37" s="5" t="inlineStr"/>
      <c r="N37" s="5" t="n">
        <v>17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2026-09-06</t>
        </is>
      </c>
      <c r="B38" s="2" t="inlineStr">
        <is>
          <t>2026-09-06T19:39:36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8GB</t>
        </is>
      </c>
      <c r="G38" s="2" t="inlineStr">
        <is>
          <t>tim:59901</t>
        </is>
      </c>
      <c r="H38" s="3" t="n">
        <v>25</v>
      </c>
      <c r="I38" s="3" t="inlineStr"/>
      <c r="J38" s="2" t="inlineStr"/>
      <c r="K38" s="2" t="inlineStr"/>
      <c r="L38" s="4" t="n">
        <v>8</v>
      </c>
      <c r="M38" s="2" t="inlineStr"/>
      <c r="N38" s="2" t="n">
        <v>22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2026-09-06</t>
        </is>
      </c>
      <c r="B39" s="5" t="inlineStr">
        <is>
          <t>2026-09-06T19:39:36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vivo:VIV202600034591</t>
        </is>
      </c>
      <c r="H39" s="6" t="n">
        <v>59</v>
      </c>
      <c r="I39" s="6" t="inlineStr"/>
      <c r="J39" s="5" t="inlineStr"/>
      <c r="K39" s="5" t="inlineStr"/>
      <c r="L39" s="7" t="n">
        <v>45</v>
      </c>
      <c r="M39" s="5" t="inlineStr">
        <is>
          <t>15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2026-09-06</t>
        </is>
      </c>
      <c r="B40" s="2" t="inlineStr">
        <is>
          <t>2026-09-06T19:39:36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vivo:VIV202600034599</t>
        </is>
      </c>
      <c r="H40" s="3" t="n">
        <v>75</v>
      </c>
      <c r="I40" s="3" t="inlineStr"/>
      <c r="J40" s="2" t="inlineStr">
        <is>
          <t>preço-base do plano; a tela exibia R$ 80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6 meses grátis de Gemini com AI Plus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2026-09-06</t>
        </is>
      </c>
      <c r="B41" s="5" t="inlineStr">
        <is>
          <t>2026-09-06T19:39:36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Amazon</t>
        </is>
      </c>
      <c r="G41" s="5" t="inlineStr">
        <is>
          <t>vivo:VIV202600038804</t>
        </is>
      </c>
      <c r="H41" s="6" t="n">
        <v>70</v>
      </c>
      <c r="I41" s="6" t="inlineStr"/>
      <c r="J41" s="5" t="inlineStr">
        <is>
          <t>preço-base do plano; a tela exibia R$ 75 com o adicional pré-selecionado (+R$ 5/mês, opcional); 58 GB na tela incluem +10 GB do adicional</t>
        </is>
      </c>
      <c r="K41" s="5" t="inlineStr"/>
      <c r="L41" s="7" t="n">
        <v>48</v>
      </c>
      <c r="M41" s="5" t="inlineStr">
        <is>
          <t>18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Amazon Prime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2026-09-06</t>
        </is>
      </c>
      <c r="B42" s="2" t="inlineStr">
        <is>
          <t>2026-09-06T19:39:36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2026-09-06</t>
        </is>
      </c>
      <c r="B43" s="5" t="inlineStr">
        <is>
          <t>2026-09-06T19:39:36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2026-09-06</t>
        </is>
      </c>
      <c r="B44" s="2" t="inlineStr">
        <is>
          <t>2026-09-06T19:39:36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2026-09-06</t>
        </is>
      </c>
      <c r="B45" s="5" t="inlineStr">
        <is>
          <t>2026-09-06T19:39:36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2026-09-06</t>
        </is>
      </c>
      <c r="B46" s="2" t="inlineStr">
        <is>
          <t>2026-09-06T19:39:36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2026-09-06</t>
        </is>
      </c>
      <c r="B47" s="5" t="inlineStr">
        <is>
          <t>2026-09-06T19:39:36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Youtube Premium Lite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2026-09-06</t>
        </is>
      </c>
      <c r="B48" s="2" t="inlineStr">
        <is>
          <t>2026-09-06T19:39:36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vivo:VIV202600038808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2026-09-06</t>
        </is>
      </c>
      <c r="B49" s="5" t="inlineStr">
        <is>
          <t>2026-09-06T19:39:36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vivo:VIV202600038810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2026-09-06</t>
        </is>
      </c>
      <c r="B50" s="2" t="inlineStr">
        <is>
          <t>2026-09-06T19:39:36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vivo:VIV202600038814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2026-09-06</t>
        </is>
      </c>
      <c r="B51" s="5" t="inlineStr">
        <is>
          <t>2026-09-06T19:39:36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2026-09-06</t>
        </is>
      </c>
      <c r="B52" s="2" t="inlineStr">
        <is>
          <t>2026-09-06T19:39:36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2026-09-06</t>
        </is>
      </c>
      <c r="B53" s="5" t="inlineStr">
        <is>
          <t>2026-09-06T19:39:36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2026-09-06</t>
        </is>
      </c>
      <c r="B54" s="2" t="inlineStr">
        <is>
          <t>2026-09-06T19:39:36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12 meses grátis de Gemini com AI Plus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2026-09-06</t>
        </is>
      </c>
      <c r="B55" s="5" t="inlineStr">
        <is>
          <t>2026-09-06T19:39:36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2026-09-06</t>
        </is>
      </c>
      <c r="B56" s="2" t="inlineStr">
        <is>
          <t>2026-09-06T19:39:36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2026-09-06</t>
        </is>
      </c>
      <c r="B57" s="5" t="inlineStr">
        <is>
          <t>2026-09-06T19:39:36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2026-09-06</t>
        </is>
      </c>
      <c r="B58" s="2" t="inlineStr">
        <is>
          <t>2026-09-06T19:39:36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2026-09-06</t>
        </is>
      </c>
      <c r="B59" s="5" t="inlineStr">
        <is>
          <t>2026-09-06T19:39:36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2026-09-06</t>
        </is>
      </c>
      <c r="B60" s="2" t="inlineStr">
        <is>
          <t>2026-09-06T19:39:36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2026-09-06</t>
        </is>
      </c>
      <c r="B61" s="5" t="inlineStr">
        <is>
          <t>2026-09-06T19:39:36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6 meses grátis de Gemini com AI Plus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2026-09-06</t>
        </is>
      </c>
      <c r="B62" s="2" t="inlineStr">
        <is>
          <t>2026-09-06T19:39:36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2026-09-06</t>
        </is>
      </c>
      <c r="B63" s="5" t="inlineStr">
        <is>
          <t>2026-09-06T19:39:36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2026-09-06</t>
        </is>
      </c>
      <c r="B64" s="2" t="inlineStr">
        <is>
          <t>2026-09-06T19:39:36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2026-09-06</t>
        </is>
      </c>
      <c r="B65" s="5" t="inlineStr">
        <is>
          <t>2026-09-06T19:39:36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2026-09-06T19:39:36</t>
        </is>
      </c>
    </row>
    <row r="4">
      <c r="A4" s="9" t="inlineStr">
        <is>
          <t>Latest snapshot</t>
        </is>
      </c>
      <c r="B4" s="2" t="inlineStr">
        <is>
          <t>2026-09-06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74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18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75.88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9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119.99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5">
      <c r="A75" s="12" t="n">
        <v>46270</v>
      </c>
      <c r="B75" s="3">
        <f>IFERROR(IF(_xlfn.MINIFS(history!$H:$H,history!$C:$C,"tim",history!$D:$D,"control",history!$A:$A,YEAR($A75)&amp;"-"&amp;TEXT(MONTH($A75),"00")&amp;"-"&amp;TEXT(DAY($A75),"00"))=0,"",_xlfn.MINIFS(history!$H:$H,history!$C:$C,"tim",history!$D:$D,"control",history!$A:$A,YEAR($A75)&amp;"-"&amp;TEXT(MONTH($A75),"00")&amp;"-"&amp;TEXT(DAY($A75),"00"))),"")</f>
        <v>49.99</v>
      </c>
      <c r="C75" s="3">
        <f>IFERROR(IF(_xlfn.MINIFS(history!$H:$H,history!$C:$C,"vivo",history!$D:$D,"control",history!$A:$A,YEAR($A75)&amp;"-"&amp;TEXT(MONTH($A75),"00")&amp;"-"&amp;TEXT(DAY($A75),"00"))=0,"",_xlfn.MINIFS(history!$H:$H,history!$C:$C,"vivo",history!$D:$D,"control",history!$A:$A,YEAR($A75)&amp;"-"&amp;TEXT(MONTH($A75),"00")&amp;"-"&amp;TEXT(DAY($A75),"00"))),"")</f>
        <v>59</v>
      </c>
      <c r="D75" s="3">
        <f>IFERROR(IF(_xlfn.MINIFS(history!$H:$H,history!$C:$C,"claro",history!$D:$D,"control",history!$A:$A,YEAR($A75)&amp;"-"&amp;TEXT(MONTH($A75),"00")&amp;"-"&amp;TEXT(DAY($A75),"00"))=0,"",_xlfn.MINIFS(history!$H:$H,history!$C:$C,"claro",history!$D:$D,"control",history!$A:$A,YEAR($A75)&amp;"-"&amp;TEXT(MONTH($A75),"00")&amp;"-"&amp;TEXT(DAY($A75),"00"))),"")</f>
        <v>59.9</v>
      </c>
      <c r="E75" s="3">
        <f>IFERROR(IF(_xlfn.MINIFS(history!$H:$H,history!$C:$C,"tim",history!$D:$D,"postpaid",history!$A:$A,YEAR($A75)&amp;"-"&amp;TEXT(MONTH($A75),"00")&amp;"-"&amp;TEXT(DAY($A75),"00"))=0,"",_xlfn.MINIFS(history!$H:$H,history!$C:$C,"tim",history!$D:$D,"postpaid",history!$A:$A,YEAR($A75)&amp;"-"&amp;TEXT(MONTH($A75),"00")&amp;"-"&amp;TEXT(DAY($A75),"00"))),"")</f>
        <v>119.99</v>
      </c>
      <c r="F75" s="3">
        <f>IFERROR(IF(_xlfn.MINIFS(history!$H:$H,history!$C:$C,"vivo",history!$D:$D,"postpaid",history!$A:$A,YEAR($A75)&amp;"-"&amp;TEXT(MONTH($A75),"00")&amp;"-"&amp;TEXT(DAY($A75),"00"))=0,"",_xlfn.MINIFS(history!$H:$H,history!$C:$C,"vivo",history!$D:$D,"postpaid",history!$A:$A,YEAR($A75)&amp;"-"&amp;TEXT(MONTH($A75),"00")&amp;"-"&amp;TEXT(DAY($A75),"00"))),"")</f>
        <v>150</v>
      </c>
      <c r="G75" s="3">
        <f>IFERROR(IF(_xlfn.MINIFS(history!$H:$H,history!$C:$C,"claro",history!$D:$D,"postpaid",history!$A:$A,YEAR($A75)&amp;"-"&amp;TEXT(MONTH($A75),"00")&amp;"-"&amp;TEXT(DAY($A75),"00"))=0,"",_xlfn.MINIFS(history!$H:$H,history!$C:$C,"claro",history!$D:$D,"postpaid",history!$A:$A,YEAR($A75)&amp;"-"&amp;TEXT(MONTH($A75),"00")&amp;"-"&amp;TEXT(DAY($A75),"00"))),"")</f>
        <v>124.9</v>
      </c>
      <c r="H75" s="3">
        <f>IFERROR(IF(_xlfn.MINIFS(history!$H:$H,history!$C:$C,"tim",history!$D:$D,"prepaid",history!$A:$A,YEAR($A75)&amp;"-"&amp;TEXT(MONTH($A75),"00")&amp;"-"&amp;TEXT(DAY($A75),"00"),history!$N:$N,"&gt;=28")=0,"",_xlfn.MINIFS(history!$H:$H,history!$C:$C,"tim",history!$D:$D,"prepaid",history!$A:$A,YEAR($A75)&amp;"-"&amp;TEXT(MONTH($A75),"00")&amp;"-"&amp;TEXT(DAY($A75),"00"),history!$N:$N,"&gt;=28")),"")</f>
        <v>30</v>
      </c>
      <c r="I75" s="3">
        <f>IFERROR(IF(_xlfn.MINIFS(history!$H:$H,history!$C:$C,"vivo",history!$D:$D,"prepaid",history!$A:$A,YEAR($A75)&amp;"-"&amp;TEXT(MONTH($A75),"00")&amp;"-"&amp;TEXT(DAY($A75),"00"),history!$N:$N,"&gt;=28")=0,"",_xlfn.MINIFS(history!$H:$H,history!$C:$C,"vivo",history!$D:$D,"prepaid",history!$A:$A,YEAR($A75)&amp;"-"&amp;TEXT(MONTH($A75),"00")&amp;"-"&amp;TEXT(DAY($A75),"00"),history!$N:$N,"&gt;=28")),"")</f>
        <v>30</v>
      </c>
      <c r="J75" s="3">
        <f>IFERROR(IF(_xlfn.MINIFS(history!$H:$H,history!$C:$C,"claro",history!$D:$D,"prepaid",history!$A:$A,YEAR($A75)&amp;"-"&amp;TEXT(MONTH($A75),"00")&amp;"-"&amp;TEXT(DAY($A75),"00"),history!$N:$N,"&gt;=28")=0,"",_xlfn.MINIFS(history!$H:$H,history!$C:$C,"claro",history!$D:$D,"prepaid",history!$A:$A,YEAR($A75)&amp;"-"&amp;TEXT(MONTH($A75),"00")&amp;"-"&amp;TEXT(DAY($A75),"00"),history!$N:$N,"&gt;=28")),"")</f>
        <v>30</v>
      </c>
      <c r="K75" s="3">
        <f>IFERROR(1/MAX(IFERROR(1/_xlfn.MINIFS(history!$H:$H,history!$C:$C,"tim",history!$D:$D,"lite",history!$A:$A,YEAR($A75)&amp;"-"&amp;TEXT(MONTH($A75),"00")&amp;"-"&amp;TEXT(DAY($A75),"00"),history!$S:$S,"&gt;0"),0),IFERROR(1/_xlfn.MINIFS(history!$H:$H,history!$C:$C,"tim",history!$D:$D,"flex",history!$A:$A,YEAR($A75)&amp;"-"&amp;TEXT(MONTH($A75),"00")&amp;"-"&amp;TEXT(DAY($A75),"00")),0),IFERROR(1/_xlfn.MINIFS(history!$H:$H,history!$C:$C,"tim",history!$D:$D,"fit",history!$A:$A,YEAR($A75)&amp;"-"&amp;TEXT(MONTH($A75),"00")&amp;"-"&amp;TEXT(DAY($A75),"00"),history!$S:$S,"="),0)),"")</f>
        <v>20</v>
      </c>
      <c r="L75" s="3">
        <f>IFERROR(1/MAX(IFERROR(1/_xlfn.MINIFS(history!$H:$H,history!$C:$C,"vivo",history!$D:$D,"lite",history!$A:$A,YEAR($A75)&amp;"-"&amp;TEXT(MONTH($A75),"00")&amp;"-"&amp;TEXT(DAY($A75),"00"),history!$S:$S,"&gt;0"),0),IFERROR(1/_xlfn.MINIFS(history!$H:$H,history!$C:$C,"vivo",history!$D:$D,"flex",history!$A:$A,YEAR($A75)&amp;"-"&amp;TEXT(MONTH($A75),"00")&amp;"-"&amp;TEXT(DAY($A75),"00")),0),IFERROR(1/_xlfn.MINIFS(history!$H:$H,history!$C:$C,"vivo",history!$D:$D,"fit",history!$A:$A,YEAR($A75)&amp;"-"&amp;TEXT(MONTH($A75),"00")&amp;"-"&amp;TEXT(DAY($A75),"00"),history!$S:$S,"="),0)),"")</f>
        <v>45</v>
      </c>
      <c r="M75" s="3">
        <f>IFERROR(1/MAX(IFERROR(1/_xlfn.MINIFS(history!$H:$H,history!$C:$C,"claro",history!$D:$D,"lite",history!$A:$A,YEAR($A75)&amp;"-"&amp;TEXT(MONTH($A75),"00")&amp;"-"&amp;TEXT(DAY($A75),"00"),history!$S:$S,"&gt;0"),0),IFERROR(1/_xlfn.MINIFS(history!$H:$H,history!$C:$C,"claro",history!$D:$D,"flex",history!$A:$A,YEAR($A75)&amp;"-"&amp;TEXT(MONTH($A75),"00")&amp;"-"&amp;TEXT(DAY($A75),"00")),0),IFERROR(1/_xlfn.MINIFS(history!$H:$H,history!$C:$C,"claro",history!$D:$D,"fit",history!$A:$A,YEAR($A75)&amp;"-"&amp;TEXT(MONTH($A75),"00")&amp;"-"&amp;TEXT(DAY($A75),"00"),history!$S:$S,"="),0)),"")</f>
        <v>44.9</v>
      </c>
    </row>
    <row r="76">
      <c r="A76" s="12" t="n">
        <v>46271</v>
      </c>
      <c r="B76" s="3">
        <f>IFERROR(IF(_xlfn.MINIFS(history!$H:$H,history!$C:$C,"tim",history!$D:$D,"control",history!$A:$A,YEAR($A76)&amp;"-"&amp;TEXT(MONTH($A76),"00")&amp;"-"&amp;TEXT(DAY($A76),"00"))=0,"",_xlfn.MINIFS(history!$H:$H,history!$C:$C,"tim",history!$D:$D,"control",history!$A:$A,YEAR($A76)&amp;"-"&amp;TEXT(MONTH($A76),"00")&amp;"-"&amp;TEXT(DAY($A76),"00"))),"")</f>
        <v>49.99</v>
      </c>
      <c r="C76" s="3">
        <f>IFERROR(IF(_xlfn.MINIFS(history!$H:$H,history!$C:$C,"vivo",history!$D:$D,"control",history!$A:$A,YEAR($A76)&amp;"-"&amp;TEXT(MONTH($A76),"00")&amp;"-"&amp;TEXT(DAY($A76),"00"))=0,"",_xlfn.MINIFS(history!$H:$H,history!$C:$C,"vivo",history!$D:$D,"control",history!$A:$A,YEAR($A76)&amp;"-"&amp;TEXT(MONTH($A76),"00")&amp;"-"&amp;TEXT(DAY($A76),"00"))),"")</f>
        <v>59</v>
      </c>
      <c r="D76" s="3">
        <f>IFERROR(IF(_xlfn.MINIFS(history!$H:$H,history!$C:$C,"claro",history!$D:$D,"control",history!$A:$A,YEAR($A76)&amp;"-"&amp;TEXT(MONTH($A76),"00")&amp;"-"&amp;TEXT(DAY($A76),"00"))=0,"",_xlfn.MINIFS(history!$H:$H,history!$C:$C,"claro",history!$D:$D,"control",history!$A:$A,YEAR($A76)&amp;"-"&amp;TEXT(MONTH($A76),"00")&amp;"-"&amp;TEXT(DAY($A76),"00"))),"")</f>
        <v>59.9</v>
      </c>
      <c r="E76" s="3">
        <f>IFERROR(IF(_xlfn.MINIFS(history!$H:$H,history!$C:$C,"tim",history!$D:$D,"postpaid",history!$A:$A,YEAR($A76)&amp;"-"&amp;TEXT(MONTH($A76),"00")&amp;"-"&amp;TEXT(DAY($A76),"00"))=0,"",_xlfn.MINIFS(history!$H:$H,history!$C:$C,"tim",history!$D:$D,"postpaid",history!$A:$A,YEAR($A76)&amp;"-"&amp;TEXT(MONTH($A76),"00")&amp;"-"&amp;TEXT(DAY($A76),"00"))),"")</f>
        <v>119.99</v>
      </c>
      <c r="F76" s="3">
        <f>IFERROR(IF(_xlfn.MINIFS(history!$H:$H,history!$C:$C,"vivo",history!$D:$D,"postpaid",history!$A:$A,YEAR($A76)&amp;"-"&amp;TEXT(MONTH($A76),"00")&amp;"-"&amp;TEXT(DAY($A76),"00"))=0,"",_xlfn.MINIFS(history!$H:$H,history!$C:$C,"vivo",history!$D:$D,"postpaid",history!$A:$A,YEAR($A76)&amp;"-"&amp;TEXT(MONTH($A76),"00")&amp;"-"&amp;TEXT(DAY($A76),"00"))),"")</f>
        <v>150</v>
      </c>
      <c r="G76" s="3">
        <f>IFERROR(IF(_xlfn.MINIFS(history!$H:$H,history!$C:$C,"claro",history!$D:$D,"postpaid",history!$A:$A,YEAR($A76)&amp;"-"&amp;TEXT(MONTH($A76),"00")&amp;"-"&amp;TEXT(DAY($A76),"00"))=0,"",_xlfn.MINIFS(history!$H:$H,history!$C:$C,"claro",history!$D:$D,"postpaid",history!$A:$A,YEAR($A76)&amp;"-"&amp;TEXT(MONTH($A76),"00")&amp;"-"&amp;TEXT(DAY($A76),"00"))),"")</f>
        <v>124.9</v>
      </c>
      <c r="H76" s="3">
        <f>IFERROR(IF(_xlfn.MINIFS(history!$H:$H,history!$C:$C,"tim",history!$D:$D,"prepaid",history!$A:$A,YEAR($A76)&amp;"-"&amp;TEXT(MONTH($A76),"00")&amp;"-"&amp;TEXT(DAY($A76),"00"),history!$N:$N,"&gt;=28")=0,"",_xlfn.MINIFS(history!$H:$H,history!$C:$C,"tim",history!$D:$D,"prepaid",history!$A:$A,YEAR($A76)&amp;"-"&amp;TEXT(MONTH($A76),"00")&amp;"-"&amp;TEXT(DAY($A76),"00"),history!$N:$N,"&gt;=28")),"")</f>
        <v>30</v>
      </c>
      <c r="I76" s="3">
        <f>IFERROR(IF(_xlfn.MINIFS(history!$H:$H,history!$C:$C,"vivo",history!$D:$D,"prepaid",history!$A:$A,YEAR($A76)&amp;"-"&amp;TEXT(MONTH($A76),"00")&amp;"-"&amp;TEXT(DAY($A76),"00"),history!$N:$N,"&gt;=28")=0,"",_xlfn.MINIFS(history!$H:$H,history!$C:$C,"vivo",history!$D:$D,"prepaid",history!$A:$A,YEAR($A76)&amp;"-"&amp;TEXT(MONTH($A76),"00")&amp;"-"&amp;TEXT(DAY($A76),"00"),history!$N:$N,"&gt;=28")),"")</f>
        <v>30</v>
      </c>
      <c r="J76" s="3">
        <f>IFERROR(IF(_xlfn.MINIFS(history!$H:$H,history!$C:$C,"claro",history!$D:$D,"prepaid",history!$A:$A,YEAR($A76)&amp;"-"&amp;TEXT(MONTH($A76),"00")&amp;"-"&amp;TEXT(DAY($A76),"00"),history!$N:$N,"&gt;=28")=0,"",_xlfn.MINIFS(history!$H:$H,history!$C:$C,"claro",history!$D:$D,"prepaid",history!$A:$A,YEAR($A76)&amp;"-"&amp;TEXT(MONTH($A76),"00")&amp;"-"&amp;TEXT(DAY($A76),"00"),history!$N:$N,"&gt;=28")),"")</f>
        <v>30</v>
      </c>
      <c r="K76" s="3">
        <f>IFERROR(1/MAX(IFERROR(1/_xlfn.MINIFS(history!$H:$H,history!$C:$C,"tim",history!$D:$D,"lite",history!$A:$A,YEAR($A76)&amp;"-"&amp;TEXT(MONTH($A76),"00")&amp;"-"&amp;TEXT(DAY($A76),"00"),history!$S:$S,"&gt;0"),0),IFERROR(1/_xlfn.MINIFS(history!$H:$H,history!$C:$C,"tim",history!$D:$D,"flex",history!$A:$A,YEAR($A76)&amp;"-"&amp;TEXT(MONTH($A76),"00")&amp;"-"&amp;TEXT(DAY($A76),"00")),0),IFERROR(1/_xlfn.MINIFS(history!$H:$H,history!$C:$C,"tim",history!$D:$D,"fit",history!$A:$A,YEAR($A76)&amp;"-"&amp;TEXT(MONTH($A76),"00")&amp;"-"&amp;TEXT(DAY($A76),"00"),history!$S:$S,"="),0)),"")</f>
        <v>20</v>
      </c>
      <c r="L76" s="3">
        <f>IFERROR(1/MAX(IFERROR(1/_xlfn.MINIFS(history!$H:$H,history!$C:$C,"vivo",history!$D:$D,"lite",history!$A:$A,YEAR($A76)&amp;"-"&amp;TEXT(MONTH($A76),"00")&amp;"-"&amp;TEXT(DAY($A76),"00"),history!$S:$S,"&gt;0"),0),IFERROR(1/_xlfn.MINIFS(history!$H:$H,history!$C:$C,"vivo",history!$D:$D,"flex",history!$A:$A,YEAR($A76)&amp;"-"&amp;TEXT(MONTH($A76),"00")&amp;"-"&amp;TEXT(DAY($A76),"00")),0),IFERROR(1/_xlfn.MINIFS(history!$H:$H,history!$C:$C,"vivo",history!$D:$D,"fit",history!$A:$A,YEAR($A76)&amp;"-"&amp;TEXT(MONTH($A76),"00")&amp;"-"&amp;TEXT(DAY($A76),"00"),history!$S:$S,"="),0)),"")</f>
        <v>45</v>
      </c>
      <c r="M76" s="3">
        <f>IFERROR(1/MAX(IFERROR(1/_xlfn.MINIFS(history!$H:$H,history!$C:$C,"claro",history!$D:$D,"lite",history!$A:$A,YEAR($A76)&amp;"-"&amp;TEXT(MONTH($A76),"00")&amp;"-"&amp;TEXT(DAY($A76),"00"),history!$S:$S,"&gt;0"),0),IFERROR(1/_xlfn.MINIFS(history!$H:$H,history!$C:$C,"claro",history!$D:$D,"flex",history!$A:$A,YEAR($A76)&amp;"-"&amp;TEXT(MONTH($A76),"00")&amp;"-"&amp;TEXT(DAY($A76),"00")),0),IFERROR(1/_xlfn.MINIFS(history!$H:$H,history!$C:$C,"claro",history!$D:$D,"fit",history!$A:$A,YEAR($A76)&amp;"-"&amp;TEXT(MONTH($A76),"00")&amp;"-"&amp;TEXT(DAY($A76),"00"),history!$S:$S,"="),0)),"")</f>
        <v>44.9</v>
      </c>
    </row>
    <row r="78">
      <c r="A78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9">
      <c r="A79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6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6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6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6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IF('comparison'!B76="",NA(),'comparison'!B76)</f>
        <v/>
      </c>
      <c r="R38" s="10">
        <f>IF('comparison'!C76="",NA(),'comparison'!C76)</f>
        <v/>
      </c>
      <c r="S38" s="10">
        <f>IF('comparison'!D76="",NA(),'comparison'!D76)</f>
        <v/>
      </c>
    </row>
    <row r="39">
      <c r="P39" s="2" t="inlineStr">
        <is>
          <t>Post</t>
        </is>
      </c>
      <c r="Q39" s="10">
        <f>IF('comparison'!E76="",NA(),'comparison'!E76)</f>
        <v/>
      </c>
      <c r="R39" s="10">
        <f>IF('comparison'!F76="",NA(),'comparison'!F76)</f>
        <v/>
      </c>
      <c r="S39" s="10">
        <f>IF('comparison'!G76="",NA(),'comparison'!G76)</f>
        <v/>
      </c>
    </row>
    <row r="40">
      <c r="P40" s="2" t="inlineStr">
        <is>
          <t>Pre</t>
        </is>
      </c>
      <c r="Q40" s="10">
        <f>IF('comparison'!H76="",NA(),'comparison'!H76)</f>
        <v/>
      </c>
      <c r="R40" s="10">
        <f>IF('comparison'!I76="",NA(),'comparison'!I76)</f>
        <v/>
      </c>
      <c r="S40" s="10">
        <f>IF('comparison'!J76="",NA(),'comparison'!J76)</f>
        <v/>
      </c>
    </row>
    <row r="41">
      <c r="P41" s="2" t="inlineStr">
        <is>
          <t>Digital</t>
        </is>
      </c>
      <c r="Q41" s="10">
        <f>IF('comparison'!K76="",NA(),'comparison'!K76)</f>
        <v/>
      </c>
      <c r="R41" s="10">
        <f>IF('comparison'!L76="",NA(),'comparison'!L76)</f>
        <v/>
      </c>
      <c r="S41" s="10">
        <f>IF('comparison'!M76="",NA(),'comparison'!M76)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Premium 110GB (110GB)</t>
        </is>
      </c>
    </row>
    <row r="10">
      <c r="A10" s="5" t="n">
        <v>6</v>
      </c>
      <c r="B10" s="6" t="n">
        <v>180</v>
      </c>
      <c r="C10" s="15" t="n"/>
      <c r="D10" s="6" t="n">
        <v>164.99</v>
      </c>
      <c r="E10" s="5" t="inlineStr">
        <is>
          <t>Vivo Pós com Premiere (60GB)</t>
        </is>
      </c>
      <c r="F10" s="15" t="n"/>
      <c r="G10" s="5" t="inlineStr">
        <is>
          <t>TIM Black C Express 107GB (107GB)</t>
        </is>
      </c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Premium 110GB</t>
        </is>
      </c>
      <c r="B7" s="3" t="n">
        <v>159.99</v>
      </c>
      <c r="C7" s="3" t="n"/>
      <c r="D7" s="2" t="inlineStr">
        <is>
          <t>110 GB</t>
        </is>
      </c>
      <c r="E7" s="2" t="n"/>
      <c r="F7" s="2" t="n"/>
      <c r="G7" s="2" t="n"/>
      <c r="H7" s="2" t="n"/>
    </row>
    <row r="8">
      <c r="A8" s="5" t="inlineStr">
        <is>
          <t>TIM Black C Express 107GB</t>
        </is>
      </c>
      <c r="B8" s="6" t="n">
        <v>164.99</v>
      </c>
      <c r="C8" s="6" t="n"/>
      <c r="D8" s="5" t="inlineStr">
        <is>
          <t>107 GB</t>
        </is>
      </c>
      <c r="E8" s="5" t="n"/>
      <c r="F8" s="5" t="n"/>
      <c r="G8" s="5" t="n"/>
      <c r="H8" s="5" t="n"/>
    </row>
    <row r="9">
      <c r="A9" s="16" t="inlineStr">
        <is>
          <t>Control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TIM Controle 45GB</t>
        </is>
      </c>
      <c r="B10" s="3" t="n">
        <v>49.99</v>
      </c>
      <c r="C10" s="3" t="n"/>
      <c r="D10" s="2" t="inlineStr">
        <is>
          <t>45 GB</t>
        </is>
      </c>
      <c r="E10" s="2" t="n"/>
      <c r="F10" s="2" t="n"/>
      <c r="G10" s="2" t="n"/>
      <c r="H10" s="2" t="n"/>
    </row>
    <row r="11">
      <c r="A11" s="5" t="inlineStr">
        <is>
          <t>TIM Controle Redes Sociais 46GB</t>
        </is>
      </c>
      <c r="B11" s="6" t="n">
        <v>59.99</v>
      </c>
      <c r="C11" s="6" t="n"/>
      <c r="D11" s="5" t="inlineStr">
        <is>
          <t>46 GB</t>
        </is>
      </c>
      <c r="E11" s="5" t="n"/>
      <c r="F11" s="5" t="n"/>
      <c r="G11" s="5" t="n"/>
      <c r="H11" s="5" t="n"/>
    </row>
    <row r="12">
      <c r="A12" s="2" t="inlineStr">
        <is>
          <t>TIM Controle Light Express 45GB</t>
        </is>
      </c>
      <c r="B12" s="3" t="n">
        <v>60.99</v>
      </c>
      <c r="C12" s="3" t="n"/>
      <c r="D12" s="2" t="inlineStr">
        <is>
          <t>45 GB</t>
        </is>
      </c>
      <c r="E12" s="2" t="n"/>
      <c r="F12" s="2" t="n"/>
      <c r="G12" s="2" t="n"/>
      <c r="H12" s="2" t="n"/>
    </row>
    <row r="13">
      <c r="A13" s="5" t="inlineStr">
        <is>
          <t>TIM Controle Pro Express 46GB</t>
        </is>
      </c>
      <c r="B13" s="6" t="n">
        <v>64.98999999999999</v>
      </c>
      <c r="C13" s="6" t="n"/>
      <c r="D13" s="5" t="inlineStr">
        <is>
          <t>46 GB</t>
        </is>
      </c>
      <c r="E13" s="5" t="n"/>
      <c r="F13" s="5" t="n"/>
      <c r="G13" s="5" t="n"/>
      <c r="H13" s="5" t="n"/>
    </row>
    <row r="14">
      <c r="A14" s="2" t="inlineStr">
        <is>
          <t>TIM Controle Premium 55GB</t>
        </is>
      </c>
      <c r="B14" s="3" t="n">
        <v>69.98999999999999</v>
      </c>
      <c r="C14" s="3" t="n"/>
      <c r="D14" s="2" t="inlineStr">
        <is>
          <t>55 GB</t>
        </is>
      </c>
      <c r="E14" s="2" t="n"/>
      <c r="F14" s="2" t="n"/>
      <c r="G14" s="2" t="n"/>
      <c r="H14" s="2" t="n"/>
    </row>
    <row r="15">
      <c r="A15" s="16" t="inlineStr">
        <is>
          <t>Digital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TIM Controle Fit Anual 1.0</t>
        </is>
      </c>
      <c r="B16" s="3" t="n">
        <v>20</v>
      </c>
      <c r="C16" s="3" t="n"/>
      <c r="D16" s="2" t="inlineStr">
        <is>
          <t>25 GB</t>
        </is>
      </c>
      <c r="E16" s="2" t="n"/>
      <c r="F16" s="2" t="n"/>
      <c r="G16" s="2" t="n"/>
      <c r="H16" s="2" t="inlineStr">
        <is>
          <t>plano anual 12x no cartão de crédito; a etiqueta TIM informa 'sem prazo de permanência'</t>
        </is>
      </c>
    </row>
    <row r="17">
      <c r="A17" s="5" t="inlineStr">
        <is>
          <t>TIM Controle Fit Mensal 1.0</t>
        </is>
      </c>
      <c r="B17" s="6" t="n">
        <v>20</v>
      </c>
      <c r="C17" s="6" t="n"/>
      <c r="D17" s="5" t="inlineStr">
        <is>
          <t>20 GB</t>
        </is>
      </c>
      <c r="E17" s="5" t="n"/>
      <c r="F17" s="5" t="n"/>
      <c r="G17" s="5" t="n"/>
      <c r="H17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8">
      <c r="A18" s="2" t="inlineStr">
        <is>
          <t>TIM Controle Fit Anual 2.0</t>
        </is>
      </c>
      <c r="B18" s="3" t="n">
        <v>30</v>
      </c>
      <c r="C18" s="3" t="n"/>
      <c r="D18" s="2" t="inlineStr">
        <is>
          <t>35 GB</t>
        </is>
      </c>
      <c r="E18" s="2" t="n"/>
      <c r="F18" s="2" t="n"/>
      <c r="G18" s="2" t="n"/>
      <c r="H18" s="2" t="inlineStr">
        <is>
          <t>plano anual 12x no cartão de crédito; a etiqueta TIM informa 'sem prazo de permanência'</t>
        </is>
      </c>
    </row>
    <row r="19">
      <c r="A19" s="5" t="inlineStr">
        <is>
          <t>TIM Controle Fit Mensal 2.0</t>
        </is>
      </c>
      <c r="B19" s="6" t="n">
        <v>45</v>
      </c>
      <c r="C19" s="6" t="n"/>
      <c r="D19" s="5" t="inlineStr">
        <is>
          <t>35 GB</t>
        </is>
      </c>
      <c r="E19" s="5" t="n"/>
      <c r="F19" s="5" t="n"/>
      <c r="G19" s="5" t="n"/>
      <c r="H19" s="5" t="inlineStr">
        <is>
          <t>plano mensal, sem prazo de permanência; a etiqueta TIM informa 'sem prazo de permanência'</t>
        </is>
      </c>
    </row>
    <row r="20">
      <c r="A20" s="16" t="inlineStr">
        <is>
          <t>Prepaid</t>
        </is>
      </c>
      <c r="B20" s="17" t="n"/>
      <c r="C20" s="17" t="n"/>
      <c r="D20" s="17" t="n"/>
      <c r="E20" s="17" t="n"/>
      <c r="F20" s="17" t="n"/>
      <c r="G20" s="17" t="n"/>
      <c r="H20" s="17" t="n"/>
    </row>
    <row r="21">
      <c r="A21" s="2" t="inlineStr">
        <is>
          <t>TIM Pré XIP Plus 6GB</t>
        </is>
      </c>
      <c r="B21" s="3" t="n">
        <v>20</v>
      </c>
      <c r="C21" s="3" t="n"/>
      <c r="D21" s="2" t="inlineStr">
        <is>
          <t>6 GB · 17d</t>
        </is>
      </c>
      <c r="E21" s="2" t="n"/>
      <c r="F21" s="2" t="n"/>
      <c r="G21" s="2" t="n"/>
      <c r="H21" s="2" t="n"/>
    </row>
    <row r="22">
      <c r="A22" s="5" t="inlineStr">
        <is>
          <t>TIM Pré XIP Plus 8GB</t>
        </is>
      </c>
      <c r="B22" s="6" t="n">
        <v>25</v>
      </c>
      <c r="C22" s="6" t="n"/>
      <c r="D22" s="5" t="inlineStr">
        <is>
          <t>8 GB · 22d</t>
        </is>
      </c>
      <c r="E22" s="5" t="n"/>
      <c r="F22" s="5" t="n"/>
      <c r="G22" s="5" t="n"/>
      <c r="H22" s="5" t="n"/>
    </row>
    <row r="23">
      <c r="A23" s="2" t="inlineStr">
        <is>
          <t>TIM Pré XIP Plus 16GB</t>
        </is>
      </c>
      <c r="B23" s="3" t="n">
        <v>30</v>
      </c>
      <c r="C23" s="3" t="n"/>
      <c r="D23" s="2" t="inlineStr">
        <is>
          <t>16 GB · 30d</t>
        </is>
      </c>
      <c r="E23" s="2" t="n"/>
      <c r="F23" s="2" t="n"/>
      <c r="G23" s="2" t="n"/>
      <c r="H23" s="2" t="n"/>
    </row>
  </sheetData>
  <conditionalFormatting sqref="B3:B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B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6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B2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85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2026-09-04T19:45:10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2026-09-04T19:45:10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2026-09-04T19:45:10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2026-09-04T19:45:10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2026-09-04T19:45:10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2026-09-04T19:45:10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2026-09-04T19:45:10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2026-09-04T19:45:10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2026-09-04T19:45:10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2026-09-04T19:45:10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2026-09-04T19:45:10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2026-09-04T19:45:10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2026-09-04T19:45:10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2026-09-04T19:45:10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2026-09-04T19:45:10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2026-09-04T19:45:10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2026-09-04T19:45:10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2026-09-04T19:45:10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2026-09-04T19:45:10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2026-09-04T19:45:10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2026-09-04T19:45:10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2026-09-04T19:45:10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2026-09-04T19:45:10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2026-09-04T19:45:10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2026-09-04T19:45:10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2026-09-04T19:45:10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2026-09-04T19:45:10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2026-09-04T19:45:10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  <row r="811">
      <c r="A811" s="5" t="inlineStr">
        <is>
          <t>2026-09-05</t>
        </is>
      </c>
      <c r="B811" s="5" t="inlineStr">
        <is>
          <t>2026-09-05T19:37:33</t>
        </is>
      </c>
      <c r="C811" s="5" t="inlineStr">
        <is>
          <t>claro</t>
        </is>
      </c>
      <c r="D811" s="5" t="inlineStr">
        <is>
          <t>SP</t>
        </is>
      </c>
      <c r="E811" s="5" t="inlineStr">
        <is>
          <t>1 Giga com Globoplay incluso + Claro tv+ Box + Disney+ Amazon Prime + Netflix + HBO Max + Apple TV + Globoplay</t>
        </is>
      </c>
      <c r="F811" s="5" t="inlineStr">
        <is>
          <t>claro:af8152be-4aa7-4aa8-819a-a79687a3a9a0</t>
        </is>
      </c>
      <c r="G811" s="6" t="n">
        <v>319.8</v>
      </c>
      <c r="H811" s="6" t="inlineStr"/>
      <c r="I811" s="5" t="inlineStr"/>
      <c r="J811" s="5" t="inlineStr"/>
      <c r="K811" s="5" t="inlineStr">
        <is>
          <t>tab: Fibra + TV</t>
        </is>
      </c>
      <c r="L811" s="5" t="inlineStr">
        <is>
          <t>broadband+tv</t>
        </is>
      </c>
      <c r="M811" s="5" t="inlineStr">
        <is>
          <t>Fiber + TV</t>
        </is>
      </c>
      <c r="N811" s="5" t="b">
        <v>0</v>
      </c>
      <c r="O811" s="5" t="b">
        <v>1</v>
      </c>
      <c r="P811" s="5" t="b">
        <v>1</v>
      </c>
      <c r="Q811" s="5" t="b">
        <v>0</v>
      </c>
      <c r="R811" s="7" t="n">
        <v>1000</v>
      </c>
      <c r="S811" s="7" t="inlineStr"/>
      <c r="T811" s="7" t="inlineStr"/>
      <c r="U811" s="5" t="inlineStr">
        <is>
          <t>Claro tv+ Box + Disney+ Amazon Prime + Netflix + HBO Max + Apple TV + Globoplay</t>
        </is>
      </c>
      <c r="V811" s="5" t="inlineStr"/>
      <c r="W811" s="5" t="inlineStr"/>
      <c r="X811" s="5" t="inlineStr"/>
      <c r="Y811" s="5" t="inlineStr">
        <is>
          <t>https://www.claro.com.br/multi</t>
        </is>
      </c>
      <c r="Z811" s="5" t="inlineStr">
        <is>
          <t>data/raw/claro_convergent_multi_SP.html</t>
        </is>
      </c>
    </row>
    <row r="812">
      <c r="A812" s="2" t="inlineStr">
        <is>
          <t>2026-09-05</t>
        </is>
      </c>
      <c r="B812" s="2" t="inlineStr">
        <is>
          <t>2026-09-05T19:37:33</t>
        </is>
      </c>
      <c r="C812" s="2" t="inlineStr">
        <is>
          <t>claro</t>
        </is>
      </c>
      <c r="D812" s="2" t="inlineStr">
        <is>
          <t>SP</t>
        </is>
      </c>
      <c r="E812" s="2" t="inlineStr">
        <is>
          <t>1 Giga com Globoplay incluso + Claro tv+ Soundbox + Disney+ Amazon Prime + Netflix + HBO Max + Apple TV + Globoplay</t>
        </is>
      </c>
      <c r="F812" s="2" t="inlineStr">
        <is>
          <t>claro:ceb9fd87-0897-4dd2-a2f2-e7f09e714e49</t>
        </is>
      </c>
      <c r="G812" s="3" t="n">
        <v>429.8</v>
      </c>
      <c r="H812" s="3" t="inlineStr"/>
      <c r="I812" s="2" t="inlineStr"/>
      <c r="J812" s="2" t="inlineStr"/>
      <c r="K812" s="2" t="inlineStr">
        <is>
          <t>tab: Fibra + TV</t>
        </is>
      </c>
      <c r="L812" s="2" t="inlineStr">
        <is>
          <t>broadband+tv</t>
        </is>
      </c>
      <c r="M812" s="2" t="inlineStr">
        <is>
          <t>Fiber + TV</t>
        </is>
      </c>
      <c r="N812" s="2" t="b">
        <v>0</v>
      </c>
      <c r="O812" s="2" t="b">
        <v>1</v>
      </c>
      <c r="P812" s="2" t="b">
        <v>1</v>
      </c>
      <c r="Q812" s="2" t="b">
        <v>0</v>
      </c>
      <c r="R812" s="4" t="n">
        <v>1000</v>
      </c>
      <c r="S812" s="4" t="inlineStr"/>
      <c r="T812" s="4" t="inlineStr"/>
      <c r="U812" s="2" t="inlineStr">
        <is>
          <t>Claro tv+ Soundbox + Disney+ Amazon Prime + Netflix + HBO Max + Apple TV + Globoplay</t>
        </is>
      </c>
      <c r="V812" s="2" t="inlineStr"/>
      <c r="W812" s="2" t="inlineStr"/>
      <c r="X812" s="2" t="inlineStr"/>
      <c r="Y812" s="2" t="inlineStr">
        <is>
          <t>https://www.claro.com.br/multi</t>
        </is>
      </c>
      <c r="Z812" s="2" t="inlineStr">
        <is>
          <t>data/raw/claro_convergent_multi_SP.html</t>
        </is>
      </c>
    </row>
    <row r="813">
      <c r="A813" s="5" t="inlineStr">
        <is>
          <t>2026-09-05</t>
        </is>
      </c>
      <c r="B813" s="5" t="inlineStr">
        <is>
          <t>2026-09-05T19:37:33</t>
        </is>
      </c>
      <c r="C813" s="5" t="inlineStr">
        <is>
          <t>claro</t>
        </is>
      </c>
      <c r="D813" s="5" t="inlineStr">
        <is>
          <t>SP</t>
        </is>
      </c>
      <c r="E813" s="5" t="inlineStr">
        <is>
          <t>1 Giga com Globoplay incluso + Pós 100GB</t>
        </is>
      </c>
      <c r="F813" s="5" t="inlineStr">
        <is>
          <t>claro:a1de0ac1-61bb-4e97-a744-1ae4c3541673</t>
        </is>
      </c>
      <c r="G813" s="6" t="n">
        <v>179.9</v>
      </c>
      <c r="H813" s="6" t="inlineStr"/>
      <c r="I813" s="5" t="inlineStr"/>
      <c r="J813" s="5" t="inlineStr"/>
      <c r="K813" s="5" t="inlineStr">
        <is>
          <t>tab: Fibra + Móvel</t>
        </is>
      </c>
      <c r="L813" s="5" t="inlineStr">
        <is>
          <t>mobile+broadband</t>
        </is>
      </c>
      <c r="M813" s="5" t="inlineStr">
        <is>
          <t>Fiber + Mobile</t>
        </is>
      </c>
      <c r="N813" s="5" t="b">
        <v>1</v>
      </c>
      <c r="O813" s="5" t="b">
        <v>1</v>
      </c>
      <c r="P813" s="5" t="b">
        <v>0</v>
      </c>
      <c r="Q813" s="5" t="b">
        <v>0</v>
      </c>
      <c r="R813" s="7" t="n">
        <v>1000</v>
      </c>
      <c r="S813" s="7" t="n">
        <v>100</v>
      </c>
      <c r="T813" s="7" t="n">
        <v>1</v>
      </c>
      <c r="U813" s="5" t="inlineStr"/>
      <c r="V813" s="5" t="inlineStr"/>
      <c r="W813" s="5" t="inlineStr"/>
      <c r="X813" s="5" t="inlineStr">
        <is>
          <t>Pós 100GB</t>
        </is>
      </c>
      <c r="Y813" s="5" t="inlineStr">
        <is>
          <t>https://www.claro.com.br/multi</t>
        </is>
      </c>
      <c r="Z813" s="5" t="inlineStr">
        <is>
          <t>data/raw/claro_convergent_multi_SP.html</t>
        </is>
      </c>
    </row>
    <row r="814">
      <c r="A814" s="2" t="inlineStr">
        <is>
          <t>2026-09-05</t>
        </is>
      </c>
      <c r="B814" s="2" t="inlineStr">
        <is>
          <t>2026-09-05T19:37:33</t>
        </is>
      </c>
      <c r="C814" s="2" t="inlineStr">
        <is>
          <t>claro</t>
        </is>
      </c>
      <c r="D814" s="2" t="inlineStr">
        <is>
          <t>SP</t>
        </is>
      </c>
      <c r="E814" s="2" t="inlineStr">
        <is>
          <t>1 Giga com Globoplay incluso + Pós 100GB + Claro tv+ Box + Disney+ Amazon Prime + Netflix + HBO Max + Apple TV + Globoplay</t>
        </is>
      </c>
      <c r="F814" s="2" t="inlineStr">
        <is>
          <t>claro:548c4bad-7857-4c0c-94d5-45d33d66c57f</t>
        </is>
      </c>
      <c r="G814" s="3" t="n">
        <v>289.8</v>
      </c>
      <c r="H814" s="3" t="inlineStr"/>
      <c r="I814" s="2" t="inlineStr"/>
      <c r="J814" s="2" t="inlineStr"/>
      <c r="K814" s="2" t="inlineStr">
        <is>
          <t>tab: Fibra + Móvel + TV</t>
        </is>
      </c>
      <c r="L814" s="2" t="inlineStr">
        <is>
          <t>mobile+broadband+tv</t>
        </is>
      </c>
      <c r="M814" s="2" t="inlineStr">
        <is>
          <t>Fiber + Mobile + TV</t>
        </is>
      </c>
      <c r="N814" s="2" t="b">
        <v>1</v>
      </c>
      <c r="O814" s="2" t="b">
        <v>1</v>
      </c>
      <c r="P814" s="2" t="b">
        <v>1</v>
      </c>
      <c r="Q814" s="2" t="b">
        <v>0</v>
      </c>
      <c r="R814" s="4" t="n">
        <v>1000</v>
      </c>
      <c r="S814" s="4" t="n">
        <v>100</v>
      </c>
      <c r="T814" s="4" t="n">
        <v>1</v>
      </c>
      <c r="U814" s="2" t="inlineStr">
        <is>
          <t>Claro tv+ Box + Disney+ Amazon Prime + Netflix + HBO Max + Apple TV + Globoplay</t>
        </is>
      </c>
      <c r="V814" s="2" t="inlineStr"/>
      <c r="W814" s="2" t="inlineStr"/>
      <c r="X814" s="2" t="inlineStr">
        <is>
          <t>Pós 100GB</t>
        </is>
      </c>
      <c r="Y814" s="2" t="inlineStr">
        <is>
          <t>https://www.claro.com.br/multi</t>
        </is>
      </c>
      <c r="Z814" s="2" t="inlineStr">
        <is>
          <t>data/raw/claro_convergent_multi_SP.html</t>
        </is>
      </c>
    </row>
    <row r="815">
      <c r="A815" s="5" t="inlineStr">
        <is>
          <t>2026-09-05</t>
        </is>
      </c>
      <c r="B815" s="5" t="inlineStr">
        <is>
          <t>2026-09-05T19:37:33</t>
        </is>
      </c>
      <c r="C815" s="5" t="inlineStr">
        <is>
          <t>claro</t>
        </is>
      </c>
      <c r="D815" s="5" t="inlineStr">
        <is>
          <t>SP</t>
        </is>
      </c>
      <c r="E815" s="5" t="inlineStr">
        <is>
          <t>1 Giga com Globoplay incluso + Pós 150GB</t>
        </is>
      </c>
      <c r="F815" s="5" t="inlineStr">
        <is>
          <t>claro:d47e2a3b-dfd0-410e-9c24-d07a334d01d4</t>
        </is>
      </c>
      <c r="G815" s="6" t="n">
        <v>299.9</v>
      </c>
      <c r="H815" s="6" t="inlineStr"/>
      <c r="I815" s="5" t="inlineStr"/>
      <c r="J815" s="5" t="inlineStr"/>
      <c r="K815" s="5" t="inlineStr">
        <is>
          <t>tab: Fibra + Móvel</t>
        </is>
      </c>
      <c r="L815" s="5" t="inlineStr">
        <is>
          <t>mobile+broadband</t>
        </is>
      </c>
      <c r="M815" s="5" t="inlineStr">
        <is>
          <t>Fiber + Mobile</t>
        </is>
      </c>
      <c r="N815" s="5" t="b">
        <v>1</v>
      </c>
      <c r="O815" s="5" t="b">
        <v>1</v>
      </c>
      <c r="P815" s="5" t="b">
        <v>0</v>
      </c>
      <c r="Q815" s="5" t="b">
        <v>0</v>
      </c>
      <c r="R815" s="7" t="n">
        <v>1000</v>
      </c>
      <c r="S815" s="7" t="n">
        <v>150</v>
      </c>
      <c r="T815" s="7" t="n">
        <v>2</v>
      </c>
      <c r="U815" s="5" t="inlineStr"/>
      <c r="V815" s="5" t="inlineStr"/>
      <c r="W815" s="5" t="inlineStr"/>
      <c r="X815" s="5" t="inlineStr">
        <is>
          <t>Pós 150GB</t>
        </is>
      </c>
      <c r="Y815" s="5" t="inlineStr">
        <is>
          <t>https://www.claro.com.br/multi</t>
        </is>
      </c>
      <c r="Z815" s="5" t="inlineStr">
        <is>
          <t>data/raw/claro_convergent_multi_SP.html</t>
        </is>
      </c>
    </row>
    <row r="816">
      <c r="A816" s="2" t="inlineStr">
        <is>
          <t>2026-09-05</t>
        </is>
      </c>
      <c r="B816" s="2" t="inlineStr">
        <is>
          <t>2026-09-05T19:37:33</t>
        </is>
      </c>
      <c r="C816" s="2" t="inlineStr">
        <is>
          <t>claro</t>
        </is>
      </c>
      <c r="D816" s="2" t="inlineStr">
        <is>
          <t>SP</t>
        </is>
      </c>
      <c r="E816" s="2" t="inlineStr">
        <is>
          <t>1 Giga com Globoplay incluso + Pós 150GB + Claro tv+ Box + Disney+ Amazon Prime + Netflix + HBO Max + Apple TV + Globoplay</t>
        </is>
      </c>
      <c r="F816" s="2" t="inlineStr">
        <is>
          <t>claro:7785b449-69f2-4234-9e24-8837e32a55c0</t>
        </is>
      </c>
      <c r="G816" s="3" t="n">
        <v>409.8</v>
      </c>
      <c r="H816" s="3" t="inlineStr"/>
      <c r="I816" s="2" t="inlineStr"/>
      <c r="J816" s="2" t="inlineStr"/>
      <c r="K816" s="2" t="inlineStr">
        <is>
          <t>tab: Fibra + Móvel + TV</t>
        </is>
      </c>
      <c r="L816" s="2" t="inlineStr">
        <is>
          <t>mobile+broadband+tv</t>
        </is>
      </c>
      <c r="M816" s="2" t="inlineStr">
        <is>
          <t>Fiber + Mobile + TV</t>
        </is>
      </c>
      <c r="N816" s="2" t="b">
        <v>1</v>
      </c>
      <c r="O816" s="2" t="b">
        <v>1</v>
      </c>
      <c r="P816" s="2" t="b">
        <v>1</v>
      </c>
      <c r="Q816" s="2" t="b">
        <v>0</v>
      </c>
      <c r="R816" s="4" t="n">
        <v>1000</v>
      </c>
      <c r="S816" s="4" t="n">
        <v>150</v>
      </c>
      <c r="T816" s="4" t="n">
        <v>1</v>
      </c>
      <c r="U816" s="2" t="inlineStr">
        <is>
          <t>Claro tv+ Box + Disney+ Amazon Prime + Netflix + HBO Max + Apple TV + Globoplay</t>
        </is>
      </c>
      <c r="V816" s="2" t="inlineStr"/>
      <c r="W816" s="2" t="inlineStr"/>
      <c r="X816" s="2" t="inlineStr">
        <is>
          <t>Pós 150GB</t>
        </is>
      </c>
      <c r="Y816" s="2" t="inlineStr">
        <is>
          <t>https://www.claro.com.br/multi</t>
        </is>
      </c>
      <c r="Z816" s="2" t="inlineStr">
        <is>
          <t>data/raw/claro_convergent_multi_SP.html</t>
        </is>
      </c>
    </row>
    <row r="817">
      <c r="A817" s="5" t="inlineStr">
        <is>
          <t>2026-09-05</t>
        </is>
      </c>
      <c r="B817" s="5" t="inlineStr">
        <is>
          <t>2026-09-05T19:37:33</t>
        </is>
      </c>
      <c r="C817" s="5" t="inlineStr">
        <is>
          <t>claro</t>
        </is>
      </c>
      <c r="D817" s="5" t="inlineStr">
        <is>
          <t>SP</t>
        </is>
      </c>
      <c r="E817" s="5" t="inlineStr">
        <is>
          <t>1 Giga com Globoplay incluso + Pós 200GB</t>
        </is>
      </c>
      <c r="F817" s="5" t="inlineStr">
        <is>
          <t>claro:1961a62d-3213-4ff0-a152-401a45c5b1b5</t>
        </is>
      </c>
      <c r="G817" s="6" t="n">
        <v>359.9</v>
      </c>
      <c r="H817" s="6" t="inlineStr"/>
      <c r="I817" s="5" t="inlineStr"/>
      <c r="J817" s="5" t="inlineStr"/>
      <c r="K817" s="5" t="inlineStr">
        <is>
          <t>tab: Fibra + Móvel</t>
        </is>
      </c>
      <c r="L817" s="5" t="inlineStr">
        <is>
          <t>mobile+broadband</t>
        </is>
      </c>
      <c r="M817" s="5" t="inlineStr">
        <is>
          <t>Fiber + Mobile</t>
        </is>
      </c>
      <c r="N817" s="5" t="b">
        <v>1</v>
      </c>
      <c r="O817" s="5" t="b">
        <v>1</v>
      </c>
      <c r="P817" s="5" t="b">
        <v>0</v>
      </c>
      <c r="Q817" s="5" t="b">
        <v>0</v>
      </c>
      <c r="R817" s="7" t="n">
        <v>1000</v>
      </c>
      <c r="S817" s="7" t="n">
        <v>200</v>
      </c>
      <c r="T817" s="7" t="n">
        <v>3</v>
      </c>
      <c r="U817" s="5" t="inlineStr"/>
      <c r="V817" s="5" t="inlineStr"/>
      <c r="W817" s="5" t="inlineStr"/>
      <c r="X817" s="5" t="inlineStr">
        <is>
          <t>Pós 200GB</t>
        </is>
      </c>
      <c r="Y817" s="5" t="inlineStr">
        <is>
          <t>https://www.claro.com.br/multi</t>
        </is>
      </c>
      <c r="Z817" s="5" t="inlineStr">
        <is>
          <t>data/raw/claro_convergent_multi_SP.html</t>
        </is>
      </c>
    </row>
    <row r="818">
      <c r="A818" s="2" t="inlineStr">
        <is>
          <t>2026-09-05</t>
        </is>
      </c>
      <c r="B818" s="2" t="inlineStr">
        <is>
          <t>2026-09-05T19:37:33</t>
        </is>
      </c>
      <c r="C818" s="2" t="inlineStr">
        <is>
          <t>claro</t>
        </is>
      </c>
      <c r="D818" s="2" t="inlineStr">
        <is>
          <t>SP</t>
        </is>
      </c>
      <c r="E818" s="2" t="inlineStr">
        <is>
          <t>1 Giga com Globoplay incluso + Pós 200GB + Claro tv+ Box + Disney+ Amazon Prime + Netflix + HBO Max + Apple TV + Globoplay</t>
        </is>
      </c>
      <c r="F818" s="2" t="inlineStr">
        <is>
          <t>claro:312815a2-b3a5-43bb-89a1-272d53ccb212</t>
        </is>
      </c>
      <c r="G818" s="3" t="n">
        <v>469.8</v>
      </c>
      <c r="H818" s="3" t="inlineStr"/>
      <c r="I818" s="2" t="inlineStr"/>
      <c r="J818" s="2" t="inlineStr"/>
      <c r="K818" s="2" t="inlineStr">
        <is>
          <t>tab: Fibra + Móvel + TV</t>
        </is>
      </c>
      <c r="L818" s="2" t="inlineStr">
        <is>
          <t>mobile+broadband+tv</t>
        </is>
      </c>
      <c r="M818" s="2" t="inlineStr">
        <is>
          <t>Fiber + Mobile + TV</t>
        </is>
      </c>
      <c r="N818" s="2" t="b">
        <v>1</v>
      </c>
      <c r="O818" s="2" t="b">
        <v>1</v>
      </c>
      <c r="P818" s="2" t="b">
        <v>1</v>
      </c>
      <c r="Q818" s="2" t="b">
        <v>0</v>
      </c>
      <c r="R818" s="4" t="n">
        <v>1000</v>
      </c>
      <c r="S818" s="4" t="n">
        <v>200</v>
      </c>
      <c r="T818" s="4" t="n">
        <v>1</v>
      </c>
      <c r="U818" s="2" t="inlineStr">
        <is>
          <t>Claro tv+ Box + Disney+ Amazon Prime + Netflix + HBO Max + Apple TV + Globoplay</t>
        </is>
      </c>
      <c r="V818" s="2" t="inlineStr"/>
      <c r="W818" s="2" t="inlineStr"/>
      <c r="X818" s="2" t="inlineStr">
        <is>
          <t>Pós 200GB</t>
        </is>
      </c>
      <c r="Y818" s="2" t="inlineStr">
        <is>
          <t>https://www.claro.com.br/multi</t>
        </is>
      </c>
      <c r="Z818" s="2" t="inlineStr">
        <is>
          <t>data/raw/claro_convergent_multi_SP.html</t>
        </is>
      </c>
    </row>
    <row r="819">
      <c r="A819" s="5" t="inlineStr">
        <is>
          <t>2026-09-05</t>
        </is>
      </c>
      <c r="B819" s="5" t="inlineStr">
        <is>
          <t>2026-09-05T19:37:33</t>
        </is>
      </c>
      <c r="C819" s="5" t="inlineStr">
        <is>
          <t>claro</t>
        </is>
      </c>
      <c r="D819" s="5" t="inlineStr">
        <is>
          <t>SP</t>
        </is>
      </c>
      <c r="E819" s="5" t="inlineStr">
        <is>
          <t>350 Mega com Globoplay incluso + Claro tv+ Box + Disney+ Amazon Prime + Netflix + HBO Max + Apple TV + Globoplay</t>
        </is>
      </c>
      <c r="F819" s="5" t="inlineStr">
        <is>
          <t>claro:97b00450-6f21-4349-8363-83d624b18328</t>
        </is>
      </c>
      <c r="G819" s="6" t="n">
        <v>229.8</v>
      </c>
      <c r="H819" s="6" t="inlineStr"/>
      <c r="I819" s="5" t="inlineStr"/>
      <c r="J819" s="5" t="inlineStr"/>
      <c r="K819" s="5" t="inlineStr">
        <is>
          <t>tab: Fibra + TV</t>
        </is>
      </c>
      <c r="L819" s="5" t="inlineStr">
        <is>
          <t>broadband+tv</t>
        </is>
      </c>
      <c r="M819" s="5" t="inlineStr">
        <is>
          <t>Fiber + TV</t>
        </is>
      </c>
      <c r="N819" s="5" t="b">
        <v>0</v>
      </c>
      <c r="O819" s="5" t="b">
        <v>1</v>
      </c>
      <c r="P819" s="5" t="b">
        <v>1</v>
      </c>
      <c r="Q819" s="5" t="b">
        <v>0</v>
      </c>
      <c r="R819" s="7" t="n">
        <v>350</v>
      </c>
      <c r="S819" s="7" t="inlineStr"/>
      <c r="T819" s="7" t="inlineStr"/>
      <c r="U819" s="5" t="inlineStr">
        <is>
          <t>Claro tv+ Box + Disney+ Amazon Prime + Netflix + HBO Max + Apple TV + Globoplay</t>
        </is>
      </c>
      <c r="V819" s="5" t="inlineStr"/>
      <c r="W819" s="5" t="inlineStr"/>
      <c r="X819" s="5" t="inlineStr"/>
      <c r="Y819" s="5" t="inlineStr">
        <is>
          <t>https://www.claro.com.br/multi</t>
        </is>
      </c>
      <c r="Z819" s="5" t="inlineStr">
        <is>
          <t>data/raw/claro_convergent_multi_SP.html</t>
        </is>
      </c>
    </row>
    <row r="820">
      <c r="A820" s="2" t="inlineStr">
        <is>
          <t>2026-09-05</t>
        </is>
      </c>
      <c r="B820" s="2" t="inlineStr">
        <is>
          <t>2026-09-05T19:37:33</t>
        </is>
      </c>
      <c r="C820" s="2" t="inlineStr">
        <is>
          <t>claro</t>
        </is>
      </c>
      <c r="D820" s="2" t="inlineStr">
        <is>
          <t>SP</t>
        </is>
      </c>
      <c r="E820" s="2" t="inlineStr">
        <is>
          <t>350 Mega com Globoplay incluso + Controle 40GB</t>
        </is>
      </c>
      <c r="F820" s="2" t="inlineStr">
        <is>
          <t>claro:a866ea9a-6a70-4b6e-b886-f8178086ca91</t>
        </is>
      </c>
      <c r="G820" s="3" t="n">
        <v>129.8</v>
      </c>
      <c r="H820" s="3" t="inlineStr"/>
      <c r="I820" s="2" t="inlineStr"/>
      <c r="J820" s="2" t="inlineStr">
        <is>
          <t>debit_auto</t>
        </is>
      </c>
      <c r="K820" s="2" t="inlineStr">
        <is>
          <t>tab: Fibra + Móvel; preço em débito em conta; +R$ 5.00 sem débito automático</t>
        </is>
      </c>
      <c r="L820" s="2" t="inlineStr">
        <is>
          <t>mobile+broadband</t>
        </is>
      </c>
      <c r="M820" s="2" t="inlineStr">
        <is>
          <t>Fiber + Mobile</t>
        </is>
      </c>
      <c r="N820" s="2" t="b">
        <v>1</v>
      </c>
      <c r="O820" s="2" t="b">
        <v>1</v>
      </c>
      <c r="P820" s="2" t="b">
        <v>0</v>
      </c>
      <c r="Q820" s="2" t="b">
        <v>0</v>
      </c>
      <c r="R820" s="4" t="n">
        <v>350</v>
      </c>
      <c r="S820" s="4" t="n">
        <v>40</v>
      </c>
      <c r="T820" s="4" t="n">
        <v>1</v>
      </c>
      <c r="U820" s="2" t="inlineStr"/>
      <c r="V820" s="2" t="inlineStr"/>
      <c r="W820" s="2" t="inlineStr"/>
      <c r="X820" s="2" t="inlineStr">
        <is>
          <t>Controle 40GB</t>
        </is>
      </c>
      <c r="Y820" s="2" t="inlineStr">
        <is>
          <t>https://www.claro.com.br/multi</t>
        </is>
      </c>
      <c r="Z820" s="2" t="inlineStr">
        <is>
          <t>data/raw/claro_convergent_multi_SP.html</t>
        </is>
      </c>
    </row>
    <row r="821">
      <c r="A821" s="5" t="inlineStr">
        <is>
          <t>2026-09-05</t>
        </is>
      </c>
      <c r="B821" s="5" t="inlineStr">
        <is>
          <t>2026-09-05T19:37:33</t>
        </is>
      </c>
      <c r="C821" s="5" t="inlineStr">
        <is>
          <t>claro</t>
        </is>
      </c>
      <c r="D821" s="5" t="inlineStr">
        <is>
          <t>SP</t>
        </is>
      </c>
      <c r="E821" s="5" t="inlineStr">
        <is>
          <t>350 Mega com Globoplay incluso + Pós 100GB + Claro tv+ Box + Disney+ Amazon Prime + Netflix + HBO Max + Apple TV + Globoplay</t>
        </is>
      </c>
      <c r="F821" s="5" t="inlineStr">
        <is>
          <t>claro:746fa9cf-ea2b-40de-ad2c-5803b3e0ab08</t>
        </is>
      </c>
      <c r="G821" s="6" t="n">
        <v>249.8</v>
      </c>
      <c r="H821" s="6" t="inlineStr"/>
      <c r="I821" s="5" t="inlineStr"/>
      <c r="J821" s="5" t="inlineStr"/>
      <c r="K821" s="5" t="inlineStr">
        <is>
          <t>tab: Fibra + Móvel + TV</t>
        </is>
      </c>
      <c r="L821" s="5" t="inlineStr">
        <is>
          <t>mobile+broadband+tv</t>
        </is>
      </c>
      <c r="M821" s="5" t="inlineStr">
        <is>
          <t>Fiber + Mobile + TV</t>
        </is>
      </c>
      <c r="N821" s="5" t="b">
        <v>1</v>
      </c>
      <c r="O821" s="5" t="b">
        <v>1</v>
      </c>
      <c r="P821" s="5" t="b">
        <v>1</v>
      </c>
      <c r="Q821" s="5" t="b">
        <v>0</v>
      </c>
      <c r="R821" s="7" t="n">
        <v>350</v>
      </c>
      <c r="S821" s="7" t="n">
        <v>100</v>
      </c>
      <c r="T821" s="7" t="n">
        <v>1</v>
      </c>
      <c r="U821" s="5" t="inlineStr">
        <is>
          <t>Claro tv+ Box + Disney+ Amazon Prime + Netflix + HBO Max + Apple TV + Globoplay</t>
        </is>
      </c>
      <c r="V821" s="5" t="inlineStr"/>
      <c r="W821" s="5" t="inlineStr"/>
      <c r="X821" s="5" t="inlineStr">
        <is>
          <t>Pós 100GB</t>
        </is>
      </c>
      <c r="Y821" s="5" t="inlineStr">
        <is>
          <t>https://www.claro.com.br/multi</t>
        </is>
      </c>
      <c r="Z821" s="5" t="inlineStr">
        <is>
          <t>data/raw/claro_convergent_multi_SP.html</t>
        </is>
      </c>
    </row>
    <row r="822">
      <c r="A822" s="2" t="inlineStr">
        <is>
          <t>2026-09-05</t>
        </is>
      </c>
      <c r="B822" s="2" t="inlineStr">
        <is>
          <t>2026-09-05T19:37:33</t>
        </is>
      </c>
      <c r="C822" s="2" t="inlineStr">
        <is>
          <t>claro</t>
        </is>
      </c>
      <c r="D822" s="2" t="inlineStr">
        <is>
          <t>SP</t>
        </is>
      </c>
      <c r="E822" s="2" t="inlineStr">
        <is>
          <t>600 Mega com Globoplay incluso + Claro tv+ Box + Disney+ Amazon Prime + Netflix + HBO Max + Apple TV + Globoplay</t>
        </is>
      </c>
      <c r="F822" s="2" t="inlineStr">
        <is>
          <t>claro:545261b1-2f4d-4dab-82a6-02d9e66c5d3d</t>
        </is>
      </c>
      <c r="G822" s="3" t="n">
        <v>239.8</v>
      </c>
      <c r="H822" s="3" t="inlineStr"/>
      <c r="I822" s="2" t="inlineStr"/>
      <c r="J822" s="2" t="inlineStr"/>
      <c r="K822" s="2" t="inlineStr">
        <is>
          <t>tab: Fibra + TV</t>
        </is>
      </c>
      <c r="L822" s="2" t="inlineStr">
        <is>
          <t>broadband+tv</t>
        </is>
      </c>
      <c r="M822" s="2" t="inlineStr">
        <is>
          <t>Fiber + TV</t>
        </is>
      </c>
      <c r="N822" s="2" t="b">
        <v>0</v>
      </c>
      <c r="O822" s="2" t="b">
        <v>1</v>
      </c>
      <c r="P822" s="2" t="b">
        <v>1</v>
      </c>
      <c r="Q822" s="2" t="b">
        <v>0</v>
      </c>
      <c r="R822" s="4" t="n">
        <v>600</v>
      </c>
      <c r="S822" s="4" t="inlineStr"/>
      <c r="T822" s="4" t="inlineStr"/>
      <c r="U822" s="2" t="inlineStr">
        <is>
          <t>Claro tv+ Box + Disney+ Amazon Prime + Netflix + HBO Max + Apple TV + Globoplay</t>
        </is>
      </c>
      <c r="V822" s="2" t="inlineStr"/>
      <c r="W822" s="2" t="inlineStr"/>
      <c r="X822" s="2" t="inlineStr"/>
      <c r="Y822" s="2" t="inlineStr">
        <is>
          <t>https://www.claro.com.br/multi</t>
        </is>
      </c>
      <c r="Z822" s="2" t="inlineStr">
        <is>
          <t>data/raw/claro_convergent_multi_SP.html</t>
        </is>
      </c>
    </row>
    <row r="823">
      <c r="A823" s="5" t="inlineStr">
        <is>
          <t>2026-09-05</t>
        </is>
      </c>
      <c r="B823" s="5" t="inlineStr">
        <is>
          <t>2026-09-05T19:37:33</t>
        </is>
      </c>
      <c r="C823" s="5" t="inlineStr">
        <is>
          <t>claro</t>
        </is>
      </c>
      <c r="D823" s="5" t="inlineStr">
        <is>
          <t>SP</t>
        </is>
      </c>
      <c r="E823" s="5" t="inlineStr">
        <is>
          <t>600 Mega com Globoplay incluso + Pós 100GB</t>
        </is>
      </c>
      <c r="F823" s="5" t="inlineStr">
        <is>
          <t>claro:350ac58a-533c-4858-83be-be3ea39c8874</t>
        </is>
      </c>
      <c r="G823" s="6" t="n">
        <v>159.9</v>
      </c>
      <c r="H823" s="6" t="inlineStr"/>
      <c r="I823" s="5" t="inlineStr"/>
      <c r="J823" s="5" t="inlineStr"/>
      <c r="K823" s="5" t="inlineStr">
        <is>
          <t>tab: Fibra + Móvel</t>
        </is>
      </c>
      <c r="L823" s="5" t="inlineStr">
        <is>
          <t>mobile+broadband</t>
        </is>
      </c>
      <c r="M823" s="5" t="inlineStr">
        <is>
          <t>Fiber + Mobile</t>
        </is>
      </c>
      <c r="N823" s="5" t="b">
        <v>1</v>
      </c>
      <c r="O823" s="5" t="b">
        <v>1</v>
      </c>
      <c r="P823" s="5" t="b">
        <v>0</v>
      </c>
      <c r="Q823" s="5" t="b">
        <v>0</v>
      </c>
      <c r="R823" s="7" t="n">
        <v>600</v>
      </c>
      <c r="S823" s="7" t="n">
        <v>100</v>
      </c>
      <c r="T823" s="7" t="n">
        <v>1</v>
      </c>
      <c r="U823" s="5" t="inlineStr"/>
      <c r="V823" s="5" t="inlineStr"/>
      <c r="W823" s="5" t="inlineStr"/>
      <c r="X823" s="5" t="inlineStr">
        <is>
          <t>Pós 100GB</t>
        </is>
      </c>
      <c r="Y823" s="5" t="inlineStr">
        <is>
          <t>https://www.claro.com.br/multi</t>
        </is>
      </c>
      <c r="Z823" s="5" t="inlineStr">
        <is>
          <t>data/raw/claro_convergent_multi_SP.html</t>
        </is>
      </c>
    </row>
    <row r="824">
      <c r="A824" s="2" t="inlineStr">
        <is>
          <t>2026-09-05</t>
        </is>
      </c>
      <c r="B824" s="2" t="inlineStr">
        <is>
          <t>2026-09-05T19:37:33</t>
        </is>
      </c>
      <c r="C824" s="2" t="inlineStr">
        <is>
          <t>claro</t>
        </is>
      </c>
      <c r="D824" s="2" t="inlineStr">
        <is>
          <t>SP</t>
        </is>
      </c>
      <c r="E824" s="2" t="inlineStr">
        <is>
          <t>600 Mega com Globoplay incluso + Pós 100GB + Claro tv+ Box + Disney+ Amazon Prime + Netflix + HBO Max + Apple TV + Globoplay</t>
        </is>
      </c>
      <c r="F824" s="2" t="inlineStr">
        <is>
          <t>claro:f36e7dfb-f7c9-4055-844f-7bc101699de8</t>
        </is>
      </c>
      <c r="G824" s="3" t="n">
        <v>269.8</v>
      </c>
      <c r="H824" s="3" t="inlineStr"/>
      <c r="I824" s="2" t="inlineStr"/>
      <c r="J824" s="2" t="inlineStr"/>
      <c r="K824" s="2" t="inlineStr">
        <is>
          <t>tab: Fibra + Móvel + TV</t>
        </is>
      </c>
      <c r="L824" s="2" t="inlineStr">
        <is>
          <t>mobile+broadband+tv</t>
        </is>
      </c>
      <c r="M824" s="2" t="inlineStr">
        <is>
          <t>Fiber + Mobile + TV</t>
        </is>
      </c>
      <c r="N824" s="2" t="b">
        <v>1</v>
      </c>
      <c r="O824" s="2" t="b">
        <v>1</v>
      </c>
      <c r="P824" s="2" t="b">
        <v>1</v>
      </c>
      <c r="Q824" s="2" t="b">
        <v>0</v>
      </c>
      <c r="R824" s="4" t="n">
        <v>600</v>
      </c>
      <c r="S824" s="4" t="n">
        <v>100</v>
      </c>
      <c r="T824" s="4" t="n">
        <v>1</v>
      </c>
      <c r="U824" s="2" t="inlineStr">
        <is>
          <t>Claro tv+ Box + Disney+ Amazon Prime + Netflix + HBO Max + Apple TV + Globoplay</t>
        </is>
      </c>
      <c r="V824" s="2" t="inlineStr"/>
      <c r="W824" s="2" t="inlineStr"/>
      <c r="X824" s="2" t="inlineStr">
        <is>
          <t>Pós 100GB</t>
        </is>
      </c>
      <c r="Y824" s="2" t="inlineStr">
        <is>
          <t>https://www.claro.com.br/multi</t>
        </is>
      </c>
      <c r="Z824" s="2" t="inlineStr">
        <is>
          <t>data/raw/claro_convergent_multi_SP.html</t>
        </is>
      </c>
    </row>
    <row r="825">
      <c r="A825" s="5" t="inlineStr">
        <is>
          <t>2026-09-05</t>
        </is>
      </c>
      <c r="B825" s="5" t="inlineStr">
        <is>
          <t>2026-09-05T19:37:33</t>
        </is>
      </c>
      <c r="C825" s="5" t="inlineStr">
        <is>
          <t>tim</t>
        </is>
      </c>
      <c r="D825" s="5" t="inlineStr">
        <is>
          <t>SP</t>
        </is>
      </c>
      <c r="E825" s="5" t="inlineStr">
        <is>
          <t>TIM Ultracombo 5</t>
        </is>
      </c>
      <c r="F825" s="5" t="inlineStr">
        <is>
          <t>tim:167756</t>
        </is>
      </c>
      <c r="G825" s="6" t="n">
        <v>169.99</v>
      </c>
      <c r="H825" s="6" t="inlineStr"/>
      <c r="I825" s="5" t="inlineStr"/>
      <c r="J825" s="5" t="inlineStr">
        <is>
          <t>debit_auto</t>
        </is>
      </c>
      <c r="K825" s="5" t="inlineStr">
        <is>
          <t>preço em débito automático; R$ 179,99/mês no pagamento por fatura</t>
        </is>
      </c>
      <c r="L825" s="5" t="inlineStr">
        <is>
          <t>mobile+broadband</t>
        </is>
      </c>
      <c r="M825" s="5" t="inlineStr">
        <is>
          <t>Fiber + Mobile</t>
        </is>
      </c>
      <c r="N825" s="5" t="b">
        <v>1</v>
      </c>
      <c r="O825" s="5" t="b">
        <v>1</v>
      </c>
      <c r="P825" s="5" t="b">
        <v>0</v>
      </c>
      <c r="Q825" s="5" t="b">
        <v>0</v>
      </c>
      <c r="R825" s="7" t="n">
        <v>1000</v>
      </c>
      <c r="S825" s="7" t="n">
        <v>115</v>
      </c>
      <c r="T825" s="7" t="n">
        <v>1</v>
      </c>
      <c r="U825" s="5" t="inlineStr"/>
      <c r="V825" s="5" t="inlineStr">
        <is>
          <t>Paramount+, Deezer</t>
        </is>
      </c>
      <c r="W825" s="5" t="inlineStr"/>
      <c r="X825" s="5" t="inlineStr">
        <is>
          <t>1GIGA de Ultrafibra para casa + 115GB de TIM Black C Hero para móvel: (25GB do plano + 40GB promo + 50GB bônus especial)</t>
        </is>
      </c>
      <c r="Y825" s="5" t="inlineStr">
        <is>
          <t>https://www.tim.com.br/sp/internet/tim-ultracombo</t>
        </is>
      </c>
      <c r="Z825" s="5" t="inlineStr">
        <is>
          <t>data/raw/tim_convergent_ultracombo_SP.html</t>
        </is>
      </c>
    </row>
    <row r="826">
      <c r="A826" s="2" t="inlineStr">
        <is>
          <t>2026-09-05</t>
        </is>
      </c>
      <c r="B826" s="2" t="inlineStr">
        <is>
          <t>2026-09-05T19:37:33</t>
        </is>
      </c>
      <c r="C826" s="2" t="inlineStr">
        <is>
          <t>tim</t>
        </is>
      </c>
      <c r="D826" s="2" t="inlineStr">
        <is>
          <t>SP</t>
        </is>
      </c>
      <c r="E826" s="2" t="inlineStr">
        <is>
          <t>TIM Ultracombo 6</t>
        </is>
      </c>
      <c r="F826" s="2" t="inlineStr">
        <is>
          <t>tim:167751</t>
        </is>
      </c>
      <c r="G826" s="3" t="n">
        <v>139.99</v>
      </c>
      <c r="H826" s="3" t="inlineStr"/>
      <c r="I826" s="2" t="inlineStr"/>
      <c r="J826" s="2" t="inlineStr">
        <is>
          <t>debit_auto</t>
        </is>
      </c>
      <c r="K826" s="2" t="inlineStr">
        <is>
          <t>preço em débito automático; R$ 149,99/mês no pagamento por fatura</t>
        </is>
      </c>
      <c r="L826" s="2" t="inlineStr">
        <is>
          <t>mobile+broadband</t>
        </is>
      </c>
      <c r="M826" s="2" t="inlineStr">
        <is>
          <t>Fiber + Mobile</t>
        </is>
      </c>
      <c r="N826" s="2" t="b">
        <v>1</v>
      </c>
      <c r="O826" s="2" t="b">
        <v>1</v>
      </c>
      <c r="P826" s="2" t="b">
        <v>0</v>
      </c>
      <c r="Q826" s="2" t="b">
        <v>0</v>
      </c>
      <c r="R826" s="4" t="n">
        <v>1000</v>
      </c>
      <c r="S826" s="4" t="n">
        <v>70</v>
      </c>
      <c r="T826" s="4" t="n">
        <v>1</v>
      </c>
      <c r="U826" s="2" t="inlineStr"/>
      <c r="V826" s="2" t="inlineStr">
        <is>
          <t>Paramount+, Deezer</t>
        </is>
      </c>
      <c r="W826" s="2" t="inlineStr"/>
      <c r="X826" s="2" t="inlineStr">
        <is>
          <t>1GIGA de Ultrafibra para casa + 70GB de TIM Black A para móvel: (15GB do plano + 50GB promo + 5GB bônus especial)</t>
        </is>
      </c>
      <c r="Y826" s="2" t="inlineStr">
        <is>
          <t>https://www.tim.com.br/sp/internet/tim-ultracombo</t>
        </is>
      </c>
      <c r="Z826" s="2" t="inlineStr">
        <is>
          <t>data/raw/tim_convergent_ultracombo_SP.html</t>
        </is>
      </c>
    </row>
    <row r="827">
      <c r="A827" s="5" t="inlineStr">
        <is>
          <t>2026-09-05</t>
        </is>
      </c>
      <c r="B827" s="5" t="inlineStr">
        <is>
          <t>2026-09-05T19:37:33</t>
        </is>
      </c>
      <c r="C827" s="5" t="inlineStr">
        <is>
          <t>tim</t>
        </is>
      </c>
      <c r="D827" s="5" t="inlineStr">
        <is>
          <t>SP</t>
        </is>
      </c>
      <c r="E827" s="5" t="inlineStr">
        <is>
          <t>TIM Ultracombo 7</t>
        </is>
      </c>
      <c r="F827" s="5" t="inlineStr">
        <is>
          <t>tim:167761</t>
        </is>
      </c>
      <c r="G827" s="6" t="n">
        <v>89.98999999999999</v>
      </c>
      <c r="H827" s="6" t="inlineStr"/>
      <c r="I827" s="5" t="inlineStr"/>
      <c r="J827" s="5" t="inlineStr">
        <is>
          <t>debit_auto</t>
        </is>
      </c>
      <c r="K827" s="5" t="inlineStr">
        <is>
          <t>preço em débito automático; R$ 99,99/mês no pagamento por fatura</t>
        </is>
      </c>
      <c r="L827" s="5" t="inlineStr">
        <is>
          <t>mobile+broadband</t>
        </is>
      </c>
      <c r="M827" s="5" t="inlineStr">
        <is>
          <t>Fiber + Mobile</t>
        </is>
      </c>
      <c r="N827" s="5" t="b">
        <v>1</v>
      </c>
      <c r="O827" s="5" t="b">
        <v>1</v>
      </c>
      <c r="P827" s="5" t="b">
        <v>0</v>
      </c>
      <c r="Q827" s="5" t="b">
        <v>0</v>
      </c>
      <c r="R827" s="7" t="n">
        <v>500</v>
      </c>
      <c r="S827" s="7" t="n">
        <v>65</v>
      </c>
      <c r="T827" s="7" t="n">
        <v>1</v>
      </c>
      <c r="U827" s="5" t="inlineStr"/>
      <c r="V827" s="5" t="inlineStr"/>
      <c r="W827" s="5" t="inlineStr"/>
      <c r="X827" s="5" t="inlineStr">
        <is>
          <t>500MEGA de Ultrafibra para casa + 65GB de TIM Black A Light para móvel: (10GB do plano + 50GB promo)</t>
        </is>
      </c>
      <c r="Y827" s="5" t="inlineStr">
        <is>
          <t>https://www.tim.com.br/sp/internet/tim-ultracombo</t>
        </is>
      </c>
      <c r="Z827" s="5" t="inlineStr">
        <is>
          <t>data/raw/tim_convergent_ultracombo_SP.html</t>
        </is>
      </c>
    </row>
    <row r="828">
      <c r="A828" s="2" t="inlineStr">
        <is>
          <t>2026-09-05</t>
        </is>
      </c>
      <c r="B828" s="2" t="inlineStr">
        <is>
          <t>2026-09-05T19:37:33</t>
        </is>
      </c>
      <c r="C828" s="2" t="inlineStr">
        <is>
          <t>vivo</t>
        </is>
      </c>
      <c r="D828" s="2" t="inlineStr">
        <is>
          <t>SP</t>
        </is>
      </c>
      <c r="E828" s="2" t="inlineStr">
        <is>
          <t>Vivo Família 2 + TV</t>
        </is>
      </c>
      <c r="F828" s="2" t="inlineStr">
        <is>
          <t>vivo:VIV202604032132-3-305-316-336-408-411-426-430-442</t>
        </is>
      </c>
      <c r="G828" s="3" t="n">
        <v>290</v>
      </c>
      <c r="H828" s="3" t="inlineStr"/>
      <c r="I828" s="2" t="inlineStr"/>
      <c r="J828" s="2" t="inlineStr"/>
      <c r="K828" s="2" t="inlineStr">
        <is>
          <t>instalação grátis mediante fidelização (não afeta a mensalidade)</t>
        </is>
      </c>
      <c r="L828" s="2" t="inlineStr">
        <is>
          <t>mobile+broadband+tv</t>
        </is>
      </c>
      <c r="M828" s="2" t="inlineStr">
        <is>
          <t>Fiber + Mobile + TV</t>
        </is>
      </c>
      <c r="N828" s="2" t="b">
        <v>1</v>
      </c>
      <c r="O828" s="2" t="b">
        <v>1</v>
      </c>
      <c r="P828" s="2" t="b">
        <v>1</v>
      </c>
      <c r="Q828" s="2" t="b">
        <v>0</v>
      </c>
      <c r="R828" s="4" t="n">
        <v>700</v>
      </c>
      <c r="S828" s="4" t="n">
        <v>120</v>
      </c>
      <c r="T828" s="4" t="n">
        <v>2</v>
      </c>
      <c r="U828" s="2" t="inlineStr">
        <is>
          <t>80 canais de Vivo Estendido</t>
        </is>
      </c>
      <c r="V828" s="2" t="inlineStr"/>
      <c r="W828" s="2" t="inlineStr">
        <is>
          <t>Vivo Travel Américas e Europa; 1 linha adicional inclusa</t>
        </is>
      </c>
      <c r="X828" s="2" t="inlineStr">
        <is>
          <t>700 Mega de Vivo Fibra</t>
        </is>
      </c>
      <c r="Y828" s="2" t="inlineStr">
        <is>
          <t>https://vivo.com.br/para-voce/produtos-e-servicos/combos/vivo-total</t>
        </is>
      </c>
      <c r="Z828" s="2" t="inlineStr">
        <is>
          <t>data/raw/vivo_convergent_total_SP.html</t>
        </is>
      </c>
    </row>
    <row r="829">
      <c r="A829" s="5" t="inlineStr">
        <is>
          <t>2026-09-05</t>
        </is>
      </c>
      <c r="B829" s="5" t="inlineStr">
        <is>
          <t>2026-09-05T19:37:33</t>
        </is>
      </c>
      <c r="C829" s="5" t="inlineStr">
        <is>
          <t>vivo</t>
        </is>
      </c>
      <c r="D829" s="5" t="inlineStr">
        <is>
          <t>SP</t>
        </is>
      </c>
      <c r="E829" s="5" t="inlineStr">
        <is>
          <t>Vivo Família 2 + TV</t>
        </is>
      </c>
      <c r="F829" s="5" t="inlineStr">
        <is>
          <t>vivo:VIV202604032112-3-9-305-316-408-411-426-430-442</t>
        </is>
      </c>
      <c r="G829" s="6" t="n">
        <v>390</v>
      </c>
      <c r="H829" s="6" t="inlineStr"/>
      <c r="I829" s="5" t="inlineStr"/>
      <c r="J829" s="5" t="inlineStr"/>
      <c r="K829" s="5" t="inlineStr">
        <is>
          <t>instalação grátis mediante fidelização (não afeta a mensalidade)</t>
        </is>
      </c>
      <c r="L829" s="5" t="inlineStr">
        <is>
          <t>mobile+broadband+tv</t>
        </is>
      </c>
      <c r="M829" s="5" t="inlineStr">
        <is>
          <t>Fiber + Mobile + TV</t>
        </is>
      </c>
      <c r="N829" s="5" t="b">
        <v>1</v>
      </c>
      <c r="O829" s="5" t="b">
        <v>1</v>
      </c>
      <c r="P829" s="5" t="b">
        <v>1</v>
      </c>
      <c r="Q829" s="5" t="b">
        <v>0</v>
      </c>
      <c r="R829" s="7" t="n">
        <v>700</v>
      </c>
      <c r="S829" s="7" t="n">
        <v>120</v>
      </c>
      <c r="T829" s="7" t="n">
        <v>2</v>
      </c>
      <c r="U829" s="5" t="inlineStr">
        <is>
          <t>120 canais de Vivo TV Avançado + 1 ponto adicional</t>
        </is>
      </c>
      <c r="V829" s="5" t="inlineStr"/>
      <c r="W829" s="5" t="inlineStr">
        <is>
          <t>Vivo Travel Américas e Europa; 1 linha adicional inclusa</t>
        </is>
      </c>
      <c r="X829" s="5" t="inlineStr">
        <is>
          <t>700 Mega de Vivo Fibra</t>
        </is>
      </c>
      <c r="Y829" s="5" t="inlineStr">
        <is>
          <t>https://vivo.com.br/para-voce/produtos-e-servicos/combos/vivo-total</t>
        </is>
      </c>
      <c r="Z829" s="5" t="inlineStr">
        <is>
          <t>data/raw/vivo_convergent_total_SP.html</t>
        </is>
      </c>
    </row>
    <row r="830">
      <c r="A830" s="2" t="inlineStr">
        <is>
          <t>2026-09-05</t>
        </is>
      </c>
      <c r="B830" s="2" t="inlineStr">
        <is>
          <t>2026-09-05T19:37:33</t>
        </is>
      </c>
      <c r="C830" s="2" t="inlineStr">
        <is>
          <t>vivo</t>
        </is>
      </c>
      <c r="D830" s="2" t="inlineStr">
        <is>
          <t>SP</t>
        </is>
      </c>
      <c r="E830" s="2" t="inlineStr">
        <is>
          <t>Vivo Total Família 2</t>
        </is>
      </c>
      <c r="F830" s="2" t="inlineStr">
        <is>
          <t>vivo:VIV202604032132-3-305-316-408-411-426-430-442</t>
        </is>
      </c>
      <c r="G830" s="3" t="n">
        <v>270</v>
      </c>
      <c r="H830" s="3" t="inlineStr"/>
      <c r="I830" s="2" t="inlineStr"/>
      <c r="J830" s="2" t="inlineStr"/>
      <c r="K830" s="2" t="inlineStr">
        <is>
          <t>instalação grátis mediante fidelização (não afeta a mensalidade)</t>
        </is>
      </c>
      <c r="L830" s="2" t="inlineStr">
        <is>
          <t>mobile+broadband</t>
        </is>
      </c>
      <c r="M830" s="2" t="inlineStr">
        <is>
          <t>Fiber + Mobile</t>
        </is>
      </c>
      <c r="N830" s="2" t="b">
        <v>1</v>
      </c>
      <c r="O830" s="2" t="b">
        <v>1</v>
      </c>
      <c r="P830" s="2" t="b">
        <v>0</v>
      </c>
      <c r="Q830" s="2" t="b">
        <v>0</v>
      </c>
      <c r="R830" s="4" t="n">
        <v>700</v>
      </c>
      <c r="S830" s="4" t="n">
        <v>120</v>
      </c>
      <c r="T830" s="4" t="n">
        <v>2</v>
      </c>
      <c r="U830" s="2" t="inlineStr"/>
      <c r="V830" s="2" t="inlineStr"/>
      <c r="W830" s="2" t="inlineStr">
        <is>
          <t>Vivo Travel Américas e Europa; 1 linha adicional inclusa</t>
        </is>
      </c>
      <c r="X830" s="2" t="inlineStr">
        <is>
          <t>700 Mega de Vivo Fibra</t>
        </is>
      </c>
      <c r="Y830" s="2" t="inlineStr">
        <is>
          <t>https://vivo.com.br/para-voce/produtos-e-servicos/combos/vivo-total</t>
        </is>
      </c>
      <c r="Z830" s="2" t="inlineStr">
        <is>
          <t>data/raw/vivo_convergent_total_SP.html</t>
        </is>
      </c>
    </row>
    <row r="831">
      <c r="A831" s="5" t="inlineStr">
        <is>
          <t>2026-09-05</t>
        </is>
      </c>
      <c r="B831" s="5" t="inlineStr">
        <is>
          <t>2026-09-05T19:37:33</t>
        </is>
      </c>
      <c r="C831" s="5" t="inlineStr">
        <is>
          <t>vivo</t>
        </is>
      </c>
      <c r="D831" s="5" t="inlineStr">
        <is>
          <t>SP</t>
        </is>
      </c>
      <c r="E831" s="5" t="inlineStr">
        <is>
          <t>Vivo Total Família 3</t>
        </is>
      </c>
      <c r="F831" s="5" t="inlineStr">
        <is>
          <t>vivo:VIV202604032212-4-305-316-408-411-426-430-442</t>
        </is>
      </c>
      <c r="G831" s="6" t="n">
        <v>330</v>
      </c>
      <c r="H831" s="6" t="inlineStr"/>
      <c r="I831" s="5" t="inlineStr"/>
      <c r="J831" s="5" t="inlineStr"/>
      <c r="K831" s="5" t="inlineStr">
        <is>
          <t>instalação grátis mediante fidelização (não afeta a mensalidade)</t>
        </is>
      </c>
      <c r="L831" s="5" t="inlineStr">
        <is>
          <t>mobile+broadband</t>
        </is>
      </c>
      <c r="M831" s="5" t="inlineStr">
        <is>
          <t>Fiber + Mobile</t>
        </is>
      </c>
      <c r="N831" s="5" t="b">
        <v>1</v>
      </c>
      <c r="O831" s="5" t="b">
        <v>1</v>
      </c>
      <c r="P831" s="5" t="b">
        <v>0</v>
      </c>
      <c r="Q831" s="5" t="b">
        <v>0</v>
      </c>
      <c r="R831" s="7" t="n">
        <v>700</v>
      </c>
      <c r="S831" s="7" t="n">
        <v>180</v>
      </c>
      <c r="T831" s="7" t="n">
        <v>3</v>
      </c>
      <c r="U831" s="5" t="inlineStr"/>
      <c r="V831" s="5" t="inlineStr"/>
      <c r="W831" s="5" t="inlineStr">
        <is>
          <t>Vivo Travel Américas e Europa; 2 linhas adicionais inclusas</t>
        </is>
      </c>
      <c r="X831" s="5" t="inlineStr">
        <is>
          <t>700 Mega de Vivo Fibra</t>
        </is>
      </c>
      <c r="Y831" s="5" t="inlineStr">
        <is>
          <t>https://vivo.com.br/para-voce/produtos-e-servicos/combos/vivo-total</t>
        </is>
      </c>
      <c r="Z831" s="5" t="inlineStr">
        <is>
          <t>data/raw/vivo_convergent_total_SP.html</t>
        </is>
      </c>
    </row>
    <row r="832">
      <c r="A832" s="2" t="inlineStr">
        <is>
          <t>2026-09-05</t>
        </is>
      </c>
      <c r="B832" s="2" t="inlineStr">
        <is>
          <t>2026-09-05T19:37:33</t>
        </is>
      </c>
      <c r="C832" s="2" t="inlineStr">
        <is>
          <t>vivo</t>
        </is>
      </c>
      <c r="D832" s="2" t="inlineStr">
        <is>
          <t>SP</t>
        </is>
      </c>
      <c r="E832" s="2" t="inlineStr">
        <is>
          <t>Vivo Total Família 4</t>
        </is>
      </c>
      <c r="F832" s="2" t="inlineStr">
        <is>
          <t>vivo:VIV202604032292-237-305-316-408-411-426-430-442</t>
        </is>
      </c>
      <c r="G832" s="3" t="n">
        <v>420</v>
      </c>
      <c r="H832" s="3" t="inlineStr"/>
      <c r="I832" s="2" t="inlineStr"/>
      <c r="J832" s="2" t="inlineStr"/>
      <c r="K832" s="2" t="inlineStr">
        <is>
          <t>instalação grátis mediante fidelização (não afeta a mensalidade)</t>
        </is>
      </c>
      <c r="L832" s="2" t="inlineStr">
        <is>
          <t>mobile+broadband</t>
        </is>
      </c>
      <c r="M832" s="2" t="inlineStr">
        <is>
          <t>Fiber + Mobile</t>
        </is>
      </c>
      <c r="N832" s="2" t="b">
        <v>1</v>
      </c>
      <c r="O832" s="2" t="b">
        <v>1</v>
      </c>
      <c r="P832" s="2" t="b">
        <v>0</v>
      </c>
      <c r="Q832" s="2" t="b">
        <v>0</v>
      </c>
      <c r="R832" s="4" t="n">
        <v>700</v>
      </c>
      <c r="S832" s="4" t="n">
        <v>240</v>
      </c>
      <c r="T832" s="4" t="n">
        <v>4</v>
      </c>
      <c r="U832" s="2" t="inlineStr"/>
      <c r="V832" s="2" t="inlineStr"/>
      <c r="W832" s="2" t="inlineStr">
        <is>
          <t>Vivo Travel Américas e Europa; 3 linhas adicionais inclusas</t>
        </is>
      </c>
      <c r="X832" s="2" t="inlineStr">
        <is>
          <t>700 Mega de Vivo Fibra</t>
        </is>
      </c>
      <c r="Y832" s="2" t="inlineStr">
        <is>
          <t>https://vivo.com.br/para-voce/produtos-e-servicos/combos/vivo-total</t>
        </is>
      </c>
      <c r="Z832" s="2" t="inlineStr">
        <is>
          <t>data/raw/vivo_convergent_total_SP.html</t>
        </is>
      </c>
    </row>
    <row r="833">
      <c r="A833" s="5" t="inlineStr">
        <is>
          <t>2026-09-05</t>
        </is>
      </c>
      <c r="B833" s="5" t="inlineStr">
        <is>
          <t>2026-09-05T19:37:33</t>
        </is>
      </c>
      <c r="C833" s="5" t="inlineStr">
        <is>
          <t>vivo</t>
        </is>
      </c>
      <c r="D833" s="5" t="inlineStr">
        <is>
          <t>SP</t>
        </is>
      </c>
      <c r="E833" s="5" t="inlineStr">
        <is>
          <t>Vivo Total Família 5</t>
        </is>
      </c>
      <c r="F833" s="5" t="inlineStr">
        <is>
          <t>vivo:VIV202604032372-5-305-316-408-411-426-430-442</t>
        </is>
      </c>
      <c r="G833" s="6" t="n">
        <v>520</v>
      </c>
      <c r="H833" s="6" t="inlineStr"/>
      <c r="I833" s="5" t="inlineStr"/>
      <c r="J833" s="5" t="inlineStr"/>
      <c r="K833" s="5" t="inlineStr">
        <is>
          <t>instalação grátis mediante fidelização (não afeta a mensalidade)</t>
        </is>
      </c>
      <c r="L833" s="5" t="inlineStr">
        <is>
          <t>mobile+broadband</t>
        </is>
      </c>
      <c r="M833" s="5" t="inlineStr">
        <is>
          <t>Fiber + Mobile</t>
        </is>
      </c>
      <c r="N833" s="5" t="b">
        <v>1</v>
      </c>
      <c r="O833" s="5" t="b">
        <v>1</v>
      </c>
      <c r="P833" s="5" t="b">
        <v>0</v>
      </c>
      <c r="Q833" s="5" t="b">
        <v>0</v>
      </c>
      <c r="R833" s="7" t="n">
        <v>700</v>
      </c>
      <c r="S833" s="7" t="n">
        <v>300</v>
      </c>
      <c r="T833" s="7" t="n">
        <v>5</v>
      </c>
      <c r="U833" s="5" t="inlineStr"/>
      <c r="V833" s="5" t="inlineStr"/>
      <c r="W833" s="5" t="inlineStr">
        <is>
          <t>Vivo Travel Américas e Europa; 4 linhas adicionais inclusas</t>
        </is>
      </c>
      <c r="X833" s="5" t="inlineStr">
        <is>
          <t>700 Mega de Vivo Fibra</t>
        </is>
      </c>
      <c r="Y833" s="5" t="inlineStr">
        <is>
          <t>https://vivo.com.br/para-voce/produtos-e-servicos/combos/vivo-total</t>
        </is>
      </c>
      <c r="Z833" s="5" t="inlineStr">
        <is>
          <t>data/raw/vivo_convergent_total_SP.html</t>
        </is>
      </c>
    </row>
    <row r="834">
      <c r="A834" s="2" t="inlineStr">
        <is>
          <t>2026-09-05</t>
        </is>
      </c>
      <c r="B834" s="2" t="inlineStr">
        <is>
          <t>2026-09-05T19:37:33</t>
        </is>
      </c>
      <c r="C834" s="2" t="inlineStr">
        <is>
          <t>vivo</t>
        </is>
      </c>
      <c r="D834" s="2" t="inlineStr">
        <is>
          <t>SP</t>
        </is>
      </c>
      <c r="E834" s="2" t="inlineStr">
        <is>
          <t>Vivo Total Pro</t>
        </is>
      </c>
      <c r="F834" s="2" t="inlineStr">
        <is>
          <t>vivo:VIV202604031772-2-305-308-316-326-342-411-430</t>
        </is>
      </c>
      <c r="G834" s="3" t="n">
        <v>160</v>
      </c>
      <c r="H834" s="3" t="inlineStr"/>
      <c r="I834" s="2" t="inlineStr"/>
      <c r="J834" s="2" t="inlineStr"/>
      <c r="K834" s="2" t="inlineStr">
        <is>
          <t>instalação grátis mediante fidelização (não afeta a mensalidade)</t>
        </is>
      </c>
      <c r="L834" s="2" t="inlineStr">
        <is>
          <t>mobile+broadband</t>
        </is>
      </c>
      <c r="M834" s="2" t="inlineStr">
        <is>
          <t>Fiber + Mobile</t>
        </is>
      </c>
      <c r="N834" s="2" t="b">
        <v>1</v>
      </c>
      <c r="O834" s="2" t="b">
        <v>1</v>
      </c>
      <c r="P834" s="2" t="b">
        <v>0</v>
      </c>
      <c r="Q834" s="2" t="b">
        <v>0</v>
      </c>
      <c r="R834" s="4" t="n">
        <v>500</v>
      </c>
      <c r="S834" s="4" t="n">
        <v>70</v>
      </c>
      <c r="T834" s="4" t="n">
        <v>1</v>
      </c>
      <c r="U834" s="2" t="inlineStr"/>
      <c r="V834" s="2" t="inlineStr"/>
      <c r="W834" s="2" t="inlineStr">
        <is>
          <t>Vivo Travel Américas; 50 GB de franquia + 20 GB de bônus</t>
        </is>
      </c>
      <c r="X834" s="2" t="inlineStr">
        <is>
          <t>500 Mega de Vivo Fibra</t>
        </is>
      </c>
      <c r="Y834" s="2" t="inlineStr">
        <is>
          <t>https://vivo.com.br/para-voce/produtos-e-servicos/combos/vivo-total</t>
        </is>
      </c>
      <c r="Z834" s="2" t="inlineStr">
        <is>
          <t>data/raw/vivo_convergent_total_SP.html</t>
        </is>
      </c>
    </row>
    <row r="835">
      <c r="A835" s="5" t="inlineStr">
        <is>
          <t>2026-09-05</t>
        </is>
      </c>
      <c r="B835" s="5" t="inlineStr">
        <is>
          <t>2026-09-05T19:37:33</t>
        </is>
      </c>
      <c r="C835" s="5" t="inlineStr">
        <is>
          <t>vivo</t>
        </is>
      </c>
      <c r="D835" s="5" t="inlineStr">
        <is>
          <t>SP</t>
        </is>
      </c>
      <c r="E835" s="5" t="inlineStr">
        <is>
          <t>Vivo Total Ultra</t>
        </is>
      </c>
      <c r="F835" s="5" t="inlineStr">
        <is>
          <t>vivo:VIV202604032034-305-313-316-408-411-426-430-442</t>
        </is>
      </c>
      <c r="G835" s="6" t="n">
        <v>190</v>
      </c>
      <c r="H835" s="6" t="inlineStr"/>
      <c r="I835" s="5" t="inlineStr"/>
      <c r="J835" s="5" t="inlineStr"/>
      <c r="K835" s="5" t="inlineStr">
        <is>
          <t>instalação grátis mediante fidelização (não afeta a mensalidade)</t>
        </is>
      </c>
      <c r="L835" s="5" t="inlineStr">
        <is>
          <t>mobile+broadband</t>
        </is>
      </c>
      <c r="M835" s="5" t="inlineStr">
        <is>
          <t>Fiber + Mobile</t>
        </is>
      </c>
      <c r="N835" s="5" t="b">
        <v>1</v>
      </c>
      <c r="O835" s="5" t="b">
        <v>1</v>
      </c>
      <c r="P835" s="5" t="b">
        <v>0</v>
      </c>
      <c r="Q835" s="5" t="b">
        <v>0</v>
      </c>
      <c r="R835" s="7" t="n">
        <v>700</v>
      </c>
      <c r="S835" s="7" t="n">
        <v>80</v>
      </c>
      <c r="T835" s="7" t="n">
        <v>1</v>
      </c>
      <c r="U835" s="5" t="inlineStr"/>
      <c r="V835" s="5" t="inlineStr"/>
      <c r="W835" s="5" t="inlineStr">
        <is>
          <t>Vivo Travel Américas; 70 GB de franquia + 10 GB de bônus</t>
        </is>
      </c>
      <c r="X835" s="5" t="inlineStr">
        <is>
          <t>700 Mega de Vivo Fibra</t>
        </is>
      </c>
      <c r="Y835" s="5" t="inlineStr">
        <is>
          <t>https://vivo.com.br/para-voce/produtos-e-servicos/combos/vivo-total</t>
        </is>
      </c>
      <c r="Z835" s="5" t="inlineStr">
        <is>
          <t>data/raw/vivo_convergent_total_SP.html</t>
        </is>
      </c>
    </row>
    <row r="836">
      <c r="A836" s="2" t="inlineStr">
        <is>
          <t>2026-09-05</t>
        </is>
      </c>
      <c r="B836" s="2" t="inlineStr">
        <is>
          <t>2026-09-05T19:37:33</t>
        </is>
      </c>
      <c r="C836" s="2" t="inlineStr">
        <is>
          <t>vivo</t>
        </is>
      </c>
      <c r="D836" s="2" t="inlineStr">
        <is>
          <t>SP</t>
        </is>
      </c>
      <c r="E836" s="2" t="inlineStr">
        <is>
          <t>Vivo Total Ultra + TV</t>
        </is>
      </c>
      <c r="F836" s="2" t="inlineStr">
        <is>
          <t>vivo:VIV202604031882-9-305-313-316-408-411-426-430-442</t>
        </is>
      </c>
      <c r="G836" s="3" t="n">
        <v>310</v>
      </c>
      <c r="H836" s="3" t="inlineStr"/>
      <c r="I836" s="2" t="inlineStr"/>
      <c r="J836" s="2" t="inlineStr"/>
      <c r="K836" s="2" t="inlineStr">
        <is>
          <t>instalação grátis mediante fidelização (não afeta a mensalidade)</t>
        </is>
      </c>
      <c r="L836" s="2" t="inlineStr">
        <is>
          <t>mobile+broadband+tv</t>
        </is>
      </c>
      <c r="M836" s="2" t="inlineStr">
        <is>
          <t>Fiber + Mobile + TV</t>
        </is>
      </c>
      <c r="N836" s="2" t="b">
        <v>1</v>
      </c>
      <c r="O836" s="2" t="b">
        <v>1</v>
      </c>
      <c r="P836" s="2" t="b">
        <v>1</v>
      </c>
      <c r="Q836" s="2" t="b">
        <v>0</v>
      </c>
      <c r="R836" s="4" t="n">
        <v>700</v>
      </c>
      <c r="S836" s="4" t="n">
        <v>80</v>
      </c>
      <c r="T836" s="4" t="n">
        <v>1</v>
      </c>
      <c r="U836" s="2" t="inlineStr">
        <is>
          <t>120 canais de Vivo TV Avançado + 1 ponto adicional</t>
        </is>
      </c>
      <c r="V836" s="2" t="inlineStr"/>
      <c r="W836" s="2" t="inlineStr">
        <is>
          <t>Vivo Travel Américas; 70 GB de franquia + 10 GB de bônus</t>
        </is>
      </c>
      <c r="X836" s="2" t="inlineStr">
        <is>
          <t>700 Mega de Vivo Fibra</t>
        </is>
      </c>
      <c r="Y836" s="2" t="inlineStr">
        <is>
          <t>https://vivo.com.br/para-voce/produtos-e-servicos/combos/vivo-total</t>
        </is>
      </c>
      <c r="Z836" s="2" t="inlineStr">
        <is>
          <t>data/raw/vivo_convergent_total_SP.html</t>
        </is>
      </c>
    </row>
    <row r="837">
      <c r="A837" s="5" t="inlineStr">
        <is>
          <t>2026-09-05</t>
        </is>
      </c>
      <c r="B837" s="5" t="inlineStr">
        <is>
          <t>2026-09-05T19:37:33</t>
        </is>
      </c>
      <c r="C837" s="5" t="inlineStr">
        <is>
          <t>vivo</t>
        </is>
      </c>
      <c r="D837" s="5" t="inlineStr">
        <is>
          <t>SP</t>
        </is>
      </c>
      <c r="E837" s="5" t="inlineStr">
        <is>
          <t>Vivo Total Ultra + TV online</t>
        </is>
      </c>
      <c r="F837" s="5" t="inlineStr">
        <is>
          <t>vivo:VIV202604032034-305-313-316-336-408-411-426-430-442</t>
        </is>
      </c>
      <c r="G837" s="6" t="n">
        <v>210</v>
      </c>
      <c r="H837" s="6" t="inlineStr"/>
      <c r="I837" s="5" t="inlineStr"/>
      <c r="J837" s="5" t="inlineStr"/>
      <c r="K837" s="5" t="inlineStr">
        <is>
          <t>instalação grátis mediante fidelização (não afeta a mensalidade)</t>
        </is>
      </c>
      <c r="L837" s="5" t="inlineStr">
        <is>
          <t>mobile+broadband+tv</t>
        </is>
      </c>
      <c r="M837" s="5" t="inlineStr">
        <is>
          <t>Fiber + Mobile + TV</t>
        </is>
      </c>
      <c r="N837" s="5" t="b">
        <v>1</v>
      </c>
      <c r="O837" s="5" t="b">
        <v>1</v>
      </c>
      <c r="P837" s="5" t="b">
        <v>1</v>
      </c>
      <c r="Q837" s="5" t="b">
        <v>0</v>
      </c>
      <c r="R837" s="7" t="n">
        <v>700</v>
      </c>
      <c r="S837" s="7" t="n">
        <v>80</v>
      </c>
      <c r="T837" s="7" t="n">
        <v>1</v>
      </c>
      <c r="U837" s="5" t="inlineStr">
        <is>
          <t>80 canais de Vivo Estendido</t>
        </is>
      </c>
      <c r="V837" s="5" t="inlineStr"/>
      <c r="W837" s="5" t="inlineStr">
        <is>
          <t>Vivo Travel Américas; 70 GB de franquia + 10 GB de bônus</t>
        </is>
      </c>
      <c r="X837" s="5" t="inlineStr">
        <is>
          <t>700 Mega de Vivo Fibra</t>
        </is>
      </c>
      <c r="Y837" s="5" t="inlineStr">
        <is>
          <t>https://vivo.com.br/para-voce/produtos-e-servicos/combos/vivo-total</t>
        </is>
      </c>
      <c r="Z837" s="5" t="inlineStr">
        <is>
          <t>data/raw/vivo_convergent_total_SP.html</t>
        </is>
      </c>
    </row>
    <row r="838">
      <c r="A838" s="2" t="inlineStr">
        <is>
          <t>2026-09-05</t>
        </is>
      </c>
      <c r="B838" s="2" t="inlineStr">
        <is>
          <t>2026-09-05T19:37:33</t>
        </is>
      </c>
      <c r="C838" s="2" t="inlineStr">
        <is>
          <t>vivo</t>
        </is>
      </c>
      <c r="D838" s="2" t="inlineStr">
        <is>
          <t>SP</t>
        </is>
      </c>
      <c r="E838" s="2" t="inlineStr">
        <is>
          <t>Vivo Total V 1 Giga</t>
        </is>
      </c>
      <c r="F838" s="2" t="inlineStr">
        <is>
          <t>vivo:VIV202604032532-2-305-316-408-426-430-442</t>
        </is>
      </c>
      <c r="G838" s="3" t="n">
        <v>1200</v>
      </c>
      <c r="H838" s="3" t="inlineStr"/>
      <c r="I838" s="2" t="inlineStr"/>
      <c r="J838" s="2" t="inlineStr"/>
      <c r="K838" s="2" t="inlineStr">
        <is>
          <t>instalação grátis mediante fidelização (não afeta a mensalidade)</t>
        </is>
      </c>
      <c r="L838" s="2" t="inlineStr">
        <is>
          <t>mobile+broadband+tv</t>
        </is>
      </c>
      <c r="M838" s="2" t="inlineStr">
        <is>
          <t>Fiber + Mobile + TV</t>
        </is>
      </c>
      <c r="N838" s="2" t="b">
        <v>1</v>
      </c>
      <c r="O838" s="2" t="b">
        <v>1</v>
      </c>
      <c r="P838" s="2" t="b">
        <v>1</v>
      </c>
      <c r="Q838" s="2" t="b">
        <v>0</v>
      </c>
      <c r="R838" s="4" t="n">
        <v>1000</v>
      </c>
      <c r="S838" s="4" t="n">
        <v>600</v>
      </c>
      <c r="T838" s="4" t="n">
        <v>11</v>
      </c>
      <c r="U838" s="2" t="inlineStr">
        <is>
          <t>Vivo TV Completo com HBO Max e Telecine</t>
        </is>
      </c>
      <c r="V838" s="2" t="inlineStr"/>
      <c r="W838" s="2" t="inlineStr">
        <is>
          <t>Vivo Travel Mundo; 10 linhas adicionais inclusas; Vivo TV Completo com HBO Max e Telecine</t>
        </is>
      </c>
      <c r="X838" s="2" t="inlineStr">
        <is>
          <t>1Giga de Vivo Fibra</t>
        </is>
      </c>
      <c r="Y838" s="2" t="inlineStr">
        <is>
          <t>https://vivo.com.br/para-voce/produtos-e-servicos/combos/vivo-total</t>
        </is>
      </c>
      <c r="Z838" s="2" t="inlineStr">
        <is>
          <t>data/raw/vivo_convergent_total_SP.html</t>
        </is>
      </c>
    </row>
    <row r="839">
      <c r="A839" s="5" t="inlineStr">
        <is>
          <t>2026-09-06</t>
        </is>
      </c>
      <c r="B839" s="5" t="inlineStr">
        <is>
          <t>2026-09-06T19:39:36</t>
        </is>
      </c>
      <c r="C839" s="5" t="inlineStr">
        <is>
          <t>tim</t>
        </is>
      </c>
      <c r="D839" s="5" t="inlineStr">
        <is>
          <t>SP</t>
        </is>
      </c>
      <c r="E839" s="5" t="inlineStr">
        <is>
          <t>TIM Ultracombo 5</t>
        </is>
      </c>
      <c r="F839" s="5" t="inlineStr">
        <is>
          <t>tim:167756</t>
        </is>
      </c>
      <c r="G839" s="6" t="n">
        <v>169.99</v>
      </c>
      <c r="H839" s="6" t="inlineStr"/>
      <c r="I839" s="5" t="inlineStr"/>
      <c r="J839" s="5" t="inlineStr">
        <is>
          <t>debit_auto</t>
        </is>
      </c>
      <c r="K839" s="5" t="inlineStr">
        <is>
          <t>preço em débito automático; R$ 179,99/mês no pagamento por fatura</t>
        </is>
      </c>
      <c r="L839" s="5" t="inlineStr">
        <is>
          <t>mobile+broadband</t>
        </is>
      </c>
      <c r="M839" s="5" t="inlineStr">
        <is>
          <t>Fiber + Mobile</t>
        </is>
      </c>
      <c r="N839" s="5" t="b">
        <v>1</v>
      </c>
      <c r="O839" s="5" t="b">
        <v>1</v>
      </c>
      <c r="P839" s="5" t="b">
        <v>0</v>
      </c>
      <c r="Q839" s="5" t="b">
        <v>0</v>
      </c>
      <c r="R839" s="7" t="n">
        <v>1000</v>
      </c>
      <c r="S839" s="7" t="n">
        <v>115</v>
      </c>
      <c r="T839" s="7" t="n">
        <v>1</v>
      </c>
      <c r="U839" s="5" t="inlineStr"/>
      <c r="V839" s="5" t="inlineStr">
        <is>
          <t>Paramount+, Deezer</t>
        </is>
      </c>
      <c r="W839" s="5" t="inlineStr"/>
      <c r="X839" s="5" t="inlineStr">
        <is>
          <t>1GIGA de Ultrafibra para casa + 115GB de TIM Black C Hero para móvel: (25GB do plano + 40GB promo + 50GB bônus especial)</t>
        </is>
      </c>
      <c r="Y839" s="5" t="inlineStr">
        <is>
          <t>https://www.tim.com.br/sp/internet/tim-ultracombo</t>
        </is>
      </c>
      <c r="Z839" s="5" t="inlineStr">
        <is>
          <t>data/raw/tim_convergent_ultracombo_SP.html</t>
        </is>
      </c>
    </row>
    <row r="840">
      <c r="A840" s="2" t="inlineStr">
        <is>
          <t>2026-09-06</t>
        </is>
      </c>
      <c r="B840" s="2" t="inlineStr">
        <is>
          <t>2026-09-06T19:39:36</t>
        </is>
      </c>
      <c r="C840" s="2" t="inlineStr">
        <is>
          <t>tim</t>
        </is>
      </c>
      <c r="D840" s="2" t="inlineStr">
        <is>
          <t>SP</t>
        </is>
      </c>
      <c r="E840" s="2" t="inlineStr">
        <is>
          <t>TIM Ultracombo 6</t>
        </is>
      </c>
      <c r="F840" s="2" t="inlineStr">
        <is>
          <t>tim:167751</t>
        </is>
      </c>
      <c r="G840" s="3" t="n">
        <v>139.99</v>
      </c>
      <c r="H840" s="3" t="inlineStr"/>
      <c r="I840" s="2" t="inlineStr"/>
      <c r="J840" s="2" t="inlineStr">
        <is>
          <t>debit_auto</t>
        </is>
      </c>
      <c r="K840" s="2" t="inlineStr">
        <is>
          <t>preço em débito automático; R$ 149,99/mês no pagamento por fatura</t>
        </is>
      </c>
      <c r="L840" s="2" t="inlineStr">
        <is>
          <t>mobile+broadband</t>
        </is>
      </c>
      <c r="M840" s="2" t="inlineStr">
        <is>
          <t>Fiber + Mobile</t>
        </is>
      </c>
      <c r="N840" s="2" t="b">
        <v>1</v>
      </c>
      <c r="O840" s="2" t="b">
        <v>1</v>
      </c>
      <c r="P840" s="2" t="b">
        <v>0</v>
      </c>
      <c r="Q840" s="2" t="b">
        <v>0</v>
      </c>
      <c r="R840" s="4" t="n">
        <v>1000</v>
      </c>
      <c r="S840" s="4" t="n">
        <v>70</v>
      </c>
      <c r="T840" s="4" t="n">
        <v>1</v>
      </c>
      <c r="U840" s="2" t="inlineStr"/>
      <c r="V840" s="2" t="inlineStr">
        <is>
          <t>Paramount+, Deezer</t>
        </is>
      </c>
      <c r="W840" s="2" t="inlineStr"/>
      <c r="X840" s="2" t="inlineStr">
        <is>
          <t>1GIGA de Ultrafibra para casa + 70GB de TIM Black A para móvel: (15GB do plano + 50GB promo + 5GB bônus especial)</t>
        </is>
      </c>
      <c r="Y840" s="2" t="inlineStr">
        <is>
          <t>https://www.tim.com.br/sp/internet/tim-ultracombo</t>
        </is>
      </c>
      <c r="Z840" s="2" t="inlineStr">
        <is>
          <t>data/raw/tim_convergent_ultracombo_SP.html</t>
        </is>
      </c>
    </row>
    <row r="841">
      <c r="A841" s="5" t="inlineStr">
        <is>
          <t>2026-09-06</t>
        </is>
      </c>
      <c r="B841" s="5" t="inlineStr">
        <is>
          <t>2026-09-06T19:39:36</t>
        </is>
      </c>
      <c r="C841" s="5" t="inlineStr">
        <is>
          <t>tim</t>
        </is>
      </c>
      <c r="D841" s="5" t="inlineStr">
        <is>
          <t>SP</t>
        </is>
      </c>
      <c r="E841" s="5" t="inlineStr">
        <is>
          <t>TIM Ultracombo 7</t>
        </is>
      </c>
      <c r="F841" s="5" t="inlineStr">
        <is>
          <t>tim:167761</t>
        </is>
      </c>
      <c r="G841" s="6" t="n">
        <v>89.98999999999999</v>
      </c>
      <c r="H841" s="6" t="inlineStr"/>
      <c r="I841" s="5" t="inlineStr"/>
      <c r="J841" s="5" t="inlineStr">
        <is>
          <t>debit_auto</t>
        </is>
      </c>
      <c r="K841" s="5" t="inlineStr">
        <is>
          <t>preço em débito automático; R$ 99,99/mês no pagamento por fatura</t>
        </is>
      </c>
      <c r="L841" s="5" t="inlineStr">
        <is>
          <t>mobile+broadband</t>
        </is>
      </c>
      <c r="M841" s="5" t="inlineStr">
        <is>
          <t>Fiber + Mobile</t>
        </is>
      </c>
      <c r="N841" s="5" t="b">
        <v>1</v>
      </c>
      <c r="O841" s="5" t="b">
        <v>1</v>
      </c>
      <c r="P841" s="5" t="b">
        <v>0</v>
      </c>
      <c r="Q841" s="5" t="b">
        <v>0</v>
      </c>
      <c r="R841" s="7" t="n">
        <v>500</v>
      </c>
      <c r="S841" s="7" t="n">
        <v>65</v>
      </c>
      <c r="T841" s="7" t="n">
        <v>1</v>
      </c>
      <c r="U841" s="5" t="inlineStr"/>
      <c r="V841" s="5" t="inlineStr"/>
      <c r="W841" s="5" t="inlineStr"/>
      <c r="X841" s="5" t="inlineStr">
        <is>
          <t>500MEGA de Ultrafibra para casa + 65GB de TIM Black A Light para móvel: (10GB do plano + 50GB promo)</t>
        </is>
      </c>
      <c r="Y841" s="5" t="inlineStr">
        <is>
          <t>https://www.tim.com.br/sp/internet/tim-ultracombo</t>
        </is>
      </c>
      <c r="Z841" s="5" t="inlineStr">
        <is>
          <t>data/raw/tim_convergent_ultracombo_SP.html</t>
        </is>
      </c>
    </row>
    <row r="842">
      <c r="A842" s="2" t="inlineStr">
        <is>
          <t>2026-09-06</t>
        </is>
      </c>
      <c r="B842" s="2" t="inlineStr">
        <is>
          <t>2026-09-06T19:39:36</t>
        </is>
      </c>
      <c r="C842" s="2" t="inlineStr">
        <is>
          <t>vivo</t>
        </is>
      </c>
      <c r="D842" s="2" t="inlineStr">
        <is>
          <t>SP</t>
        </is>
      </c>
      <c r="E842" s="2" t="inlineStr">
        <is>
          <t>Vivo Família 2 + TV</t>
        </is>
      </c>
      <c r="F842" s="2" t="inlineStr">
        <is>
          <t>vivo:VIV202604032132-3-305-316-336-408-411-426-430-442</t>
        </is>
      </c>
      <c r="G842" s="3" t="n">
        <v>290</v>
      </c>
      <c r="H842" s="3" t="inlineStr"/>
      <c r="I842" s="2" t="inlineStr"/>
      <c r="J842" s="2" t="inlineStr"/>
      <c r="K842" s="2" t="inlineStr">
        <is>
          <t>instalação grátis mediante fidelização (não afeta a mensalidade)</t>
        </is>
      </c>
      <c r="L842" s="2" t="inlineStr">
        <is>
          <t>mobile+broadband+tv</t>
        </is>
      </c>
      <c r="M842" s="2" t="inlineStr">
        <is>
          <t>Fiber + Mobile + TV</t>
        </is>
      </c>
      <c r="N842" s="2" t="b">
        <v>1</v>
      </c>
      <c r="O842" s="2" t="b">
        <v>1</v>
      </c>
      <c r="P842" s="2" t="b">
        <v>1</v>
      </c>
      <c r="Q842" s="2" t="b">
        <v>0</v>
      </c>
      <c r="R842" s="4" t="n">
        <v>700</v>
      </c>
      <c r="S842" s="4" t="n">
        <v>120</v>
      </c>
      <c r="T842" s="4" t="n">
        <v>2</v>
      </c>
      <c r="U842" s="2" t="inlineStr">
        <is>
          <t>80 canais de Vivo Estendido</t>
        </is>
      </c>
      <c r="V842" s="2" t="inlineStr"/>
      <c r="W842" s="2" t="inlineStr">
        <is>
          <t>Vivo Travel Américas e Europa; 1 linha adicional inclusa</t>
        </is>
      </c>
      <c r="X842" s="2" t="inlineStr">
        <is>
          <t>700 Mega de Vivo Fibra</t>
        </is>
      </c>
      <c r="Y842" s="2" t="inlineStr">
        <is>
          <t>https://vivo.com.br/para-voce/produtos-e-servicos/combos/vivo-total</t>
        </is>
      </c>
      <c r="Z842" s="2" t="inlineStr">
        <is>
          <t>data/raw/vivo_convergent_total_SP.html</t>
        </is>
      </c>
    </row>
    <row r="843">
      <c r="A843" s="5" t="inlineStr">
        <is>
          <t>2026-09-06</t>
        </is>
      </c>
      <c r="B843" s="5" t="inlineStr">
        <is>
          <t>2026-09-06T19:39:36</t>
        </is>
      </c>
      <c r="C843" s="5" t="inlineStr">
        <is>
          <t>vivo</t>
        </is>
      </c>
      <c r="D843" s="5" t="inlineStr">
        <is>
          <t>SP</t>
        </is>
      </c>
      <c r="E843" s="5" t="inlineStr">
        <is>
          <t>Vivo Família 2 + TV</t>
        </is>
      </c>
      <c r="F843" s="5" t="inlineStr">
        <is>
          <t>vivo:VIV202604032112-3-9-305-316-408-411-426-430-442</t>
        </is>
      </c>
      <c r="G843" s="6" t="n">
        <v>390</v>
      </c>
      <c r="H843" s="6" t="inlineStr"/>
      <c r="I843" s="5" t="inlineStr"/>
      <c r="J843" s="5" t="inlineStr"/>
      <c r="K843" s="5" t="inlineStr">
        <is>
          <t>instalação grátis mediante fidelização (não afeta a mensalidade)</t>
        </is>
      </c>
      <c r="L843" s="5" t="inlineStr">
        <is>
          <t>mobile+broadband+tv</t>
        </is>
      </c>
      <c r="M843" s="5" t="inlineStr">
        <is>
          <t>Fiber + Mobile + TV</t>
        </is>
      </c>
      <c r="N843" s="5" t="b">
        <v>1</v>
      </c>
      <c r="O843" s="5" t="b">
        <v>1</v>
      </c>
      <c r="P843" s="5" t="b">
        <v>1</v>
      </c>
      <c r="Q843" s="5" t="b">
        <v>0</v>
      </c>
      <c r="R843" s="7" t="n">
        <v>700</v>
      </c>
      <c r="S843" s="7" t="n">
        <v>120</v>
      </c>
      <c r="T843" s="7" t="n">
        <v>2</v>
      </c>
      <c r="U843" s="5" t="inlineStr">
        <is>
          <t>120 canais de Vivo TV Avançado + 1 ponto adicional</t>
        </is>
      </c>
      <c r="V843" s="5" t="inlineStr"/>
      <c r="W843" s="5" t="inlineStr">
        <is>
          <t>Vivo Travel Américas e Europa; 1 linha adicional inclusa</t>
        </is>
      </c>
      <c r="X843" s="5" t="inlineStr">
        <is>
          <t>700 Mega de Vivo Fibra</t>
        </is>
      </c>
      <c r="Y843" s="5" t="inlineStr">
        <is>
          <t>https://vivo.com.br/para-voce/produtos-e-servicos/combos/vivo-total</t>
        </is>
      </c>
      <c r="Z843" s="5" t="inlineStr">
        <is>
          <t>data/raw/vivo_convergent_total_SP.html</t>
        </is>
      </c>
    </row>
    <row r="844">
      <c r="A844" s="2" t="inlineStr">
        <is>
          <t>2026-09-06</t>
        </is>
      </c>
      <c r="B844" s="2" t="inlineStr">
        <is>
          <t>2026-09-06T19:39:36</t>
        </is>
      </c>
      <c r="C844" s="2" t="inlineStr">
        <is>
          <t>vivo</t>
        </is>
      </c>
      <c r="D844" s="2" t="inlineStr">
        <is>
          <t>SP</t>
        </is>
      </c>
      <c r="E844" s="2" t="inlineStr">
        <is>
          <t>Vivo Total Família 2</t>
        </is>
      </c>
      <c r="F844" s="2" t="inlineStr">
        <is>
          <t>vivo:VIV202604032132-3-305-316-408-411-426-430-442</t>
        </is>
      </c>
      <c r="G844" s="3" t="n">
        <v>270</v>
      </c>
      <c r="H844" s="3" t="inlineStr"/>
      <c r="I844" s="2" t="inlineStr"/>
      <c r="J844" s="2" t="inlineStr"/>
      <c r="K844" s="2" t="inlineStr">
        <is>
          <t>instalação grátis mediante fidelização (não afeta a mensalidade)</t>
        </is>
      </c>
      <c r="L844" s="2" t="inlineStr">
        <is>
          <t>mobile+broadband</t>
        </is>
      </c>
      <c r="M844" s="2" t="inlineStr">
        <is>
          <t>Fiber + Mobile</t>
        </is>
      </c>
      <c r="N844" s="2" t="b">
        <v>1</v>
      </c>
      <c r="O844" s="2" t="b">
        <v>1</v>
      </c>
      <c r="P844" s="2" t="b">
        <v>0</v>
      </c>
      <c r="Q844" s="2" t="b">
        <v>0</v>
      </c>
      <c r="R844" s="4" t="n">
        <v>700</v>
      </c>
      <c r="S844" s="4" t="n">
        <v>120</v>
      </c>
      <c r="T844" s="4" t="n">
        <v>2</v>
      </c>
      <c r="U844" s="2" t="inlineStr"/>
      <c r="V844" s="2" t="inlineStr"/>
      <c r="W844" s="2" t="inlineStr">
        <is>
          <t>Vivo Travel Américas e Europa; 1 linha adicional inclusa</t>
        </is>
      </c>
      <c r="X844" s="2" t="inlineStr">
        <is>
          <t>700 Mega de Vivo Fibra</t>
        </is>
      </c>
      <c r="Y844" s="2" t="inlineStr">
        <is>
          <t>https://vivo.com.br/para-voce/produtos-e-servicos/combos/vivo-total</t>
        </is>
      </c>
      <c r="Z844" s="2" t="inlineStr">
        <is>
          <t>data/raw/vivo_convergent_total_SP.html</t>
        </is>
      </c>
    </row>
    <row r="845">
      <c r="A845" s="5" t="inlineStr">
        <is>
          <t>2026-09-06</t>
        </is>
      </c>
      <c r="B845" s="5" t="inlineStr">
        <is>
          <t>2026-09-06T19:39:36</t>
        </is>
      </c>
      <c r="C845" s="5" t="inlineStr">
        <is>
          <t>vivo</t>
        </is>
      </c>
      <c r="D845" s="5" t="inlineStr">
        <is>
          <t>SP</t>
        </is>
      </c>
      <c r="E845" s="5" t="inlineStr">
        <is>
          <t>Vivo Total Família 3</t>
        </is>
      </c>
      <c r="F845" s="5" t="inlineStr">
        <is>
          <t>vivo:VIV202604032212-4-305-316-408-411-426-430-442</t>
        </is>
      </c>
      <c r="G845" s="6" t="n">
        <v>330</v>
      </c>
      <c r="H845" s="6" t="inlineStr"/>
      <c r="I845" s="5" t="inlineStr"/>
      <c r="J845" s="5" t="inlineStr"/>
      <c r="K845" s="5" t="inlineStr">
        <is>
          <t>instalação grátis mediante fidelização (não afeta a mensalidade)</t>
        </is>
      </c>
      <c r="L845" s="5" t="inlineStr">
        <is>
          <t>mobile+broadband</t>
        </is>
      </c>
      <c r="M845" s="5" t="inlineStr">
        <is>
          <t>Fiber + Mobile</t>
        </is>
      </c>
      <c r="N845" s="5" t="b">
        <v>1</v>
      </c>
      <c r="O845" s="5" t="b">
        <v>1</v>
      </c>
      <c r="P845" s="5" t="b">
        <v>0</v>
      </c>
      <c r="Q845" s="5" t="b">
        <v>0</v>
      </c>
      <c r="R845" s="7" t="n">
        <v>700</v>
      </c>
      <c r="S845" s="7" t="n">
        <v>180</v>
      </c>
      <c r="T845" s="7" t="n">
        <v>3</v>
      </c>
      <c r="U845" s="5" t="inlineStr"/>
      <c r="V845" s="5" t="inlineStr"/>
      <c r="W845" s="5" t="inlineStr">
        <is>
          <t>Vivo Travel Américas e Europa; 2 linhas adicionais inclusas</t>
        </is>
      </c>
      <c r="X845" s="5" t="inlineStr">
        <is>
          <t>700 Mega de Vivo Fibra</t>
        </is>
      </c>
      <c r="Y845" s="5" t="inlineStr">
        <is>
          <t>https://vivo.com.br/para-voce/produtos-e-servicos/combos/vivo-total</t>
        </is>
      </c>
      <c r="Z845" s="5" t="inlineStr">
        <is>
          <t>data/raw/vivo_convergent_total_SP.html</t>
        </is>
      </c>
    </row>
    <row r="846">
      <c r="A846" s="2" t="inlineStr">
        <is>
          <t>2026-09-06</t>
        </is>
      </c>
      <c r="B846" s="2" t="inlineStr">
        <is>
          <t>2026-09-06T19:39:36</t>
        </is>
      </c>
      <c r="C846" s="2" t="inlineStr">
        <is>
          <t>vivo</t>
        </is>
      </c>
      <c r="D846" s="2" t="inlineStr">
        <is>
          <t>SP</t>
        </is>
      </c>
      <c r="E846" s="2" t="inlineStr">
        <is>
          <t>Vivo Total Família 4</t>
        </is>
      </c>
      <c r="F846" s="2" t="inlineStr">
        <is>
          <t>vivo:VIV202604032292-237-305-316-408-411-426-430-442</t>
        </is>
      </c>
      <c r="G846" s="3" t="n">
        <v>420</v>
      </c>
      <c r="H846" s="3" t="inlineStr"/>
      <c r="I846" s="2" t="inlineStr"/>
      <c r="J846" s="2" t="inlineStr"/>
      <c r="K846" s="2" t="inlineStr">
        <is>
          <t>instalação grátis mediante fidelização (não afeta a mensalidade)</t>
        </is>
      </c>
      <c r="L846" s="2" t="inlineStr">
        <is>
          <t>mobile+broadband</t>
        </is>
      </c>
      <c r="M846" s="2" t="inlineStr">
        <is>
          <t>Fiber + Mobile</t>
        </is>
      </c>
      <c r="N846" s="2" t="b">
        <v>1</v>
      </c>
      <c r="O846" s="2" t="b">
        <v>1</v>
      </c>
      <c r="P846" s="2" t="b">
        <v>0</v>
      </c>
      <c r="Q846" s="2" t="b">
        <v>0</v>
      </c>
      <c r="R846" s="4" t="n">
        <v>700</v>
      </c>
      <c r="S846" s="4" t="n">
        <v>240</v>
      </c>
      <c r="T846" s="4" t="n">
        <v>4</v>
      </c>
      <c r="U846" s="2" t="inlineStr"/>
      <c r="V846" s="2" t="inlineStr"/>
      <c r="W846" s="2" t="inlineStr">
        <is>
          <t>Vivo Travel Américas e Europa; 3 linhas adicionais inclusas</t>
        </is>
      </c>
      <c r="X846" s="2" t="inlineStr">
        <is>
          <t>700 Mega de Vivo Fibra</t>
        </is>
      </c>
      <c r="Y846" s="2" t="inlineStr">
        <is>
          <t>https://vivo.com.br/para-voce/produtos-e-servicos/combos/vivo-total</t>
        </is>
      </c>
      <c r="Z846" s="2" t="inlineStr">
        <is>
          <t>data/raw/vivo_convergent_total_SP.html</t>
        </is>
      </c>
    </row>
    <row r="847">
      <c r="A847" s="5" t="inlineStr">
        <is>
          <t>2026-09-06</t>
        </is>
      </c>
      <c r="B847" s="5" t="inlineStr">
        <is>
          <t>2026-09-06T19:39:36</t>
        </is>
      </c>
      <c r="C847" s="5" t="inlineStr">
        <is>
          <t>vivo</t>
        </is>
      </c>
      <c r="D847" s="5" t="inlineStr">
        <is>
          <t>SP</t>
        </is>
      </c>
      <c r="E847" s="5" t="inlineStr">
        <is>
          <t>Vivo Total Família 5</t>
        </is>
      </c>
      <c r="F847" s="5" t="inlineStr">
        <is>
          <t>vivo:VIV202604032372-5-305-316-408-411-426-430-442</t>
        </is>
      </c>
      <c r="G847" s="6" t="n">
        <v>520</v>
      </c>
      <c r="H847" s="6" t="inlineStr"/>
      <c r="I847" s="5" t="inlineStr"/>
      <c r="J847" s="5" t="inlineStr"/>
      <c r="K847" s="5" t="inlineStr">
        <is>
          <t>instalação grátis mediante fidelização (não afeta a mensalidade)</t>
        </is>
      </c>
      <c r="L847" s="5" t="inlineStr">
        <is>
          <t>mobile+broadband</t>
        </is>
      </c>
      <c r="M847" s="5" t="inlineStr">
        <is>
          <t>Fiber + Mobile</t>
        </is>
      </c>
      <c r="N847" s="5" t="b">
        <v>1</v>
      </c>
      <c r="O847" s="5" t="b">
        <v>1</v>
      </c>
      <c r="P847" s="5" t="b">
        <v>0</v>
      </c>
      <c r="Q847" s="5" t="b">
        <v>0</v>
      </c>
      <c r="R847" s="7" t="n">
        <v>700</v>
      </c>
      <c r="S847" s="7" t="n">
        <v>300</v>
      </c>
      <c r="T847" s="7" t="n">
        <v>5</v>
      </c>
      <c r="U847" s="5" t="inlineStr"/>
      <c r="V847" s="5" t="inlineStr"/>
      <c r="W847" s="5" t="inlineStr">
        <is>
          <t>Vivo Travel Américas e Europa; 4 linhas adicionais inclusas</t>
        </is>
      </c>
      <c r="X847" s="5" t="inlineStr">
        <is>
          <t>700 Mega de Vivo Fibra</t>
        </is>
      </c>
      <c r="Y847" s="5" t="inlineStr">
        <is>
          <t>https://vivo.com.br/para-voce/produtos-e-servicos/combos/vivo-total</t>
        </is>
      </c>
      <c r="Z847" s="5" t="inlineStr">
        <is>
          <t>data/raw/vivo_convergent_total_SP.html</t>
        </is>
      </c>
    </row>
    <row r="848">
      <c r="A848" s="2" t="inlineStr">
        <is>
          <t>2026-09-06</t>
        </is>
      </c>
      <c r="B848" s="2" t="inlineStr">
        <is>
          <t>2026-09-06T19:39:36</t>
        </is>
      </c>
      <c r="C848" s="2" t="inlineStr">
        <is>
          <t>vivo</t>
        </is>
      </c>
      <c r="D848" s="2" t="inlineStr">
        <is>
          <t>SP</t>
        </is>
      </c>
      <c r="E848" s="2" t="inlineStr">
        <is>
          <t>Vivo Total Pro</t>
        </is>
      </c>
      <c r="F848" s="2" t="inlineStr">
        <is>
          <t>vivo:VIV202604031772-2-305-308-316-326-342-411-430</t>
        </is>
      </c>
      <c r="G848" s="3" t="n">
        <v>160</v>
      </c>
      <c r="H848" s="3" t="inlineStr"/>
      <c r="I848" s="2" t="inlineStr"/>
      <c r="J848" s="2" t="inlineStr"/>
      <c r="K848" s="2" t="inlineStr">
        <is>
          <t>instalação grátis mediante fidelização (não afeta a mensalidade)</t>
        </is>
      </c>
      <c r="L848" s="2" t="inlineStr">
        <is>
          <t>mobile+broadband</t>
        </is>
      </c>
      <c r="M848" s="2" t="inlineStr">
        <is>
          <t>Fiber + Mobile</t>
        </is>
      </c>
      <c r="N848" s="2" t="b">
        <v>1</v>
      </c>
      <c r="O848" s="2" t="b">
        <v>1</v>
      </c>
      <c r="P848" s="2" t="b">
        <v>0</v>
      </c>
      <c r="Q848" s="2" t="b">
        <v>0</v>
      </c>
      <c r="R848" s="4" t="n">
        <v>500</v>
      </c>
      <c r="S848" s="4" t="n">
        <v>70</v>
      </c>
      <c r="T848" s="4" t="n">
        <v>1</v>
      </c>
      <c r="U848" s="2" t="inlineStr"/>
      <c r="V848" s="2" t="inlineStr"/>
      <c r="W848" s="2" t="inlineStr">
        <is>
          <t>Vivo Travel Américas; 50 GB de franquia + 20 GB de bônus</t>
        </is>
      </c>
      <c r="X848" s="2" t="inlineStr">
        <is>
          <t>500 Mega de Vivo Fibra</t>
        </is>
      </c>
      <c r="Y848" s="2" t="inlineStr">
        <is>
          <t>https://vivo.com.br/para-voce/produtos-e-servicos/combos/vivo-total</t>
        </is>
      </c>
      <c r="Z848" s="2" t="inlineStr">
        <is>
          <t>data/raw/vivo_convergent_total_SP.html</t>
        </is>
      </c>
    </row>
    <row r="849">
      <c r="A849" s="5" t="inlineStr">
        <is>
          <t>2026-09-06</t>
        </is>
      </c>
      <c r="B849" s="5" t="inlineStr">
        <is>
          <t>2026-09-06T19:39:36</t>
        </is>
      </c>
      <c r="C849" s="5" t="inlineStr">
        <is>
          <t>vivo</t>
        </is>
      </c>
      <c r="D849" s="5" t="inlineStr">
        <is>
          <t>SP</t>
        </is>
      </c>
      <c r="E849" s="5" t="inlineStr">
        <is>
          <t>Vivo Total Ultra</t>
        </is>
      </c>
      <c r="F849" s="5" t="inlineStr">
        <is>
          <t>vivo:VIV202604032034-305-313-316-408-411-426-430-442</t>
        </is>
      </c>
      <c r="G849" s="6" t="n">
        <v>190</v>
      </c>
      <c r="H849" s="6" t="inlineStr"/>
      <c r="I849" s="5" t="inlineStr"/>
      <c r="J849" s="5" t="inlineStr"/>
      <c r="K849" s="5" t="inlineStr">
        <is>
          <t>instalação grátis mediante fidelização (não afeta a mensalidade)</t>
        </is>
      </c>
      <c r="L849" s="5" t="inlineStr">
        <is>
          <t>mobile+broadband</t>
        </is>
      </c>
      <c r="M849" s="5" t="inlineStr">
        <is>
          <t>Fiber + Mobile</t>
        </is>
      </c>
      <c r="N849" s="5" t="b">
        <v>1</v>
      </c>
      <c r="O849" s="5" t="b">
        <v>1</v>
      </c>
      <c r="P849" s="5" t="b">
        <v>0</v>
      </c>
      <c r="Q849" s="5" t="b">
        <v>0</v>
      </c>
      <c r="R849" s="7" t="n">
        <v>700</v>
      </c>
      <c r="S849" s="7" t="n">
        <v>80</v>
      </c>
      <c r="T849" s="7" t="n">
        <v>1</v>
      </c>
      <c r="U849" s="5" t="inlineStr"/>
      <c r="V849" s="5" t="inlineStr"/>
      <c r="W849" s="5" t="inlineStr">
        <is>
          <t>Vivo Travel Américas; 70 GB de franquia + 10 GB de bônus</t>
        </is>
      </c>
      <c r="X849" s="5" t="inlineStr">
        <is>
          <t>700 Mega de Vivo Fibra</t>
        </is>
      </c>
      <c r="Y849" s="5" t="inlineStr">
        <is>
          <t>https://vivo.com.br/para-voce/produtos-e-servicos/combos/vivo-total</t>
        </is>
      </c>
      <c r="Z849" s="5" t="inlineStr">
        <is>
          <t>data/raw/vivo_convergent_total_SP.html</t>
        </is>
      </c>
    </row>
    <row r="850">
      <c r="A850" s="2" t="inlineStr">
        <is>
          <t>2026-09-06</t>
        </is>
      </c>
      <c r="B850" s="2" t="inlineStr">
        <is>
          <t>2026-09-06T19:39:36</t>
        </is>
      </c>
      <c r="C850" s="2" t="inlineStr">
        <is>
          <t>vivo</t>
        </is>
      </c>
      <c r="D850" s="2" t="inlineStr">
        <is>
          <t>SP</t>
        </is>
      </c>
      <c r="E850" s="2" t="inlineStr">
        <is>
          <t>Vivo Total Ultra + TV</t>
        </is>
      </c>
      <c r="F850" s="2" t="inlineStr">
        <is>
          <t>vivo:VIV202604031882-9-305-313-316-408-411-426-430-442</t>
        </is>
      </c>
      <c r="G850" s="3" t="n">
        <v>310</v>
      </c>
      <c r="H850" s="3" t="inlineStr"/>
      <c r="I850" s="2" t="inlineStr"/>
      <c r="J850" s="2" t="inlineStr"/>
      <c r="K850" s="2" t="inlineStr">
        <is>
          <t>instalação grátis mediante fidelização (não afeta a mensalidade)</t>
        </is>
      </c>
      <c r="L850" s="2" t="inlineStr">
        <is>
          <t>mobile+broadband+tv</t>
        </is>
      </c>
      <c r="M850" s="2" t="inlineStr">
        <is>
          <t>Fiber + Mobile + TV</t>
        </is>
      </c>
      <c r="N850" s="2" t="b">
        <v>1</v>
      </c>
      <c r="O850" s="2" t="b">
        <v>1</v>
      </c>
      <c r="P850" s="2" t="b">
        <v>1</v>
      </c>
      <c r="Q850" s="2" t="b">
        <v>0</v>
      </c>
      <c r="R850" s="4" t="n">
        <v>700</v>
      </c>
      <c r="S850" s="4" t="n">
        <v>80</v>
      </c>
      <c r="T850" s="4" t="n">
        <v>1</v>
      </c>
      <c r="U850" s="2" t="inlineStr">
        <is>
          <t>120 canais de Vivo TV Avançado + 1 ponto adicional</t>
        </is>
      </c>
      <c r="V850" s="2" t="inlineStr"/>
      <c r="W850" s="2" t="inlineStr">
        <is>
          <t>Vivo Travel Américas; 70 GB de franquia + 10 GB de bônus</t>
        </is>
      </c>
      <c r="X850" s="2" t="inlineStr">
        <is>
          <t>700 Mega de Vivo Fibra</t>
        </is>
      </c>
      <c r="Y850" s="2" t="inlineStr">
        <is>
          <t>https://vivo.com.br/para-voce/produtos-e-servicos/combos/vivo-total</t>
        </is>
      </c>
      <c r="Z850" s="2" t="inlineStr">
        <is>
          <t>data/raw/vivo_convergent_total_SP.html</t>
        </is>
      </c>
    </row>
    <row r="851">
      <c r="A851" s="5" t="inlineStr">
        <is>
          <t>2026-09-06</t>
        </is>
      </c>
      <c r="B851" s="5" t="inlineStr">
        <is>
          <t>2026-09-06T19:39:36</t>
        </is>
      </c>
      <c r="C851" s="5" t="inlineStr">
        <is>
          <t>vivo</t>
        </is>
      </c>
      <c r="D851" s="5" t="inlineStr">
        <is>
          <t>SP</t>
        </is>
      </c>
      <c r="E851" s="5" t="inlineStr">
        <is>
          <t>Vivo Total Ultra + TV online</t>
        </is>
      </c>
      <c r="F851" s="5" t="inlineStr">
        <is>
          <t>vivo:VIV202604032034-305-313-316-336-408-411-426-430-442</t>
        </is>
      </c>
      <c r="G851" s="6" t="n">
        <v>210</v>
      </c>
      <c r="H851" s="6" t="inlineStr"/>
      <c r="I851" s="5" t="inlineStr"/>
      <c r="J851" s="5" t="inlineStr"/>
      <c r="K851" s="5" t="inlineStr">
        <is>
          <t>instalação grátis mediante fidelização (não afeta a mensalidade)</t>
        </is>
      </c>
      <c r="L851" s="5" t="inlineStr">
        <is>
          <t>mobile+broadband+tv</t>
        </is>
      </c>
      <c r="M851" s="5" t="inlineStr">
        <is>
          <t>Fiber + Mobile + TV</t>
        </is>
      </c>
      <c r="N851" s="5" t="b">
        <v>1</v>
      </c>
      <c r="O851" s="5" t="b">
        <v>1</v>
      </c>
      <c r="P851" s="5" t="b">
        <v>1</v>
      </c>
      <c r="Q851" s="5" t="b">
        <v>0</v>
      </c>
      <c r="R851" s="7" t="n">
        <v>700</v>
      </c>
      <c r="S851" s="7" t="n">
        <v>80</v>
      </c>
      <c r="T851" s="7" t="n">
        <v>1</v>
      </c>
      <c r="U851" s="5" t="inlineStr">
        <is>
          <t>80 canais de Vivo Estendido</t>
        </is>
      </c>
      <c r="V851" s="5" t="inlineStr"/>
      <c r="W851" s="5" t="inlineStr">
        <is>
          <t>Vivo Travel Américas; 70 GB de franquia + 10 GB de bônus</t>
        </is>
      </c>
      <c r="X851" s="5" t="inlineStr">
        <is>
          <t>700 Mega de Vivo Fibra</t>
        </is>
      </c>
      <c r="Y851" s="5" t="inlineStr">
        <is>
          <t>https://vivo.com.br/para-voce/produtos-e-servicos/combos/vivo-total</t>
        </is>
      </c>
      <c r="Z851" s="5" t="inlineStr">
        <is>
          <t>data/raw/vivo_convergent_total_SP.html</t>
        </is>
      </c>
    </row>
    <row r="852">
      <c r="A852" s="2" t="inlineStr">
        <is>
          <t>2026-09-06</t>
        </is>
      </c>
      <c r="B852" s="2" t="inlineStr">
        <is>
          <t>2026-09-06T19:39:36</t>
        </is>
      </c>
      <c r="C852" s="2" t="inlineStr">
        <is>
          <t>vivo</t>
        </is>
      </c>
      <c r="D852" s="2" t="inlineStr">
        <is>
          <t>SP</t>
        </is>
      </c>
      <c r="E852" s="2" t="inlineStr">
        <is>
          <t>Vivo Total V 1 Giga</t>
        </is>
      </c>
      <c r="F852" s="2" t="inlineStr">
        <is>
          <t>vivo:VIV202604032532-2-305-316-408-426-430-442</t>
        </is>
      </c>
      <c r="G852" s="3" t="n">
        <v>1200</v>
      </c>
      <c r="H852" s="3" t="inlineStr"/>
      <c r="I852" s="2" t="inlineStr"/>
      <c r="J852" s="2" t="inlineStr"/>
      <c r="K852" s="2" t="inlineStr">
        <is>
          <t>instalação grátis mediante fidelização (não afeta a mensalidade)</t>
        </is>
      </c>
      <c r="L852" s="2" t="inlineStr">
        <is>
          <t>mobile+broadband+tv</t>
        </is>
      </c>
      <c r="M852" s="2" t="inlineStr">
        <is>
          <t>Fiber + Mobile + TV</t>
        </is>
      </c>
      <c r="N852" s="2" t="b">
        <v>1</v>
      </c>
      <c r="O852" s="2" t="b">
        <v>1</v>
      </c>
      <c r="P852" s="2" t="b">
        <v>1</v>
      </c>
      <c r="Q852" s="2" t="b">
        <v>0</v>
      </c>
      <c r="R852" s="4" t="n">
        <v>1000</v>
      </c>
      <c r="S852" s="4" t="n">
        <v>600</v>
      </c>
      <c r="T852" s="4" t="n">
        <v>11</v>
      </c>
      <c r="U852" s="2" t="inlineStr">
        <is>
          <t>Vivo TV Completo com HBO Max e Telecine</t>
        </is>
      </c>
      <c r="V852" s="2" t="inlineStr"/>
      <c r="W852" s="2" t="inlineStr">
        <is>
          <t>Vivo Travel Mundo; 10 linhas adicionais inclusas; Vivo TV Completo com HBO Max e Telecine</t>
        </is>
      </c>
      <c r="X852" s="2" t="inlineStr">
        <is>
          <t>1Giga de Vivo Fibra</t>
        </is>
      </c>
      <c r="Y852" s="2" t="inlineStr">
        <is>
          <t>https://vivo.com.br/para-voce/produtos-e-servicos/combos/vivo-total</t>
        </is>
      </c>
      <c r="Z852" s="2" t="inlineStr">
        <is>
          <t>data/raw/vivo_convergent_total_SP.html</t>
        </is>
      </c>
    </row>
  </sheetData>
  <autoFilter ref="A1:Z85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6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3">
      <c r="A33" s="12" t="n">
        <v>46270</v>
      </c>
      <c r="B33" s="3">
        <f>IFERROR(IF(_xlfn.MINIFS(convergent_history!$G:$G,convergent_history!$C:$C,"tim",convergent_history!$M:$M,"Fiber + Mobile",convergent_history!$A:$A,YEAR($A33)&amp;"-"&amp;TEXT(MONTH($A33),"00")&amp;"-"&amp;TEXT(DAY($A33),"00"))=0,"",_xlfn.MINIFS(convergent_history!$G:$G,convergent_history!$C:$C,"tim",convergent_history!$M:$M,"Fiber + Mobile",convergent_history!$A:$A,YEAR($A33)&amp;"-"&amp;TEXT(MONTH($A33),"00")&amp;"-"&amp;TEXT(DAY($A33),"00"))),"")</f>
        <v>89.99</v>
      </c>
      <c r="C33" s="3">
        <f>IFERROR(IF(_xlfn.MINIFS(convergent_history!$G:$G,convergent_history!$C:$C,"vivo",convergent_history!$M:$M,"Fiber + Mobile",convergent_history!$A:$A,YEAR($A33)&amp;"-"&amp;TEXT(MONTH($A33),"00")&amp;"-"&amp;TEXT(DAY($A33),"00"))=0,"",_xlfn.MINIFS(convergent_history!$G:$G,convergent_history!$C:$C,"vivo",convergent_history!$M:$M,"Fiber + Mobile",convergent_history!$A:$A,YEAR($A33)&amp;"-"&amp;TEXT(MONTH($A33),"00")&amp;"-"&amp;TEXT(DAY($A33),"00"))),"")</f>
        <v>160</v>
      </c>
      <c r="D33" s="3">
        <f>IFERROR(IF(_xlfn.MINIFS(convergent_history!$G:$G,convergent_history!$C:$C,"claro",convergent_history!$M:$M,"Fiber + Mobile",convergent_history!$A:$A,YEAR($A33)&amp;"-"&amp;TEXT(MONTH($A33),"00")&amp;"-"&amp;TEXT(DAY($A33),"00"))=0,"",_xlfn.MINIFS(convergent_history!$G:$G,convergent_history!$C:$C,"claro",convergent_history!$M:$M,"Fiber + Mobile",convergent_history!$A:$A,YEAR($A33)&amp;"-"&amp;TEXT(MONTH($A33),"00")&amp;"-"&amp;TEXT(DAY($A33),"00"))),"")</f>
        <v>129.8</v>
      </c>
    </row>
    <row r="34">
      <c r="A34" s="12" t="n">
        <v>46271</v>
      </c>
      <c r="B34" s="3">
        <f>IFERROR(IF(_xlfn.MINIFS(convergent_history!$G:$G,convergent_history!$C:$C,"tim",convergent_history!$M:$M,"Fiber + Mobile",convergent_history!$A:$A,YEAR($A34)&amp;"-"&amp;TEXT(MONTH($A34),"00")&amp;"-"&amp;TEXT(DAY($A34),"00"))=0,"",_xlfn.MINIFS(convergent_history!$G:$G,convergent_history!$C:$C,"tim",convergent_history!$M:$M,"Fiber + Mobile",convergent_history!$A:$A,YEAR($A34)&amp;"-"&amp;TEXT(MONTH($A34),"00")&amp;"-"&amp;TEXT(DAY($A34),"00"))),"")</f>
        <v>89.99</v>
      </c>
      <c r="C34" s="3">
        <f>IFERROR(IF(_xlfn.MINIFS(convergent_history!$G:$G,convergent_history!$C:$C,"vivo",convergent_history!$M:$M,"Fiber + Mobile",convergent_history!$A:$A,YEAR($A34)&amp;"-"&amp;TEXT(MONTH($A34),"00")&amp;"-"&amp;TEXT(DAY($A34),"00"))=0,"",_xlfn.MINIFS(convergent_history!$G:$G,convergent_history!$C:$C,"vivo",convergent_history!$M:$M,"Fiber + Mobile",convergent_history!$A:$A,YEAR($A34)&amp;"-"&amp;TEXT(MONTH($A34),"00")&amp;"-"&amp;TEXT(DAY($A34),"00"))),"")</f>
        <v>160</v>
      </c>
      <c r="D34" s="3">
        <f>IFERROR(IF(_xlfn.MINIFS(convergent_history!$G:$G,convergent_history!$C:$C,"claro",convergent_history!$M:$M,"Fiber + Mobile",convergent_history!$A:$A,YEAR($A34)&amp;"-"&amp;TEXT(MONTH($A34),"00")&amp;"-"&amp;TEXT(DAY($A34),"00"))=0,"",_xlfn.MINIFS(convergent_history!$G:$G,convergent_history!$C:$C,"claro",convergent_history!$M:$M,"Fiber + Mobile",convergent_history!$A:$A,YEAR($A34)&amp;"-"&amp;TEXT(MONTH($A34),"00")&amp;"-"&amp;TEXT(DAY($A34),"00"))),"")</f>
        <v/>
      </c>
    </row>
    <row r="36">
      <c r="A36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4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2026-09-06T22:43:30Z</dcterms:created>
  <dcterms:modified xsi:type="dcterms:W3CDTF">2026-09-06T22:43:36Z</dcterms:modified>
</cp:coreProperties>
</file>