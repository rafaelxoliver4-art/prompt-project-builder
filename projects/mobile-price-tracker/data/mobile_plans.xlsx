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Ranking" sheetId="6" state="visible" r:id="rId6"/>
    <sheet name="Vivo" sheetId="7" state="visible" r:id="rId7"/>
    <sheet name="Claro" sheetId="8" state="visible" r:id="rId8"/>
    <sheet name="TIM" sheetId="9" state="visible" r:id="rId9"/>
  </sheets>
  <definedNames>
    <definedName name="_xlnm._FilterDatabase" localSheetId="0" hidden="1">'history'!$A$1:$T$199</definedName>
    <definedName name="_xlnm._FilterDatabase" localSheetId="1" hidden="1">'latest'!$A$1:$T$50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;&quot;-&quot;"/>
    <numFmt numFmtId="165" formatCode="#,##0.##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'comparison'!$B$37:$B$40</f>
            </numRef>
          </val>
          <smooth val="0"/>
        </ser>
        <ser>
          <idx val="1"/>
          <order val="1"/>
          <tx>
            <strRef>
              <f>'comparison'!C36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'comparison'!$C$37:$C$40</f>
            </numRef>
          </val>
          <smooth val="0"/>
        </ser>
        <ser>
          <idx val="2"/>
          <order val="2"/>
          <tx>
            <strRef>
              <f>'comparison'!D36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'comparison'!$D$37:$D$40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'comparison'!$E$37:$E$40</f>
            </numRef>
          </val>
          <smooth val="0"/>
        </ser>
        <ser>
          <idx val="1"/>
          <order val="1"/>
          <tx>
            <strRef>
              <f>'comparison'!F36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'comparison'!$F$37:$F$40</f>
            </numRef>
          </val>
          <smooth val="0"/>
        </ser>
        <ser>
          <idx val="2"/>
          <order val="2"/>
          <tx>
            <strRef>
              <f>'comparison'!G36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'comparison'!$G$37:$G$40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'comparison'!$H$37:$H$40</f>
            </numRef>
          </val>
          <smooth val="0"/>
        </ser>
        <ser>
          <idx val="1"/>
          <order val="1"/>
          <tx>
            <strRef>
              <f>'comparison'!I36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'comparison'!$I$37:$I$40</f>
            </numRef>
          </val>
          <smooth val="0"/>
        </ser>
        <ser>
          <idx val="2"/>
          <order val="2"/>
          <tx>
            <strRef>
              <f>'comparison'!J36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'comparison'!$J$37:$J$40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'comparison'!$K$37:$K$40</f>
            </numRef>
          </val>
          <smooth val="0"/>
        </ser>
        <ser>
          <idx val="1"/>
          <order val="1"/>
          <tx>
            <strRef>
              <f>'comparison'!L36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'comparison'!$L$37:$L$40</f>
            </numRef>
          </val>
          <smooth val="0"/>
        </ser>
        <ser>
          <idx val="2"/>
          <order val="2"/>
          <tx>
            <strRef>
              <f>'comparison'!M36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'comparison'!$A$37:$A$40</f>
            </numRef>
          </cat>
          <val>
            <numRef>
              <f>'comparison'!$M$37:$M$40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18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18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T1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>
        <is>
          <t>WhatsApp</t>
        </is>
      </c>
      <c r="N3" s="5" t="inlineStr"/>
      <c r="O3" s="5" t="inlineStr"/>
      <c r="P3" s="5" t="inlineStr"/>
      <c r="Q3" s="5" t="inlineStr"/>
      <c r="R3" s="5" t="inlineStr">
        <is>
          <t>Para uso livre; Bônus do Hexa para uso livre; Bônus para redes sociais e apps; Redes sociais e apps; WhatsApp ilimitado</t>
        </is>
      </c>
      <c r="S3" s="5" t="inlineStr">
        <is>
          <t>https://www.claro.com.br/celular/controle</t>
        </is>
      </c>
      <c r="T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>
        <is>
          <t>WhatsApp</t>
        </is>
      </c>
      <c r="N5" s="5" t="inlineStr"/>
      <c r="O5" s="5" t="inlineStr"/>
      <c r="P5" s="5" t="inlineStr"/>
      <c r="Q5" s="5" t="inlineStr"/>
      <c r="R5" s="5" t="inlineStr">
        <is>
          <t>Para uso livre; Bônus do Hexa para uso livre; Para redes sociais e apps; Bônus extra nos apps; WhatsApp ilimitado</t>
        </is>
      </c>
      <c r="S5" s="5" t="inlineStr">
        <is>
          <t>https://www.claro.com.br/celular/flex</t>
        </is>
      </c>
      <c r="T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>
        <is>
          <t>WhatsApp</t>
        </is>
      </c>
      <c r="N7" s="5" t="inlineStr"/>
      <c r="O7" s="5" t="inlineStr"/>
      <c r="P7" s="5" t="inlineStr"/>
      <c r="Q7" s="5" t="inlineStr"/>
      <c r="R7" s="5" t="inlineStr">
        <is>
          <t>Para uso livre; Bônus do Hexa para uso livre; Para redes sociais e apps; Bônus extra nos apps; WhatsApp ilimitado; Assinatura Claro musica inclusa</t>
        </is>
      </c>
      <c r="S7" s="5" t="inlineStr">
        <is>
          <t>https://www.claro.com.br/celular/flex</t>
        </is>
      </c>
      <c r="T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>
        <is>
          <t>WhatsApp</t>
        </is>
      </c>
      <c r="N9" s="5" t="inlineStr"/>
      <c r="O9" s="5" t="inlineStr"/>
      <c r="P9" s="5" t="inlineStr"/>
      <c r="Q9" s="5" t="inlineStr"/>
      <c r="R9" s="5" t="inlineStr">
        <is>
          <t>Armazenamento na nuvem:; Google One ou iCloud+; WhatsApp ilimitado; Roaming: Passaporte Américas; Claro Sync: Smartwatch conectado</t>
        </is>
      </c>
      <c r="S9" s="5" t="inlineStr">
        <is>
          <t>https://www.claro.com.br/celular/pos</t>
        </is>
      </c>
      <c r="T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>
        <is>
          <t>WhatsApp</t>
        </is>
      </c>
      <c r="N11" s="5" t="inlineStr"/>
      <c r="O11" s="5" t="inlineStr"/>
      <c r="P11" s="5" t="inlineStr"/>
      <c r="Q11" s="5" t="inlineStr"/>
      <c r="R11" s="5" t="inlineStr">
        <is>
          <t>Armazenamento na nuvem:; Google One ou iCloud+; WhatsApp ilimitado; Roaming: Passaporte Mundo; Claro Sync: Smartwatch conectado</t>
        </is>
      </c>
      <c r="S11" s="5" t="inlineStr">
        <is>
          <t>https://www.claro.com.br/celular/pos</t>
        </is>
      </c>
      <c r="T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>
        <is>
          <t>WhatsApp</t>
        </is>
      </c>
      <c r="N13" s="5" t="inlineStr"/>
      <c r="O13" s="5" t="inlineStr"/>
      <c r="P13" s="5" t="inlineStr"/>
      <c r="Q13" s="5" t="inlineStr"/>
      <c r="R13" s="5" t="inlineStr">
        <is>
          <t>Armazenamento na nuvem:; Google One ou iCloud+; WhatsApp ilimitado; Roaming: Passaporte Américas; Claro Sync: Smartwatch conectado</t>
        </is>
      </c>
      <c r="S13" s="5" t="inlineStr">
        <is>
          <t>https://www.claro.com.br/celular/pos</t>
        </is>
      </c>
      <c r="T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>
        <is>
          <t>https://www.tim.com.br/sp/para-voce/planos/controle</t>
        </is>
      </c>
      <c r="T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https://www.tim.com.br/sp/para-voce/planos/controle</t>
        </is>
      </c>
      <c r="T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>
        <is>
          <t>https://www.tim.com.br/sp/para-voce/planos/controle</t>
        </is>
      </c>
      <c r="T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>
        <is>
          <t>https://www.tim.com.br/sp/para-voce/planos/pos-pago/tim-black</t>
        </is>
      </c>
      <c r="T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>
        <is>
          <t>https://www.tim.com.br/sp/para-voce/planos/pos-pago/tim-black</t>
        </is>
      </c>
      <c r="T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>
        <is>
          <t>https://www.tim.com.br/sp/para-voce/planos/pos-pago/tim-black</t>
        </is>
      </c>
      <c r="T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>
        <is>
          <t>https://www.tim.com.br/sp/para-voce/planos/pre-pago</t>
        </is>
      </c>
      <c r="T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>
        <is>
          <t>https://www.tim.com.br/sp/para-voce/planos/pre-pago</t>
        </is>
      </c>
      <c r="T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>
        <is>
          <t>6 meses grátis de Gemini com AI Plus</t>
        </is>
      </c>
      <c r="S31" s="5" t="inlineStr">
        <is>
          <t>https://vivo.com.br/para-voce/produtos-e-servicos/para-o-celular/planos-controle</t>
        </is>
      </c>
      <c r="T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>
        <is>
          <t>Assinatura Vivo TV Inicial inclusa</t>
        </is>
      </c>
      <c r="S33" s="5" t="inlineStr">
        <is>
          <t>https://vivo.com.br/para-voce/produtos-e-servicos/para-o-celular/planos-controle</t>
        </is>
      </c>
      <c r="T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>
        <is>
          <t>Assinatura Netflix Padrão com anúncios</t>
        </is>
      </c>
      <c r="S35" s="5" t="inlineStr">
        <is>
          <t>https://vivo.com.br/para-voce/produtos-e-servicos/para-o-celular/planos-controle</t>
        </is>
      </c>
      <c r="T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https://vivo.com.br/para-voce/produtos-e-servicos/para-o-celular/easy-lite</t>
        </is>
      </c>
      <c r="T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https://vivo.com.br/para-voce/produtos-e-servicos/para-o-celular/easy-lite</t>
        </is>
      </c>
      <c r="T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https://vivo.com.br/para-voce/produtos-e-servicos/para-o-celular/easy-lite</t>
        </is>
      </c>
      <c r="T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https://vivo.com.br/para-voce/produtos-e-servicos/para-o-celular/easy-lite</t>
        </is>
      </c>
      <c r="T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>
        <is>
          <t>Assinatura Amazon Prime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>
        <is>
          <t>Disney+</t>
        </is>
      </c>
      <c r="Q43" s="5" t="inlineStr"/>
      <c r="R43" s="5" t="inlineStr">
        <is>
          <t>Assinatura Disney+ Padrão inclusa</t>
        </is>
      </c>
      <c r="S43" s="5" t="inlineStr">
        <is>
          <t>https://vivo.com.br/para-voce/produtos-e-servicos/para-o-celular/planos-pos-pago</t>
        </is>
      </c>
      <c r="T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Globoplay</t>
        </is>
      </c>
      <c r="Q44" s="2" t="inlineStr"/>
      <c r="R44" s="2" t="inlineStr">
        <is>
          <t>Assinatura Globoplay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>
        <is>
          <t>Netflix</t>
        </is>
      </c>
      <c r="Q45" s="5" t="inlineStr"/>
      <c r="R45" s="5" t="inlineStr">
        <is>
          <t>Assinatura Netflix Padrão inclusa</t>
        </is>
      </c>
      <c r="S45" s="5" t="inlineStr">
        <is>
          <t>https://vivo.com.br/para-voce/produtos-e-servicos/para-o-celular/planos-pos-pago</t>
        </is>
      </c>
      <c r="T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>
        <is>
          <t>Premiere</t>
        </is>
      </c>
      <c r="Q46" s="2" t="inlineStr"/>
      <c r="R46" s="2" t="inlineStr">
        <is>
          <t>Assinatura Premiere inclusa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>
        <is>
          <t>Spotify</t>
        </is>
      </c>
      <c r="Q47" s="5" t="inlineStr"/>
      <c r="R47" s="5" t="inlineStr">
        <is>
          <t>Assinatura Spotify Premium inclusa</t>
        </is>
      </c>
      <c r="S47" s="5" t="inlineStr">
        <is>
          <t>https://vivo.com.br/para-voce/produtos-e-servicos/para-o-celular/planos-pos-pago</t>
        </is>
      </c>
      <c r="T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>
        <is>
          <t>6 meses grátis de Gemini com AI Plus</t>
        </is>
      </c>
      <c r="S48" s="2" t="inlineStr">
        <is>
          <t>https://vivo.com.br/para-voce/produtos-e-servicos/para-o-celular/planos-pos-pago</t>
        </is>
      </c>
      <c r="T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>
        <is>
          <t>https://vivo.com.br/para-voce/produtos-e-servicos/para-o-celular/pre-pago/vivo-pre</t>
        </is>
      </c>
      <c r="T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>
        <is>
          <t>https://vivo.com.br/para-voce/produtos-e-servicos/para-o-celular/pre-pago/vivo-pre</t>
        </is>
      </c>
      <c r="T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https://vivo.com.br/para-voce/produtos-e-servicos/para-o-celular/pre-pago/vivo-pre</t>
        </is>
      </c>
      <c r="T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7" t="n">
        <v>25</v>
      </c>
      <c r="L53" s="5" t="inlineStr"/>
      <c r="M53" s="5" t="inlineStr">
        <is>
          <t>WhatsApp</t>
        </is>
      </c>
      <c r="N53" s="5" t="inlineStr"/>
      <c r="O53" s="5" t="inlineStr"/>
      <c r="P53" s="5" t="inlineStr"/>
      <c r="Q53" s="5" t="inlineStr"/>
      <c r="R53" s="5" t="inlineStr">
        <is>
          <t>Para uso livre; Para redes sociais e vídeos; Bônus exclusivo; Aproveite na sua franquia; WhatsApp e ligações ilimitadas</t>
        </is>
      </c>
      <c r="S53" s="5" t="inlineStr">
        <is>
          <t>https://www.claro.com.br/celular/controle</t>
        </is>
      </c>
      <c r="T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4" t="n">
        <v>30</v>
      </c>
      <c r="L54" s="2" t="inlineStr"/>
      <c r="M54" s="2" t="inlineStr">
        <is>
          <t>WhatsApp</t>
        </is>
      </c>
      <c r="N54" s="2" t="inlineStr"/>
      <c r="O54" s="2" t="inlineStr"/>
      <c r="P54" s="2" t="inlineStr"/>
      <c r="Q54" s="2" t="inlineStr"/>
      <c r="R54" s="2" t="inlineStr">
        <is>
          <t>Para uso livre; Bônus do Hexa para uso livre; Bônus para redes sociais e apps; Redes sociais e apps; WhatsApp ilimitado</t>
        </is>
      </c>
      <c r="S54" s="2" t="inlineStr">
        <is>
          <t>https://www.claro.com.br/celular/controle</t>
        </is>
      </c>
      <c r="T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7" t="n">
        <v>30</v>
      </c>
      <c r="L55" s="5" t="inlineStr"/>
      <c r="M55" s="5" t="inlineStr">
        <is>
          <t>WhatsApp</t>
        </is>
      </c>
      <c r="N55" s="5" t="inlineStr"/>
      <c r="O55" s="5" t="inlineStr"/>
      <c r="P55" s="5" t="inlineStr"/>
      <c r="Q55" s="5" t="inlineStr"/>
      <c r="R55" s="5" t="inlineStr">
        <is>
          <t>Para uso livre; Bônus para redes sociais e apps; Bônus uso livre; Redes sociais e apps; WhatsApp ilimitado</t>
        </is>
      </c>
      <c r="S55" s="5" t="inlineStr">
        <is>
          <t>https://www.claro.com.br/celular/controle</t>
        </is>
      </c>
      <c r="T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4" t="n">
        <v>15</v>
      </c>
      <c r="L56" s="2" t="inlineStr"/>
      <c r="M56" s="2" t="inlineStr">
        <is>
          <t>WhatsApp</t>
        </is>
      </c>
      <c r="N56" s="2" t="inlineStr"/>
      <c r="O56" s="2" t="inlineStr"/>
      <c r="P56" s="2" t="inlineStr"/>
      <c r="Q56" s="2" t="inlineStr"/>
      <c r="R56" s="2" t="inlineStr">
        <is>
          <t>Para uso livre; Bônus do Hexa para uso livre; Para redes sociais e apps; Bônus extra nos apps; WhatsApp ilimitado</t>
        </is>
      </c>
      <c r="S56" s="2" t="inlineStr">
        <is>
          <t>https://www.claro.com.br/celular/flex</t>
        </is>
      </c>
      <c r="T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7" t="n">
        <v>20</v>
      </c>
      <c r="L57" s="5" t="inlineStr"/>
      <c r="M57" s="5" t="inlineStr">
        <is>
          <t>WhatsApp</t>
        </is>
      </c>
      <c r="N57" s="5" t="inlineStr"/>
      <c r="O57" s="5" t="inlineStr"/>
      <c r="P57" s="5" t="inlineStr"/>
      <c r="Q57" s="5" t="inlineStr"/>
      <c r="R57" s="5" t="inlineStr">
        <is>
          <t>Para uso livre; Bônus do Hexa para uso livre; Para redes sociais e apps; Bônus extra nos apps; WhatsApp ilimitado</t>
        </is>
      </c>
      <c r="S57" s="5" t="inlineStr">
        <is>
          <t>https://www.claro.com.br/celular/flex</t>
        </is>
      </c>
      <c r="T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4" t="n">
        <v>30</v>
      </c>
      <c r="L58" s="2" t="inlineStr"/>
      <c r="M58" s="2" t="inlineStr">
        <is>
          <t>WhatsApp</t>
        </is>
      </c>
      <c r="N58" s="2" t="inlineStr"/>
      <c r="O58" s="2" t="inlineStr"/>
      <c r="P58" s="2" t="inlineStr"/>
      <c r="Q58" s="2" t="inlineStr"/>
      <c r="R58" s="2" t="inlineStr">
        <is>
          <t>Para uso livre; Bônus do Hexa para uso livre; Para redes sociais e apps; Bônus extra nos apps; WhatsApp ilimitado; Assinatura Claro musica inclusa</t>
        </is>
      </c>
      <c r="S58" s="2" t="inlineStr">
        <is>
          <t>https://www.claro.com.br/celular/flex</t>
        </is>
      </c>
      <c r="T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7" t="n">
        <v>40</v>
      </c>
      <c r="L59" s="5" t="inlineStr"/>
      <c r="M59" s="5" t="inlineStr">
        <is>
          <t>WhatsApp</t>
        </is>
      </c>
      <c r="N59" s="5" t="inlineStr"/>
      <c r="O59" s="5" t="inlineStr"/>
      <c r="P59" s="5" t="inlineStr"/>
      <c r="Q59" s="5" t="inlineStr"/>
      <c r="R59" s="5" t="inlineStr">
        <is>
          <t>Para uso livre; Para redes sociais e apps; Bônus uso livre; Bônus extra nos apps; WhatsApp ilimitado; Assinatura Claro musica inclusa</t>
        </is>
      </c>
      <c r="S59" s="5" t="inlineStr">
        <is>
          <t>https://www.claro.com.br/celular/flex</t>
        </is>
      </c>
      <c r="T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4" t="n">
        <v>100</v>
      </c>
      <c r="L60" s="2" t="inlineStr"/>
      <c r="M60" s="2" t="inlineStr">
        <is>
          <t>WhatsApp</t>
        </is>
      </c>
      <c r="N60" s="2" t="inlineStr"/>
      <c r="O60" s="2" t="inlineStr"/>
      <c r="P60" s="2" t="inlineStr"/>
      <c r="Q60" s="2" t="inlineStr"/>
      <c r="R60" s="2" t="inlineStr">
        <is>
          <t>Armazenamento na nuvem:; Google One ou iCloud+; WhatsApp ilimitado; Roaming: Passaporte Américas; Claro Sync: Smartwatch conectado</t>
        </is>
      </c>
      <c r="S60" s="2" t="inlineStr">
        <is>
          <t>https://www.claro.com.br/celular/pos</t>
        </is>
      </c>
      <c r="T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7" t="n">
        <v>150</v>
      </c>
      <c r="L61" s="5" t="inlineStr"/>
      <c r="M61" s="5" t="inlineStr">
        <is>
          <t>WhatsApp</t>
        </is>
      </c>
      <c r="N61" s="5" t="inlineStr"/>
      <c r="O61" s="5" t="inlineStr"/>
      <c r="P61" s="5" t="inlineStr"/>
      <c r="Q61" s="5" t="inlineStr"/>
      <c r="R61" s="5" t="inlineStr">
        <is>
          <t>Armazenamento na nuvem:; Google One ou iCloud+; WhatsApp ilimitado; Roaming: Passaporte Américas e Europa; Claro Sync: Smartwatch conectado</t>
        </is>
      </c>
      <c r="S61" s="5" t="inlineStr">
        <is>
          <t>https://www.claro.com.br/celular/pos</t>
        </is>
      </c>
      <c r="T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4" t="n">
        <v>200</v>
      </c>
      <c r="L62" s="2" t="inlineStr"/>
      <c r="M62" s="2" t="inlineStr">
        <is>
          <t>WhatsApp</t>
        </is>
      </c>
      <c r="N62" s="2" t="inlineStr"/>
      <c r="O62" s="2" t="inlineStr"/>
      <c r="P62" s="2" t="inlineStr"/>
      <c r="Q62" s="2" t="inlineStr"/>
      <c r="R62" s="2" t="inlineStr">
        <is>
          <t>Armazenamento na nuvem:; Google One ou iCloud+; WhatsApp ilimitado; Roaming: Passaporte Mundo; Claro Sync: Smartwatch conectado</t>
        </is>
      </c>
      <c r="S62" s="2" t="inlineStr">
        <is>
          <t>https://www.claro.com.br/celular/pos</t>
        </is>
      </c>
      <c r="T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7" t="n">
        <v>50</v>
      </c>
      <c r="L63" s="5" t="inlineStr"/>
      <c r="M63" s="5" t="inlineStr">
        <is>
          <t>WhatsApp</t>
        </is>
      </c>
      <c r="N63" s="5" t="inlineStr"/>
      <c r="O63" s="5" t="inlineStr"/>
      <c r="P63" s="5" t="inlineStr"/>
      <c r="Q63" s="5" t="inlineStr"/>
      <c r="R63" s="5" t="inlineStr">
        <is>
          <t>Armazenamento na nuvem:; Google One ou iCloud+; WhatsApp ilimitado; Roaming: Passaporte Américas; Claro Sync: Smartwatch conectado; Inclusa assinatura GeForce NOW</t>
        </is>
      </c>
      <c r="S63" s="5" t="inlineStr">
        <is>
          <t>https://www.claro.com.br/celular/pos</t>
        </is>
      </c>
      <c r="T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4" t="n">
        <v>60</v>
      </c>
      <c r="L64" s="2" t="inlineStr"/>
      <c r="M64" s="2" t="inlineStr">
        <is>
          <t>WhatsApp</t>
        </is>
      </c>
      <c r="N64" s="2" t="inlineStr"/>
      <c r="O64" s="2" t="inlineStr"/>
      <c r="P64" s="2" t="inlineStr"/>
      <c r="Q64" s="2" t="inlineStr"/>
      <c r="R64" s="2" t="inlineStr">
        <is>
          <t>Armazenamento na nuvem:; Google One ou iCloud+; WhatsApp ilimitado; Roaming: Passaporte Américas; Claro Sync: Smartwatch conectado</t>
        </is>
      </c>
      <c r="S64" s="2" t="inlineStr">
        <is>
          <t>https://www.claro.com.br/celular/pos</t>
        </is>
      </c>
      <c r="T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7" t="n">
        <v>12</v>
      </c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>
        <is>
          <t>https://www.claro.com.br/celular/planos-pre/prezao</t>
        </is>
      </c>
      <c r="T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4" t="n">
        <v>41</v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>
        <is>
          <t>https://www.tim.com.br/sp/para-voce/planos/controle</t>
        </is>
      </c>
      <c r="T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7" t="n">
        <v>31</v>
      </c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>
        <is>
          <t>https://www.tim.com.br/sp/para-voce/planos/controle</t>
        </is>
      </c>
      <c r="T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4" t="n">
        <v>45</v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>
        <is>
          <t>https://www.tim.com.br/sp/para-voce/planos/controle</t>
        </is>
      </c>
      <c r="T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7" t="n">
        <v>53</v>
      </c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>
        <is>
          <t>https://www.tim.com.br/sp/para-voce/planos/controle</t>
        </is>
      </c>
      <c r="T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4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>
        <is>
          <t>https://www.tim.com.br/sp/para-voce/planos/controle</t>
        </is>
      </c>
      <c r="T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7" t="n">
        <v>70</v>
      </c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>
        <is>
          <t>https://www.tim.com.br/sp/para-voce/planos/pos-pago/tim-black</t>
        </is>
      </c>
      <c r="T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4" t="n">
        <v>67</v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>
        <is>
          <t>https://www.tim.com.br/sp/para-voce/planos/pos-pago/tim-black</t>
        </is>
      </c>
      <c r="T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7" t="n">
        <v>82</v>
      </c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>
        <is>
          <t>https://www.tim.com.br/sp/para-voce/planos/pos-pago/tim-black</t>
        </is>
      </c>
      <c r="T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4" t="n">
        <v>107</v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>
        <is>
          <t>https://www.tim.com.br/sp/para-voce/planos/pos-pago/tim-black</t>
        </is>
      </c>
      <c r="T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7" t="n">
        <v>95</v>
      </c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>
        <is>
          <t>https://www.tim.com.br/sp/para-voce/planos/pos-pago/tim-black</t>
        </is>
      </c>
      <c r="T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4" t="n">
        <v>80</v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>
        <is>
          <t>https://www.tim.com.br/sp/para-voce/planos/pos-pago/tim-black</t>
        </is>
      </c>
      <c r="T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7" t="n">
        <v>110</v>
      </c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>
        <is>
          <t>https://www.tim.com.br/sp/para-voce/planos/pos-pago/tim-black</t>
        </is>
      </c>
      <c r="T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4" t="n">
        <v>16</v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>
        <is>
          <t>https://www.tim.com.br/sp/para-voce/planos/pre-pago</t>
        </is>
      </c>
      <c r="T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7" t="n">
        <v>6</v>
      </c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>
        <is>
          <t>https://www.tim.com.br/sp/para-voce/planos/pre-pago</t>
        </is>
      </c>
      <c r="T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4" t="n">
        <v>8</v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>
        <is>
          <t>https://www.tim.com.br/sp/para-voce/planos/pre-pago</t>
        </is>
      </c>
      <c r="T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7" t="n">
        <v>46</v>
      </c>
      <c r="L81" s="5" t="inlineStr">
        <is>
          <t>15 GB de franquia 31 GB de bônus</t>
        </is>
      </c>
      <c r="M81" s="5" t="inlineStr"/>
      <c r="N81" s="5" t="inlineStr"/>
      <c r="O81" s="5" t="inlineStr"/>
      <c r="P81" s="5" t="inlineStr"/>
      <c r="Q81" s="5" t="inlineStr"/>
      <c r="R81" s="5" t="inlineStr">
        <is>
          <t>6 meses grátis de Gemini com AI Plus</t>
        </is>
      </c>
      <c r="S81" s="5" t="inlineStr">
        <is>
          <t>https://vivo.com.br/para-voce/produtos-e-servicos/para-o-celular/planos-controle</t>
        </is>
      </c>
      <c r="T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4" t="n">
        <v>61</v>
      </c>
      <c r="L82" s="2" t="inlineStr">
        <is>
          <t>20 GB de franquia 31 GB de bônus</t>
        </is>
      </c>
      <c r="M82" s="2" t="inlineStr"/>
      <c r="N82" s="2" t="inlineStr"/>
      <c r="O82" s="2" t="inlineStr"/>
      <c r="P82" s="2" t="inlineStr"/>
      <c r="Q82" s="2" t="inlineStr"/>
      <c r="R82" s="2" t="inlineStr">
        <is>
          <t>6 meses grátis de Gemini com AI Plus</t>
        </is>
      </c>
      <c r="S82" s="2" t="inlineStr">
        <is>
          <t>https://vivo.com.br/para-voce/produtos-e-servicos/para-o-celular/planos-controle</t>
        </is>
      </c>
      <c r="T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7" t="n">
        <v>61</v>
      </c>
      <c r="L83" s="5" t="inlineStr">
        <is>
          <t>20 GB de franquia 31 GB de bônus</t>
        </is>
      </c>
      <c r="M83" s="5" t="inlineStr"/>
      <c r="N83" s="5" t="inlineStr"/>
      <c r="O83" s="5" t="inlineStr"/>
      <c r="P83" s="5" t="inlineStr"/>
      <c r="Q83" s="5" t="inlineStr"/>
      <c r="R83" s="5" t="inlineStr">
        <is>
          <t>Assinatura Vivae inclusa</t>
        </is>
      </c>
      <c r="S83" s="5" t="inlineStr">
        <is>
          <t>https://vivo.com.br/para-voce/produtos-e-servicos/para-o-celular/planos-controle</t>
        </is>
      </c>
      <c r="T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4" t="n">
        <v>61</v>
      </c>
      <c r="L84" s="2" t="inlineStr">
        <is>
          <t>20 GB de franquia 31 GB de bônus</t>
        </is>
      </c>
      <c r="M84" s="2" t="inlineStr"/>
      <c r="N84" s="2" t="inlineStr"/>
      <c r="O84" s="2" t="inlineStr"/>
      <c r="P84" s="2" t="inlineStr"/>
      <c r="Q84" s="2" t="inlineStr"/>
      <c r="R84" s="2" t="inlineStr">
        <is>
          <t>Assinatura Vivo TV Inicial inclusa</t>
        </is>
      </c>
      <c r="S84" s="2" t="inlineStr">
        <is>
          <t>https://vivo.com.br/para-voce/produtos-e-servicos/para-o-celular/planos-controle</t>
        </is>
      </c>
      <c r="T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7" t="n">
        <v>61</v>
      </c>
      <c r="L85" s="5" t="inlineStr">
        <is>
          <t>20 GB de franquia 31 GB de bônus</t>
        </is>
      </c>
      <c r="M85" s="5" t="inlineStr"/>
      <c r="N85" s="5" t="inlineStr"/>
      <c r="O85" s="5" t="inlineStr"/>
      <c r="P85" s="5" t="inlineStr"/>
      <c r="Q85" s="5" t="inlineStr"/>
      <c r="R85" s="5" t="inlineStr">
        <is>
          <t>Apple Music Individual</t>
        </is>
      </c>
      <c r="S85" s="5" t="inlineStr">
        <is>
          <t>https://vivo.com.br/para-voce/produtos-e-servicos/para-o-celular/planos-controle</t>
        </is>
      </c>
      <c r="T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4" t="n">
        <v>61</v>
      </c>
      <c r="L86" s="2" t="inlineStr">
        <is>
          <t>20 GB de franquia 31 GB de bônus</t>
        </is>
      </c>
      <c r="M86" s="2" t="inlineStr"/>
      <c r="N86" s="2" t="inlineStr"/>
      <c r="O86" s="2" t="inlineStr"/>
      <c r="P86" s="2" t="inlineStr"/>
      <c r="Q86" s="2" t="inlineStr"/>
      <c r="R86" s="2" t="inlineStr">
        <is>
          <t>Assinatura Netflix Padrão com anúncios</t>
        </is>
      </c>
      <c r="S86" s="2" t="inlineStr">
        <is>
          <t>https://vivo.com.br/para-voce/produtos-e-servicos/para-o-celular/planos-controle</t>
        </is>
      </c>
      <c r="T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7" t="n">
        <v>61</v>
      </c>
      <c r="L87" s="5" t="inlineStr">
        <is>
          <t>20 GB de franquia 31 GB de bônus</t>
        </is>
      </c>
      <c r="M87" s="5" t="inlineStr"/>
      <c r="N87" s="5" t="inlineStr"/>
      <c r="O87" s="5" t="inlineStr"/>
      <c r="P87" s="5" t="inlineStr"/>
      <c r="Q87" s="5" t="inlineStr"/>
      <c r="R87" s="5" t="inlineStr">
        <is>
          <t>Assinatura Vale Saúde Sempre inclusa</t>
        </is>
      </c>
      <c r="S87" s="5" t="inlineStr">
        <is>
          <t>https://vivo.com.br/para-voce/produtos-e-servicos/para-o-celular/planos-controle</t>
        </is>
      </c>
      <c r="T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4" t="n">
        <v>30</v>
      </c>
      <c r="L88" s="2" t="inlineStr">
        <is>
          <t>30 GB de franquia</t>
        </is>
      </c>
      <c r="M88" s="2" t="inlineStr"/>
      <c r="N88" s="2" t="inlineStr"/>
      <c r="O88" s="2" t="inlineStr"/>
      <c r="P88" s="2" t="inlineStr"/>
      <c r="Q88" s="2" t="inlineStr"/>
      <c r="R88" s="2" t="inlineStr">
        <is>
          <t>Youtube Ilimitado</t>
        </is>
      </c>
      <c r="S88" s="2" t="inlineStr">
        <is>
          <t>https://vivo.com.br/para-voce/produtos-e-servicos/para-o-celular/easy-lite</t>
        </is>
      </c>
      <c r="T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7" t="n">
        <v>40</v>
      </c>
      <c r="L89" s="5" t="inlineStr">
        <is>
          <t>40 GB de franquia</t>
        </is>
      </c>
      <c r="M89" s="5" t="inlineStr"/>
      <c r="N89" s="5" t="inlineStr"/>
      <c r="O89" s="5" t="inlineStr"/>
      <c r="P89" s="5" t="inlineStr"/>
      <c r="Q89" s="5" t="inlineStr"/>
      <c r="R89" s="5" t="inlineStr">
        <is>
          <t>Youtube Ilimitado</t>
        </is>
      </c>
      <c r="S89" s="5" t="inlineStr">
        <is>
          <t>https://vivo.com.br/para-voce/produtos-e-servicos/para-o-celular/easy-lite</t>
        </is>
      </c>
      <c r="T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4" t="n">
        <v>20</v>
      </c>
      <c r="L90" s="2" t="inlineStr">
        <is>
          <t>20 GB de franquia</t>
        </is>
      </c>
      <c r="M90" s="2" t="inlineStr"/>
      <c r="N90" s="2" t="inlineStr"/>
      <c r="O90" s="2" t="inlineStr"/>
      <c r="P90" s="2" t="inlineStr"/>
      <c r="Q90" s="2" t="inlineStr"/>
      <c r="R90" s="2" t="inlineStr">
        <is>
          <t>Youtube Ilimitado</t>
        </is>
      </c>
      <c r="S90" s="2" t="inlineStr">
        <is>
          <t>https://vivo.com.br/para-voce/produtos-e-servicos/para-o-celular/easy-lite</t>
        </is>
      </c>
      <c r="T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7" t="n">
        <v>60</v>
      </c>
      <c r="L91" s="5" t="inlineStr">
        <is>
          <t>50 GB de franquia 10 GB de bônus</t>
        </is>
      </c>
      <c r="M91" s="5" t="inlineStr"/>
      <c r="N91" s="5" t="inlineStr"/>
      <c r="O91" s="5" t="inlineStr"/>
      <c r="P91" s="5" t="inlineStr"/>
      <c r="Q91" s="5" t="inlineStr"/>
      <c r="R91" s="5" t="inlineStr">
        <is>
          <t>Assinatura Amazon Prime inclusa</t>
        </is>
      </c>
      <c r="S91" s="5" t="inlineStr">
        <is>
          <t>https://vivo.com.br/para-voce/produtos-e-servicos/para-o-celular/planos-pos-pago</t>
        </is>
      </c>
      <c r="T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4" t="n">
        <v>60</v>
      </c>
      <c r="L92" s="2" t="inlineStr">
        <is>
          <t>50 GB de franquia 10 GB de bônus</t>
        </is>
      </c>
      <c r="M92" s="2" t="inlineStr"/>
      <c r="N92" s="2" t="inlineStr"/>
      <c r="O92" s="2" t="inlineStr"/>
      <c r="P92" s="2" t="inlineStr">
        <is>
          <t>Disney+</t>
        </is>
      </c>
      <c r="Q92" s="2" t="inlineStr"/>
      <c r="R92" s="2" t="inlineStr">
        <is>
          <t>Assinatura Disney+ Padrão inclusa</t>
        </is>
      </c>
      <c r="S92" s="2" t="inlineStr">
        <is>
          <t>https://vivo.com.br/para-voce/produtos-e-servicos/para-o-celular/planos-pos-pago</t>
        </is>
      </c>
      <c r="T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7" t="n">
        <v>60</v>
      </c>
      <c r="L93" s="5" t="inlineStr">
        <is>
          <t>50 GB de franquia 10 GB de bônus</t>
        </is>
      </c>
      <c r="M93" s="5" t="inlineStr"/>
      <c r="N93" s="5" t="inlineStr"/>
      <c r="O93" s="5" t="inlineStr"/>
      <c r="P93" s="5" t="inlineStr">
        <is>
          <t>Globoplay</t>
        </is>
      </c>
      <c r="Q93" s="5" t="inlineStr"/>
      <c r="R93" s="5" t="inlineStr">
        <is>
          <t>Assinatura Globoplay inclusa</t>
        </is>
      </c>
      <c r="S93" s="5" t="inlineStr">
        <is>
          <t>https://vivo.com.br/para-voce/produtos-e-servicos/para-o-celular/planos-pos-pago</t>
        </is>
      </c>
      <c r="T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4" t="n">
        <v>60</v>
      </c>
      <c r="L94" s="2" t="inlineStr">
        <is>
          <t>50 GB de franquia 10 GB de bônus</t>
        </is>
      </c>
      <c r="M94" s="2" t="inlineStr"/>
      <c r="N94" s="2" t="inlineStr"/>
      <c r="O94" s="2" t="inlineStr"/>
      <c r="P94" s="2" t="inlineStr">
        <is>
          <t>Netflix</t>
        </is>
      </c>
      <c r="Q94" s="2" t="inlineStr"/>
      <c r="R94" s="2" t="inlineStr">
        <is>
          <t>Assinatura Netflix Padrão inclusa</t>
        </is>
      </c>
      <c r="S94" s="2" t="inlineStr">
        <is>
          <t>https://vivo.com.br/para-voce/produtos-e-servicos/para-o-celular/planos-pos-pago</t>
        </is>
      </c>
      <c r="T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7" t="n">
        <v>60</v>
      </c>
      <c r="L95" s="5" t="inlineStr">
        <is>
          <t>50 GB de franquia 10 GB de bônus</t>
        </is>
      </c>
      <c r="M95" s="5" t="inlineStr"/>
      <c r="N95" s="5" t="inlineStr"/>
      <c r="O95" s="5" t="inlineStr"/>
      <c r="P95" s="5" t="inlineStr">
        <is>
          <t>Premiere</t>
        </is>
      </c>
      <c r="Q95" s="5" t="inlineStr"/>
      <c r="R95" s="5" t="inlineStr">
        <is>
          <t>Assinatura Premiere inclusa</t>
        </is>
      </c>
      <c r="S95" s="5" t="inlineStr">
        <is>
          <t>https://vivo.com.br/para-voce/produtos-e-servicos/para-o-celular/planos-pos-pago</t>
        </is>
      </c>
      <c r="T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4" t="n">
        <v>60</v>
      </c>
      <c r="L96" s="2" t="inlineStr">
        <is>
          <t>50 GB de franquia 10 GB de bônus</t>
        </is>
      </c>
      <c r="M96" s="2" t="inlineStr"/>
      <c r="N96" s="2" t="inlineStr"/>
      <c r="O96" s="2" t="inlineStr"/>
      <c r="P96" s="2" t="inlineStr">
        <is>
          <t>Spotify</t>
        </is>
      </c>
      <c r="Q96" s="2" t="inlineStr"/>
      <c r="R96" s="2" t="inlineStr">
        <is>
          <t>Assinatura Spotify Premium inclusa</t>
        </is>
      </c>
      <c r="S96" s="2" t="inlineStr">
        <is>
          <t>https://vivo.com.br/para-voce/produtos-e-servicos/para-o-celular/planos-pos-pago</t>
        </is>
      </c>
      <c r="T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7" t="n">
        <v>70</v>
      </c>
      <c r="L97" s="5" t="inlineStr">
        <is>
          <t>60 GB de franquia 10 GB de bônus</t>
        </is>
      </c>
      <c r="M97" s="5" t="inlineStr"/>
      <c r="N97" s="5" t="inlineStr"/>
      <c r="O97" s="5" t="inlineStr"/>
      <c r="P97" s="5" t="inlineStr"/>
      <c r="Q97" s="5" t="inlineStr"/>
      <c r="R97" s="5" t="inlineStr">
        <is>
          <t>6 meses grátis de Gemini com AI Plus</t>
        </is>
      </c>
      <c r="S97" s="5" t="inlineStr">
        <is>
          <t>https://vivo.com.br/para-voce/produtos-e-servicos/para-o-celular/planos-pos-pago</t>
        </is>
      </c>
      <c r="T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4" t="n">
        <v>25</v>
      </c>
      <c r="L98" s="2" t="inlineStr">
        <is>
          <t>15 GB para navegar como quiser 5 GB de bônus 5 GB para navegar no Youtube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>
        <is>
          <t>https://vivo.com.br/para-voce/produtos-e-servicos/para-o-celular/pre-pago/vivo-pre</t>
        </is>
      </c>
      <c r="T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7" t="n">
        <v>9</v>
      </c>
      <c r="L99" s="5" t="inlineStr">
        <is>
          <t>6 GB para navegar como quiser 3 GB para navegar no YouTube</t>
        </is>
      </c>
      <c r="M99" s="5" t="inlineStr"/>
      <c r="N99" s="5" t="inlineStr"/>
      <c r="O99" s="5" t="inlineStr"/>
      <c r="P99" s="5" t="inlineStr"/>
      <c r="Q99" s="5" t="inlineStr"/>
      <c r="R99" s="5" t="inlineStr"/>
      <c r="S99" s="5" t="inlineStr">
        <is>
          <t>https://vivo.com.br/para-voce/produtos-e-servicos/para-o-celular/pre-pago/vivo-pre</t>
        </is>
      </c>
      <c r="T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4" t="n">
        <v>5</v>
      </c>
      <c r="L100" s="2" t="inlineStr">
        <is>
          <t>5 GB para navegar como quiser</t>
        </is>
      </c>
      <c r="M100" s="2" t="inlineStr"/>
      <c r="N100" s="2" t="inlineStr"/>
      <c r="O100" s="2" t="inlineStr"/>
      <c r="P100" s="2" t="inlineStr"/>
      <c r="Q100" s="2" t="inlineStr"/>
      <c r="R100" s="2" t="inlineStr"/>
      <c r="S100" s="2" t="inlineStr">
        <is>
          <t>https://vivo.com.br/para-voce/produtos-e-servicos/para-o-celular/pre-pago/vivo-pre</t>
        </is>
      </c>
      <c r="T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7" t="n">
        <v>4</v>
      </c>
      <c r="L101" s="5" t="inlineStr">
        <is>
          <t>4 GB para navegar como quiser</t>
        </is>
      </c>
      <c r="M101" s="5" t="inlineStr"/>
      <c r="N101" s="5" t="inlineStr"/>
      <c r="O101" s="5" t="inlineStr"/>
      <c r="P101" s="5" t="inlineStr"/>
      <c r="Q101" s="5" t="inlineStr"/>
      <c r="R101" s="5" t="inlineStr"/>
      <c r="S101" s="5" t="inlineStr">
        <is>
          <t>https://vivo.com.br/para-voce/produtos-e-servicos/para-o-celular/pre-pago/vivo-pre</t>
        </is>
      </c>
      <c r="T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4" t="n">
        <v>25</v>
      </c>
      <c r="L102" s="2" t="inlineStr"/>
      <c r="M102" s="2" t="inlineStr">
        <is>
          <t>WhatsApp</t>
        </is>
      </c>
      <c r="N102" s="2" t="inlineStr"/>
      <c r="O102" s="2" t="inlineStr"/>
      <c r="P102" s="2" t="inlineStr"/>
      <c r="Q102" s="2" t="inlineStr"/>
      <c r="R102" s="2" t="inlineStr">
        <is>
          <t>Para uso livre; Para redes sociais e vídeos; Bônus exclusivo; Aproveite na sua franquia; WhatsApp e ligações ilimitadas</t>
        </is>
      </c>
      <c r="S102" s="2" t="inlineStr">
        <is>
          <t>https://www.claro.com.br/celular/controle</t>
        </is>
      </c>
      <c r="T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7" t="n">
        <v>30</v>
      </c>
      <c r="L103" s="5" t="inlineStr"/>
      <c r="M103" s="5" t="inlineStr">
        <is>
          <t>WhatsApp</t>
        </is>
      </c>
      <c r="N103" s="5" t="inlineStr"/>
      <c r="O103" s="5" t="inlineStr"/>
      <c r="P103" s="5" t="inlineStr"/>
      <c r="Q103" s="5" t="inlineStr"/>
      <c r="R103" s="5" t="inlineStr">
        <is>
          <t>Para uso livre; Bônus do Hexa para uso livre; Bônus para redes sociais e apps; Redes sociais e apps; WhatsApp ilimitado</t>
        </is>
      </c>
      <c r="S103" s="5" t="inlineStr">
        <is>
          <t>https://www.claro.com.br/celular/controle</t>
        </is>
      </c>
      <c r="T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4" t="n">
        <v>30</v>
      </c>
      <c r="L104" s="2" t="inlineStr"/>
      <c r="M104" s="2" t="inlineStr">
        <is>
          <t>WhatsApp</t>
        </is>
      </c>
      <c r="N104" s="2" t="inlineStr"/>
      <c r="O104" s="2" t="inlineStr"/>
      <c r="P104" s="2" t="inlineStr"/>
      <c r="Q104" s="2" t="inlineStr"/>
      <c r="R104" s="2" t="inlineStr">
        <is>
          <t>Para uso livre; Bônus para redes sociais e apps; Bônus uso livre; Redes sociais e apps; WhatsApp ilimitado</t>
        </is>
      </c>
      <c r="S104" s="2" t="inlineStr">
        <is>
          <t>https://www.claro.com.br/celular/controle</t>
        </is>
      </c>
      <c r="T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7" t="n">
        <v>15</v>
      </c>
      <c r="L105" s="5" t="inlineStr"/>
      <c r="M105" s="5" t="inlineStr">
        <is>
          <t>WhatsApp</t>
        </is>
      </c>
      <c r="N105" s="5" t="inlineStr"/>
      <c r="O105" s="5" t="inlineStr"/>
      <c r="P105" s="5" t="inlineStr"/>
      <c r="Q105" s="5" t="inlineStr"/>
      <c r="R105" s="5" t="inlineStr">
        <is>
          <t>Para uso livre; Bônus do Hexa para uso livre; Para redes sociais e apps; Bônus extra nos apps; WhatsApp ilimitado</t>
        </is>
      </c>
      <c r="S105" s="5" t="inlineStr">
        <is>
          <t>https://www.claro.com.br/celular/flex</t>
        </is>
      </c>
      <c r="T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4" t="n">
        <v>20</v>
      </c>
      <c r="L106" s="2" t="inlineStr"/>
      <c r="M106" s="2" t="inlineStr">
        <is>
          <t>WhatsApp</t>
        </is>
      </c>
      <c r="N106" s="2" t="inlineStr"/>
      <c r="O106" s="2" t="inlineStr"/>
      <c r="P106" s="2" t="inlineStr"/>
      <c r="Q106" s="2" t="inlineStr"/>
      <c r="R106" s="2" t="inlineStr">
        <is>
          <t>Para uso livre; Bônus do Hexa para uso livre; Para redes sociais e apps; Bônus extra nos apps; WhatsApp ilimitado</t>
        </is>
      </c>
      <c r="S106" s="2" t="inlineStr">
        <is>
          <t>https://www.claro.com.br/celular/flex</t>
        </is>
      </c>
      <c r="T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7" t="n">
        <v>30</v>
      </c>
      <c r="L107" s="5" t="inlineStr"/>
      <c r="M107" s="5" t="inlineStr">
        <is>
          <t>WhatsApp</t>
        </is>
      </c>
      <c r="N107" s="5" t="inlineStr"/>
      <c r="O107" s="5" t="inlineStr"/>
      <c r="P107" s="5" t="inlineStr"/>
      <c r="Q107" s="5" t="inlineStr"/>
      <c r="R107" s="5" t="inlineStr">
        <is>
          <t>Para uso livre; Bônus do Hexa para uso livre; Para redes sociais e apps; Bônus extra nos apps; WhatsApp ilimitado; Assinatura Claro musica inclusa</t>
        </is>
      </c>
      <c r="S107" s="5" t="inlineStr">
        <is>
          <t>https://www.claro.com.br/celular/flex</t>
        </is>
      </c>
      <c r="T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4" t="n">
        <v>40</v>
      </c>
      <c r="L108" s="2" t="inlineStr"/>
      <c r="M108" s="2" t="inlineStr">
        <is>
          <t>WhatsApp</t>
        </is>
      </c>
      <c r="N108" s="2" t="inlineStr"/>
      <c r="O108" s="2" t="inlineStr"/>
      <c r="P108" s="2" t="inlineStr"/>
      <c r="Q108" s="2" t="inlineStr"/>
      <c r="R108" s="2" t="inlineStr">
        <is>
          <t>Para uso livre; Para redes sociais e apps; Bônus uso livre; Bônus extra nos apps; WhatsApp ilimitado; Assinatura Claro musica inclusa</t>
        </is>
      </c>
      <c r="S108" s="2" t="inlineStr">
        <is>
          <t>https://www.claro.com.br/celular/flex</t>
        </is>
      </c>
      <c r="T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7" t="n">
        <v>100</v>
      </c>
      <c r="L109" s="5" t="inlineStr"/>
      <c r="M109" s="5" t="inlineStr">
        <is>
          <t>WhatsApp</t>
        </is>
      </c>
      <c r="N109" s="5" t="inlineStr"/>
      <c r="O109" s="5" t="inlineStr"/>
      <c r="P109" s="5" t="inlineStr"/>
      <c r="Q109" s="5" t="inlineStr"/>
      <c r="R109" s="5" t="inlineStr">
        <is>
          <t>Armazenamento na nuvem:; Google One ou iCloud+; WhatsApp ilimitado; Roaming: Passaporte Américas; Claro Sync: Smartwatch conectado</t>
        </is>
      </c>
      <c r="S109" s="5" t="inlineStr">
        <is>
          <t>https://www.claro.com.br/celular/pos</t>
        </is>
      </c>
      <c r="T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4" t="n">
        <v>150</v>
      </c>
      <c r="L110" s="2" t="inlineStr"/>
      <c r="M110" s="2" t="inlineStr">
        <is>
          <t>WhatsApp</t>
        </is>
      </c>
      <c r="N110" s="2" t="inlineStr"/>
      <c r="O110" s="2" t="inlineStr"/>
      <c r="P110" s="2" t="inlineStr"/>
      <c r="Q110" s="2" t="inlineStr"/>
      <c r="R110" s="2" t="inlineStr">
        <is>
          <t>Armazenamento na nuvem:; Google One ou iCloud+; WhatsApp ilimitado; Roaming: Passaporte Américas e Europa; Claro Sync: Smartwatch conectado</t>
        </is>
      </c>
      <c r="S110" s="2" t="inlineStr">
        <is>
          <t>https://www.claro.com.br/celular/pos</t>
        </is>
      </c>
      <c r="T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7" t="n">
        <v>200</v>
      </c>
      <c r="L111" s="5" t="inlineStr"/>
      <c r="M111" s="5" t="inlineStr">
        <is>
          <t>WhatsApp</t>
        </is>
      </c>
      <c r="N111" s="5" t="inlineStr"/>
      <c r="O111" s="5" t="inlineStr"/>
      <c r="P111" s="5" t="inlineStr"/>
      <c r="Q111" s="5" t="inlineStr"/>
      <c r="R111" s="5" t="inlineStr">
        <is>
          <t>Armazenamento na nuvem:; Google One ou iCloud+; WhatsApp ilimitado; Roaming: Passaporte Mundo; Claro Sync: Smartwatch conectado</t>
        </is>
      </c>
      <c r="S111" s="5" t="inlineStr">
        <is>
          <t>https://www.claro.com.br/celular/pos</t>
        </is>
      </c>
      <c r="T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4" t="n">
        <v>50</v>
      </c>
      <c r="L112" s="2" t="inlineStr"/>
      <c r="M112" s="2" t="inlineStr">
        <is>
          <t>WhatsApp</t>
        </is>
      </c>
      <c r="N112" s="2" t="inlineStr"/>
      <c r="O112" s="2" t="inlineStr"/>
      <c r="P112" s="2" t="inlineStr"/>
      <c r="Q112" s="2" t="inlineStr"/>
      <c r="R112" s="2" t="inlineStr">
        <is>
          <t>Armazenamento na nuvem:; Google One ou iCloud+; WhatsApp ilimitado; Roaming: Passaporte Américas; Claro Sync: Smartwatch conectado; Inclusa assinatura GeForce NOW</t>
        </is>
      </c>
      <c r="S112" s="2" t="inlineStr">
        <is>
          <t>https://www.claro.com.br/celular/pos</t>
        </is>
      </c>
      <c r="T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7" t="n">
        <v>60</v>
      </c>
      <c r="L113" s="5" t="inlineStr"/>
      <c r="M113" s="5" t="inlineStr">
        <is>
          <t>WhatsApp</t>
        </is>
      </c>
      <c r="N113" s="5" t="inlineStr"/>
      <c r="O113" s="5" t="inlineStr"/>
      <c r="P113" s="5" t="inlineStr"/>
      <c r="Q113" s="5" t="inlineStr"/>
      <c r="R113" s="5" t="inlineStr">
        <is>
          <t>Armazenamento na nuvem:; Google One ou iCloud+; WhatsApp ilimitado; Roaming: Passaporte Américas; Claro Sync: Smartwatch conectado</t>
        </is>
      </c>
      <c r="S113" s="5" t="inlineStr">
        <is>
          <t>https://www.claro.com.br/celular/pos</t>
        </is>
      </c>
      <c r="T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4" t="n">
        <v>12</v>
      </c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2" t="inlineStr">
        <is>
          <t>https://www.claro.com.br/celular/planos-pre/prezao</t>
        </is>
      </c>
      <c r="T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7" t="n">
        <v>41</v>
      </c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>
        <is>
          <t>https://www.tim.com.br/sp/para-voce/planos/controle</t>
        </is>
      </c>
      <c r="T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4" t="n">
        <v>31</v>
      </c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2" t="inlineStr">
        <is>
          <t>https://www.tim.com.br/sp/para-voce/planos/controle</t>
        </is>
      </c>
      <c r="T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7" t="n">
        <v>45</v>
      </c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>
        <is>
          <t>https://www.tim.com.br/sp/para-voce/planos/controle</t>
        </is>
      </c>
      <c r="T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4" t="n">
        <v>53</v>
      </c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2" t="inlineStr">
        <is>
          <t>https://www.tim.com.br/sp/para-voce/planos/controle</t>
        </is>
      </c>
      <c r="T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7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>
        <is>
          <t>https://www.tim.com.br/sp/para-voce/planos/controle</t>
        </is>
      </c>
      <c r="T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4" t="n">
        <v>70</v>
      </c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2" t="inlineStr">
        <is>
          <t>https://www.tim.com.br/sp/para-voce/planos/pos-pago/tim-black</t>
        </is>
      </c>
      <c r="T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7" t="n">
        <v>67</v>
      </c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>
        <is>
          <t>https://www.tim.com.br/sp/para-voce/planos/pos-pago/tim-black</t>
        </is>
      </c>
      <c r="T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4" t="n">
        <v>82</v>
      </c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2" t="inlineStr">
        <is>
          <t>https://www.tim.com.br/sp/para-voce/planos/pos-pago/tim-black</t>
        </is>
      </c>
      <c r="T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7" t="n">
        <v>107</v>
      </c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>
        <is>
          <t>https://www.tim.com.br/sp/para-voce/planos/pos-pago/tim-black</t>
        </is>
      </c>
      <c r="T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4" t="n">
        <v>95</v>
      </c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2" t="inlineStr">
        <is>
          <t>https://www.tim.com.br/sp/para-voce/planos/pos-pago/tim-black</t>
        </is>
      </c>
      <c r="T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7" t="n">
        <v>80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>
        <is>
          <t>https://www.tim.com.br/sp/para-voce/planos/pos-pago/tim-black</t>
        </is>
      </c>
      <c r="T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4" t="n">
        <v>110</v>
      </c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>
        <is>
          <t>https://www.tim.com.br/sp/para-voce/planos/pos-pago/tim-black</t>
        </is>
      </c>
      <c r="T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7" t="n">
        <v>16</v>
      </c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>
        <is>
          <t>https://www.tim.com.br/sp/para-voce/planos/pre-pago</t>
        </is>
      </c>
      <c r="T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4" t="n">
        <v>6</v>
      </c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>
        <is>
          <t>https://www.tim.com.br/sp/para-voce/planos/pre-pago</t>
        </is>
      </c>
      <c r="T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7" t="n">
        <v>8</v>
      </c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>
        <is>
          <t>https://www.tim.com.br/sp/para-voce/planos/pre-pago</t>
        </is>
      </c>
      <c r="T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4" t="n">
        <v>46</v>
      </c>
      <c r="L130" s="2" t="inlineStr">
        <is>
          <t>15 GB de franquia 31 GB de bônus</t>
        </is>
      </c>
      <c r="M130" s="2" t="inlineStr"/>
      <c r="N130" s="2" t="inlineStr"/>
      <c r="O130" s="2" t="inlineStr"/>
      <c r="P130" s="2" t="inlineStr"/>
      <c r="Q130" s="2" t="inlineStr"/>
      <c r="R130" s="2" t="inlineStr">
        <is>
          <t>6 meses grátis de Gemini com AI Plus</t>
        </is>
      </c>
      <c r="S130" s="2" t="inlineStr">
        <is>
          <t>https://vivo.com.br/para-voce/produtos-e-servicos/para-o-celular/planos-controle</t>
        </is>
      </c>
      <c r="T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7" t="n">
        <v>61</v>
      </c>
      <c r="L131" s="5" t="inlineStr">
        <is>
          <t>20 GB de franquia 31 GB de bônus</t>
        </is>
      </c>
      <c r="M131" s="5" t="inlineStr"/>
      <c r="N131" s="5" t="inlineStr"/>
      <c r="O131" s="5" t="inlineStr"/>
      <c r="P131" s="5" t="inlineStr"/>
      <c r="Q131" s="5" t="inlineStr"/>
      <c r="R131" s="5" t="inlineStr">
        <is>
          <t>6 meses grátis de Gemini com AI Plus</t>
        </is>
      </c>
      <c r="S131" s="5" t="inlineStr">
        <is>
          <t>https://vivo.com.br/para-voce/produtos-e-servicos/para-o-celular/planos-controle</t>
        </is>
      </c>
      <c r="T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4" t="n">
        <v>61</v>
      </c>
      <c r="L132" s="2" t="inlineStr">
        <is>
          <t>20 GB de franquia 31 GB de bônus</t>
        </is>
      </c>
      <c r="M132" s="2" t="inlineStr"/>
      <c r="N132" s="2" t="inlineStr"/>
      <c r="O132" s="2" t="inlineStr"/>
      <c r="P132" s="2" t="inlineStr"/>
      <c r="Q132" s="2" t="inlineStr"/>
      <c r="R132" s="2" t="inlineStr">
        <is>
          <t>Assinatura Vivae inclusa</t>
        </is>
      </c>
      <c r="S132" s="2" t="inlineStr">
        <is>
          <t>https://vivo.com.br/para-voce/produtos-e-servicos/para-o-celular/planos-controle</t>
        </is>
      </c>
      <c r="T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7" t="n">
        <v>61</v>
      </c>
      <c r="L133" s="5" t="inlineStr">
        <is>
          <t>20 GB de franquia 31 GB de bônus</t>
        </is>
      </c>
      <c r="M133" s="5" t="inlineStr"/>
      <c r="N133" s="5" t="inlineStr"/>
      <c r="O133" s="5" t="inlineStr"/>
      <c r="P133" s="5" t="inlineStr"/>
      <c r="Q133" s="5" t="inlineStr"/>
      <c r="R133" s="5" t="inlineStr">
        <is>
          <t>Assinatura Vivo TV Inicial inclusa</t>
        </is>
      </c>
      <c r="S133" s="5" t="inlineStr">
        <is>
          <t>https://vivo.com.br/para-voce/produtos-e-servicos/para-o-celular/planos-controle</t>
        </is>
      </c>
      <c r="T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4" t="n">
        <v>61</v>
      </c>
      <c r="L134" s="2" t="inlineStr">
        <is>
          <t>20 GB de franquia 31 GB de bônus</t>
        </is>
      </c>
      <c r="M134" s="2" t="inlineStr"/>
      <c r="N134" s="2" t="inlineStr"/>
      <c r="O134" s="2" t="inlineStr"/>
      <c r="P134" s="2" t="inlineStr"/>
      <c r="Q134" s="2" t="inlineStr"/>
      <c r="R134" s="2" t="inlineStr">
        <is>
          <t>Apple Music Individual</t>
        </is>
      </c>
      <c r="S134" s="2" t="inlineStr">
        <is>
          <t>https://vivo.com.br/para-voce/produtos-e-servicos/para-o-celular/planos-controle</t>
        </is>
      </c>
      <c r="T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7" t="n">
        <v>61</v>
      </c>
      <c r="L135" s="5" t="inlineStr">
        <is>
          <t>20 GB de franquia 31 GB de bônus</t>
        </is>
      </c>
      <c r="M135" s="5" t="inlineStr"/>
      <c r="N135" s="5" t="inlineStr"/>
      <c r="O135" s="5" t="inlineStr"/>
      <c r="P135" s="5" t="inlineStr"/>
      <c r="Q135" s="5" t="inlineStr"/>
      <c r="R135" s="5" t="inlineStr">
        <is>
          <t>Assinatura Netflix Padrão com anúncios</t>
        </is>
      </c>
      <c r="S135" s="5" t="inlineStr">
        <is>
          <t>https://vivo.com.br/para-voce/produtos-e-servicos/para-o-celular/planos-controle</t>
        </is>
      </c>
      <c r="T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4" t="n">
        <v>61</v>
      </c>
      <c r="L136" s="2" t="inlineStr">
        <is>
          <t>20 GB de franquia 31 GB de bônus</t>
        </is>
      </c>
      <c r="M136" s="2" t="inlineStr"/>
      <c r="N136" s="2" t="inlineStr"/>
      <c r="O136" s="2" t="inlineStr"/>
      <c r="P136" s="2" t="inlineStr"/>
      <c r="Q136" s="2" t="inlineStr"/>
      <c r="R136" s="2" t="inlineStr">
        <is>
          <t>Assinatura Vale Saúde Sempre inclusa</t>
        </is>
      </c>
      <c r="S136" s="2" t="inlineStr">
        <is>
          <t>https://vivo.com.br/para-voce/produtos-e-servicos/para-o-celular/planos-controle</t>
        </is>
      </c>
      <c r="T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7" t="n">
        <v>30</v>
      </c>
      <c r="L137" s="5" t="inlineStr">
        <is>
          <t>30 GB de franquia</t>
        </is>
      </c>
      <c r="M137" s="5" t="inlineStr"/>
      <c r="N137" s="5" t="inlineStr"/>
      <c r="O137" s="5" t="inlineStr"/>
      <c r="P137" s="5" t="inlineStr"/>
      <c r="Q137" s="5" t="inlineStr"/>
      <c r="R137" s="5" t="inlineStr">
        <is>
          <t>2 meses de YouTube sem desconto no plano</t>
        </is>
      </c>
      <c r="S137" s="5" t="inlineStr">
        <is>
          <t>https://vivo.com.br/para-voce/produtos-e-servicos/para-o-celular/easy-lite</t>
        </is>
      </c>
      <c r="T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4" t="n">
        <v>40</v>
      </c>
      <c r="L138" s="2" t="inlineStr">
        <is>
          <t>40 GB de franquia</t>
        </is>
      </c>
      <c r="M138" s="2" t="inlineStr"/>
      <c r="N138" s="2" t="inlineStr"/>
      <c r="O138" s="2" t="inlineStr"/>
      <c r="P138" s="2" t="inlineStr"/>
      <c r="Q138" s="2" t="inlineStr"/>
      <c r="R138" s="2" t="inlineStr">
        <is>
          <t>2 meses de YouTube sem desconto no plano</t>
        </is>
      </c>
      <c r="S138" s="2" t="inlineStr">
        <is>
          <t>https://vivo.com.br/para-voce/produtos-e-servicos/para-o-celular/easy-lite</t>
        </is>
      </c>
      <c r="T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7" t="n">
        <v>20</v>
      </c>
      <c r="L139" s="5" t="inlineStr">
        <is>
          <t>20 GB de franquia</t>
        </is>
      </c>
      <c r="M139" s="5" t="inlineStr"/>
      <c r="N139" s="5" t="inlineStr"/>
      <c r="O139" s="5" t="inlineStr"/>
      <c r="P139" s="5" t="inlineStr"/>
      <c r="Q139" s="5" t="inlineStr"/>
      <c r="R139" s="5" t="inlineStr">
        <is>
          <t>2 meses de YouTube sem desconto no plano</t>
        </is>
      </c>
      <c r="S139" s="5" t="inlineStr">
        <is>
          <t>https://vivo.com.br/para-voce/produtos-e-servicos/para-o-celular/easy-lite</t>
        </is>
      </c>
      <c r="T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4" t="n">
        <v>60</v>
      </c>
      <c r="L140" s="2" t="inlineStr">
        <is>
          <t>50 GB de franquia 10 GB de bônus</t>
        </is>
      </c>
      <c r="M140" s="2" t="inlineStr"/>
      <c r="N140" s="2" t="inlineStr"/>
      <c r="O140" s="2" t="inlineStr"/>
      <c r="P140" s="2" t="inlineStr"/>
      <c r="Q140" s="2" t="inlineStr"/>
      <c r="R140" s="2" t="inlineStr">
        <is>
          <t>Assinatura Amazon Prime inclusa</t>
        </is>
      </c>
      <c r="S140" s="2" t="inlineStr">
        <is>
          <t>https://vivo.com.br/para-voce/produtos-e-servicos/para-o-celular/planos-pos-pago</t>
        </is>
      </c>
      <c r="T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7" t="n">
        <v>60</v>
      </c>
      <c r="L141" s="5" t="inlineStr">
        <is>
          <t>50 GB de franquia 10 GB de bônus</t>
        </is>
      </c>
      <c r="M141" s="5" t="inlineStr"/>
      <c r="N141" s="5" t="inlineStr"/>
      <c r="O141" s="5" t="inlineStr"/>
      <c r="P141" s="5" t="inlineStr">
        <is>
          <t>Disney+</t>
        </is>
      </c>
      <c r="Q141" s="5" t="inlineStr"/>
      <c r="R141" s="5" t="inlineStr">
        <is>
          <t>Assinatura Disney+ Padrão inclusa</t>
        </is>
      </c>
      <c r="S141" s="5" t="inlineStr">
        <is>
          <t>https://vivo.com.br/para-voce/produtos-e-servicos/para-o-celular/planos-pos-pago</t>
        </is>
      </c>
      <c r="T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4" t="n">
        <v>60</v>
      </c>
      <c r="L142" s="2" t="inlineStr">
        <is>
          <t>50 GB de franquia 10 GB de bônus</t>
        </is>
      </c>
      <c r="M142" s="2" t="inlineStr"/>
      <c r="N142" s="2" t="inlineStr"/>
      <c r="O142" s="2" t="inlineStr"/>
      <c r="P142" s="2" t="inlineStr">
        <is>
          <t>Globoplay</t>
        </is>
      </c>
      <c r="Q142" s="2" t="inlineStr"/>
      <c r="R142" s="2" t="inlineStr">
        <is>
          <t>Assinatura Globoplay inclusa</t>
        </is>
      </c>
      <c r="S142" s="2" t="inlineStr">
        <is>
          <t>https://vivo.com.br/para-voce/produtos-e-servicos/para-o-celular/planos-pos-pago</t>
        </is>
      </c>
      <c r="T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7" t="n">
        <v>60</v>
      </c>
      <c r="L143" s="5" t="inlineStr">
        <is>
          <t>50 GB de franquia 10 GB de bônus</t>
        </is>
      </c>
      <c r="M143" s="5" t="inlineStr"/>
      <c r="N143" s="5" t="inlineStr"/>
      <c r="O143" s="5" t="inlineStr"/>
      <c r="P143" s="5" t="inlineStr">
        <is>
          <t>Netflix</t>
        </is>
      </c>
      <c r="Q143" s="5" t="inlineStr"/>
      <c r="R143" s="5" t="inlineStr">
        <is>
          <t>Assinatura Netflix Padrão inclusa</t>
        </is>
      </c>
      <c r="S143" s="5" t="inlineStr">
        <is>
          <t>https://vivo.com.br/para-voce/produtos-e-servicos/para-o-celular/planos-pos-pago</t>
        </is>
      </c>
      <c r="T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4" t="n">
        <v>60</v>
      </c>
      <c r="L144" s="2" t="inlineStr">
        <is>
          <t>50 GB de franquia 10 GB de bônus</t>
        </is>
      </c>
      <c r="M144" s="2" t="inlineStr"/>
      <c r="N144" s="2" t="inlineStr"/>
      <c r="O144" s="2" t="inlineStr"/>
      <c r="P144" s="2" t="inlineStr">
        <is>
          <t>Premiere</t>
        </is>
      </c>
      <c r="Q144" s="2" t="inlineStr"/>
      <c r="R144" s="2" t="inlineStr">
        <is>
          <t>Assinatura Premiere inclusa</t>
        </is>
      </c>
      <c r="S144" s="2" t="inlineStr">
        <is>
          <t>https://vivo.com.br/para-voce/produtos-e-servicos/para-o-celular/planos-pos-pago</t>
        </is>
      </c>
      <c r="T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7" t="n">
        <v>60</v>
      </c>
      <c r="L145" s="5" t="inlineStr">
        <is>
          <t>50 GB de franquia 10 GB de bônus</t>
        </is>
      </c>
      <c r="M145" s="5" t="inlineStr"/>
      <c r="N145" s="5" t="inlineStr"/>
      <c r="O145" s="5" t="inlineStr"/>
      <c r="P145" s="5" t="inlineStr">
        <is>
          <t>Spotify</t>
        </is>
      </c>
      <c r="Q145" s="5" t="inlineStr"/>
      <c r="R145" s="5" t="inlineStr">
        <is>
          <t>Assinatura Spotify Premium inclusa</t>
        </is>
      </c>
      <c r="S145" s="5" t="inlineStr">
        <is>
          <t>https://vivo.com.br/para-voce/produtos-e-servicos/para-o-celular/planos-pos-pago</t>
        </is>
      </c>
      <c r="T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4" t="n">
        <v>70</v>
      </c>
      <c r="L146" s="2" t="inlineStr">
        <is>
          <t>60 GB de franquia 10 GB de bônus</t>
        </is>
      </c>
      <c r="M146" s="2" t="inlineStr"/>
      <c r="N146" s="2" t="inlineStr"/>
      <c r="O146" s="2" t="inlineStr"/>
      <c r="P146" s="2" t="inlineStr"/>
      <c r="Q146" s="2" t="inlineStr"/>
      <c r="R146" s="2" t="inlineStr">
        <is>
          <t>6 meses grátis de Gemini com AI Plus</t>
        </is>
      </c>
      <c r="S146" s="2" t="inlineStr">
        <is>
          <t>https://vivo.com.br/para-voce/produtos-e-servicos/para-o-celular/planos-pos-pago</t>
        </is>
      </c>
      <c r="T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7" t="n">
        <v>25</v>
      </c>
      <c r="L147" s="5" t="inlineStr">
        <is>
          <t>15 GB para navegar como quiser 5 GB de bônus 5 GB para navegar no Youtube</t>
        </is>
      </c>
      <c r="M147" s="5" t="inlineStr"/>
      <c r="N147" s="5" t="inlineStr"/>
      <c r="O147" s="5" t="inlineStr"/>
      <c r="P147" s="5" t="inlineStr"/>
      <c r="Q147" s="5" t="inlineStr"/>
      <c r="R147" s="5" t="inlineStr"/>
      <c r="S147" s="5" t="inlineStr">
        <is>
          <t>https://vivo.com.br/para-voce/produtos-e-servicos/para-o-celular/pre-pago/vivo-pre</t>
        </is>
      </c>
      <c r="T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4" t="n">
        <v>9</v>
      </c>
      <c r="L148" s="2" t="inlineStr">
        <is>
          <t>6 GB para navegar como quiser 3 GB para navegar no YouTube</t>
        </is>
      </c>
      <c r="M148" s="2" t="inlineStr"/>
      <c r="N148" s="2" t="inlineStr"/>
      <c r="O148" s="2" t="inlineStr"/>
      <c r="P148" s="2" t="inlineStr"/>
      <c r="Q148" s="2" t="inlineStr"/>
      <c r="R148" s="2" t="inlineStr"/>
      <c r="S148" s="2" t="inlineStr">
        <is>
          <t>https://vivo.com.br/para-voce/produtos-e-servicos/para-o-celular/pre-pago/vivo-pre</t>
        </is>
      </c>
      <c r="T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7" t="n">
        <v>5</v>
      </c>
      <c r="L149" s="5" t="inlineStr">
        <is>
          <t>5 GB para navegar como quiser</t>
        </is>
      </c>
      <c r="M149" s="5" t="inlineStr"/>
      <c r="N149" s="5" t="inlineStr"/>
      <c r="O149" s="5" t="inlineStr"/>
      <c r="P149" s="5" t="inlineStr"/>
      <c r="Q149" s="5" t="inlineStr"/>
      <c r="R149" s="5" t="inlineStr"/>
      <c r="S149" s="5" t="inlineStr">
        <is>
          <t>https://vivo.com.br/para-voce/produtos-e-servicos/para-o-celular/pre-pago/vivo-pre</t>
        </is>
      </c>
      <c r="T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4" t="n">
        <v>4</v>
      </c>
      <c r="L150" s="2" t="inlineStr">
        <is>
          <t>4 GB para navegar como quiser</t>
        </is>
      </c>
      <c r="M150" s="2" t="inlineStr"/>
      <c r="N150" s="2" t="inlineStr"/>
      <c r="O150" s="2" t="inlineStr"/>
      <c r="P150" s="2" t="inlineStr"/>
      <c r="Q150" s="2" t="inlineStr"/>
      <c r="R150" s="2" t="inlineStr"/>
      <c r="S150" s="2" t="inlineStr">
        <is>
          <t>https://vivo.com.br/para-voce/produtos-e-servicos/para-o-celular/pre-pago/vivo-pre</t>
        </is>
      </c>
      <c r="T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7" t="n">
        <v>25</v>
      </c>
      <c r="L151" s="5" t="inlineStr"/>
      <c r="M151" s="5" t="inlineStr">
        <is>
          <t>WhatsApp</t>
        </is>
      </c>
      <c r="N151" s="5" t="inlineStr"/>
      <c r="O151" s="5" t="inlineStr"/>
      <c r="P151" s="5" t="inlineStr"/>
      <c r="Q151" s="5" t="inlineStr"/>
      <c r="R151" s="5" t="inlineStr">
        <is>
          <t>Para uso livre; Para redes sociais e vídeos; Bônus exclusivo; Aproveite na sua franquia; WhatsApp e ligações ilimitadas</t>
        </is>
      </c>
      <c r="S151" s="5" t="inlineStr">
        <is>
          <t>https://www.claro.com.br/celular/controle</t>
        </is>
      </c>
      <c r="T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4" t="n">
        <v>30</v>
      </c>
      <c r="L152" s="2" t="inlineStr"/>
      <c r="M152" s="2" t="inlineStr">
        <is>
          <t>WhatsApp</t>
        </is>
      </c>
      <c r="N152" s="2" t="inlineStr"/>
      <c r="O152" s="2" t="inlineStr"/>
      <c r="P152" s="2" t="inlineStr"/>
      <c r="Q152" s="2" t="inlineStr"/>
      <c r="R152" s="2" t="inlineStr">
        <is>
          <t>Para uso livre; Bônus do Hexa para uso livre; Bônus para redes sociais e apps; Redes sociais e apps; WhatsApp ilimitado</t>
        </is>
      </c>
      <c r="S152" s="2" t="inlineStr">
        <is>
          <t>https://www.claro.com.br/celular/controle</t>
        </is>
      </c>
      <c r="T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7" t="n">
        <v>30</v>
      </c>
      <c r="L153" s="5" t="inlineStr"/>
      <c r="M153" s="5" t="inlineStr">
        <is>
          <t>WhatsApp</t>
        </is>
      </c>
      <c r="N153" s="5" t="inlineStr"/>
      <c r="O153" s="5" t="inlineStr"/>
      <c r="P153" s="5" t="inlineStr"/>
      <c r="Q153" s="5" t="inlineStr"/>
      <c r="R153" s="5" t="inlineStr">
        <is>
          <t>Para uso livre; Bônus para redes sociais e apps; Bônus uso livre; Redes sociais e apps; WhatsApp ilimitado</t>
        </is>
      </c>
      <c r="S153" s="5" t="inlineStr">
        <is>
          <t>https://www.claro.com.br/celular/controle</t>
        </is>
      </c>
      <c r="T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4" t="n">
        <v>15</v>
      </c>
      <c r="L154" s="2" t="inlineStr"/>
      <c r="M154" s="2" t="inlineStr">
        <is>
          <t>WhatsApp</t>
        </is>
      </c>
      <c r="N154" s="2" t="inlineStr"/>
      <c r="O154" s="2" t="inlineStr"/>
      <c r="P154" s="2" t="inlineStr"/>
      <c r="Q154" s="2" t="inlineStr"/>
      <c r="R154" s="2" t="inlineStr">
        <is>
          <t>Para uso livre; Bônus do Hexa para uso livre; Para redes sociais e apps; Bônus extra nos apps; WhatsApp ilimitado</t>
        </is>
      </c>
      <c r="S154" s="2" t="inlineStr">
        <is>
          <t>https://www.claro.com.br/celular/flex</t>
        </is>
      </c>
      <c r="T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7" t="n">
        <v>20</v>
      </c>
      <c r="L155" s="5" t="inlineStr"/>
      <c r="M155" s="5" t="inlineStr">
        <is>
          <t>WhatsApp</t>
        </is>
      </c>
      <c r="N155" s="5" t="inlineStr"/>
      <c r="O155" s="5" t="inlineStr"/>
      <c r="P155" s="5" t="inlineStr"/>
      <c r="Q155" s="5" t="inlineStr"/>
      <c r="R155" s="5" t="inlineStr">
        <is>
          <t>Para uso livre; Bônus do Hexa para uso livre; Para redes sociais e apps; Bônus extra nos apps; WhatsApp ilimitado</t>
        </is>
      </c>
      <c r="S155" s="5" t="inlineStr">
        <is>
          <t>https://www.claro.com.br/celular/flex</t>
        </is>
      </c>
      <c r="T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4" t="n">
        <v>30</v>
      </c>
      <c r="L156" s="2" t="inlineStr"/>
      <c r="M156" s="2" t="inlineStr">
        <is>
          <t>WhatsApp</t>
        </is>
      </c>
      <c r="N156" s="2" t="inlineStr"/>
      <c r="O156" s="2" t="inlineStr"/>
      <c r="P156" s="2" t="inlineStr"/>
      <c r="Q156" s="2" t="inlineStr"/>
      <c r="R156" s="2" t="inlineStr">
        <is>
          <t>Para uso livre; Bônus do Hexa para uso livre; Para redes sociais e apps; Bônus extra nos apps; WhatsApp ilimitado; Assinatura Claro musica inclusa</t>
        </is>
      </c>
      <c r="S156" s="2" t="inlineStr">
        <is>
          <t>https://www.claro.com.br/celular/flex</t>
        </is>
      </c>
      <c r="T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7" t="n">
        <v>40</v>
      </c>
      <c r="L157" s="5" t="inlineStr"/>
      <c r="M157" s="5" t="inlineStr">
        <is>
          <t>WhatsApp</t>
        </is>
      </c>
      <c r="N157" s="5" t="inlineStr"/>
      <c r="O157" s="5" t="inlineStr"/>
      <c r="P157" s="5" t="inlineStr"/>
      <c r="Q157" s="5" t="inlineStr"/>
      <c r="R157" s="5" t="inlineStr">
        <is>
          <t>Para uso livre; Para redes sociais e apps; Bônus uso livre; Bônus extra nos apps; WhatsApp ilimitado; Assinatura Claro musica inclusa</t>
        </is>
      </c>
      <c r="S157" s="5" t="inlineStr">
        <is>
          <t>https://www.claro.com.br/celular/flex</t>
        </is>
      </c>
      <c r="T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4" t="n">
        <v>100</v>
      </c>
      <c r="L158" s="2" t="inlineStr"/>
      <c r="M158" s="2" t="inlineStr">
        <is>
          <t>WhatsApp</t>
        </is>
      </c>
      <c r="N158" s="2" t="inlineStr"/>
      <c r="O158" s="2" t="inlineStr"/>
      <c r="P158" s="2" t="inlineStr"/>
      <c r="Q158" s="2" t="inlineStr"/>
      <c r="R158" s="2" t="inlineStr">
        <is>
          <t>Armazenamento na nuvem:; Google One ou iCloud+; WhatsApp ilimitado; Roaming: Passaporte Américas; Claro Sync: Smartwatch conectado</t>
        </is>
      </c>
      <c r="S158" s="2" t="inlineStr">
        <is>
          <t>https://www.claro.com.br/celular/pos</t>
        </is>
      </c>
      <c r="T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7" t="n">
        <v>150</v>
      </c>
      <c r="L159" s="5" t="inlineStr"/>
      <c r="M159" s="5" t="inlineStr">
        <is>
          <t>WhatsApp</t>
        </is>
      </c>
      <c r="N159" s="5" t="inlineStr"/>
      <c r="O159" s="5" t="inlineStr"/>
      <c r="P159" s="5" t="inlineStr"/>
      <c r="Q159" s="5" t="inlineStr"/>
      <c r="R159" s="5" t="inlineStr">
        <is>
          <t>Armazenamento na nuvem:; Google One ou iCloud+; WhatsApp ilimitado; Roaming: Passaporte Américas e Europa; Claro Sync: Smartwatch conectado</t>
        </is>
      </c>
      <c r="S159" s="5" t="inlineStr">
        <is>
          <t>https://www.claro.com.br/celular/pos</t>
        </is>
      </c>
      <c r="T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4" t="n">
        <v>200</v>
      </c>
      <c r="L160" s="2" t="inlineStr"/>
      <c r="M160" s="2" t="inlineStr">
        <is>
          <t>WhatsApp</t>
        </is>
      </c>
      <c r="N160" s="2" t="inlineStr"/>
      <c r="O160" s="2" t="inlineStr"/>
      <c r="P160" s="2" t="inlineStr"/>
      <c r="Q160" s="2" t="inlineStr"/>
      <c r="R160" s="2" t="inlineStr">
        <is>
          <t>Armazenamento na nuvem:; Google One ou iCloud+; WhatsApp ilimitado; Roaming: Passaporte Mundo; Claro Sync: Smartwatch conectado</t>
        </is>
      </c>
      <c r="S160" s="2" t="inlineStr">
        <is>
          <t>https://www.claro.com.br/celular/pos</t>
        </is>
      </c>
      <c r="T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7" t="n">
        <v>50</v>
      </c>
      <c r="L161" s="5" t="inlineStr"/>
      <c r="M161" s="5" t="inlineStr">
        <is>
          <t>WhatsApp</t>
        </is>
      </c>
      <c r="N161" s="5" t="inlineStr"/>
      <c r="O161" s="5" t="inlineStr"/>
      <c r="P161" s="5" t="inlineStr"/>
      <c r="Q161" s="5" t="inlineStr"/>
      <c r="R161" s="5" t="inlineStr">
        <is>
          <t>Armazenamento na nuvem:; Google One ou iCloud+; WhatsApp ilimitado; Roaming: Passaporte Américas; Claro Sync: Smartwatch conectado; Inclusa assinatura GeForce NOW</t>
        </is>
      </c>
      <c r="S161" s="5" t="inlineStr">
        <is>
          <t>https://www.claro.com.br/celular/pos</t>
        </is>
      </c>
      <c r="T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4" t="n">
        <v>60</v>
      </c>
      <c r="L162" s="2" t="inlineStr"/>
      <c r="M162" s="2" t="inlineStr">
        <is>
          <t>WhatsApp</t>
        </is>
      </c>
      <c r="N162" s="2" t="inlineStr"/>
      <c r="O162" s="2" t="inlineStr"/>
      <c r="P162" s="2" t="inlineStr"/>
      <c r="Q162" s="2" t="inlineStr"/>
      <c r="R162" s="2" t="inlineStr">
        <is>
          <t>Armazenamento na nuvem:; Google One ou iCloud+; WhatsApp ilimitado; Roaming: Passaporte Américas; Claro Sync: Smartwatch conectado</t>
        </is>
      </c>
      <c r="S162" s="2" t="inlineStr">
        <is>
          <t>https://www.claro.com.br/celular/pos</t>
        </is>
      </c>
      <c r="T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7" t="n">
        <v>12</v>
      </c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>
        <is>
          <t>https://www.claro.com.br/celular/planos-pre/prezao</t>
        </is>
      </c>
      <c r="T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4" t="n">
        <v>41</v>
      </c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>
        <is>
          <t>https://www.tim.com.br/sp/para-voce/planos/controle</t>
        </is>
      </c>
      <c r="T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7" t="n">
        <v>31</v>
      </c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>
        <is>
          <t>https://www.tim.com.br/sp/para-voce/planos/controle</t>
        </is>
      </c>
      <c r="T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4" t="n">
        <v>45</v>
      </c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>
        <is>
          <t>https://www.tim.com.br/sp/para-voce/planos/controle</t>
        </is>
      </c>
      <c r="T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7" t="n">
        <v>53</v>
      </c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>
        <is>
          <t>https://www.tim.com.br/sp/para-voce/planos/controle</t>
        </is>
      </c>
      <c r="T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4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>
        <is>
          <t>https://www.tim.com.br/sp/para-voce/planos/controle</t>
        </is>
      </c>
      <c r="T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7" t="n">
        <v>70</v>
      </c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>
        <is>
          <t>https://www.tim.com.br/sp/para-voce/planos/pos-pago/tim-black</t>
        </is>
      </c>
      <c r="T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4" t="n">
        <v>67</v>
      </c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>
        <is>
          <t>https://www.tim.com.br/sp/para-voce/planos/pos-pago/tim-black</t>
        </is>
      </c>
      <c r="T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7" t="n">
        <v>82</v>
      </c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>
        <is>
          <t>https://www.tim.com.br/sp/para-voce/planos/pos-pago/tim-black</t>
        </is>
      </c>
      <c r="T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4" t="n">
        <v>107</v>
      </c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>
        <is>
          <t>https://www.tim.com.br/sp/para-voce/planos/pos-pago/tim-black</t>
        </is>
      </c>
      <c r="T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7" t="n">
        <v>95</v>
      </c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>
        <is>
          <t>https://www.tim.com.br/sp/para-voce/planos/pos-pago/tim-black</t>
        </is>
      </c>
      <c r="T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4" t="n">
        <v>80</v>
      </c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>
        <is>
          <t>https://www.tim.com.br/sp/para-voce/planos/pos-pago/tim-black</t>
        </is>
      </c>
      <c r="T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7" t="n">
        <v>110</v>
      </c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>
        <is>
          <t>https://www.tim.com.br/sp/para-voce/planos/pos-pago/tim-black</t>
        </is>
      </c>
      <c r="T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4" t="n">
        <v>16</v>
      </c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>
        <is>
          <t>https://www.tim.com.br/sp/para-voce/planos/pre-pago</t>
        </is>
      </c>
      <c r="T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7" t="n">
        <v>6</v>
      </c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>
        <is>
          <t>https://www.tim.com.br/sp/para-voce/planos/pre-pago</t>
        </is>
      </c>
      <c r="T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4" t="n">
        <v>8</v>
      </c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>
        <is>
          <t>https://www.tim.com.br/sp/para-voce/planos/pre-pago</t>
        </is>
      </c>
      <c r="T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7" t="n">
        <v>46</v>
      </c>
      <c r="L179" s="5" t="inlineStr">
        <is>
          <t>15 GB de franquia 31 GB de bônus</t>
        </is>
      </c>
      <c r="M179" s="5" t="inlineStr"/>
      <c r="N179" s="5" t="inlineStr"/>
      <c r="O179" s="5" t="inlineStr"/>
      <c r="P179" s="5" t="inlineStr"/>
      <c r="Q179" s="5" t="inlineStr"/>
      <c r="R179" s="5" t="inlineStr">
        <is>
          <t>6 meses grátis de Gemini com AI Plus</t>
        </is>
      </c>
      <c r="S179" s="5" t="inlineStr">
        <is>
          <t>https://vivo.com.br/para-voce/produtos-e-servicos/para-o-celular/planos-controle</t>
        </is>
      </c>
      <c r="T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4" t="n">
        <v>61</v>
      </c>
      <c r="L180" s="2" t="inlineStr">
        <is>
          <t>20 GB de franquia 31 GB de bônus</t>
        </is>
      </c>
      <c r="M180" s="2" t="inlineStr"/>
      <c r="N180" s="2" t="inlineStr"/>
      <c r="O180" s="2" t="inlineStr"/>
      <c r="P180" s="2" t="inlineStr"/>
      <c r="Q180" s="2" t="inlineStr"/>
      <c r="R180" s="2" t="inlineStr">
        <is>
          <t>6 meses grátis de Gemini com AI Plus</t>
        </is>
      </c>
      <c r="S180" s="2" t="inlineStr">
        <is>
          <t>https://vivo.com.br/para-voce/produtos-e-servicos/para-o-celular/planos-controle</t>
        </is>
      </c>
      <c r="T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7" t="n">
        <v>61</v>
      </c>
      <c r="L181" s="5" t="inlineStr">
        <is>
          <t>20 GB de franquia 31 GB de bônus</t>
        </is>
      </c>
      <c r="M181" s="5" t="inlineStr"/>
      <c r="N181" s="5" t="inlineStr"/>
      <c r="O181" s="5" t="inlineStr"/>
      <c r="P181" s="5" t="inlineStr"/>
      <c r="Q181" s="5" t="inlineStr"/>
      <c r="R181" s="5" t="inlineStr">
        <is>
          <t>Assinatura Vivae inclusa</t>
        </is>
      </c>
      <c r="S181" s="5" t="inlineStr">
        <is>
          <t>https://vivo.com.br/para-voce/produtos-e-servicos/para-o-celular/planos-controle</t>
        </is>
      </c>
      <c r="T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4" t="n">
        <v>61</v>
      </c>
      <c r="L182" s="2" t="inlineStr">
        <is>
          <t>20 GB de franquia 31 GB de bônus</t>
        </is>
      </c>
      <c r="M182" s="2" t="inlineStr"/>
      <c r="N182" s="2" t="inlineStr"/>
      <c r="O182" s="2" t="inlineStr"/>
      <c r="P182" s="2" t="inlineStr"/>
      <c r="Q182" s="2" t="inlineStr"/>
      <c r="R182" s="2" t="inlineStr">
        <is>
          <t>Assinatura Vivo TV Inicial inclusa</t>
        </is>
      </c>
      <c r="S182" s="2" t="inlineStr">
        <is>
          <t>https://vivo.com.br/para-voce/produtos-e-servicos/para-o-celular/planos-controle</t>
        </is>
      </c>
      <c r="T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7" t="n">
        <v>61</v>
      </c>
      <c r="L183" s="5" t="inlineStr">
        <is>
          <t>20 GB de franquia 31 GB de bônus</t>
        </is>
      </c>
      <c r="M183" s="5" t="inlineStr"/>
      <c r="N183" s="5" t="inlineStr"/>
      <c r="O183" s="5" t="inlineStr"/>
      <c r="P183" s="5" t="inlineStr"/>
      <c r="Q183" s="5" t="inlineStr"/>
      <c r="R183" s="5" t="inlineStr">
        <is>
          <t>Apple Music Individual</t>
        </is>
      </c>
      <c r="S183" s="5" t="inlineStr">
        <is>
          <t>https://vivo.com.br/para-voce/produtos-e-servicos/para-o-celular/planos-controle</t>
        </is>
      </c>
      <c r="T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4" t="n">
        <v>61</v>
      </c>
      <c r="L184" s="2" t="inlineStr">
        <is>
          <t>20 GB de franquia 31 GB de bônus</t>
        </is>
      </c>
      <c r="M184" s="2" t="inlineStr"/>
      <c r="N184" s="2" t="inlineStr"/>
      <c r="O184" s="2" t="inlineStr"/>
      <c r="P184" s="2" t="inlineStr"/>
      <c r="Q184" s="2" t="inlineStr"/>
      <c r="R184" s="2" t="inlineStr">
        <is>
          <t>Assinatura Netflix Padrão com anúncios</t>
        </is>
      </c>
      <c r="S184" s="2" t="inlineStr">
        <is>
          <t>https://vivo.com.br/para-voce/produtos-e-servicos/para-o-celular/planos-controle</t>
        </is>
      </c>
      <c r="T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7" t="n">
        <v>61</v>
      </c>
      <c r="L185" s="5" t="inlineStr">
        <is>
          <t>20 GB de franquia 31 GB de bônus</t>
        </is>
      </c>
      <c r="M185" s="5" t="inlineStr"/>
      <c r="N185" s="5" t="inlineStr"/>
      <c r="O185" s="5" t="inlineStr"/>
      <c r="P185" s="5" t="inlineStr"/>
      <c r="Q185" s="5" t="inlineStr"/>
      <c r="R185" s="5" t="inlineStr">
        <is>
          <t>Assinatura Vale Saúde Sempre inclusa</t>
        </is>
      </c>
      <c r="S185" s="5" t="inlineStr">
        <is>
          <t>https://vivo.com.br/para-voce/produtos-e-servicos/para-o-celular/planos-controle</t>
        </is>
      </c>
      <c r="T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4" t="n">
        <v>30</v>
      </c>
      <c r="L186" s="2" t="inlineStr">
        <is>
          <t>30 GB de franquia</t>
        </is>
      </c>
      <c r="M186" s="2" t="inlineStr"/>
      <c r="N186" s="2" t="inlineStr"/>
      <c r="O186" s="2" t="inlineStr"/>
      <c r="P186" s="2" t="inlineStr"/>
      <c r="Q186" s="2" t="inlineStr"/>
      <c r="R186" s="2" t="inlineStr">
        <is>
          <t>2 meses de YouTube sem consumo no plano</t>
        </is>
      </c>
      <c r="S186" s="2" t="inlineStr">
        <is>
          <t>https://vivo.com.br/para-voce/produtos-e-servicos/para-o-celular/easy-lite</t>
        </is>
      </c>
      <c r="T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7" t="n">
        <v>40</v>
      </c>
      <c r="L187" s="5" t="inlineStr">
        <is>
          <t>40 GB de franquia</t>
        </is>
      </c>
      <c r="M187" s="5" t="inlineStr"/>
      <c r="N187" s="5" t="inlineStr"/>
      <c r="O187" s="5" t="inlineStr"/>
      <c r="P187" s="5" t="inlineStr"/>
      <c r="Q187" s="5" t="inlineStr"/>
      <c r="R187" s="5" t="inlineStr">
        <is>
          <t>2 meses de YouTube sem consumo no plano</t>
        </is>
      </c>
      <c r="S187" s="5" t="inlineStr">
        <is>
          <t>https://vivo.com.br/para-voce/produtos-e-servicos/para-o-celular/easy-lite</t>
        </is>
      </c>
      <c r="T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4" t="n">
        <v>20</v>
      </c>
      <c r="L188" s="2" t="inlineStr">
        <is>
          <t>20 GB de franquia</t>
        </is>
      </c>
      <c r="M188" s="2" t="inlineStr"/>
      <c r="N188" s="2" t="inlineStr"/>
      <c r="O188" s="2" t="inlineStr"/>
      <c r="P188" s="2" t="inlineStr"/>
      <c r="Q188" s="2" t="inlineStr"/>
      <c r="R188" s="2" t="inlineStr">
        <is>
          <t>2 meses de YouTube sem consumo no plano</t>
        </is>
      </c>
      <c r="S188" s="2" t="inlineStr">
        <is>
          <t>https://vivo.com.br/para-voce/produtos-e-servicos/para-o-celular/easy-lite</t>
        </is>
      </c>
      <c r="T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7" t="n">
        <v>60</v>
      </c>
      <c r="L189" s="5" t="inlineStr">
        <is>
          <t>50 GB de franquia 10 GB de bônus</t>
        </is>
      </c>
      <c r="M189" s="5" t="inlineStr"/>
      <c r="N189" s="5" t="inlineStr"/>
      <c r="O189" s="5" t="inlineStr"/>
      <c r="P189" s="5" t="inlineStr"/>
      <c r="Q189" s="5" t="inlineStr"/>
      <c r="R189" s="5" t="inlineStr">
        <is>
          <t>Assinatura Amazon Prime inclusa</t>
        </is>
      </c>
      <c r="S189" s="5" t="inlineStr">
        <is>
          <t>https://vivo.com.br/para-voce/produtos-e-servicos/para-o-celular/planos-pos-pago</t>
        </is>
      </c>
      <c r="T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4" t="n">
        <v>60</v>
      </c>
      <c r="L190" s="2" t="inlineStr">
        <is>
          <t>50 GB de franquia 10 GB de bônus</t>
        </is>
      </c>
      <c r="M190" s="2" t="inlineStr"/>
      <c r="N190" s="2" t="inlineStr"/>
      <c r="O190" s="2" t="inlineStr"/>
      <c r="P190" s="2" t="inlineStr">
        <is>
          <t>Disney+</t>
        </is>
      </c>
      <c r="Q190" s="2" t="inlineStr"/>
      <c r="R190" s="2" t="inlineStr">
        <is>
          <t>Assinatura Disney+ Padrão inclusa</t>
        </is>
      </c>
      <c r="S190" s="2" t="inlineStr">
        <is>
          <t>https://vivo.com.br/para-voce/produtos-e-servicos/para-o-celular/planos-pos-pago</t>
        </is>
      </c>
      <c r="T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7" t="n">
        <v>60</v>
      </c>
      <c r="L191" s="5" t="inlineStr">
        <is>
          <t>50 GB de franquia 10 GB de bônus</t>
        </is>
      </c>
      <c r="M191" s="5" t="inlineStr"/>
      <c r="N191" s="5" t="inlineStr"/>
      <c r="O191" s="5" t="inlineStr"/>
      <c r="P191" s="5" t="inlineStr">
        <is>
          <t>Globoplay</t>
        </is>
      </c>
      <c r="Q191" s="5" t="inlineStr"/>
      <c r="R191" s="5" t="inlineStr">
        <is>
          <t>Assinatura Globoplay inclusa</t>
        </is>
      </c>
      <c r="S191" s="5" t="inlineStr">
        <is>
          <t>https://vivo.com.br/para-voce/produtos-e-servicos/para-o-celular/planos-pos-pago</t>
        </is>
      </c>
      <c r="T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4" t="n">
        <v>60</v>
      </c>
      <c r="L192" s="2" t="inlineStr">
        <is>
          <t>50 GB de franquia 10 GB de bônus</t>
        </is>
      </c>
      <c r="M192" s="2" t="inlineStr"/>
      <c r="N192" s="2" t="inlineStr"/>
      <c r="O192" s="2" t="inlineStr"/>
      <c r="P192" s="2" t="inlineStr">
        <is>
          <t>Netflix</t>
        </is>
      </c>
      <c r="Q192" s="2" t="inlineStr"/>
      <c r="R192" s="2" t="inlineStr">
        <is>
          <t>Assinatura Netflix Padrão inclusa</t>
        </is>
      </c>
      <c r="S192" s="2" t="inlineStr">
        <is>
          <t>https://vivo.com.br/para-voce/produtos-e-servicos/para-o-celular/planos-pos-pago</t>
        </is>
      </c>
      <c r="T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7" t="n">
        <v>60</v>
      </c>
      <c r="L193" s="5" t="inlineStr">
        <is>
          <t>50 GB de franquia 10 GB de bônus</t>
        </is>
      </c>
      <c r="M193" s="5" t="inlineStr"/>
      <c r="N193" s="5" t="inlineStr"/>
      <c r="O193" s="5" t="inlineStr"/>
      <c r="P193" s="5" t="inlineStr">
        <is>
          <t>Premiere</t>
        </is>
      </c>
      <c r="Q193" s="5" t="inlineStr"/>
      <c r="R193" s="5" t="inlineStr">
        <is>
          <t>Assinatura Premiere inclusa</t>
        </is>
      </c>
      <c r="S193" s="5" t="inlineStr">
        <is>
          <t>https://vivo.com.br/para-voce/produtos-e-servicos/para-o-celular/planos-pos-pago</t>
        </is>
      </c>
      <c r="T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4" t="n">
        <v>60</v>
      </c>
      <c r="L194" s="2" t="inlineStr">
        <is>
          <t>50 GB de franquia 10 GB de bônus</t>
        </is>
      </c>
      <c r="M194" s="2" t="inlineStr"/>
      <c r="N194" s="2" t="inlineStr"/>
      <c r="O194" s="2" t="inlineStr"/>
      <c r="P194" s="2" t="inlineStr">
        <is>
          <t>Spotify</t>
        </is>
      </c>
      <c r="Q194" s="2" t="inlineStr"/>
      <c r="R194" s="2" t="inlineStr">
        <is>
          <t>Assinatura Spotify Premium inclusa</t>
        </is>
      </c>
      <c r="S194" s="2" t="inlineStr">
        <is>
          <t>https://vivo.com.br/para-voce/produtos-e-servicos/para-o-celular/planos-pos-pago</t>
        </is>
      </c>
      <c r="T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7" t="n">
        <v>70</v>
      </c>
      <c r="L195" s="5" t="inlineStr">
        <is>
          <t>60 GB de franquia 10 GB de bônus</t>
        </is>
      </c>
      <c r="M195" s="5" t="inlineStr"/>
      <c r="N195" s="5" t="inlineStr"/>
      <c r="O195" s="5" t="inlineStr"/>
      <c r="P195" s="5" t="inlineStr"/>
      <c r="Q195" s="5" t="inlineStr"/>
      <c r="R195" s="5" t="inlineStr">
        <is>
          <t>6 meses grátis de Gemini com AI Plus</t>
        </is>
      </c>
      <c r="S195" s="5" t="inlineStr">
        <is>
          <t>https://vivo.com.br/para-voce/produtos-e-servicos/para-o-celular/planos-pos-pago</t>
        </is>
      </c>
      <c r="T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4" t="n">
        <v>25</v>
      </c>
      <c r="L196" s="2" t="inlineStr">
        <is>
          <t>15 GB para navegar como quiser 5 GB de bônus 5 GB para navegar no Youtube</t>
        </is>
      </c>
      <c r="M196" s="2" t="inlineStr"/>
      <c r="N196" s="2" t="inlineStr"/>
      <c r="O196" s="2" t="inlineStr"/>
      <c r="P196" s="2" t="inlineStr"/>
      <c r="Q196" s="2" t="inlineStr"/>
      <c r="R196" s="2" t="inlineStr"/>
      <c r="S196" s="2" t="inlineStr">
        <is>
          <t>https://vivo.com.br/para-voce/produtos-e-servicos/para-o-celular/pre-pago/vivo-pre</t>
        </is>
      </c>
      <c r="T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7" t="n">
        <v>9</v>
      </c>
      <c r="L197" s="5" t="inlineStr">
        <is>
          <t>6 GB para navegar como quiser 3 GB para navegar no YouTube</t>
        </is>
      </c>
      <c r="M197" s="5" t="inlineStr"/>
      <c r="N197" s="5" t="inlineStr"/>
      <c r="O197" s="5" t="inlineStr"/>
      <c r="P197" s="5" t="inlineStr"/>
      <c r="Q197" s="5" t="inlineStr"/>
      <c r="R197" s="5" t="inlineStr"/>
      <c r="S197" s="5" t="inlineStr">
        <is>
          <t>https://vivo.com.br/para-voce/produtos-e-servicos/para-o-celular/pre-pago/vivo-pre</t>
        </is>
      </c>
      <c r="T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4" t="n">
        <v>5</v>
      </c>
      <c r="L198" s="2" t="inlineStr">
        <is>
          <t>5 GB para navegar como quiser</t>
        </is>
      </c>
      <c r="M198" s="2" t="inlineStr"/>
      <c r="N198" s="2" t="inlineStr"/>
      <c r="O198" s="2" t="inlineStr"/>
      <c r="P198" s="2" t="inlineStr"/>
      <c r="Q198" s="2" t="inlineStr"/>
      <c r="R198" s="2" t="inlineStr"/>
      <c r="S198" s="2" t="inlineStr">
        <is>
          <t>https://vivo.com.br/para-voce/produtos-e-servicos/para-o-celular/pre-pago/vivo-pre</t>
        </is>
      </c>
      <c r="T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7" t="n">
        <v>4</v>
      </c>
      <c r="L199" s="5" t="inlineStr">
        <is>
          <t>4 GB para navegar como quiser</t>
        </is>
      </c>
      <c r="M199" s="5" t="inlineStr"/>
      <c r="N199" s="5" t="inlineStr"/>
      <c r="O199" s="5" t="inlineStr"/>
      <c r="P199" s="5" t="inlineStr"/>
      <c r="Q199" s="5" t="inlineStr"/>
      <c r="R199" s="5" t="inlineStr"/>
      <c r="S199" s="5" t="inlineStr">
        <is>
          <t>https://vivo.com.br/para-voce/produtos-e-servicos/para-o-celular/pre-pago/vivo-pre</t>
        </is>
      </c>
      <c r="T199" s="5" t="inlineStr">
        <is>
          <t>data/raw/vivo_prepaid_SP.html</t>
        </is>
      </c>
    </row>
  </sheetData>
  <autoFilter ref="A1:T19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T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2026-06-25</t>
        </is>
      </c>
      <c r="B2" s="2" t="inlineStr">
        <is>
          <t>2026-06-25T22:19:40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5" t="inlineStr">
        <is>
          <t>2026-06-25</t>
        </is>
      </c>
      <c r="B3" s="5" t="inlineStr">
        <is>
          <t>2026-06-25T22:19:40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>
        <is>
          <t>WhatsApp</t>
        </is>
      </c>
      <c r="N3" s="5" t="inlineStr"/>
      <c r="O3" s="5" t="inlineStr"/>
      <c r="P3" s="5" t="inlineStr"/>
      <c r="Q3" s="5" t="inlineStr"/>
      <c r="R3" s="5" t="inlineStr">
        <is>
          <t>Para uso livre; Bônus do Hexa para uso livre; Bônus para redes sociais e apps; Redes sociais e apps; WhatsApp ilimitado</t>
        </is>
      </c>
      <c r="S3" s="5" t="inlineStr">
        <is>
          <t>https://www.claro.com.br/celular/controle</t>
        </is>
      </c>
      <c r="T3" s="5" t="inlineStr">
        <is>
          <t>data/raw/claro_control_SP.json</t>
        </is>
      </c>
    </row>
    <row r="4">
      <c r="A4" s="2" t="inlineStr">
        <is>
          <t>2026-06-25</t>
        </is>
      </c>
      <c r="B4" s="2" t="inlineStr">
        <is>
          <t>2026-06-25T22:19:40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5" t="inlineStr">
        <is>
          <t>2026-06-25</t>
        </is>
      </c>
      <c r="B5" s="5" t="inlineStr">
        <is>
          <t>2026-06-25T22:19:40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>
        <is>
          <t>WhatsApp</t>
        </is>
      </c>
      <c r="N5" s="5" t="inlineStr"/>
      <c r="O5" s="5" t="inlineStr"/>
      <c r="P5" s="5" t="inlineStr"/>
      <c r="Q5" s="5" t="inlineStr"/>
      <c r="R5" s="5" t="inlineStr">
        <is>
          <t>Para uso livre; Bônus do Hexa para uso livre; Para redes sociais e apps; Bônus extra nos apps; WhatsApp ilimitado</t>
        </is>
      </c>
      <c r="S5" s="5" t="inlineStr">
        <is>
          <t>https://www.claro.com.br/celular/flex</t>
        </is>
      </c>
      <c r="T5" s="5" t="inlineStr">
        <is>
          <t>data/raw/claro_flex_SP.json</t>
        </is>
      </c>
    </row>
    <row r="6">
      <c r="A6" s="2" t="inlineStr">
        <is>
          <t>2026-06-25</t>
        </is>
      </c>
      <c r="B6" s="2" t="inlineStr">
        <is>
          <t>2026-06-25T22:19:40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5" t="inlineStr">
        <is>
          <t>2026-06-25</t>
        </is>
      </c>
      <c r="B7" s="5" t="inlineStr">
        <is>
          <t>2026-06-25T22:19:40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>
        <is>
          <t>WhatsApp</t>
        </is>
      </c>
      <c r="N7" s="5" t="inlineStr"/>
      <c r="O7" s="5" t="inlineStr"/>
      <c r="P7" s="5" t="inlineStr"/>
      <c r="Q7" s="5" t="inlineStr"/>
      <c r="R7" s="5" t="inlineStr">
        <is>
          <t>Para uso livre; Bônus do Hexa para uso livre; Para redes sociais e apps; Bônus extra nos apps; WhatsApp ilimitado; Assinatura Claro musica inclusa</t>
        </is>
      </c>
      <c r="S7" s="5" t="inlineStr">
        <is>
          <t>https://www.claro.com.br/celular/flex</t>
        </is>
      </c>
      <c r="T7" s="5" t="inlineStr">
        <is>
          <t>data/raw/claro_flex_SP.json</t>
        </is>
      </c>
    </row>
    <row r="8">
      <c r="A8" s="2" t="inlineStr">
        <is>
          <t>2026-06-25</t>
        </is>
      </c>
      <c r="B8" s="2" t="inlineStr">
        <is>
          <t>2026-06-25T22:19:40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5" t="inlineStr">
        <is>
          <t>2026-06-25</t>
        </is>
      </c>
      <c r="B9" s="5" t="inlineStr">
        <is>
          <t>2026-06-25T22:19:40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>
        <is>
          <t>WhatsApp</t>
        </is>
      </c>
      <c r="N9" s="5" t="inlineStr"/>
      <c r="O9" s="5" t="inlineStr"/>
      <c r="P9" s="5" t="inlineStr"/>
      <c r="Q9" s="5" t="inlineStr"/>
      <c r="R9" s="5" t="inlineStr">
        <is>
          <t>Armazenamento na nuvem:; Google One ou iCloud+; WhatsApp ilimitado; Roaming: Passaporte Américas; Claro Sync: Smartwatch conectado</t>
        </is>
      </c>
      <c r="S9" s="5" t="inlineStr">
        <is>
          <t>https://www.claro.com.br/celular/pos</t>
        </is>
      </c>
      <c r="T9" s="5" t="inlineStr">
        <is>
          <t>data/raw/claro_postpaid_SP.json</t>
        </is>
      </c>
    </row>
    <row r="10">
      <c r="A10" s="2" t="inlineStr">
        <is>
          <t>2026-06-25</t>
        </is>
      </c>
      <c r="B10" s="2" t="inlineStr">
        <is>
          <t>2026-06-25T22:19:40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5" t="inlineStr">
        <is>
          <t>2026-06-25</t>
        </is>
      </c>
      <c r="B11" s="5" t="inlineStr">
        <is>
          <t>2026-06-25T22:19:40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>
        <is>
          <t>WhatsApp</t>
        </is>
      </c>
      <c r="N11" s="5" t="inlineStr"/>
      <c r="O11" s="5" t="inlineStr"/>
      <c r="P11" s="5" t="inlineStr"/>
      <c r="Q11" s="5" t="inlineStr"/>
      <c r="R11" s="5" t="inlineStr">
        <is>
          <t>Armazenamento na nuvem:; Google One ou iCloud+; WhatsApp ilimitado; Roaming: Passaporte Mundo; Claro Sync: Smartwatch conectado</t>
        </is>
      </c>
      <c r="S11" s="5" t="inlineStr">
        <is>
          <t>https://www.claro.com.br/celular/pos</t>
        </is>
      </c>
      <c r="T11" s="5" t="inlineStr">
        <is>
          <t>data/raw/claro_postpaid_SP.json</t>
        </is>
      </c>
    </row>
    <row r="12">
      <c r="A12" s="2" t="inlineStr">
        <is>
          <t>2026-06-25</t>
        </is>
      </c>
      <c r="B12" s="2" t="inlineStr">
        <is>
          <t>2026-06-25T22:19:40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5" t="inlineStr">
        <is>
          <t>2026-06-25</t>
        </is>
      </c>
      <c r="B13" s="5" t="inlineStr">
        <is>
          <t>2026-06-25T22:19:40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>
        <is>
          <t>WhatsApp</t>
        </is>
      </c>
      <c r="N13" s="5" t="inlineStr"/>
      <c r="O13" s="5" t="inlineStr"/>
      <c r="P13" s="5" t="inlineStr"/>
      <c r="Q13" s="5" t="inlineStr"/>
      <c r="R13" s="5" t="inlineStr">
        <is>
          <t>Armazenamento na nuvem:; Google One ou iCloud+; WhatsApp ilimitado; Roaming: Passaporte Américas; Claro Sync: Smartwatch conectado</t>
        </is>
      </c>
      <c r="S13" s="5" t="inlineStr">
        <is>
          <t>https://www.claro.com.br/celular/pos</t>
        </is>
      </c>
      <c r="T13" s="5" t="inlineStr">
        <is>
          <t>data/raw/claro_postpaid_SP.json</t>
        </is>
      </c>
    </row>
    <row r="14">
      <c r="A14" s="2" t="inlineStr">
        <is>
          <t>2026-06-25</t>
        </is>
      </c>
      <c r="B14" s="2" t="inlineStr">
        <is>
          <t>2026-06-25T22:19:40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5" t="inlineStr">
        <is>
          <t>2026-06-25</t>
        </is>
      </c>
      <c r="B15" s="5" t="inlineStr">
        <is>
          <t>2026-06-25T22:19:40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>
        <is>
          <t>https://www.tim.com.br/sp/para-voce/planos/controle</t>
        </is>
      </c>
      <c r="T15" s="5" t="inlineStr">
        <is>
          <t>data/raw/tim_control_SP.html</t>
        </is>
      </c>
    </row>
    <row r="16">
      <c r="A16" s="2" t="inlineStr">
        <is>
          <t>2026-06-25</t>
        </is>
      </c>
      <c r="B16" s="2" t="inlineStr">
        <is>
          <t>2026-06-25T22:19:40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5" t="inlineStr">
        <is>
          <t>2026-06-25</t>
        </is>
      </c>
      <c r="B17" s="5" t="inlineStr">
        <is>
          <t>2026-06-25T22:19:40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https://www.tim.com.br/sp/para-voce/planos/controle</t>
        </is>
      </c>
      <c r="T17" s="5" t="inlineStr">
        <is>
          <t>data/raw/tim_control_SP.html</t>
        </is>
      </c>
    </row>
    <row r="18">
      <c r="A18" s="2" t="inlineStr">
        <is>
          <t>2026-06-25</t>
        </is>
      </c>
      <c r="B18" s="2" t="inlineStr">
        <is>
          <t>2026-06-25T22:19:40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5" t="inlineStr">
        <is>
          <t>2026-06-25</t>
        </is>
      </c>
      <c r="B19" s="5" t="inlineStr">
        <is>
          <t>2026-06-25T22:19:40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>
        <is>
          <t>https://www.tim.com.br/sp/para-voce/planos/controle</t>
        </is>
      </c>
      <c r="T19" s="5" t="inlineStr">
        <is>
          <t>data/raw/tim_control_SP.html</t>
        </is>
      </c>
    </row>
    <row r="20">
      <c r="A20" s="2" t="inlineStr">
        <is>
          <t>2026-06-25</t>
        </is>
      </c>
      <c r="B20" s="2" t="inlineStr">
        <is>
          <t>2026-06-25T22:19:40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5" t="inlineStr">
        <is>
          <t>2026-06-25</t>
        </is>
      </c>
      <c r="B21" s="5" t="inlineStr">
        <is>
          <t>2026-06-25T22:19:40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>
        <is>
          <t>https://www.tim.com.br/sp/para-voce/planos/pos-pago/tim-black</t>
        </is>
      </c>
      <c r="T21" s="5" t="inlineStr">
        <is>
          <t>data/raw/tim_postpaid_SP.html</t>
        </is>
      </c>
    </row>
    <row r="22">
      <c r="A22" s="2" t="inlineStr">
        <is>
          <t>2026-06-25</t>
        </is>
      </c>
      <c r="B22" s="2" t="inlineStr">
        <is>
          <t>2026-06-25T22:19:40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5" t="inlineStr">
        <is>
          <t>2026-06-25</t>
        </is>
      </c>
      <c r="B23" s="5" t="inlineStr">
        <is>
          <t>2026-06-25T22:19:40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>
        <is>
          <t>https://www.tim.com.br/sp/para-voce/planos/pos-pago/tim-black</t>
        </is>
      </c>
      <c r="T23" s="5" t="inlineStr">
        <is>
          <t>data/raw/tim_postpaid_SP.html</t>
        </is>
      </c>
    </row>
    <row r="24">
      <c r="A24" s="2" t="inlineStr">
        <is>
          <t>2026-06-25</t>
        </is>
      </c>
      <c r="B24" s="2" t="inlineStr">
        <is>
          <t>2026-06-25T22:19:40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5" t="inlineStr">
        <is>
          <t>2026-06-25</t>
        </is>
      </c>
      <c r="B25" s="5" t="inlineStr">
        <is>
          <t>2026-06-25T22:19:40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>
        <is>
          <t>https://www.tim.com.br/sp/para-voce/planos/pos-pago/tim-black</t>
        </is>
      </c>
      <c r="T25" s="5" t="inlineStr">
        <is>
          <t>data/raw/tim_postpaid_SP.html</t>
        </is>
      </c>
    </row>
    <row r="26">
      <c r="A26" s="2" t="inlineStr">
        <is>
          <t>2026-06-25</t>
        </is>
      </c>
      <c r="B26" s="2" t="inlineStr">
        <is>
          <t>2026-06-25T22:19:40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5" t="inlineStr">
        <is>
          <t>2026-06-25</t>
        </is>
      </c>
      <c r="B27" s="5" t="inlineStr">
        <is>
          <t>2026-06-25T22:19:40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>
        <is>
          <t>https://www.tim.com.br/sp/para-voce/planos/pre-pago</t>
        </is>
      </c>
      <c r="T27" s="5" t="inlineStr">
        <is>
          <t>data/raw/tim_prepaid_SP.html</t>
        </is>
      </c>
    </row>
    <row r="28">
      <c r="A28" s="2" t="inlineStr">
        <is>
          <t>2026-06-25</t>
        </is>
      </c>
      <c r="B28" s="2" t="inlineStr">
        <is>
          <t>2026-06-25T22:19:40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5" t="inlineStr">
        <is>
          <t>2026-06-25</t>
        </is>
      </c>
      <c r="B29" s="5" t="inlineStr">
        <is>
          <t>2026-06-25T22:19:40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>
        <is>
          <t>https://www.tim.com.br/sp/para-voce/planos/pre-pago</t>
        </is>
      </c>
      <c r="T29" s="5" t="inlineStr">
        <is>
          <t>data/raw/tim_prepaid_SP.html</t>
        </is>
      </c>
    </row>
    <row r="30">
      <c r="A30" s="2" t="inlineStr">
        <is>
          <t>2026-06-25</t>
        </is>
      </c>
      <c r="B30" s="2" t="inlineStr">
        <is>
          <t>2026-06-25T22:19:40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5" t="inlineStr">
        <is>
          <t>2026-06-25</t>
        </is>
      </c>
      <c r="B31" s="5" t="inlineStr">
        <is>
          <t>2026-06-25T22:19:40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>
        <is>
          <t>6 meses grátis de Gemini com AI Plus</t>
        </is>
      </c>
      <c r="S31" s="5" t="inlineStr">
        <is>
          <t>https://vivo.com.br/para-voce/produtos-e-servicos/para-o-celular/planos-controle</t>
        </is>
      </c>
      <c r="T31" s="5" t="inlineStr">
        <is>
          <t>data/raw/vivo_control_SP.html</t>
        </is>
      </c>
    </row>
    <row r="32">
      <c r="A32" s="2" t="inlineStr">
        <is>
          <t>2026-06-25</t>
        </is>
      </c>
      <c r="B32" s="2" t="inlineStr">
        <is>
          <t>2026-06-25T22:19:40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5" t="inlineStr">
        <is>
          <t>2026-06-25</t>
        </is>
      </c>
      <c r="B33" s="5" t="inlineStr">
        <is>
          <t>2026-06-25T22:19:40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>
        <is>
          <t>Assinatura Vivo TV Inicial inclusa</t>
        </is>
      </c>
      <c r="S33" s="5" t="inlineStr">
        <is>
          <t>https://vivo.com.br/para-voce/produtos-e-servicos/para-o-celular/planos-controle</t>
        </is>
      </c>
      <c r="T33" s="5" t="inlineStr">
        <is>
          <t>data/raw/vivo_control_SP.html</t>
        </is>
      </c>
    </row>
    <row r="34">
      <c r="A34" s="2" t="inlineStr">
        <is>
          <t>2026-06-25</t>
        </is>
      </c>
      <c r="B34" s="2" t="inlineStr">
        <is>
          <t>2026-06-25T22:19:40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5" t="inlineStr">
        <is>
          <t>2026-06-25</t>
        </is>
      </c>
      <c r="B35" s="5" t="inlineStr">
        <is>
          <t>2026-06-25T22:19:40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>
        <is>
          <t>Assinatura Netflix Padrão com anúncios</t>
        </is>
      </c>
      <c r="S35" s="5" t="inlineStr">
        <is>
          <t>https://vivo.com.br/para-voce/produtos-e-servicos/para-o-celular/planos-controle</t>
        </is>
      </c>
      <c r="T35" s="5" t="inlineStr">
        <is>
          <t>data/raw/vivo_control_SP.html</t>
        </is>
      </c>
    </row>
    <row r="36">
      <c r="A36" s="2" t="inlineStr">
        <is>
          <t>2026-06-25</t>
        </is>
      </c>
      <c r="B36" s="2" t="inlineStr">
        <is>
          <t>2026-06-25T22:19:40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5" t="inlineStr">
        <is>
          <t>2026-06-25</t>
        </is>
      </c>
      <c r="B37" s="5" t="inlineStr">
        <is>
          <t>2026-06-25T22:19:40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vivo:VIV202600025883-30gb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</t>
        </is>
      </c>
      <c r="M37" s="5" t="inlineStr"/>
      <c r="N37" s="5" t="inlineStr"/>
      <c r="O37" s="5" t="inlineStr"/>
      <c r="P37" s="5" t="inlineStr"/>
      <c r="Q37" s="5" t="inlineStr"/>
      <c r="R37" s="5" t="inlineStr">
        <is>
          <t>2 meses de YouTube sem consumo no plano</t>
        </is>
      </c>
      <c r="S37" s="5" t="inlineStr">
        <is>
          <t>https://vivo.com.br/para-voce/produtos-e-servicos/para-o-celular/easy-lite</t>
        </is>
      </c>
      <c r="T37" s="5" t="inlineStr">
        <is>
          <t>data/raw/vivo_lite_SP.html</t>
        </is>
      </c>
    </row>
    <row r="38">
      <c r="A38" s="2" t="inlineStr">
        <is>
          <t>2026-06-25</t>
        </is>
      </c>
      <c r="B38" s="2" t="inlineStr">
        <is>
          <t>2026-06-25T22:19:40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vivo:VIV202600025885-40gb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</t>
        </is>
      </c>
      <c r="M38" s="2" t="inlineStr"/>
      <c r="N38" s="2" t="inlineStr"/>
      <c r="O38" s="2" t="inlineStr"/>
      <c r="P38" s="2" t="inlineStr"/>
      <c r="Q38" s="2" t="inlineStr"/>
      <c r="R38" s="2" t="inlineStr">
        <is>
          <t>2 meses de YouTube sem consumo no plano</t>
        </is>
      </c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5" t="inlineStr">
        <is>
          <t>2026-06-25</t>
        </is>
      </c>
      <c r="B39" s="5" t="inlineStr">
        <is>
          <t>2026-06-25T22:19:40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vivo:VIV202600025888-20gb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</t>
        </is>
      </c>
      <c r="M39" s="5" t="inlineStr"/>
      <c r="N39" s="5" t="inlineStr"/>
      <c r="O39" s="5" t="inlineStr"/>
      <c r="P39" s="5" t="inlineStr"/>
      <c r="Q39" s="5" t="inlineStr"/>
      <c r="R39" s="5" t="inlineStr">
        <is>
          <t>2 meses de YouTube sem consumo no plano</t>
        </is>
      </c>
      <c r="S39" s="5" t="inlineStr">
        <is>
          <t>https://vivo.com.br/para-voce/produtos-e-servicos/para-o-celular/easy-lite</t>
        </is>
      </c>
      <c r="T39" s="5" t="inlineStr">
        <is>
          <t>data/raw/vivo_lite_SP.html</t>
        </is>
      </c>
    </row>
    <row r="40">
      <c r="A40" s="2" t="inlineStr">
        <is>
          <t>2026-06-25</t>
        </is>
      </c>
      <c r="B40" s="2" t="inlineStr">
        <is>
          <t>2026-06-25T22:19:40</t>
        </is>
      </c>
      <c r="C40" s="2" t="inlineStr">
        <is>
          <t>vivo</t>
        </is>
      </c>
      <c r="D40" s="2" t="inlineStr">
        <is>
          <t>postpaid</t>
        </is>
      </c>
      <c r="E40" s="2" t="inlineStr">
        <is>
          <t>SP</t>
        </is>
      </c>
      <c r="F40" s="2" t="inlineStr">
        <is>
          <t>Vivo Pós com Amazon</t>
        </is>
      </c>
      <c r="G40" s="2" t="inlineStr">
        <is>
          <t>vivo:VIV202600029255-60gb</t>
        </is>
      </c>
      <c r="H40" s="3" t="n">
        <v>150</v>
      </c>
      <c r="I40" s="3" t="inlineStr"/>
      <c r="J40" s="2" t="inlineStr"/>
      <c r="K40" s="4" t="n">
        <v>60</v>
      </c>
      <c r="L40" s="2" t="inlineStr">
        <is>
          <t>50 GB de franquia 10 GB de bônus</t>
        </is>
      </c>
      <c r="M40" s="2" t="inlineStr"/>
      <c r="N40" s="2" t="inlineStr"/>
      <c r="O40" s="2" t="inlineStr"/>
      <c r="P40" s="2" t="inlineStr"/>
      <c r="Q40" s="2" t="inlineStr"/>
      <c r="R40" s="2" t="inlineStr">
        <is>
          <t>Assinatura Amazon Prime inclusa</t>
        </is>
      </c>
      <c r="S40" s="2" t="inlineStr">
        <is>
          <t>https://vivo.com.br/para-voce/produtos-e-servicos/para-o-celular/planos-pos-pago</t>
        </is>
      </c>
      <c r="T40" s="2" t="inlineStr">
        <is>
          <t>data/raw/vivo_postpaid_SP.html</t>
        </is>
      </c>
    </row>
    <row r="41">
      <c r="A41" s="5" t="inlineStr">
        <is>
          <t>2026-06-25</t>
        </is>
      </c>
      <c r="B41" s="5" t="inlineStr">
        <is>
          <t>2026-06-25T22:19:40</t>
        </is>
      </c>
      <c r="C41" s="5" t="inlineStr">
        <is>
          <t>vivo</t>
        </is>
      </c>
      <c r="D41" s="5" t="inlineStr">
        <is>
          <t>postpaid</t>
        </is>
      </c>
      <c r="E41" s="5" t="inlineStr">
        <is>
          <t>SP</t>
        </is>
      </c>
      <c r="F41" s="5" t="inlineStr">
        <is>
          <t>Vivo Pós com Disney+</t>
        </is>
      </c>
      <c r="G41" s="5" t="inlineStr">
        <is>
          <t>vivo:VIV202600022115-60gb</t>
        </is>
      </c>
      <c r="H41" s="6" t="n">
        <v>180</v>
      </c>
      <c r="I41" s="6" t="inlineStr"/>
      <c r="J41" s="5" t="inlineStr"/>
      <c r="K41" s="7" t="n">
        <v>60</v>
      </c>
      <c r="L41" s="5" t="inlineStr">
        <is>
          <t>50 GB de franquia 10 GB de bônus</t>
        </is>
      </c>
      <c r="M41" s="5" t="inlineStr"/>
      <c r="N41" s="5" t="inlineStr"/>
      <c r="O41" s="5" t="inlineStr"/>
      <c r="P41" s="5" t="inlineStr">
        <is>
          <t>Disney+</t>
        </is>
      </c>
      <c r="Q41" s="5" t="inlineStr"/>
      <c r="R41" s="5" t="inlineStr">
        <is>
          <t>Assinatura Disney+ Padrão inclusa</t>
        </is>
      </c>
      <c r="S41" s="5" t="inlineStr">
        <is>
          <t>https://vivo.com.br/para-voce/produtos-e-servicos/para-o-celular/planos-pos-pago</t>
        </is>
      </c>
      <c r="T41" s="5" t="inlineStr">
        <is>
          <t>data/raw/vivo_postpaid_SP.html</t>
        </is>
      </c>
    </row>
    <row r="42">
      <c r="A42" s="2" t="inlineStr">
        <is>
          <t>2026-06-25</t>
        </is>
      </c>
      <c r="B42" s="2" t="inlineStr">
        <is>
          <t>2026-06-25T22:19:40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Globoplay</t>
        </is>
      </c>
      <c r="G42" s="2" t="inlineStr">
        <is>
          <t>vivo:VIV202600029246-60gb</t>
        </is>
      </c>
      <c r="H42" s="3" t="n">
        <v>165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>
        <is>
          <t>Globoplay</t>
        </is>
      </c>
      <c r="Q42" s="2" t="inlineStr"/>
      <c r="R42" s="2" t="inlineStr">
        <is>
          <t>Assinatura Globoplay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5" t="inlineStr">
        <is>
          <t>2026-06-25</t>
        </is>
      </c>
      <c r="B43" s="5" t="inlineStr">
        <is>
          <t>2026-06-25T22:19:40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Netflix</t>
        </is>
      </c>
      <c r="G43" s="5" t="inlineStr">
        <is>
          <t>vivo:VIV202600029234-60gb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>
        <is>
          <t>Netflix</t>
        </is>
      </c>
      <c r="Q43" s="5" t="inlineStr"/>
      <c r="R43" s="5" t="inlineStr">
        <is>
          <t>Assinatura Netflix Padrão inclusa</t>
        </is>
      </c>
      <c r="S43" s="5" t="inlineStr">
        <is>
          <t>https://vivo.com.br/para-voce/produtos-e-servicos/para-o-celular/planos-pos-pago</t>
        </is>
      </c>
      <c r="T43" s="5" t="inlineStr">
        <is>
          <t>data/raw/vivo_postpaid_SP.html</t>
        </is>
      </c>
    </row>
    <row r="44">
      <c r="A44" s="2" t="inlineStr">
        <is>
          <t>2026-06-25</t>
        </is>
      </c>
      <c r="B44" s="2" t="inlineStr">
        <is>
          <t>2026-06-25T22:19:40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Premiere</t>
        </is>
      </c>
      <c r="G44" s="2" t="inlineStr">
        <is>
          <t>vivo:VIV202600029249-60gb</t>
        </is>
      </c>
      <c r="H44" s="3" t="n">
        <v>180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Premiere</t>
        </is>
      </c>
      <c r="Q44" s="2" t="inlineStr"/>
      <c r="R44" s="2" t="inlineStr">
        <is>
          <t>Assinatura Premiere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5" t="inlineStr">
        <is>
          <t>2026-06-25</t>
        </is>
      </c>
      <c r="B45" s="5" t="inlineStr">
        <is>
          <t>2026-06-25T22:19:40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Spotify</t>
        </is>
      </c>
      <c r="G45" s="5" t="inlineStr">
        <is>
          <t>vivo:VIV202600029229-60gb</t>
        </is>
      </c>
      <c r="H45" s="6" t="n">
        <v>165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>
        <is>
          <t>Spotify</t>
        </is>
      </c>
      <c r="Q45" s="5" t="inlineStr"/>
      <c r="R45" s="5" t="inlineStr">
        <is>
          <t>Assinatura Spotify Premium inclusa</t>
        </is>
      </c>
      <c r="S45" s="5" t="inlineStr">
        <is>
          <t>https://vivo.com.br/para-voce/produtos-e-servicos/para-o-celular/planos-pos-pago</t>
        </is>
      </c>
      <c r="T45" s="5" t="inlineStr">
        <is>
          <t>data/raw/vivo_postpaid_SP.html</t>
        </is>
      </c>
    </row>
    <row r="46">
      <c r="A46" s="2" t="inlineStr">
        <is>
          <t>2026-06-25</t>
        </is>
      </c>
      <c r="B46" s="2" t="inlineStr">
        <is>
          <t>2026-06-25T22:19:40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Travel</t>
        </is>
      </c>
      <c r="G46" s="2" t="inlineStr">
        <is>
          <t>vivo:VIV202600029244-70gb</t>
        </is>
      </c>
      <c r="H46" s="3" t="n">
        <v>215</v>
      </c>
      <c r="I46" s="3" t="inlineStr"/>
      <c r="J46" s="2" t="inlineStr"/>
      <c r="K46" s="4" t="n">
        <v>70</v>
      </c>
      <c r="L46" s="2" t="inlineStr">
        <is>
          <t>60 GB de franquia 10 GB de bônus</t>
        </is>
      </c>
      <c r="M46" s="2" t="inlineStr"/>
      <c r="N46" s="2" t="inlineStr"/>
      <c r="O46" s="2" t="inlineStr"/>
      <c r="P46" s="2" t="inlineStr"/>
      <c r="Q46" s="2" t="inlineStr"/>
      <c r="R46" s="2" t="inlineStr">
        <is>
          <t>6 meses grátis de Gemini com AI Plus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5" t="inlineStr">
        <is>
          <t>2026-06-25</t>
        </is>
      </c>
      <c r="B47" s="5" t="inlineStr">
        <is>
          <t>2026-06-25T22:19:40</t>
        </is>
      </c>
      <c r="C47" s="5" t="inlineStr">
        <is>
          <t>vivo</t>
        </is>
      </c>
      <c r="D47" s="5" t="inlineStr">
        <is>
          <t>prepaid</t>
        </is>
      </c>
      <c r="E47" s="5" t="inlineStr">
        <is>
          <t>SP</t>
        </is>
      </c>
      <c r="F47" s="5" t="inlineStr">
        <is>
          <t>Vivo Pré</t>
        </is>
      </c>
      <c r="G47" s="5" t="inlineStr">
        <is>
          <t>vivo:VIV202600029370-25gb</t>
        </is>
      </c>
      <c r="H47" s="6" t="n">
        <v>30</v>
      </c>
      <c r="I47" s="6" t="inlineStr"/>
      <c r="J47" s="5" t="inlineStr"/>
      <c r="K47" s="7" t="n">
        <v>25</v>
      </c>
      <c r="L47" s="5" t="inlineStr">
        <is>
          <t>15 GB para navegar como quiser 5 GB de bônus 5 GB para navegar no Youtube</t>
        </is>
      </c>
      <c r="M47" s="5" t="inlineStr"/>
      <c r="N47" s="5" t="inlineStr"/>
      <c r="O47" s="5" t="inlineStr"/>
      <c r="P47" s="5" t="inlineStr"/>
      <c r="Q47" s="5" t="inlineStr"/>
      <c r="R47" s="5" t="inlineStr"/>
      <c r="S47" s="5" t="inlineStr">
        <is>
          <t>https://vivo.com.br/para-voce/produtos-e-servicos/para-o-celular/pre-pago/vivo-pre</t>
        </is>
      </c>
      <c r="T47" s="5" t="inlineStr">
        <is>
          <t>data/raw/vivo_prepaid_SP.html</t>
        </is>
      </c>
    </row>
    <row r="48">
      <c r="A48" s="2" t="inlineStr">
        <is>
          <t>2026-06-25</t>
        </is>
      </c>
      <c r="B48" s="2" t="inlineStr">
        <is>
          <t>2026-06-25T22:19:40</t>
        </is>
      </c>
      <c r="C48" s="2" t="inlineStr">
        <is>
          <t>vivo</t>
        </is>
      </c>
      <c r="D48" s="2" t="inlineStr">
        <is>
          <t>prepaid</t>
        </is>
      </c>
      <c r="E48" s="2" t="inlineStr">
        <is>
          <t>SP</t>
        </is>
      </c>
      <c r="F48" s="2" t="inlineStr">
        <is>
          <t>Vivo Pré</t>
        </is>
      </c>
      <c r="G48" s="2" t="inlineStr">
        <is>
          <t>vivo:VIV202600029370-9gb</t>
        </is>
      </c>
      <c r="H48" s="3" t="n">
        <v>25</v>
      </c>
      <c r="I48" s="3" t="inlineStr"/>
      <c r="J48" s="2" t="inlineStr"/>
      <c r="K48" s="4" t="n">
        <v>9</v>
      </c>
      <c r="L48" s="2" t="inlineStr">
        <is>
          <t>6 GB para navegar como quiser 3 GB para navegar no YouTube</t>
        </is>
      </c>
      <c r="M48" s="2" t="inlineStr"/>
      <c r="N48" s="2" t="inlineStr"/>
      <c r="O48" s="2" t="inlineStr"/>
      <c r="P48" s="2" t="inlineStr"/>
      <c r="Q48" s="2" t="inlineStr"/>
      <c r="R48" s="2" t="inlineStr"/>
      <c r="S48" s="2" t="inlineStr">
        <is>
          <t>https://vivo.com.br/para-voce/produtos-e-servicos/para-o-celular/pre-pago/vivo-pre</t>
        </is>
      </c>
      <c r="T48" s="2" t="inlineStr">
        <is>
          <t>data/raw/vivo_prepaid_SP.html</t>
        </is>
      </c>
    </row>
    <row r="49">
      <c r="A49" s="5" t="inlineStr">
        <is>
          <t>2026-06-25</t>
        </is>
      </c>
      <c r="B49" s="5" t="inlineStr">
        <is>
          <t>2026-06-25T22:19:40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vivo:VIV202600029370-5gb</t>
        </is>
      </c>
      <c r="H49" s="6" t="n">
        <v>20</v>
      </c>
      <c r="I49" s="6" t="inlineStr"/>
      <c r="J49" s="5" t="inlineStr"/>
      <c r="K49" s="7" t="n">
        <v>5</v>
      </c>
      <c r="L49" s="5" t="inlineStr">
        <is>
          <t>5 GB para navegar como quiser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>
        <is>
          <t>https://vivo.com.br/para-voce/produtos-e-servicos/para-o-celular/pre-pago/vivo-pre</t>
        </is>
      </c>
      <c r="T49" s="5" t="inlineStr">
        <is>
          <t>data/raw/vivo_prepaid_SP.html</t>
        </is>
      </c>
    </row>
    <row r="50">
      <c r="A50" s="2" t="inlineStr">
        <is>
          <t>2026-06-25</t>
        </is>
      </c>
      <c r="B50" s="2" t="inlineStr">
        <is>
          <t>2026-06-25T22:19:40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vivo:VIV202600029370-4gb</t>
        </is>
      </c>
      <c r="H50" s="3" t="n">
        <v>17</v>
      </c>
      <c r="I50" s="3" t="inlineStr"/>
      <c r="J50" s="2" t="inlineStr"/>
      <c r="K50" s="4" t="n">
        <v>4</v>
      </c>
      <c r="L50" s="2" t="inlineStr">
        <is>
          <t>4 GB para navegar como quiser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</sheetData>
  <autoFilter ref="A1:T50"/>
  <conditionalFormatting sqref="H2:H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0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prepaid</t>
        </is>
      </c>
      <c r="D2" s="2" t="inlineStr">
        <is>
          <t>SP</t>
        </is>
      </c>
      <c r="E2" s="2" t="inlineStr">
        <is>
          <t>vivo:VIV202600029370-25gb</t>
        </is>
      </c>
      <c r="F2" s="2" t="inlineStr">
        <is>
          <t>Vivo Pré</t>
        </is>
      </c>
      <c r="G2" s="3" t="inlineStr"/>
      <c r="H2" s="3" t="n">
        <v>30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prepaid</t>
        </is>
      </c>
      <c r="D3" s="5" t="inlineStr">
        <is>
          <t>SP</t>
        </is>
      </c>
      <c r="E3" s="5" t="inlineStr">
        <is>
          <t>vivo:VIV202600029370-4gb</t>
        </is>
      </c>
      <c r="F3" s="5" t="inlineStr">
        <is>
          <t>Vivo Pré</t>
        </is>
      </c>
      <c r="G3" s="6" t="inlineStr"/>
      <c r="H3" s="6" t="n">
        <v>17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prepaid</t>
        </is>
      </c>
      <c r="D4" s="2" t="inlineStr">
        <is>
          <t>SP</t>
        </is>
      </c>
      <c r="E4" s="2" t="inlineStr">
        <is>
          <t>vivo:VIV202600029370-5gb</t>
        </is>
      </c>
      <c r="F4" s="2" t="inlineStr">
        <is>
          <t>Vivo Pré</t>
        </is>
      </c>
      <c r="G4" s="3" t="inlineStr"/>
      <c r="H4" s="3" t="n">
        <v>20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prepaid</t>
        </is>
      </c>
      <c r="D5" s="5" t="inlineStr">
        <is>
          <t>SP</t>
        </is>
      </c>
      <c r="E5" s="5" t="inlineStr">
        <is>
          <t>vivo:VIV202600029370-9gb</t>
        </is>
      </c>
      <c r="F5" s="5" t="inlineStr">
        <is>
          <t>Vivo Pré</t>
        </is>
      </c>
      <c r="G5" s="6" t="inlineStr"/>
      <c r="H5" s="6" t="n">
        <v>25</v>
      </c>
      <c r="I5" s="6" t="inlineStr"/>
    </row>
    <row r="6">
      <c r="A6" s="2" t="inlineStr">
        <is>
          <t>removed</t>
        </is>
      </c>
      <c r="B6" s="2" t="inlineStr">
        <is>
          <t>vivo</t>
        </is>
      </c>
      <c r="C6" s="2" t="inlineStr">
        <is>
          <t>prepaid</t>
        </is>
      </c>
      <c r="D6" s="2" t="inlineStr">
        <is>
          <t>SP</t>
        </is>
      </c>
      <c r="E6" s="2" t="inlineStr">
        <is>
          <t>vivo:VIV202600022379-25gb</t>
        </is>
      </c>
      <c r="F6" s="2" t="inlineStr">
        <is>
          <t>Vivo Pré</t>
        </is>
      </c>
      <c r="G6" s="3" t="n">
        <v>30</v>
      </c>
      <c r="H6" s="3" t="inlineStr"/>
      <c r="I6" s="3" t="inlineStr"/>
    </row>
    <row r="7">
      <c r="A7" s="5" t="inlineStr">
        <is>
          <t>removed</t>
        </is>
      </c>
      <c r="B7" s="5" t="inlineStr">
        <is>
          <t>vivo</t>
        </is>
      </c>
      <c r="C7" s="5" t="inlineStr">
        <is>
          <t>prepaid</t>
        </is>
      </c>
      <c r="D7" s="5" t="inlineStr">
        <is>
          <t>SP</t>
        </is>
      </c>
      <c r="E7" s="5" t="inlineStr">
        <is>
          <t>vivo:VIV202600022379-4gb</t>
        </is>
      </c>
      <c r="F7" s="5" t="inlineStr">
        <is>
          <t>Vivo Pré</t>
        </is>
      </c>
      <c r="G7" s="6" t="n">
        <v>17</v>
      </c>
      <c r="H7" s="6" t="inlineStr"/>
      <c r="I7" s="6" t="inlineStr"/>
    </row>
    <row r="8">
      <c r="A8" s="2" t="inlineStr">
        <is>
          <t>removed</t>
        </is>
      </c>
      <c r="B8" s="2" t="inlineStr">
        <is>
          <t>vivo</t>
        </is>
      </c>
      <c r="C8" s="2" t="inlineStr">
        <is>
          <t>prepaid</t>
        </is>
      </c>
      <c r="D8" s="2" t="inlineStr">
        <is>
          <t>SP</t>
        </is>
      </c>
      <c r="E8" s="2" t="inlineStr">
        <is>
          <t>vivo:VIV202600022379-5gb</t>
        </is>
      </c>
      <c r="F8" s="2" t="inlineStr">
        <is>
          <t>Vivo Pré</t>
        </is>
      </c>
      <c r="G8" s="3" t="n">
        <v>20</v>
      </c>
      <c r="H8" s="3" t="inlineStr"/>
      <c r="I8" s="3" t="inlineStr"/>
    </row>
    <row r="9">
      <c r="A9" s="5" t="inlineStr">
        <is>
          <t>removed</t>
        </is>
      </c>
      <c r="B9" s="5" t="inlineStr">
        <is>
          <t>vivo</t>
        </is>
      </c>
      <c r="C9" s="5" t="inlineStr">
        <is>
          <t>prepaid</t>
        </is>
      </c>
      <c r="D9" s="5" t="inlineStr">
        <is>
          <t>SP</t>
        </is>
      </c>
      <c r="E9" s="5" t="inlineStr">
        <is>
          <t>vivo:VIV202600022379-9gb</t>
        </is>
      </c>
      <c r="F9" s="5" t="inlineStr">
        <is>
          <t>Vivo Pré</t>
        </is>
      </c>
      <c r="G9" s="6" t="n">
        <v>25</v>
      </c>
      <c r="H9" s="6" t="inlineStr"/>
      <c r="I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2026-06-25T22:19:40</t>
        </is>
      </c>
    </row>
    <row r="4">
      <c r="A4" s="9" t="inlineStr">
        <is>
          <t>Latest snapshot</t>
        </is>
      </c>
      <c r="B4" s="2" t="inlineStr">
        <is>
          <t>2026-06-25</t>
        </is>
      </c>
    </row>
    <row r="5">
      <c r="A5" s="9" t="inlineStr">
        <is>
          <t>Plans in latest</t>
        </is>
      </c>
      <c r="B5" s="2" t="n">
        <v>49</v>
      </c>
    </row>
    <row r="6">
      <c r="A6" s="9" t="inlineStr">
        <is>
          <t>Snapshots in history</t>
        </is>
      </c>
      <c r="B6" s="2" t="n">
        <v>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10">
        <f>IFERROR(_xlfn.MINIFS(latest!$H$2:$H$2000,latest!$C$2:$C$2000,$A$9),"-")</f>
        <v/>
      </c>
      <c r="D9" s="10">
        <f>IFERROR(AVERAGEIFS(latest!$H$2:$H$2000,latest!$C$2:$C$2000,$A$9),"-")</f>
        <v/>
      </c>
      <c r="E9" s="10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10">
        <f>IFERROR(_xlfn.MINIFS(latest!$H$2:$H$2000,latest!$C$2:$C$2000,$A$10),"-")</f>
        <v/>
      </c>
      <c r="D10" s="10">
        <f>IFERROR(AVERAGEIFS(latest!$H$2:$H$2000,latest!$C$2:$C$2000,$A$10),"-")</f>
        <v/>
      </c>
      <c r="E10" s="10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10">
        <f>IFERROR(_xlfn.MINIFS(latest!$H$2:$H$2000,latest!$C$2:$C$2000,$A$11),"-")</f>
        <v/>
      </c>
      <c r="D11" s="10">
        <f>IFERROR(AVERAGEIFS(latest!$H$2:$H$2000,latest!$C$2:$C$2000,$A$11),"-")</f>
        <v/>
      </c>
      <c r="E11" s="10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2"/>
  <sheetViews>
    <sheetView showGridLines="0" workbookViewId="0">
      <pane xSplit="1" ySplit="36" topLeftCell="B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8" t="inlineStr">
        <is>
          <t>Price evolution — cheapest R$ per carrier × category, by date</t>
        </is>
      </c>
    </row>
    <row r="35">
      <c r="A35" s="1" t="inlineStr">
        <is>
          <t>Date</t>
        </is>
      </c>
      <c r="B35" s="11" t="inlineStr">
        <is>
          <t>Control (R$/mo)</t>
        </is>
      </c>
      <c r="C35" s="11" t="n"/>
      <c r="D35" s="11" t="n"/>
      <c r="E35" s="11" t="inlineStr">
        <is>
          <t>Post (R$/mo)</t>
        </is>
      </c>
      <c r="F35" s="11" t="n"/>
      <c r="G35" s="11" t="n"/>
      <c r="H35" s="11" t="inlineStr">
        <is>
          <t>Pre (R$, recarga)</t>
        </is>
      </c>
      <c r="I35" s="11" t="n"/>
      <c r="J35" s="11" t="n"/>
      <c r="K35" s="11" t="inlineStr">
        <is>
          <t>Digital (R$/mo)</t>
        </is>
      </c>
      <c r="L35" s="11" t="n"/>
      <c r="M35" s="11" t="n"/>
    </row>
    <row r="36">
      <c r="A36" s="1" t="n"/>
      <c r="B36" s="11" t="inlineStr">
        <is>
          <t>TIM</t>
        </is>
      </c>
      <c r="C36" s="11" t="inlineStr">
        <is>
          <t>Vivo</t>
        </is>
      </c>
      <c r="D36" s="11" t="inlineStr">
        <is>
          <t>Claro</t>
        </is>
      </c>
      <c r="E36" s="11" t="inlineStr">
        <is>
          <t>TIM</t>
        </is>
      </c>
      <c r="F36" s="11" t="inlineStr">
        <is>
          <t>Vivo</t>
        </is>
      </c>
      <c r="G36" s="11" t="inlineStr">
        <is>
          <t>Claro</t>
        </is>
      </c>
      <c r="H36" s="11" t="inlineStr">
        <is>
          <t>TIM</t>
        </is>
      </c>
      <c r="I36" s="11" t="inlineStr">
        <is>
          <t>Vivo</t>
        </is>
      </c>
      <c r="J36" s="11" t="inlineStr">
        <is>
          <t>Claro</t>
        </is>
      </c>
      <c r="K36" s="11" t="inlineStr">
        <is>
          <t>TIM</t>
        </is>
      </c>
      <c r="L36" s="11" t="inlineStr">
        <is>
          <t>Vivo</t>
        </is>
      </c>
      <c r="M36" s="11" t="inlineStr">
        <is>
          <t>Claro</t>
        </is>
      </c>
    </row>
    <row r="37">
      <c r="A37" s="2" t="inlineStr">
        <is>
          <t>2026-06-22</t>
        </is>
      </c>
      <c r="B37" s="3">
        <f>IF(_xlfn.MINIFS(history!$H:$H,history!$C:$C,"tim",history!$D:$D,"control",history!$A:$A,$A37)=0,"",_xlfn.MINIFS(history!$H:$H,history!$C:$C,"tim",history!$D:$D,"control",history!$A:$A,$A37))</f>
        <v/>
      </c>
      <c r="C37" s="3">
        <f>IF(_xlfn.MINIFS(history!$H:$H,history!$C:$C,"vivo",history!$D:$D,"control",history!$A:$A,$A37)=0,"",_xlfn.MINIFS(history!$H:$H,history!$C:$C,"vivo",history!$D:$D,"control",history!$A:$A,$A37))</f>
        <v/>
      </c>
      <c r="D37" s="3">
        <f>IF(_xlfn.MINIFS(history!$H:$H,history!$C:$C,"claro",history!$D:$D,"control",history!$A:$A,$A37)=0,"",_xlfn.MINIFS(history!$H:$H,history!$C:$C,"claro",history!$D:$D,"control",history!$A:$A,$A37))</f>
        <v/>
      </c>
      <c r="E37" s="3">
        <f>IF(_xlfn.MINIFS(history!$H:$H,history!$C:$C,"tim",history!$D:$D,"postpaid",history!$A:$A,$A37)=0,"",_xlfn.MINIFS(history!$H:$H,history!$C:$C,"tim",history!$D:$D,"postpaid",history!$A:$A,$A37))</f>
        <v/>
      </c>
      <c r="F37" s="3">
        <f>IF(_xlfn.MINIFS(history!$H:$H,history!$C:$C,"vivo",history!$D:$D,"postpaid",history!$A:$A,$A37)=0,"",_xlfn.MINIFS(history!$H:$H,history!$C:$C,"vivo",history!$D:$D,"postpaid",history!$A:$A,$A37))</f>
        <v/>
      </c>
      <c r="G37" s="3">
        <f>IF(_xlfn.MINIFS(history!$H:$H,history!$C:$C,"claro",history!$D:$D,"postpaid",history!$A:$A,$A37)=0,"",_xlfn.MINIFS(history!$H:$H,history!$C:$C,"claro",history!$D:$D,"postpaid",history!$A:$A,$A37))</f>
        <v/>
      </c>
      <c r="H37" s="3">
        <f>IF(_xlfn.MINIFS(history!$H:$H,history!$C:$C,"tim",history!$D:$D,"prepaid",history!$A:$A,$A37)=0,"",_xlfn.MINIFS(history!$H:$H,history!$C:$C,"tim",history!$D:$D,"prepaid",history!$A:$A,$A37))</f>
        <v/>
      </c>
      <c r="I37" s="3">
        <f>IF(_xlfn.MINIFS(history!$H:$H,history!$C:$C,"vivo",history!$D:$D,"prepaid",history!$A:$A,$A37)=0,"",_xlfn.MINIFS(history!$H:$H,history!$C:$C,"vivo",history!$D:$D,"prepaid",history!$A:$A,$A37))</f>
        <v/>
      </c>
      <c r="J37" s="3">
        <f>IF(_xlfn.MINIFS(history!$H:$H,history!$C:$C,"claro",history!$D:$D,"prepaid",history!$A:$A,$A37)=0,"",_xlfn.MINIFS(history!$H:$H,history!$C:$C,"claro",history!$D:$D,"prepaid",history!$A:$A,$A37))</f>
        <v/>
      </c>
      <c r="K37" s="3">
        <f>IFERROR(1/MAX(IFERROR(1/_xlfn.MINIFS(history!$H:$H,history!$C:$C,"tim",history!$D:$D,"lite",history!$A:$A,$A37),0),IFERROR(1/_xlfn.MINIFS(history!$H:$H,history!$C:$C,"tim",history!$D:$D,"flex",history!$A:$A,$A37),0)),"")</f>
        <v/>
      </c>
      <c r="L37" s="3">
        <f>IFERROR(1/MAX(IFERROR(1/_xlfn.MINIFS(history!$H:$H,history!$C:$C,"vivo",history!$D:$D,"lite",history!$A:$A,$A37),0),IFERROR(1/_xlfn.MINIFS(history!$H:$H,history!$C:$C,"vivo",history!$D:$D,"flex",history!$A:$A,$A37),0)),"")</f>
        <v/>
      </c>
      <c r="M37" s="3">
        <f>IFERROR(1/MAX(IFERROR(1/_xlfn.MINIFS(history!$H:$H,history!$C:$C,"claro",history!$D:$D,"lite",history!$A:$A,$A37),0),IFERROR(1/_xlfn.MINIFS(history!$H:$H,history!$C:$C,"claro",history!$D:$D,"flex",history!$A:$A,$A37),0)),"")</f>
        <v/>
      </c>
    </row>
    <row r="38">
      <c r="A38" s="2" t="inlineStr">
        <is>
          <t>2026-06-23</t>
        </is>
      </c>
      <c r="B38" s="3">
        <f>IF(_xlfn.MINIFS(history!$H:$H,history!$C:$C,"tim",history!$D:$D,"control",history!$A:$A,$A38)=0,"",_xlfn.MINIFS(history!$H:$H,history!$C:$C,"tim",history!$D:$D,"control",history!$A:$A,$A38))</f>
        <v/>
      </c>
      <c r="C38" s="3">
        <f>IF(_xlfn.MINIFS(history!$H:$H,history!$C:$C,"vivo",history!$D:$D,"control",history!$A:$A,$A38)=0,"",_xlfn.MINIFS(history!$H:$H,history!$C:$C,"vivo",history!$D:$D,"control",history!$A:$A,$A38))</f>
        <v/>
      </c>
      <c r="D38" s="3">
        <f>IF(_xlfn.MINIFS(history!$H:$H,history!$C:$C,"claro",history!$D:$D,"control",history!$A:$A,$A38)=0,"",_xlfn.MINIFS(history!$H:$H,history!$C:$C,"claro",history!$D:$D,"control",history!$A:$A,$A38))</f>
        <v/>
      </c>
      <c r="E38" s="3">
        <f>IF(_xlfn.MINIFS(history!$H:$H,history!$C:$C,"tim",history!$D:$D,"postpaid",history!$A:$A,$A38)=0,"",_xlfn.MINIFS(history!$H:$H,history!$C:$C,"tim",history!$D:$D,"postpaid",history!$A:$A,$A38))</f>
        <v/>
      </c>
      <c r="F38" s="3">
        <f>IF(_xlfn.MINIFS(history!$H:$H,history!$C:$C,"vivo",history!$D:$D,"postpaid",history!$A:$A,$A38)=0,"",_xlfn.MINIFS(history!$H:$H,history!$C:$C,"vivo",history!$D:$D,"postpaid",history!$A:$A,$A38))</f>
        <v/>
      </c>
      <c r="G38" s="3">
        <f>IF(_xlfn.MINIFS(history!$H:$H,history!$C:$C,"claro",history!$D:$D,"postpaid",history!$A:$A,$A38)=0,"",_xlfn.MINIFS(history!$H:$H,history!$C:$C,"claro",history!$D:$D,"postpaid",history!$A:$A,$A38))</f>
        <v/>
      </c>
      <c r="H38" s="3">
        <f>IF(_xlfn.MINIFS(history!$H:$H,history!$C:$C,"tim",history!$D:$D,"prepaid",history!$A:$A,$A38)=0,"",_xlfn.MINIFS(history!$H:$H,history!$C:$C,"tim",history!$D:$D,"prepaid",history!$A:$A,$A38))</f>
        <v/>
      </c>
      <c r="I38" s="3">
        <f>IF(_xlfn.MINIFS(history!$H:$H,history!$C:$C,"vivo",history!$D:$D,"prepaid",history!$A:$A,$A38)=0,"",_xlfn.MINIFS(history!$H:$H,history!$C:$C,"vivo",history!$D:$D,"prepaid",history!$A:$A,$A38))</f>
        <v/>
      </c>
      <c r="J38" s="3">
        <f>IF(_xlfn.MINIFS(history!$H:$H,history!$C:$C,"claro",history!$D:$D,"prepaid",history!$A:$A,$A38)=0,"",_xlfn.MINIFS(history!$H:$H,history!$C:$C,"claro",history!$D:$D,"prepaid",history!$A:$A,$A38))</f>
        <v/>
      </c>
      <c r="K38" s="3">
        <f>IFERROR(1/MAX(IFERROR(1/_xlfn.MINIFS(history!$H:$H,history!$C:$C,"tim",history!$D:$D,"lite",history!$A:$A,$A38),0),IFERROR(1/_xlfn.MINIFS(history!$H:$H,history!$C:$C,"tim",history!$D:$D,"flex",history!$A:$A,$A38),0)),"")</f>
        <v/>
      </c>
      <c r="L38" s="3">
        <f>IFERROR(1/MAX(IFERROR(1/_xlfn.MINIFS(history!$H:$H,history!$C:$C,"vivo",history!$D:$D,"lite",history!$A:$A,$A38),0),IFERROR(1/_xlfn.MINIFS(history!$H:$H,history!$C:$C,"vivo",history!$D:$D,"flex",history!$A:$A,$A38),0)),"")</f>
        <v/>
      </c>
      <c r="M38" s="3">
        <f>IFERROR(1/MAX(IFERROR(1/_xlfn.MINIFS(history!$H:$H,history!$C:$C,"claro",history!$D:$D,"lite",history!$A:$A,$A38),0),IFERROR(1/_xlfn.MINIFS(history!$H:$H,history!$C:$C,"claro",history!$D:$D,"flex",history!$A:$A,$A38),0)),"")</f>
        <v/>
      </c>
    </row>
    <row r="39">
      <c r="A39" s="2" t="inlineStr">
        <is>
          <t>2026-06-24</t>
        </is>
      </c>
      <c r="B39" s="3">
        <f>IF(_xlfn.MINIFS(history!$H:$H,history!$C:$C,"tim",history!$D:$D,"control",history!$A:$A,$A39)=0,"",_xlfn.MINIFS(history!$H:$H,history!$C:$C,"tim",history!$D:$D,"control",history!$A:$A,$A39))</f>
        <v/>
      </c>
      <c r="C39" s="3">
        <f>IF(_xlfn.MINIFS(history!$H:$H,history!$C:$C,"vivo",history!$D:$D,"control",history!$A:$A,$A39)=0,"",_xlfn.MINIFS(history!$H:$H,history!$C:$C,"vivo",history!$D:$D,"control",history!$A:$A,$A39))</f>
        <v/>
      </c>
      <c r="D39" s="3">
        <f>IF(_xlfn.MINIFS(history!$H:$H,history!$C:$C,"claro",history!$D:$D,"control",history!$A:$A,$A39)=0,"",_xlfn.MINIFS(history!$H:$H,history!$C:$C,"claro",history!$D:$D,"control",history!$A:$A,$A39))</f>
        <v/>
      </c>
      <c r="E39" s="3">
        <f>IF(_xlfn.MINIFS(history!$H:$H,history!$C:$C,"tim",history!$D:$D,"postpaid",history!$A:$A,$A39)=0,"",_xlfn.MINIFS(history!$H:$H,history!$C:$C,"tim",history!$D:$D,"postpaid",history!$A:$A,$A39))</f>
        <v/>
      </c>
      <c r="F39" s="3">
        <f>IF(_xlfn.MINIFS(history!$H:$H,history!$C:$C,"vivo",history!$D:$D,"postpaid",history!$A:$A,$A39)=0,"",_xlfn.MINIFS(history!$H:$H,history!$C:$C,"vivo",history!$D:$D,"postpaid",history!$A:$A,$A39))</f>
        <v/>
      </c>
      <c r="G39" s="3">
        <f>IF(_xlfn.MINIFS(history!$H:$H,history!$C:$C,"claro",history!$D:$D,"postpaid",history!$A:$A,$A39)=0,"",_xlfn.MINIFS(history!$H:$H,history!$C:$C,"claro",history!$D:$D,"postpaid",history!$A:$A,$A39))</f>
        <v/>
      </c>
      <c r="H39" s="3">
        <f>IF(_xlfn.MINIFS(history!$H:$H,history!$C:$C,"tim",history!$D:$D,"prepaid",history!$A:$A,$A39)=0,"",_xlfn.MINIFS(history!$H:$H,history!$C:$C,"tim",history!$D:$D,"prepaid",history!$A:$A,$A39))</f>
        <v/>
      </c>
      <c r="I39" s="3">
        <f>IF(_xlfn.MINIFS(history!$H:$H,history!$C:$C,"vivo",history!$D:$D,"prepaid",history!$A:$A,$A39)=0,"",_xlfn.MINIFS(history!$H:$H,history!$C:$C,"vivo",history!$D:$D,"prepaid",history!$A:$A,$A39))</f>
        <v/>
      </c>
      <c r="J39" s="3">
        <f>IF(_xlfn.MINIFS(history!$H:$H,history!$C:$C,"claro",history!$D:$D,"prepaid",history!$A:$A,$A39)=0,"",_xlfn.MINIFS(history!$H:$H,history!$C:$C,"claro",history!$D:$D,"prepaid",history!$A:$A,$A39))</f>
        <v/>
      </c>
      <c r="K39" s="3">
        <f>IFERROR(1/MAX(IFERROR(1/_xlfn.MINIFS(history!$H:$H,history!$C:$C,"tim",history!$D:$D,"lite",history!$A:$A,$A39),0),IFERROR(1/_xlfn.MINIFS(history!$H:$H,history!$C:$C,"tim",history!$D:$D,"flex",history!$A:$A,$A39),0)),"")</f>
        <v/>
      </c>
      <c r="L39" s="3">
        <f>IFERROR(1/MAX(IFERROR(1/_xlfn.MINIFS(history!$H:$H,history!$C:$C,"vivo",history!$D:$D,"lite",history!$A:$A,$A39),0),IFERROR(1/_xlfn.MINIFS(history!$H:$H,history!$C:$C,"vivo",history!$D:$D,"flex",history!$A:$A,$A39),0)),"")</f>
        <v/>
      </c>
      <c r="M39" s="3">
        <f>IFERROR(1/MAX(IFERROR(1/_xlfn.MINIFS(history!$H:$H,history!$C:$C,"claro",history!$D:$D,"lite",history!$A:$A,$A39),0),IFERROR(1/_xlfn.MINIFS(history!$H:$H,history!$C:$C,"claro",history!$D:$D,"flex",history!$A:$A,$A39),0)),"")</f>
        <v/>
      </c>
    </row>
    <row r="40">
      <c r="A40" s="2" t="inlineStr">
        <is>
          <t>2026-06-25</t>
        </is>
      </c>
      <c r="B40" s="3">
        <f>IF(_xlfn.MINIFS(history!$H:$H,history!$C:$C,"tim",history!$D:$D,"control",history!$A:$A,$A40)=0,"",_xlfn.MINIFS(history!$H:$H,history!$C:$C,"tim",history!$D:$D,"control",history!$A:$A,$A40))</f>
        <v/>
      </c>
      <c r="C40" s="3">
        <f>IF(_xlfn.MINIFS(history!$H:$H,history!$C:$C,"vivo",history!$D:$D,"control",history!$A:$A,$A40)=0,"",_xlfn.MINIFS(history!$H:$H,history!$C:$C,"vivo",history!$D:$D,"control",history!$A:$A,$A40))</f>
        <v/>
      </c>
      <c r="D40" s="3">
        <f>IF(_xlfn.MINIFS(history!$H:$H,history!$C:$C,"claro",history!$D:$D,"control",history!$A:$A,$A40)=0,"",_xlfn.MINIFS(history!$H:$H,history!$C:$C,"claro",history!$D:$D,"control",history!$A:$A,$A40))</f>
        <v/>
      </c>
      <c r="E40" s="3">
        <f>IF(_xlfn.MINIFS(history!$H:$H,history!$C:$C,"tim",history!$D:$D,"postpaid",history!$A:$A,$A40)=0,"",_xlfn.MINIFS(history!$H:$H,history!$C:$C,"tim",history!$D:$D,"postpaid",history!$A:$A,$A40))</f>
        <v/>
      </c>
      <c r="F40" s="3">
        <f>IF(_xlfn.MINIFS(history!$H:$H,history!$C:$C,"vivo",history!$D:$D,"postpaid",history!$A:$A,$A40)=0,"",_xlfn.MINIFS(history!$H:$H,history!$C:$C,"vivo",history!$D:$D,"postpaid",history!$A:$A,$A40))</f>
        <v/>
      </c>
      <c r="G40" s="3">
        <f>IF(_xlfn.MINIFS(history!$H:$H,history!$C:$C,"claro",history!$D:$D,"postpaid",history!$A:$A,$A40)=0,"",_xlfn.MINIFS(history!$H:$H,history!$C:$C,"claro",history!$D:$D,"postpaid",history!$A:$A,$A40))</f>
        <v/>
      </c>
      <c r="H40" s="3">
        <f>IF(_xlfn.MINIFS(history!$H:$H,history!$C:$C,"tim",history!$D:$D,"prepaid",history!$A:$A,$A40)=0,"",_xlfn.MINIFS(history!$H:$H,history!$C:$C,"tim",history!$D:$D,"prepaid",history!$A:$A,$A40))</f>
        <v/>
      </c>
      <c r="I40" s="3">
        <f>IF(_xlfn.MINIFS(history!$H:$H,history!$C:$C,"vivo",history!$D:$D,"prepaid",history!$A:$A,$A40)=0,"",_xlfn.MINIFS(history!$H:$H,history!$C:$C,"vivo",history!$D:$D,"prepaid",history!$A:$A,$A40))</f>
        <v/>
      </c>
      <c r="J40" s="3">
        <f>IF(_xlfn.MINIFS(history!$H:$H,history!$C:$C,"claro",history!$D:$D,"prepaid",history!$A:$A,$A40)=0,"",_xlfn.MINIFS(history!$H:$H,history!$C:$C,"claro",history!$D:$D,"prepaid",history!$A:$A,$A40))</f>
        <v/>
      </c>
      <c r="K40" s="3">
        <f>IFERROR(1/MAX(IFERROR(1/_xlfn.MINIFS(history!$H:$H,history!$C:$C,"tim",history!$D:$D,"lite",history!$A:$A,$A40),0),IFERROR(1/_xlfn.MINIFS(history!$H:$H,history!$C:$C,"tim",history!$D:$D,"flex",history!$A:$A,$A40),0)),"")</f>
        <v/>
      </c>
      <c r="L40" s="3">
        <f>IFERROR(1/MAX(IFERROR(1/_xlfn.MINIFS(history!$H:$H,history!$C:$C,"vivo",history!$D:$D,"lite",history!$A:$A,$A40),0),IFERROR(1/_xlfn.MINIFS(history!$H:$H,history!$C:$C,"vivo",history!$D:$D,"flex",history!$A:$A,$A40),0)),"")</f>
        <v/>
      </c>
      <c r="M40" s="3">
        <f>IFERROR(1/MAX(IFERROR(1/_xlfn.MINIFS(history!$H:$H,history!$C:$C,"claro",history!$D:$D,"lite",history!$A:$A,$A40),0),IFERROR(1/_xlfn.MINIFS(history!$H:$H,history!$C:$C,"claro",history!$D:$D,"flex",history!$A:$A,$A40),0)),"")</f>
        <v/>
      </c>
    </row>
    <row r="42">
      <c r="A42" s="12" t="inlineStr">
        <is>
          <t>Pre = cheapest recharge amount captured (true R$/day needs validity-days we don't yet capture — CONTEXT §8). Digital = min of Vivo Lite / Claro Flex. Daily rows now; monthly roll-up is the planned next step.</t>
        </is>
      </c>
    </row>
  </sheetData>
  <mergeCells count="5">
    <mergeCell ref="A35:A36"/>
    <mergeCell ref="B35:D35"/>
    <mergeCell ref="E35:G35"/>
    <mergeCell ref="K35:M35"/>
    <mergeCell ref="H35:J35"/>
  </mergeCells>
  <conditionalFormatting sqref="B37:D4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37:G4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37:J4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37:M4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3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4" t="n"/>
      <c r="D10" s="6" t="n">
        <v>159.99</v>
      </c>
      <c r="E10" s="5" t="inlineStr">
        <is>
          <t>Vivo Pós com Premiere (60GB)</t>
        </is>
      </c>
      <c r="F10" s="14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3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4" t="n"/>
      <c r="D18" s="6" t="n">
        <v>64.98999999999999</v>
      </c>
      <c r="E18" s="5" t="inlineStr">
        <is>
          <t>Vivo Controle Saúde (61GB)</t>
        </is>
      </c>
      <c r="F18" s="14" t="n"/>
      <c r="G18" s="5" t="inlineStr">
        <is>
          <t>TIM Controle Pro Express</t>
        </is>
      </c>
    </row>
    <row r="19">
      <c r="A19" s="2" t="n">
        <v>5</v>
      </c>
      <c r="B19" s="3" t="n">
        <v>95</v>
      </c>
      <c r="D19" s="3" t="n">
        <v>84.98999999999999</v>
      </c>
      <c r="E19" s="2" t="inlineStr">
        <is>
          <t>Vivo Controle Música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4" t="n"/>
      <c r="D20" s="14" t="n"/>
      <c r="E20" s="5" t="inlineStr">
        <is>
          <t>Vivo Controle Netflix (61GB)</t>
        </is>
      </c>
      <c r="F20" s="14" t="n"/>
      <c r="G20" s="14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3" t="inlineStr">
        <is>
          <t>Prepaid</t>
        </is>
      </c>
    </row>
    <row r="24">
      <c r="A24" s="12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</v>
      </c>
      <c r="D26" s="3" t="n">
        <v>20</v>
      </c>
      <c r="E26" s="2" t="inlineStr">
        <is>
          <t>Vivo Pré (4GB)</t>
        </is>
      </c>
      <c r="F26" s="2" t="inlineStr">
        <is>
          <t>Prezão R$1 por dia (12GB)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14" t="n"/>
      <c r="D27" s="6" t="n">
        <v>25</v>
      </c>
      <c r="E27" s="5" t="inlineStr">
        <is>
          <t>Vivo Pré (5GB)</t>
        </is>
      </c>
      <c r="F27" s="14" t="n"/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D28" s="3" t="n">
        <v>30</v>
      </c>
      <c r="E28" s="2" t="inlineStr">
        <is>
          <t>Vivo Pré (9GB)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14" t="n"/>
      <c r="D29" s="14" t="n"/>
      <c r="E29" s="5" t="inlineStr">
        <is>
          <t>Vivo Pré (25GB)</t>
        </is>
      </c>
      <c r="F29" s="14" t="n"/>
      <c r="G29" s="14" t="n"/>
    </row>
    <row r="31">
      <c r="A31" s="13" t="inlineStr">
        <is>
          <t>Digital</t>
        </is>
      </c>
    </row>
    <row r="32">
      <c r="A32" s="12" t="inlineStr">
        <is>
          <t>Digital = Vivo Lite + Claro Flex (TIM has no digital line).</t>
        </is>
      </c>
    </row>
    <row r="33">
      <c r="A33" s="1" t="inlineStr">
        <is>
          <t>Rank</t>
        </is>
      </c>
      <c r="B33" s="1" t="inlineStr">
        <is>
          <t>Vivo R$</t>
        </is>
      </c>
      <c r="C33" s="1" t="inlineStr">
        <is>
          <t>Claro R$</t>
        </is>
      </c>
      <c r="D33" s="1" t="inlineStr">
        <is>
          <t>TIM R$</t>
        </is>
      </c>
      <c r="E33" s="1" t="inlineStr">
        <is>
          <t>Vivo plan</t>
        </is>
      </c>
      <c r="F33" s="1" t="inlineStr">
        <is>
          <t>Claro plan</t>
        </is>
      </c>
      <c r="G33" s="1" t="inlineStr">
        <is>
          <t>TIM plan</t>
        </is>
      </c>
    </row>
    <row r="34">
      <c r="A34" s="2" t="n">
        <v>1</v>
      </c>
      <c r="B34" s="3" t="n">
        <v>30</v>
      </c>
      <c r="C34" s="3" t="n">
        <v>44.9</v>
      </c>
      <c r="E34" s="2" t="inlineStr">
        <is>
          <t>Easy Lite (30GB)</t>
        </is>
      </c>
      <c r="F34" s="2" t="inlineStr">
        <is>
          <t>Flex 15GB (15GB)</t>
        </is>
      </c>
    </row>
    <row r="35">
      <c r="A35" s="5" t="n">
        <v>2</v>
      </c>
      <c r="B35" s="6" t="n">
        <v>35</v>
      </c>
      <c r="C35" s="6" t="n">
        <v>59.9</v>
      </c>
      <c r="D35" s="14" t="n"/>
      <c r="E35" s="5" t="inlineStr">
        <is>
          <t>Easy Lite (20GB)</t>
        </is>
      </c>
      <c r="F35" s="5" t="inlineStr">
        <is>
          <t>Flex 20GB (20GB)</t>
        </is>
      </c>
      <c r="G35" s="14" t="n"/>
    </row>
    <row r="36">
      <c r="A36" s="2" t="n">
        <v>3</v>
      </c>
      <c r="B36" s="3" t="n">
        <v>40</v>
      </c>
      <c r="C36" s="3" t="n">
        <v>69.90000000000001</v>
      </c>
      <c r="E36" s="2" t="inlineStr">
        <is>
          <t>Easy Lite (40GB)</t>
        </is>
      </c>
      <c r="F36" s="2" t="inlineStr">
        <is>
          <t>Flex 30GB (30GB)</t>
        </is>
      </c>
    </row>
    <row r="37">
      <c r="A37" s="5" t="n">
        <v>4</v>
      </c>
      <c r="B37" s="14" t="n"/>
      <c r="C37" s="6" t="n">
        <v>119.9</v>
      </c>
      <c r="D37" s="14" t="n"/>
      <c r="E37" s="14" t="n"/>
      <c r="F37" s="5" t="inlineStr">
        <is>
          <t>Flex 40GB (40GB)</t>
        </is>
      </c>
      <c r="G37" s="14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29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D37">
    <cfRule type="expression" priority="7" dxfId="1" stopIfTrue="1">
      <formula>AND(B34&lt;&gt;"",B34=MIN($B34:$D34))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5" t="inlineStr">
        <is>
          <t>Control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95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5" t="inlineStr">
        <is>
          <t>Digital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5" t="inlineStr">
        <is>
          <t>Prepaid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A291C"/>
    <outlinePr summaryBelow="1" summaryRight="1"/>
    <pageSetUpPr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5" t="inlineStr">
        <is>
          <t>Control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Controle 25GB</t>
        </is>
      </c>
      <c r="B9" s="3" t="n">
        <v>59.9</v>
      </c>
      <c r="C9" s="17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5" t="inlineStr">
        <is>
          <t>Digital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5" t="inlineStr">
        <is>
          <t>Prepaid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Prezão R$1 por dia</t>
        </is>
      </c>
      <c r="B18" s="3" t="n">
        <v>1</v>
      </c>
      <c r="C18" s="3" t="n"/>
      <c r="D18" s="2" t="inlineStr">
        <is>
          <t>12 GB</t>
        </is>
      </c>
      <c r="E18" s="2" t="n"/>
      <c r="F18" s="2" t="n"/>
      <c r="G18" s="2" t="n"/>
      <c r="H18" s="2" t="inlineStr">
        <is>
          <t>prepaid Prezão — preço por dia; recargas a partir de R$15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5" t="inlineStr">
        <is>
          <t>Control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5" t="inlineStr">
        <is>
          <t>Prepaid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2026-06-25T22:21:10Z</dcterms:created>
  <dcterms:modified xsi:type="dcterms:W3CDTF">2026-06-25T22:21:11Z</dcterms:modified>
</cp:coreProperties>
</file>