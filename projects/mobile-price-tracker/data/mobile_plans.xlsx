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'history'!$A$1:$V$4497</definedName>
    <definedName name="_xlnm._FilterDatabase" localSheetId="1" hidden="1">'latest'!$A$1:$V$64</definedName>
    <definedName name="_xlnm._FilterDatabase" localSheetId="10" hidden="1">'convergent_history'!$A$1:$Z$908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'comparison'!$A$3:$A$78</f>
            </numRef>
          </cat>
          <val>
            <numRef>
              <f>'comparison'!$B$3:$B$78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'comparison'!$A$3:$A$78</f>
            </numRef>
          </cat>
          <val>
            <numRef>
              <f>'comparison'!$C$3:$C$78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'comparison'!$A$3:$A$78</f>
            </numRef>
          </cat>
          <val>
            <numRef>
              <f>'comparison'!$D$3:$D$78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'comparison'!$A$3:$A$78</f>
            </numRef>
          </cat>
          <val>
            <numRef>
              <f>'comparison'!$E$3:$E$78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'comparison'!$A$3:$A$78</f>
            </numRef>
          </cat>
          <val>
            <numRef>
              <f>'comparison'!$F$3:$F$78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'comparison'!$A$3:$A$78</f>
            </numRef>
          </cat>
          <val>
            <numRef>
              <f>'comparison'!$G$3:$G$78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'comparison'!$A$3:$A$78</f>
            </numRef>
          </cat>
          <val>
            <numRef>
              <f>'comparison'!$H$3:$H$78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'comparison'!$A$3:$A$78</f>
            </numRef>
          </cat>
          <val>
            <numRef>
              <f>'comparison'!$I$3:$I$78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'comparison'!$A$3:$A$78</f>
            </numRef>
          </cat>
          <val>
            <numRef>
              <f>'comparison'!$J$3:$J$78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'comparison'!$A$3:$A$78</f>
            </numRef>
          </cat>
          <val>
            <numRef>
              <f>'comparison'!$K$3:$K$78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'comparison'!$A$3:$A$78</f>
            </numRef>
          </cat>
          <val>
            <numRef>
              <f>'comparison'!$L$3:$L$78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'comparison'!$A$3:$A$78</f>
            </numRef>
          </cat>
          <val>
            <numRef>
              <f>'comparison'!$M$3:$M$78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4497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2026-08-22T18:17:41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2026-08-22T18:17:41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2026-08-22T18:17:41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2026-08-22T18:17:41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2026-08-22T18:17:41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2026-08-22T18:17:41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2026-08-22T18:17:41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2026-08-22T18:17:41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2026-08-22T18:17:41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2026-08-22T18:17:41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2026-08-22T18:17:41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2026-08-22T18:17:41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2026-08-22T18:17:41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2026-08-22T18:17:41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2026-08-22T18:17:41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2026-08-22T18:17:41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2026-08-22T18:17:41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2026-08-22T18:17:41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2026-08-22T18:17:41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2026-08-22T18:17:41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2026-08-22T18:17:41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2026-08-22T18:17:41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2026-08-22T18:17:41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2026-08-22T18:17:41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2026-08-22T18:17:41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2026-08-22T18:17:41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2026-08-22T18:17:41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2026-08-22T18:17:41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2026-08-22T18:17:41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2026-08-22T18:17:41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2026-08-22T18:17:41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2026-08-22T18:17:41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2026-08-22T18:17:41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2026-08-22T18:17:41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2026-08-22T18:17:41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2026-08-22T18:17:41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2026-08-22T18:17:41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2026-08-22T18:17:41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2026-08-22T18:17:41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2026-08-22T18:17:41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2026-08-22T18:17:41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2026-08-22T18:17:41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2026-08-22T18:17:41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2026-08-22T18:17:41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2026-08-22T18:17:41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2026-08-22T18:17:41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2026-08-22T18:17:41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2026-08-22T18:17:41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2026-08-22T18:17:41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2026-08-22T18:17:41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2026-08-22T18:17:41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2026-08-22T18:17:41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2026-08-22T18:17:41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2026-08-22T18:17:41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2026-08-22T18:17:41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2026-08-22T18:17:41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2026-08-22T18:17:41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2026-08-22T18:17:41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2026-08-22T18:17:41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2026-08-22T18:17:41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2026-08-22T18:17:41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2026-08-22T18:17:41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2026-08-22T18:17:41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2026-08-22T18:17:41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  <row r="3420">
      <c r="A3420" s="2" t="inlineStr">
        <is>
          <t>2026-08-23</t>
        </is>
      </c>
      <c r="B3420" s="2" t="inlineStr">
        <is>
          <t>2026-08-23T18:17:10</t>
        </is>
      </c>
      <c r="C3420" s="2" t="inlineStr">
        <is>
          <t>claro</t>
        </is>
      </c>
      <c r="D3420" s="2" t="inlineStr">
        <is>
          <t>control</t>
        </is>
      </c>
      <c r="E3420" s="2" t="inlineStr">
        <is>
          <t>SP</t>
        </is>
      </c>
      <c r="F3420" s="2" t="inlineStr">
        <is>
          <t>Controle 25GB</t>
        </is>
      </c>
      <c r="G3420" s="2" t="inlineStr">
        <is>
          <t>claro:plano-controle-25gb</t>
        </is>
      </c>
      <c r="H3420" s="3" t="n">
        <v>59.9</v>
      </c>
      <c r="I3420" s="3" t="n">
        <v>54.9</v>
      </c>
      <c r="J3420" s="2" t="inlineStr">
        <is>
          <t>De R$ 59,90 Por:</t>
        </is>
      </c>
      <c r="K3420" s="2" t="inlineStr"/>
      <c r="L3420" s="4" t="n">
        <v>25</v>
      </c>
      <c r="M3420" s="2" t="inlineStr"/>
      <c r="N3420" s="2" t="inlineStr"/>
      <c r="O3420" s="2" t="inlineStr">
        <is>
          <t>WhatsApp</t>
        </is>
      </c>
      <c r="P3420" s="2" t="inlineStr"/>
      <c r="Q3420" s="2" t="inlineStr"/>
      <c r="R3420" s="2" t="inlineStr"/>
      <c r="S3420" s="2" t="inlineStr"/>
      <c r="T3420" s="2" t="inlineStr">
        <is>
          <t>Para uso livre; Para redes sociais e vídeos; Bônus exclusivo; Aproveite na sua franquia; WhatsApp e ligações ilimitadas</t>
        </is>
      </c>
      <c r="U3420" s="2" t="inlineStr">
        <is>
          <t>https://www.claro.com.br/celular/controle</t>
        </is>
      </c>
      <c r="V3420" s="2" t="inlineStr">
        <is>
          <t>data/raw/claro_control_SP.json</t>
        </is>
      </c>
    </row>
    <row r="3421">
      <c r="A3421" s="5" t="inlineStr">
        <is>
          <t>2026-08-23</t>
        </is>
      </c>
      <c r="B3421" s="5" t="inlineStr">
        <is>
          <t>2026-08-23T18:17:10</t>
        </is>
      </c>
      <c r="C3421" s="5" t="inlineStr">
        <is>
          <t>claro</t>
        </is>
      </c>
      <c r="D3421" s="5" t="inlineStr">
        <is>
          <t>control</t>
        </is>
      </c>
      <c r="E3421" s="5" t="inlineStr">
        <is>
          <t>SP</t>
        </is>
      </c>
      <c r="F3421" s="5" t="inlineStr">
        <is>
          <t>Controle 30GB</t>
        </is>
      </c>
      <c r="G3421" s="5" t="inlineStr">
        <is>
          <t>claro:plano-controle-30gb</t>
        </is>
      </c>
      <c r="H3421" s="6" t="n">
        <v>69.90000000000001</v>
      </c>
      <c r="I3421" s="6" t="inlineStr"/>
      <c r="J3421" s="5" t="inlineStr"/>
      <c r="K3421" s="5" t="inlineStr"/>
      <c r="L3421" s="7" t="n">
        <v>30</v>
      </c>
      <c r="M3421" s="5" t="inlineStr"/>
      <c r="N3421" s="5" t="inlineStr"/>
      <c r="O3421" s="5" t="inlineStr">
        <is>
          <t>WhatsApp</t>
        </is>
      </c>
      <c r="P3421" s="5" t="inlineStr"/>
      <c r="Q3421" s="5" t="inlineStr"/>
      <c r="R3421" s="5" t="inlineStr"/>
      <c r="S3421" s="5" t="inlineStr"/>
      <c r="T3421" s="5" t="inlineStr">
        <is>
          <t>Para uso livre; Bônus para uso livre; Bônus para redes sociais e apps; Assinatura Amazon Prime por 3 meses; Redes sociais e apps; WhatsApp ilimitado</t>
        </is>
      </c>
      <c r="U3421" s="5" t="inlineStr">
        <is>
          <t>https://www.claro.com.br/celular/controle</t>
        </is>
      </c>
      <c r="V3421" s="5" t="inlineStr">
        <is>
          <t>data/raw/claro_control_SP.json</t>
        </is>
      </c>
    </row>
    <row r="3422">
      <c r="A3422" s="2" t="inlineStr">
        <is>
          <t>2026-08-23</t>
        </is>
      </c>
      <c r="B3422" s="2" t="inlineStr">
        <is>
          <t>2026-08-23T18:17:10</t>
        </is>
      </c>
      <c r="C3422" s="2" t="inlineStr">
        <is>
          <t>claro</t>
        </is>
      </c>
      <c r="D3422" s="2" t="inlineStr">
        <is>
          <t>control</t>
        </is>
      </c>
      <c r="E3422" s="2" t="inlineStr">
        <is>
          <t>SP</t>
        </is>
      </c>
      <c r="F3422" s="2" t="inlineStr">
        <is>
          <t>Controle 30GB</t>
        </is>
      </c>
      <c r="G3422" s="2" t="inlineStr">
        <is>
          <t>claro:plano-controle-30gb-gaming</t>
        </is>
      </c>
      <c r="H3422" s="3" t="n">
        <v>99.90000000000001</v>
      </c>
      <c r="I3422" s="3" t="inlineStr"/>
      <c r="J3422" s="2" t="inlineStr"/>
      <c r="K3422" s="2" t="inlineStr"/>
      <c r="L3422" s="4" t="n">
        <v>30</v>
      </c>
      <c r="M3422" s="2" t="inlineStr"/>
      <c r="N3422" s="2" t="inlineStr"/>
      <c r="O3422" s="2" t="inlineStr">
        <is>
          <t>WhatsApp</t>
        </is>
      </c>
      <c r="P3422" s="2" t="inlineStr"/>
      <c r="Q3422" s="2" t="inlineStr"/>
      <c r="R3422" s="2" t="inlineStr"/>
      <c r="S3422" s="2" t="inlineStr"/>
      <c r="T3422" s="2" t="inlineStr">
        <is>
          <t>Para uso livre; Bônus para redes sociais e apps; Bônus uso livre; Assinatura Amazon Prime por 3 meses; Redes sociais e apps; WhatsApp ilimitado</t>
        </is>
      </c>
      <c r="U3422" s="2" t="inlineStr">
        <is>
          <t>https://www.claro.com.br/celular/controle</t>
        </is>
      </c>
      <c r="V3422" s="2" t="inlineStr">
        <is>
          <t>data/raw/claro_control_SP.json</t>
        </is>
      </c>
    </row>
    <row r="3423">
      <c r="A3423" s="5" t="inlineStr">
        <is>
          <t>2026-08-23</t>
        </is>
      </c>
      <c r="B3423" s="5" t="inlineStr">
        <is>
          <t>2026-08-23T18:17:10</t>
        </is>
      </c>
      <c r="C3423" s="5" t="inlineStr">
        <is>
          <t>claro</t>
        </is>
      </c>
      <c r="D3423" s="5" t="inlineStr">
        <is>
          <t>flex</t>
        </is>
      </c>
      <c r="E3423" s="5" t="inlineStr">
        <is>
          <t>SP</t>
        </is>
      </c>
      <c r="F3423" s="5" t="inlineStr">
        <is>
          <t>Flex 15GB</t>
        </is>
      </c>
      <c r="G3423" s="5" t="inlineStr">
        <is>
          <t>claro:plano-flex-15gb</t>
        </is>
      </c>
      <c r="H3423" s="6" t="n">
        <v>44.9</v>
      </c>
      <c r="I3423" s="6" t="inlineStr"/>
      <c r="J3423" s="5" t="inlineStr"/>
      <c r="K3423" s="5" t="inlineStr"/>
      <c r="L3423" s="7" t="n">
        <v>15</v>
      </c>
      <c r="M3423" s="5" t="inlineStr"/>
      <c r="N3423" s="5" t="inlineStr"/>
      <c r="O3423" s="5" t="inlineStr">
        <is>
          <t>WhatsApp</t>
        </is>
      </c>
      <c r="P3423" s="5" t="inlineStr"/>
      <c r="Q3423" s="5" t="inlineStr"/>
      <c r="R3423" s="5" t="inlineStr"/>
      <c r="S3423" s="5" t="inlineStr"/>
      <c r="T3423" s="5" t="inlineStr">
        <is>
          <t>Para uso livre; Bônus Pais para uso livre; Para redes sociais e apps; Bônus extra nos apps; WhatsApp ilimitado</t>
        </is>
      </c>
      <c r="U3423" s="5" t="inlineStr">
        <is>
          <t>https://www.claro.com.br/celular/flex</t>
        </is>
      </c>
      <c r="V3423" s="5" t="inlineStr">
        <is>
          <t>data/raw/claro_flex_SP.json</t>
        </is>
      </c>
    </row>
    <row r="3424">
      <c r="A3424" s="2" t="inlineStr">
        <is>
          <t>2026-08-23</t>
        </is>
      </c>
      <c r="B3424" s="2" t="inlineStr">
        <is>
          <t>2026-08-23T18:17:10</t>
        </is>
      </c>
      <c r="C3424" s="2" t="inlineStr">
        <is>
          <t>claro</t>
        </is>
      </c>
      <c r="D3424" s="2" t="inlineStr">
        <is>
          <t>flex</t>
        </is>
      </c>
      <c r="E3424" s="2" t="inlineStr">
        <is>
          <t>SP</t>
        </is>
      </c>
      <c r="F3424" s="2" t="inlineStr">
        <is>
          <t>Flex 20GB</t>
        </is>
      </c>
      <c r="G3424" s="2" t="inlineStr">
        <is>
          <t>claro:plano-flex-20gb</t>
        </is>
      </c>
      <c r="H3424" s="3" t="n">
        <v>59.9</v>
      </c>
      <c r="I3424" s="3" t="inlineStr"/>
      <c r="J3424" s="2" t="inlineStr"/>
      <c r="K3424" s="2" t="inlineStr"/>
      <c r="L3424" s="4" t="n">
        <v>20</v>
      </c>
      <c r="M3424" s="2" t="inlineStr"/>
      <c r="N3424" s="2" t="inlineStr"/>
      <c r="O3424" s="2" t="inlineStr">
        <is>
          <t>WhatsApp</t>
        </is>
      </c>
      <c r="P3424" s="2" t="inlineStr"/>
      <c r="Q3424" s="2" t="inlineStr"/>
      <c r="R3424" s="2" t="inlineStr"/>
      <c r="S3424" s="2" t="inlineStr"/>
      <c r="T3424" s="2" t="inlineStr">
        <is>
          <t>Para uso livre; Bônus Pais para uso livre; Para redes sociais e apps; Bônus extra nos apps; WhatsApp ilimitado</t>
        </is>
      </c>
      <c r="U3424" s="2" t="inlineStr">
        <is>
          <t>https://www.claro.com.br/celular/flex</t>
        </is>
      </c>
      <c r="V3424" s="2" t="inlineStr">
        <is>
          <t>data/raw/claro_flex_SP.json</t>
        </is>
      </c>
    </row>
    <row r="3425">
      <c r="A3425" s="5" t="inlineStr">
        <is>
          <t>2026-08-23</t>
        </is>
      </c>
      <c r="B3425" s="5" t="inlineStr">
        <is>
          <t>2026-08-23T18:17:10</t>
        </is>
      </c>
      <c r="C3425" s="5" t="inlineStr">
        <is>
          <t>claro</t>
        </is>
      </c>
      <c r="D3425" s="5" t="inlineStr">
        <is>
          <t>flex</t>
        </is>
      </c>
      <c r="E3425" s="5" t="inlineStr">
        <is>
          <t>SP</t>
        </is>
      </c>
      <c r="F3425" s="5" t="inlineStr">
        <is>
          <t>Flex 30GB</t>
        </is>
      </c>
      <c r="G3425" s="5" t="inlineStr">
        <is>
          <t>claro:plano-flex-30gb</t>
        </is>
      </c>
      <c r="H3425" s="6" t="n">
        <v>69.90000000000001</v>
      </c>
      <c r="I3425" s="6" t="inlineStr"/>
      <c r="J3425" s="5" t="inlineStr"/>
      <c r="K3425" s="5" t="inlineStr"/>
      <c r="L3425" s="7" t="n">
        <v>30</v>
      </c>
      <c r="M3425" s="5" t="inlineStr"/>
      <c r="N3425" s="5" t="inlineStr"/>
      <c r="O3425" s="5" t="inlineStr">
        <is>
          <t>WhatsApp</t>
        </is>
      </c>
      <c r="P3425" s="5" t="inlineStr"/>
      <c r="Q3425" s="5" t="inlineStr"/>
      <c r="R3425" s="5" t="inlineStr"/>
      <c r="S3425" s="5" t="inlineStr"/>
      <c r="T3425" s="5" t="inlineStr">
        <is>
          <t>Para uso livre; Bônus Pais para uso livre; Para redes sociais e apps; Bônus extra nos apps; WhatsApp ilimitado; Assinatura Claro musica inclusa</t>
        </is>
      </c>
      <c r="U3425" s="5" t="inlineStr">
        <is>
          <t>https://www.claro.com.br/celular/flex</t>
        </is>
      </c>
      <c r="V3425" s="5" t="inlineStr">
        <is>
          <t>data/raw/claro_flex_SP.json</t>
        </is>
      </c>
    </row>
    <row r="3426">
      <c r="A3426" s="2" t="inlineStr">
        <is>
          <t>2026-08-23</t>
        </is>
      </c>
      <c r="B3426" s="2" t="inlineStr">
        <is>
          <t>2026-08-23T18:17:10</t>
        </is>
      </c>
      <c r="C3426" s="2" t="inlineStr">
        <is>
          <t>claro</t>
        </is>
      </c>
      <c r="D3426" s="2" t="inlineStr">
        <is>
          <t>flex</t>
        </is>
      </c>
      <c r="E3426" s="2" t="inlineStr">
        <is>
          <t>SP</t>
        </is>
      </c>
      <c r="F3426" s="2" t="inlineStr">
        <is>
          <t>Flex 40GB</t>
        </is>
      </c>
      <c r="G3426" s="2" t="inlineStr">
        <is>
          <t>claro:plano-flex-40gb</t>
        </is>
      </c>
      <c r="H3426" s="3" t="n">
        <v>119.9</v>
      </c>
      <c r="I3426" s="3" t="inlineStr"/>
      <c r="J3426" s="2" t="inlineStr"/>
      <c r="K3426" s="2" t="inlineStr"/>
      <c r="L3426" s="4" t="n">
        <v>40</v>
      </c>
      <c r="M3426" s="2" t="inlineStr"/>
      <c r="N3426" s="2" t="inlineStr"/>
      <c r="O3426" s="2" t="inlineStr">
        <is>
          <t>WhatsApp</t>
        </is>
      </c>
      <c r="P3426" s="2" t="inlineStr"/>
      <c r="Q3426" s="2" t="inlineStr"/>
      <c r="R3426" s="2" t="inlineStr"/>
      <c r="S3426" s="2" t="inlineStr"/>
      <c r="T3426" s="2" t="inlineStr">
        <is>
          <t>Para uso livre; Para redes sociais e apps; Bônus extra nos apps; WhatsApp ilimitado; Assinatura Claro musica inclusa</t>
        </is>
      </c>
      <c r="U3426" s="2" t="inlineStr">
        <is>
          <t>https://www.claro.com.br/celular/flex</t>
        </is>
      </c>
      <c r="V3426" s="2" t="inlineStr">
        <is>
          <t>data/raw/claro_flex_SP.json</t>
        </is>
      </c>
    </row>
    <row r="3427">
      <c r="A3427" s="5" t="inlineStr">
        <is>
          <t>2026-08-23</t>
        </is>
      </c>
      <c r="B3427" s="5" t="inlineStr">
        <is>
          <t>2026-08-23T18:17:10</t>
        </is>
      </c>
      <c r="C3427" s="5" t="inlineStr">
        <is>
          <t>claro</t>
        </is>
      </c>
      <c r="D3427" s="5" t="inlineStr">
        <is>
          <t>postpaid</t>
        </is>
      </c>
      <c r="E3427" s="5" t="inlineStr">
        <is>
          <t>SP</t>
        </is>
      </c>
      <c r="F3427" s="5" t="inlineStr">
        <is>
          <t>Pós 100GB</t>
        </is>
      </c>
      <c r="G3427" s="5" t="inlineStr">
        <is>
          <t>claro:plano-pos-100gb</t>
        </is>
      </c>
      <c r="H3427" s="6" t="n">
        <v>179.9</v>
      </c>
      <c r="I3427" s="6" t="inlineStr"/>
      <c r="J3427" s="5" t="inlineStr"/>
      <c r="K3427" s="5" t="inlineStr"/>
      <c r="L3427" s="7" t="n">
        <v>100</v>
      </c>
      <c r="M3427" s="5" t="inlineStr"/>
      <c r="N3427" s="5" t="inlineStr"/>
      <c r="O3427" s="5" t="inlineStr">
        <is>
          <t>WhatsApp</t>
        </is>
      </c>
      <c r="P3427" s="5" t="inlineStr"/>
      <c r="Q3427" s="5" t="inlineStr"/>
      <c r="R3427" s="5" t="inlineStr"/>
      <c r="S3427" s="5" t="inlineStr"/>
      <c r="T3427" s="5" t="inlineStr">
        <is>
          <t>Armazenamento na nuvem:; Google One ou iCloud+; WhatsApp ilimitado; Assinatura Amazon Prime por 3 meses; Roaming: Passaporte Américas; Claro Sync: Smartwatch conectado</t>
        </is>
      </c>
      <c r="U3427" s="5" t="inlineStr">
        <is>
          <t>https://www.claro.com.br/celular/pos</t>
        </is>
      </c>
      <c r="V3427" s="5" t="inlineStr">
        <is>
          <t>data/raw/claro_postpaid_SP.json</t>
        </is>
      </c>
    </row>
    <row r="3428">
      <c r="A3428" s="2" t="inlineStr">
        <is>
          <t>2026-08-23</t>
        </is>
      </c>
      <c r="B3428" s="2" t="inlineStr">
        <is>
          <t>2026-08-23T18:17:10</t>
        </is>
      </c>
      <c r="C3428" s="2" t="inlineStr">
        <is>
          <t>claro</t>
        </is>
      </c>
      <c r="D3428" s="2" t="inlineStr">
        <is>
          <t>postpaid</t>
        </is>
      </c>
      <c r="E3428" s="2" t="inlineStr">
        <is>
          <t>SP</t>
        </is>
      </c>
      <c r="F3428" s="2" t="inlineStr">
        <is>
          <t>Pós 150GB</t>
        </is>
      </c>
      <c r="G3428" s="2" t="inlineStr">
        <is>
          <t>claro:plano-pos-150gb</t>
        </is>
      </c>
      <c r="H3428" s="3" t="n">
        <v>239.9</v>
      </c>
      <c r="I3428" s="3" t="inlineStr"/>
      <c r="J3428" s="2" t="inlineStr"/>
      <c r="K3428" s="2" t="inlineStr"/>
      <c r="L3428" s="4" t="n">
        <v>150</v>
      </c>
      <c r="M3428" s="2" t="inlineStr"/>
      <c r="N3428" s="2" t="inlineStr"/>
      <c r="O3428" s="2" t="inlineStr">
        <is>
          <t>WhatsApp</t>
        </is>
      </c>
      <c r="P3428" s="2" t="inlineStr"/>
      <c r="Q3428" s="2" t="inlineStr"/>
      <c r="R3428" s="2" t="inlineStr"/>
      <c r="S3428" s="2" t="inlineStr"/>
      <c r="T342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28" s="2" t="inlineStr">
        <is>
          <t>https://www.claro.com.br/celular/pos</t>
        </is>
      </c>
      <c r="V3428" s="2" t="inlineStr">
        <is>
          <t>data/raw/claro_postpaid_SP.json</t>
        </is>
      </c>
    </row>
    <row r="3429">
      <c r="A3429" s="5" t="inlineStr">
        <is>
          <t>2026-08-23</t>
        </is>
      </c>
      <c r="B3429" s="5" t="inlineStr">
        <is>
          <t>2026-08-23T18:17:10</t>
        </is>
      </c>
      <c r="C3429" s="5" t="inlineStr">
        <is>
          <t>claro</t>
        </is>
      </c>
      <c r="D3429" s="5" t="inlineStr">
        <is>
          <t>postpaid</t>
        </is>
      </c>
      <c r="E3429" s="5" t="inlineStr">
        <is>
          <t>SP</t>
        </is>
      </c>
      <c r="F3429" s="5" t="inlineStr">
        <is>
          <t>Pós 200GB</t>
        </is>
      </c>
      <c r="G3429" s="5" t="inlineStr">
        <is>
          <t>claro:plano-pos-200gb</t>
        </is>
      </c>
      <c r="H3429" s="6" t="n">
        <v>339.9</v>
      </c>
      <c r="I3429" s="6" t="inlineStr"/>
      <c r="J3429" s="5" t="inlineStr"/>
      <c r="K3429" s="5" t="inlineStr"/>
      <c r="L3429" s="7" t="n">
        <v>200</v>
      </c>
      <c r="M3429" s="5" t="inlineStr"/>
      <c r="N3429" s="5" t="inlineStr"/>
      <c r="O3429" s="5" t="inlineStr">
        <is>
          <t>WhatsApp</t>
        </is>
      </c>
      <c r="P3429" s="5" t="inlineStr"/>
      <c r="Q3429" s="5" t="inlineStr"/>
      <c r="R3429" s="5" t="inlineStr"/>
      <c r="S3429" s="5" t="inlineStr"/>
      <c r="T3429" s="5" t="inlineStr">
        <is>
          <t>Armazenamento na nuvem:; Google One (AI Plus) ou iCloud+; WhatsApp ilimitado; Assinatura Amazon Prime por 3 meses; Roaming: Passaporte Mundo; Claro Sync: Smartwatch conectado</t>
        </is>
      </c>
      <c r="U3429" s="5" t="inlineStr">
        <is>
          <t>https://www.claro.com.br/celular/pos</t>
        </is>
      </c>
      <c r="V3429" s="5" t="inlineStr">
        <is>
          <t>data/raw/claro_postpaid_SP.json</t>
        </is>
      </c>
    </row>
    <row r="3430">
      <c r="A3430" s="2" t="inlineStr">
        <is>
          <t>2026-08-23</t>
        </is>
      </c>
      <c r="B3430" s="2" t="inlineStr">
        <is>
          <t>2026-08-23T18:17:10</t>
        </is>
      </c>
      <c r="C3430" s="2" t="inlineStr">
        <is>
          <t>claro</t>
        </is>
      </c>
      <c r="D3430" s="2" t="inlineStr">
        <is>
          <t>postpaid</t>
        </is>
      </c>
      <c r="E3430" s="2" t="inlineStr">
        <is>
          <t>SP</t>
        </is>
      </c>
      <c r="F3430" s="2" t="inlineStr">
        <is>
          <t>Pós 50GB com GeForce NOW</t>
        </is>
      </c>
      <c r="G3430" s="2" t="inlineStr">
        <is>
          <t>claro:plano-pos-60gb-geforce</t>
        </is>
      </c>
      <c r="H3430" s="3" t="n">
        <v>164.9</v>
      </c>
      <c r="I3430" s="3" t="inlineStr"/>
      <c r="J3430" s="2" t="inlineStr"/>
      <c r="K3430" s="2" t="inlineStr"/>
      <c r="L3430" s="4" t="n">
        <v>50</v>
      </c>
      <c r="M3430" s="2" t="inlineStr"/>
      <c r="N3430" s="2" t="inlineStr"/>
      <c r="O3430" s="2" t="inlineStr">
        <is>
          <t>WhatsApp</t>
        </is>
      </c>
      <c r="P3430" s="2" t="inlineStr"/>
      <c r="Q3430" s="2" t="inlineStr"/>
      <c r="R3430" s="2" t="inlineStr"/>
      <c r="S3430" s="2" t="inlineStr"/>
      <c r="T343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30" s="2" t="inlineStr">
        <is>
          <t>https://www.claro.com.br/celular/pos</t>
        </is>
      </c>
      <c r="V3430" s="2" t="inlineStr">
        <is>
          <t>data/raw/claro_postpaid_SP.json</t>
        </is>
      </c>
    </row>
    <row r="3431">
      <c r="A3431" s="5" t="inlineStr">
        <is>
          <t>2026-08-23</t>
        </is>
      </c>
      <c r="B3431" s="5" t="inlineStr">
        <is>
          <t>2026-08-23T18:17:10</t>
        </is>
      </c>
      <c r="C3431" s="5" t="inlineStr">
        <is>
          <t>claro</t>
        </is>
      </c>
      <c r="D3431" s="5" t="inlineStr">
        <is>
          <t>postpaid</t>
        </is>
      </c>
      <c r="E3431" s="5" t="inlineStr">
        <is>
          <t>SP</t>
        </is>
      </c>
      <c r="F3431" s="5" t="inlineStr">
        <is>
          <t>Pós 60GB</t>
        </is>
      </c>
      <c r="G3431" s="5" t="inlineStr">
        <is>
          <t>claro:plano-pos-60gb</t>
        </is>
      </c>
      <c r="H3431" s="6" t="n">
        <v>124.9</v>
      </c>
      <c r="I3431" s="6" t="inlineStr"/>
      <c r="J3431" s="5" t="inlineStr"/>
      <c r="K3431" s="5" t="inlineStr"/>
      <c r="L3431" s="7" t="n">
        <v>60</v>
      </c>
      <c r="M3431" s="5" t="inlineStr"/>
      <c r="N3431" s="5" t="inlineStr"/>
      <c r="O3431" s="5" t="inlineStr">
        <is>
          <t>WhatsApp</t>
        </is>
      </c>
      <c r="P3431" s="5" t="inlineStr"/>
      <c r="Q3431" s="5" t="inlineStr"/>
      <c r="R3431" s="5" t="inlineStr"/>
      <c r="S3431" s="5" t="inlineStr"/>
      <c r="T3431" s="5" t="inlineStr">
        <is>
          <t>Armazenamento na nuvem:; Google One ou iCloud+; WhatsApp ilimitado; Assinatura Amazon Prime por 3 meses; Roaming: Passaporte Américas; Claro Sync: Smartwatch conectado</t>
        </is>
      </c>
      <c r="U3431" s="5" t="inlineStr">
        <is>
          <t>https://www.claro.com.br/celular/pos</t>
        </is>
      </c>
      <c r="V3431" s="5" t="inlineStr">
        <is>
          <t>data/raw/claro_postpaid_SP.json</t>
        </is>
      </c>
    </row>
    <row r="3432">
      <c r="A3432" s="2" t="inlineStr">
        <is>
          <t>2026-08-23</t>
        </is>
      </c>
      <c r="B3432" s="2" t="inlineStr">
        <is>
          <t>2026-08-23T18:17:10</t>
        </is>
      </c>
      <c r="C3432" s="2" t="inlineStr">
        <is>
          <t>claro</t>
        </is>
      </c>
      <c r="D3432" s="2" t="inlineStr">
        <is>
          <t>prepaid</t>
        </is>
      </c>
      <c r="E3432" s="2" t="inlineStr">
        <is>
          <t>SP</t>
        </is>
      </c>
      <c r="F3432" s="2" t="inlineStr">
        <is>
          <t>Prezão 10GB (25 dias)</t>
        </is>
      </c>
      <c r="G3432" s="2" t="inlineStr">
        <is>
          <t>claro:prezao-25d-10gb</t>
        </is>
      </c>
      <c r="H3432" s="3" t="n">
        <v>25</v>
      </c>
      <c r="I3432" s="3" t="inlineStr"/>
      <c r="J3432" s="2" t="inlineStr">
        <is>
          <t>recarga Prezão R$25 — validade 25 dias</t>
        </is>
      </c>
      <c r="K3432" s="2" t="inlineStr"/>
      <c r="L3432" s="4" t="n">
        <v>10</v>
      </c>
      <c r="M3432" s="2" t="inlineStr"/>
      <c r="N3432" s="2" t="n">
        <v>25</v>
      </c>
      <c r="O3432" s="2" t="inlineStr"/>
      <c r="P3432" s="2" t="inlineStr"/>
      <c r="Q3432" s="2" t="inlineStr"/>
      <c r="R3432" s="2" t="inlineStr"/>
      <c r="S3432" s="2" t="inlineStr"/>
      <c r="T3432" s="2" t="inlineStr"/>
      <c r="U3432" s="2" t="inlineStr">
        <is>
          <t>https://www.claro.com.br/celular/planos-pre/prezao</t>
        </is>
      </c>
      <c r="V3432" s="2" t="inlineStr">
        <is>
          <t>data/raw/claro_prepaid_SP.json</t>
        </is>
      </c>
    </row>
    <row r="3433">
      <c r="A3433" s="5" t="inlineStr">
        <is>
          <t>2026-08-23</t>
        </is>
      </c>
      <c r="B3433" s="5" t="inlineStr">
        <is>
          <t>2026-08-23T18:17:10</t>
        </is>
      </c>
      <c r="C3433" s="5" t="inlineStr">
        <is>
          <t>claro</t>
        </is>
      </c>
      <c r="D3433" s="5" t="inlineStr">
        <is>
          <t>prepaid</t>
        </is>
      </c>
      <c r="E3433" s="5" t="inlineStr">
        <is>
          <t>SP</t>
        </is>
      </c>
      <c r="F3433" s="5" t="inlineStr">
        <is>
          <t>Prezão 12GB (30 dias)</t>
        </is>
      </c>
      <c r="G3433" s="5" t="inlineStr">
        <is>
          <t>claro:prezao-30d-12gb</t>
        </is>
      </c>
      <c r="H3433" s="6" t="n">
        <v>30</v>
      </c>
      <c r="I3433" s="6" t="inlineStr"/>
      <c r="J3433" s="5" t="inlineStr">
        <is>
          <t>recarga Prezão R$30 — validade 30 dias</t>
        </is>
      </c>
      <c r="K3433" s="5" t="inlineStr"/>
      <c r="L3433" s="7" t="n">
        <v>12</v>
      </c>
      <c r="M3433" s="5" t="inlineStr"/>
      <c r="N3433" s="5" t="n">
        <v>30</v>
      </c>
      <c r="O3433" s="5" t="inlineStr"/>
      <c r="P3433" s="5" t="inlineStr"/>
      <c r="Q3433" s="5" t="inlineStr"/>
      <c r="R3433" s="5" t="inlineStr"/>
      <c r="S3433" s="5" t="inlineStr"/>
      <c r="T3433" s="5" t="inlineStr"/>
      <c r="U3433" s="5" t="inlineStr">
        <is>
          <t>https://www.claro.com.br/celular/planos-pre/prezao</t>
        </is>
      </c>
      <c r="V3433" s="5" t="inlineStr">
        <is>
          <t>data/raw/claro_prepaid_SP.json</t>
        </is>
      </c>
    </row>
    <row r="3434">
      <c r="A3434" s="2" t="inlineStr">
        <is>
          <t>2026-08-23</t>
        </is>
      </c>
      <c r="B3434" s="2" t="inlineStr">
        <is>
          <t>2026-08-23T18:17:10</t>
        </is>
      </c>
      <c r="C3434" s="2" t="inlineStr">
        <is>
          <t>claro</t>
        </is>
      </c>
      <c r="D3434" s="2" t="inlineStr">
        <is>
          <t>prepaid</t>
        </is>
      </c>
      <c r="E3434" s="2" t="inlineStr">
        <is>
          <t>SP</t>
        </is>
      </c>
      <c r="F3434" s="2" t="inlineStr">
        <is>
          <t>Prezão 4GB (12 dias)</t>
        </is>
      </c>
      <c r="G3434" s="2" t="inlineStr">
        <is>
          <t>claro:prezao-12d-4gb</t>
        </is>
      </c>
      <c r="H3434" s="3" t="n">
        <v>15</v>
      </c>
      <c r="I3434" s="3" t="inlineStr"/>
      <c r="J3434" s="2" t="inlineStr">
        <is>
          <t>recarga Prezão R$15 — validade 12 dias</t>
        </is>
      </c>
      <c r="K3434" s="2" t="inlineStr"/>
      <c r="L3434" s="4" t="n">
        <v>4</v>
      </c>
      <c r="M3434" s="2" t="inlineStr"/>
      <c r="N3434" s="2" t="n">
        <v>12</v>
      </c>
      <c r="O3434" s="2" t="inlineStr"/>
      <c r="P3434" s="2" t="inlineStr"/>
      <c r="Q3434" s="2" t="inlineStr"/>
      <c r="R3434" s="2" t="inlineStr"/>
      <c r="S3434" s="2" t="inlineStr"/>
      <c r="T3434" s="2" t="inlineStr"/>
      <c r="U3434" s="2" t="inlineStr">
        <is>
          <t>https://www.claro.com.br/celular/planos-pre/prezao</t>
        </is>
      </c>
      <c r="V3434" s="2" t="inlineStr">
        <is>
          <t>data/raw/claro_prepaid_SP.json</t>
        </is>
      </c>
    </row>
    <row r="3435">
      <c r="A3435" s="5" t="inlineStr">
        <is>
          <t>2026-08-23</t>
        </is>
      </c>
      <c r="B3435" s="5" t="inlineStr">
        <is>
          <t>2026-08-23T18:17:10</t>
        </is>
      </c>
      <c r="C3435" s="5" t="inlineStr">
        <is>
          <t>claro</t>
        </is>
      </c>
      <c r="D3435" s="5" t="inlineStr">
        <is>
          <t>prepaid</t>
        </is>
      </c>
      <c r="E3435" s="5" t="inlineStr">
        <is>
          <t>SP</t>
        </is>
      </c>
      <c r="F3435" s="5" t="inlineStr">
        <is>
          <t>Prezão 5GB (15 dias)</t>
        </is>
      </c>
      <c r="G3435" s="5" t="inlineStr">
        <is>
          <t>claro:prezao-15d-5gb</t>
        </is>
      </c>
      <c r="H3435" s="6" t="n">
        <v>15</v>
      </c>
      <c r="I3435" s="6" t="inlineStr"/>
      <c r="J3435" s="5" t="inlineStr">
        <is>
          <t>recarga Prezão R$15 — validade 15 dias</t>
        </is>
      </c>
      <c r="K3435" s="5" t="inlineStr"/>
      <c r="L3435" s="7" t="n">
        <v>5</v>
      </c>
      <c r="M3435" s="5" t="inlineStr"/>
      <c r="N3435" s="5" t="n">
        <v>15</v>
      </c>
      <c r="O3435" s="5" t="inlineStr"/>
      <c r="P3435" s="5" t="inlineStr"/>
      <c r="Q3435" s="5" t="inlineStr"/>
      <c r="R3435" s="5" t="inlineStr"/>
      <c r="S3435" s="5" t="inlineStr"/>
      <c r="T3435" s="5" t="inlineStr"/>
      <c r="U3435" s="5" t="inlineStr">
        <is>
          <t>https://www.claro.com.br/celular/planos-pre/prezao</t>
        </is>
      </c>
      <c r="V3435" s="5" t="inlineStr">
        <is>
          <t>data/raw/claro_prepaid_SP.json</t>
        </is>
      </c>
    </row>
    <row r="3436">
      <c r="A3436" s="2" t="inlineStr">
        <is>
          <t>2026-08-23</t>
        </is>
      </c>
      <c r="B3436" s="2" t="inlineStr">
        <is>
          <t>2026-08-23T18:17:10</t>
        </is>
      </c>
      <c r="C3436" s="2" t="inlineStr">
        <is>
          <t>claro</t>
        </is>
      </c>
      <c r="D3436" s="2" t="inlineStr">
        <is>
          <t>prepaid</t>
        </is>
      </c>
      <c r="E3436" s="2" t="inlineStr">
        <is>
          <t>SP</t>
        </is>
      </c>
      <c r="F3436" s="2" t="inlineStr">
        <is>
          <t>Prezão 6GB (20 dias)</t>
        </is>
      </c>
      <c r="G3436" s="2" t="inlineStr">
        <is>
          <t>claro:prezao-20d-6gb</t>
        </is>
      </c>
      <c r="H3436" s="3" t="n">
        <v>20</v>
      </c>
      <c r="I3436" s="3" t="inlineStr"/>
      <c r="J3436" s="2" t="inlineStr">
        <is>
          <t>recarga Prezão R$20 — validade 20 dias</t>
        </is>
      </c>
      <c r="K3436" s="2" t="inlineStr"/>
      <c r="L3436" s="4" t="n">
        <v>6</v>
      </c>
      <c r="M3436" s="2" t="inlineStr"/>
      <c r="N3436" s="2" t="n">
        <v>20</v>
      </c>
      <c r="O3436" s="2" t="inlineStr"/>
      <c r="P3436" s="2" t="inlineStr"/>
      <c r="Q3436" s="2" t="inlineStr"/>
      <c r="R3436" s="2" t="inlineStr"/>
      <c r="S3436" s="2" t="inlineStr"/>
      <c r="T3436" s="2" t="inlineStr"/>
      <c r="U3436" s="2" t="inlineStr">
        <is>
          <t>https://www.claro.com.br/celular/planos-pre/prezao</t>
        </is>
      </c>
      <c r="V3436" s="2" t="inlineStr">
        <is>
          <t>data/raw/claro_prepaid_SP.json</t>
        </is>
      </c>
    </row>
    <row r="3437">
      <c r="A3437" s="5" t="inlineStr">
        <is>
          <t>2026-08-23</t>
        </is>
      </c>
      <c r="B3437" s="5" t="inlineStr">
        <is>
          <t>2026-08-23T18:17:10</t>
        </is>
      </c>
      <c r="C3437" s="5" t="inlineStr">
        <is>
          <t>claro</t>
        </is>
      </c>
      <c r="D3437" s="5" t="inlineStr">
        <is>
          <t>prepaid</t>
        </is>
      </c>
      <c r="E3437" s="5" t="inlineStr">
        <is>
          <t>SP</t>
        </is>
      </c>
      <c r="F3437" s="5" t="inlineStr">
        <is>
          <t>Prezão 8GB (20 dias)</t>
        </is>
      </c>
      <c r="G3437" s="5" t="inlineStr">
        <is>
          <t>claro:prezao-20d-8gb</t>
        </is>
      </c>
      <c r="H3437" s="6" t="n">
        <v>20</v>
      </c>
      <c r="I3437" s="6" t="inlineStr"/>
      <c r="J3437" s="5" t="inlineStr">
        <is>
          <t>recarga Prezão R$20 — validade 20 dias</t>
        </is>
      </c>
      <c r="K3437" s="5" t="inlineStr"/>
      <c r="L3437" s="7" t="n">
        <v>8</v>
      </c>
      <c r="M3437" s="5" t="inlineStr"/>
      <c r="N3437" s="5" t="n">
        <v>20</v>
      </c>
      <c r="O3437" s="5" t="inlineStr"/>
      <c r="P3437" s="5" t="inlineStr"/>
      <c r="Q3437" s="5" t="inlineStr"/>
      <c r="R3437" s="5" t="inlineStr"/>
      <c r="S3437" s="5" t="inlineStr"/>
      <c r="T3437" s="5" t="inlineStr"/>
      <c r="U3437" s="5" t="inlineStr">
        <is>
          <t>https://www.claro.com.br/celular/planos-pre/prezao</t>
        </is>
      </c>
      <c r="V3437" s="5" t="inlineStr">
        <is>
          <t>data/raw/claro_prepaid_SP.json</t>
        </is>
      </c>
    </row>
    <row r="3438">
      <c r="A3438" s="2" t="inlineStr">
        <is>
          <t>2026-08-23</t>
        </is>
      </c>
      <c r="B3438" s="2" t="inlineStr">
        <is>
          <t>2026-08-23T18:17:10</t>
        </is>
      </c>
      <c r="C3438" s="2" t="inlineStr">
        <is>
          <t>claro</t>
        </is>
      </c>
      <c r="D3438" s="2" t="inlineStr">
        <is>
          <t>prepaid</t>
        </is>
      </c>
      <c r="E3438" s="2" t="inlineStr">
        <is>
          <t>SP</t>
        </is>
      </c>
      <c r="F3438" s="2" t="inlineStr">
        <is>
          <t>Prezão 9GB (25 dias)</t>
        </is>
      </c>
      <c r="G3438" s="2" t="inlineStr">
        <is>
          <t>claro:prezao-25d-9gb</t>
        </is>
      </c>
      <c r="H3438" s="3" t="n">
        <v>25</v>
      </c>
      <c r="I3438" s="3" t="inlineStr"/>
      <c r="J3438" s="2" t="inlineStr">
        <is>
          <t>recarga Prezão R$25 — validade 25 dias</t>
        </is>
      </c>
      <c r="K3438" s="2" t="inlineStr"/>
      <c r="L3438" s="4" t="n">
        <v>9</v>
      </c>
      <c r="M3438" s="2" t="inlineStr"/>
      <c r="N3438" s="2" t="n">
        <v>25</v>
      </c>
      <c r="O3438" s="2" t="inlineStr"/>
      <c r="P3438" s="2" t="inlineStr"/>
      <c r="Q3438" s="2" t="inlineStr"/>
      <c r="R3438" s="2" t="inlineStr"/>
      <c r="S3438" s="2" t="inlineStr"/>
      <c r="T3438" s="2" t="inlineStr"/>
      <c r="U3438" s="2" t="inlineStr">
        <is>
          <t>https://www.claro.com.br/celular/planos-pre/prezao</t>
        </is>
      </c>
      <c r="V3438" s="2" t="inlineStr">
        <is>
          <t>data/raw/claro_prepaid_SP.json</t>
        </is>
      </c>
    </row>
    <row r="3439">
      <c r="A3439" s="5" t="inlineStr">
        <is>
          <t>2026-08-23</t>
        </is>
      </c>
      <c r="B3439" s="5" t="inlineStr">
        <is>
          <t>2026-08-23T18:17:10</t>
        </is>
      </c>
      <c r="C3439" s="5" t="inlineStr">
        <is>
          <t>tim</t>
        </is>
      </c>
      <c r="D3439" s="5" t="inlineStr">
        <is>
          <t>control</t>
        </is>
      </c>
      <c r="E3439" s="5" t="inlineStr">
        <is>
          <t>SP</t>
        </is>
      </c>
      <c r="F3439" s="5" t="inlineStr">
        <is>
          <t>TIM Controle 45GB</t>
        </is>
      </c>
      <c r="G3439" s="5" t="inlineStr">
        <is>
          <t>tim:181976</t>
        </is>
      </c>
      <c r="H3439" s="6" t="n">
        <v>58.99</v>
      </c>
      <c r="I3439" s="6" t="inlineStr"/>
      <c r="J3439" s="5" t="inlineStr"/>
      <c r="K3439" s="5" t="inlineStr"/>
      <c r="L3439" s="7" t="n">
        <v>45</v>
      </c>
      <c r="M3439" s="5" t="inlineStr"/>
      <c r="N3439" s="5" t="inlineStr"/>
      <c r="O3439" s="5" t="inlineStr"/>
      <c r="P3439" s="5" t="inlineStr"/>
      <c r="Q3439" s="5" t="inlineStr"/>
      <c r="R3439" s="5" t="inlineStr"/>
      <c r="S3439" s="5" t="inlineStr"/>
      <c r="T3439" s="5" t="inlineStr"/>
      <c r="U3439" s="5" t="inlineStr">
        <is>
          <t>https://www.tim.com.br/sp/para-voce/planos/controle</t>
        </is>
      </c>
      <c r="V3439" s="5" t="inlineStr">
        <is>
          <t>data/raw/tim_control_SP.html</t>
        </is>
      </c>
    </row>
    <row r="3440">
      <c r="A3440" s="2" t="inlineStr">
        <is>
          <t>2026-08-23</t>
        </is>
      </c>
      <c r="B3440" s="2" t="inlineStr">
        <is>
          <t>2026-08-23T18:17:10</t>
        </is>
      </c>
      <c r="C3440" s="2" t="inlineStr">
        <is>
          <t>tim</t>
        </is>
      </c>
      <c r="D3440" s="2" t="inlineStr">
        <is>
          <t>control</t>
        </is>
      </c>
      <c r="E3440" s="2" t="inlineStr">
        <is>
          <t>SP</t>
        </is>
      </c>
      <c r="F3440" s="2" t="inlineStr">
        <is>
          <t>TIM Controle Light Express 45GB</t>
        </is>
      </c>
      <c r="G3440" s="2" t="inlineStr">
        <is>
          <t>tim:167726</t>
        </is>
      </c>
      <c r="H3440" s="3" t="n">
        <v>60.99</v>
      </c>
      <c r="I3440" s="3" t="inlineStr"/>
      <c r="J3440" s="2" t="inlineStr"/>
      <c r="K3440" s="2" t="inlineStr"/>
      <c r="L3440" s="4" t="n">
        <v>45</v>
      </c>
      <c r="M3440" s="2" t="inlineStr"/>
      <c r="N3440" s="2" t="inlineStr"/>
      <c r="O3440" s="2" t="inlineStr"/>
      <c r="P3440" s="2" t="inlineStr"/>
      <c r="Q3440" s="2" t="inlineStr"/>
      <c r="R3440" s="2" t="inlineStr"/>
      <c r="S3440" s="2" t="inlineStr"/>
      <c r="T3440" s="2" t="inlineStr"/>
      <c r="U3440" s="2" t="inlineStr">
        <is>
          <t>https://www.tim.com.br/sp/para-voce/planos/controle</t>
        </is>
      </c>
      <c r="V3440" s="2" t="inlineStr">
        <is>
          <t>data/raw/tim_control_SP.html</t>
        </is>
      </c>
    </row>
    <row r="3441">
      <c r="A3441" s="5" t="inlineStr">
        <is>
          <t>2026-08-23</t>
        </is>
      </c>
      <c r="B3441" s="5" t="inlineStr">
        <is>
          <t>2026-08-23T18:17:10</t>
        </is>
      </c>
      <c r="C3441" s="5" t="inlineStr">
        <is>
          <t>tim</t>
        </is>
      </c>
      <c r="D3441" s="5" t="inlineStr">
        <is>
          <t>control</t>
        </is>
      </c>
      <c r="E3441" s="5" t="inlineStr">
        <is>
          <t>SP</t>
        </is>
      </c>
      <c r="F3441" s="5" t="inlineStr">
        <is>
          <t>TIM Controle Premium 55GB</t>
        </is>
      </c>
      <c r="G3441" s="5" t="inlineStr">
        <is>
          <t>tim:167041</t>
        </is>
      </c>
      <c r="H3441" s="6" t="n">
        <v>84.98999999999999</v>
      </c>
      <c r="I3441" s="6" t="inlineStr"/>
      <c r="J3441" s="5" t="inlineStr"/>
      <c r="K3441" s="5" t="inlineStr"/>
      <c r="L3441" s="7" t="n">
        <v>55</v>
      </c>
      <c r="M3441" s="5" t="inlineStr"/>
      <c r="N3441" s="5" t="inlineStr"/>
      <c r="O3441" s="5" t="inlineStr"/>
      <c r="P3441" s="5" t="inlineStr"/>
      <c r="Q3441" s="5" t="inlineStr"/>
      <c r="R3441" s="5" t="inlineStr"/>
      <c r="S3441" s="5" t="inlineStr"/>
      <c r="T3441" s="5" t="inlineStr"/>
      <c r="U3441" s="5" t="inlineStr">
        <is>
          <t>https://www.tim.com.br/sp/para-voce/planos/controle</t>
        </is>
      </c>
      <c r="V3441" s="5" t="inlineStr">
        <is>
          <t>data/raw/tim_control_SP.html</t>
        </is>
      </c>
    </row>
    <row r="3442">
      <c r="A3442" s="2" t="inlineStr">
        <is>
          <t>2026-08-23</t>
        </is>
      </c>
      <c r="B3442" s="2" t="inlineStr">
        <is>
          <t>2026-08-23T18:17:10</t>
        </is>
      </c>
      <c r="C3442" s="2" t="inlineStr">
        <is>
          <t>tim</t>
        </is>
      </c>
      <c r="D3442" s="2" t="inlineStr">
        <is>
          <t>control</t>
        </is>
      </c>
      <c r="E3442" s="2" t="inlineStr">
        <is>
          <t>SP</t>
        </is>
      </c>
      <c r="F3442" s="2" t="inlineStr">
        <is>
          <t>TIM Controle Pro Express 46GB</t>
        </is>
      </c>
      <c r="G3442" s="2" t="inlineStr">
        <is>
          <t>tim:167731</t>
        </is>
      </c>
      <c r="H3442" s="3" t="n">
        <v>64.98999999999999</v>
      </c>
      <c r="I3442" s="3" t="inlineStr"/>
      <c r="J3442" s="2" t="inlineStr"/>
      <c r="K3442" s="2" t="inlineStr"/>
      <c r="L3442" s="4" t="n">
        <v>46</v>
      </c>
      <c r="M3442" s="2" t="inlineStr"/>
      <c r="N3442" s="2" t="inlineStr"/>
      <c r="O3442" s="2" t="inlineStr"/>
      <c r="P3442" s="2" t="inlineStr"/>
      <c r="Q3442" s="2" t="inlineStr"/>
      <c r="R3442" s="2" t="inlineStr"/>
      <c r="S3442" s="2" t="inlineStr"/>
      <c r="T3442" s="2" t="inlineStr"/>
      <c r="U3442" s="2" t="inlineStr">
        <is>
          <t>https://www.tim.com.br/sp/para-voce/planos/controle</t>
        </is>
      </c>
      <c r="V3442" s="2" t="inlineStr">
        <is>
          <t>data/raw/tim_control_SP.html</t>
        </is>
      </c>
    </row>
    <row r="3443">
      <c r="A3443" s="5" t="inlineStr">
        <is>
          <t>2026-08-23</t>
        </is>
      </c>
      <c r="B3443" s="5" t="inlineStr">
        <is>
          <t>2026-08-23T18:17:10</t>
        </is>
      </c>
      <c r="C3443" s="5" t="inlineStr">
        <is>
          <t>tim</t>
        </is>
      </c>
      <c r="D3443" s="5" t="inlineStr">
        <is>
          <t>control</t>
        </is>
      </c>
      <c r="E3443" s="5" t="inlineStr">
        <is>
          <t>SP</t>
        </is>
      </c>
      <c r="F3443" s="5" t="inlineStr">
        <is>
          <t>TIM Controle Redes Sociais 46GB</t>
        </is>
      </c>
      <c r="G3443" s="5" t="inlineStr">
        <is>
          <t>tim:180746</t>
        </is>
      </c>
      <c r="H3443" s="6" t="n">
        <v>64.98999999999999</v>
      </c>
      <c r="I3443" s="6" t="inlineStr"/>
      <c r="J3443" s="5" t="inlineStr"/>
      <c r="K3443" s="5" t="inlineStr"/>
      <c r="L3443" s="7" t="n">
        <v>46</v>
      </c>
      <c r="M3443" s="5" t="inlineStr"/>
      <c r="N3443" s="5" t="inlineStr"/>
      <c r="O3443" s="5" t="inlineStr"/>
      <c r="P3443" s="5" t="inlineStr"/>
      <c r="Q3443" s="5" t="inlineStr"/>
      <c r="R3443" s="5" t="inlineStr"/>
      <c r="S3443" s="5" t="inlineStr"/>
      <c r="T3443" s="5" t="inlineStr"/>
      <c r="U3443" s="5" t="inlineStr">
        <is>
          <t>https://www.tim.com.br/sp/para-voce/planos/controle</t>
        </is>
      </c>
      <c r="V3443" s="5" t="inlineStr">
        <is>
          <t>data/raw/tim_control_SP.html</t>
        </is>
      </c>
    </row>
    <row r="3444">
      <c r="A3444" s="2" t="inlineStr">
        <is>
          <t>2026-08-23</t>
        </is>
      </c>
      <c r="B3444" s="2" t="inlineStr">
        <is>
          <t>2026-08-23T18:17:10</t>
        </is>
      </c>
      <c r="C3444" s="2" t="inlineStr">
        <is>
          <t>tim</t>
        </is>
      </c>
      <c r="D3444" s="2" t="inlineStr">
        <is>
          <t>fit</t>
        </is>
      </c>
      <c r="E3444" s="2" t="inlineStr">
        <is>
          <t>SP</t>
        </is>
      </c>
      <c r="F3444" s="2" t="inlineStr">
        <is>
          <t>TIM Controle Fit Anual 1.0</t>
        </is>
      </c>
      <c r="G3444" s="2" t="inlineStr">
        <is>
          <t>tim:TIM202600000306</t>
        </is>
      </c>
      <c r="H3444" s="3" t="n">
        <v>20</v>
      </c>
      <c r="I3444" s="3" t="inlineStr"/>
      <c r="J3444" s="2" t="inlineStr">
        <is>
          <t>plano anual 12x no cartão de crédito; a etiqueta TIM informa 'sem prazo de permanência'</t>
        </is>
      </c>
      <c r="K3444" s="2" t="inlineStr">
        <is>
          <t>credit_card</t>
        </is>
      </c>
      <c r="L3444" s="4" t="n">
        <v>25</v>
      </c>
      <c r="M3444" s="2" t="inlineStr"/>
      <c r="N3444" s="2" t="inlineStr"/>
      <c r="O3444" s="2" t="inlineStr"/>
      <c r="P3444" s="2" t="inlineStr"/>
      <c r="Q3444" s="2" t="inlineStr"/>
      <c r="R3444" s="2" t="inlineStr"/>
      <c r="S3444" s="2" t="n">
        <v>12</v>
      </c>
      <c r="T3444" s="2" t="inlineStr"/>
      <c r="U3444" s="2" t="inlineStr">
        <is>
          <t>https://www.tim.com.br/sp/para-voce/planos/controle</t>
        </is>
      </c>
      <c r="V3444" s="2" t="inlineStr">
        <is>
          <t>data/raw/tim_fit_SP.html</t>
        </is>
      </c>
    </row>
    <row r="3445">
      <c r="A3445" s="5" t="inlineStr">
        <is>
          <t>2026-08-23</t>
        </is>
      </c>
      <c r="B3445" s="5" t="inlineStr">
        <is>
          <t>2026-08-23T18:17:10</t>
        </is>
      </c>
      <c r="C3445" s="5" t="inlineStr">
        <is>
          <t>tim</t>
        </is>
      </c>
      <c r="D3445" s="5" t="inlineStr">
        <is>
          <t>fit</t>
        </is>
      </c>
      <c r="E3445" s="5" t="inlineStr">
        <is>
          <t>SP</t>
        </is>
      </c>
      <c r="F3445" s="5" t="inlineStr">
        <is>
          <t>TIM Controle Fit Anual 2.0</t>
        </is>
      </c>
      <c r="G3445" s="5" t="inlineStr">
        <is>
          <t>tim:TIM202600000271</t>
        </is>
      </c>
      <c r="H3445" s="6" t="n">
        <v>30</v>
      </c>
      <c r="I3445" s="6" t="inlineStr"/>
      <c r="J3445" s="5" t="inlineStr">
        <is>
          <t>plano anual 12x no cartão de crédito; a etiqueta TIM informa 'sem prazo de permanência'</t>
        </is>
      </c>
      <c r="K3445" s="5" t="inlineStr">
        <is>
          <t>credit_card</t>
        </is>
      </c>
      <c r="L3445" s="7" t="n">
        <v>35</v>
      </c>
      <c r="M3445" s="5" t="inlineStr"/>
      <c r="N3445" s="5" t="inlineStr"/>
      <c r="O3445" s="5" t="inlineStr"/>
      <c r="P3445" s="5" t="inlineStr"/>
      <c r="Q3445" s="5" t="inlineStr"/>
      <c r="R3445" s="5" t="inlineStr"/>
      <c r="S3445" s="5" t="n">
        <v>12</v>
      </c>
      <c r="T3445" s="5" t="inlineStr"/>
      <c r="U3445" s="5" t="inlineStr">
        <is>
          <t>https://www.tim.com.br/sp/para-voce/planos/controle</t>
        </is>
      </c>
      <c r="V3445" s="5" t="inlineStr">
        <is>
          <t>data/raw/tim_fit_SP.html</t>
        </is>
      </c>
    </row>
    <row r="3446">
      <c r="A3446" s="2" t="inlineStr">
        <is>
          <t>2026-08-23</t>
        </is>
      </c>
      <c r="B3446" s="2" t="inlineStr">
        <is>
          <t>2026-08-23T18:17:10</t>
        </is>
      </c>
      <c r="C3446" s="2" t="inlineStr">
        <is>
          <t>tim</t>
        </is>
      </c>
      <c r="D3446" s="2" t="inlineStr">
        <is>
          <t>fit</t>
        </is>
      </c>
      <c r="E3446" s="2" t="inlineStr">
        <is>
          <t>SP</t>
        </is>
      </c>
      <c r="F3446" s="2" t="inlineStr">
        <is>
          <t>TIM Controle Fit Mensal 1.0</t>
        </is>
      </c>
      <c r="G3446" s="2" t="inlineStr">
        <is>
          <t>tim:TIM202600000270</t>
        </is>
      </c>
      <c r="H3446" s="3" t="n">
        <v>20</v>
      </c>
      <c r="I3446" s="3" t="inlineStr"/>
      <c r="J344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446" s="2" t="inlineStr"/>
      <c r="L3446" s="4" t="n">
        <v>20</v>
      </c>
      <c r="M3446" s="2" t="inlineStr"/>
      <c r="N3446" s="2" t="inlineStr"/>
      <c r="O3446" s="2" t="inlineStr"/>
      <c r="P3446" s="2" t="inlineStr"/>
      <c r="Q3446" s="2" t="inlineStr"/>
      <c r="R3446" s="2" t="inlineStr"/>
      <c r="S3446" s="2" t="inlineStr"/>
      <c r="T3446" s="2" t="inlineStr"/>
      <c r="U3446" s="2" t="inlineStr">
        <is>
          <t>https://www.tim.com.br/sp/para-voce/planos/controle</t>
        </is>
      </c>
      <c r="V3446" s="2" t="inlineStr">
        <is>
          <t>data/raw/tim_fit_SP.html</t>
        </is>
      </c>
    </row>
    <row r="3447">
      <c r="A3447" s="5" t="inlineStr">
        <is>
          <t>2026-08-23</t>
        </is>
      </c>
      <c r="B3447" s="5" t="inlineStr">
        <is>
          <t>2026-08-23T18:17:10</t>
        </is>
      </c>
      <c r="C3447" s="5" t="inlineStr">
        <is>
          <t>tim</t>
        </is>
      </c>
      <c r="D3447" s="5" t="inlineStr">
        <is>
          <t>fit</t>
        </is>
      </c>
      <c r="E3447" s="5" t="inlineStr">
        <is>
          <t>SP</t>
        </is>
      </c>
      <c r="F3447" s="5" t="inlineStr">
        <is>
          <t>TIM Controle Fit Mensal 2.0</t>
        </is>
      </c>
      <c r="G3447" s="5" t="inlineStr">
        <is>
          <t>tim:TIM202600000305</t>
        </is>
      </c>
      <c r="H3447" s="6" t="n">
        <v>45</v>
      </c>
      <c r="I3447" s="6" t="inlineStr"/>
      <c r="J3447" s="5" t="inlineStr">
        <is>
          <t>plano mensal, sem prazo de permanência; a etiqueta TIM informa 'sem prazo de permanência'</t>
        </is>
      </c>
      <c r="K3447" s="5" t="inlineStr"/>
      <c r="L3447" s="7" t="n">
        <v>35</v>
      </c>
      <c r="M3447" s="5" t="inlineStr"/>
      <c r="N3447" s="5" t="inlineStr"/>
      <c r="O3447" s="5" t="inlineStr"/>
      <c r="P3447" s="5" t="inlineStr"/>
      <c r="Q3447" s="5" t="inlineStr"/>
      <c r="R3447" s="5" t="inlineStr"/>
      <c r="S3447" s="5" t="inlineStr"/>
      <c r="T3447" s="5" t="inlineStr"/>
      <c r="U3447" s="5" t="inlineStr">
        <is>
          <t>https://www.tim.com.br/sp/para-voce/planos/controle</t>
        </is>
      </c>
      <c r="V3447" s="5" t="inlineStr">
        <is>
          <t>data/raw/tim_fit_SP.html</t>
        </is>
      </c>
    </row>
    <row r="3448">
      <c r="A3448" s="2" t="inlineStr">
        <is>
          <t>2026-08-23</t>
        </is>
      </c>
      <c r="B3448" s="2" t="inlineStr">
        <is>
          <t>2026-08-23T18:17:10</t>
        </is>
      </c>
      <c r="C3448" s="2" t="inlineStr">
        <is>
          <t>tim</t>
        </is>
      </c>
      <c r="D3448" s="2" t="inlineStr">
        <is>
          <t>postpaid</t>
        </is>
      </c>
      <c r="E3448" s="2" t="inlineStr">
        <is>
          <t>SP</t>
        </is>
      </c>
      <c r="F3448" s="2" t="inlineStr">
        <is>
          <t>TIM Black 70GB</t>
        </is>
      </c>
      <c r="G3448" s="2" t="inlineStr">
        <is>
          <t>tim:54206</t>
        </is>
      </c>
      <c r="H3448" s="3" t="n">
        <v>129.99</v>
      </c>
      <c r="I3448" s="3" t="inlineStr"/>
      <c r="J3448" s="2" t="inlineStr"/>
      <c r="K3448" s="2" t="inlineStr">
        <is>
          <t>bill</t>
        </is>
      </c>
      <c r="L3448" s="4" t="n">
        <v>70</v>
      </c>
      <c r="M3448" s="2" t="inlineStr"/>
      <c r="N3448" s="2" t="inlineStr"/>
      <c r="O3448" s="2" t="inlineStr"/>
      <c r="P3448" s="2" t="inlineStr"/>
      <c r="Q3448" s="2" t="inlineStr"/>
      <c r="R3448" s="2" t="inlineStr"/>
      <c r="S3448" s="2" t="inlineStr"/>
      <c r="T3448" s="2" t="inlineStr"/>
      <c r="U3448" s="2" t="inlineStr">
        <is>
          <t>https://www.tim.com.br/sp/para-voce/planos/pos-pago/tim-black</t>
        </is>
      </c>
      <c r="V3448" s="2" t="inlineStr">
        <is>
          <t>data/raw/tim_postpaid_SP.html</t>
        </is>
      </c>
    </row>
    <row r="3449">
      <c r="A3449" s="5" t="inlineStr">
        <is>
          <t>2026-08-23</t>
        </is>
      </c>
      <c r="B3449" s="5" t="inlineStr">
        <is>
          <t>2026-08-23T18:17:10</t>
        </is>
      </c>
      <c r="C3449" s="5" t="inlineStr">
        <is>
          <t>tim</t>
        </is>
      </c>
      <c r="D3449" s="5" t="inlineStr">
        <is>
          <t>postpaid</t>
        </is>
      </c>
      <c r="E3449" s="5" t="inlineStr">
        <is>
          <t>SP</t>
        </is>
      </c>
      <c r="F3449" s="5" t="inlineStr">
        <is>
          <t>TIM Black A Express 67GB</t>
        </is>
      </c>
      <c r="G3449" s="5" t="inlineStr">
        <is>
          <t>tim:55121</t>
        </is>
      </c>
      <c r="H3449" s="6" t="n">
        <v>119.99</v>
      </c>
      <c r="I3449" s="6" t="inlineStr"/>
      <c r="J3449" s="5" t="inlineStr"/>
      <c r="K3449" s="5" t="inlineStr">
        <is>
          <t>credit_card</t>
        </is>
      </c>
      <c r="L3449" s="7" t="n">
        <v>67</v>
      </c>
      <c r="M3449" s="5" t="inlineStr"/>
      <c r="N3449" s="5" t="inlineStr"/>
      <c r="O3449" s="5" t="inlineStr"/>
      <c r="P3449" s="5" t="inlineStr"/>
      <c r="Q3449" s="5" t="inlineStr"/>
      <c r="R3449" s="5" t="inlineStr"/>
      <c r="S3449" s="5" t="inlineStr"/>
      <c r="T3449" s="5" t="inlineStr"/>
      <c r="U3449" s="5" t="inlineStr">
        <is>
          <t>https://www.tim.com.br/sp/para-voce/planos/pos-pago/tim-black</t>
        </is>
      </c>
      <c r="V3449" s="5" t="inlineStr">
        <is>
          <t>data/raw/tim_postpaid_SP.html</t>
        </is>
      </c>
    </row>
    <row r="3450">
      <c r="A3450" s="2" t="inlineStr">
        <is>
          <t>2026-08-23</t>
        </is>
      </c>
      <c r="B3450" s="2" t="inlineStr">
        <is>
          <t>2026-08-23T18:17:10</t>
        </is>
      </c>
      <c r="C3450" s="2" t="inlineStr">
        <is>
          <t>tim</t>
        </is>
      </c>
      <c r="D3450" s="2" t="inlineStr">
        <is>
          <t>postpaid</t>
        </is>
      </c>
      <c r="E3450" s="2" t="inlineStr">
        <is>
          <t>SP</t>
        </is>
      </c>
      <c r="F3450" s="2" t="inlineStr">
        <is>
          <t>TIM Black B Express 82GB</t>
        </is>
      </c>
      <c r="G3450" s="2" t="inlineStr">
        <is>
          <t>tim:52146</t>
        </is>
      </c>
      <c r="H3450" s="3" t="n">
        <v>144.99</v>
      </c>
      <c r="I3450" s="3" t="inlineStr"/>
      <c r="J3450" s="2" t="inlineStr"/>
      <c r="K3450" s="2" t="inlineStr">
        <is>
          <t>credit_card</t>
        </is>
      </c>
      <c r="L3450" s="4" t="n">
        <v>82</v>
      </c>
      <c r="M3450" s="2" t="inlineStr"/>
      <c r="N3450" s="2" t="inlineStr"/>
      <c r="O3450" s="2" t="inlineStr"/>
      <c r="P3450" s="2" t="inlineStr"/>
      <c r="Q3450" s="2" t="inlineStr"/>
      <c r="R3450" s="2" t="inlineStr"/>
      <c r="S3450" s="2" t="inlineStr"/>
      <c r="T3450" s="2" t="inlineStr"/>
      <c r="U3450" s="2" t="inlineStr">
        <is>
          <t>https://www.tim.com.br/sp/para-voce/planos/pos-pago/tim-black</t>
        </is>
      </c>
      <c r="V3450" s="2" t="inlineStr">
        <is>
          <t>data/raw/tim_postpaid_SP.html</t>
        </is>
      </c>
    </row>
    <row r="3451">
      <c r="A3451" s="5" t="inlineStr">
        <is>
          <t>2026-08-23</t>
        </is>
      </c>
      <c r="B3451" s="5" t="inlineStr">
        <is>
          <t>2026-08-23T18:17:10</t>
        </is>
      </c>
      <c r="C3451" s="5" t="inlineStr">
        <is>
          <t>tim</t>
        </is>
      </c>
      <c r="D3451" s="5" t="inlineStr">
        <is>
          <t>postpaid</t>
        </is>
      </c>
      <c r="E3451" s="5" t="inlineStr">
        <is>
          <t>SP</t>
        </is>
      </c>
      <c r="F3451" s="5" t="inlineStr">
        <is>
          <t>TIM Black C Express 107GB</t>
        </is>
      </c>
      <c r="G3451" s="5" t="inlineStr">
        <is>
          <t>tim:52151</t>
        </is>
      </c>
      <c r="H3451" s="6" t="n">
        <v>164.99</v>
      </c>
      <c r="I3451" s="6" t="inlineStr"/>
      <c r="J3451" s="5" t="inlineStr"/>
      <c r="K3451" s="5" t="inlineStr">
        <is>
          <t>credit_card</t>
        </is>
      </c>
      <c r="L3451" s="7" t="n">
        <v>107</v>
      </c>
      <c r="M3451" s="5" t="inlineStr"/>
      <c r="N3451" s="5" t="inlineStr"/>
      <c r="O3451" s="5" t="inlineStr"/>
      <c r="P3451" s="5" t="inlineStr"/>
      <c r="Q3451" s="5" t="inlineStr"/>
      <c r="R3451" s="5" t="inlineStr"/>
      <c r="S3451" s="5" t="inlineStr"/>
      <c r="T3451" s="5" t="inlineStr"/>
      <c r="U3451" s="5" t="inlineStr">
        <is>
          <t>https://www.tim.com.br/sp/para-voce/planos/pos-pago/tim-black</t>
        </is>
      </c>
      <c r="V3451" s="5" t="inlineStr">
        <is>
          <t>data/raw/tim_postpaid_SP.html</t>
        </is>
      </c>
    </row>
    <row r="3452">
      <c r="A3452" s="2" t="inlineStr">
        <is>
          <t>2026-08-23</t>
        </is>
      </c>
      <c r="B3452" s="2" t="inlineStr">
        <is>
          <t>2026-08-23T18:17:10</t>
        </is>
      </c>
      <c r="C3452" s="2" t="inlineStr">
        <is>
          <t>tim</t>
        </is>
      </c>
      <c r="D3452" s="2" t="inlineStr">
        <is>
          <t>postpaid</t>
        </is>
      </c>
      <c r="E3452" s="2" t="inlineStr">
        <is>
          <t>SP</t>
        </is>
      </c>
      <c r="F3452" s="2" t="inlineStr">
        <is>
          <t>TIM Black C Ultra 95GB</t>
        </is>
      </c>
      <c r="G3452" s="2" t="inlineStr">
        <is>
          <t>tim:100581</t>
        </is>
      </c>
      <c r="H3452" s="3" t="n">
        <v>159.99</v>
      </c>
      <c r="I3452" s="3" t="inlineStr"/>
      <c r="J3452" s="2" t="inlineStr"/>
      <c r="K3452" s="2" t="inlineStr">
        <is>
          <t>bill</t>
        </is>
      </c>
      <c r="L3452" s="4" t="n">
        <v>95</v>
      </c>
      <c r="M3452" s="2" t="inlineStr"/>
      <c r="N3452" s="2" t="inlineStr"/>
      <c r="O3452" s="2" t="inlineStr"/>
      <c r="P3452" s="2" t="inlineStr"/>
      <c r="Q3452" s="2" t="inlineStr"/>
      <c r="R3452" s="2" t="inlineStr"/>
      <c r="S3452" s="2" t="inlineStr"/>
      <c r="T3452" s="2" t="inlineStr"/>
      <c r="U3452" s="2" t="inlineStr">
        <is>
          <t>https://www.tim.com.br/sp/para-voce/planos/pos-pago/tim-black</t>
        </is>
      </c>
      <c r="V3452" s="2" t="inlineStr">
        <is>
          <t>data/raw/tim_postpaid_SP.html</t>
        </is>
      </c>
    </row>
    <row r="3453">
      <c r="A3453" s="5" t="inlineStr">
        <is>
          <t>2026-08-23</t>
        </is>
      </c>
      <c r="B3453" s="5" t="inlineStr">
        <is>
          <t>2026-08-23T18:17:10</t>
        </is>
      </c>
      <c r="C3453" s="5" t="inlineStr">
        <is>
          <t>tim</t>
        </is>
      </c>
      <c r="D3453" s="5" t="inlineStr">
        <is>
          <t>postpaid</t>
        </is>
      </c>
      <c r="E3453" s="5" t="inlineStr">
        <is>
          <t>SP</t>
        </is>
      </c>
      <c r="F3453" s="5" t="inlineStr">
        <is>
          <t>TIM Black Plus 80GB</t>
        </is>
      </c>
      <c r="G3453" s="5" t="inlineStr">
        <is>
          <t>tim:54256</t>
        </is>
      </c>
      <c r="H3453" s="6" t="n">
        <v>149.99</v>
      </c>
      <c r="I3453" s="6" t="inlineStr"/>
      <c r="J3453" s="5" t="inlineStr"/>
      <c r="K3453" s="5" t="inlineStr">
        <is>
          <t>bill</t>
        </is>
      </c>
      <c r="L3453" s="7" t="n">
        <v>80</v>
      </c>
      <c r="M3453" s="5" t="inlineStr"/>
      <c r="N3453" s="5" t="inlineStr"/>
      <c r="O3453" s="5" t="inlineStr"/>
      <c r="P3453" s="5" t="inlineStr"/>
      <c r="Q3453" s="5" t="inlineStr"/>
      <c r="R3453" s="5" t="inlineStr"/>
      <c r="S3453" s="5" t="inlineStr"/>
      <c r="T3453" s="5" t="inlineStr"/>
      <c r="U3453" s="5" t="inlineStr">
        <is>
          <t>https://www.tim.com.br/sp/para-voce/planos/pos-pago/tim-black</t>
        </is>
      </c>
      <c r="V3453" s="5" t="inlineStr">
        <is>
          <t>data/raw/tim_postpaid_SP.html</t>
        </is>
      </c>
    </row>
    <row r="3454">
      <c r="A3454" s="2" t="inlineStr">
        <is>
          <t>2026-08-23</t>
        </is>
      </c>
      <c r="B3454" s="2" t="inlineStr">
        <is>
          <t>2026-08-23T18:17:10</t>
        </is>
      </c>
      <c r="C3454" s="2" t="inlineStr">
        <is>
          <t>tim</t>
        </is>
      </c>
      <c r="D3454" s="2" t="inlineStr">
        <is>
          <t>postpaid</t>
        </is>
      </c>
      <c r="E3454" s="2" t="inlineStr">
        <is>
          <t>SP</t>
        </is>
      </c>
      <c r="F3454" s="2" t="inlineStr">
        <is>
          <t>TIM Black Premium 110GB</t>
        </is>
      </c>
      <c r="G3454" s="2" t="inlineStr">
        <is>
          <t>tim:54261</t>
        </is>
      </c>
      <c r="H3454" s="3" t="n">
        <v>159.99</v>
      </c>
      <c r="I3454" s="3" t="inlineStr"/>
      <c r="J3454" s="2" t="inlineStr"/>
      <c r="K3454" s="2" t="inlineStr">
        <is>
          <t>bill</t>
        </is>
      </c>
      <c r="L3454" s="4" t="n">
        <v>110</v>
      </c>
      <c r="M3454" s="2" t="inlineStr"/>
      <c r="N3454" s="2" t="inlineStr"/>
      <c r="O3454" s="2" t="inlineStr"/>
      <c r="P3454" s="2" t="inlineStr"/>
      <c r="Q3454" s="2" t="inlineStr"/>
      <c r="R3454" s="2" t="inlineStr"/>
      <c r="S3454" s="2" t="inlineStr"/>
      <c r="T3454" s="2" t="inlineStr"/>
      <c r="U3454" s="2" t="inlineStr">
        <is>
          <t>https://www.tim.com.br/sp/para-voce/planos/pos-pago/tim-black</t>
        </is>
      </c>
      <c r="V3454" s="2" t="inlineStr">
        <is>
          <t>data/raw/tim_postpaid_SP.html</t>
        </is>
      </c>
    </row>
    <row r="3455">
      <c r="A3455" s="5" t="inlineStr">
        <is>
          <t>2026-08-23</t>
        </is>
      </c>
      <c r="B3455" s="5" t="inlineStr">
        <is>
          <t>2026-08-23T18:17:10</t>
        </is>
      </c>
      <c r="C3455" s="5" t="inlineStr">
        <is>
          <t>tim</t>
        </is>
      </c>
      <c r="D3455" s="5" t="inlineStr">
        <is>
          <t>prepaid</t>
        </is>
      </c>
      <c r="E3455" s="5" t="inlineStr">
        <is>
          <t>SP</t>
        </is>
      </c>
      <c r="F3455" s="5" t="inlineStr">
        <is>
          <t>TIM Pré XIP Plus 16GB</t>
        </is>
      </c>
      <c r="G3455" s="5" t="inlineStr">
        <is>
          <t>tim:106306</t>
        </is>
      </c>
      <c r="H3455" s="6" t="n">
        <v>30</v>
      </c>
      <c r="I3455" s="6" t="inlineStr"/>
      <c r="J3455" s="5" t="inlineStr"/>
      <c r="K3455" s="5" t="inlineStr"/>
      <c r="L3455" s="7" t="n">
        <v>16</v>
      </c>
      <c r="M3455" s="5" t="inlineStr"/>
      <c r="N3455" s="5" t="n">
        <v>30</v>
      </c>
      <c r="O3455" s="5" t="inlineStr"/>
      <c r="P3455" s="5" t="inlineStr"/>
      <c r="Q3455" s="5" t="inlineStr"/>
      <c r="R3455" s="5" t="inlineStr"/>
      <c r="S3455" s="5" t="inlineStr"/>
      <c r="T3455" s="5" t="inlineStr"/>
      <c r="U3455" s="5" t="inlineStr">
        <is>
          <t>https://www.tim.com.br/sp/para-voce/planos/pre-pago</t>
        </is>
      </c>
      <c r="V3455" s="5" t="inlineStr">
        <is>
          <t>data/raw/tim_prepaid_SP.html</t>
        </is>
      </c>
    </row>
    <row r="3456">
      <c r="A3456" s="2" t="inlineStr">
        <is>
          <t>2026-08-23</t>
        </is>
      </c>
      <c r="B3456" s="2" t="inlineStr">
        <is>
          <t>2026-08-23T18:17:10</t>
        </is>
      </c>
      <c r="C3456" s="2" t="inlineStr">
        <is>
          <t>tim</t>
        </is>
      </c>
      <c r="D3456" s="2" t="inlineStr">
        <is>
          <t>prepaid</t>
        </is>
      </c>
      <c r="E3456" s="2" t="inlineStr">
        <is>
          <t>SP</t>
        </is>
      </c>
      <c r="F3456" s="2" t="inlineStr">
        <is>
          <t>TIM Pré XIP Plus 6GB</t>
        </is>
      </c>
      <c r="G3456" s="2" t="inlineStr">
        <is>
          <t>tim:59906</t>
        </is>
      </c>
      <c r="H3456" s="3" t="n">
        <v>20</v>
      </c>
      <c r="I3456" s="3" t="inlineStr"/>
      <c r="J3456" s="2" t="inlineStr"/>
      <c r="K3456" s="2" t="inlineStr"/>
      <c r="L3456" s="4" t="n">
        <v>6</v>
      </c>
      <c r="M3456" s="2" t="inlineStr"/>
      <c r="N3456" s="2" t="n">
        <v>17</v>
      </c>
      <c r="O3456" s="2" t="inlineStr"/>
      <c r="P3456" s="2" t="inlineStr"/>
      <c r="Q3456" s="2" t="inlineStr"/>
      <c r="R3456" s="2" t="inlineStr"/>
      <c r="S3456" s="2" t="inlineStr"/>
      <c r="T3456" s="2" t="inlineStr"/>
      <c r="U3456" s="2" t="inlineStr">
        <is>
          <t>https://www.tim.com.br/sp/para-voce/planos/pre-pago</t>
        </is>
      </c>
      <c r="V3456" s="2" t="inlineStr">
        <is>
          <t>data/raw/tim_prepaid_SP.html</t>
        </is>
      </c>
    </row>
    <row r="3457">
      <c r="A3457" s="5" t="inlineStr">
        <is>
          <t>2026-08-23</t>
        </is>
      </c>
      <c r="B3457" s="5" t="inlineStr">
        <is>
          <t>2026-08-23T18:17:10</t>
        </is>
      </c>
      <c r="C3457" s="5" t="inlineStr">
        <is>
          <t>tim</t>
        </is>
      </c>
      <c r="D3457" s="5" t="inlineStr">
        <is>
          <t>prepaid</t>
        </is>
      </c>
      <c r="E3457" s="5" t="inlineStr">
        <is>
          <t>SP</t>
        </is>
      </c>
      <c r="F3457" s="5" t="inlineStr">
        <is>
          <t>TIM Pré XIP Plus 8GB</t>
        </is>
      </c>
      <c r="G3457" s="5" t="inlineStr">
        <is>
          <t>tim:59901</t>
        </is>
      </c>
      <c r="H3457" s="6" t="n">
        <v>25</v>
      </c>
      <c r="I3457" s="6" t="inlineStr"/>
      <c r="J3457" s="5" t="inlineStr"/>
      <c r="K3457" s="5" t="inlineStr"/>
      <c r="L3457" s="7" t="n">
        <v>8</v>
      </c>
      <c r="M3457" s="5" t="inlineStr"/>
      <c r="N3457" s="5" t="n">
        <v>22</v>
      </c>
      <c r="O3457" s="5" t="inlineStr"/>
      <c r="P3457" s="5" t="inlineStr"/>
      <c r="Q3457" s="5" t="inlineStr"/>
      <c r="R3457" s="5" t="inlineStr"/>
      <c r="S3457" s="5" t="inlineStr"/>
      <c r="T3457" s="5" t="inlineStr"/>
      <c r="U3457" s="5" t="inlineStr">
        <is>
          <t>https://www.tim.com.br/sp/para-voce/planos/pre-pago</t>
        </is>
      </c>
      <c r="V3457" s="5" t="inlineStr">
        <is>
          <t>data/raw/tim_prepaid_SP.html</t>
        </is>
      </c>
    </row>
    <row r="3458">
      <c r="A3458" s="2" t="inlineStr">
        <is>
          <t>2026-08-23</t>
        </is>
      </c>
      <c r="B3458" s="2" t="inlineStr">
        <is>
          <t>2026-08-23T18:17:10</t>
        </is>
      </c>
      <c r="C3458" s="2" t="inlineStr">
        <is>
          <t>vivo</t>
        </is>
      </c>
      <c r="D3458" s="2" t="inlineStr">
        <is>
          <t>control</t>
        </is>
      </c>
      <c r="E3458" s="2" t="inlineStr">
        <is>
          <t>SP</t>
        </is>
      </c>
      <c r="F3458" s="2" t="inlineStr">
        <is>
          <t>Vivo Controle</t>
        </is>
      </c>
      <c r="G3458" s="2" t="inlineStr">
        <is>
          <t>vivo:VIV202600034591</t>
        </is>
      </c>
      <c r="H3458" s="3" t="n">
        <v>59</v>
      </c>
      <c r="I3458" s="3" t="inlineStr"/>
      <c r="J3458" s="2" t="inlineStr"/>
      <c r="K3458" s="2" t="inlineStr"/>
      <c r="L3458" s="4" t="n">
        <v>45</v>
      </c>
      <c r="M3458" s="2" t="inlineStr">
        <is>
          <t>15 GB de franquia 30 GB de bônus</t>
        </is>
      </c>
      <c r="N3458" s="2" t="inlineStr"/>
      <c r="O3458" s="2" t="inlineStr"/>
      <c r="P3458" s="2" t="inlineStr"/>
      <c r="Q3458" s="2" t="inlineStr"/>
      <c r="R3458" s="2" t="inlineStr"/>
      <c r="S3458" s="2" t="inlineStr"/>
      <c r="T3458" s="2" t="inlineStr">
        <is>
          <t>2 meses de YouTube sem consumo no plano</t>
        </is>
      </c>
      <c r="U3458" s="2" t="inlineStr">
        <is>
          <t>https://vivo.com.br/para-voce/produtos-e-servicos/para-o-celular/planos-controle</t>
        </is>
      </c>
      <c r="V3458" s="2" t="inlineStr">
        <is>
          <t>data/raw/vivo_control_SP.html</t>
        </is>
      </c>
    </row>
    <row r="3459">
      <c r="A3459" s="5" t="inlineStr">
        <is>
          <t>2026-08-23</t>
        </is>
      </c>
      <c r="B3459" s="5" t="inlineStr">
        <is>
          <t>2026-08-23T18:17:10</t>
        </is>
      </c>
      <c r="C3459" s="5" t="inlineStr">
        <is>
          <t>vivo</t>
        </is>
      </c>
      <c r="D3459" s="5" t="inlineStr">
        <is>
          <t>control</t>
        </is>
      </c>
      <c r="E3459" s="5" t="inlineStr">
        <is>
          <t>SP</t>
        </is>
      </c>
      <c r="F3459" s="5" t="inlineStr">
        <is>
          <t>Vivo Controle</t>
        </is>
      </c>
      <c r="G3459" s="5" t="inlineStr">
        <is>
          <t>vivo:VIV202600034599</t>
        </is>
      </c>
      <c r="H3459" s="6" t="n">
        <v>75</v>
      </c>
      <c r="I3459" s="6" t="inlineStr"/>
      <c r="J3459" s="5" t="inlineStr">
        <is>
          <t>preço-base do plano; a tela exibia R$ 80 com o adicional pré-selecionado (+R$ 5/mês, opcional); 60 GB na tela incluem +10 GB do adicional</t>
        </is>
      </c>
      <c r="K3459" s="5" t="inlineStr"/>
      <c r="L3459" s="7" t="n">
        <v>50</v>
      </c>
      <c r="M3459" s="5" t="inlineStr">
        <is>
          <t>20 GB de franquia 30 GB de bônus</t>
        </is>
      </c>
      <c r="N3459" s="5" t="inlineStr"/>
      <c r="O3459" s="5" t="inlineStr"/>
      <c r="P3459" s="5" t="inlineStr"/>
      <c r="Q3459" s="5" t="inlineStr"/>
      <c r="R3459" s="5" t="inlineStr"/>
      <c r="S3459" s="5" t="inlineStr"/>
      <c r="T3459" s="5" t="inlineStr">
        <is>
          <t>2 meses de YouTube sem consumo no plano</t>
        </is>
      </c>
      <c r="U3459" s="5" t="inlineStr">
        <is>
          <t>https://vivo.com.br/para-voce/produtos-e-servicos/para-o-celular/planos-controle</t>
        </is>
      </c>
      <c r="V3459" s="5" t="inlineStr">
        <is>
          <t>data/raw/vivo_control_SP.html</t>
        </is>
      </c>
    </row>
    <row r="3460">
      <c r="A3460" s="2" t="inlineStr">
        <is>
          <t>2026-08-23</t>
        </is>
      </c>
      <c r="B3460" s="2" t="inlineStr">
        <is>
          <t>2026-08-23T18:17:10</t>
        </is>
      </c>
      <c r="C3460" s="2" t="inlineStr">
        <is>
          <t>vivo</t>
        </is>
      </c>
      <c r="D3460" s="2" t="inlineStr">
        <is>
          <t>control</t>
        </is>
      </c>
      <c r="E3460" s="2" t="inlineStr">
        <is>
          <t>SP</t>
        </is>
      </c>
      <c r="F3460" s="2" t="inlineStr">
        <is>
          <t>Vivo Controle Educação</t>
        </is>
      </c>
      <c r="G3460" s="2" t="inlineStr">
        <is>
          <t>vivo:VIV202600034616</t>
        </is>
      </c>
      <c r="H3460" s="3" t="n">
        <v>85</v>
      </c>
      <c r="I3460" s="3" t="inlineStr"/>
      <c r="J3460" s="2" t="inlineStr">
        <is>
          <t>preço-base do plano; a tela exibia R$ 90 com o adicional pré-selecionado (+R$ 5/mês, opcional); 60 GB na tela incluem +10 GB do adicional</t>
        </is>
      </c>
      <c r="K3460" s="2" t="inlineStr"/>
      <c r="L3460" s="4" t="n">
        <v>50</v>
      </c>
      <c r="M3460" s="2" t="inlineStr">
        <is>
          <t>20 GB de franquia 30 GB de bônus</t>
        </is>
      </c>
      <c r="N3460" s="2" t="inlineStr"/>
      <c r="O3460" s="2" t="inlineStr"/>
      <c r="P3460" s="2" t="inlineStr"/>
      <c r="Q3460" s="2" t="inlineStr"/>
      <c r="R3460" s="2" t="inlineStr"/>
      <c r="S3460" s="2" t="inlineStr"/>
      <c r="T3460" s="2" t="inlineStr">
        <is>
          <t>Assinatura Vivae inclusa</t>
        </is>
      </c>
      <c r="U3460" s="2" t="inlineStr">
        <is>
          <t>https://vivo.com.br/para-voce/produtos-e-servicos/para-o-celular/planos-controle</t>
        </is>
      </c>
      <c r="V3460" s="2" t="inlineStr">
        <is>
          <t>data/raw/vivo_control_SP.html</t>
        </is>
      </c>
    </row>
    <row r="3461">
      <c r="A3461" s="5" t="inlineStr">
        <is>
          <t>2026-08-23</t>
        </is>
      </c>
      <c r="B3461" s="5" t="inlineStr">
        <is>
          <t>2026-08-23T18:17:10</t>
        </is>
      </c>
      <c r="C3461" s="5" t="inlineStr">
        <is>
          <t>vivo</t>
        </is>
      </c>
      <c r="D3461" s="5" t="inlineStr">
        <is>
          <t>control</t>
        </is>
      </c>
      <c r="E3461" s="5" t="inlineStr">
        <is>
          <t>SP</t>
        </is>
      </c>
      <c r="F3461" s="5" t="inlineStr">
        <is>
          <t>Vivo Controle Entretenimento</t>
        </is>
      </c>
      <c r="G3461" s="5" t="inlineStr">
        <is>
          <t>vivo:VIV202600034619</t>
        </is>
      </c>
      <c r="H3461" s="6" t="n">
        <v>105</v>
      </c>
      <c r="I3461" s="6" t="inlineStr"/>
      <c r="J3461" s="5" t="inlineStr">
        <is>
          <t>preço-base do plano; a tela exibia R$ 110 com o adicional pré-selecionado (+R$ 5/mês, opcional); 60 GB na tela incluem +10 GB do adicional</t>
        </is>
      </c>
      <c r="K3461" s="5" t="inlineStr"/>
      <c r="L3461" s="7" t="n">
        <v>50</v>
      </c>
      <c r="M3461" s="5" t="inlineStr">
        <is>
          <t>20 GB de franquia 30 GB de bônus</t>
        </is>
      </c>
      <c r="N3461" s="5" t="inlineStr"/>
      <c r="O3461" s="5" t="inlineStr"/>
      <c r="P3461" s="5" t="inlineStr"/>
      <c r="Q3461" s="5" t="inlineStr"/>
      <c r="R3461" s="5" t="inlineStr"/>
      <c r="S3461" s="5" t="inlineStr"/>
      <c r="T3461" s="5" t="inlineStr">
        <is>
          <t>Assinatura Vivo TV Inicial inclusa</t>
        </is>
      </c>
      <c r="U3461" s="5" t="inlineStr">
        <is>
          <t>https://vivo.com.br/para-voce/produtos-e-servicos/para-o-celular/planos-controle</t>
        </is>
      </c>
      <c r="V3461" s="5" t="inlineStr">
        <is>
          <t>data/raw/vivo_control_SP.html</t>
        </is>
      </c>
    </row>
    <row r="3462">
      <c r="A3462" s="2" t="inlineStr">
        <is>
          <t>2026-08-23</t>
        </is>
      </c>
      <c r="B3462" s="2" t="inlineStr">
        <is>
          <t>2026-08-23T18:17:10</t>
        </is>
      </c>
      <c r="C3462" s="2" t="inlineStr">
        <is>
          <t>vivo</t>
        </is>
      </c>
      <c r="D3462" s="2" t="inlineStr">
        <is>
          <t>control</t>
        </is>
      </c>
      <c r="E3462" s="2" t="inlineStr">
        <is>
          <t>SP</t>
        </is>
      </c>
      <c r="F3462" s="2" t="inlineStr">
        <is>
          <t>Vivo Controle Música</t>
        </is>
      </c>
      <c r="G3462" s="2" t="inlineStr">
        <is>
          <t>vivo:VIV202600034620</t>
        </is>
      </c>
      <c r="H3462" s="3" t="n">
        <v>85</v>
      </c>
      <c r="I3462" s="3" t="inlineStr"/>
      <c r="J3462" s="2" t="inlineStr">
        <is>
          <t>preço-base do plano; a tela exibia R$ 90 com o adicional pré-selecionado (+R$ 5/mês, opcional); 60 GB na tela incluem +10 GB do adicional</t>
        </is>
      </c>
      <c r="K3462" s="2" t="inlineStr"/>
      <c r="L3462" s="4" t="n">
        <v>50</v>
      </c>
      <c r="M3462" s="2" t="inlineStr">
        <is>
          <t>20 GB de franquia 30 GB de bônus</t>
        </is>
      </c>
      <c r="N3462" s="2" t="inlineStr"/>
      <c r="O3462" s="2" t="inlineStr"/>
      <c r="P3462" s="2" t="inlineStr"/>
      <c r="Q3462" s="2" t="inlineStr"/>
      <c r="R3462" s="2" t="inlineStr"/>
      <c r="S3462" s="2" t="inlineStr"/>
      <c r="T3462" s="2" t="inlineStr">
        <is>
          <t>Apple Music Individual</t>
        </is>
      </c>
      <c r="U3462" s="2" t="inlineStr">
        <is>
          <t>https://vivo.com.br/para-voce/produtos-e-servicos/para-o-celular/planos-controle</t>
        </is>
      </c>
      <c r="V3462" s="2" t="inlineStr">
        <is>
          <t>data/raw/vivo_control_SP.html</t>
        </is>
      </c>
    </row>
    <row r="3463">
      <c r="A3463" s="5" t="inlineStr">
        <is>
          <t>2026-08-23</t>
        </is>
      </c>
      <c r="B3463" s="5" t="inlineStr">
        <is>
          <t>2026-08-23T18:17:10</t>
        </is>
      </c>
      <c r="C3463" s="5" t="inlineStr">
        <is>
          <t>vivo</t>
        </is>
      </c>
      <c r="D3463" s="5" t="inlineStr">
        <is>
          <t>control</t>
        </is>
      </c>
      <c r="E3463" s="5" t="inlineStr">
        <is>
          <t>SP</t>
        </is>
      </c>
      <c r="F3463" s="5" t="inlineStr">
        <is>
          <t>Vivo Controle Netflix</t>
        </is>
      </c>
      <c r="G3463" s="5" t="inlineStr">
        <is>
          <t>vivo:VIV202600034623</t>
        </is>
      </c>
      <c r="H3463" s="6" t="n">
        <v>90</v>
      </c>
      <c r="I3463" s="6" t="inlineStr"/>
      <c r="J3463" s="5" t="inlineStr">
        <is>
          <t>preço-base do plano; a tela exibia R$ 95 com o adicional pré-selecionado (+R$ 5/mês, opcional); 60 GB na tela incluem +10 GB do adicional</t>
        </is>
      </c>
      <c r="K3463" s="5" t="inlineStr"/>
      <c r="L3463" s="7" t="n">
        <v>50</v>
      </c>
      <c r="M3463" s="5" t="inlineStr">
        <is>
          <t>20 GB de franquia 30 GB de bônus</t>
        </is>
      </c>
      <c r="N3463" s="5" t="inlineStr"/>
      <c r="O3463" s="5" t="inlineStr"/>
      <c r="P3463" s="5" t="inlineStr"/>
      <c r="Q3463" s="5" t="inlineStr"/>
      <c r="R3463" s="5" t="inlineStr"/>
      <c r="S3463" s="5" t="inlineStr"/>
      <c r="T3463" s="5" t="inlineStr">
        <is>
          <t>Assinatura Netflix Padrão com anúncios</t>
        </is>
      </c>
      <c r="U3463" s="5" t="inlineStr">
        <is>
          <t>https://vivo.com.br/para-voce/produtos-e-servicos/para-o-celular/planos-controle</t>
        </is>
      </c>
      <c r="V3463" s="5" t="inlineStr">
        <is>
          <t>data/raw/vivo_control_SP.html</t>
        </is>
      </c>
    </row>
    <row r="3464">
      <c r="A3464" s="2" t="inlineStr">
        <is>
          <t>2026-08-23</t>
        </is>
      </c>
      <c r="B3464" s="2" t="inlineStr">
        <is>
          <t>2026-08-23T18:17:10</t>
        </is>
      </c>
      <c r="C3464" s="2" t="inlineStr">
        <is>
          <t>vivo</t>
        </is>
      </c>
      <c r="D3464" s="2" t="inlineStr">
        <is>
          <t>control</t>
        </is>
      </c>
      <c r="E3464" s="2" t="inlineStr">
        <is>
          <t>SP</t>
        </is>
      </c>
      <c r="F3464" s="2" t="inlineStr">
        <is>
          <t>Vivo Controle Saúde</t>
        </is>
      </c>
      <c r="G3464" s="2" t="inlineStr">
        <is>
          <t>vivo:VIV202600034625</t>
        </is>
      </c>
      <c r="H3464" s="3" t="n">
        <v>85</v>
      </c>
      <c r="I3464" s="3" t="inlineStr"/>
      <c r="J3464" s="2" t="inlineStr">
        <is>
          <t>preço-base do plano; a tela exibia R$ 90 com o adicional pré-selecionado (+R$ 5/mês, opcional); 60 GB na tela incluem +10 GB do adicional</t>
        </is>
      </c>
      <c r="K3464" s="2" t="inlineStr"/>
      <c r="L3464" s="4" t="n">
        <v>50</v>
      </c>
      <c r="M3464" s="2" t="inlineStr">
        <is>
          <t>20 GB de franquia 30 GB de bônus</t>
        </is>
      </c>
      <c r="N3464" s="2" t="inlineStr"/>
      <c r="O3464" s="2" t="inlineStr"/>
      <c r="P3464" s="2" t="inlineStr"/>
      <c r="Q3464" s="2" t="inlineStr"/>
      <c r="R3464" s="2" t="inlineStr"/>
      <c r="S3464" s="2" t="inlineStr"/>
      <c r="T3464" s="2" t="inlineStr">
        <is>
          <t>Assinatura Vale Saúde Sempre inclusa</t>
        </is>
      </c>
      <c r="U3464" s="2" t="inlineStr">
        <is>
          <t>https://vivo.com.br/para-voce/produtos-e-servicos/para-o-celular/planos-controle</t>
        </is>
      </c>
      <c r="V3464" s="2" t="inlineStr">
        <is>
          <t>data/raw/vivo_control_SP.html</t>
        </is>
      </c>
    </row>
    <row r="3465">
      <c r="A3465" s="5" t="inlineStr">
        <is>
          <t>2026-08-23</t>
        </is>
      </c>
      <c r="B3465" s="5" t="inlineStr">
        <is>
          <t>2026-08-23T18:17:10</t>
        </is>
      </c>
      <c r="C3465" s="5" t="inlineStr">
        <is>
          <t>vivo</t>
        </is>
      </c>
      <c r="D3465" s="5" t="inlineStr">
        <is>
          <t>control</t>
        </is>
      </c>
      <c r="E3465" s="5" t="inlineStr">
        <is>
          <t>SP</t>
        </is>
      </c>
      <c r="F3465" s="5" t="inlineStr">
        <is>
          <t>Vivo Controle Youtube Lite</t>
        </is>
      </c>
      <c r="G3465" s="5" t="inlineStr">
        <is>
          <t>vivo:VIV202600034626</t>
        </is>
      </c>
      <c r="H3465" s="6" t="n">
        <v>85</v>
      </c>
      <c r="I3465" s="6" t="inlineStr"/>
      <c r="J3465" s="5" t="inlineStr">
        <is>
          <t>preço-base do plano; a tela exibia R$ 90 com o adicional pré-selecionado (+R$ 5/mês, opcional); 60 GB na tela incluem +10 GB do adicional</t>
        </is>
      </c>
      <c r="K3465" s="5" t="inlineStr"/>
      <c r="L3465" s="7" t="n">
        <v>50</v>
      </c>
      <c r="M3465" s="5" t="inlineStr">
        <is>
          <t>20 GB de franquia 30 GB de bônus</t>
        </is>
      </c>
      <c r="N3465" s="5" t="inlineStr"/>
      <c r="O3465" s="5" t="inlineStr"/>
      <c r="P3465" s="5" t="inlineStr"/>
      <c r="Q3465" s="5" t="inlineStr"/>
      <c r="R3465" s="5" t="inlineStr"/>
      <c r="S3465" s="5" t="inlineStr"/>
      <c r="T3465" s="5" t="inlineStr">
        <is>
          <t>2 meses de YouTube sem consumo no plano</t>
        </is>
      </c>
      <c r="U3465" s="5" t="inlineStr">
        <is>
          <t>https://vivo.com.br/para-voce/produtos-e-servicos/para-o-celular/planos-controle</t>
        </is>
      </c>
      <c r="V3465" s="5" t="inlineStr">
        <is>
          <t>data/raw/vivo_control_SP.html</t>
        </is>
      </c>
    </row>
    <row r="3466">
      <c r="A3466" s="2" t="inlineStr">
        <is>
          <t>2026-08-23</t>
        </is>
      </c>
      <c r="B3466" s="2" t="inlineStr">
        <is>
          <t>2026-08-23T18:17:10</t>
        </is>
      </c>
      <c r="C3466" s="2" t="inlineStr">
        <is>
          <t>vivo</t>
        </is>
      </c>
      <c r="D3466" s="2" t="inlineStr">
        <is>
          <t>lite</t>
        </is>
      </c>
      <c r="E3466" s="2" t="inlineStr">
        <is>
          <t>SP</t>
        </is>
      </c>
      <c r="F3466" s="2" t="inlineStr">
        <is>
          <t>Vivo Lite</t>
        </is>
      </c>
      <c r="G3466" s="2" t="inlineStr">
        <is>
          <t>vivo:VIV202600033987</t>
        </is>
      </c>
      <c r="H3466" s="3" t="n">
        <v>45</v>
      </c>
      <c r="I3466" s="3" t="n">
        <v>30</v>
      </c>
      <c r="J3466" s="2" t="inlineStr">
        <is>
          <t>preço sem fidelidade; fidelidade 12m no promo</t>
        </is>
      </c>
      <c r="K3466" s="2" t="inlineStr"/>
      <c r="L3466" s="4" t="n">
        <v>30</v>
      </c>
      <c r="M3466" s="2" t="inlineStr">
        <is>
          <t>30 GB de franquia</t>
        </is>
      </c>
      <c r="N3466" s="2" t="inlineStr"/>
      <c r="O3466" s="2" t="inlineStr"/>
      <c r="P3466" s="2" t="inlineStr"/>
      <c r="Q3466" s="2" t="inlineStr"/>
      <c r="R3466" s="2" t="inlineStr"/>
      <c r="S3466" s="2" t="n">
        <v>12</v>
      </c>
      <c r="T3466" s="2" t="inlineStr">
        <is>
          <t>2 meses de YouTube sem consumo no plano</t>
        </is>
      </c>
      <c r="U3466" s="2" t="inlineStr">
        <is>
          <t>https://vivo.com.br/para-voce/produtos-e-servicos/para-o-celular/easy-lite</t>
        </is>
      </c>
      <c r="V3466" s="2" t="inlineStr">
        <is>
          <t>data/raw/vivo_lite_SP.html</t>
        </is>
      </c>
    </row>
    <row r="3467">
      <c r="A3467" s="5" t="inlineStr">
        <is>
          <t>2026-08-23</t>
        </is>
      </c>
      <c r="B3467" s="5" t="inlineStr">
        <is>
          <t>2026-08-23T18:17:10</t>
        </is>
      </c>
      <c r="C3467" s="5" t="inlineStr">
        <is>
          <t>vivo</t>
        </is>
      </c>
      <c r="D3467" s="5" t="inlineStr">
        <is>
          <t>lite</t>
        </is>
      </c>
      <c r="E3467" s="5" t="inlineStr">
        <is>
          <t>SP</t>
        </is>
      </c>
      <c r="F3467" s="5" t="inlineStr">
        <is>
          <t>Vivo Lite</t>
        </is>
      </c>
      <c r="G3467" s="5" t="inlineStr">
        <is>
          <t>vivo:VIV202600033989</t>
        </is>
      </c>
      <c r="H3467" s="6" t="n">
        <v>55</v>
      </c>
      <c r="I3467" s="6" t="n">
        <v>40</v>
      </c>
      <c r="J3467" s="5" t="inlineStr">
        <is>
          <t>preço sem fidelidade; fidelidade 12m no promo</t>
        </is>
      </c>
      <c r="K3467" s="5" t="inlineStr"/>
      <c r="L3467" s="7" t="n">
        <v>40</v>
      </c>
      <c r="M3467" s="5" t="inlineStr">
        <is>
          <t>40 GB de franquia</t>
        </is>
      </c>
      <c r="N3467" s="5" t="inlineStr"/>
      <c r="O3467" s="5" t="inlineStr"/>
      <c r="P3467" s="5" t="inlineStr"/>
      <c r="Q3467" s="5" t="inlineStr"/>
      <c r="R3467" s="5" t="inlineStr"/>
      <c r="S3467" s="5" t="n">
        <v>12</v>
      </c>
      <c r="T3467" s="5" t="inlineStr">
        <is>
          <t>2 meses de YouTube sem consumo no plano</t>
        </is>
      </c>
      <c r="U3467" s="5" t="inlineStr">
        <is>
          <t>https://vivo.com.br/para-voce/produtos-e-servicos/para-o-celular/easy-lite</t>
        </is>
      </c>
      <c r="V3467" s="5" t="inlineStr">
        <is>
          <t>data/raw/vivo_lite_SP.html</t>
        </is>
      </c>
    </row>
    <row r="3468">
      <c r="A3468" s="2" t="inlineStr">
        <is>
          <t>2026-08-23</t>
        </is>
      </c>
      <c r="B3468" s="2" t="inlineStr">
        <is>
          <t>2026-08-23T18:17:10</t>
        </is>
      </c>
      <c r="C3468" s="2" t="inlineStr">
        <is>
          <t>vivo</t>
        </is>
      </c>
      <c r="D3468" s="2" t="inlineStr">
        <is>
          <t>lite</t>
        </is>
      </c>
      <c r="E3468" s="2" t="inlineStr">
        <is>
          <t>SP</t>
        </is>
      </c>
      <c r="F3468" s="2" t="inlineStr">
        <is>
          <t>Vivo Lite</t>
        </is>
      </c>
      <c r="G3468" s="2" t="inlineStr">
        <is>
          <t>vivo:VIV202600033992</t>
        </is>
      </c>
      <c r="H3468" s="3" t="n">
        <v>35</v>
      </c>
      <c r="I3468" s="3" t="inlineStr"/>
      <c r="J3468" s="2" t="inlineStr"/>
      <c r="K3468" s="2" t="inlineStr"/>
      <c r="L3468" s="4" t="n">
        <v>20</v>
      </c>
      <c r="M3468" s="2" t="inlineStr">
        <is>
          <t>20 GB de franquia</t>
        </is>
      </c>
      <c r="N3468" s="2" t="inlineStr"/>
      <c r="O3468" s="2" t="inlineStr"/>
      <c r="P3468" s="2" t="inlineStr"/>
      <c r="Q3468" s="2" t="inlineStr"/>
      <c r="R3468" s="2" t="inlineStr"/>
      <c r="S3468" s="2" t="inlineStr"/>
      <c r="T3468" s="2" t="inlineStr">
        <is>
          <t>2 meses de YouTube sem consumo no plano</t>
        </is>
      </c>
      <c r="U3468" s="2" t="inlineStr">
        <is>
          <t>https://vivo.com.br/para-voce/produtos-e-servicos/para-o-celular/easy-lite</t>
        </is>
      </c>
      <c r="V3468" s="2" t="inlineStr">
        <is>
          <t>data/raw/vivo_lite_SP.html</t>
        </is>
      </c>
    </row>
    <row r="3469">
      <c r="A3469" s="5" t="inlineStr">
        <is>
          <t>2026-08-23</t>
        </is>
      </c>
      <c r="B3469" s="5" t="inlineStr">
        <is>
          <t>2026-08-23T18:17:10</t>
        </is>
      </c>
      <c r="C3469" s="5" t="inlineStr">
        <is>
          <t>vivo</t>
        </is>
      </c>
      <c r="D3469" s="5" t="inlineStr">
        <is>
          <t>postpaid</t>
        </is>
      </c>
      <c r="E3469" s="5" t="inlineStr">
        <is>
          <t>SP</t>
        </is>
      </c>
      <c r="F3469" s="5" t="inlineStr">
        <is>
          <t>Vivo Família 2</t>
        </is>
      </c>
      <c r="G3469" s="5" t="inlineStr">
        <is>
          <t>vivo:VIV202600034547</t>
        </is>
      </c>
      <c r="H3469" s="6" t="n">
        <v>270</v>
      </c>
      <c r="I3469" s="6" t="inlineStr"/>
      <c r="J3469" s="5" t="inlineStr"/>
      <c r="K3469" s="5" t="inlineStr"/>
      <c r="L3469" s="7" t="n">
        <v>120</v>
      </c>
      <c r="M3469" s="5" t="inlineStr">
        <is>
          <t>120 GB de franquia Você + 1 linha adicional Roaming Internacional com Vivo Travel Américas e Europa</t>
        </is>
      </c>
      <c r="N3469" s="5" t="inlineStr"/>
      <c r="O3469" s="5" t="inlineStr"/>
      <c r="P3469" s="5" t="inlineStr"/>
      <c r="Q3469" s="5" t="inlineStr"/>
      <c r="R3469" s="5" t="inlineStr"/>
      <c r="S3469" s="5" t="inlineStr"/>
      <c r="T3469" s="5" t="inlineStr">
        <is>
          <t>2 meses de YouTube sem consumo no plano</t>
        </is>
      </c>
      <c r="U3469" s="5" t="inlineStr">
        <is>
          <t>https://vivo.com.br/para-voce/produtos-e-servicos/para-o-celular/planos-pos-pago</t>
        </is>
      </c>
      <c r="V3469" s="5" t="inlineStr">
        <is>
          <t>data/raw/vivo_postpaid_SP.html</t>
        </is>
      </c>
    </row>
    <row r="3470">
      <c r="A3470" s="2" t="inlineStr">
        <is>
          <t>2026-08-23</t>
        </is>
      </c>
      <c r="B3470" s="2" t="inlineStr">
        <is>
          <t>2026-08-23T18:17:10</t>
        </is>
      </c>
      <c r="C3470" s="2" t="inlineStr">
        <is>
          <t>vivo</t>
        </is>
      </c>
      <c r="D3470" s="2" t="inlineStr">
        <is>
          <t>postpaid</t>
        </is>
      </c>
      <c r="E3470" s="2" t="inlineStr">
        <is>
          <t>SP</t>
        </is>
      </c>
      <c r="F3470" s="2" t="inlineStr">
        <is>
          <t>Vivo Família 3</t>
        </is>
      </c>
      <c r="G3470" s="2" t="inlineStr">
        <is>
          <t>vivo:VIV202600034540</t>
        </is>
      </c>
      <c r="H3470" s="3" t="n">
        <v>340</v>
      </c>
      <c r="I3470" s="3" t="inlineStr"/>
      <c r="J3470" s="2" t="inlineStr"/>
      <c r="K3470" s="2" t="inlineStr"/>
      <c r="L3470" s="4" t="n">
        <v>180</v>
      </c>
      <c r="M3470" s="2" t="inlineStr">
        <is>
          <t>180 GB de franquia Você + 2 linhas adicionais Roaming Internacional com Vivo Travel Américas e Europa</t>
        </is>
      </c>
      <c r="N3470" s="2" t="inlineStr"/>
      <c r="O3470" s="2" t="inlineStr"/>
      <c r="P3470" s="2" t="inlineStr"/>
      <c r="Q3470" s="2" t="inlineStr"/>
      <c r="R3470" s="2" t="inlineStr"/>
      <c r="S3470" s="2" t="inlineStr"/>
      <c r="T3470" s="2" t="inlineStr">
        <is>
          <t>2 meses de YouTube sem consumo no plano</t>
        </is>
      </c>
      <c r="U3470" s="2" t="inlineStr">
        <is>
          <t>https://vivo.com.br/para-voce/produtos-e-servicos/para-o-celular/planos-pos-pago</t>
        </is>
      </c>
      <c r="V3470" s="2" t="inlineStr">
        <is>
          <t>data/raw/vivo_postpaid_SP.html</t>
        </is>
      </c>
    </row>
    <row r="3471">
      <c r="A3471" s="5" t="inlineStr">
        <is>
          <t>2026-08-23</t>
        </is>
      </c>
      <c r="B3471" s="5" t="inlineStr">
        <is>
          <t>2026-08-23T18:17:10</t>
        </is>
      </c>
      <c r="C3471" s="5" t="inlineStr">
        <is>
          <t>vivo</t>
        </is>
      </c>
      <c r="D3471" s="5" t="inlineStr">
        <is>
          <t>postpaid</t>
        </is>
      </c>
      <c r="E3471" s="5" t="inlineStr">
        <is>
          <t>SP</t>
        </is>
      </c>
      <c r="F3471" s="5" t="inlineStr">
        <is>
          <t>Vivo Família 4</t>
        </is>
      </c>
      <c r="G3471" s="5" t="inlineStr">
        <is>
          <t>vivo:VIV202600034531</t>
        </is>
      </c>
      <c r="H3471" s="6" t="n">
        <v>430</v>
      </c>
      <c r="I3471" s="6" t="inlineStr"/>
      <c r="J3471" s="5" t="inlineStr"/>
      <c r="K3471" s="5" t="inlineStr"/>
      <c r="L3471" s="7" t="n">
        <v>240</v>
      </c>
      <c r="M3471" s="5" t="inlineStr">
        <is>
          <t>240 GB de franquia Você + 3 linhas adicionais Roaming Internacional com Vivo Travel Américas e Europa</t>
        </is>
      </c>
      <c r="N3471" s="5" t="inlineStr"/>
      <c r="O3471" s="5" t="inlineStr"/>
      <c r="P3471" s="5" t="inlineStr"/>
      <c r="Q3471" s="5" t="inlineStr"/>
      <c r="R3471" s="5" t="inlineStr"/>
      <c r="S3471" s="5" t="inlineStr"/>
      <c r="T3471" s="5" t="inlineStr">
        <is>
          <t>2 meses de YouTube sem consumo no plano</t>
        </is>
      </c>
      <c r="U3471" s="5" t="inlineStr">
        <is>
          <t>https://vivo.com.br/para-voce/produtos-e-servicos/para-o-celular/planos-pos-pago</t>
        </is>
      </c>
      <c r="V3471" s="5" t="inlineStr">
        <is>
          <t>data/raw/vivo_postpaid_SP.html</t>
        </is>
      </c>
    </row>
    <row r="3472">
      <c r="A3472" s="2" t="inlineStr">
        <is>
          <t>2026-08-23</t>
        </is>
      </c>
      <c r="B3472" s="2" t="inlineStr">
        <is>
          <t>2026-08-23T18:17:10</t>
        </is>
      </c>
      <c r="C3472" s="2" t="inlineStr">
        <is>
          <t>vivo</t>
        </is>
      </c>
      <c r="D3472" s="2" t="inlineStr">
        <is>
          <t>postpaid</t>
        </is>
      </c>
      <c r="E3472" s="2" t="inlineStr">
        <is>
          <t>SP</t>
        </is>
      </c>
      <c r="F3472" s="2" t="inlineStr">
        <is>
          <t>Vivo Família 5</t>
        </is>
      </c>
      <c r="G3472" s="2" t="inlineStr">
        <is>
          <t>vivo:VIV202600034526</t>
        </is>
      </c>
      <c r="H3472" s="3" t="n">
        <v>530</v>
      </c>
      <c r="I3472" s="3" t="inlineStr"/>
      <c r="J3472" s="2" t="inlineStr"/>
      <c r="K3472" s="2" t="inlineStr"/>
      <c r="L3472" s="4" t="n">
        <v>300</v>
      </c>
      <c r="M3472" s="2" t="inlineStr">
        <is>
          <t>300 GB de franquia Você + 4 linhas adicionais Roaming Internacional com Vivo Travel Américas e Europa</t>
        </is>
      </c>
      <c r="N3472" s="2" t="inlineStr"/>
      <c r="O3472" s="2" t="inlineStr"/>
      <c r="P3472" s="2" t="inlineStr"/>
      <c r="Q3472" s="2" t="inlineStr"/>
      <c r="R3472" s="2" t="inlineStr"/>
      <c r="S3472" s="2" t="inlineStr"/>
      <c r="T3472" s="2" t="inlineStr">
        <is>
          <t>2 meses de YouTube sem consumo no plano</t>
        </is>
      </c>
      <c r="U3472" s="2" t="inlineStr">
        <is>
          <t>https://vivo.com.br/para-voce/produtos-e-servicos/para-o-celular/planos-pos-pago</t>
        </is>
      </c>
      <c r="V3472" s="2" t="inlineStr">
        <is>
          <t>data/raw/vivo_postpaid_SP.html</t>
        </is>
      </c>
    </row>
    <row r="3473">
      <c r="A3473" s="5" t="inlineStr">
        <is>
          <t>2026-08-23</t>
        </is>
      </c>
      <c r="B3473" s="5" t="inlineStr">
        <is>
          <t>2026-08-23T18:17:10</t>
        </is>
      </c>
      <c r="C3473" s="5" t="inlineStr">
        <is>
          <t>vivo</t>
        </is>
      </c>
      <c r="D3473" s="5" t="inlineStr">
        <is>
          <t>postpaid</t>
        </is>
      </c>
      <c r="E3473" s="5" t="inlineStr">
        <is>
          <t>SP</t>
        </is>
      </c>
      <c r="F3473" s="5" t="inlineStr">
        <is>
          <t>Vivo Pós com Amazon</t>
        </is>
      </c>
      <c r="G3473" s="5" t="inlineStr">
        <is>
          <t>vivo:VIV202600034554</t>
        </is>
      </c>
      <c r="H3473" s="6" t="n">
        <v>150</v>
      </c>
      <c r="I3473" s="6" t="inlineStr"/>
      <c r="J3473" s="5" t="inlineStr"/>
      <c r="K3473" s="5" t="inlineStr"/>
      <c r="L3473" s="7" t="n">
        <v>60</v>
      </c>
      <c r="M3473" s="5" t="inlineStr">
        <is>
          <t>50 GB de franquia 10 GB de bônus</t>
        </is>
      </c>
      <c r="N3473" s="5" t="inlineStr"/>
      <c r="O3473" s="5" t="inlineStr"/>
      <c r="P3473" s="5" t="inlineStr"/>
      <c r="Q3473" s="5" t="inlineStr"/>
      <c r="R3473" s="5" t="inlineStr"/>
      <c r="S3473" s="5" t="inlineStr"/>
      <c r="T3473" s="5" t="inlineStr">
        <is>
          <t>Assinatura Amazon Prime inclusa</t>
        </is>
      </c>
      <c r="U3473" s="5" t="inlineStr">
        <is>
          <t>https://vivo.com.br/para-voce/produtos-e-servicos/para-o-celular/planos-pos-pago</t>
        </is>
      </c>
      <c r="V3473" s="5" t="inlineStr">
        <is>
          <t>data/raw/vivo_postpaid_SP.html</t>
        </is>
      </c>
    </row>
    <row r="3474">
      <c r="A3474" s="2" t="inlineStr">
        <is>
          <t>2026-08-23</t>
        </is>
      </c>
      <c r="B3474" s="2" t="inlineStr">
        <is>
          <t>2026-08-23T18:17:10</t>
        </is>
      </c>
      <c r="C3474" s="2" t="inlineStr">
        <is>
          <t>vivo</t>
        </is>
      </c>
      <c r="D3474" s="2" t="inlineStr">
        <is>
          <t>postpaid</t>
        </is>
      </c>
      <c r="E3474" s="2" t="inlineStr">
        <is>
          <t>SP</t>
        </is>
      </c>
      <c r="F3474" s="2" t="inlineStr">
        <is>
          <t>Vivo Pós com Disney+</t>
        </is>
      </c>
      <c r="G3474" s="2" t="inlineStr">
        <is>
          <t>vivo:VIV202600034532</t>
        </is>
      </c>
      <c r="H3474" s="3" t="n">
        <v>180</v>
      </c>
      <c r="I3474" s="3" t="inlineStr"/>
      <c r="J3474" s="2" t="inlineStr"/>
      <c r="K3474" s="2" t="inlineStr"/>
      <c r="L3474" s="4" t="n">
        <v>60</v>
      </c>
      <c r="M3474" s="2" t="inlineStr">
        <is>
          <t>50 GB de franquia 10 GB de bônus</t>
        </is>
      </c>
      <c r="N3474" s="2" t="inlineStr"/>
      <c r="O3474" s="2" t="inlineStr"/>
      <c r="P3474" s="2" t="inlineStr"/>
      <c r="Q3474" s="2" t="inlineStr"/>
      <c r="R3474" s="2" t="inlineStr">
        <is>
          <t>Disney+</t>
        </is>
      </c>
      <c r="S3474" s="2" t="inlineStr"/>
      <c r="T3474" s="2" t="inlineStr">
        <is>
          <t>Assinatura Disney+ Padrão inclusa</t>
        </is>
      </c>
      <c r="U3474" s="2" t="inlineStr">
        <is>
          <t>https://vivo.com.br/para-voce/produtos-e-servicos/para-o-celular/planos-pos-pago</t>
        </is>
      </c>
      <c r="V3474" s="2" t="inlineStr">
        <is>
          <t>data/raw/vivo_postpaid_SP.html</t>
        </is>
      </c>
    </row>
    <row r="3475">
      <c r="A3475" s="5" t="inlineStr">
        <is>
          <t>2026-08-23</t>
        </is>
      </c>
      <c r="B3475" s="5" t="inlineStr">
        <is>
          <t>2026-08-23T18:17:10</t>
        </is>
      </c>
      <c r="C3475" s="5" t="inlineStr">
        <is>
          <t>vivo</t>
        </is>
      </c>
      <c r="D3475" s="5" t="inlineStr">
        <is>
          <t>postpaid</t>
        </is>
      </c>
      <c r="E3475" s="5" t="inlineStr">
        <is>
          <t>SP</t>
        </is>
      </c>
      <c r="F3475" s="5" t="inlineStr">
        <is>
          <t>Vivo Pós com Globoplay</t>
        </is>
      </c>
      <c r="G3475" s="5" t="inlineStr">
        <is>
          <t>vivo:VIV202600034575</t>
        </is>
      </c>
      <c r="H3475" s="6" t="n">
        <v>165</v>
      </c>
      <c r="I3475" s="6" t="inlineStr"/>
      <c r="J3475" s="5" t="inlineStr"/>
      <c r="K3475" s="5" t="inlineStr"/>
      <c r="L3475" s="7" t="n">
        <v>60</v>
      </c>
      <c r="M3475" s="5" t="inlineStr">
        <is>
          <t>50 GB de franquia 10 GB de bônus</t>
        </is>
      </c>
      <c r="N3475" s="5" t="inlineStr"/>
      <c r="O3475" s="5" t="inlineStr"/>
      <c r="P3475" s="5" t="inlineStr"/>
      <c r="Q3475" s="5" t="inlineStr"/>
      <c r="R3475" s="5" t="inlineStr">
        <is>
          <t>Globoplay</t>
        </is>
      </c>
      <c r="S3475" s="5" t="inlineStr"/>
      <c r="T3475" s="5" t="inlineStr">
        <is>
          <t>Assinatura Globoplay inclusa</t>
        </is>
      </c>
      <c r="U3475" s="5" t="inlineStr">
        <is>
          <t>https://vivo.com.br/para-voce/produtos-e-servicos/para-o-celular/planos-pos-pago</t>
        </is>
      </c>
      <c r="V3475" s="5" t="inlineStr">
        <is>
          <t>data/raw/vivo_postpaid_SP.html</t>
        </is>
      </c>
    </row>
    <row r="3476">
      <c r="A3476" s="2" t="inlineStr">
        <is>
          <t>2026-08-23</t>
        </is>
      </c>
      <c r="B3476" s="2" t="inlineStr">
        <is>
          <t>2026-08-23T18:17:10</t>
        </is>
      </c>
      <c r="C3476" s="2" t="inlineStr">
        <is>
          <t>vivo</t>
        </is>
      </c>
      <c r="D3476" s="2" t="inlineStr">
        <is>
          <t>postpaid</t>
        </is>
      </c>
      <c r="E3476" s="2" t="inlineStr">
        <is>
          <t>SP</t>
        </is>
      </c>
      <c r="F3476" s="2" t="inlineStr">
        <is>
          <t>Vivo Pós com Netflix</t>
        </is>
      </c>
      <c r="G3476" s="2" t="inlineStr">
        <is>
          <t>vivo:VIV202600034562</t>
        </is>
      </c>
      <c r="H3476" s="3" t="n">
        <v>180</v>
      </c>
      <c r="I3476" s="3" t="inlineStr"/>
      <c r="J3476" s="2" t="inlineStr"/>
      <c r="K3476" s="2" t="inlineStr"/>
      <c r="L3476" s="4" t="n">
        <v>60</v>
      </c>
      <c r="M3476" s="2" t="inlineStr">
        <is>
          <t>50 GB de franquia 10 GB de bônus</t>
        </is>
      </c>
      <c r="N3476" s="2" t="inlineStr"/>
      <c r="O3476" s="2" t="inlineStr"/>
      <c r="P3476" s="2" t="inlineStr"/>
      <c r="Q3476" s="2" t="inlineStr"/>
      <c r="R3476" s="2" t="inlineStr">
        <is>
          <t>Netflix</t>
        </is>
      </c>
      <c r="S3476" s="2" t="inlineStr"/>
      <c r="T3476" s="2" t="inlineStr">
        <is>
          <t>Assinatura Netflix Padrão inclusa</t>
        </is>
      </c>
      <c r="U3476" s="2" t="inlineStr">
        <is>
          <t>https://vivo.com.br/para-voce/produtos-e-servicos/para-o-celular/planos-pos-pago</t>
        </is>
      </c>
      <c r="V3476" s="2" t="inlineStr">
        <is>
          <t>data/raw/vivo_postpaid_SP.html</t>
        </is>
      </c>
    </row>
    <row r="3477">
      <c r="A3477" s="5" t="inlineStr">
        <is>
          <t>2026-08-23</t>
        </is>
      </c>
      <c r="B3477" s="5" t="inlineStr">
        <is>
          <t>2026-08-23T18:17:10</t>
        </is>
      </c>
      <c r="C3477" s="5" t="inlineStr">
        <is>
          <t>vivo</t>
        </is>
      </c>
      <c r="D3477" s="5" t="inlineStr">
        <is>
          <t>postpaid</t>
        </is>
      </c>
      <c r="E3477" s="5" t="inlineStr">
        <is>
          <t>SP</t>
        </is>
      </c>
      <c r="F3477" s="5" t="inlineStr">
        <is>
          <t>Vivo Pós com Premiere</t>
        </is>
      </c>
      <c r="G3477" s="5" t="inlineStr">
        <is>
          <t>vivo:VIV202600034579</t>
        </is>
      </c>
      <c r="H3477" s="6" t="n">
        <v>180</v>
      </c>
      <c r="I3477" s="6" t="inlineStr"/>
      <c r="J3477" s="5" t="inlineStr"/>
      <c r="K3477" s="5" t="inlineStr"/>
      <c r="L3477" s="7" t="n">
        <v>60</v>
      </c>
      <c r="M3477" s="5" t="inlineStr">
        <is>
          <t>50 GB de franquia 10 GB de bônus</t>
        </is>
      </c>
      <c r="N3477" s="5" t="inlineStr"/>
      <c r="O3477" s="5" t="inlineStr"/>
      <c r="P3477" s="5" t="inlineStr"/>
      <c r="Q3477" s="5" t="inlineStr"/>
      <c r="R3477" s="5" t="inlineStr">
        <is>
          <t>Premiere</t>
        </is>
      </c>
      <c r="S3477" s="5" t="inlineStr"/>
      <c r="T3477" s="5" t="inlineStr">
        <is>
          <t>Assinatura Premiere inclusa</t>
        </is>
      </c>
      <c r="U3477" s="5" t="inlineStr">
        <is>
          <t>https://vivo.com.br/para-voce/produtos-e-servicos/para-o-celular/planos-pos-pago</t>
        </is>
      </c>
      <c r="V3477" s="5" t="inlineStr">
        <is>
          <t>data/raw/vivo_postpaid_SP.html</t>
        </is>
      </c>
    </row>
    <row r="3478">
      <c r="A3478" s="2" t="inlineStr">
        <is>
          <t>2026-08-23</t>
        </is>
      </c>
      <c r="B3478" s="2" t="inlineStr">
        <is>
          <t>2026-08-23T18:17:10</t>
        </is>
      </c>
      <c r="C3478" s="2" t="inlineStr">
        <is>
          <t>vivo</t>
        </is>
      </c>
      <c r="D3478" s="2" t="inlineStr">
        <is>
          <t>postpaid</t>
        </is>
      </c>
      <c r="E3478" s="2" t="inlineStr">
        <is>
          <t>SP</t>
        </is>
      </c>
      <c r="F3478" s="2" t="inlineStr">
        <is>
          <t>Vivo Pós com Spotify</t>
        </is>
      </c>
      <c r="G3478" s="2" t="inlineStr">
        <is>
          <t>vivo:VIV202600034556</t>
        </is>
      </c>
      <c r="H3478" s="3" t="n">
        <v>165</v>
      </c>
      <c r="I3478" s="3" t="inlineStr"/>
      <c r="J3478" s="2" t="inlineStr"/>
      <c r="K3478" s="2" t="inlineStr"/>
      <c r="L3478" s="4" t="n">
        <v>60</v>
      </c>
      <c r="M3478" s="2" t="inlineStr">
        <is>
          <t>50 GB de franquia 10 GB de bônus</t>
        </is>
      </c>
      <c r="N3478" s="2" t="inlineStr"/>
      <c r="O3478" s="2" t="inlineStr"/>
      <c r="P3478" s="2" t="inlineStr"/>
      <c r="Q3478" s="2" t="inlineStr"/>
      <c r="R3478" s="2" t="inlineStr">
        <is>
          <t>Spotify</t>
        </is>
      </c>
      <c r="S3478" s="2" t="inlineStr"/>
      <c r="T3478" s="2" t="inlineStr">
        <is>
          <t>Assinatura Spotify Premium inclusa</t>
        </is>
      </c>
      <c r="U3478" s="2" t="inlineStr">
        <is>
          <t>https://vivo.com.br/para-voce/produtos-e-servicos/para-o-celular/planos-pos-pago</t>
        </is>
      </c>
      <c r="V3478" s="2" t="inlineStr">
        <is>
          <t>data/raw/vivo_postpaid_SP.html</t>
        </is>
      </c>
    </row>
    <row r="3479">
      <c r="A3479" s="5" t="inlineStr">
        <is>
          <t>2026-08-23</t>
        </is>
      </c>
      <c r="B3479" s="5" t="inlineStr">
        <is>
          <t>2026-08-23T18:17:10</t>
        </is>
      </c>
      <c r="C3479" s="5" t="inlineStr">
        <is>
          <t>vivo</t>
        </is>
      </c>
      <c r="D3479" s="5" t="inlineStr">
        <is>
          <t>postpaid</t>
        </is>
      </c>
      <c r="E3479" s="5" t="inlineStr">
        <is>
          <t>SP</t>
        </is>
      </c>
      <c r="F3479" s="5" t="inlineStr">
        <is>
          <t>Vivo Pós com Travel</t>
        </is>
      </c>
      <c r="G3479" s="5" t="inlineStr">
        <is>
          <t>vivo:VIV202600034573</t>
        </is>
      </c>
      <c r="H3479" s="6" t="n">
        <v>215</v>
      </c>
      <c r="I3479" s="6" t="inlineStr"/>
      <c r="J3479" s="5" t="inlineStr"/>
      <c r="K3479" s="5" t="inlineStr"/>
      <c r="L3479" s="7" t="n">
        <v>70</v>
      </c>
      <c r="M3479" s="5" t="inlineStr">
        <is>
          <t>60 GB de franquia 10 GB de bônus</t>
        </is>
      </c>
      <c r="N3479" s="5" t="inlineStr"/>
      <c r="O3479" s="5" t="inlineStr"/>
      <c r="P3479" s="5" t="inlineStr"/>
      <c r="Q3479" s="5" t="inlineStr"/>
      <c r="R3479" s="5" t="inlineStr"/>
      <c r="S3479" s="5" t="inlineStr"/>
      <c r="T3479" s="5" t="inlineStr">
        <is>
          <t>2 meses de YouTube sem consumo no plano</t>
        </is>
      </c>
      <c r="U3479" s="5" t="inlineStr">
        <is>
          <t>https://vivo.com.br/para-voce/produtos-e-servicos/para-o-celular/planos-pos-pago</t>
        </is>
      </c>
      <c r="V3479" s="5" t="inlineStr">
        <is>
          <t>data/raw/vivo_postpaid_SP.html</t>
        </is>
      </c>
    </row>
    <row r="3480">
      <c r="A3480" s="2" t="inlineStr">
        <is>
          <t>2026-08-23</t>
        </is>
      </c>
      <c r="B3480" s="2" t="inlineStr">
        <is>
          <t>2026-08-23T18:17:10</t>
        </is>
      </c>
      <c r="C3480" s="2" t="inlineStr">
        <is>
          <t>vivo</t>
        </is>
      </c>
      <c r="D3480" s="2" t="inlineStr">
        <is>
          <t>prepaid</t>
        </is>
      </c>
      <c r="E3480" s="2" t="inlineStr">
        <is>
          <t>SP</t>
        </is>
      </c>
      <c r="F3480" s="2" t="inlineStr">
        <is>
          <t>Vivo Pré</t>
        </is>
      </c>
      <c r="G3480" s="2" t="inlineStr">
        <is>
          <t>vivo:VIV202600029370-30d</t>
        </is>
      </c>
      <c r="H3480" s="3" t="n">
        <v>30</v>
      </c>
      <c r="I3480" s="3" t="inlineStr"/>
      <c r="J3480" s="2" t="inlineStr"/>
      <c r="K3480" s="2" t="inlineStr"/>
      <c r="L3480" s="4" t="n">
        <v>25</v>
      </c>
      <c r="M3480" s="2" t="inlineStr">
        <is>
          <t>15 GB para navegar como quiser 5 GB de bônus 5 GB para navegar no Youtube</t>
        </is>
      </c>
      <c r="N3480" s="2" t="n">
        <v>30</v>
      </c>
      <c r="O3480" s="2" t="inlineStr"/>
      <c r="P3480" s="2" t="inlineStr"/>
      <c r="Q3480" s="2" t="inlineStr"/>
      <c r="R3480" s="2" t="inlineStr"/>
      <c r="S3480" s="2" t="inlineStr"/>
      <c r="T3480" s="2" t="inlineStr"/>
      <c r="U3480" s="2" t="inlineStr">
        <is>
          <t>https://vivo.com.br/para-voce/produtos-e-servicos/para-o-celular/pre-pago/vivo-pre</t>
        </is>
      </c>
      <c r="V3480" s="2" t="inlineStr">
        <is>
          <t>data/raw/vivo_prepaid_SP.html</t>
        </is>
      </c>
    </row>
    <row r="3481">
      <c r="A3481" s="5" t="inlineStr">
        <is>
          <t>2026-08-23</t>
        </is>
      </c>
      <c r="B3481" s="5" t="inlineStr">
        <is>
          <t>2026-08-23T18:17:10</t>
        </is>
      </c>
      <c r="C3481" s="5" t="inlineStr">
        <is>
          <t>vivo</t>
        </is>
      </c>
      <c r="D3481" s="5" t="inlineStr">
        <is>
          <t>prepaid</t>
        </is>
      </c>
      <c r="E3481" s="5" t="inlineStr">
        <is>
          <t>SP</t>
        </is>
      </c>
      <c r="F3481" s="5" t="inlineStr">
        <is>
          <t>Vivo Pré</t>
        </is>
      </c>
      <c r="G3481" s="5" t="inlineStr">
        <is>
          <t>vivo:VIV202600029370-22d</t>
        </is>
      </c>
      <c r="H3481" s="6" t="n">
        <v>25</v>
      </c>
      <c r="I3481" s="6" t="inlineStr"/>
      <c r="J3481" s="5" t="inlineStr"/>
      <c r="K3481" s="5" t="inlineStr"/>
      <c r="L3481" s="7" t="n">
        <v>9</v>
      </c>
      <c r="M3481" s="5" t="inlineStr">
        <is>
          <t>6 GB para navegar como quiser 3 GB para navegar no YouTube</t>
        </is>
      </c>
      <c r="N3481" s="5" t="n">
        <v>22</v>
      </c>
      <c r="O3481" s="5" t="inlineStr"/>
      <c r="P3481" s="5" t="inlineStr"/>
      <c r="Q3481" s="5" t="inlineStr"/>
      <c r="R3481" s="5" t="inlineStr"/>
      <c r="S3481" s="5" t="inlineStr"/>
      <c r="T3481" s="5" t="inlineStr"/>
      <c r="U3481" s="5" t="inlineStr">
        <is>
          <t>https://vivo.com.br/para-voce/produtos-e-servicos/para-o-celular/pre-pago/vivo-pre</t>
        </is>
      </c>
      <c r="V3481" s="5" t="inlineStr">
        <is>
          <t>data/raw/vivo_prepaid_SP.html</t>
        </is>
      </c>
    </row>
    <row r="3482">
      <c r="A3482" s="2" t="inlineStr">
        <is>
          <t>2026-08-23</t>
        </is>
      </c>
      <c r="B3482" s="2" t="inlineStr">
        <is>
          <t>2026-08-23T18:17:10</t>
        </is>
      </c>
      <c r="C3482" s="2" t="inlineStr">
        <is>
          <t>vivo</t>
        </is>
      </c>
      <c r="D3482" s="2" t="inlineStr">
        <is>
          <t>prepaid</t>
        </is>
      </c>
      <c r="E3482" s="2" t="inlineStr">
        <is>
          <t>SP</t>
        </is>
      </c>
      <c r="F3482" s="2" t="inlineStr">
        <is>
          <t>Vivo Pré</t>
        </is>
      </c>
      <c r="G3482" s="2" t="inlineStr">
        <is>
          <t>vivo:VIV202600029370-17d</t>
        </is>
      </c>
      <c r="H3482" s="3" t="n">
        <v>20</v>
      </c>
      <c r="I3482" s="3" t="inlineStr"/>
      <c r="J3482" s="2" t="inlineStr"/>
      <c r="K3482" s="2" t="inlineStr"/>
      <c r="L3482" s="4" t="n">
        <v>5</v>
      </c>
      <c r="M3482" s="2" t="inlineStr">
        <is>
          <t>5 GB para navegar como quiser</t>
        </is>
      </c>
      <c r="N3482" s="2" t="n">
        <v>17</v>
      </c>
      <c r="O3482" s="2" t="inlineStr"/>
      <c r="P3482" s="2" t="inlineStr"/>
      <c r="Q3482" s="2" t="inlineStr"/>
      <c r="R3482" s="2" t="inlineStr"/>
      <c r="S3482" s="2" t="inlineStr"/>
      <c r="T3482" s="2" t="inlineStr"/>
      <c r="U3482" s="2" t="inlineStr">
        <is>
          <t>https://vivo.com.br/para-voce/produtos-e-servicos/para-o-celular/pre-pago/vivo-pre</t>
        </is>
      </c>
      <c r="V3482" s="2" t="inlineStr">
        <is>
          <t>data/raw/vivo_prepaid_SP.html</t>
        </is>
      </c>
    </row>
    <row r="3483">
      <c r="A3483" s="5" t="inlineStr">
        <is>
          <t>2026-08-23</t>
        </is>
      </c>
      <c r="B3483" s="5" t="inlineStr">
        <is>
          <t>2026-08-23T18:17:10</t>
        </is>
      </c>
      <c r="C3483" s="5" t="inlineStr">
        <is>
          <t>vivo</t>
        </is>
      </c>
      <c r="D3483" s="5" t="inlineStr">
        <is>
          <t>prepaid</t>
        </is>
      </c>
      <c r="E3483" s="5" t="inlineStr">
        <is>
          <t>SP</t>
        </is>
      </c>
      <c r="F3483" s="5" t="inlineStr">
        <is>
          <t>Vivo Pré</t>
        </is>
      </c>
      <c r="G3483" s="5" t="inlineStr">
        <is>
          <t>vivo:VIV202600029370-15d</t>
        </is>
      </c>
      <c r="H3483" s="6" t="n">
        <v>17</v>
      </c>
      <c r="I3483" s="6" t="inlineStr"/>
      <c r="J3483" s="5" t="inlineStr"/>
      <c r="K3483" s="5" t="inlineStr"/>
      <c r="L3483" s="7" t="n">
        <v>4</v>
      </c>
      <c r="M3483" s="5" t="inlineStr">
        <is>
          <t>4 GB para navegar como quiser</t>
        </is>
      </c>
      <c r="N3483" s="5" t="n">
        <v>15</v>
      </c>
      <c r="O3483" s="5" t="inlineStr"/>
      <c r="P3483" s="5" t="inlineStr"/>
      <c r="Q3483" s="5" t="inlineStr"/>
      <c r="R3483" s="5" t="inlineStr"/>
      <c r="S3483" s="5" t="inlineStr"/>
      <c r="T3483" s="5" t="inlineStr"/>
      <c r="U3483" s="5" t="inlineStr">
        <is>
          <t>https://vivo.com.br/para-voce/produtos-e-servicos/para-o-celular/pre-pago/vivo-pre</t>
        </is>
      </c>
      <c r="V3483" s="5" t="inlineStr">
        <is>
          <t>data/raw/vivo_prepaid_SP.html</t>
        </is>
      </c>
    </row>
    <row r="3484">
      <c r="A3484" s="2" t="inlineStr">
        <is>
          <t>2026-08-24</t>
        </is>
      </c>
      <c r="B3484" s="2" t="inlineStr">
        <is>
          <t>2026-08-24T18:24:33</t>
        </is>
      </c>
      <c r="C3484" s="2" t="inlineStr">
        <is>
          <t>claro</t>
        </is>
      </c>
      <c r="D3484" s="2" t="inlineStr">
        <is>
          <t>control</t>
        </is>
      </c>
      <c r="E3484" s="2" t="inlineStr">
        <is>
          <t>SP</t>
        </is>
      </c>
      <c r="F3484" s="2" t="inlineStr">
        <is>
          <t>Controle 25GB</t>
        </is>
      </c>
      <c r="G3484" s="2" t="inlineStr">
        <is>
          <t>claro:plano-controle-25gb</t>
        </is>
      </c>
      <c r="H3484" s="3" t="n">
        <v>59.9</v>
      </c>
      <c r="I3484" s="3" t="n">
        <v>54.9</v>
      </c>
      <c r="J3484" s="2" t="inlineStr">
        <is>
          <t>De R$ 59,90 Por:</t>
        </is>
      </c>
      <c r="K3484" s="2" t="inlineStr"/>
      <c r="L3484" s="4" t="n">
        <v>25</v>
      </c>
      <c r="M3484" s="2" t="inlineStr"/>
      <c r="N3484" s="2" t="inlineStr"/>
      <c r="O3484" s="2" t="inlineStr">
        <is>
          <t>WhatsApp</t>
        </is>
      </c>
      <c r="P3484" s="2" t="inlineStr"/>
      <c r="Q3484" s="2" t="inlineStr"/>
      <c r="R3484" s="2" t="inlineStr"/>
      <c r="S3484" s="2" t="inlineStr"/>
      <c r="T3484" s="2" t="inlineStr">
        <is>
          <t>Para uso livre; Para redes sociais e vídeos; Bônus exclusivo; Aproveite na sua franquia; WhatsApp e ligações ilimitadas</t>
        </is>
      </c>
      <c r="U3484" s="2" t="inlineStr">
        <is>
          <t>https://www.claro.com.br/celular/controle</t>
        </is>
      </c>
      <c r="V3484" s="2" t="inlineStr">
        <is>
          <t>data/raw/claro_control_SP.json</t>
        </is>
      </c>
    </row>
    <row r="3485">
      <c r="A3485" s="5" t="inlineStr">
        <is>
          <t>2026-08-24</t>
        </is>
      </c>
      <c r="B3485" s="5" t="inlineStr">
        <is>
          <t>2026-08-24T18:24:33</t>
        </is>
      </c>
      <c r="C3485" s="5" t="inlineStr">
        <is>
          <t>claro</t>
        </is>
      </c>
      <c r="D3485" s="5" t="inlineStr">
        <is>
          <t>control</t>
        </is>
      </c>
      <c r="E3485" s="5" t="inlineStr">
        <is>
          <t>SP</t>
        </is>
      </c>
      <c r="F3485" s="5" t="inlineStr">
        <is>
          <t>Controle 30GB</t>
        </is>
      </c>
      <c r="G3485" s="5" t="inlineStr">
        <is>
          <t>claro:plano-controle-30gb</t>
        </is>
      </c>
      <c r="H3485" s="6" t="n">
        <v>69.90000000000001</v>
      </c>
      <c r="I3485" s="6" t="inlineStr"/>
      <c r="J3485" s="5" t="inlineStr"/>
      <c r="K3485" s="5" t="inlineStr"/>
      <c r="L3485" s="7" t="n">
        <v>30</v>
      </c>
      <c r="M3485" s="5" t="inlineStr"/>
      <c r="N3485" s="5" t="inlineStr"/>
      <c r="O3485" s="5" t="inlineStr">
        <is>
          <t>WhatsApp</t>
        </is>
      </c>
      <c r="P3485" s="5" t="inlineStr"/>
      <c r="Q3485" s="5" t="inlineStr"/>
      <c r="R3485" s="5" t="inlineStr"/>
      <c r="S3485" s="5" t="inlineStr"/>
      <c r="T3485" s="5" t="inlineStr">
        <is>
          <t>Para uso livre; Bônus para uso livre; Bônus para redes sociais e apps; Assinatura Amazon Prime por 3 meses; Redes sociais e apps; WhatsApp ilimitado</t>
        </is>
      </c>
      <c r="U3485" s="5" t="inlineStr">
        <is>
          <t>https://www.claro.com.br/celular/controle</t>
        </is>
      </c>
      <c r="V3485" s="5" t="inlineStr">
        <is>
          <t>data/raw/claro_control_SP.json</t>
        </is>
      </c>
    </row>
    <row r="3486">
      <c r="A3486" s="2" t="inlineStr">
        <is>
          <t>2026-08-24</t>
        </is>
      </c>
      <c r="B3486" s="2" t="inlineStr">
        <is>
          <t>2026-08-24T18:24:33</t>
        </is>
      </c>
      <c r="C3486" s="2" t="inlineStr">
        <is>
          <t>claro</t>
        </is>
      </c>
      <c r="D3486" s="2" t="inlineStr">
        <is>
          <t>control</t>
        </is>
      </c>
      <c r="E3486" s="2" t="inlineStr">
        <is>
          <t>SP</t>
        </is>
      </c>
      <c r="F3486" s="2" t="inlineStr">
        <is>
          <t>Controle 30GB</t>
        </is>
      </c>
      <c r="G3486" s="2" t="inlineStr">
        <is>
          <t>claro:plano-controle-30gb-gaming</t>
        </is>
      </c>
      <c r="H3486" s="3" t="n">
        <v>99.90000000000001</v>
      </c>
      <c r="I3486" s="3" t="inlineStr"/>
      <c r="J3486" s="2" t="inlineStr"/>
      <c r="K3486" s="2" t="inlineStr"/>
      <c r="L3486" s="4" t="n">
        <v>30</v>
      </c>
      <c r="M3486" s="2" t="inlineStr"/>
      <c r="N3486" s="2" t="inlineStr"/>
      <c r="O3486" s="2" t="inlineStr">
        <is>
          <t>WhatsApp</t>
        </is>
      </c>
      <c r="P3486" s="2" t="inlineStr"/>
      <c r="Q3486" s="2" t="inlineStr"/>
      <c r="R3486" s="2" t="inlineStr"/>
      <c r="S3486" s="2" t="inlineStr"/>
      <c r="T3486" s="2" t="inlineStr">
        <is>
          <t>Para uso livre; Bônus para redes sociais e apps; Bônus uso livre; Assinatura Amazon Prime por 3 meses; Redes sociais e apps; WhatsApp ilimitado</t>
        </is>
      </c>
      <c r="U3486" s="2" t="inlineStr">
        <is>
          <t>https://www.claro.com.br/celular/controle</t>
        </is>
      </c>
      <c r="V3486" s="2" t="inlineStr">
        <is>
          <t>data/raw/claro_control_SP.json</t>
        </is>
      </c>
    </row>
    <row r="3487">
      <c r="A3487" s="5" t="inlineStr">
        <is>
          <t>2026-08-24</t>
        </is>
      </c>
      <c r="B3487" s="5" t="inlineStr">
        <is>
          <t>2026-08-24T18:24:33</t>
        </is>
      </c>
      <c r="C3487" s="5" t="inlineStr">
        <is>
          <t>claro</t>
        </is>
      </c>
      <c r="D3487" s="5" t="inlineStr">
        <is>
          <t>flex</t>
        </is>
      </c>
      <c r="E3487" s="5" t="inlineStr">
        <is>
          <t>SP</t>
        </is>
      </c>
      <c r="F3487" s="5" t="inlineStr">
        <is>
          <t>Flex 15GB</t>
        </is>
      </c>
      <c r="G3487" s="5" t="inlineStr">
        <is>
          <t>claro:plano-flex-15gb</t>
        </is>
      </c>
      <c r="H3487" s="6" t="n">
        <v>44.9</v>
      </c>
      <c r="I3487" s="6" t="inlineStr"/>
      <c r="J3487" s="5" t="inlineStr"/>
      <c r="K3487" s="5" t="inlineStr"/>
      <c r="L3487" s="7" t="n">
        <v>15</v>
      </c>
      <c r="M3487" s="5" t="inlineStr"/>
      <c r="N3487" s="5" t="inlineStr"/>
      <c r="O3487" s="5" t="inlineStr">
        <is>
          <t>WhatsApp</t>
        </is>
      </c>
      <c r="P3487" s="5" t="inlineStr"/>
      <c r="Q3487" s="5" t="inlineStr"/>
      <c r="R3487" s="5" t="inlineStr"/>
      <c r="S3487" s="5" t="inlineStr"/>
      <c r="T3487" s="5" t="inlineStr">
        <is>
          <t>Para uso livre; Bônus Pais para uso livre; Para redes sociais e apps; Bônus extra nos apps; WhatsApp ilimitado</t>
        </is>
      </c>
      <c r="U3487" s="5" t="inlineStr">
        <is>
          <t>https://www.claro.com.br/celular/flex</t>
        </is>
      </c>
      <c r="V3487" s="5" t="inlineStr">
        <is>
          <t>data/raw/claro_flex_SP.json</t>
        </is>
      </c>
    </row>
    <row r="3488">
      <c r="A3488" s="2" t="inlineStr">
        <is>
          <t>2026-08-24</t>
        </is>
      </c>
      <c r="B3488" s="2" t="inlineStr">
        <is>
          <t>2026-08-24T18:24:33</t>
        </is>
      </c>
      <c r="C3488" s="2" t="inlineStr">
        <is>
          <t>claro</t>
        </is>
      </c>
      <c r="D3488" s="2" t="inlineStr">
        <is>
          <t>flex</t>
        </is>
      </c>
      <c r="E3488" s="2" t="inlineStr">
        <is>
          <t>SP</t>
        </is>
      </c>
      <c r="F3488" s="2" t="inlineStr">
        <is>
          <t>Flex 20GB</t>
        </is>
      </c>
      <c r="G3488" s="2" t="inlineStr">
        <is>
          <t>claro:plano-flex-20gb</t>
        </is>
      </c>
      <c r="H3488" s="3" t="n">
        <v>59.9</v>
      </c>
      <c r="I3488" s="3" t="inlineStr"/>
      <c r="J3488" s="2" t="inlineStr"/>
      <c r="K3488" s="2" t="inlineStr"/>
      <c r="L3488" s="4" t="n">
        <v>20</v>
      </c>
      <c r="M3488" s="2" t="inlineStr"/>
      <c r="N3488" s="2" t="inlineStr"/>
      <c r="O3488" s="2" t="inlineStr">
        <is>
          <t>WhatsApp</t>
        </is>
      </c>
      <c r="P3488" s="2" t="inlineStr"/>
      <c r="Q3488" s="2" t="inlineStr"/>
      <c r="R3488" s="2" t="inlineStr"/>
      <c r="S3488" s="2" t="inlineStr"/>
      <c r="T3488" s="2" t="inlineStr">
        <is>
          <t>Para uso livre; Bônus Pais para uso livre; Para redes sociais e apps; Bônus extra nos apps; WhatsApp ilimitado</t>
        </is>
      </c>
      <c r="U3488" s="2" t="inlineStr">
        <is>
          <t>https://www.claro.com.br/celular/flex</t>
        </is>
      </c>
      <c r="V3488" s="2" t="inlineStr">
        <is>
          <t>data/raw/claro_flex_SP.json</t>
        </is>
      </c>
    </row>
    <row r="3489">
      <c r="A3489" s="5" t="inlineStr">
        <is>
          <t>2026-08-24</t>
        </is>
      </c>
      <c r="B3489" s="5" t="inlineStr">
        <is>
          <t>2026-08-24T18:24:33</t>
        </is>
      </c>
      <c r="C3489" s="5" t="inlineStr">
        <is>
          <t>claro</t>
        </is>
      </c>
      <c r="D3489" s="5" t="inlineStr">
        <is>
          <t>flex</t>
        </is>
      </c>
      <c r="E3489" s="5" t="inlineStr">
        <is>
          <t>SP</t>
        </is>
      </c>
      <c r="F3489" s="5" t="inlineStr">
        <is>
          <t>Flex 30GB</t>
        </is>
      </c>
      <c r="G3489" s="5" t="inlineStr">
        <is>
          <t>claro:plano-flex-30gb</t>
        </is>
      </c>
      <c r="H3489" s="6" t="n">
        <v>69.90000000000001</v>
      </c>
      <c r="I3489" s="6" t="inlineStr"/>
      <c r="J3489" s="5" t="inlineStr"/>
      <c r="K3489" s="5" t="inlineStr"/>
      <c r="L3489" s="7" t="n">
        <v>30</v>
      </c>
      <c r="M3489" s="5" t="inlineStr"/>
      <c r="N3489" s="5" t="inlineStr"/>
      <c r="O3489" s="5" t="inlineStr">
        <is>
          <t>WhatsApp</t>
        </is>
      </c>
      <c r="P3489" s="5" t="inlineStr"/>
      <c r="Q3489" s="5" t="inlineStr"/>
      <c r="R3489" s="5" t="inlineStr"/>
      <c r="S3489" s="5" t="inlineStr"/>
      <c r="T3489" s="5" t="inlineStr">
        <is>
          <t>Para uso livre; Bônus Pais para uso livre; Para redes sociais e apps; Bônus extra nos apps; WhatsApp ilimitado; Assinatura Claro musica inclusa</t>
        </is>
      </c>
      <c r="U3489" s="5" t="inlineStr">
        <is>
          <t>https://www.claro.com.br/celular/flex</t>
        </is>
      </c>
      <c r="V3489" s="5" t="inlineStr">
        <is>
          <t>data/raw/claro_flex_SP.json</t>
        </is>
      </c>
    </row>
    <row r="3490">
      <c r="A3490" s="2" t="inlineStr">
        <is>
          <t>2026-08-24</t>
        </is>
      </c>
      <c r="B3490" s="2" t="inlineStr">
        <is>
          <t>2026-08-24T18:24:33</t>
        </is>
      </c>
      <c r="C3490" s="2" t="inlineStr">
        <is>
          <t>claro</t>
        </is>
      </c>
      <c r="D3490" s="2" t="inlineStr">
        <is>
          <t>flex</t>
        </is>
      </c>
      <c r="E3490" s="2" t="inlineStr">
        <is>
          <t>SP</t>
        </is>
      </c>
      <c r="F3490" s="2" t="inlineStr">
        <is>
          <t>Flex 40GB</t>
        </is>
      </c>
      <c r="G3490" s="2" t="inlineStr">
        <is>
          <t>claro:plano-flex-40gb</t>
        </is>
      </c>
      <c r="H3490" s="3" t="n">
        <v>119.9</v>
      </c>
      <c r="I3490" s="3" t="inlineStr"/>
      <c r="J3490" s="2" t="inlineStr"/>
      <c r="K3490" s="2" t="inlineStr"/>
      <c r="L3490" s="4" t="n">
        <v>40</v>
      </c>
      <c r="M3490" s="2" t="inlineStr"/>
      <c r="N3490" s="2" t="inlineStr"/>
      <c r="O3490" s="2" t="inlineStr">
        <is>
          <t>WhatsApp</t>
        </is>
      </c>
      <c r="P3490" s="2" t="inlineStr"/>
      <c r="Q3490" s="2" t="inlineStr"/>
      <c r="R3490" s="2" t="inlineStr"/>
      <c r="S3490" s="2" t="inlineStr"/>
      <c r="T3490" s="2" t="inlineStr">
        <is>
          <t>Para uso livre; Para redes sociais e apps; Bônus extra nos apps; WhatsApp ilimitado; Assinatura Claro musica inclusa</t>
        </is>
      </c>
      <c r="U3490" s="2" t="inlineStr">
        <is>
          <t>https://www.claro.com.br/celular/flex</t>
        </is>
      </c>
      <c r="V3490" s="2" t="inlineStr">
        <is>
          <t>data/raw/claro_flex_SP.json</t>
        </is>
      </c>
    </row>
    <row r="3491">
      <c r="A3491" s="5" t="inlineStr">
        <is>
          <t>2026-08-24</t>
        </is>
      </c>
      <c r="B3491" s="5" t="inlineStr">
        <is>
          <t>2026-08-24T18:24:33</t>
        </is>
      </c>
      <c r="C3491" s="5" t="inlineStr">
        <is>
          <t>claro</t>
        </is>
      </c>
      <c r="D3491" s="5" t="inlineStr">
        <is>
          <t>postpaid</t>
        </is>
      </c>
      <c r="E3491" s="5" t="inlineStr">
        <is>
          <t>SP</t>
        </is>
      </c>
      <c r="F3491" s="5" t="inlineStr">
        <is>
          <t>Pós 100GB</t>
        </is>
      </c>
      <c r="G3491" s="5" t="inlineStr">
        <is>
          <t>claro:plano-pos-100gb</t>
        </is>
      </c>
      <c r="H3491" s="6" t="n">
        <v>179.9</v>
      </c>
      <c r="I3491" s="6" t="inlineStr"/>
      <c r="J3491" s="5" t="inlineStr"/>
      <c r="K3491" s="5" t="inlineStr"/>
      <c r="L3491" s="7" t="n">
        <v>100</v>
      </c>
      <c r="M3491" s="5" t="inlineStr"/>
      <c r="N3491" s="5" t="inlineStr"/>
      <c r="O3491" s="5" t="inlineStr">
        <is>
          <t>WhatsApp</t>
        </is>
      </c>
      <c r="P3491" s="5" t="inlineStr"/>
      <c r="Q3491" s="5" t="inlineStr"/>
      <c r="R3491" s="5" t="inlineStr"/>
      <c r="S3491" s="5" t="inlineStr"/>
      <c r="T3491" s="5" t="inlineStr">
        <is>
          <t>Armazenamento na nuvem:; Google One ou iCloud+; WhatsApp ilimitado; Assinatura Amazon Prime por 3 meses; Roaming: Passaporte Américas; Claro Sync: Smartwatch conectado</t>
        </is>
      </c>
      <c r="U3491" s="5" t="inlineStr">
        <is>
          <t>https://www.claro.com.br/celular/pos</t>
        </is>
      </c>
      <c r="V3491" s="5" t="inlineStr">
        <is>
          <t>data/raw/claro_postpaid_SP.json</t>
        </is>
      </c>
    </row>
    <row r="3492">
      <c r="A3492" s="2" t="inlineStr">
        <is>
          <t>2026-08-24</t>
        </is>
      </c>
      <c r="B3492" s="2" t="inlineStr">
        <is>
          <t>2026-08-24T18:24:33</t>
        </is>
      </c>
      <c r="C3492" s="2" t="inlineStr">
        <is>
          <t>claro</t>
        </is>
      </c>
      <c r="D3492" s="2" t="inlineStr">
        <is>
          <t>postpaid</t>
        </is>
      </c>
      <c r="E3492" s="2" t="inlineStr">
        <is>
          <t>SP</t>
        </is>
      </c>
      <c r="F3492" s="2" t="inlineStr">
        <is>
          <t>Pós 150GB</t>
        </is>
      </c>
      <c r="G3492" s="2" t="inlineStr">
        <is>
          <t>claro:plano-pos-150gb</t>
        </is>
      </c>
      <c r="H3492" s="3" t="n">
        <v>239.9</v>
      </c>
      <c r="I3492" s="3" t="inlineStr"/>
      <c r="J3492" s="2" t="inlineStr"/>
      <c r="K3492" s="2" t="inlineStr"/>
      <c r="L3492" s="4" t="n">
        <v>150</v>
      </c>
      <c r="M3492" s="2" t="inlineStr"/>
      <c r="N3492" s="2" t="inlineStr"/>
      <c r="O3492" s="2" t="inlineStr">
        <is>
          <t>WhatsApp</t>
        </is>
      </c>
      <c r="P3492" s="2" t="inlineStr"/>
      <c r="Q3492" s="2" t="inlineStr"/>
      <c r="R3492" s="2" t="inlineStr"/>
      <c r="S3492" s="2" t="inlineStr"/>
      <c r="T349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92" s="2" t="inlineStr">
        <is>
          <t>https://www.claro.com.br/celular/pos</t>
        </is>
      </c>
      <c r="V3492" s="2" t="inlineStr">
        <is>
          <t>data/raw/claro_postpaid_SP.json</t>
        </is>
      </c>
    </row>
    <row r="3493">
      <c r="A3493" s="5" t="inlineStr">
        <is>
          <t>2026-08-24</t>
        </is>
      </c>
      <c r="B3493" s="5" t="inlineStr">
        <is>
          <t>2026-08-24T18:24:33</t>
        </is>
      </c>
      <c r="C3493" s="5" t="inlineStr">
        <is>
          <t>claro</t>
        </is>
      </c>
      <c r="D3493" s="5" t="inlineStr">
        <is>
          <t>postpaid</t>
        </is>
      </c>
      <c r="E3493" s="5" t="inlineStr">
        <is>
          <t>SP</t>
        </is>
      </c>
      <c r="F3493" s="5" t="inlineStr">
        <is>
          <t>Pós 200GB</t>
        </is>
      </c>
      <c r="G3493" s="5" t="inlineStr">
        <is>
          <t>claro:plano-pos-200gb</t>
        </is>
      </c>
      <c r="H3493" s="6" t="n">
        <v>339.9</v>
      </c>
      <c r="I3493" s="6" t="inlineStr"/>
      <c r="J3493" s="5" t="inlineStr"/>
      <c r="K3493" s="5" t="inlineStr"/>
      <c r="L3493" s="7" t="n">
        <v>200</v>
      </c>
      <c r="M3493" s="5" t="inlineStr"/>
      <c r="N3493" s="5" t="inlineStr"/>
      <c r="O3493" s="5" t="inlineStr">
        <is>
          <t>WhatsApp</t>
        </is>
      </c>
      <c r="P3493" s="5" t="inlineStr"/>
      <c r="Q3493" s="5" t="inlineStr"/>
      <c r="R3493" s="5" t="inlineStr"/>
      <c r="S3493" s="5" t="inlineStr"/>
      <c r="T3493" s="5" t="inlineStr">
        <is>
          <t>Armazenamento na nuvem:; Google One (AI Plus) ou iCloud+; WhatsApp ilimitado; Assinatura Amazon Prime por 3 meses; Roaming: Passaporte Mundo; Claro Sync: Smartwatch conectado</t>
        </is>
      </c>
      <c r="U3493" s="5" t="inlineStr">
        <is>
          <t>https://www.claro.com.br/celular/pos</t>
        </is>
      </c>
      <c r="V3493" s="5" t="inlineStr">
        <is>
          <t>data/raw/claro_postpaid_SP.json</t>
        </is>
      </c>
    </row>
    <row r="3494">
      <c r="A3494" s="2" t="inlineStr">
        <is>
          <t>2026-08-24</t>
        </is>
      </c>
      <c r="B3494" s="2" t="inlineStr">
        <is>
          <t>2026-08-24T18:24:33</t>
        </is>
      </c>
      <c r="C3494" s="2" t="inlineStr">
        <is>
          <t>claro</t>
        </is>
      </c>
      <c r="D3494" s="2" t="inlineStr">
        <is>
          <t>postpaid</t>
        </is>
      </c>
      <c r="E3494" s="2" t="inlineStr">
        <is>
          <t>SP</t>
        </is>
      </c>
      <c r="F3494" s="2" t="inlineStr">
        <is>
          <t>Pós 50GB com GeForce NOW</t>
        </is>
      </c>
      <c r="G3494" s="2" t="inlineStr">
        <is>
          <t>claro:plano-pos-60gb-geforce</t>
        </is>
      </c>
      <c r="H3494" s="3" t="n">
        <v>164.9</v>
      </c>
      <c r="I3494" s="3" t="inlineStr"/>
      <c r="J3494" s="2" t="inlineStr"/>
      <c r="K3494" s="2" t="inlineStr"/>
      <c r="L3494" s="4" t="n">
        <v>50</v>
      </c>
      <c r="M3494" s="2" t="inlineStr"/>
      <c r="N3494" s="2" t="inlineStr"/>
      <c r="O3494" s="2" t="inlineStr">
        <is>
          <t>WhatsApp</t>
        </is>
      </c>
      <c r="P3494" s="2" t="inlineStr"/>
      <c r="Q3494" s="2" t="inlineStr"/>
      <c r="R3494" s="2" t="inlineStr"/>
      <c r="S3494" s="2" t="inlineStr"/>
      <c r="T349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94" s="2" t="inlineStr">
        <is>
          <t>https://www.claro.com.br/celular/pos</t>
        </is>
      </c>
      <c r="V3494" s="2" t="inlineStr">
        <is>
          <t>data/raw/claro_postpaid_SP.json</t>
        </is>
      </c>
    </row>
    <row r="3495">
      <c r="A3495" s="5" t="inlineStr">
        <is>
          <t>2026-08-24</t>
        </is>
      </c>
      <c r="B3495" s="5" t="inlineStr">
        <is>
          <t>2026-08-24T18:24:33</t>
        </is>
      </c>
      <c r="C3495" s="5" t="inlineStr">
        <is>
          <t>claro</t>
        </is>
      </c>
      <c r="D3495" s="5" t="inlineStr">
        <is>
          <t>postpaid</t>
        </is>
      </c>
      <c r="E3495" s="5" t="inlineStr">
        <is>
          <t>SP</t>
        </is>
      </c>
      <c r="F3495" s="5" t="inlineStr">
        <is>
          <t>Pós 60GB</t>
        </is>
      </c>
      <c r="G3495" s="5" t="inlineStr">
        <is>
          <t>claro:plano-pos-60gb</t>
        </is>
      </c>
      <c r="H3495" s="6" t="n">
        <v>124.9</v>
      </c>
      <c r="I3495" s="6" t="inlineStr"/>
      <c r="J3495" s="5" t="inlineStr"/>
      <c r="K3495" s="5" t="inlineStr"/>
      <c r="L3495" s="7" t="n">
        <v>60</v>
      </c>
      <c r="M3495" s="5" t="inlineStr"/>
      <c r="N3495" s="5" t="inlineStr"/>
      <c r="O3495" s="5" t="inlineStr">
        <is>
          <t>WhatsApp</t>
        </is>
      </c>
      <c r="P3495" s="5" t="inlineStr"/>
      <c r="Q3495" s="5" t="inlineStr"/>
      <c r="R3495" s="5" t="inlineStr"/>
      <c r="S3495" s="5" t="inlineStr"/>
      <c r="T3495" s="5" t="inlineStr">
        <is>
          <t>Armazenamento na nuvem:; Google One ou iCloud+; WhatsApp ilimitado; Assinatura Amazon Prime por 3 meses; Roaming: Passaporte Américas; Claro Sync: Smartwatch conectado</t>
        </is>
      </c>
      <c r="U3495" s="5" t="inlineStr">
        <is>
          <t>https://www.claro.com.br/celular/pos</t>
        </is>
      </c>
      <c r="V3495" s="5" t="inlineStr">
        <is>
          <t>data/raw/claro_postpaid_SP.json</t>
        </is>
      </c>
    </row>
    <row r="3496">
      <c r="A3496" s="2" t="inlineStr">
        <is>
          <t>2026-08-24</t>
        </is>
      </c>
      <c r="B3496" s="2" t="inlineStr">
        <is>
          <t>2026-08-24T18:24:33</t>
        </is>
      </c>
      <c r="C3496" s="2" t="inlineStr">
        <is>
          <t>claro</t>
        </is>
      </c>
      <c r="D3496" s="2" t="inlineStr">
        <is>
          <t>prepaid</t>
        </is>
      </c>
      <c r="E3496" s="2" t="inlineStr">
        <is>
          <t>SP</t>
        </is>
      </c>
      <c r="F3496" s="2" t="inlineStr">
        <is>
          <t>Prezão 10GB (25 dias)</t>
        </is>
      </c>
      <c r="G3496" s="2" t="inlineStr">
        <is>
          <t>claro:prezao-25d-10gb</t>
        </is>
      </c>
      <c r="H3496" s="3" t="n">
        <v>25</v>
      </c>
      <c r="I3496" s="3" t="inlineStr"/>
      <c r="J3496" s="2" t="inlineStr">
        <is>
          <t>recarga Prezão R$25 — validade 25 dias</t>
        </is>
      </c>
      <c r="K3496" s="2" t="inlineStr"/>
      <c r="L3496" s="4" t="n">
        <v>10</v>
      </c>
      <c r="M3496" s="2" t="inlineStr"/>
      <c r="N3496" s="2" t="n">
        <v>25</v>
      </c>
      <c r="O3496" s="2" t="inlineStr"/>
      <c r="P3496" s="2" t="inlineStr"/>
      <c r="Q3496" s="2" t="inlineStr"/>
      <c r="R3496" s="2" t="inlineStr"/>
      <c r="S3496" s="2" t="inlineStr"/>
      <c r="T3496" s="2" t="inlineStr"/>
      <c r="U3496" s="2" t="inlineStr">
        <is>
          <t>https://www.claro.com.br/celular/planos-pre/prezao</t>
        </is>
      </c>
      <c r="V3496" s="2" t="inlineStr">
        <is>
          <t>data/raw/claro_prepaid_SP.json</t>
        </is>
      </c>
    </row>
    <row r="3497">
      <c r="A3497" s="5" t="inlineStr">
        <is>
          <t>2026-08-24</t>
        </is>
      </c>
      <c r="B3497" s="5" t="inlineStr">
        <is>
          <t>2026-08-24T18:24:33</t>
        </is>
      </c>
      <c r="C3497" s="5" t="inlineStr">
        <is>
          <t>claro</t>
        </is>
      </c>
      <c r="D3497" s="5" t="inlineStr">
        <is>
          <t>prepaid</t>
        </is>
      </c>
      <c r="E3497" s="5" t="inlineStr">
        <is>
          <t>SP</t>
        </is>
      </c>
      <c r="F3497" s="5" t="inlineStr">
        <is>
          <t>Prezão 12GB (30 dias)</t>
        </is>
      </c>
      <c r="G3497" s="5" t="inlineStr">
        <is>
          <t>claro:prezao-30d-12gb</t>
        </is>
      </c>
      <c r="H3497" s="6" t="n">
        <v>30</v>
      </c>
      <c r="I3497" s="6" t="inlineStr"/>
      <c r="J3497" s="5" t="inlineStr">
        <is>
          <t>recarga Prezão R$30 — validade 30 dias</t>
        </is>
      </c>
      <c r="K3497" s="5" t="inlineStr"/>
      <c r="L3497" s="7" t="n">
        <v>12</v>
      </c>
      <c r="M3497" s="5" t="inlineStr"/>
      <c r="N3497" s="5" t="n">
        <v>30</v>
      </c>
      <c r="O3497" s="5" t="inlineStr"/>
      <c r="P3497" s="5" t="inlineStr"/>
      <c r="Q3497" s="5" t="inlineStr"/>
      <c r="R3497" s="5" t="inlineStr"/>
      <c r="S3497" s="5" t="inlineStr"/>
      <c r="T3497" s="5" t="inlineStr"/>
      <c r="U3497" s="5" t="inlineStr">
        <is>
          <t>https://www.claro.com.br/celular/planos-pre/prezao</t>
        </is>
      </c>
      <c r="V3497" s="5" t="inlineStr">
        <is>
          <t>data/raw/claro_prepaid_SP.json</t>
        </is>
      </c>
    </row>
    <row r="3498">
      <c r="A3498" s="2" t="inlineStr">
        <is>
          <t>2026-08-24</t>
        </is>
      </c>
      <c r="B3498" s="2" t="inlineStr">
        <is>
          <t>2026-08-24T18:24:33</t>
        </is>
      </c>
      <c r="C3498" s="2" t="inlineStr">
        <is>
          <t>claro</t>
        </is>
      </c>
      <c r="D3498" s="2" t="inlineStr">
        <is>
          <t>prepaid</t>
        </is>
      </c>
      <c r="E3498" s="2" t="inlineStr">
        <is>
          <t>SP</t>
        </is>
      </c>
      <c r="F3498" s="2" t="inlineStr">
        <is>
          <t>Prezão 4GB (12 dias)</t>
        </is>
      </c>
      <c r="G3498" s="2" t="inlineStr">
        <is>
          <t>claro:prezao-12d-4gb</t>
        </is>
      </c>
      <c r="H3498" s="3" t="n">
        <v>15</v>
      </c>
      <c r="I3498" s="3" t="inlineStr"/>
      <c r="J3498" s="2" t="inlineStr">
        <is>
          <t>recarga Prezão R$15 — validade 12 dias</t>
        </is>
      </c>
      <c r="K3498" s="2" t="inlineStr"/>
      <c r="L3498" s="4" t="n">
        <v>4</v>
      </c>
      <c r="M3498" s="2" t="inlineStr"/>
      <c r="N3498" s="2" t="n">
        <v>12</v>
      </c>
      <c r="O3498" s="2" t="inlineStr"/>
      <c r="P3498" s="2" t="inlineStr"/>
      <c r="Q3498" s="2" t="inlineStr"/>
      <c r="R3498" s="2" t="inlineStr"/>
      <c r="S3498" s="2" t="inlineStr"/>
      <c r="T3498" s="2" t="inlineStr"/>
      <c r="U3498" s="2" t="inlineStr">
        <is>
          <t>https://www.claro.com.br/celular/planos-pre/prezao</t>
        </is>
      </c>
      <c r="V3498" s="2" t="inlineStr">
        <is>
          <t>data/raw/claro_prepaid_SP.json</t>
        </is>
      </c>
    </row>
    <row r="3499">
      <c r="A3499" s="5" t="inlineStr">
        <is>
          <t>2026-08-24</t>
        </is>
      </c>
      <c r="B3499" s="5" t="inlineStr">
        <is>
          <t>2026-08-24T18:24:33</t>
        </is>
      </c>
      <c r="C3499" s="5" t="inlineStr">
        <is>
          <t>claro</t>
        </is>
      </c>
      <c r="D3499" s="5" t="inlineStr">
        <is>
          <t>prepaid</t>
        </is>
      </c>
      <c r="E3499" s="5" t="inlineStr">
        <is>
          <t>SP</t>
        </is>
      </c>
      <c r="F3499" s="5" t="inlineStr">
        <is>
          <t>Prezão 5GB (15 dias)</t>
        </is>
      </c>
      <c r="G3499" s="5" t="inlineStr">
        <is>
          <t>claro:prezao-15d-5gb</t>
        </is>
      </c>
      <c r="H3499" s="6" t="n">
        <v>15</v>
      </c>
      <c r="I3499" s="6" t="inlineStr"/>
      <c r="J3499" s="5" t="inlineStr">
        <is>
          <t>recarga Prezão R$15 — validade 15 dias</t>
        </is>
      </c>
      <c r="K3499" s="5" t="inlineStr"/>
      <c r="L3499" s="7" t="n">
        <v>5</v>
      </c>
      <c r="M3499" s="5" t="inlineStr"/>
      <c r="N3499" s="5" t="n">
        <v>15</v>
      </c>
      <c r="O3499" s="5" t="inlineStr"/>
      <c r="P3499" s="5" t="inlineStr"/>
      <c r="Q3499" s="5" t="inlineStr"/>
      <c r="R3499" s="5" t="inlineStr"/>
      <c r="S3499" s="5" t="inlineStr"/>
      <c r="T3499" s="5" t="inlineStr"/>
      <c r="U3499" s="5" t="inlineStr">
        <is>
          <t>https://www.claro.com.br/celular/planos-pre/prezao</t>
        </is>
      </c>
      <c r="V3499" s="5" t="inlineStr">
        <is>
          <t>data/raw/claro_prepaid_SP.json</t>
        </is>
      </c>
    </row>
    <row r="3500">
      <c r="A3500" s="2" t="inlineStr">
        <is>
          <t>2026-08-24</t>
        </is>
      </c>
      <c r="B3500" s="2" t="inlineStr">
        <is>
          <t>2026-08-24T18:24:33</t>
        </is>
      </c>
      <c r="C3500" s="2" t="inlineStr">
        <is>
          <t>claro</t>
        </is>
      </c>
      <c r="D3500" s="2" t="inlineStr">
        <is>
          <t>prepaid</t>
        </is>
      </c>
      <c r="E3500" s="2" t="inlineStr">
        <is>
          <t>SP</t>
        </is>
      </c>
      <c r="F3500" s="2" t="inlineStr">
        <is>
          <t>Prezão 6GB (20 dias)</t>
        </is>
      </c>
      <c r="G3500" s="2" t="inlineStr">
        <is>
          <t>claro:prezao-20d-6gb</t>
        </is>
      </c>
      <c r="H3500" s="3" t="n">
        <v>20</v>
      </c>
      <c r="I3500" s="3" t="inlineStr"/>
      <c r="J3500" s="2" t="inlineStr">
        <is>
          <t>recarga Prezão R$20 — validade 20 dias</t>
        </is>
      </c>
      <c r="K3500" s="2" t="inlineStr"/>
      <c r="L3500" s="4" t="n">
        <v>6</v>
      </c>
      <c r="M3500" s="2" t="inlineStr"/>
      <c r="N3500" s="2" t="n">
        <v>20</v>
      </c>
      <c r="O3500" s="2" t="inlineStr"/>
      <c r="P3500" s="2" t="inlineStr"/>
      <c r="Q3500" s="2" t="inlineStr"/>
      <c r="R3500" s="2" t="inlineStr"/>
      <c r="S3500" s="2" t="inlineStr"/>
      <c r="T3500" s="2" t="inlineStr"/>
      <c r="U3500" s="2" t="inlineStr">
        <is>
          <t>https://www.claro.com.br/celular/planos-pre/prezao</t>
        </is>
      </c>
      <c r="V3500" s="2" t="inlineStr">
        <is>
          <t>data/raw/claro_prepaid_SP.json</t>
        </is>
      </c>
    </row>
    <row r="3501">
      <c r="A3501" s="5" t="inlineStr">
        <is>
          <t>2026-08-24</t>
        </is>
      </c>
      <c r="B3501" s="5" t="inlineStr">
        <is>
          <t>2026-08-24T18:24:33</t>
        </is>
      </c>
      <c r="C3501" s="5" t="inlineStr">
        <is>
          <t>claro</t>
        </is>
      </c>
      <c r="D3501" s="5" t="inlineStr">
        <is>
          <t>prepaid</t>
        </is>
      </c>
      <c r="E3501" s="5" t="inlineStr">
        <is>
          <t>SP</t>
        </is>
      </c>
      <c r="F3501" s="5" t="inlineStr">
        <is>
          <t>Prezão 8GB (20 dias)</t>
        </is>
      </c>
      <c r="G3501" s="5" t="inlineStr">
        <is>
          <t>claro:prezao-20d-8gb</t>
        </is>
      </c>
      <c r="H3501" s="6" t="n">
        <v>20</v>
      </c>
      <c r="I3501" s="6" t="inlineStr"/>
      <c r="J3501" s="5" t="inlineStr">
        <is>
          <t>recarga Prezão R$20 — validade 20 dias</t>
        </is>
      </c>
      <c r="K3501" s="5" t="inlineStr"/>
      <c r="L3501" s="7" t="n">
        <v>8</v>
      </c>
      <c r="M3501" s="5" t="inlineStr"/>
      <c r="N3501" s="5" t="n">
        <v>20</v>
      </c>
      <c r="O3501" s="5" t="inlineStr"/>
      <c r="P3501" s="5" t="inlineStr"/>
      <c r="Q3501" s="5" t="inlineStr"/>
      <c r="R3501" s="5" t="inlineStr"/>
      <c r="S3501" s="5" t="inlineStr"/>
      <c r="T3501" s="5" t="inlineStr"/>
      <c r="U3501" s="5" t="inlineStr">
        <is>
          <t>https://www.claro.com.br/celular/planos-pre/prezao</t>
        </is>
      </c>
      <c r="V3501" s="5" t="inlineStr">
        <is>
          <t>data/raw/claro_prepaid_SP.json</t>
        </is>
      </c>
    </row>
    <row r="3502">
      <c r="A3502" s="2" t="inlineStr">
        <is>
          <t>2026-08-24</t>
        </is>
      </c>
      <c r="B3502" s="2" t="inlineStr">
        <is>
          <t>2026-08-24T18:24:33</t>
        </is>
      </c>
      <c r="C3502" s="2" t="inlineStr">
        <is>
          <t>claro</t>
        </is>
      </c>
      <c r="D3502" s="2" t="inlineStr">
        <is>
          <t>prepaid</t>
        </is>
      </c>
      <c r="E3502" s="2" t="inlineStr">
        <is>
          <t>SP</t>
        </is>
      </c>
      <c r="F3502" s="2" t="inlineStr">
        <is>
          <t>Prezão 9GB (25 dias)</t>
        </is>
      </c>
      <c r="G3502" s="2" t="inlineStr">
        <is>
          <t>claro:prezao-25d-9gb</t>
        </is>
      </c>
      <c r="H3502" s="3" t="n">
        <v>25</v>
      </c>
      <c r="I3502" s="3" t="inlineStr"/>
      <c r="J3502" s="2" t="inlineStr">
        <is>
          <t>recarga Prezão R$25 — validade 25 dias</t>
        </is>
      </c>
      <c r="K3502" s="2" t="inlineStr"/>
      <c r="L3502" s="4" t="n">
        <v>9</v>
      </c>
      <c r="M3502" s="2" t="inlineStr"/>
      <c r="N3502" s="2" t="n">
        <v>25</v>
      </c>
      <c r="O3502" s="2" t="inlineStr"/>
      <c r="P3502" s="2" t="inlineStr"/>
      <c r="Q3502" s="2" t="inlineStr"/>
      <c r="R3502" s="2" t="inlineStr"/>
      <c r="S3502" s="2" t="inlineStr"/>
      <c r="T3502" s="2" t="inlineStr"/>
      <c r="U3502" s="2" t="inlineStr">
        <is>
          <t>https://www.claro.com.br/celular/planos-pre/prezao</t>
        </is>
      </c>
      <c r="V3502" s="2" t="inlineStr">
        <is>
          <t>data/raw/claro_prepaid_SP.json</t>
        </is>
      </c>
    </row>
    <row r="3503">
      <c r="A3503" s="5" t="inlineStr">
        <is>
          <t>2026-08-24</t>
        </is>
      </c>
      <c r="B3503" s="5" t="inlineStr">
        <is>
          <t>2026-08-24T18:24:33</t>
        </is>
      </c>
      <c r="C3503" s="5" t="inlineStr">
        <is>
          <t>tim</t>
        </is>
      </c>
      <c r="D3503" s="5" t="inlineStr">
        <is>
          <t>control</t>
        </is>
      </c>
      <c r="E3503" s="5" t="inlineStr">
        <is>
          <t>SP</t>
        </is>
      </c>
      <c r="F3503" s="5" t="inlineStr">
        <is>
          <t>TIM Controle 45GB</t>
        </is>
      </c>
      <c r="G3503" s="5" t="inlineStr">
        <is>
          <t>tim:181976</t>
        </is>
      </c>
      <c r="H3503" s="6" t="n">
        <v>58.99</v>
      </c>
      <c r="I3503" s="6" t="inlineStr"/>
      <c r="J3503" s="5" t="inlineStr"/>
      <c r="K3503" s="5" t="inlineStr"/>
      <c r="L3503" s="7" t="n">
        <v>45</v>
      </c>
      <c r="M3503" s="5" t="inlineStr"/>
      <c r="N3503" s="5" t="inlineStr"/>
      <c r="O3503" s="5" t="inlineStr"/>
      <c r="P3503" s="5" t="inlineStr"/>
      <c r="Q3503" s="5" t="inlineStr"/>
      <c r="R3503" s="5" t="inlineStr"/>
      <c r="S3503" s="5" t="inlineStr"/>
      <c r="T3503" s="5" t="inlineStr"/>
      <c r="U3503" s="5" t="inlineStr">
        <is>
          <t>https://www.tim.com.br/sp/para-voce/planos/controle</t>
        </is>
      </c>
      <c r="V3503" s="5" t="inlineStr">
        <is>
          <t>data/raw/tim_control_SP.html</t>
        </is>
      </c>
    </row>
    <row r="3504">
      <c r="A3504" s="2" t="inlineStr">
        <is>
          <t>2026-08-24</t>
        </is>
      </c>
      <c r="B3504" s="2" t="inlineStr">
        <is>
          <t>2026-08-24T18:24:33</t>
        </is>
      </c>
      <c r="C3504" s="2" t="inlineStr">
        <is>
          <t>tim</t>
        </is>
      </c>
      <c r="D3504" s="2" t="inlineStr">
        <is>
          <t>control</t>
        </is>
      </c>
      <c r="E3504" s="2" t="inlineStr">
        <is>
          <t>SP</t>
        </is>
      </c>
      <c r="F3504" s="2" t="inlineStr">
        <is>
          <t>TIM Controle Light Express 45GB</t>
        </is>
      </c>
      <c r="G3504" s="2" t="inlineStr">
        <is>
          <t>tim:167726</t>
        </is>
      </c>
      <c r="H3504" s="3" t="n">
        <v>60.99</v>
      </c>
      <c r="I3504" s="3" t="inlineStr"/>
      <c r="J3504" s="2" t="inlineStr"/>
      <c r="K3504" s="2" t="inlineStr"/>
      <c r="L3504" s="4" t="n">
        <v>45</v>
      </c>
      <c r="M3504" s="2" t="inlineStr"/>
      <c r="N3504" s="2" t="inlineStr"/>
      <c r="O3504" s="2" t="inlineStr"/>
      <c r="P3504" s="2" t="inlineStr"/>
      <c r="Q3504" s="2" t="inlineStr"/>
      <c r="R3504" s="2" t="inlineStr"/>
      <c r="S3504" s="2" t="inlineStr"/>
      <c r="T3504" s="2" t="inlineStr"/>
      <c r="U3504" s="2" t="inlineStr">
        <is>
          <t>https://www.tim.com.br/sp/para-voce/planos/controle</t>
        </is>
      </c>
      <c r="V3504" s="2" t="inlineStr">
        <is>
          <t>data/raw/tim_control_SP.html</t>
        </is>
      </c>
    </row>
    <row r="3505">
      <c r="A3505" s="5" t="inlineStr">
        <is>
          <t>2026-08-24</t>
        </is>
      </c>
      <c r="B3505" s="5" t="inlineStr">
        <is>
          <t>2026-08-24T18:24:33</t>
        </is>
      </c>
      <c r="C3505" s="5" t="inlineStr">
        <is>
          <t>tim</t>
        </is>
      </c>
      <c r="D3505" s="5" t="inlineStr">
        <is>
          <t>control</t>
        </is>
      </c>
      <c r="E3505" s="5" t="inlineStr">
        <is>
          <t>SP</t>
        </is>
      </c>
      <c r="F3505" s="5" t="inlineStr">
        <is>
          <t>TIM Controle Premium 55GB</t>
        </is>
      </c>
      <c r="G3505" s="5" t="inlineStr">
        <is>
          <t>tim:167041</t>
        </is>
      </c>
      <c r="H3505" s="6" t="n">
        <v>84.98999999999999</v>
      </c>
      <c r="I3505" s="6" t="inlineStr"/>
      <c r="J3505" s="5" t="inlineStr"/>
      <c r="K3505" s="5" t="inlineStr"/>
      <c r="L3505" s="7" t="n">
        <v>55</v>
      </c>
      <c r="M3505" s="5" t="inlineStr"/>
      <c r="N3505" s="5" t="inlineStr"/>
      <c r="O3505" s="5" t="inlineStr"/>
      <c r="P3505" s="5" t="inlineStr"/>
      <c r="Q3505" s="5" t="inlineStr"/>
      <c r="R3505" s="5" t="inlineStr"/>
      <c r="S3505" s="5" t="inlineStr"/>
      <c r="T3505" s="5" t="inlineStr"/>
      <c r="U3505" s="5" t="inlineStr">
        <is>
          <t>https://www.tim.com.br/sp/para-voce/planos/controle</t>
        </is>
      </c>
      <c r="V3505" s="5" t="inlineStr">
        <is>
          <t>data/raw/tim_control_SP.html</t>
        </is>
      </c>
    </row>
    <row r="3506">
      <c r="A3506" s="2" t="inlineStr">
        <is>
          <t>2026-08-24</t>
        </is>
      </c>
      <c r="B3506" s="2" t="inlineStr">
        <is>
          <t>2026-08-24T18:24:33</t>
        </is>
      </c>
      <c r="C3506" s="2" t="inlineStr">
        <is>
          <t>tim</t>
        </is>
      </c>
      <c r="D3506" s="2" t="inlineStr">
        <is>
          <t>control</t>
        </is>
      </c>
      <c r="E3506" s="2" t="inlineStr">
        <is>
          <t>SP</t>
        </is>
      </c>
      <c r="F3506" s="2" t="inlineStr">
        <is>
          <t>TIM Controle Pro Express 46GB</t>
        </is>
      </c>
      <c r="G3506" s="2" t="inlineStr">
        <is>
          <t>tim:167731</t>
        </is>
      </c>
      <c r="H3506" s="3" t="n">
        <v>64.98999999999999</v>
      </c>
      <c r="I3506" s="3" t="inlineStr"/>
      <c r="J3506" s="2" t="inlineStr"/>
      <c r="K3506" s="2" t="inlineStr"/>
      <c r="L3506" s="4" t="n">
        <v>46</v>
      </c>
      <c r="M3506" s="2" t="inlineStr"/>
      <c r="N3506" s="2" t="inlineStr"/>
      <c r="O3506" s="2" t="inlineStr"/>
      <c r="P3506" s="2" t="inlineStr"/>
      <c r="Q3506" s="2" t="inlineStr"/>
      <c r="R3506" s="2" t="inlineStr"/>
      <c r="S3506" s="2" t="inlineStr"/>
      <c r="T3506" s="2" t="inlineStr"/>
      <c r="U3506" s="2" t="inlineStr">
        <is>
          <t>https://www.tim.com.br/sp/para-voce/planos/controle</t>
        </is>
      </c>
      <c r="V3506" s="2" t="inlineStr">
        <is>
          <t>data/raw/tim_control_SP.html</t>
        </is>
      </c>
    </row>
    <row r="3507">
      <c r="A3507" s="5" t="inlineStr">
        <is>
          <t>2026-08-24</t>
        </is>
      </c>
      <c r="B3507" s="5" t="inlineStr">
        <is>
          <t>2026-08-24T18:24:33</t>
        </is>
      </c>
      <c r="C3507" s="5" t="inlineStr">
        <is>
          <t>tim</t>
        </is>
      </c>
      <c r="D3507" s="5" t="inlineStr">
        <is>
          <t>control</t>
        </is>
      </c>
      <c r="E3507" s="5" t="inlineStr">
        <is>
          <t>SP</t>
        </is>
      </c>
      <c r="F3507" s="5" t="inlineStr">
        <is>
          <t>TIM Controle Redes Sociais 46GB</t>
        </is>
      </c>
      <c r="G3507" s="5" t="inlineStr">
        <is>
          <t>tim:180746</t>
        </is>
      </c>
      <c r="H3507" s="6" t="n">
        <v>64.98999999999999</v>
      </c>
      <c r="I3507" s="6" t="inlineStr"/>
      <c r="J3507" s="5" t="inlineStr"/>
      <c r="K3507" s="5" t="inlineStr"/>
      <c r="L3507" s="7" t="n">
        <v>46</v>
      </c>
      <c r="M3507" s="5" t="inlineStr"/>
      <c r="N3507" s="5" t="inlineStr"/>
      <c r="O3507" s="5" t="inlineStr"/>
      <c r="P3507" s="5" t="inlineStr"/>
      <c r="Q3507" s="5" t="inlineStr"/>
      <c r="R3507" s="5" t="inlineStr"/>
      <c r="S3507" s="5" t="inlineStr"/>
      <c r="T3507" s="5" t="inlineStr"/>
      <c r="U3507" s="5" t="inlineStr">
        <is>
          <t>https://www.tim.com.br/sp/para-voce/planos/controle</t>
        </is>
      </c>
      <c r="V3507" s="5" t="inlineStr">
        <is>
          <t>data/raw/tim_control_SP.html</t>
        </is>
      </c>
    </row>
    <row r="3508">
      <c r="A3508" s="2" t="inlineStr">
        <is>
          <t>2026-08-24</t>
        </is>
      </c>
      <c r="B3508" s="2" t="inlineStr">
        <is>
          <t>2026-08-24T18:24:33</t>
        </is>
      </c>
      <c r="C3508" s="2" t="inlineStr">
        <is>
          <t>tim</t>
        </is>
      </c>
      <c r="D3508" s="2" t="inlineStr">
        <is>
          <t>fit</t>
        </is>
      </c>
      <c r="E3508" s="2" t="inlineStr">
        <is>
          <t>SP</t>
        </is>
      </c>
      <c r="F3508" s="2" t="inlineStr">
        <is>
          <t>TIM Controle Fit Anual 1.0</t>
        </is>
      </c>
      <c r="G3508" s="2" t="inlineStr">
        <is>
          <t>tim:TIM202600000306</t>
        </is>
      </c>
      <c r="H3508" s="3" t="n">
        <v>20</v>
      </c>
      <c r="I3508" s="3" t="inlineStr"/>
      <c r="J3508" s="2" t="inlineStr">
        <is>
          <t>plano anual 12x no cartão de crédito; a etiqueta TIM informa 'sem prazo de permanência'</t>
        </is>
      </c>
      <c r="K3508" s="2" t="inlineStr">
        <is>
          <t>credit_card</t>
        </is>
      </c>
      <c r="L3508" s="4" t="n">
        <v>25</v>
      </c>
      <c r="M3508" s="2" t="inlineStr"/>
      <c r="N3508" s="2" t="inlineStr"/>
      <c r="O3508" s="2" t="inlineStr"/>
      <c r="P3508" s="2" t="inlineStr"/>
      <c r="Q3508" s="2" t="inlineStr"/>
      <c r="R3508" s="2" t="inlineStr"/>
      <c r="S3508" s="2" t="n">
        <v>12</v>
      </c>
      <c r="T3508" s="2" t="inlineStr"/>
      <c r="U3508" s="2" t="inlineStr">
        <is>
          <t>https://www.tim.com.br/sp/para-voce/planos/controle</t>
        </is>
      </c>
      <c r="V3508" s="2" t="inlineStr">
        <is>
          <t>data/raw/tim_fit_SP.html</t>
        </is>
      </c>
    </row>
    <row r="3509">
      <c r="A3509" s="5" t="inlineStr">
        <is>
          <t>2026-08-24</t>
        </is>
      </c>
      <c r="B3509" s="5" t="inlineStr">
        <is>
          <t>2026-08-24T18:24:33</t>
        </is>
      </c>
      <c r="C3509" s="5" t="inlineStr">
        <is>
          <t>tim</t>
        </is>
      </c>
      <c r="D3509" s="5" t="inlineStr">
        <is>
          <t>fit</t>
        </is>
      </c>
      <c r="E3509" s="5" t="inlineStr">
        <is>
          <t>SP</t>
        </is>
      </c>
      <c r="F3509" s="5" t="inlineStr">
        <is>
          <t>TIM Controle Fit Anual 2.0</t>
        </is>
      </c>
      <c r="G3509" s="5" t="inlineStr">
        <is>
          <t>tim:TIM202600000271</t>
        </is>
      </c>
      <c r="H3509" s="6" t="n">
        <v>30</v>
      </c>
      <c r="I3509" s="6" t="inlineStr"/>
      <c r="J3509" s="5" t="inlineStr">
        <is>
          <t>plano anual 12x no cartão de crédito; a etiqueta TIM informa 'sem prazo de permanência'</t>
        </is>
      </c>
      <c r="K3509" s="5" t="inlineStr">
        <is>
          <t>credit_card</t>
        </is>
      </c>
      <c r="L3509" s="7" t="n">
        <v>35</v>
      </c>
      <c r="M3509" s="5" t="inlineStr"/>
      <c r="N3509" s="5" t="inlineStr"/>
      <c r="O3509" s="5" t="inlineStr"/>
      <c r="P3509" s="5" t="inlineStr"/>
      <c r="Q3509" s="5" t="inlineStr"/>
      <c r="R3509" s="5" t="inlineStr"/>
      <c r="S3509" s="5" t="n">
        <v>12</v>
      </c>
      <c r="T3509" s="5" t="inlineStr"/>
      <c r="U3509" s="5" t="inlineStr">
        <is>
          <t>https://www.tim.com.br/sp/para-voce/planos/controle</t>
        </is>
      </c>
      <c r="V3509" s="5" t="inlineStr">
        <is>
          <t>data/raw/tim_fit_SP.html</t>
        </is>
      </c>
    </row>
    <row r="3510">
      <c r="A3510" s="2" t="inlineStr">
        <is>
          <t>2026-08-24</t>
        </is>
      </c>
      <c r="B3510" s="2" t="inlineStr">
        <is>
          <t>2026-08-24T18:24:33</t>
        </is>
      </c>
      <c r="C3510" s="2" t="inlineStr">
        <is>
          <t>tim</t>
        </is>
      </c>
      <c r="D3510" s="2" t="inlineStr">
        <is>
          <t>fit</t>
        </is>
      </c>
      <c r="E3510" s="2" t="inlineStr">
        <is>
          <t>SP</t>
        </is>
      </c>
      <c r="F3510" s="2" t="inlineStr">
        <is>
          <t>TIM Controle Fit Mensal 1.0</t>
        </is>
      </c>
      <c r="G3510" s="2" t="inlineStr">
        <is>
          <t>tim:TIM202600000270</t>
        </is>
      </c>
      <c r="H3510" s="3" t="n">
        <v>20</v>
      </c>
      <c r="I3510" s="3" t="inlineStr"/>
      <c r="J351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10" s="2" t="inlineStr"/>
      <c r="L3510" s="4" t="n">
        <v>20</v>
      </c>
      <c r="M3510" s="2" t="inlineStr"/>
      <c r="N3510" s="2" t="inlineStr"/>
      <c r="O3510" s="2" t="inlineStr"/>
      <c r="P3510" s="2" t="inlineStr"/>
      <c r="Q3510" s="2" t="inlineStr"/>
      <c r="R3510" s="2" t="inlineStr"/>
      <c r="S3510" s="2" t="inlineStr"/>
      <c r="T3510" s="2" t="inlineStr"/>
      <c r="U3510" s="2" t="inlineStr">
        <is>
          <t>https://www.tim.com.br/sp/para-voce/planos/controle</t>
        </is>
      </c>
      <c r="V3510" s="2" t="inlineStr">
        <is>
          <t>data/raw/tim_fit_SP.html</t>
        </is>
      </c>
    </row>
    <row r="3511">
      <c r="A3511" s="5" t="inlineStr">
        <is>
          <t>2026-08-24</t>
        </is>
      </c>
      <c r="B3511" s="5" t="inlineStr">
        <is>
          <t>2026-08-24T18:24:33</t>
        </is>
      </c>
      <c r="C3511" s="5" t="inlineStr">
        <is>
          <t>tim</t>
        </is>
      </c>
      <c r="D3511" s="5" t="inlineStr">
        <is>
          <t>fit</t>
        </is>
      </c>
      <c r="E3511" s="5" t="inlineStr">
        <is>
          <t>SP</t>
        </is>
      </c>
      <c r="F3511" s="5" t="inlineStr">
        <is>
          <t>TIM Controle Fit Mensal 2.0</t>
        </is>
      </c>
      <c r="G3511" s="5" t="inlineStr">
        <is>
          <t>tim:TIM202600000305</t>
        </is>
      </c>
      <c r="H3511" s="6" t="n">
        <v>45</v>
      </c>
      <c r="I3511" s="6" t="inlineStr"/>
      <c r="J3511" s="5" t="inlineStr">
        <is>
          <t>plano mensal, sem prazo de permanência; a etiqueta TIM informa 'sem prazo de permanência'</t>
        </is>
      </c>
      <c r="K3511" s="5" t="inlineStr"/>
      <c r="L3511" s="7" t="n">
        <v>35</v>
      </c>
      <c r="M3511" s="5" t="inlineStr"/>
      <c r="N3511" s="5" t="inlineStr"/>
      <c r="O3511" s="5" t="inlineStr"/>
      <c r="P3511" s="5" t="inlineStr"/>
      <c r="Q3511" s="5" t="inlineStr"/>
      <c r="R3511" s="5" t="inlineStr"/>
      <c r="S3511" s="5" t="inlineStr"/>
      <c r="T3511" s="5" t="inlineStr"/>
      <c r="U3511" s="5" t="inlineStr">
        <is>
          <t>https://www.tim.com.br/sp/para-voce/planos/controle</t>
        </is>
      </c>
      <c r="V3511" s="5" t="inlineStr">
        <is>
          <t>data/raw/tim_fit_SP.html</t>
        </is>
      </c>
    </row>
    <row r="3512">
      <c r="A3512" s="2" t="inlineStr">
        <is>
          <t>2026-08-24</t>
        </is>
      </c>
      <c r="B3512" s="2" t="inlineStr">
        <is>
          <t>2026-08-24T18:24:33</t>
        </is>
      </c>
      <c r="C3512" s="2" t="inlineStr">
        <is>
          <t>tim</t>
        </is>
      </c>
      <c r="D3512" s="2" t="inlineStr">
        <is>
          <t>postpaid</t>
        </is>
      </c>
      <c r="E3512" s="2" t="inlineStr">
        <is>
          <t>SP</t>
        </is>
      </c>
      <c r="F3512" s="2" t="inlineStr">
        <is>
          <t>TIM Black 70GB</t>
        </is>
      </c>
      <c r="G3512" s="2" t="inlineStr">
        <is>
          <t>tim:54206</t>
        </is>
      </c>
      <c r="H3512" s="3" t="n">
        <v>129.99</v>
      </c>
      <c r="I3512" s="3" t="inlineStr"/>
      <c r="J3512" s="2" t="inlineStr"/>
      <c r="K3512" s="2" t="inlineStr">
        <is>
          <t>bill</t>
        </is>
      </c>
      <c r="L3512" s="4" t="n">
        <v>70</v>
      </c>
      <c r="M3512" s="2" t="inlineStr"/>
      <c r="N3512" s="2" t="inlineStr"/>
      <c r="O3512" s="2" t="inlineStr"/>
      <c r="P3512" s="2" t="inlineStr"/>
      <c r="Q3512" s="2" t="inlineStr"/>
      <c r="R3512" s="2" t="inlineStr"/>
      <c r="S3512" s="2" t="inlineStr"/>
      <c r="T3512" s="2" t="inlineStr"/>
      <c r="U3512" s="2" t="inlineStr">
        <is>
          <t>https://www.tim.com.br/sp/para-voce/planos/pos-pago/tim-black</t>
        </is>
      </c>
      <c r="V3512" s="2" t="inlineStr">
        <is>
          <t>data/raw/tim_postpaid_SP.html</t>
        </is>
      </c>
    </row>
    <row r="3513">
      <c r="A3513" s="5" t="inlineStr">
        <is>
          <t>2026-08-24</t>
        </is>
      </c>
      <c r="B3513" s="5" t="inlineStr">
        <is>
          <t>2026-08-24T18:24:33</t>
        </is>
      </c>
      <c r="C3513" s="5" t="inlineStr">
        <is>
          <t>tim</t>
        </is>
      </c>
      <c r="D3513" s="5" t="inlineStr">
        <is>
          <t>postpaid</t>
        </is>
      </c>
      <c r="E3513" s="5" t="inlineStr">
        <is>
          <t>SP</t>
        </is>
      </c>
      <c r="F3513" s="5" t="inlineStr">
        <is>
          <t>TIM Black A Express 67GB</t>
        </is>
      </c>
      <c r="G3513" s="5" t="inlineStr">
        <is>
          <t>tim:55121</t>
        </is>
      </c>
      <c r="H3513" s="6" t="n">
        <v>119.99</v>
      </c>
      <c r="I3513" s="6" t="inlineStr"/>
      <c r="J3513" s="5" t="inlineStr"/>
      <c r="K3513" s="5" t="inlineStr">
        <is>
          <t>credit_card</t>
        </is>
      </c>
      <c r="L3513" s="7" t="n">
        <v>67</v>
      </c>
      <c r="M3513" s="5" t="inlineStr"/>
      <c r="N3513" s="5" t="inlineStr"/>
      <c r="O3513" s="5" t="inlineStr"/>
      <c r="P3513" s="5" t="inlineStr"/>
      <c r="Q3513" s="5" t="inlineStr"/>
      <c r="R3513" s="5" t="inlineStr"/>
      <c r="S3513" s="5" t="inlineStr"/>
      <c r="T3513" s="5" t="inlineStr"/>
      <c r="U3513" s="5" t="inlineStr">
        <is>
          <t>https://www.tim.com.br/sp/para-voce/planos/pos-pago/tim-black</t>
        </is>
      </c>
      <c r="V3513" s="5" t="inlineStr">
        <is>
          <t>data/raw/tim_postpaid_SP.html</t>
        </is>
      </c>
    </row>
    <row r="3514">
      <c r="A3514" s="2" t="inlineStr">
        <is>
          <t>2026-08-24</t>
        </is>
      </c>
      <c r="B3514" s="2" t="inlineStr">
        <is>
          <t>2026-08-24T18:24:33</t>
        </is>
      </c>
      <c r="C3514" s="2" t="inlineStr">
        <is>
          <t>tim</t>
        </is>
      </c>
      <c r="D3514" s="2" t="inlineStr">
        <is>
          <t>postpaid</t>
        </is>
      </c>
      <c r="E3514" s="2" t="inlineStr">
        <is>
          <t>SP</t>
        </is>
      </c>
      <c r="F3514" s="2" t="inlineStr">
        <is>
          <t>TIM Black B Express 82GB</t>
        </is>
      </c>
      <c r="G3514" s="2" t="inlineStr">
        <is>
          <t>tim:52146</t>
        </is>
      </c>
      <c r="H3514" s="3" t="n">
        <v>144.99</v>
      </c>
      <c r="I3514" s="3" t="inlineStr"/>
      <c r="J3514" s="2" t="inlineStr"/>
      <c r="K3514" s="2" t="inlineStr">
        <is>
          <t>credit_card</t>
        </is>
      </c>
      <c r="L3514" s="4" t="n">
        <v>82</v>
      </c>
      <c r="M3514" s="2" t="inlineStr"/>
      <c r="N3514" s="2" t="inlineStr"/>
      <c r="O3514" s="2" t="inlineStr"/>
      <c r="P3514" s="2" t="inlineStr"/>
      <c r="Q3514" s="2" t="inlineStr"/>
      <c r="R3514" s="2" t="inlineStr"/>
      <c r="S3514" s="2" t="inlineStr"/>
      <c r="T3514" s="2" t="inlineStr"/>
      <c r="U3514" s="2" t="inlineStr">
        <is>
          <t>https://www.tim.com.br/sp/para-voce/planos/pos-pago/tim-black</t>
        </is>
      </c>
      <c r="V3514" s="2" t="inlineStr">
        <is>
          <t>data/raw/tim_postpaid_SP.html</t>
        </is>
      </c>
    </row>
    <row r="3515">
      <c r="A3515" s="5" t="inlineStr">
        <is>
          <t>2026-08-24</t>
        </is>
      </c>
      <c r="B3515" s="5" t="inlineStr">
        <is>
          <t>2026-08-24T18:24:33</t>
        </is>
      </c>
      <c r="C3515" s="5" t="inlineStr">
        <is>
          <t>tim</t>
        </is>
      </c>
      <c r="D3515" s="5" t="inlineStr">
        <is>
          <t>postpaid</t>
        </is>
      </c>
      <c r="E3515" s="5" t="inlineStr">
        <is>
          <t>SP</t>
        </is>
      </c>
      <c r="F3515" s="5" t="inlineStr">
        <is>
          <t>TIM Black C Express 107GB</t>
        </is>
      </c>
      <c r="G3515" s="5" t="inlineStr">
        <is>
          <t>tim:52151</t>
        </is>
      </c>
      <c r="H3515" s="6" t="n">
        <v>164.99</v>
      </c>
      <c r="I3515" s="6" t="inlineStr"/>
      <c r="J3515" s="5" t="inlineStr"/>
      <c r="K3515" s="5" t="inlineStr">
        <is>
          <t>credit_card</t>
        </is>
      </c>
      <c r="L3515" s="7" t="n">
        <v>107</v>
      </c>
      <c r="M3515" s="5" t="inlineStr"/>
      <c r="N3515" s="5" t="inlineStr"/>
      <c r="O3515" s="5" t="inlineStr"/>
      <c r="P3515" s="5" t="inlineStr"/>
      <c r="Q3515" s="5" t="inlineStr"/>
      <c r="R3515" s="5" t="inlineStr"/>
      <c r="S3515" s="5" t="inlineStr"/>
      <c r="T3515" s="5" t="inlineStr"/>
      <c r="U3515" s="5" t="inlineStr">
        <is>
          <t>https://www.tim.com.br/sp/para-voce/planos/pos-pago/tim-black</t>
        </is>
      </c>
      <c r="V3515" s="5" t="inlineStr">
        <is>
          <t>data/raw/tim_postpaid_SP.html</t>
        </is>
      </c>
    </row>
    <row r="3516">
      <c r="A3516" s="2" t="inlineStr">
        <is>
          <t>2026-08-24</t>
        </is>
      </c>
      <c r="B3516" s="2" t="inlineStr">
        <is>
          <t>2026-08-24T18:24:33</t>
        </is>
      </c>
      <c r="C3516" s="2" t="inlineStr">
        <is>
          <t>tim</t>
        </is>
      </c>
      <c r="D3516" s="2" t="inlineStr">
        <is>
          <t>postpaid</t>
        </is>
      </c>
      <c r="E3516" s="2" t="inlineStr">
        <is>
          <t>SP</t>
        </is>
      </c>
      <c r="F3516" s="2" t="inlineStr">
        <is>
          <t>TIM Black C Ultra 95GB</t>
        </is>
      </c>
      <c r="G3516" s="2" t="inlineStr">
        <is>
          <t>tim:100581</t>
        </is>
      </c>
      <c r="H3516" s="3" t="n">
        <v>159.99</v>
      </c>
      <c r="I3516" s="3" t="inlineStr"/>
      <c r="J3516" s="2" t="inlineStr"/>
      <c r="K3516" s="2" t="inlineStr">
        <is>
          <t>bill</t>
        </is>
      </c>
      <c r="L3516" s="4" t="n">
        <v>95</v>
      </c>
      <c r="M3516" s="2" t="inlineStr"/>
      <c r="N3516" s="2" t="inlineStr"/>
      <c r="O3516" s="2" t="inlineStr"/>
      <c r="P3516" s="2" t="inlineStr"/>
      <c r="Q3516" s="2" t="inlineStr"/>
      <c r="R3516" s="2" t="inlineStr"/>
      <c r="S3516" s="2" t="inlineStr"/>
      <c r="T3516" s="2" t="inlineStr"/>
      <c r="U3516" s="2" t="inlineStr">
        <is>
          <t>https://www.tim.com.br/sp/para-voce/planos/pos-pago/tim-black</t>
        </is>
      </c>
      <c r="V3516" s="2" t="inlineStr">
        <is>
          <t>data/raw/tim_postpaid_SP.html</t>
        </is>
      </c>
    </row>
    <row r="3517">
      <c r="A3517" s="5" t="inlineStr">
        <is>
          <t>2026-08-24</t>
        </is>
      </c>
      <c r="B3517" s="5" t="inlineStr">
        <is>
          <t>2026-08-24T18:24:33</t>
        </is>
      </c>
      <c r="C3517" s="5" t="inlineStr">
        <is>
          <t>tim</t>
        </is>
      </c>
      <c r="D3517" s="5" t="inlineStr">
        <is>
          <t>postpaid</t>
        </is>
      </c>
      <c r="E3517" s="5" t="inlineStr">
        <is>
          <t>SP</t>
        </is>
      </c>
      <c r="F3517" s="5" t="inlineStr">
        <is>
          <t>TIM Black Plus 80GB</t>
        </is>
      </c>
      <c r="G3517" s="5" t="inlineStr">
        <is>
          <t>tim:54256</t>
        </is>
      </c>
      <c r="H3517" s="6" t="n">
        <v>149.99</v>
      </c>
      <c r="I3517" s="6" t="inlineStr"/>
      <c r="J3517" s="5" t="inlineStr"/>
      <c r="K3517" s="5" t="inlineStr">
        <is>
          <t>bill</t>
        </is>
      </c>
      <c r="L3517" s="7" t="n">
        <v>80</v>
      </c>
      <c r="M3517" s="5" t="inlineStr"/>
      <c r="N3517" s="5" t="inlineStr"/>
      <c r="O3517" s="5" t="inlineStr"/>
      <c r="P3517" s="5" t="inlineStr"/>
      <c r="Q3517" s="5" t="inlineStr"/>
      <c r="R3517" s="5" t="inlineStr"/>
      <c r="S3517" s="5" t="inlineStr"/>
      <c r="T3517" s="5" t="inlineStr"/>
      <c r="U3517" s="5" t="inlineStr">
        <is>
          <t>https://www.tim.com.br/sp/para-voce/planos/pos-pago/tim-black</t>
        </is>
      </c>
      <c r="V3517" s="5" t="inlineStr">
        <is>
          <t>data/raw/tim_postpaid_SP.html</t>
        </is>
      </c>
    </row>
    <row r="3518">
      <c r="A3518" s="2" t="inlineStr">
        <is>
          <t>2026-08-24</t>
        </is>
      </c>
      <c r="B3518" s="2" t="inlineStr">
        <is>
          <t>2026-08-24T18:24:33</t>
        </is>
      </c>
      <c r="C3518" s="2" t="inlineStr">
        <is>
          <t>tim</t>
        </is>
      </c>
      <c r="D3518" s="2" t="inlineStr">
        <is>
          <t>postpaid</t>
        </is>
      </c>
      <c r="E3518" s="2" t="inlineStr">
        <is>
          <t>SP</t>
        </is>
      </c>
      <c r="F3518" s="2" t="inlineStr">
        <is>
          <t>TIM Black Premium 110GB</t>
        </is>
      </c>
      <c r="G3518" s="2" t="inlineStr">
        <is>
          <t>tim:54261</t>
        </is>
      </c>
      <c r="H3518" s="3" t="n">
        <v>159.99</v>
      </c>
      <c r="I3518" s="3" t="inlineStr"/>
      <c r="J3518" s="2" t="inlineStr"/>
      <c r="K3518" s="2" t="inlineStr">
        <is>
          <t>bill</t>
        </is>
      </c>
      <c r="L3518" s="4" t="n">
        <v>110</v>
      </c>
      <c r="M3518" s="2" t="inlineStr"/>
      <c r="N3518" s="2" t="inlineStr"/>
      <c r="O3518" s="2" t="inlineStr"/>
      <c r="P3518" s="2" t="inlineStr"/>
      <c r="Q3518" s="2" t="inlineStr"/>
      <c r="R3518" s="2" t="inlineStr"/>
      <c r="S3518" s="2" t="inlineStr"/>
      <c r="T3518" s="2" t="inlineStr"/>
      <c r="U3518" s="2" t="inlineStr">
        <is>
          <t>https://www.tim.com.br/sp/para-voce/planos/pos-pago/tim-black</t>
        </is>
      </c>
      <c r="V3518" s="2" t="inlineStr">
        <is>
          <t>data/raw/tim_postpaid_SP.html</t>
        </is>
      </c>
    </row>
    <row r="3519">
      <c r="A3519" s="5" t="inlineStr">
        <is>
          <t>2026-08-24</t>
        </is>
      </c>
      <c r="B3519" s="5" t="inlineStr">
        <is>
          <t>2026-08-24T18:24:33</t>
        </is>
      </c>
      <c r="C3519" s="5" t="inlineStr">
        <is>
          <t>tim</t>
        </is>
      </c>
      <c r="D3519" s="5" t="inlineStr">
        <is>
          <t>prepaid</t>
        </is>
      </c>
      <c r="E3519" s="5" t="inlineStr">
        <is>
          <t>SP</t>
        </is>
      </c>
      <c r="F3519" s="5" t="inlineStr">
        <is>
          <t>TIM Pré XIP Plus 16GB</t>
        </is>
      </c>
      <c r="G3519" s="5" t="inlineStr">
        <is>
          <t>tim:106306</t>
        </is>
      </c>
      <c r="H3519" s="6" t="n">
        <v>30</v>
      </c>
      <c r="I3519" s="6" t="inlineStr"/>
      <c r="J3519" s="5" t="inlineStr"/>
      <c r="K3519" s="5" t="inlineStr"/>
      <c r="L3519" s="7" t="n">
        <v>16</v>
      </c>
      <c r="M3519" s="5" t="inlineStr"/>
      <c r="N3519" s="5" t="n">
        <v>30</v>
      </c>
      <c r="O3519" s="5" t="inlineStr"/>
      <c r="P3519" s="5" t="inlineStr"/>
      <c r="Q3519" s="5" t="inlineStr"/>
      <c r="R3519" s="5" t="inlineStr"/>
      <c r="S3519" s="5" t="inlineStr"/>
      <c r="T3519" s="5" t="inlineStr"/>
      <c r="U3519" s="5" t="inlineStr">
        <is>
          <t>https://www.tim.com.br/sp/para-voce/planos/pre-pago</t>
        </is>
      </c>
      <c r="V3519" s="5" t="inlineStr">
        <is>
          <t>data/raw/tim_prepaid_SP.html</t>
        </is>
      </c>
    </row>
    <row r="3520">
      <c r="A3520" s="2" t="inlineStr">
        <is>
          <t>2026-08-24</t>
        </is>
      </c>
      <c r="B3520" s="2" t="inlineStr">
        <is>
          <t>2026-08-24T18:24:33</t>
        </is>
      </c>
      <c r="C3520" s="2" t="inlineStr">
        <is>
          <t>tim</t>
        </is>
      </c>
      <c r="D3520" s="2" t="inlineStr">
        <is>
          <t>prepaid</t>
        </is>
      </c>
      <c r="E3520" s="2" t="inlineStr">
        <is>
          <t>SP</t>
        </is>
      </c>
      <c r="F3520" s="2" t="inlineStr">
        <is>
          <t>TIM Pré XIP Plus 6GB</t>
        </is>
      </c>
      <c r="G3520" s="2" t="inlineStr">
        <is>
          <t>tim:59906</t>
        </is>
      </c>
      <c r="H3520" s="3" t="n">
        <v>20</v>
      </c>
      <c r="I3520" s="3" t="inlineStr"/>
      <c r="J3520" s="2" t="inlineStr"/>
      <c r="K3520" s="2" t="inlineStr"/>
      <c r="L3520" s="4" t="n">
        <v>6</v>
      </c>
      <c r="M3520" s="2" t="inlineStr"/>
      <c r="N3520" s="2" t="n">
        <v>17</v>
      </c>
      <c r="O3520" s="2" t="inlineStr"/>
      <c r="P3520" s="2" t="inlineStr"/>
      <c r="Q3520" s="2" t="inlineStr"/>
      <c r="R3520" s="2" t="inlineStr"/>
      <c r="S3520" s="2" t="inlineStr"/>
      <c r="T3520" s="2" t="inlineStr"/>
      <c r="U3520" s="2" t="inlineStr">
        <is>
          <t>https://www.tim.com.br/sp/para-voce/planos/pre-pago</t>
        </is>
      </c>
      <c r="V3520" s="2" t="inlineStr">
        <is>
          <t>data/raw/tim_prepaid_SP.html</t>
        </is>
      </c>
    </row>
    <row r="3521">
      <c r="A3521" s="5" t="inlineStr">
        <is>
          <t>2026-08-24</t>
        </is>
      </c>
      <c r="B3521" s="5" t="inlineStr">
        <is>
          <t>2026-08-24T18:24:33</t>
        </is>
      </c>
      <c r="C3521" s="5" t="inlineStr">
        <is>
          <t>tim</t>
        </is>
      </c>
      <c r="D3521" s="5" t="inlineStr">
        <is>
          <t>prepaid</t>
        </is>
      </c>
      <c r="E3521" s="5" t="inlineStr">
        <is>
          <t>SP</t>
        </is>
      </c>
      <c r="F3521" s="5" t="inlineStr">
        <is>
          <t>TIM Pré XIP Plus 8GB</t>
        </is>
      </c>
      <c r="G3521" s="5" t="inlineStr">
        <is>
          <t>tim:59901</t>
        </is>
      </c>
      <c r="H3521" s="6" t="n">
        <v>25</v>
      </c>
      <c r="I3521" s="6" t="inlineStr"/>
      <c r="J3521" s="5" t="inlineStr"/>
      <c r="K3521" s="5" t="inlineStr"/>
      <c r="L3521" s="7" t="n">
        <v>8</v>
      </c>
      <c r="M3521" s="5" t="inlineStr"/>
      <c r="N3521" s="5" t="n">
        <v>22</v>
      </c>
      <c r="O3521" s="5" t="inlineStr"/>
      <c r="P3521" s="5" t="inlineStr"/>
      <c r="Q3521" s="5" t="inlineStr"/>
      <c r="R3521" s="5" t="inlineStr"/>
      <c r="S3521" s="5" t="inlineStr"/>
      <c r="T3521" s="5" t="inlineStr"/>
      <c r="U3521" s="5" t="inlineStr">
        <is>
          <t>https://www.tim.com.br/sp/para-voce/planos/pre-pago</t>
        </is>
      </c>
      <c r="V3521" s="5" t="inlineStr">
        <is>
          <t>data/raw/tim_prepaid_SP.html</t>
        </is>
      </c>
    </row>
    <row r="3522">
      <c r="A3522" s="2" t="inlineStr">
        <is>
          <t>2026-08-24</t>
        </is>
      </c>
      <c r="B3522" s="2" t="inlineStr">
        <is>
          <t>2026-08-24T18:24:33</t>
        </is>
      </c>
      <c r="C3522" s="2" t="inlineStr">
        <is>
          <t>vivo</t>
        </is>
      </c>
      <c r="D3522" s="2" t="inlineStr">
        <is>
          <t>control</t>
        </is>
      </c>
      <c r="E3522" s="2" t="inlineStr">
        <is>
          <t>SP</t>
        </is>
      </c>
      <c r="F3522" s="2" t="inlineStr">
        <is>
          <t>Vivo Controle</t>
        </is>
      </c>
      <c r="G3522" s="2" t="inlineStr">
        <is>
          <t>vivo:VIV202600034591</t>
        </is>
      </c>
      <c r="H3522" s="3" t="n">
        <v>59</v>
      </c>
      <c r="I3522" s="3" t="inlineStr"/>
      <c r="J3522" s="2" t="inlineStr"/>
      <c r="K3522" s="2" t="inlineStr"/>
      <c r="L3522" s="4" t="n">
        <v>45</v>
      </c>
      <c r="M3522" s="2" t="inlineStr">
        <is>
          <t>15 GB de franquia 30 GB de bônus</t>
        </is>
      </c>
      <c r="N3522" s="2" t="inlineStr"/>
      <c r="O3522" s="2" t="inlineStr"/>
      <c r="P3522" s="2" t="inlineStr"/>
      <c r="Q3522" s="2" t="inlineStr"/>
      <c r="R3522" s="2" t="inlineStr"/>
      <c r="S3522" s="2" t="inlineStr"/>
      <c r="T3522" s="2" t="inlineStr">
        <is>
          <t>2 meses de YouTube sem consumo no plano</t>
        </is>
      </c>
      <c r="U3522" s="2" t="inlineStr">
        <is>
          <t>https://vivo.com.br/para-voce/produtos-e-servicos/para-o-celular/planos-controle</t>
        </is>
      </c>
      <c r="V3522" s="2" t="inlineStr">
        <is>
          <t>data/raw/vivo_control_SP.html</t>
        </is>
      </c>
    </row>
    <row r="3523">
      <c r="A3523" s="5" t="inlineStr">
        <is>
          <t>2026-08-24</t>
        </is>
      </c>
      <c r="B3523" s="5" t="inlineStr">
        <is>
          <t>2026-08-24T18:24:33</t>
        </is>
      </c>
      <c r="C3523" s="5" t="inlineStr">
        <is>
          <t>vivo</t>
        </is>
      </c>
      <c r="D3523" s="5" t="inlineStr">
        <is>
          <t>control</t>
        </is>
      </c>
      <c r="E3523" s="5" t="inlineStr">
        <is>
          <t>SP</t>
        </is>
      </c>
      <c r="F3523" s="5" t="inlineStr">
        <is>
          <t>Vivo Controle</t>
        </is>
      </c>
      <c r="G3523" s="5" t="inlineStr">
        <is>
          <t>vivo:VIV202600034599</t>
        </is>
      </c>
      <c r="H3523" s="6" t="n">
        <v>75</v>
      </c>
      <c r="I3523" s="6" t="inlineStr"/>
      <c r="J3523" s="5" t="inlineStr">
        <is>
          <t>preço-base do plano; a tela exibia R$ 80 com o adicional pré-selecionado (+R$ 5/mês, opcional); 60 GB na tela incluem +10 GB do adicional</t>
        </is>
      </c>
      <c r="K3523" s="5" t="inlineStr"/>
      <c r="L3523" s="7" t="n">
        <v>50</v>
      </c>
      <c r="M3523" s="5" t="inlineStr">
        <is>
          <t>20 GB de franquia 30 GB de bônus</t>
        </is>
      </c>
      <c r="N3523" s="5" t="inlineStr"/>
      <c r="O3523" s="5" t="inlineStr"/>
      <c r="P3523" s="5" t="inlineStr"/>
      <c r="Q3523" s="5" t="inlineStr"/>
      <c r="R3523" s="5" t="inlineStr"/>
      <c r="S3523" s="5" t="inlineStr"/>
      <c r="T3523" s="5" t="inlineStr">
        <is>
          <t>2 meses de YouTube sem consumo no plano</t>
        </is>
      </c>
      <c r="U3523" s="5" t="inlineStr">
        <is>
          <t>https://vivo.com.br/para-voce/produtos-e-servicos/para-o-celular/planos-controle</t>
        </is>
      </c>
      <c r="V3523" s="5" t="inlineStr">
        <is>
          <t>data/raw/vivo_control_SP.html</t>
        </is>
      </c>
    </row>
    <row r="3524">
      <c r="A3524" s="2" t="inlineStr">
        <is>
          <t>2026-08-24</t>
        </is>
      </c>
      <c r="B3524" s="2" t="inlineStr">
        <is>
          <t>2026-08-24T18:24:33</t>
        </is>
      </c>
      <c r="C3524" s="2" t="inlineStr">
        <is>
          <t>vivo</t>
        </is>
      </c>
      <c r="D3524" s="2" t="inlineStr">
        <is>
          <t>control</t>
        </is>
      </c>
      <c r="E3524" s="2" t="inlineStr">
        <is>
          <t>SP</t>
        </is>
      </c>
      <c r="F3524" s="2" t="inlineStr">
        <is>
          <t>Vivo Controle Educação</t>
        </is>
      </c>
      <c r="G3524" s="2" t="inlineStr">
        <is>
          <t>vivo:VIV202600034616</t>
        </is>
      </c>
      <c r="H3524" s="3" t="n">
        <v>85</v>
      </c>
      <c r="I3524" s="3" t="inlineStr"/>
      <c r="J3524" s="2" t="inlineStr">
        <is>
          <t>preço-base do plano; a tela exibia R$ 90 com o adicional pré-selecionado (+R$ 5/mês, opcional); 60 GB na tela incluem +10 GB do adicional</t>
        </is>
      </c>
      <c r="K3524" s="2" t="inlineStr"/>
      <c r="L3524" s="4" t="n">
        <v>50</v>
      </c>
      <c r="M3524" s="2" t="inlineStr">
        <is>
          <t>20 GB de franquia 30 GB de bônus</t>
        </is>
      </c>
      <c r="N3524" s="2" t="inlineStr"/>
      <c r="O3524" s="2" t="inlineStr"/>
      <c r="P3524" s="2" t="inlineStr"/>
      <c r="Q3524" s="2" t="inlineStr"/>
      <c r="R3524" s="2" t="inlineStr"/>
      <c r="S3524" s="2" t="inlineStr"/>
      <c r="T3524" s="2" t="inlineStr">
        <is>
          <t>Assinatura Vivae inclusa</t>
        </is>
      </c>
      <c r="U3524" s="2" t="inlineStr">
        <is>
          <t>https://vivo.com.br/para-voce/produtos-e-servicos/para-o-celular/planos-controle</t>
        </is>
      </c>
      <c r="V3524" s="2" t="inlineStr">
        <is>
          <t>data/raw/vivo_control_SP.html</t>
        </is>
      </c>
    </row>
    <row r="3525">
      <c r="A3525" s="5" t="inlineStr">
        <is>
          <t>2026-08-24</t>
        </is>
      </c>
      <c r="B3525" s="5" t="inlineStr">
        <is>
          <t>2026-08-24T18:24:33</t>
        </is>
      </c>
      <c r="C3525" s="5" t="inlineStr">
        <is>
          <t>vivo</t>
        </is>
      </c>
      <c r="D3525" s="5" t="inlineStr">
        <is>
          <t>control</t>
        </is>
      </c>
      <c r="E3525" s="5" t="inlineStr">
        <is>
          <t>SP</t>
        </is>
      </c>
      <c r="F3525" s="5" t="inlineStr">
        <is>
          <t>Vivo Controle Entretenimento</t>
        </is>
      </c>
      <c r="G3525" s="5" t="inlineStr">
        <is>
          <t>vivo:VIV202600034619</t>
        </is>
      </c>
      <c r="H3525" s="6" t="n">
        <v>105</v>
      </c>
      <c r="I3525" s="6" t="inlineStr"/>
      <c r="J3525" s="5" t="inlineStr">
        <is>
          <t>preço-base do plano; a tela exibia R$ 110 com o adicional pré-selecionado (+R$ 5/mês, opcional); 60 GB na tela incluem +10 GB do adicional</t>
        </is>
      </c>
      <c r="K3525" s="5" t="inlineStr"/>
      <c r="L3525" s="7" t="n">
        <v>50</v>
      </c>
      <c r="M3525" s="5" t="inlineStr">
        <is>
          <t>20 GB de franquia 30 GB de bônus</t>
        </is>
      </c>
      <c r="N3525" s="5" t="inlineStr"/>
      <c r="O3525" s="5" t="inlineStr"/>
      <c r="P3525" s="5" t="inlineStr"/>
      <c r="Q3525" s="5" t="inlineStr"/>
      <c r="R3525" s="5" t="inlineStr"/>
      <c r="S3525" s="5" t="inlineStr"/>
      <c r="T3525" s="5" t="inlineStr">
        <is>
          <t>Assinatura Vivo TV Inicial inclusa</t>
        </is>
      </c>
      <c r="U3525" s="5" t="inlineStr">
        <is>
          <t>https://vivo.com.br/para-voce/produtos-e-servicos/para-o-celular/planos-controle</t>
        </is>
      </c>
      <c r="V3525" s="5" t="inlineStr">
        <is>
          <t>data/raw/vivo_control_SP.html</t>
        </is>
      </c>
    </row>
    <row r="3526">
      <c r="A3526" s="2" t="inlineStr">
        <is>
          <t>2026-08-24</t>
        </is>
      </c>
      <c r="B3526" s="2" t="inlineStr">
        <is>
          <t>2026-08-24T18:24:33</t>
        </is>
      </c>
      <c r="C3526" s="2" t="inlineStr">
        <is>
          <t>vivo</t>
        </is>
      </c>
      <c r="D3526" s="2" t="inlineStr">
        <is>
          <t>control</t>
        </is>
      </c>
      <c r="E3526" s="2" t="inlineStr">
        <is>
          <t>SP</t>
        </is>
      </c>
      <c r="F3526" s="2" t="inlineStr">
        <is>
          <t>Vivo Controle Música</t>
        </is>
      </c>
      <c r="G3526" s="2" t="inlineStr">
        <is>
          <t>vivo:VIV202600034620</t>
        </is>
      </c>
      <c r="H3526" s="3" t="n">
        <v>85</v>
      </c>
      <c r="I3526" s="3" t="inlineStr"/>
      <c r="J3526" s="2" t="inlineStr">
        <is>
          <t>preço-base do plano; a tela exibia R$ 90 com o adicional pré-selecionado (+R$ 5/mês, opcional); 60 GB na tela incluem +10 GB do adicional</t>
        </is>
      </c>
      <c r="K3526" s="2" t="inlineStr"/>
      <c r="L3526" s="4" t="n">
        <v>50</v>
      </c>
      <c r="M3526" s="2" t="inlineStr">
        <is>
          <t>20 GB de franquia 30 GB de bônus</t>
        </is>
      </c>
      <c r="N3526" s="2" t="inlineStr"/>
      <c r="O3526" s="2" t="inlineStr"/>
      <c r="P3526" s="2" t="inlineStr"/>
      <c r="Q3526" s="2" t="inlineStr"/>
      <c r="R3526" s="2" t="inlineStr"/>
      <c r="S3526" s="2" t="inlineStr"/>
      <c r="T3526" s="2" t="inlineStr">
        <is>
          <t>Apple Music Individual</t>
        </is>
      </c>
      <c r="U3526" s="2" t="inlineStr">
        <is>
          <t>https://vivo.com.br/para-voce/produtos-e-servicos/para-o-celular/planos-controle</t>
        </is>
      </c>
      <c r="V3526" s="2" t="inlineStr">
        <is>
          <t>data/raw/vivo_control_SP.html</t>
        </is>
      </c>
    </row>
    <row r="3527">
      <c r="A3527" s="5" t="inlineStr">
        <is>
          <t>2026-08-24</t>
        </is>
      </c>
      <c r="B3527" s="5" t="inlineStr">
        <is>
          <t>2026-08-24T18:24:33</t>
        </is>
      </c>
      <c r="C3527" s="5" t="inlineStr">
        <is>
          <t>vivo</t>
        </is>
      </c>
      <c r="D3527" s="5" t="inlineStr">
        <is>
          <t>control</t>
        </is>
      </c>
      <c r="E3527" s="5" t="inlineStr">
        <is>
          <t>SP</t>
        </is>
      </c>
      <c r="F3527" s="5" t="inlineStr">
        <is>
          <t>Vivo Controle Netflix</t>
        </is>
      </c>
      <c r="G3527" s="5" t="inlineStr">
        <is>
          <t>vivo:VIV202600034623</t>
        </is>
      </c>
      <c r="H3527" s="6" t="n">
        <v>90</v>
      </c>
      <c r="I3527" s="6" t="inlineStr"/>
      <c r="J3527" s="5" t="inlineStr">
        <is>
          <t>preço-base do plano; a tela exibia R$ 95 com o adicional pré-selecionado (+R$ 5/mês, opcional); 60 GB na tela incluem +10 GB do adicional</t>
        </is>
      </c>
      <c r="K3527" s="5" t="inlineStr"/>
      <c r="L3527" s="7" t="n">
        <v>50</v>
      </c>
      <c r="M3527" s="5" t="inlineStr">
        <is>
          <t>20 GB de franquia 30 GB de bônus</t>
        </is>
      </c>
      <c r="N3527" s="5" t="inlineStr"/>
      <c r="O3527" s="5" t="inlineStr"/>
      <c r="P3527" s="5" t="inlineStr"/>
      <c r="Q3527" s="5" t="inlineStr"/>
      <c r="R3527" s="5" t="inlineStr"/>
      <c r="S3527" s="5" t="inlineStr"/>
      <c r="T3527" s="5" t="inlineStr">
        <is>
          <t>Assinatura Netflix Padrão com anúncios</t>
        </is>
      </c>
      <c r="U3527" s="5" t="inlineStr">
        <is>
          <t>https://vivo.com.br/para-voce/produtos-e-servicos/para-o-celular/planos-controle</t>
        </is>
      </c>
      <c r="V3527" s="5" t="inlineStr">
        <is>
          <t>data/raw/vivo_control_SP.html</t>
        </is>
      </c>
    </row>
    <row r="3528">
      <c r="A3528" s="2" t="inlineStr">
        <is>
          <t>2026-08-24</t>
        </is>
      </c>
      <c r="B3528" s="2" t="inlineStr">
        <is>
          <t>2026-08-24T18:24:33</t>
        </is>
      </c>
      <c r="C3528" s="2" t="inlineStr">
        <is>
          <t>vivo</t>
        </is>
      </c>
      <c r="D3528" s="2" t="inlineStr">
        <is>
          <t>control</t>
        </is>
      </c>
      <c r="E3528" s="2" t="inlineStr">
        <is>
          <t>SP</t>
        </is>
      </c>
      <c r="F3528" s="2" t="inlineStr">
        <is>
          <t>Vivo Controle Saúde</t>
        </is>
      </c>
      <c r="G3528" s="2" t="inlineStr">
        <is>
          <t>vivo:VIV202600034625</t>
        </is>
      </c>
      <c r="H3528" s="3" t="n">
        <v>85</v>
      </c>
      <c r="I3528" s="3" t="inlineStr"/>
      <c r="J3528" s="2" t="inlineStr">
        <is>
          <t>preço-base do plano; a tela exibia R$ 90 com o adicional pré-selecionado (+R$ 5/mês, opcional); 60 GB na tela incluem +10 GB do adicional</t>
        </is>
      </c>
      <c r="K3528" s="2" t="inlineStr"/>
      <c r="L3528" s="4" t="n">
        <v>50</v>
      </c>
      <c r="M3528" s="2" t="inlineStr">
        <is>
          <t>20 GB de franquia 30 GB de bônus</t>
        </is>
      </c>
      <c r="N3528" s="2" t="inlineStr"/>
      <c r="O3528" s="2" t="inlineStr"/>
      <c r="P3528" s="2" t="inlineStr"/>
      <c r="Q3528" s="2" t="inlineStr"/>
      <c r="R3528" s="2" t="inlineStr"/>
      <c r="S3528" s="2" t="inlineStr"/>
      <c r="T3528" s="2" t="inlineStr">
        <is>
          <t>Assinatura Vale Saúde Sempre inclusa</t>
        </is>
      </c>
      <c r="U3528" s="2" t="inlineStr">
        <is>
          <t>https://vivo.com.br/para-voce/produtos-e-servicos/para-o-celular/planos-controle</t>
        </is>
      </c>
      <c r="V3528" s="2" t="inlineStr">
        <is>
          <t>data/raw/vivo_control_SP.html</t>
        </is>
      </c>
    </row>
    <row r="3529">
      <c r="A3529" s="5" t="inlineStr">
        <is>
          <t>2026-08-24</t>
        </is>
      </c>
      <c r="B3529" s="5" t="inlineStr">
        <is>
          <t>2026-08-24T18:24:33</t>
        </is>
      </c>
      <c r="C3529" s="5" t="inlineStr">
        <is>
          <t>vivo</t>
        </is>
      </c>
      <c r="D3529" s="5" t="inlineStr">
        <is>
          <t>control</t>
        </is>
      </c>
      <c r="E3529" s="5" t="inlineStr">
        <is>
          <t>SP</t>
        </is>
      </c>
      <c r="F3529" s="5" t="inlineStr">
        <is>
          <t>Vivo Controle Youtube Lite</t>
        </is>
      </c>
      <c r="G3529" s="5" t="inlineStr">
        <is>
          <t>vivo:VIV202600034626</t>
        </is>
      </c>
      <c r="H3529" s="6" t="n">
        <v>85</v>
      </c>
      <c r="I3529" s="6" t="inlineStr"/>
      <c r="J3529" s="5" t="inlineStr">
        <is>
          <t>preço-base do plano; a tela exibia R$ 90 com o adicional pré-selecionado (+R$ 5/mês, opcional); 60 GB na tela incluem +10 GB do adicional</t>
        </is>
      </c>
      <c r="K3529" s="5" t="inlineStr"/>
      <c r="L3529" s="7" t="n">
        <v>50</v>
      </c>
      <c r="M3529" s="5" t="inlineStr">
        <is>
          <t>20 GB de franquia 30 GB de bônus</t>
        </is>
      </c>
      <c r="N3529" s="5" t="inlineStr"/>
      <c r="O3529" s="5" t="inlineStr"/>
      <c r="P3529" s="5" t="inlineStr"/>
      <c r="Q3529" s="5" t="inlineStr"/>
      <c r="R3529" s="5" t="inlineStr"/>
      <c r="S3529" s="5" t="inlineStr"/>
      <c r="T3529" s="5" t="inlineStr">
        <is>
          <t>2 meses de YouTube sem consumo no plano</t>
        </is>
      </c>
      <c r="U3529" s="5" t="inlineStr">
        <is>
          <t>https://vivo.com.br/para-voce/produtos-e-servicos/para-o-celular/planos-controle</t>
        </is>
      </c>
      <c r="V3529" s="5" t="inlineStr">
        <is>
          <t>data/raw/vivo_control_SP.html</t>
        </is>
      </c>
    </row>
    <row r="3530">
      <c r="A3530" s="2" t="inlineStr">
        <is>
          <t>2026-08-24</t>
        </is>
      </c>
      <c r="B3530" s="2" t="inlineStr">
        <is>
          <t>2026-08-24T18:24:33</t>
        </is>
      </c>
      <c r="C3530" s="2" t="inlineStr">
        <is>
          <t>vivo</t>
        </is>
      </c>
      <c r="D3530" s="2" t="inlineStr">
        <is>
          <t>lite</t>
        </is>
      </c>
      <c r="E3530" s="2" t="inlineStr">
        <is>
          <t>SP</t>
        </is>
      </c>
      <c r="F3530" s="2" t="inlineStr">
        <is>
          <t>Vivo Lite</t>
        </is>
      </c>
      <c r="G3530" s="2" t="inlineStr">
        <is>
          <t>vivo:VIV202600033987</t>
        </is>
      </c>
      <c r="H3530" s="3" t="n">
        <v>45</v>
      </c>
      <c r="I3530" s="3" t="n">
        <v>30</v>
      </c>
      <c r="J3530" s="2" t="inlineStr">
        <is>
          <t>preço sem fidelidade; fidelidade 12m no promo</t>
        </is>
      </c>
      <c r="K3530" s="2" t="inlineStr"/>
      <c r="L3530" s="4" t="n">
        <v>30</v>
      </c>
      <c r="M3530" s="2" t="inlineStr">
        <is>
          <t>30 GB de franquia</t>
        </is>
      </c>
      <c r="N3530" s="2" t="inlineStr"/>
      <c r="O3530" s="2" t="inlineStr"/>
      <c r="P3530" s="2" t="inlineStr"/>
      <c r="Q3530" s="2" t="inlineStr"/>
      <c r="R3530" s="2" t="inlineStr"/>
      <c r="S3530" s="2" t="n">
        <v>12</v>
      </c>
      <c r="T3530" s="2" t="inlineStr">
        <is>
          <t>2 meses de YouTube sem consumo no plano</t>
        </is>
      </c>
      <c r="U3530" s="2" t="inlineStr">
        <is>
          <t>https://vivo.com.br/para-voce/produtos-e-servicos/para-o-celular/easy-lite</t>
        </is>
      </c>
      <c r="V3530" s="2" t="inlineStr">
        <is>
          <t>data/raw/vivo_lite_SP.html</t>
        </is>
      </c>
    </row>
    <row r="3531">
      <c r="A3531" s="5" t="inlineStr">
        <is>
          <t>2026-08-24</t>
        </is>
      </c>
      <c r="B3531" s="5" t="inlineStr">
        <is>
          <t>2026-08-24T18:24:33</t>
        </is>
      </c>
      <c r="C3531" s="5" t="inlineStr">
        <is>
          <t>vivo</t>
        </is>
      </c>
      <c r="D3531" s="5" t="inlineStr">
        <is>
          <t>lite</t>
        </is>
      </c>
      <c r="E3531" s="5" t="inlineStr">
        <is>
          <t>SP</t>
        </is>
      </c>
      <c r="F3531" s="5" t="inlineStr">
        <is>
          <t>Vivo Lite</t>
        </is>
      </c>
      <c r="G3531" s="5" t="inlineStr">
        <is>
          <t>vivo:VIV202600033989</t>
        </is>
      </c>
      <c r="H3531" s="6" t="n">
        <v>55</v>
      </c>
      <c r="I3531" s="6" t="n">
        <v>40</v>
      </c>
      <c r="J3531" s="5" t="inlineStr">
        <is>
          <t>preço sem fidelidade; fidelidade 12m no promo</t>
        </is>
      </c>
      <c r="K3531" s="5" t="inlineStr"/>
      <c r="L3531" s="7" t="n">
        <v>40</v>
      </c>
      <c r="M3531" s="5" t="inlineStr">
        <is>
          <t>40 GB de franquia</t>
        </is>
      </c>
      <c r="N3531" s="5" t="inlineStr"/>
      <c r="O3531" s="5" t="inlineStr"/>
      <c r="P3531" s="5" t="inlineStr"/>
      <c r="Q3531" s="5" t="inlineStr"/>
      <c r="R3531" s="5" t="inlineStr"/>
      <c r="S3531" s="5" t="n">
        <v>12</v>
      </c>
      <c r="T3531" s="5" t="inlineStr">
        <is>
          <t>2 meses de YouTube sem consumo no plano</t>
        </is>
      </c>
      <c r="U3531" s="5" t="inlineStr">
        <is>
          <t>https://vivo.com.br/para-voce/produtos-e-servicos/para-o-celular/easy-lite</t>
        </is>
      </c>
      <c r="V3531" s="5" t="inlineStr">
        <is>
          <t>data/raw/vivo_lite_SP.html</t>
        </is>
      </c>
    </row>
    <row r="3532">
      <c r="A3532" s="2" t="inlineStr">
        <is>
          <t>2026-08-24</t>
        </is>
      </c>
      <c r="B3532" s="2" t="inlineStr">
        <is>
          <t>2026-08-24T18:24:33</t>
        </is>
      </c>
      <c r="C3532" s="2" t="inlineStr">
        <is>
          <t>vivo</t>
        </is>
      </c>
      <c r="D3532" s="2" t="inlineStr">
        <is>
          <t>lite</t>
        </is>
      </c>
      <c r="E3532" s="2" t="inlineStr">
        <is>
          <t>SP</t>
        </is>
      </c>
      <c r="F3532" s="2" t="inlineStr">
        <is>
          <t>Vivo Lite</t>
        </is>
      </c>
      <c r="G3532" s="2" t="inlineStr">
        <is>
          <t>vivo:VIV202600033992</t>
        </is>
      </c>
      <c r="H3532" s="3" t="n">
        <v>35</v>
      </c>
      <c r="I3532" s="3" t="inlineStr"/>
      <c r="J3532" s="2" t="inlineStr"/>
      <c r="K3532" s="2" t="inlineStr"/>
      <c r="L3532" s="4" t="n">
        <v>20</v>
      </c>
      <c r="M3532" s="2" t="inlineStr">
        <is>
          <t>20 GB de franquia</t>
        </is>
      </c>
      <c r="N3532" s="2" t="inlineStr"/>
      <c r="O3532" s="2" t="inlineStr"/>
      <c r="P3532" s="2" t="inlineStr"/>
      <c r="Q3532" s="2" t="inlineStr"/>
      <c r="R3532" s="2" t="inlineStr"/>
      <c r="S3532" s="2" t="inlineStr"/>
      <c r="T3532" s="2" t="inlineStr">
        <is>
          <t>2 meses de YouTube sem consumo no plano</t>
        </is>
      </c>
      <c r="U3532" s="2" t="inlineStr">
        <is>
          <t>https://vivo.com.br/para-voce/produtos-e-servicos/para-o-celular/easy-lite</t>
        </is>
      </c>
      <c r="V3532" s="2" t="inlineStr">
        <is>
          <t>data/raw/vivo_lite_SP.html</t>
        </is>
      </c>
    </row>
    <row r="3533">
      <c r="A3533" s="5" t="inlineStr">
        <is>
          <t>2026-08-24</t>
        </is>
      </c>
      <c r="B3533" s="5" t="inlineStr">
        <is>
          <t>2026-08-24T18:24:33</t>
        </is>
      </c>
      <c r="C3533" s="5" t="inlineStr">
        <is>
          <t>vivo</t>
        </is>
      </c>
      <c r="D3533" s="5" t="inlineStr">
        <is>
          <t>postpaid</t>
        </is>
      </c>
      <c r="E3533" s="5" t="inlineStr">
        <is>
          <t>SP</t>
        </is>
      </c>
      <c r="F3533" s="5" t="inlineStr">
        <is>
          <t>Vivo Família 2</t>
        </is>
      </c>
      <c r="G3533" s="5" t="inlineStr">
        <is>
          <t>vivo:VIV202600034547</t>
        </is>
      </c>
      <c r="H3533" s="6" t="n">
        <v>270</v>
      </c>
      <c r="I3533" s="6" t="inlineStr"/>
      <c r="J3533" s="5" t="inlineStr"/>
      <c r="K3533" s="5" t="inlineStr"/>
      <c r="L3533" s="7" t="n">
        <v>120</v>
      </c>
      <c r="M3533" s="5" t="inlineStr">
        <is>
          <t>120 GB de franquia Você + 1 linha adicional Roaming Internacional com Vivo Travel Américas e Europa</t>
        </is>
      </c>
      <c r="N3533" s="5" t="inlineStr"/>
      <c r="O3533" s="5" t="inlineStr"/>
      <c r="P3533" s="5" t="inlineStr"/>
      <c r="Q3533" s="5" t="inlineStr"/>
      <c r="R3533" s="5" t="inlineStr"/>
      <c r="S3533" s="5" t="inlineStr"/>
      <c r="T3533" s="5" t="inlineStr">
        <is>
          <t>2 meses de YouTube sem consumo no plano</t>
        </is>
      </c>
      <c r="U3533" s="5" t="inlineStr">
        <is>
          <t>https://vivo.com.br/para-voce/produtos-e-servicos/para-o-celular/planos-pos-pago</t>
        </is>
      </c>
      <c r="V3533" s="5" t="inlineStr">
        <is>
          <t>data/raw/vivo_postpaid_SP.html</t>
        </is>
      </c>
    </row>
    <row r="3534">
      <c r="A3534" s="2" t="inlineStr">
        <is>
          <t>2026-08-24</t>
        </is>
      </c>
      <c r="B3534" s="2" t="inlineStr">
        <is>
          <t>2026-08-24T18:24:33</t>
        </is>
      </c>
      <c r="C3534" s="2" t="inlineStr">
        <is>
          <t>vivo</t>
        </is>
      </c>
      <c r="D3534" s="2" t="inlineStr">
        <is>
          <t>postpaid</t>
        </is>
      </c>
      <c r="E3534" s="2" t="inlineStr">
        <is>
          <t>SP</t>
        </is>
      </c>
      <c r="F3534" s="2" t="inlineStr">
        <is>
          <t>Vivo Família 3</t>
        </is>
      </c>
      <c r="G3534" s="2" t="inlineStr">
        <is>
          <t>vivo:VIV202600034540</t>
        </is>
      </c>
      <c r="H3534" s="3" t="n">
        <v>340</v>
      </c>
      <c r="I3534" s="3" t="inlineStr"/>
      <c r="J3534" s="2" t="inlineStr"/>
      <c r="K3534" s="2" t="inlineStr"/>
      <c r="L3534" s="4" t="n">
        <v>180</v>
      </c>
      <c r="M3534" s="2" t="inlineStr">
        <is>
          <t>180 GB de franquia Você + 2 linhas adicionais Roaming Internacional com Vivo Travel Américas e Europa</t>
        </is>
      </c>
      <c r="N3534" s="2" t="inlineStr"/>
      <c r="O3534" s="2" t="inlineStr"/>
      <c r="P3534" s="2" t="inlineStr"/>
      <c r="Q3534" s="2" t="inlineStr"/>
      <c r="R3534" s="2" t="inlineStr"/>
      <c r="S3534" s="2" t="inlineStr"/>
      <c r="T3534" s="2" t="inlineStr">
        <is>
          <t>2 meses de YouTube sem consumo no plano</t>
        </is>
      </c>
      <c r="U3534" s="2" t="inlineStr">
        <is>
          <t>https://vivo.com.br/para-voce/produtos-e-servicos/para-o-celular/planos-pos-pago</t>
        </is>
      </c>
      <c r="V3534" s="2" t="inlineStr">
        <is>
          <t>data/raw/vivo_postpaid_SP.html</t>
        </is>
      </c>
    </row>
    <row r="3535">
      <c r="A3535" s="5" t="inlineStr">
        <is>
          <t>2026-08-24</t>
        </is>
      </c>
      <c r="B3535" s="5" t="inlineStr">
        <is>
          <t>2026-08-24T18:24:33</t>
        </is>
      </c>
      <c r="C3535" s="5" t="inlineStr">
        <is>
          <t>vivo</t>
        </is>
      </c>
      <c r="D3535" s="5" t="inlineStr">
        <is>
          <t>postpaid</t>
        </is>
      </c>
      <c r="E3535" s="5" t="inlineStr">
        <is>
          <t>SP</t>
        </is>
      </c>
      <c r="F3535" s="5" t="inlineStr">
        <is>
          <t>Vivo Família 4</t>
        </is>
      </c>
      <c r="G3535" s="5" t="inlineStr">
        <is>
          <t>vivo:VIV202600034531</t>
        </is>
      </c>
      <c r="H3535" s="6" t="n">
        <v>430</v>
      </c>
      <c r="I3535" s="6" t="inlineStr"/>
      <c r="J3535" s="5" t="inlineStr"/>
      <c r="K3535" s="5" t="inlineStr"/>
      <c r="L3535" s="7" t="n">
        <v>240</v>
      </c>
      <c r="M3535" s="5" t="inlineStr">
        <is>
          <t>240 GB de franquia Você + 3 linhas adicionais Roaming Internacional com Vivo Travel Américas e Europa</t>
        </is>
      </c>
      <c r="N3535" s="5" t="inlineStr"/>
      <c r="O3535" s="5" t="inlineStr"/>
      <c r="P3535" s="5" t="inlineStr"/>
      <c r="Q3535" s="5" t="inlineStr"/>
      <c r="R3535" s="5" t="inlineStr"/>
      <c r="S3535" s="5" t="inlineStr"/>
      <c r="T3535" s="5" t="inlineStr">
        <is>
          <t>2 meses de YouTube sem consumo no plano</t>
        </is>
      </c>
      <c r="U3535" s="5" t="inlineStr">
        <is>
          <t>https://vivo.com.br/para-voce/produtos-e-servicos/para-o-celular/planos-pos-pago</t>
        </is>
      </c>
      <c r="V3535" s="5" t="inlineStr">
        <is>
          <t>data/raw/vivo_postpaid_SP.html</t>
        </is>
      </c>
    </row>
    <row r="3536">
      <c r="A3536" s="2" t="inlineStr">
        <is>
          <t>2026-08-24</t>
        </is>
      </c>
      <c r="B3536" s="2" t="inlineStr">
        <is>
          <t>2026-08-24T18:24:33</t>
        </is>
      </c>
      <c r="C3536" s="2" t="inlineStr">
        <is>
          <t>vivo</t>
        </is>
      </c>
      <c r="D3536" s="2" t="inlineStr">
        <is>
          <t>postpaid</t>
        </is>
      </c>
      <c r="E3536" s="2" t="inlineStr">
        <is>
          <t>SP</t>
        </is>
      </c>
      <c r="F3536" s="2" t="inlineStr">
        <is>
          <t>Vivo Família 5</t>
        </is>
      </c>
      <c r="G3536" s="2" t="inlineStr">
        <is>
          <t>vivo:VIV202600034526</t>
        </is>
      </c>
      <c r="H3536" s="3" t="n">
        <v>530</v>
      </c>
      <c r="I3536" s="3" t="inlineStr"/>
      <c r="J3536" s="2" t="inlineStr"/>
      <c r="K3536" s="2" t="inlineStr"/>
      <c r="L3536" s="4" t="n">
        <v>300</v>
      </c>
      <c r="M3536" s="2" t="inlineStr">
        <is>
          <t>300 GB de franquia Você + 4 linhas adicionais Roaming Internacional com Vivo Travel Américas e Europa</t>
        </is>
      </c>
      <c r="N3536" s="2" t="inlineStr"/>
      <c r="O3536" s="2" t="inlineStr"/>
      <c r="P3536" s="2" t="inlineStr"/>
      <c r="Q3536" s="2" t="inlineStr"/>
      <c r="R3536" s="2" t="inlineStr"/>
      <c r="S3536" s="2" t="inlineStr"/>
      <c r="T3536" s="2" t="inlineStr">
        <is>
          <t>2 meses de YouTube sem consumo no plano</t>
        </is>
      </c>
      <c r="U3536" s="2" t="inlineStr">
        <is>
          <t>https://vivo.com.br/para-voce/produtos-e-servicos/para-o-celular/planos-pos-pago</t>
        </is>
      </c>
      <c r="V3536" s="2" t="inlineStr">
        <is>
          <t>data/raw/vivo_postpaid_SP.html</t>
        </is>
      </c>
    </row>
    <row r="3537">
      <c r="A3537" s="5" t="inlineStr">
        <is>
          <t>2026-08-24</t>
        </is>
      </c>
      <c r="B3537" s="5" t="inlineStr">
        <is>
          <t>2026-08-24T18:24:33</t>
        </is>
      </c>
      <c r="C3537" s="5" t="inlineStr">
        <is>
          <t>vivo</t>
        </is>
      </c>
      <c r="D3537" s="5" t="inlineStr">
        <is>
          <t>postpaid</t>
        </is>
      </c>
      <c r="E3537" s="5" t="inlineStr">
        <is>
          <t>SP</t>
        </is>
      </c>
      <c r="F3537" s="5" t="inlineStr">
        <is>
          <t>Vivo Pós com Amazon</t>
        </is>
      </c>
      <c r="G3537" s="5" t="inlineStr">
        <is>
          <t>vivo:VIV202600034554</t>
        </is>
      </c>
      <c r="H3537" s="6" t="n">
        <v>150</v>
      </c>
      <c r="I3537" s="6" t="inlineStr"/>
      <c r="J3537" s="5" t="inlineStr"/>
      <c r="K3537" s="5" t="inlineStr"/>
      <c r="L3537" s="7" t="n">
        <v>60</v>
      </c>
      <c r="M3537" s="5" t="inlineStr">
        <is>
          <t>50 GB de franquia 10 GB de bônus</t>
        </is>
      </c>
      <c r="N3537" s="5" t="inlineStr"/>
      <c r="O3537" s="5" t="inlineStr"/>
      <c r="P3537" s="5" t="inlineStr"/>
      <c r="Q3537" s="5" t="inlineStr"/>
      <c r="R3537" s="5" t="inlineStr"/>
      <c r="S3537" s="5" t="inlineStr"/>
      <c r="T3537" s="5" t="inlineStr">
        <is>
          <t>Assinatura Amazon Prime inclusa</t>
        </is>
      </c>
      <c r="U3537" s="5" t="inlineStr">
        <is>
          <t>https://vivo.com.br/para-voce/produtos-e-servicos/para-o-celular/planos-pos-pago</t>
        </is>
      </c>
      <c r="V3537" s="5" t="inlineStr">
        <is>
          <t>data/raw/vivo_postpaid_SP.html</t>
        </is>
      </c>
    </row>
    <row r="3538">
      <c r="A3538" s="2" t="inlineStr">
        <is>
          <t>2026-08-24</t>
        </is>
      </c>
      <c r="B3538" s="2" t="inlineStr">
        <is>
          <t>2026-08-24T18:24:33</t>
        </is>
      </c>
      <c r="C3538" s="2" t="inlineStr">
        <is>
          <t>vivo</t>
        </is>
      </c>
      <c r="D3538" s="2" t="inlineStr">
        <is>
          <t>postpaid</t>
        </is>
      </c>
      <c r="E3538" s="2" t="inlineStr">
        <is>
          <t>SP</t>
        </is>
      </c>
      <c r="F3538" s="2" t="inlineStr">
        <is>
          <t>Vivo Pós com Disney+</t>
        </is>
      </c>
      <c r="G3538" s="2" t="inlineStr">
        <is>
          <t>vivo:VIV202600034532</t>
        </is>
      </c>
      <c r="H3538" s="3" t="n">
        <v>180</v>
      </c>
      <c r="I3538" s="3" t="inlineStr"/>
      <c r="J3538" s="2" t="inlineStr"/>
      <c r="K3538" s="2" t="inlineStr"/>
      <c r="L3538" s="4" t="n">
        <v>60</v>
      </c>
      <c r="M3538" s="2" t="inlineStr">
        <is>
          <t>50 GB de franquia 10 GB de bônus</t>
        </is>
      </c>
      <c r="N3538" s="2" t="inlineStr"/>
      <c r="O3538" s="2" t="inlineStr"/>
      <c r="P3538" s="2" t="inlineStr"/>
      <c r="Q3538" s="2" t="inlineStr"/>
      <c r="R3538" s="2" t="inlineStr">
        <is>
          <t>Disney+</t>
        </is>
      </c>
      <c r="S3538" s="2" t="inlineStr"/>
      <c r="T3538" s="2" t="inlineStr">
        <is>
          <t>Assinatura Disney+ Padrão inclusa</t>
        </is>
      </c>
      <c r="U3538" s="2" t="inlineStr">
        <is>
          <t>https://vivo.com.br/para-voce/produtos-e-servicos/para-o-celular/planos-pos-pago</t>
        </is>
      </c>
      <c r="V3538" s="2" t="inlineStr">
        <is>
          <t>data/raw/vivo_postpaid_SP.html</t>
        </is>
      </c>
    </row>
    <row r="3539">
      <c r="A3539" s="5" t="inlineStr">
        <is>
          <t>2026-08-24</t>
        </is>
      </c>
      <c r="B3539" s="5" t="inlineStr">
        <is>
          <t>2026-08-24T18:24:33</t>
        </is>
      </c>
      <c r="C3539" s="5" t="inlineStr">
        <is>
          <t>vivo</t>
        </is>
      </c>
      <c r="D3539" s="5" t="inlineStr">
        <is>
          <t>postpaid</t>
        </is>
      </c>
      <c r="E3539" s="5" t="inlineStr">
        <is>
          <t>SP</t>
        </is>
      </c>
      <c r="F3539" s="5" t="inlineStr">
        <is>
          <t>Vivo Pós com Globoplay</t>
        </is>
      </c>
      <c r="G3539" s="5" t="inlineStr">
        <is>
          <t>vivo:VIV202600034575</t>
        </is>
      </c>
      <c r="H3539" s="6" t="n">
        <v>165</v>
      </c>
      <c r="I3539" s="6" t="inlineStr"/>
      <c r="J3539" s="5" t="inlineStr"/>
      <c r="K3539" s="5" t="inlineStr"/>
      <c r="L3539" s="7" t="n">
        <v>60</v>
      </c>
      <c r="M3539" s="5" t="inlineStr">
        <is>
          <t>50 GB de franquia 10 GB de bônus</t>
        </is>
      </c>
      <c r="N3539" s="5" t="inlineStr"/>
      <c r="O3539" s="5" t="inlineStr"/>
      <c r="P3539" s="5" t="inlineStr"/>
      <c r="Q3539" s="5" t="inlineStr"/>
      <c r="R3539" s="5" t="inlineStr">
        <is>
          <t>Globoplay</t>
        </is>
      </c>
      <c r="S3539" s="5" t="inlineStr"/>
      <c r="T3539" s="5" t="inlineStr">
        <is>
          <t>Assinatura Globoplay inclusa</t>
        </is>
      </c>
      <c r="U3539" s="5" t="inlineStr">
        <is>
          <t>https://vivo.com.br/para-voce/produtos-e-servicos/para-o-celular/planos-pos-pago</t>
        </is>
      </c>
      <c r="V3539" s="5" t="inlineStr">
        <is>
          <t>data/raw/vivo_postpaid_SP.html</t>
        </is>
      </c>
    </row>
    <row r="3540">
      <c r="A3540" s="2" t="inlineStr">
        <is>
          <t>2026-08-24</t>
        </is>
      </c>
      <c r="B3540" s="2" t="inlineStr">
        <is>
          <t>2026-08-24T18:24:33</t>
        </is>
      </c>
      <c r="C3540" s="2" t="inlineStr">
        <is>
          <t>vivo</t>
        </is>
      </c>
      <c r="D3540" s="2" t="inlineStr">
        <is>
          <t>postpaid</t>
        </is>
      </c>
      <c r="E3540" s="2" t="inlineStr">
        <is>
          <t>SP</t>
        </is>
      </c>
      <c r="F3540" s="2" t="inlineStr">
        <is>
          <t>Vivo Pós com Netflix</t>
        </is>
      </c>
      <c r="G3540" s="2" t="inlineStr">
        <is>
          <t>vivo:VIV202600034562</t>
        </is>
      </c>
      <c r="H3540" s="3" t="n">
        <v>180</v>
      </c>
      <c r="I3540" s="3" t="inlineStr"/>
      <c r="J3540" s="2" t="inlineStr"/>
      <c r="K3540" s="2" t="inlineStr"/>
      <c r="L3540" s="4" t="n">
        <v>60</v>
      </c>
      <c r="M3540" s="2" t="inlineStr">
        <is>
          <t>50 GB de franquia 10 GB de bônus</t>
        </is>
      </c>
      <c r="N3540" s="2" t="inlineStr"/>
      <c r="O3540" s="2" t="inlineStr"/>
      <c r="P3540" s="2" t="inlineStr"/>
      <c r="Q3540" s="2" t="inlineStr"/>
      <c r="R3540" s="2" t="inlineStr">
        <is>
          <t>Netflix</t>
        </is>
      </c>
      <c r="S3540" s="2" t="inlineStr"/>
      <c r="T3540" s="2" t="inlineStr">
        <is>
          <t>Assinatura Netflix Padrão inclusa</t>
        </is>
      </c>
      <c r="U3540" s="2" t="inlineStr">
        <is>
          <t>https://vivo.com.br/para-voce/produtos-e-servicos/para-o-celular/planos-pos-pago</t>
        </is>
      </c>
      <c r="V3540" s="2" t="inlineStr">
        <is>
          <t>data/raw/vivo_postpaid_SP.html</t>
        </is>
      </c>
    </row>
    <row r="3541">
      <c r="A3541" s="5" t="inlineStr">
        <is>
          <t>2026-08-24</t>
        </is>
      </c>
      <c r="B3541" s="5" t="inlineStr">
        <is>
          <t>2026-08-24T18:24:33</t>
        </is>
      </c>
      <c r="C3541" s="5" t="inlineStr">
        <is>
          <t>vivo</t>
        </is>
      </c>
      <c r="D3541" s="5" t="inlineStr">
        <is>
          <t>postpaid</t>
        </is>
      </c>
      <c r="E3541" s="5" t="inlineStr">
        <is>
          <t>SP</t>
        </is>
      </c>
      <c r="F3541" s="5" t="inlineStr">
        <is>
          <t>Vivo Pós com Premiere</t>
        </is>
      </c>
      <c r="G3541" s="5" t="inlineStr">
        <is>
          <t>vivo:VIV202600034579</t>
        </is>
      </c>
      <c r="H3541" s="6" t="n">
        <v>180</v>
      </c>
      <c r="I3541" s="6" t="inlineStr"/>
      <c r="J3541" s="5" t="inlineStr"/>
      <c r="K3541" s="5" t="inlineStr"/>
      <c r="L3541" s="7" t="n">
        <v>60</v>
      </c>
      <c r="M3541" s="5" t="inlineStr">
        <is>
          <t>50 GB de franquia 10 GB de bônus</t>
        </is>
      </c>
      <c r="N3541" s="5" t="inlineStr"/>
      <c r="O3541" s="5" t="inlineStr"/>
      <c r="P3541" s="5" t="inlineStr"/>
      <c r="Q3541" s="5" t="inlineStr"/>
      <c r="R3541" s="5" t="inlineStr">
        <is>
          <t>Premiere</t>
        </is>
      </c>
      <c r="S3541" s="5" t="inlineStr"/>
      <c r="T3541" s="5" t="inlineStr">
        <is>
          <t>Assinatura Premiere inclusa</t>
        </is>
      </c>
      <c r="U3541" s="5" t="inlineStr">
        <is>
          <t>https://vivo.com.br/para-voce/produtos-e-servicos/para-o-celular/planos-pos-pago</t>
        </is>
      </c>
      <c r="V3541" s="5" t="inlineStr">
        <is>
          <t>data/raw/vivo_postpaid_SP.html</t>
        </is>
      </c>
    </row>
    <row r="3542">
      <c r="A3542" s="2" t="inlineStr">
        <is>
          <t>2026-08-24</t>
        </is>
      </c>
      <c r="B3542" s="2" t="inlineStr">
        <is>
          <t>2026-08-24T18:24:33</t>
        </is>
      </c>
      <c r="C3542" s="2" t="inlineStr">
        <is>
          <t>vivo</t>
        </is>
      </c>
      <c r="D3542" s="2" t="inlineStr">
        <is>
          <t>postpaid</t>
        </is>
      </c>
      <c r="E3542" s="2" t="inlineStr">
        <is>
          <t>SP</t>
        </is>
      </c>
      <c r="F3542" s="2" t="inlineStr">
        <is>
          <t>Vivo Pós com Spotify</t>
        </is>
      </c>
      <c r="G3542" s="2" t="inlineStr">
        <is>
          <t>vivo:VIV202600034556</t>
        </is>
      </c>
      <c r="H3542" s="3" t="n">
        <v>165</v>
      </c>
      <c r="I3542" s="3" t="inlineStr"/>
      <c r="J3542" s="2" t="inlineStr"/>
      <c r="K3542" s="2" t="inlineStr"/>
      <c r="L3542" s="4" t="n">
        <v>60</v>
      </c>
      <c r="M3542" s="2" t="inlineStr">
        <is>
          <t>50 GB de franquia 10 GB de bônus</t>
        </is>
      </c>
      <c r="N3542" s="2" t="inlineStr"/>
      <c r="O3542" s="2" t="inlineStr"/>
      <c r="P3542" s="2" t="inlineStr"/>
      <c r="Q3542" s="2" t="inlineStr"/>
      <c r="R3542" s="2" t="inlineStr">
        <is>
          <t>Spotify</t>
        </is>
      </c>
      <c r="S3542" s="2" t="inlineStr"/>
      <c r="T3542" s="2" t="inlineStr">
        <is>
          <t>Assinatura Spotify Premium inclusa</t>
        </is>
      </c>
      <c r="U3542" s="2" t="inlineStr">
        <is>
          <t>https://vivo.com.br/para-voce/produtos-e-servicos/para-o-celular/planos-pos-pago</t>
        </is>
      </c>
      <c r="V3542" s="2" t="inlineStr">
        <is>
          <t>data/raw/vivo_postpaid_SP.html</t>
        </is>
      </c>
    </row>
    <row r="3543">
      <c r="A3543" s="5" t="inlineStr">
        <is>
          <t>2026-08-24</t>
        </is>
      </c>
      <c r="B3543" s="5" t="inlineStr">
        <is>
          <t>2026-08-24T18:24:33</t>
        </is>
      </c>
      <c r="C3543" s="5" t="inlineStr">
        <is>
          <t>vivo</t>
        </is>
      </c>
      <c r="D3543" s="5" t="inlineStr">
        <is>
          <t>postpaid</t>
        </is>
      </c>
      <c r="E3543" s="5" t="inlineStr">
        <is>
          <t>SP</t>
        </is>
      </c>
      <c r="F3543" s="5" t="inlineStr">
        <is>
          <t>Vivo Pós com Travel</t>
        </is>
      </c>
      <c r="G3543" s="5" t="inlineStr">
        <is>
          <t>vivo:VIV202600034573</t>
        </is>
      </c>
      <c r="H3543" s="6" t="n">
        <v>215</v>
      </c>
      <c r="I3543" s="6" t="inlineStr"/>
      <c r="J3543" s="5" t="inlineStr"/>
      <c r="K3543" s="5" t="inlineStr"/>
      <c r="L3543" s="7" t="n">
        <v>70</v>
      </c>
      <c r="M3543" s="5" t="inlineStr">
        <is>
          <t>60 GB de franquia 10 GB de bônus</t>
        </is>
      </c>
      <c r="N3543" s="5" t="inlineStr"/>
      <c r="O3543" s="5" t="inlineStr"/>
      <c r="P3543" s="5" t="inlineStr"/>
      <c r="Q3543" s="5" t="inlineStr"/>
      <c r="R3543" s="5" t="inlineStr"/>
      <c r="S3543" s="5" t="inlineStr"/>
      <c r="T3543" s="5" t="inlineStr">
        <is>
          <t>2 meses de YouTube sem consumo no plano</t>
        </is>
      </c>
      <c r="U3543" s="5" t="inlineStr">
        <is>
          <t>https://vivo.com.br/para-voce/produtos-e-servicos/para-o-celular/planos-pos-pago</t>
        </is>
      </c>
      <c r="V3543" s="5" t="inlineStr">
        <is>
          <t>data/raw/vivo_postpaid_SP.html</t>
        </is>
      </c>
    </row>
    <row r="3544">
      <c r="A3544" s="2" t="inlineStr">
        <is>
          <t>2026-08-24</t>
        </is>
      </c>
      <c r="B3544" s="2" t="inlineStr">
        <is>
          <t>2026-08-24T18:24:33</t>
        </is>
      </c>
      <c r="C3544" s="2" t="inlineStr">
        <is>
          <t>vivo</t>
        </is>
      </c>
      <c r="D3544" s="2" t="inlineStr">
        <is>
          <t>prepaid</t>
        </is>
      </c>
      <c r="E3544" s="2" t="inlineStr">
        <is>
          <t>SP</t>
        </is>
      </c>
      <c r="F3544" s="2" t="inlineStr">
        <is>
          <t>Vivo Pré</t>
        </is>
      </c>
      <c r="G3544" s="2" t="inlineStr">
        <is>
          <t>vivo:VIV202600029370-30d</t>
        </is>
      </c>
      <c r="H3544" s="3" t="n">
        <v>30</v>
      </c>
      <c r="I3544" s="3" t="inlineStr"/>
      <c r="J3544" s="2" t="inlineStr"/>
      <c r="K3544" s="2" t="inlineStr"/>
      <c r="L3544" s="4" t="n">
        <v>25</v>
      </c>
      <c r="M3544" s="2" t="inlineStr">
        <is>
          <t>15 GB para navegar como quiser 5 GB de bônus 5 GB para navegar no Youtube</t>
        </is>
      </c>
      <c r="N3544" s="2" t="n">
        <v>30</v>
      </c>
      <c r="O3544" s="2" t="inlineStr"/>
      <c r="P3544" s="2" t="inlineStr"/>
      <c r="Q3544" s="2" t="inlineStr"/>
      <c r="R3544" s="2" t="inlineStr"/>
      <c r="S3544" s="2" t="inlineStr"/>
      <c r="T3544" s="2" t="inlineStr"/>
      <c r="U3544" s="2" t="inlineStr">
        <is>
          <t>https://vivo.com.br/para-voce/produtos-e-servicos/para-o-celular/pre-pago/vivo-pre</t>
        </is>
      </c>
      <c r="V3544" s="2" t="inlineStr">
        <is>
          <t>data/raw/vivo_prepaid_SP.html</t>
        </is>
      </c>
    </row>
    <row r="3545">
      <c r="A3545" s="5" t="inlineStr">
        <is>
          <t>2026-08-24</t>
        </is>
      </c>
      <c r="B3545" s="5" t="inlineStr">
        <is>
          <t>2026-08-24T18:24:33</t>
        </is>
      </c>
      <c r="C3545" s="5" t="inlineStr">
        <is>
          <t>vivo</t>
        </is>
      </c>
      <c r="D3545" s="5" t="inlineStr">
        <is>
          <t>prepaid</t>
        </is>
      </c>
      <c r="E3545" s="5" t="inlineStr">
        <is>
          <t>SP</t>
        </is>
      </c>
      <c r="F3545" s="5" t="inlineStr">
        <is>
          <t>Vivo Pré</t>
        </is>
      </c>
      <c r="G3545" s="5" t="inlineStr">
        <is>
          <t>vivo:VIV202600029370-22d</t>
        </is>
      </c>
      <c r="H3545" s="6" t="n">
        <v>25</v>
      </c>
      <c r="I3545" s="6" t="inlineStr"/>
      <c r="J3545" s="5" t="inlineStr"/>
      <c r="K3545" s="5" t="inlineStr"/>
      <c r="L3545" s="7" t="n">
        <v>9</v>
      </c>
      <c r="M3545" s="5" t="inlineStr">
        <is>
          <t>6 GB para navegar como quiser 3 GB para navegar no YouTube</t>
        </is>
      </c>
      <c r="N3545" s="5" t="n">
        <v>22</v>
      </c>
      <c r="O3545" s="5" t="inlineStr"/>
      <c r="P3545" s="5" t="inlineStr"/>
      <c r="Q3545" s="5" t="inlineStr"/>
      <c r="R3545" s="5" t="inlineStr"/>
      <c r="S3545" s="5" t="inlineStr"/>
      <c r="T3545" s="5" t="inlineStr"/>
      <c r="U3545" s="5" t="inlineStr">
        <is>
          <t>https://vivo.com.br/para-voce/produtos-e-servicos/para-o-celular/pre-pago/vivo-pre</t>
        </is>
      </c>
      <c r="V3545" s="5" t="inlineStr">
        <is>
          <t>data/raw/vivo_prepaid_SP.html</t>
        </is>
      </c>
    </row>
    <row r="3546">
      <c r="A3546" s="2" t="inlineStr">
        <is>
          <t>2026-08-24</t>
        </is>
      </c>
      <c r="B3546" s="2" t="inlineStr">
        <is>
          <t>2026-08-24T18:24:33</t>
        </is>
      </c>
      <c r="C3546" s="2" t="inlineStr">
        <is>
          <t>vivo</t>
        </is>
      </c>
      <c r="D3546" s="2" t="inlineStr">
        <is>
          <t>prepaid</t>
        </is>
      </c>
      <c r="E3546" s="2" t="inlineStr">
        <is>
          <t>SP</t>
        </is>
      </c>
      <c r="F3546" s="2" t="inlineStr">
        <is>
          <t>Vivo Pré</t>
        </is>
      </c>
      <c r="G3546" s="2" t="inlineStr">
        <is>
          <t>vivo:VIV202600029370-17d</t>
        </is>
      </c>
      <c r="H3546" s="3" t="n">
        <v>20</v>
      </c>
      <c r="I3546" s="3" t="inlineStr"/>
      <c r="J3546" s="2" t="inlineStr"/>
      <c r="K3546" s="2" t="inlineStr"/>
      <c r="L3546" s="4" t="n">
        <v>5</v>
      </c>
      <c r="M3546" s="2" t="inlineStr">
        <is>
          <t>5 GB para navegar como quiser</t>
        </is>
      </c>
      <c r="N3546" s="2" t="n">
        <v>17</v>
      </c>
      <c r="O3546" s="2" t="inlineStr"/>
      <c r="P3546" s="2" t="inlineStr"/>
      <c r="Q3546" s="2" t="inlineStr"/>
      <c r="R3546" s="2" t="inlineStr"/>
      <c r="S3546" s="2" t="inlineStr"/>
      <c r="T3546" s="2" t="inlineStr"/>
      <c r="U3546" s="2" t="inlineStr">
        <is>
          <t>https://vivo.com.br/para-voce/produtos-e-servicos/para-o-celular/pre-pago/vivo-pre</t>
        </is>
      </c>
      <c r="V3546" s="2" t="inlineStr">
        <is>
          <t>data/raw/vivo_prepaid_SP.html</t>
        </is>
      </c>
    </row>
    <row r="3547">
      <c r="A3547" s="5" t="inlineStr">
        <is>
          <t>2026-08-24</t>
        </is>
      </c>
      <c r="B3547" s="5" t="inlineStr">
        <is>
          <t>2026-08-24T18:24:33</t>
        </is>
      </c>
      <c r="C3547" s="5" t="inlineStr">
        <is>
          <t>vivo</t>
        </is>
      </c>
      <c r="D3547" s="5" t="inlineStr">
        <is>
          <t>prepaid</t>
        </is>
      </c>
      <c r="E3547" s="5" t="inlineStr">
        <is>
          <t>SP</t>
        </is>
      </c>
      <c r="F3547" s="5" t="inlineStr">
        <is>
          <t>Vivo Pré</t>
        </is>
      </c>
      <c r="G3547" s="5" t="inlineStr">
        <is>
          <t>vivo:VIV202600029370-15d</t>
        </is>
      </c>
      <c r="H3547" s="6" t="n">
        <v>17</v>
      </c>
      <c r="I3547" s="6" t="inlineStr"/>
      <c r="J3547" s="5" t="inlineStr"/>
      <c r="K3547" s="5" t="inlineStr"/>
      <c r="L3547" s="7" t="n">
        <v>4</v>
      </c>
      <c r="M3547" s="5" t="inlineStr">
        <is>
          <t>4 GB para navegar como quiser</t>
        </is>
      </c>
      <c r="N3547" s="5" t="n">
        <v>15</v>
      </c>
      <c r="O3547" s="5" t="inlineStr"/>
      <c r="P3547" s="5" t="inlineStr"/>
      <c r="Q3547" s="5" t="inlineStr"/>
      <c r="R3547" s="5" t="inlineStr"/>
      <c r="S3547" s="5" t="inlineStr"/>
      <c r="T3547" s="5" t="inlineStr"/>
      <c r="U3547" s="5" t="inlineStr">
        <is>
          <t>https://vivo.com.br/para-voce/produtos-e-servicos/para-o-celular/pre-pago/vivo-pre</t>
        </is>
      </c>
      <c r="V3547" s="5" t="inlineStr">
        <is>
          <t>data/raw/vivo_prepaid_SP.html</t>
        </is>
      </c>
    </row>
    <row r="3548">
      <c r="A3548" s="2" t="inlineStr">
        <is>
          <t>2026-08-25</t>
        </is>
      </c>
      <c r="B3548" s="2" t="inlineStr">
        <is>
          <t>2026-08-25T18:23:38</t>
        </is>
      </c>
      <c r="C3548" s="2" t="inlineStr">
        <is>
          <t>claro</t>
        </is>
      </c>
      <c r="D3548" s="2" t="inlineStr">
        <is>
          <t>control</t>
        </is>
      </c>
      <c r="E3548" s="2" t="inlineStr">
        <is>
          <t>SP</t>
        </is>
      </c>
      <c r="F3548" s="2" t="inlineStr">
        <is>
          <t>Controle 25GB</t>
        </is>
      </c>
      <c r="G3548" s="2" t="inlineStr">
        <is>
          <t>claro:plano-controle-25gb</t>
        </is>
      </c>
      <c r="H3548" s="3" t="n">
        <v>59.9</v>
      </c>
      <c r="I3548" s="3" t="n">
        <v>54.9</v>
      </c>
      <c r="J3548" s="2" t="inlineStr">
        <is>
          <t>De R$ 59,90 Por:</t>
        </is>
      </c>
      <c r="K3548" s="2" t="inlineStr"/>
      <c r="L3548" s="4" t="n">
        <v>25</v>
      </c>
      <c r="M3548" s="2" t="inlineStr"/>
      <c r="N3548" s="2" t="inlineStr"/>
      <c r="O3548" s="2" t="inlineStr">
        <is>
          <t>WhatsApp</t>
        </is>
      </c>
      <c r="P3548" s="2" t="inlineStr"/>
      <c r="Q3548" s="2" t="inlineStr"/>
      <c r="R3548" s="2" t="inlineStr"/>
      <c r="S3548" s="2" t="inlineStr"/>
      <c r="T3548" s="2" t="inlineStr">
        <is>
          <t>Para uso livre; Para redes sociais e vídeos; Bônus exclusivo; Aproveite na sua franquia; WhatsApp e ligações ilimitadas</t>
        </is>
      </c>
      <c r="U3548" s="2" t="inlineStr">
        <is>
          <t>https://www.claro.com.br/celular/controle</t>
        </is>
      </c>
      <c r="V3548" s="2" t="inlineStr">
        <is>
          <t>data/raw/claro_control_SP.json</t>
        </is>
      </c>
    </row>
    <row r="3549">
      <c r="A3549" s="5" t="inlineStr">
        <is>
          <t>2026-08-25</t>
        </is>
      </c>
      <c r="B3549" s="5" t="inlineStr">
        <is>
          <t>2026-08-25T18:23:38</t>
        </is>
      </c>
      <c r="C3549" s="5" t="inlineStr">
        <is>
          <t>claro</t>
        </is>
      </c>
      <c r="D3549" s="5" t="inlineStr">
        <is>
          <t>control</t>
        </is>
      </c>
      <c r="E3549" s="5" t="inlineStr">
        <is>
          <t>SP</t>
        </is>
      </c>
      <c r="F3549" s="5" t="inlineStr">
        <is>
          <t>Controle 30GB</t>
        </is>
      </c>
      <c r="G3549" s="5" t="inlineStr">
        <is>
          <t>claro:plano-controle-30gb</t>
        </is>
      </c>
      <c r="H3549" s="6" t="n">
        <v>69.90000000000001</v>
      </c>
      <c r="I3549" s="6" t="inlineStr"/>
      <c r="J3549" s="5" t="inlineStr"/>
      <c r="K3549" s="5" t="inlineStr"/>
      <c r="L3549" s="7" t="n">
        <v>30</v>
      </c>
      <c r="M3549" s="5" t="inlineStr"/>
      <c r="N3549" s="5" t="inlineStr"/>
      <c r="O3549" s="5" t="inlineStr">
        <is>
          <t>WhatsApp</t>
        </is>
      </c>
      <c r="P3549" s="5" t="inlineStr"/>
      <c r="Q3549" s="5" t="inlineStr"/>
      <c r="R3549" s="5" t="inlineStr"/>
      <c r="S3549" s="5" t="inlineStr"/>
      <c r="T3549" s="5" t="inlineStr">
        <is>
          <t>Para uso livre; Bônus para uso livre; Bônus para redes sociais e apps; Assinatura Amazon Prime por 3 meses; Redes sociais e apps; WhatsApp ilimitado</t>
        </is>
      </c>
      <c r="U3549" s="5" t="inlineStr">
        <is>
          <t>https://www.claro.com.br/celular/controle</t>
        </is>
      </c>
      <c r="V3549" s="5" t="inlineStr">
        <is>
          <t>data/raw/claro_control_SP.json</t>
        </is>
      </c>
    </row>
    <row r="3550">
      <c r="A3550" s="2" t="inlineStr">
        <is>
          <t>2026-08-25</t>
        </is>
      </c>
      <c r="B3550" s="2" t="inlineStr">
        <is>
          <t>2026-08-25T18:23:38</t>
        </is>
      </c>
      <c r="C3550" s="2" t="inlineStr">
        <is>
          <t>claro</t>
        </is>
      </c>
      <c r="D3550" s="2" t="inlineStr">
        <is>
          <t>control</t>
        </is>
      </c>
      <c r="E3550" s="2" t="inlineStr">
        <is>
          <t>SP</t>
        </is>
      </c>
      <c r="F3550" s="2" t="inlineStr">
        <is>
          <t>Controle 30GB</t>
        </is>
      </c>
      <c r="G3550" s="2" t="inlineStr">
        <is>
          <t>claro:plano-controle-30gb-gaming</t>
        </is>
      </c>
      <c r="H3550" s="3" t="n">
        <v>99.90000000000001</v>
      </c>
      <c r="I3550" s="3" t="inlineStr"/>
      <c r="J3550" s="2" t="inlineStr"/>
      <c r="K3550" s="2" t="inlineStr"/>
      <c r="L3550" s="4" t="n">
        <v>30</v>
      </c>
      <c r="M3550" s="2" t="inlineStr"/>
      <c r="N3550" s="2" t="inlineStr"/>
      <c r="O3550" s="2" t="inlineStr">
        <is>
          <t>WhatsApp</t>
        </is>
      </c>
      <c r="P3550" s="2" t="inlineStr"/>
      <c r="Q3550" s="2" t="inlineStr"/>
      <c r="R3550" s="2" t="inlineStr"/>
      <c r="S3550" s="2" t="inlineStr"/>
      <c r="T3550" s="2" t="inlineStr">
        <is>
          <t>Para uso livre; Bônus para redes sociais e apps; Bônus uso livre; Assinatura Amazon Prime por 3 meses; Redes sociais e apps; WhatsApp ilimitado</t>
        </is>
      </c>
      <c r="U3550" s="2" t="inlineStr">
        <is>
          <t>https://www.claro.com.br/celular/controle</t>
        </is>
      </c>
      <c r="V3550" s="2" t="inlineStr">
        <is>
          <t>data/raw/claro_control_SP.json</t>
        </is>
      </c>
    </row>
    <row r="3551">
      <c r="A3551" s="5" t="inlineStr">
        <is>
          <t>2026-08-25</t>
        </is>
      </c>
      <c r="B3551" s="5" t="inlineStr">
        <is>
          <t>2026-08-25T18:23:38</t>
        </is>
      </c>
      <c r="C3551" s="5" t="inlineStr">
        <is>
          <t>claro</t>
        </is>
      </c>
      <c r="D3551" s="5" t="inlineStr">
        <is>
          <t>flex</t>
        </is>
      </c>
      <c r="E3551" s="5" t="inlineStr">
        <is>
          <t>SP</t>
        </is>
      </c>
      <c r="F3551" s="5" t="inlineStr">
        <is>
          <t>Flex 15GB</t>
        </is>
      </c>
      <c r="G3551" s="5" t="inlineStr">
        <is>
          <t>claro:plano-flex-15gb</t>
        </is>
      </c>
      <c r="H3551" s="6" t="n">
        <v>44.9</v>
      </c>
      <c r="I3551" s="6" t="inlineStr"/>
      <c r="J3551" s="5" t="inlineStr"/>
      <c r="K3551" s="5" t="inlineStr"/>
      <c r="L3551" s="7" t="n">
        <v>15</v>
      </c>
      <c r="M3551" s="5" t="inlineStr"/>
      <c r="N3551" s="5" t="inlineStr"/>
      <c r="O3551" s="5" t="inlineStr">
        <is>
          <t>WhatsApp</t>
        </is>
      </c>
      <c r="P3551" s="5" t="inlineStr"/>
      <c r="Q3551" s="5" t="inlineStr"/>
      <c r="R3551" s="5" t="inlineStr"/>
      <c r="S3551" s="5" t="inlineStr"/>
      <c r="T3551" s="5" t="inlineStr">
        <is>
          <t>Para uso livre; Bônus Pais para uso livre; Para redes sociais e apps; Bônus extra nos apps; WhatsApp ilimitado</t>
        </is>
      </c>
      <c r="U3551" s="5" t="inlineStr">
        <is>
          <t>https://www.claro.com.br/celular/flex</t>
        </is>
      </c>
      <c r="V3551" s="5" t="inlineStr">
        <is>
          <t>data/raw/claro_flex_SP.json</t>
        </is>
      </c>
    </row>
    <row r="3552">
      <c r="A3552" s="2" t="inlineStr">
        <is>
          <t>2026-08-25</t>
        </is>
      </c>
      <c r="B3552" s="2" t="inlineStr">
        <is>
          <t>2026-08-25T18:23:38</t>
        </is>
      </c>
      <c r="C3552" s="2" t="inlineStr">
        <is>
          <t>claro</t>
        </is>
      </c>
      <c r="D3552" s="2" t="inlineStr">
        <is>
          <t>flex</t>
        </is>
      </c>
      <c r="E3552" s="2" t="inlineStr">
        <is>
          <t>SP</t>
        </is>
      </c>
      <c r="F3552" s="2" t="inlineStr">
        <is>
          <t>Flex 20GB</t>
        </is>
      </c>
      <c r="G3552" s="2" t="inlineStr">
        <is>
          <t>claro:plano-flex-20gb</t>
        </is>
      </c>
      <c r="H3552" s="3" t="n">
        <v>59.9</v>
      </c>
      <c r="I3552" s="3" t="inlineStr"/>
      <c r="J3552" s="2" t="inlineStr"/>
      <c r="K3552" s="2" t="inlineStr"/>
      <c r="L3552" s="4" t="n">
        <v>20</v>
      </c>
      <c r="M3552" s="2" t="inlineStr"/>
      <c r="N3552" s="2" t="inlineStr"/>
      <c r="O3552" s="2" t="inlineStr">
        <is>
          <t>WhatsApp</t>
        </is>
      </c>
      <c r="P3552" s="2" t="inlineStr"/>
      <c r="Q3552" s="2" t="inlineStr"/>
      <c r="R3552" s="2" t="inlineStr"/>
      <c r="S3552" s="2" t="inlineStr"/>
      <c r="T3552" s="2" t="inlineStr">
        <is>
          <t>Para uso livre; Bônus Pais para uso livre; Para redes sociais e apps; Bônus extra nos apps; WhatsApp ilimitado</t>
        </is>
      </c>
      <c r="U3552" s="2" t="inlineStr">
        <is>
          <t>https://www.claro.com.br/celular/flex</t>
        </is>
      </c>
      <c r="V3552" s="2" t="inlineStr">
        <is>
          <t>data/raw/claro_flex_SP.json</t>
        </is>
      </c>
    </row>
    <row r="3553">
      <c r="A3553" s="5" t="inlineStr">
        <is>
          <t>2026-08-25</t>
        </is>
      </c>
      <c r="B3553" s="5" t="inlineStr">
        <is>
          <t>2026-08-25T18:23:38</t>
        </is>
      </c>
      <c r="C3553" s="5" t="inlineStr">
        <is>
          <t>claro</t>
        </is>
      </c>
      <c r="D3553" s="5" t="inlineStr">
        <is>
          <t>flex</t>
        </is>
      </c>
      <c r="E3553" s="5" t="inlineStr">
        <is>
          <t>SP</t>
        </is>
      </c>
      <c r="F3553" s="5" t="inlineStr">
        <is>
          <t>Flex 30GB</t>
        </is>
      </c>
      <c r="G3553" s="5" t="inlineStr">
        <is>
          <t>claro:plano-flex-30gb</t>
        </is>
      </c>
      <c r="H3553" s="6" t="n">
        <v>69.90000000000001</v>
      </c>
      <c r="I3553" s="6" t="inlineStr"/>
      <c r="J3553" s="5" t="inlineStr"/>
      <c r="K3553" s="5" t="inlineStr"/>
      <c r="L3553" s="7" t="n">
        <v>30</v>
      </c>
      <c r="M3553" s="5" t="inlineStr"/>
      <c r="N3553" s="5" t="inlineStr"/>
      <c r="O3553" s="5" t="inlineStr">
        <is>
          <t>WhatsApp</t>
        </is>
      </c>
      <c r="P3553" s="5" t="inlineStr"/>
      <c r="Q3553" s="5" t="inlineStr"/>
      <c r="R3553" s="5" t="inlineStr"/>
      <c r="S3553" s="5" t="inlineStr"/>
      <c r="T3553" s="5" t="inlineStr">
        <is>
          <t>Para uso livre; Bônus Pais para uso livre; Para redes sociais e apps; Bônus extra nos apps; WhatsApp ilimitado; Assinatura Claro musica inclusa</t>
        </is>
      </c>
      <c r="U3553" s="5" t="inlineStr">
        <is>
          <t>https://www.claro.com.br/celular/flex</t>
        </is>
      </c>
      <c r="V3553" s="5" t="inlineStr">
        <is>
          <t>data/raw/claro_flex_SP.json</t>
        </is>
      </c>
    </row>
    <row r="3554">
      <c r="A3554" s="2" t="inlineStr">
        <is>
          <t>2026-08-25</t>
        </is>
      </c>
      <c r="B3554" s="2" t="inlineStr">
        <is>
          <t>2026-08-25T18:23:38</t>
        </is>
      </c>
      <c r="C3554" s="2" t="inlineStr">
        <is>
          <t>claro</t>
        </is>
      </c>
      <c r="D3554" s="2" t="inlineStr">
        <is>
          <t>flex</t>
        </is>
      </c>
      <c r="E3554" s="2" t="inlineStr">
        <is>
          <t>SP</t>
        </is>
      </c>
      <c r="F3554" s="2" t="inlineStr">
        <is>
          <t>Flex 40GB</t>
        </is>
      </c>
      <c r="G3554" s="2" t="inlineStr">
        <is>
          <t>claro:plano-flex-40gb</t>
        </is>
      </c>
      <c r="H3554" s="3" t="n">
        <v>119.9</v>
      </c>
      <c r="I3554" s="3" t="inlineStr"/>
      <c r="J3554" s="2" t="inlineStr"/>
      <c r="K3554" s="2" t="inlineStr"/>
      <c r="L3554" s="4" t="n">
        <v>40</v>
      </c>
      <c r="M3554" s="2" t="inlineStr"/>
      <c r="N3554" s="2" t="inlineStr"/>
      <c r="O3554" s="2" t="inlineStr">
        <is>
          <t>WhatsApp</t>
        </is>
      </c>
      <c r="P3554" s="2" t="inlineStr"/>
      <c r="Q3554" s="2" t="inlineStr"/>
      <c r="R3554" s="2" t="inlineStr"/>
      <c r="S3554" s="2" t="inlineStr"/>
      <c r="T3554" s="2" t="inlineStr">
        <is>
          <t>Para uso livre; Para redes sociais e apps; Bônus extra nos apps; WhatsApp ilimitado; Assinatura Claro musica inclusa</t>
        </is>
      </c>
      <c r="U3554" s="2" t="inlineStr">
        <is>
          <t>https://www.claro.com.br/celular/flex</t>
        </is>
      </c>
      <c r="V3554" s="2" t="inlineStr">
        <is>
          <t>data/raw/claro_flex_SP.json</t>
        </is>
      </c>
    </row>
    <row r="3555">
      <c r="A3555" s="5" t="inlineStr">
        <is>
          <t>2026-08-25</t>
        </is>
      </c>
      <c r="B3555" s="5" t="inlineStr">
        <is>
          <t>2026-08-25T18:23:38</t>
        </is>
      </c>
      <c r="C3555" s="5" t="inlineStr">
        <is>
          <t>claro</t>
        </is>
      </c>
      <c r="D3555" s="5" t="inlineStr">
        <is>
          <t>postpaid</t>
        </is>
      </c>
      <c r="E3555" s="5" t="inlineStr">
        <is>
          <t>SP</t>
        </is>
      </c>
      <c r="F3555" s="5" t="inlineStr">
        <is>
          <t>Pós 100GB</t>
        </is>
      </c>
      <c r="G3555" s="5" t="inlineStr">
        <is>
          <t>claro:plano-pos-100gb</t>
        </is>
      </c>
      <c r="H3555" s="6" t="n">
        <v>179.9</v>
      </c>
      <c r="I3555" s="6" t="inlineStr"/>
      <c r="J3555" s="5" t="inlineStr"/>
      <c r="K3555" s="5" t="inlineStr"/>
      <c r="L3555" s="7" t="n">
        <v>100</v>
      </c>
      <c r="M3555" s="5" t="inlineStr"/>
      <c r="N3555" s="5" t="inlineStr"/>
      <c r="O3555" s="5" t="inlineStr">
        <is>
          <t>WhatsApp</t>
        </is>
      </c>
      <c r="P3555" s="5" t="inlineStr"/>
      <c r="Q3555" s="5" t="inlineStr"/>
      <c r="R3555" s="5" t="inlineStr"/>
      <c r="S3555" s="5" t="inlineStr"/>
      <c r="T3555" s="5" t="inlineStr">
        <is>
          <t>Armazenamento na nuvem:; Google One ou iCloud+; WhatsApp ilimitado; Assinatura Amazon Prime por 3 meses; Roaming: Passaporte Américas; Claro Sync: Smartwatch conectado</t>
        </is>
      </c>
      <c r="U3555" s="5" t="inlineStr">
        <is>
          <t>https://www.claro.com.br/celular/pos</t>
        </is>
      </c>
      <c r="V3555" s="5" t="inlineStr">
        <is>
          <t>data/raw/claro_postpaid_SP.json</t>
        </is>
      </c>
    </row>
    <row r="3556">
      <c r="A3556" s="2" t="inlineStr">
        <is>
          <t>2026-08-25</t>
        </is>
      </c>
      <c r="B3556" s="2" t="inlineStr">
        <is>
          <t>2026-08-25T18:23:38</t>
        </is>
      </c>
      <c r="C3556" s="2" t="inlineStr">
        <is>
          <t>claro</t>
        </is>
      </c>
      <c r="D3556" s="2" t="inlineStr">
        <is>
          <t>postpaid</t>
        </is>
      </c>
      <c r="E3556" s="2" t="inlineStr">
        <is>
          <t>SP</t>
        </is>
      </c>
      <c r="F3556" s="2" t="inlineStr">
        <is>
          <t>Pós 150GB</t>
        </is>
      </c>
      <c r="G3556" s="2" t="inlineStr">
        <is>
          <t>claro:plano-pos-150gb</t>
        </is>
      </c>
      <c r="H3556" s="3" t="n">
        <v>239.9</v>
      </c>
      <c r="I3556" s="3" t="inlineStr"/>
      <c r="J3556" s="2" t="inlineStr"/>
      <c r="K3556" s="2" t="inlineStr"/>
      <c r="L3556" s="4" t="n">
        <v>150</v>
      </c>
      <c r="M3556" s="2" t="inlineStr"/>
      <c r="N3556" s="2" t="inlineStr"/>
      <c r="O3556" s="2" t="inlineStr">
        <is>
          <t>WhatsApp</t>
        </is>
      </c>
      <c r="P3556" s="2" t="inlineStr"/>
      <c r="Q3556" s="2" t="inlineStr"/>
      <c r="R3556" s="2" t="inlineStr"/>
      <c r="S3556" s="2" t="inlineStr"/>
      <c r="T355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556" s="2" t="inlineStr">
        <is>
          <t>https://www.claro.com.br/celular/pos</t>
        </is>
      </c>
      <c r="V3556" s="2" t="inlineStr">
        <is>
          <t>data/raw/claro_postpaid_SP.json</t>
        </is>
      </c>
    </row>
    <row r="3557">
      <c r="A3557" s="5" t="inlineStr">
        <is>
          <t>2026-08-25</t>
        </is>
      </c>
      <c r="B3557" s="5" t="inlineStr">
        <is>
          <t>2026-08-25T18:23:38</t>
        </is>
      </c>
      <c r="C3557" s="5" t="inlineStr">
        <is>
          <t>claro</t>
        </is>
      </c>
      <c r="D3557" s="5" t="inlineStr">
        <is>
          <t>postpaid</t>
        </is>
      </c>
      <c r="E3557" s="5" t="inlineStr">
        <is>
          <t>SP</t>
        </is>
      </c>
      <c r="F3557" s="5" t="inlineStr">
        <is>
          <t>Pós 200GB</t>
        </is>
      </c>
      <c r="G3557" s="5" t="inlineStr">
        <is>
          <t>claro:plano-pos-200gb</t>
        </is>
      </c>
      <c r="H3557" s="6" t="n">
        <v>339.9</v>
      </c>
      <c r="I3557" s="6" t="inlineStr"/>
      <c r="J3557" s="5" t="inlineStr"/>
      <c r="K3557" s="5" t="inlineStr"/>
      <c r="L3557" s="7" t="n">
        <v>200</v>
      </c>
      <c r="M3557" s="5" t="inlineStr"/>
      <c r="N3557" s="5" t="inlineStr"/>
      <c r="O3557" s="5" t="inlineStr">
        <is>
          <t>WhatsApp</t>
        </is>
      </c>
      <c r="P3557" s="5" t="inlineStr"/>
      <c r="Q3557" s="5" t="inlineStr"/>
      <c r="R3557" s="5" t="inlineStr"/>
      <c r="S3557" s="5" t="inlineStr"/>
      <c r="T3557" s="5" t="inlineStr">
        <is>
          <t>Armazenamento na nuvem:; Google One (AI Plus) ou iCloud+; WhatsApp ilimitado; Assinatura Amazon Prime por 3 meses; Roaming: Passaporte Mundo; Claro Sync: Smartwatch conectado</t>
        </is>
      </c>
      <c r="U3557" s="5" t="inlineStr">
        <is>
          <t>https://www.claro.com.br/celular/pos</t>
        </is>
      </c>
      <c r="V3557" s="5" t="inlineStr">
        <is>
          <t>data/raw/claro_postpaid_SP.json</t>
        </is>
      </c>
    </row>
    <row r="3558">
      <c r="A3558" s="2" t="inlineStr">
        <is>
          <t>2026-08-25</t>
        </is>
      </c>
      <c r="B3558" s="2" t="inlineStr">
        <is>
          <t>2026-08-25T18:23:38</t>
        </is>
      </c>
      <c r="C3558" s="2" t="inlineStr">
        <is>
          <t>claro</t>
        </is>
      </c>
      <c r="D3558" s="2" t="inlineStr">
        <is>
          <t>postpaid</t>
        </is>
      </c>
      <c r="E3558" s="2" t="inlineStr">
        <is>
          <t>SP</t>
        </is>
      </c>
      <c r="F3558" s="2" t="inlineStr">
        <is>
          <t>Pós 50GB com GeForce NOW</t>
        </is>
      </c>
      <c r="G3558" s="2" t="inlineStr">
        <is>
          <t>claro:plano-pos-60gb-geforce</t>
        </is>
      </c>
      <c r="H3558" s="3" t="n">
        <v>164.9</v>
      </c>
      <c r="I3558" s="3" t="inlineStr"/>
      <c r="J3558" s="2" t="inlineStr"/>
      <c r="K3558" s="2" t="inlineStr"/>
      <c r="L3558" s="4" t="n">
        <v>50</v>
      </c>
      <c r="M3558" s="2" t="inlineStr"/>
      <c r="N3558" s="2" t="inlineStr"/>
      <c r="O3558" s="2" t="inlineStr">
        <is>
          <t>WhatsApp</t>
        </is>
      </c>
      <c r="P3558" s="2" t="inlineStr"/>
      <c r="Q3558" s="2" t="inlineStr"/>
      <c r="R3558" s="2" t="inlineStr"/>
      <c r="S3558" s="2" t="inlineStr"/>
      <c r="T355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558" s="2" t="inlineStr">
        <is>
          <t>https://www.claro.com.br/celular/pos</t>
        </is>
      </c>
      <c r="V3558" s="2" t="inlineStr">
        <is>
          <t>data/raw/claro_postpaid_SP.json</t>
        </is>
      </c>
    </row>
    <row r="3559">
      <c r="A3559" s="5" t="inlineStr">
        <is>
          <t>2026-08-25</t>
        </is>
      </c>
      <c r="B3559" s="5" t="inlineStr">
        <is>
          <t>2026-08-25T18:23:38</t>
        </is>
      </c>
      <c r="C3559" s="5" t="inlineStr">
        <is>
          <t>claro</t>
        </is>
      </c>
      <c r="D3559" s="5" t="inlineStr">
        <is>
          <t>postpaid</t>
        </is>
      </c>
      <c r="E3559" s="5" t="inlineStr">
        <is>
          <t>SP</t>
        </is>
      </c>
      <c r="F3559" s="5" t="inlineStr">
        <is>
          <t>Pós 60GB</t>
        </is>
      </c>
      <c r="G3559" s="5" t="inlineStr">
        <is>
          <t>claro:plano-pos-60gb</t>
        </is>
      </c>
      <c r="H3559" s="6" t="n">
        <v>124.9</v>
      </c>
      <c r="I3559" s="6" t="inlineStr"/>
      <c r="J3559" s="5" t="inlineStr"/>
      <c r="K3559" s="5" t="inlineStr"/>
      <c r="L3559" s="7" t="n">
        <v>60</v>
      </c>
      <c r="M3559" s="5" t="inlineStr"/>
      <c r="N3559" s="5" t="inlineStr"/>
      <c r="O3559" s="5" t="inlineStr">
        <is>
          <t>WhatsApp</t>
        </is>
      </c>
      <c r="P3559" s="5" t="inlineStr"/>
      <c r="Q3559" s="5" t="inlineStr"/>
      <c r="R3559" s="5" t="inlineStr"/>
      <c r="S3559" s="5" t="inlineStr"/>
      <c r="T3559" s="5" t="inlineStr">
        <is>
          <t>Armazenamento na nuvem:; Google One ou iCloud+; WhatsApp ilimitado; Assinatura Amazon Prime por 3 meses; Roaming: Passaporte Américas; Claro Sync: Smartwatch conectado</t>
        </is>
      </c>
      <c r="U3559" s="5" t="inlineStr">
        <is>
          <t>https://www.claro.com.br/celular/pos</t>
        </is>
      </c>
      <c r="V3559" s="5" t="inlineStr">
        <is>
          <t>data/raw/claro_postpaid_SP.json</t>
        </is>
      </c>
    </row>
    <row r="3560">
      <c r="A3560" s="2" t="inlineStr">
        <is>
          <t>2026-08-25</t>
        </is>
      </c>
      <c r="B3560" s="2" t="inlineStr">
        <is>
          <t>2026-08-25T18:23:38</t>
        </is>
      </c>
      <c r="C3560" s="2" t="inlineStr">
        <is>
          <t>claro</t>
        </is>
      </c>
      <c r="D3560" s="2" t="inlineStr">
        <is>
          <t>prepaid</t>
        </is>
      </c>
      <c r="E3560" s="2" t="inlineStr">
        <is>
          <t>SP</t>
        </is>
      </c>
      <c r="F3560" s="2" t="inlineStr">
        <is>
          <t>Prezão 10GB (25 dias)</t>
        </is>
      </c>
      <c r="G3560" s="2" t="inlineStr">
        <is>
          <t>claro:prezao-25d-10gb</t>
        </is>
      </c>
      <c r="H3560" s="3" t="n">
        <v>25</v>
      </c>
      <c r="I3560" s="3" t="inlineStr"/>
      <c r="J3560" s="2" t="inlineStr">
        <is>
          <t>recarga Prezão R$25 — validade 25 dias</t>
        </is>
      </c>
      <c r="K3560" s="2" t="inlineStr"/>
      <c r="L3560" s="4" t="n">
        <v>10</v>
      </c>
      <c r="M3560" s="2" t="inlineStr"/>
      <c r="N3560" s="2" t="n">
        <v>25</v>
      </c>
      <c r="O3560" s="2" t="inlineStr"/>
      <c r="P3560" s="2" t="inlineStr"/>
      <c r="Q3560" s="2" t="inlineStr"/>
      <c r="R3560" s="2" t="inlineStr"/>
      <c r="S3560" s="2" t="inlineStr"/>
      <c r="T3560" s="2" t="inlineStr"/>
      <c r="U3560" s="2" t="inlineStr">
        <is>
          <t>https://www.claro.com.br/celular/planos-pre/prezao</t>
        </is>
      </c>
      <c r="V3560" s="2" t="inlineStr">
        <is>
          <t>data/raw/claro_prepaid_SP.json</t>
        </is>
      </c>
    </row>
    <row r="3561">
      <c r="A3561" s="5" t="inlineStr">
        <is>
          <t>2026-08-25</t>
        </is>
      </c>
      <c r="B3561" s="5" t="inlineStr">
        <is>
          <t>2026-08-25T18:23:38</t>
        </is>
      </c>
      <c r="C3561" s="5" t="inlineStr">
        <is>
          <t>claro</t>
        </is>
      </c>
      <c r="D3561" s="5" t="inlineStr">
        <is>
          <t>prepaid</t>
        </is>
      </c>
      <c r="E3561" s="5" t="inlineStr">
        <is>
          <t>SP</t>
        </is>
      </c>
      <c r="F3561" s="5" t="inlineStr">
        <is>
          <t>Prezão 12GB (30 dias)</t>
        </is>
      </c>
      <c r="G3561" s="5" t="inlineStr">
        <is>
          <t>claro:prezao-30d-12gb</t>
        </is>
      </c>
      <c r="H3561" s="6" t="n">
        <v>30</v>
      </c>
      <c r="I3561" s="6" t="inlineStr"/>
      <c r="J3561" s="5" t="inlineStr">
        <is>
          <t>recarga Prezão R$30 — validade 30 dias</t>
        </is>
      </c>
      <c r="K3561" s="5" t="inlineStr"/>
      <c r="L3561" s="7" t="n">
        <v>12</v>
      </c>
      <c r="M3561" s="5" t="inlineStr"/>
      <c r="N3561" s="5" t="n">
        <v>30</v>
      </c>
      <c r="O3561" s="5" t="inlineStr"/>
      <c r="P3561" s="5" t="inlineStr"/>
      <c r="Q3561" s="5" t="inlineStr"/>
      <c r="R3561" s="5" t="inlineStr"/>
      <c r="S3561" s="5" t="inlineStr"/>
      <c r="T3561" s="5" t="inlineStr"/>
      <c r="U3561" s="5" t="inlineStr">
        <is>
          <t>https://www.claro.com.br/celular/planos-pre/prezao</t>
        </is>
      </c>
      <c r="V3561" s="5" t="inlineStr">
        <is>
          <t>data/raw/claro_prepaid_SP.json</t>
        </is>
      </c>
    </row>
    <row r="3562">
      <c r="A3562" s="2" t="inlineStr">
        <is>
          <t>2026-08-25</t>
        </is>
      </c>
      <c r="B3562" s="2" t="inlineStr">
        <is>
          <t>2026-08-25T18:23:38</t>
        </is>
      </c>
      <c r="C3562" s="2" t="inlineStr">
        <is>
          <t>claro</t>
        </is>
      </c>
      <c r="D3562" s="2" t="inlineStr">
        <is>
          <t>prepaid</t>
        </is>
      </c>
      <c r="E3562" s="2" t="inlineStr">
        <is>
          <t>SP</t>
        </is>
      </c>
      <c r="F3562" s="2" t="inlineStr">
        <is>
          <t>Prezão 4GB (12 dias)</t>
        </is>
      </c>
      <c r="G3562" s="2" t="inlineStr">
        <is>
          <t>claro:prezao-12d-4gb</t>
        </is>
      </c>
      <c r="H3562" s="3" t="n">
        <v>15</v>
      </c>
      <c r="I3562" s="3" t="inlineStr"/>
      <c r="J3562" s="2" t="inlineStr">
        <is>
          <t>recarga Prezão R$15 — validade 12 dias</t>
        </is>
      </c>
      <c r="K3562" s="2" t="inlineStr"/>
      <c r="L3562" s="4" t="n">
        <v>4</v>
      </c>
      <c r="M3562" s="2" t="inlineStr"/>
      <c r="N3562" s="2" t="n">
        <v>12</v>
      </c>
      <c r="O3562" s="2" t="inlineStr"/>
      <c r="P3562" s="2" t="inlineStr"/>
      <c r="Q3562" s="2" t="inlineStr"/>
      <c r="R3562" s="2" t="inlineStr"/>
      <c r="S3562" s="2" t="inlineStr"/>
      <c r="T3562" s="2" t="inlineStr"/>
      <c r="U3562" s="2" t="inlineStr">
        <is>
          <t>https://www.claro.com.br/celular/planos-pre/prezao</t>
        </is>
      </c>
      <c r="V3562" s="2" t="inlineStr">
        <is>
          <t>data/raw/claro_prepaid_SP.json</t>
        </is>
      </c>
    </row>
    <row r="3563">
      <c r="A3563" s="5" t="inlineStr">
        <is>
          <t>2026-08-25</t>
        </is>
      </c>
      <c r="B3563" s="5" t="inlineStr">
        <is>
          <t>2026-08-25T18:23:38</t>
        </is>
      </c>
      <c r="C3563" s="5" t="inlineStr">
        <is>
          <t>claro</t>
        </is>
      </c>
      <c r="D3563" s="5" t="inlineStr">
        <is>
          <t>prepaid</t>
        </is>
      </c>
      <c r="E3563" s="5" t="inlineStr">
        <is>
          <t>SP</t>
        </is>
      </c>
      <c r="F3563" s="5" t="inlineStr">
        <is>
          <t>Prezão 5GB (15 dias)</t>
        </is>
      </c>
      <c r="G3563" s="5" t="inlineStr">
        <is>
          <t>claro:prezao-15d-5gb</t>
        </is>
      </c>
      <c r="H3563" s="6" t="n">
        <v>15</v>
      </c>
      <c r="I3563" s="6" t="inlineStr"/>
      <c r="J3563" s="5" t="inlineStr">
        <is>
          <t>recarga Prezão R$15 — validade 15 dias</t>
        </is>
      </c>
      <c r="K3563" s="5" t="inlineStr"/>
      <c r="L3563" s="7" t="n">
        <v>5</v>
      </c>
      <c r="M3563" s="5" t="inlineStr"/>
      <c r="N3563" s="5" t="n">
        <v>15</v>
      </c>
      <c r="O3563" s="5" t="inlineStr"/>
      <c r="P3563" s="5" t="inlineStr"/>
      <c r="Q3563" s="5" t="inlineStr"/>
      <c r="R3563" s="5" t="inlineStr"/>
      <c r="S3563" s="5" t="inlineStr"/>
      <c r="T3563" s="5" t="inlineStr"/>
      <c r="U3563" s="5" t="inlineStr">
        <is>
          <t>https://www.claro.com.br/celular/planos-pre/prezao</t>
        </is>
      </c>
      <c r="V3563" s="5" t="inlineStr">
        <is>
          <t>data/raw/claro_prepaid_SP.json</t>
        </is>
      </c>
    </row>
    <row r="3564">
      <c r="A3564" s="2" t="inlineStr">
        <is>
          <t>2026-08-25</t>
        </is>
      </c>
      <c r="B3564" s="2" t="inlineStr">
        <is>
          <t>2026-08-25T18:23:38</t>
        </is>
      </c>
      <c r="C3564" s="2" t="inlineStr">
        <is>
          <t>claro</t>
        </is>
      </c>
      <c r="D3564" s="2" t="inlineStr">
        <is>
          <t>prepaid</t>
        </is>
      </c>
      <c r="E3564" s="2" t="inlineStr">
        <is>
          <t>SP</t>
        </is>
      </c>
      <c r="F3564" s="2" t="inlineStr">
        <is>
          <t>Prezão 6GB (20 dias)</t>
        </is>
      </c>
      <c r="G3564" s="2" t="inlineStr">
        <is>
          <t>claro:prezao-20d-6gb</t>
        </is>
      </c>
      <c r="H3564" s="3" t="n">
        <v>20</v>
      </c>
      <c r="I3564" s="3" t="inlineStr"/>
      <c r="J3564" s="2" t="inlineStr">
        <is>
          <t>recarga Prezão R$20 — validade 20 dias</t>
        </is>
      </c>
      <c r="K3564" s="2" t="inlineStr"/>
      <c r="L3564" s="4" t="n">
        <v>6</v>
      </c>
      <c r="M3564" s="2" t="inlineStr"/>
      <c r="N3564" s="2" t="n">
        <v>20</v>
      </c>
      <c r="O3564" s="2" t="inlineStr"/>
      <c r="P3564" s="2" t="inlineStr"/>
      <c r="Q3564" s="2" t="inlineStr"/>
      <c r="R3564" s="2" t="inlineStr"/>
      <c r="S3564" s="2" t="inlineStr"/>
      <c r="T3564" s="2" t="inlineStr"/>
      <c r="U3564" s="2" t="inlineStr">
        <is>
          <t>https://www.claro.com.br/celular/planos-pre/prezao</t>
        </is>
      </c>
      <c r="V3564" s="2" t="inlineStr">
        <is>
          <t>data/raw/claro_prepaid_SP.json</t>
        </is>
      </c>
    </row>
    <row r="3565">
      <c r="A3565" s="5" t="inlineStr">
        <is>
          <t>2026-08-25</t>
        </is>
      </c>
      <c r="B3565" s="5" t="inlineStr">
        <is>
          <t>2026-08-25T18:23:38</t>
        </is>
      </c>
      <c r="C3565" s="5" t="inlineStr">
        <is>
          <t>claro</t>
        </is>
      </c>
      <c r="D3565" s="5" t="inlineStr">
        <is>
          <t>prepaid</t>
        </is>
      </c>
      <c r="E3565" s="5" t="inlineStr">
        <is>
          <t>SP</t>
        </is>
      </c>
      <c r="F3565" s="5" t="inlineStr">
        <is>
          <t>Prezão 8GB (20 dias)</t>
        </is>
      </c>
      <c r="G3565" s="5" t="inlineStr">
        <is>
          <t>claro:prezao-20d-8gb</t>
        </is>
      </c>
      <c r="H3565" s="6" t="n">
        <v>20</v>
      </c>
      <c r="I3565" s="6" t="inlineStr"/>
      <c r="J3565" s="5" t="inlineStr">
        <is>
          <t>recarga Prezão R$20 — validade 20 dias</t>
        </is>
      </c>
      <c r="K3565" s="5" t="inlineStr"/>
      <c r="L3565" s="7" t="n">
        <v>8</v>
      </c>
      <c r="M3565" s="5" t="inlineStr"/>
      <c r="N3565" s="5" t="n">
        <v>20</v>
      </c>
      <c r="O3565" s="5" t="inlineStr"/>
      <c r="P3565" s="5" t="inlineStr"/>
      <c r="Q3565" s="5" t="inlineStr"/>
      <c r="R3565" s="5" t="inlineStr"/>
      <c r="S3565" s="5" t="inlineStr"/>
      <c r="T3565" s="5" t="inlineStr"/>
      <c r="U3565" s="5" t="inlineStr">
        <is>
          <t>https://www.claro.com.br/celular/planos-pre/prezao</t>
        </is>
      </c>
      <c r="V3565" s="5" t="inlineStr">
        <is>
          <t>data/raw/claro_prepaid_SP.json</t>
        </is>
      </c>
    </row>
    <row r="3566">
      <c r="A3566" s="2" t="inlineStr">
        <is>
          <t>2026-08-25</t>
        </is>
      </c>
      <c r="B3566" s="2" t="inlineStr">
        <is>
          <t>2026-08-25T18:23:38</t>
        </is>
      </c>
      <c r="C3566" s="2" t="inlineStr">
        <is>
          <t>claro</t>
        </is>
      </c>
      <c r="D3566" s="2" t="inlineStr">
        <is>
          <t>prepaid</t>
        </is>
      </c>
      <c r="E3566" s="2" t="inlineStr">
        <is>
          <t>SP</t>
        </is>
      </c>
      <c r="F3566" s="2" t="inlineStr">
        <is>
          <t>Prezão 9GB (25 dias)</t>
        </is>
      </c>
      <c r="G3566" s="2" t="inlineStr">
        <is>
          <t>claro:prezao-25d-9gb</t>
        </is>
      </c>
      <c r="H3566" s="3" t="n">
        <v>25</v>
      </c>
      <c r="I3566" s="3" t="inlineStr"/>
      <c r="J3566" s="2" t="inlineStr">
        <is>
          <t>recarga Prezão R$25 — validade 25 dias</t>
        </is>
      </c>
      <c r="K3566" s="2" t="inlineStr"/>
      <c r="L3566" s="4" t="n">
        <v>9</v>
      </c>
      <c r="M3566" s="2" t="inlineStr"/>
      <c r="N3566" s="2" t="n">
        <v>25</v>
      </c>
      <c r="O3566" s="2" t="inlineStr"/>
      <c r="P3566" s="2" t="inlineStr"/>
      <c r="Q3566" s="2" t="inlineStr"/>
      <c r="R3566" s="2" t="inlineStr"/>
      <c r="S3566" s="2" t="inlineStr"/>
      <c r="T3566" s="2" t="inlineStr"/>
      <c r="U3566" s="2" t="inlineStr">
        <is>
          <t>https://www.claro.com.br/celular/planos-pre/prezao</t>
        </is>
      </c>
      <c r="V3566" s="2" t="inlineStr">
        <is>
          <t>data/raw/claro_prepaid_SP.json</t>
        </is>
      </c>
    </row>
    <row r="3567">
      <c r="A3567" s="5" t="inlineStr">
        <is>
          <t>2026-08-25</t>
        </is>
      </c>
      <c r="B3567" s="5" t="inlineStr">
        <is>
          <t>2026-08-25T18:23:38</t>
        </is>
      </c>
      <c r="C3567" s="5" t="inlineStr">
        <is>
          <t>tim</t>
        </is>
      </c>
      <c r="D3567" s="5" t="inlineStr">
        <is>
          <t>control</t>
        </is>
      </c>
      <c r="E3567" s="5" t="inlineStr">
        <is>
          <t>SP</t>
        </is>
      </c>
      <c r="F3567" s="5" t="inlineStr">
        <is>
          <t>TIM Controle 45GB</t>
        </is>
      </c>
      <c r="G3567" s="5" t="inlineStr">
        <is>
          <t>tim:181976</t>
        </is>
      </c>
      <c r="H3567" s="6" t="n">
        <v>58.99</v>
      </c>
      <c r="I3567" s="6" t="inlineStr"/>
      <c r="J3567" s="5" t="inlineStr"/>
      <c r="K3567" s="5" t="inlineStr"/>
      <c r="L3567" s="7" t="n">
        <v>45</v>
      </c>
      <c r="M3567" s="5" t="inlineStr"/>
      <c r="N3567" s="5" t="inlineStr"/>
      <c r="O3567" s="5" t="inlineStr"/>
      <c r="P3567" s="5" t="inlineStr"/>
      <c r="Q3567" s="5" t="inlineStr"/>
      <c r="R3567" s="5" t="inlineStr"/>
      <c r="S3567" s="5" t="inlineStr"/>
      <c r="T3567" s="5" t="inlineStr"/>
      <c r="U3567" s="5" t="inlineStr">
        <is>
          <t>https://www.tim.com.br/sp/para-voce/planos/controle</t>
        </is>
      </c>
      <c r="V3567" s="5" t="inlineStr">
        <is>
          <t>data/raw/tim_control_SP.html</t>
        </is>
      </c>
    </row>
    <row r="3568">
      <c r="A3568" s="2" t="inlineStr">
        <is>
          <t>2026-08-25</t>
        </is>
      </c>
      <c r="B3568" s="2" t="inlineStr">
        <is>
          <t>2026-08-25T18:23:38</t>
        </is>
      </c>
      <c r="C3568" s="2" t="inlineStr">
        <is>
          <t>tim</t>
        </is>
      </c>
      <c r="D3568" s="2" t="inlineStr">
        <is>
          <t>control</t>
        </is>
      </c>
      <c r="E3568" s="2" t="inlineStr">
        <is>
          <t>SP</t>
        </is>
      </c>
      <c r="F3568" s="2" t="inlineStr">
        <is>
          <t>TIM Controle Light Express 45GB</t>
        </is>
      </c>
      <c r="G3568" s="2" t="inlineStr">
        <is>
          <t>tim:167726</t>
        </is>
      </c>
      <c r="H3568" s="3" t="n">
        <v>60.99</v>
      </c>
      <c r="I3568" s="3" t="inlineStr"/>
      <c r="J3568" s="2" t="inlineStr"/>
      <c r="K3568" s="2" t="inlineStr"/>
      <c r="L3568" s="4" t="n">
        <v>45</v>
      </c>
      <c r="M3568" s="2" t="inlineStr"/>
      <c r="N3568" s="2" t="inlineStr"/>
      <c r="O3568" s="2" t="inlineStr"/>
      <c r="P3568" s="2" t="inlineStr"/>
      <c r="Q3568" s="2" t="inlineStr"/>
      <c r="R3568" s="2" t="inlineStr"/>
      <c r="S3568" s="2" t="inlineStr"/>
      <c r="T3568" s="2" t="inlineStr"/>
      <c r="U3568" s="2" t="inlineStr">
        <is>
          <t>https://www.tim.com.br/sp/para-voce/planos/controle</t>
        </is>
      </c>
      <c r="V3568" s="2" t="inlineStr">
        <is>
          <t>data/raw/tim_control_SP.html</t>
        </is>
      </c>
    </row>
    <row r="3569">
      <c r="A3569" s="5" t="inlineStr">
        <is>
          <t>2026-08-25</t>
        </is>
      </c>
      <c r="B3569" s="5" t="inlineStr">
        <is>
          <t>2026-08-25T18:23:38</t>
        </is>
      </c>
      <c r="C3569" s="5" t="inlineStr">
        <is>
          <t>tim</t>
        </is>
      </c>
      <c r="D3569" s="5" t="inlineStr">
        <is>
          <t>control</t>
        </is>
      </c>
      <c r="E3569" s="5" t="inlineStr">
        <is>
          <t>SP</t>
        </is>
      </c>
      <c r="F3569" s="5" t="inlineStr">
        <is>
          <t>TIM Controle Premium 55GB</t>
        </is>
      </c>
      <c r="G3569" s="5" t="inlineStr">
        <is>
          <t>tim:167041</t>
        </is>
      </c>
      <c r="H3569" s="6" t="n">
        <v>84.98999999999999</v>
      </c>
      <c r="I3569" s="6" t="inlineStr"/>
      <c r="J3569" s="5" t="inlineStr"/>
      <c r="K3569" s="5" t="inlineStr"/>
      <c r="L3569" s="7" t="n">
        <v>55</v>
      </c>
      <c r="M3569" s="5" t="inlineStr"/>
      <c r="N3569" s="5" t="inlineStr"/>
      <c r="O3569" s="5" t="inlineStr"/>
      <c r="P3569" s="5" t="inlineStr"/>
      <c r="Q3569" s="5" t="inlineStr"/>
      <c r="R3569" s="5" t="inlineStr"/>
      <c r="S3569" s="5" t="inlineStr"/>
      <c r="T3569" s="5" t="inlineStr"/>
      <c r="U3569" s="5" t="inlineStr">
        <is>
          <t>https://www.tim.com.br/sp/para-voce/planos/controle</t>
        </is>
      </c>
      <c r="V3569" s="5" t="inlineStr">
        <is>
          <t>data/raw/tim_control_SP.html</t>
        </is>
      </c>
    </row>
    <row r="3570">
      <c r="A3570" s="2" t="inlineStr">
        <is>
          <t>2026-08-25</t>
        </is>
      </c>
      <c r="B3570" s="2" t="inlineStr">
        <is>
          <t>2026-08-25T18:23:38</t>
        </is>
      </c>
      <c r="C3570" s="2" t="inlineStr">
        <is>
          <t>tim</t>
        </is>
      </c>
      <c r="D3570" s="2" t="inlineStr">
        <is>
          <t>control</t>
        </is>
      </c>
      <c r="E3570" s="2" t="inlineStr">
        <is>
          <t>SP</t>
        </is>
      </c>
      <c r="F3570" s="2" t="inlineStr">
        <is>
          <t>TIM Controle Pro Express 46GB</t>
        </is>
      </c>
      <c r="G3570" s="2" t="inlineStr">
        <is>
          <t>tim:167731</t>
        </is>
      </c>
      <c r="H3570" s="3" t="n">
        <v>64.98999999999999</v>
      </c>
      <c r="I3570" s="3" t="inlineStr"/>
      <c r="J3570" s="2" t="inlineStr"/>
      <c r="K3570" s="2" t="inlineStr"/>
      <c r="L3570" s="4" t="n">
        <v>46</v>
      </c>
      <c r="M3570" s="2" t="inlineStr"/>
      <c r="N3570" s="2" t="inlineStr"/>
      <c r="O3570" s="2" t="inlineStr"/>
      <c r="P3570" s="2" t="inlineStr"/>
      <c r="Q3570" s="2" t="inlineStr"/>
      <c r="R3570" s="2" t="inlineStr"/>
      <c r="S3570" s="2" t="inlineStr"/>
      <c r="T3570" s="2" t="inlineStr"/>
      <c r="U3570" s="2" t="inlineStr">
        <is>
          <t>https://www.tim.com.br/sp/para-voce/planos/controle</t>
        </is>
      </c>
      <c r="V3570" s="2" t="inlineStr">
        <is>
          <t>data/raw/tim_control_SP.html</t>
        </is>
      </c>
    </row>
    <row r="3571">
      <c r="A3571" s="5" t="inlineStr">
        <is>
          <t>2026-08-25</t>
        </is>
      </c>
      <c r="B3571" s="5" t="inlineStr">
        <is>
          <t>2026-08-25T18:23:38</t>
        </is>
      </c>
      <c r="C3571" s="5" t="inlineStr">
        <is>
          <t>tim</t>
        </is>
      </c>
      <c r="D3571" s="5" t="inlineStr">
        <is>
          <t>control</t>
        </is>
      </c>
      <c r="E3571" s="5" t="inlineStr">
        <is>
          <t>SP</t>
        </is>
      </c>
      <c r="F3571" s="5" t="inlineStr">
        <is>
          <t>TIM Controle Redes Sociais 46GB</t>
        </is>
      </c>
      <c r="G3571" s="5" t="inlineStr">
        <is>
          <t>tim:180746</t>
        </is>
      </c>
      <c r="H3571" s="6" t="n">
        <v>64.98999999999999</v>
      </c>
      <c r="I3571" s="6" t="inlineStr"/>
      <c r="J3571" s="5" t="inlineStr"/>
      <c r="K3571" s="5" t="inlineStr"/>
      <c r="L3571" s="7" t="n">
        <v>46</v>
      </c>
      <c r="M3571" s="5" t="inlineStr"/>
      <c r="N3571" s="5" t="inlineStr"/>
      <c r="O3571" s="5" t="inlineStr"/>
      <c r="P3571" s="5" t="inlineStr"/>
      <c r="Q3571" s="5" t="inlineStr"/>
      <c r="R3571" s="5" t="inlineStr"/>
      <c r="S3571" s="5" t="inlineStr"/>
      <c r="T3571" s="5" t="inlineStr"/>
      <c r="U3571" s="5" t="inlineStr">
        <is>
          <t>https://www.tim.com.br/sp/para-voce/planos/controle</t>
        </is>
      </c>
      <c r="V3571" s="5" t="inlineStr">
        <is>
          <t>data/raw/tim_control_SP.html</t>
        </is>
      </c>
    </row>
    <row r="3572">
      <c r="A3572" s="2" t="inlineStr">
        <is>
          <t>2026-08-25</t>
        </is>
      </c>
      <c r="B3572" s="2" t="inlineStr">
        <is>
          <t>2026-08-25T18:23:38</t>
        </is>
      </c>
      <c r="C3572" s="2" t="inlineStr">
        <is>
          <t>tim</t>
        </is>
      </c>
      <c r="D3572" s="2" t="inlineStr">
        <is>
          <t>fit</t>
        </is>
      </c>
      <c r="E3572" s="2" t="inlineStr">
        <is>
          <t>SP</t>
        </is>
      </c>
      <c r="F3572" s="2" t="inlineStr">
        <is>
          <t>TIM Controle Fit Anual 1.0</t>
        </is>
      </c>
      <c r="G3572" s="2" t="inlineStr">
        <is>
          <t>tim:TIM202600000306</t>
        </is>
      </c>
      <c r="H3572" s="3" t="n">
        <v>20</v>
      </c>
      <c r="I3572" s="3" t="inlineStr"/>
      <c r="J3572" s="2" t="inlineStr">
        <is>
          <t>plano anual 12x no cartão de crédito; a etiqueta TIM informa 'sem prazo de permanência'</t>
        </is>
      </c>
      <c r="K3572" s="2" t="inlineStr">
        <is>
          <t>credit_card</t>
        </is>
      </c>
      <c r="L3572" s="4" t="n">
        <v>25</v>
      </c>
      <c r="M3572" s="2" t="inlineStr"/>
      <c r="N3572" s="2" t="inlineStr"/>
      <c r="O3572" s="2" t="inlineStr"/>
      <c r="P3572" s="2" t="inlineStr"/>
      <c r="Q3572" s="2" t="inlineStr"/>
      <c r="R3572" s="2" t="inlineStr"/>
      <c r="S3572" s="2" t="n">
        <v>12</v>
      </c>
      <c r="T3572" s="2" t="inlineStr"/>
      <c r="U3572" s="2" t="inlineStr">
        <is>
          <t>https://www.tim.com.br/sp/para-voce/planos/controle</t>
        </is>
      </c>
      <c r="V3572" s="2" t="inlineStr">
        <is>
          <t>data/raw/tim_fit_SP.html</t>
        </is>
      </c>
    </row>
    <row r="3573">
      <c r="A3573" s="5" t="inlineStr">
        <is>
          <t>2026-08-25</t>
        </is>
      </c>
      <c r="B3573" s="5" t="inlineStr">
        <is>
          <t>2026-08-25T18:23:38</t>
        </is>
      </c>
      <c r="C3573" s="5" t="inlineStr">
        <is>
          <t>tim</t>
        </is>
      </c>
      <c r="D3573" s="5" t="inlineStr">
        <is>
          <t>fit</t>
        </is>
      </c>
      <c r="E3573" s="5" t="inlineStr">
        <is>
          <t>SP</t>
        </is>
      </c>
      <c r="F3573" s="5" t="inlineStr">
        <is>
          <t>TIM Controle Fit Anual 2.0</t>
        </is>
      </c>
      <c r="G3573" s="5" t="inlineStr">
        <is>
          <t>tim:TIM202600000271</t>
        </is>
      </c>
      <c r="H3573" s="6" t="n">
        <v>30</v>
      </c>
      <c r="I3573" s="6" t="inlineStr"/>
      <c r="J3573" s="5" t="inlineStr">
        <is>
          <t>plano anual 12x no cartão de crédito; a etiqueta TIM informa 'sem prazo de permanência'</t>
        </is>
      </c>
      <c r="K3573" s="5" t="inlineStr">
        <is>
          <t>credit_card</t>
        </is>
      </c>
      <c r="L3573" s="7" t="n">
        <v>35</v>
      </c>
      <c r="M3573" s="5" t="inlineStr"/>
      <c r="N3573" s="5" t="inlineStr"/>
      <c r="O3573" s="5" t="inlineStr"/>
      <c r="P3573" s="5" t="inlineStr"/>
      <c r="Q3573" s="5" t="inlineStr"/>
      <c r="R3573" s="5" t="inlineStr"/>
      <c r="S3573" s="5" t="n">
        <v>12</v>
      </c>
      <c r="T3573" s="5" t="inlineStr"/>
      <c r="U3573" s="5" t="inlineStr">
        <is>
          <t>https://www.tim.com.br/sp/para-voce/planos/controle</t>
        </is>
      </c>
      <c r="V3573" s="5" t="inlineStr">
        <is>
          <t>data/raw/tim_fit_SP.html</t>
        </is>
      </c>
    </row>
    <row r="3574">
      <c r="A3574" s="2" t="inlineStr">
        <is>
          <t>2026-08-25</t>
        </is>
      </c>
      <c r="B3574" s="2" t="inlineStr">
        <is>
          <t>2026-08-25T18:23:38</t>
        </is>
      </c>
      <c r="C3574" s="2" t="inlineStr">
        <is>
          <t>tim</t>
        </is>
      </c>
      <c r="D3574" s="2" t="inlineStr">
        <is>
          <t>fit</t>
        </is>
      </c>
      <c r="E3574" s="2" t="inlineStr">
        <is>
          <t>SP</t>
        </is>
      </c>
      <c r="F3574" s="2" t="inlineStr">
        <is>
          <t>TIM Controle Fit Mensal 1.0</t>
        </is>
      </c>
      <c r="G3574" s="2" t="inlineStr">
        <is>
          <t>tim:TIM202600000270</t>
        </is>
      </c>
      <c r="H3574" s="3" t="n">
        <v>20</v>
      </c>
      <c r="I3574" s="3" t="inlineStr"/>
      <c r="J357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74" s="2" t="inlineStr"/>
      <c r="L3574" s="4" t="n">
        <v>20</v>
      </c>
      <c r="M3574" s="2" t="inlineStr"/>
      <c r="N3574" s="2" t="inlineStr"/>
      <c r="O3574" s="2" t="inlineStr"/>
      <c r="P3574" s="2" t="inlineStr"/>
      <c r="Q3574" s="2" t="inlineStr"/>
      <c r="R3574" s="2" t="inlineStr"/>
      <c r="S3574" s="2" t="inlineStr"/>
      <c r="T3574" s="2" t="inlineStr"/>
      <c r="U3574" s="2" t="inlineStr">
        <is>
          <t>https://www.tim.com.br/sp/para-voce/planos/controle</t>
        </is>
      </c>
      <c r="V3574" s="2" t="inlineStr">
        <is>
          <t>data/raw/tim_fit_SP.html</t>
        </is>
      </c>
    </row>
    <row r="3575">
      <c r="A3575" s="5" t="inlineStr">
        <is>
          <t>2026-08-25</t>
        </is>
      </c>
      <c r="B3575" s="5" t="inlineStr">
        <is>
          <t>2026-08-25T18:23:38</t>
        </is>
      </c>
      <c r="C3575" s="5" t="inlineStr">
        <is>
          <t>tim</t>
        </is>
      </c>
      <c r="D3575" s="5" t="inlineStr">
        <is>
          <t>fit</t>
        </is>
      </c>
      <c r="E3575" s="5" t="inlineStr">
        <is>
          <t>SP</t>
        </is>
      </c>
      <c r="F3575" s="5" t="inlineStr">
        <is>
          <t>TIM Controle Fit Mensal 2.0</t>
        </is>
      </c>
      <c r="G3575" s="5" t="inlineStr">
        <is>
          <t>tim:TIM202600000305</t>
        </is>
      </c>
      <c r="H3575" s="6" t="n">
        <v>45</v>
      </c>
      <c r="I3575" s="6" t="inlineStr"/>
      <c r="J3575" s="5" t="inlineStr">
        <is>
          <t>plano mensal, sem prazo de permanência; a etiqueta TIM informa 'sem prazo de permanência'</t>
        </is>
      </c>
      <c r="K3575" s="5" t="inlineStr"/>
      <c r="L3575" s="7" t="n">
        <v>35</v>
      </c>
      <c r="M3575" s="5" t="inlineStr"/>
      <c r="N3575" s="5" t="inlineStr"/>
      <c r="O3575" s="5" t="inlineStr"/>
      <c r="P3575" s="5" t="inlineStr"/>
      <c r="Q3575" s="5" t="inlineStr"/>
      <c r="R3575" s="5" t="inlineStr"/>
      <c r="S3575" s="5" t="inlineStr"/>
      <c r="T3575" s="5" t="inlineStr"/>
      <c r="U3575" s="5" t="inlineStr">
        <is>
          <t>https://www.tim.com.br/sp/para-voce/planos/controle</t>
        </is>
      </c>
      <c r="V3575" s="5" t="inlineStr">
        <is>
          <t>data/raw/tim_fit_SP.html</t>
        </is>
      </c>
    </row>
    <row r="3576">
      <c r="A3576" s="2" t="inlineStr">
        <is>
          <t>2026-08-25</t>
        </is>
      </c>
      <c r="B3576" s="2" t="inlineStr">
        <is>
          <t>2026-08-25T18:23:38</t>
        </is>
      </c>
      <c r="C3576" s="2" t="inlineStr">
        <is>
          <t>tim</t>
        </is>
      </c>
      <c r="D3576" s="2" t="inlineStr">
        <is>
          <t>postpaid</t>
        </is>
      </c>
      <c r="E3576" s="2" t="inlineStr">
        <is>
          <t>SP</t>
        </is>
      </c>
      <c r="F3576" s="2" t="inlineStr">
        <is>
          <t>TIM Black 70GB</t>
        </is>
      </c>
      <c r="G3576" s="2" t="inlineStr">
        <is>
          <t>tim:54206</t>
        </is>
      </c>
      <c r="H3576" s="3" t="n">
        <v>129.99</v>
      </c>
      <c r="I3576" s="3" t="inlineStr"/>
      <c r="J3576" s="2" t="inlineStr"/>
      <c r="K3576" s="2" t="inlineStr">
        <is>
          <t>bill</t>
        </is>
      </c>
      <c r="L3576" s="4" t="n">
        <v>70</v>
      </c>
      <c r="M3576" s="2" t="inlineStr"/>
      <c r="N3576" s="2" t="inlineStr"/>
      <c r="O3576" s="2" t="inlineStr"/>
      <c r="P3576" s="2" t="inlineStr"/>
      <c r="Q3576" s="2" t="inlineStr"/>
      <c r="R3576" s="2" t="inlineStr"/>
      <c r="S3576" s="2" t="inlineStr"/>
      <c r="T3576" s="2" t="inlineStr"/>
      <c r="U3576" s="2" t="inlineStr">
        <is>
          <t>https://www.tim.com.br/sp/para-voce/planos/pos-pago/tim-black</t>
        </is>
      </c>
      <c r="V3576" s="2" t="inlineStr">
        <is>
          <t>data/raw/tim_postpaid_SP.html</t>
        </is>
      </c>
    </row>
    <row r="3577">
      <c r="A3577" s="5" t="inlineStr">
        <is>
          <t>2026-08-25</t>
        </is>
      </c>
      <c r="B3577" s="5" t="inlineStr">
        <is>
          <t>2026-08-25T18:23:38</t>
        </is>
      </c>
      <c r="C3577" s="5" t="inlineStr">
        <is>
          <t>tim</t>
        </is>
      </c>
      <c r="D3577" s="5" t="inlineStr">
        <is>
          <t>postpaid</t>
        </is>
      </c>
      <c r="E3577" s="5" t="inlineStr">
        <is>
          <t>SP</t>
        </is>
      </c>
      <c r="F3577" s="5" t="inlineStr">
        <is>
          <t>TIM Black A Express 67GB</t>
        </is>
      </c>
      <c r="G3577" s="5" t="inlineStr">
        <is>
          <t>tim:55121</t>
        </is>
      </c>
      <c r="H3577" s="6" t="n">
        <v>119.99</v>
      </c>
      <c r="I3577" s="6" t="inlineStr"/>
      <c r="J3577" s="5" t="inlineStr"/>
      <c r="K3577" s="5" t="inlineStr">
        <is>
          <t>credit_card</t>
        </is>
      </c>
      <c r="L3577" s="7" t="n">
        <v>67</v>
      </c>
      <c r="M3577" s="5" t="inlineStr"/>
      <c r="N3577" s="5" t="inlineStr"/>
      <c r="O3577" s="5" t="inlineStr"/>
      <c r="P3577" s="5" t="inlineStr"/>
      <c r="Q3577" s="5" t="inlineStr"/>
      <c r="R3577" s="5" t="inlineStr"/>
      <c r="S3577" s="5" t="inlineStr"/>
      <c r="T3577" s="5" t="inlineStr"/>
      <c r="U3577" s="5" t="inlineStr">
        <is>
          <t>https://www.tim.com.br/sp/para-voce/planos/pos-pago/tim-black</t>
        </is>
      </c>
      <c r="V3577" s="5" t="inlineStr">
        <is>
          <t>data/raw/tim_postpaid_SP.html</t>
        </is>
      </c>
    </row>
    <row r="3578">
      <c r="A3578" s="2" t="inlineStr">
        <is>
          <t>2026-08-25</t>
        </is>
      </c>
      <c r="B3578" s="2" t="inlineStr">
        <is>
          <t>2026-08-25T18:23:38</t>
        </is>
      </c>
      <c r="C3578" s="2" t="inlineStr">
        <is>
          <t>tim</t>
        </is>
      </c>
      <c r="D3578" s="2" t="inlineStr">
        <is>
          <t>postpaid</t>
        </is>
      </c>
      <c r="E3578" s="2" t="inlineStr">
        <is>
          <t>SP</t>
        </is>
      </c>
      <c r="F3578" s="2" t="inlineStr">
        <is>
          <t>TIM Black B Express 82GB</t>
        </is>
      </c>
      <c r="G3578" s="2" t="inlineStr">
        <is>
          <t>tim:52146</t>
        </is>
      </c>
      <c r="H3578" s="3" t="n">
        <v>144.99</v>
      </c>
      <c r="I3578" s="3" t="inlineStr"/>
      <c r="J3578" s="2" t="inlineStr"/>
      <c r="K3578" s="2" t="inlineStr">
        <is>
          <t>credit_card</t>
        </is>
      </c>
      <c r="L3578" s="4" t="n">
        <v>82</v>
      </c>
      <c r="M3578" s="2" t="inlineStr"/>
      <c r="N3578" s="2" t="inlineStr"/>
      <c r="O3578" s="2" t="inlineStr"/>
      <c r="P3578" s="2" t="inlineStr"/>
      <c r="Q3578" s="2" t="inlineStr"/>
      <c r="R3578" s="2" t="inlineStr"/>
      <c r="S3578" s="2" t="inlineStr"/>
      <c r="T3578" s="2" t="inlineStr"/>
      <c r="U3578" s="2" t="inlineStr">
        <is>
          <t>https://www.tim.com.br/sp/para-voce/planos/pos-pago/tim-black</t>
        </is>
      </c>
      <c r="V3578" s="2" t="inlineStr">
        <is>
          <t>data/raw/tim_postpaid_SP.html</t>
        </is>
      </c>
    </row>
    <row r="3579">
      <c r="A3579" s="5" t="inlineStr">
        <is>
          <t>2026-08-25</t>
        </is>
      </c>
      <c r="B3579" s="5" t="inlineStr">
        <is>
          <t>2026-08-25T18:23:38</t>
        </is>
      </c>
      <c r="C3579" s="5" t="inlineStr">
        <is>
          <t>tim</t>
        </is>
      </c>
      <c r="D3579" s="5" t="inlineStr">
        <is>
          <t>postpaid</t>
        </is>
      </c>
      <c r="E3579" s="5" t="inlineStr">
        <is>
          <t>SP</t>
        </is>
      </c>
      <c r="F3579" s="5" t="inlineStr">
        <is>
          <t>TIM Black C Express 107GB</t>
        </is>
      </c>
      <c r="G3579" s="5" t="inlineStr">
        <is>
          <t>tim:52151</t>
        </is>
      </c>
      <c r="H3579" s="6" t="n">
        <v>164.99</v>
      </c>
      <c r="I3579" s="6" t="inlineStr"/>
      <c r="J3579" s="5" t="inlineStr"/>
      <c r="K3579" s="5" t="inlineStr">
        <is>
          <t>credit_card</t>
        </is>
      </c>
      <c r="L3579" s="7" t="n">
        <v>107</v>
      </c>
      <c r="M3579" s="5" t="inlineStr"/>
      <c r="N3579" s="5" t="inlineStr"/>
      <c r="O3579" s="5" t="inlineStr"/>
      <c r="P3579" s="5" t="inlineStr"/>
      <c r="Q3579" s="5" t="inlineStr"/>
      <c r="R3579" s="5" t="inlineStr"/>
      <c r="S3579" s="5" t="inlineStr"/>
      <c r="T3579" s="5" t="inlineStr"/>
      <c r="U3579" s="5" t="inlineStr">
        <is>
          <t>https://www.tim.com.br/sp/para-voce/planos/pos-pago/tim-black</t>
        </is>
      </c>
      <c r="V3579" s="5" t="inlineStr">
        <is>
          <t>data/raw/tim_postpaid_SP.html</t>
        </is>
      </c>
    </row>
    <row r="3580">
      <c r="A3580" s="2" t="inlineStr">
        <is>
          <t>2026-08-25</t>
        </is>
      </c>
      <c r="B3580" s="2" t="inlineStr">
        <is>
          <t>2026-08-25T18:23:38</t>
        </is>
      </c>
      <c r="C3580" s="2" t="inlineStr">
        <is>
          <t>tim</t>
        </is>
      </c>
      <c r="D3580" s="2" t="inlineStr">
        <is>
          <t>postpaid</t>
        </is>
      </c>
      <c r="E3580" s="2" t="inlineStr">
        <is>
          <t>SP</t>
        </is>
      </c>
      <c r="F3580" s="2" t="inlineStr">
        <is>
          <t>TIM Black C Ultra 95GB</t>
        </is>
      </c>
      <c r="G3580" s="2" t="inlineStr">
        <is>
          <t>tim:100581</t>
        </is>
      </c>
      <c r="H3580" s="3" t="n">
        <v>159.99</v>
      </c>
      <c r="I3580" s="3" t="inlineStr"/>
      <c r="J3580" s="2" t="inlineStr"/>
      <c r="K3580" s="2" t="inlineStr">
        <is>
          <t>bill</t>
        </is>
      </c>
      <c r="L3580" s="4" t="n">
        <v>95</v>
      </c>
      <c r="M3580" s="2" t="inlineStr"/>
      <c r="N3580" s="2" t="inlineStr"/>
      <c r="O3580" s="2" t="inlineStr"/>
      <c r="P3580" s="2" t="inlineStr"/>
      <c r="Q3580" s="2" t="inlineStr"/>
      <c r="R3580" s="2" t="inlineStr"/>
      <c r="S3580" s="2" t="inlineStr"/>
      <c r="T3580" s="2" t="inlineStr"/>
      <c r="U3580" s="2" t="inlineStr">
        <is>
          <t>https://www.tim.com.br/sp/para-voce/planos/pos-pago/tim-black</t>
        </is>
      </c>
      <c r="V3580" s="2" t="inlineStr">
        <is>
          <t>data/raw/tim_postpaid_SP.html</t>
        </is>
      </c>
    </row>
    <row r="3581">
      <c r="A3581" s="5" t="inlineStr">
        <is>
          <t>2026-08-25</t>
        </is>
      </c>
      <c r="B3581" s="5" t="inlineStr">
        <is>
          <t>2026-08-25T18:23:38</t>
        </is>
      </c>
      <c r="C3581" s="5" t="inlineStr">
        <is>
          <t>tim</t>
        </is>
      </c>
      <c r="D3581" s="5" t="inlineStr">
        <is>
          <t>postpaid</t>
        </is>
      </c>
      <c r="E3581" s="5" t="inlineStr">
        <is>
          <t>SP</t>
        </is>
      </c>
      <c r="F3581" s="5" t="inlineStr">
        <is>
          <t>TIM Black Plus 80GB</t>
        </is>
      </c>
      <c r="G3581" s="5" t="inlineStr">
        <is>
          <t>tim:54256</t>
        </is>
      </c>
      <c r="H3581" s="6" t="n">
        <v>149.99</v>
      </c>
      <c r="I3581" s="6" t="inlineStr"/>
      <c r="J3581" s="5" t="inlineStr"/>
      <c r="K3581" s="5" t="inlineStr">
        <is>
          <t>bill</t>
        </is>
      </c>
      <c r="L3581" s="7" t="n">
        <v>80</v>
      </c>
      <c r="M3581" s="5" t="inlineStr"/>
      <c r="N3581" s="5" t="inlineStr"/>
      <c r="O3581" s="5" t="inlineStr"/>
      <c r="P3581" s="5" t="inlineStr"/>
      <c r="Q3581" s="5" t="inlineStr"/>
      <c r="R3581" s="5" t="inlineStr"/>
      <c r="S3581" s="5" t="inlineStr"/>
      <c r="T3581" s="5" t="inlineStr"/>
      <c r="U3581" s="5" t="inlineStr">
        <is>
          <t>https://www.tim.com.br/sp/para-voce/planos/pos-pago/tim-black</t>
        </is>
      </c>
      <c r="V3581" s="5" t="inlineStr">
        <is>
          <t>data/raw/tim_postpaid_SP.html</t>
        </is>
      </c>
    </row>
    <row r="3582">
      <c r="A3582" s="2" t="inlineStr">
        <is>
          <t>2026-08-25</t>
        </is>
      </c>
      <c r="B3582" s="2" t="inlineStr">
        <is>
          <t>2026-08-25T18:23:38</t>
        </is>
      </c>
      <c r="C3582" s="2" t="inlineStr">
        <is>
          <t>tim</t>
        </is>
      </c>
      <c r="D3582" s="2" t="inlineStr">
        <is>
          <t>postpaid</t>
        </is>
      </c>
      <c r="E3582" s="2" t="inlineStr">
        <is>
          <t>SP</t>
        </is>
      </c>
      <c r="F3582" s="2" t="inlineStr">
        <is>
          <t>TIM Black Premium 110GB</t>
        </is>
      </c>
      <c r="G3582" s="2" t="inlineStr">
        <is>
          <t>tim:54261</t>
        </is>
      </c>
      <c r="H3582" s="3" t="n">
        <v>159.99</v>
      </c>
      <c r="I3582" s="3" t="inlineStr"/>
      <c r="J3582" s="2" t="inlineStr"/>
      <c r="K3582" s="2" t="inlineStr">
        <is>
          <t>bill</t>
        </is>
      </c>
      <c r="L3582" s="4" t="n">
        <v>110</v>
      </c>
      <c r="M3582" s="2" t="inlineStr"/>
      <c r="N3582" s="2" t="inlineStr"/>
      <c r="O3582" s="2" t="inlineStr"/>
      <c r="P3582" s="2" t="inlineStr"/>
      <c r="Q3582" s="2" t="inlineStr"/>
      <c r="R3582" s="2" t="inlineStr"/>
      <c r="S3582" s="2" t="inlineStr"/>
      <c r="T3582" s="2" t="inlineStr"/>
      <c r="U3582" s="2" t="inlineStr">
        <is>
          <t>https://www.tim.com.br/sp/para-voce/planos/pos-pago/tim-black</t>
        </is>
      </c>
      <c r="V3582" s="2" t="inlineStr">
        <is>
          <t>data/raw/tim_postpaid_SP.html</t>
        </is>
      </c>
    </row>
    <row r="3583">
      <c r="A3583" s="5" t="inlineStr">
        <is>
          <t>2026-08-25</t>
        </is>
      </c>
      <c r="B3583" s="5" t="inlineStr">
        <is>
          <t>2026-08-25T18:23:38</t>
        </is>
      </c>
      <c r="C3583" s="5" t="inlineStr">
        <is>
          <t>tim</t>
        </is>
      </c>
      <c r="D3583" s="5" t="inlineStr">
        <is>
          <t>prepaid</t>
        </is>
      </c>
      <c r="E3583" s="5" t="inlineStr">
        <is>
          <t>SP</t>
        </is>
      </c>
      <c r="F3583" s="5" t="inlineStr">
        <is>
          <t>TIM Pré XIP Plus 16GB</t>
        </is>
      </c>
      <c r="G3583" s="5" t="inlineStr">
        <is>
          <t>tim:106306</t>
        </is>
      </c>
      <c r="H3583" s="6" t="n">
        <v>30</v>
      </c>
      <c r="I3583" s="6" t="inlineStr"/>
      <c r="J3583" s="5" t="inlineStr"/>
      <c r="K3583" s="5" t="inlineStr"/>
      <c r="L3583" s="7" t="n">
        <v>16</v>
      </c>
      <c r="M3583" s="5" t="inlineStr"/>
      <c r="N3583" s="5" t="n">
        <v>30</v>
      </c>
      <c r="O3583" s="5" t="inlineStr"/>
      <c r="P3583" s="5" t="inlineStr"/>
      <c r="Q3583" s="5" t="inlineStr"/>
      <c r="R3583" s="5" t="inlineStr"/>
      <c r="S3583" s="5" t="inlineStr"/>
      <c r="T3583" s="5" t="inlineStr"/>
      <c r="U3583" s="5" t="inlineStr">
        <is>
          <t>https://www.tim.com.br/sp/para-voce/planos/pre-pago</t>
        </is>
      </c>
      <c r="V3583" s="5" t="inlineStr">
        <is>
          <t>data/raw/tim_prepaid_SP.html</t>
        </is>
      </c>
    </row>
    <row r="3584">
      <c r="A3584" s="2" t="inlineStr">
        <is>
          <t>2026-08-25</t>
        </is>
      </c>
      <c r="B3584" s="2" t="inlineStr">
        <is>
          <t>2026-08-25T18:23:38</t>
        </is>
      </c>
      <c r="C3584" s="2" t="inlineStr">
        <is>
          <t>tim</t>
        </is>
      </c>
      <c r="D3584" s="2" t="inlineStr">
        <is>
          <t>prepaid</t>
        </is>
      </c>
      <c r="E3584" s="2" t="inlineStr">
        <is>
          <t>SP</t>
        </is>
      </c>
      <c r="F3584" s="2" t="inlineStr">
        <is>
          <t>TIM Pré XIP Plus 6GB</t>
        </is>
      </c>
      <c r="G3584" s="2" t="inlineStr">
        <is>
          <t>tim:59906</t>
        </is>
      </c>
      <c r="H3584" s="3" t="n">
        <v>20</v>
      </c>
      <c r="I3584" s="3" t="inlineStr"/>
      <c r="J3584" s="2" t="inlineStr"/>
      <c r="K3584" s="2" t="inlineStr"/>
      <c r="L3584" s="4" t="n">
        <v>6</v>
      </c>
      <c r="M3584" s="2" t="inlineStr"/>
      <c r="N3584" s="2" t="n">
        <v>17</v>
      </c>
      <c r="O3584" s="2" t="inlineStr"/>
      <c r="P3584" s="2" t="inlineStr"/>
      <c r="Q3584" s="2" t="inlineStr"/>
      <c r="R3584" s="2" t="inlineStr"/>
      <c r="S3584" s="2" t="inlineStr"/>
      <c r="T3584" s="2" t="inlineStr"/>
      <c r="U3584" s="2" t="inlineStr">
        <is>
          <t>https://www.tim.com.br/sp/para-voce/planos/pre-pago</t>
        </is>
      </c>
      <c r="V3584" s="2" t="inlineStr">
        <is>
          <t>data/raw/tim_prepaid_SP.html</t>
        </is>
      </c>
    </row>
    <row r="3585">
      <c r="A3585" s="5" t="inlineStr">
        <is>
          <t>2026-08-25</t>
        </is>
      </c>
      <c r="B3585" s="5" t="inlineStr">
        <is>
          <t>2026-08-25T18:23:38</t>
        </is>
      </c>
      <c r="C3585" s="5" t="inlineStr">
        <is>
          <t>tim</t>
        </is>
      </c>
      <c r="D3585" s="5" t="inlineStr">
        <is>
          <t>prepaid</t>
        </is>
      </c>
      <c r="E3585" s="5" t="inlineStr">
        <is>
          <t>SP</t>
        </is>
      </c>
      <c r="F3585" s="5" t="inlineStr">
        <is>
          <t>TIM Pré XIP Plus 8GB</t>
        </is>
      </c>
      <c r="G3585" s="5" t="inlineStr">
        <is>
          <t>tim:59901</t>
        </is>
      </c>
      <c r="H3585" s="6" t="n">
        <v>25</v>
      </c>
      <c r="I3585" s="6" t="inlineStr"/>
      <c r="J3585" s="5" t="inlineStr"/>
      <c r="K3585" s="5" t="inlineStr"/>
      <c r="L3585" s="7" t="n">
        <v>8</v>
      </c>
      <c r="M3585" s="5" t="inlineStr"/>
      <c r="N3585" s="5" t="n">
        <v>22</v>
      </c>
      <c r="O3585" s="5" t="inlineStr"/>
      <c r="P3585" s="5" t="inlineStr"/>
      <c r="Q3585" s="5" t="inlineStr"/>
      <c r="R3585" s="5" t="inlineStr"/>
      <c r="S3585" s="5" t="inlineStr"/>
      <c r="T3585" s="5" t="inlineStr"/>
      <c r="U3585" s="5" t="inlineStr">
        <is>
          <t>https://www.tim.com.br/sp/para-voce/planos/pre-pago</t>
        </is>
      </c>
      <c r="V3585" s="5" t="inlineStr">
        <is>
          <t>data/raw/tim_prepaid_SP.html</t>
        </is>
      </c>
    </row>
    <row r="3586">
      <c r="A3586" s="2" t="inlineStr">
        <is>
          <t>2026-08-25</t>
        </is>
      </c>
      <c r="B3586" s="2" t="inlineStr">
        <is>
          <t>2026-08-25T18:23:38</t>
        </is>
      </c>
      <c r="C3586" s="2" t="inlineStr">
        <is>
          <t>vivo</t>
        </is>
      </c>
      <c r="D3586" s="2" t="inlineStr">
        <is>
          <t>control</t>
        </is>
      </c>
      <c r="E3586" s="2" t="inlineStr">
        <is>
          <t>SP</t>
        </is>
      </c>
      <c r="F3586" s="2" t="inlineStr">
        <is>
          <t>Vivo Controle</t>
        </is>
      </c>
      <c r="G3586" s="2" t="inlineStr">
        <is>
          <t>vivo:VIV202600034591</t>
        </is>
      </c>
      <c r="H3586" s="3" t="n">
        <v>59</v>
      </c>
      <c r="I3586" s="3" t="inlineStr"/>
      <c r="J3586" s="2" t="inlineStr"/>
      <c r="K3586" s="2" t="inlineStr"/>
      <c r="L3586" s="4" t="n">
        <v>45</v>
      </c>
      <c r="M3586" s="2" t="inlineStr">
        <is>
          <t>15 GB de franquia 30 GB de bônus</t>
        </is>
      </c>
      <c r="N3586" s="2" t="inlineStr"/>
      <c r="O3586" s="2" t="inlineStr"/>
      <c r="P3586" s="2" t="inlineStr"/>
      <c r="Q3586" s="2" t="inlineStr"/>
      <c r="R3586" s="2" t="inlineStr"/>
      <c r="S3586" s="2" t="inlineStr"/>
      <c r="T3586" s="2" t="inlineStr">
        <is>
          <t>2 meses de YouTube sem consumo no plano</t>
        </is>
      </c>
      <c r="U3586" s="2" t="inlineStr">
        <is>
          <t>https://vivo.com.br/para-voce/produtos-e-servicos/para-o-celular/planos-controle</t>
        </is>
      </c>
      <c r="V3586" s="2" t="inlineStr">
        <is>
          <t>data/raw/vivo_control_SP.html</t>
        </is>
      </c>
    </row>
    <row r="3587">
      <c r="A3587" s="5" t="inlineStr">
        <is>
          <t>2026-08-25</t>
        </is>
      </c>
      <c r="B3587" s="5" t="inlineStr">
        <is>
          <t>2026-08-25T18:23:38</t>
        </is>
      </c>
      <c r="C3587" s="5" t="inlineStr">
        <is>
          <t>vivo</t>
        </is>
      </c>
      <c r="D3587" s="5" t="inlineStr">
        <is>
          <t>control</t>
        </is>
      </c>
      <c r="E3587" s="5" t="inlineStr">
        <is>
          <t>SP</t>
        </is>
      </c>
      <c r="F3587" s="5" t="inlineStr">
        <is>
          <t>Vivo Controle</t>
        </is>
      </c>
      <c r="G3587" s="5" t="inlineStr">
        <is>
          <t>vivo:VIV202600034599</t>
        </is>
      </c>
      <c r="H3587" s="6" t="n">
        <v>75</v>
      </c>
      <c r="I3587" s="6" t="inlineStr"/>
      <c r="J3587" s="5" t="inlineStr">
        <is>
          <t>preço-base do plano; a tela exibia R$ 80 com o adicional pré-selecionado (+R$ 5/mês, opcional); 60 GB na tela incluem +10 GB do adicional</t>
        </is>
      </c>
      <c r="K3587" s="5" t="inlineStr"/>
      <c r="L3587" s="7" t="n">
        <v>50</v>
      </c>
      <c r="M3587" s="5" t="inlineStr">
        <is>
          <t>20 GB de franquia 30 GB de bônus</t>
        </is>
      </c>
      <c r="N3587" s="5" t="inlineStr"/>
      <c r="O3587" s="5" t="inlineStr"/>
      <c r="P3587" s="5" t="inlineStr"/>
      <c r="Q3587" s="5" t="inlineStr"/>
      <c r="R3587" s="5" t="inlineStr"/>
      <c r="S3587" s="5" t="inlineStr"/>
      <c r="T3587" s="5" t="inlineStr">
        <is>
          <t>2 meses de YouTube sem consumo no plano</t>
        </is>
      </c>
      <c r="U3587" s="5" t="inlineStr">
        <is>
          <t>https://vivo.com.br/para-voce/produtos-e-servicos/para-o-celular/planos-controle</t>
        </is>
      </c>
      <c r="V3587" s="5" t="inlineStr">
        <is>
          <t>data/raw/vivo_control_SP.html</t>
        </is>
      </c>
    </row>
    <row r="3588">
      <c r="A3588" s="2" t="inlineStr">
        <is>
          <t>2026-08-25</t>
        </is>
      </c>
      <c r="B3588" s="2" t="inlineStr">
        <is>
          <t>2026-08-25T18:23:38</t>
        </is>
      </c>
      <c r="C3588" s="2" t="inlineStr">
        <is>
          <t>vivo</t>
        </is>
      </c>
      <c r="D3588" s="2" t="inlineStr">
        <is>
          <t>control</t>
        </is>
      </c>
      <c r="E3588" s="2" t="inlineStr">
        <is>
          <t>SP</t>
        </is>
      </c>
      <c r="F3588" s="2" t="inlineStr">
        <is>
          <t>Vivo Controle Educação</t>
        </is>
      </c>
      <c r="G3588" s="2" t="inlineStr">
        <is>
          <t>vivo:VIV202600034616</t>
        </is>
      </c>
      <c r="H3588" s="3" t="n">
        <v>85</v>
      </c>
      <c r="I3588" s="3" t="inlineStr"/>
      <c r="J3588" s="2" t="inlineStr">
        <is>
          <t>preço-base do plano; a tela exibia R$ 90 com o adicional pré-selecionado (+R$ 5/mês, opcional); 60 GB na tela incluem +10 GB do adicional</t>
        </is>
      </c>
      <c r="K3588" s="2" t="inlineStr"/>
      <c r="L3588" s="4" t="n">
        <v>50</v>
      </c>
      <c r="M3588" s="2" t="inlineStr">
        <is>
          <t>20 GB de franquia 30 GB de bônus</t>
        </is>
      </c>
      <c r="N3588" s="2" t="inlineStr"/>
      <c r="O3588" s="2" t="inlineStr"/>
      <c r="P3588" s="2" t="inlineStr"/>
      <c r="Q3588" s="2" t="inlineStr"/>
      <c r="R3588" s="2" t="inlineStr"/>
      <c r="S3588" s="2" t="inlineStr"/>
      <c r="T3588" s="2" t="inlineStr">
        <is>
          <t>Assinatura Vivae inclusa</t>
        </is>
      </c>
      <c r="U3588" s="2" t="inlineStr">
        <is>
          <t>https://vivo.com.br/para-voce/produtos-e-servicos/para-o-celular/planos-controle</t>
        </is>
      </c>
      <c r="V3588" s="2" t="inlineStr">
        <is>
          <t>data/raw/vivo_control_SP.html</t>
        </is>
      </c>
    </row>
    <row r="3589">
      <c r="A3589" s="5" t="inlineStr">
        <is>
          <t>2026-08-25</t>
        </is>
      </c>
      <c r="B3589" s="5" t="inlineStr">
        <is>
          <t>2026-08-25T18:23:38</t>
        </is>
      </c>
      <c r="C3589" s="5" t="inlineStr">
        <is>
          <t>vivo</t>
        </is>
      </c>
      <c r="D3589" s="5" t="inlineStr">
        <is>
          <t>control</t>
        </is>
      </c>
      <c r="E3589" s="5" t="inlineStr">
        <is>
          <t>SP</t>
        </is>
      </c>
      <c r="F3589" s="5" t="inlineStr">
        <is>
          <t>Vivo Controle Entretenimento</t>
        </is>
      </c>
      <c r="G3589" s="5" t="inlineStr">
        <is>
          <t>vivo:VIV202600034619</t>
        </is>
      </c>
      <c r="H3589" s="6" t="n">
        <v>105</v>
      </c>
      <c r="I3589" s="6" t="inlineStr"/>
      <c r="J3589" s="5" t="inlineStr">
        <is>
          <t>preço-base do plano; a tela exibia R$ 110 com o adicional pré-selecionado (+R$ 5/mês, opcional); 60 GB na tela incluem +10 GB do adicional</t>
        </is>
      </c>
      <c r="K3589" s="5" t="inlineStr"/>
      <c r="L3589" s="7" t="n">
        <v>50</v>
      </c>
      <c r="M3589" s="5" t="inlineStr">
        <is>
          <t>20 GB de franquia 30 GB de bônus</t>
        </is>
      </c>
      <c r="N3589" s="5" t="inlineStr"/>
      <c r="O3589" s="5" t="inlineStr"/>
      <c r="P3589" s="5" t="inlineStr"/>
      <c r="Q3589" s="5" t="inlineStr"/>
      <c r="R3589" s="5" t="inlineStr"/>
      <c r="S3589" s="5" t="inlineStr"/>
      <c r="T3589" s="5" t="inlineStr">
        <is>
          <t>Assinatura Vivo TV Inicial inclusa</t>
        </is>
      </c>
      <c r="U3589" s="5" t="inlineStr">
        <is>
          <t>https://vivo.com.br/para-voce/produtos-e-servicos/para-o-celular/planos-controle</t>
        </is>
      </c>
      <c r="V3589" s="5" t="inlineStr">
        <is>
          <t>data/raw/vivo_control_SP.html</t>
        </is>
      </c>
    </row>
    <row r="3590">
      <c r="A3590" s="2" t="inlineStr">
        <is>
          <t>2026-08-25</t>
        </is>
      </c>
      <c r="B3590" s="2" t="inlineStr">
        <is>
          <t>2026-08-25T18:23:38</t>
        </is>
      </c>
      <c r="C3590" s="2" t="inlineStr">
        <is>
          <t>vivo</t>
        </is>
      </c>
      <c r="D3590" s="2" t="inlineStr">
        <is>
          <t>control</t>
        </is>
      </c>
      <c r="E3590" s="2" t="inlineStr">
        <is>
          <t>SP</t>
        </is>
      </c>
      <c r="F3590" s="2" t="inlineStr">
        <is>
          <t>Vivo Controle Música</t>
        </is>
      </c>
      <c r="G3590" s="2" t="inlineStr">
        <is>
          <t>vivo:VIV202600034620</t>
        </is>
      </c>
      <c r="H3590" s="3" t="n">
        <v>85</v>
      </c>
      <c r="I3590" s="3" t="inlineStr"/>
      <c r="J3590" s="2" t="inlineStr">
        <is>
          <t>preço-base do plano; a tela exibia R$ 90 com o adicional pré-selecionado (+R$ 5/mês, opcional); 60 GB na tela incluem +10 GB do adicional</t>
        </is>
      </c>
      <c r="K3590" s="2" t="inlineStr"/>
      <c r="L3590" s="4" t="n">
        <v>50</v>
      </c>
      <c r="M3590" s="2" t="inlineStr">
        <is>
          <t>20 GB de franquia 30 GB de bônus</t>
        </is>
      </c>
      <c r="N3590" s="2" t="inlineStr"/>
      <c r="O3590" s="2" t="inlineStr"/>
      <c r="P3590" s="2" t="inlineStr"/>
      <c r="Q3590" s="2" t="inlineStr"/>
      <c r="R3590" s="2" t="inlineStr"/>
      <c r="S3590" s="2" t="inlineStr"/>
      <c r="T3590" s="2" t="inlineStr">
        <is>
          <t>Apple Music Individual</t>
        </is>
      </c>
      <c r="U3590" s="2" t="inlineStr">
        <is>
          <t>https://vivo.com.br/para-voce/produtos-e-servicos/para-o-celular/planos-controle</t>
        </is>
      </c>
      <c r="V3590" s="2" t="inlineStr">
        <is>
          <t>data/raw/vivo_control_SP.html</t>
        </is>
      </c>
    </row>
    <row r="3591">
      <c r="A3591" s="5" t="inlineStr">
        <is>
          <t>2026-08-25</t>
        </is>
      </c>
      <c r="B3591" s="5" t="inlineStr">
        <is>
          <t>2026-08-25T18:23:38</t>
        </is>
      </c>
      <c r="C3591" s="5" t="inlineStr">
        <is>
          <t>vivo</t>
        </is>
      </c>
      <c r="D3591" s="5" t="inlineStr">
        <is>
          <t>control</t>
        </is>
      </c>
      <c r="E3591" s="5" t="inlineStr">
        <is>
          <t>SP</t>
        </is>
      </c>
      <c r="F3591" s="5" t="inlineStr">
        <is>
          <t>Vivo Controle Netflix</t>
        </is>
      </c>
      <c r="G3591" s="5" t="inlineStr">
        <is>
          <t>vivo:VIV202600034623</t>
        </is>
      </c>
      <c r="H3591" s="6" t="n">
        <v>90</v>
      </c>
      <c r="I3591" s="6" t="inlineStr"/>
      <c r="J3591" s="5" t="inlineStr">
        <is>
          <t>preço-base do plano; a tela exibia R$ 95 com o adicional pré-selecionado (+R$ 5/mês, opcional); 60 GB na tela incluem +10 GB do adicional</t>
        </is>
      </c>
      <c r="K3591" s="5" t="inlineStr"/>
      <c r="L3591" s="7" t="n">
        <v>50</v>
      </c>
      <c r="M3591" s="5" t="inlineStr">
        <is>
          <t>20 GB de franquia 30 GB de bônus</t>
        </is>
      </c>
      <c r="N3591" s="5" t="inlineStr"/>
      <c r="O3591" s="5" t="inlineStr"/>
      <c r="P3591" s="5" t="inlineStr"/>
      <c r="Q3591" s="5" t="inlineStr"/>
      <c r="R3591" s="5" t="inlineStr"/>
      <c r="S3591" s="5" t="inlineStr"/>
      <c r="T3591" s="5" t="inlineStr">
        <is>
          <t>Assinatura Netflix Padrão com anúncios</t>
        </is>
      </c>
      <c r="U3591" s="5" t="inlineStr">
        <is>
          <t>https://vivo.com.br/para-voce/produtos-e-servicos/para-o-celular/planos-controle</t>
        </is>
      </c>
      <c r="V3591" s="5" t="inlineStr">
        <is>
          <t>data/raw/vivo_control_SP.html</t>
        </is>
      </c>
    </row>
    <row r="3592">
      <c r="A3592" s="2" t="inlineStr">
        <is>
          <t>2026-08-25</t>
        </is>
      </c>
      <c r="B3592" s="2" t="inlineStr">
        <is>
          <t>2026-08-25T18:23:38</t>
        </is>
      </c>
      <c r="C3592" s="2" t="inlineStr">
        <is>
          <t>vivo</t>
        </is>
      </c>
      <c r="D3592" s="2" t="inlineStr">
        <is>
          <t>control</t>
        </is>
      </c>
      <c r="E3592" s="2" t="inlineStr">
        <is>
          <t>SP</t>
        </is>
      </c>
      <c r="F3592" s="2" t="inlineStr">
        <is>
          <t>Vivo Controle Saúde</t>
        </is>
      </c>
      <c r="G3592" s="2" t="inlineStr">
        <is>
          <t>vivo:VIV202600034625</t>
        </is>
      </c>
      <c r="H3592" s="3" t="n">
        <v>85</v>
      </c>
      <c r="I3592" s="3" t="inlineStr"/>
      <c r="J3592" s="2" t="inlineStr">
        <is>
          <t>preço-base do plano; a tela exibia R$ 90 com o adicional pré-selecionado (+R$ 5/mês, opcional); 60 GB na tela incluem +10 GB do adicional</t>
        </is>
      </c>
      <c r="K3592" s="2" t="inlineStr"/>
      <c r="L3592" s="4" t="n">
        <v>50</v>
      </c>
      <c r="M3592" s="2" t="inlineStr">
        <is>
          <t>20 GB de franquia 30 GB de bônus</t>
        </is>
      </c>
      <c r="N3592" s="2" t="inlineStr"/>
      <c r="O3592" s="2" t="inlineStr"/>
      <c r="P3592" s="2" t="inlineStr"/>
      <c r="Q3592" s="2" t="inlineStr"/>
      <c r="R3592" s="2" t="inlineStr"/>
      <c r="S3592" s="2" t="inlineStr"/>
      <c r="T3592" s="2" t="inlineStr">
        <is>
          <t>Assinatura Vale Saúde Sempre inclusa</t>
        </is>
      </c>
      <c r="U3592" s="2" t="inlineStr">
        <is>
          <t>https://vivo.com.br/para-voce/produtos-e-servicos/para-o-celular/planos-controle</t>
        </is>
      </c>
      <c r="V3592" s="2" t="inlineStr">
        <is>
          <t>data/raw/vivo_control_SP.html</t>
        </is>
      </c>
    </row>
    <row r="3593">
      <c r="A3593" s="5" t="inlineStr">
        <is>
          <t>2026-08-25</t>
        </is>
      </c>
      <c r="B3593" s="5" t="inlineStr">
        <is>
          <t>2026-08-25T18:23:38</t>
        </is>
      </c>
      <c r="C3593" s="5" t="inlineStr">
        <is>
          <t>vivo</t>
        </is>
      </c>
      <c r="D3593" s="5" t="inlineStr">
        <is>
          <t>control</t>
        </is>
      </c>
      <c r="E3593" s="5" t="inlineStr">
        <is>
          <t>SP</t>
        </is>
      </c>
      <c r="F3593" s="5" t="inlineStr">
        <is>
          <t>Vivo Controle Youtube Lite</t>
        </is>
      </c>
      <c r="G3593" s="5" t="inlineStr">
        <is>
          <t>vivo:VIV202600034626</t>
        </is>
      </c>
      <c r="H3593" s="6" t="n">
        <v>85</v>
      </c>
      <c r="I3593" s="6" t="inlineStr"/>
      <c r="J3593" s="5" t="inlineStr">
        <is>
          <t>preço-base do plano; a tela exibia R$ 90 com o adicional pré-selecionado (+R$ 5/mês, opcional); 60 GB na tela incluem +10 GB do adicional</t>
        </is>
      </c>
      <c r="K3593" s="5" t="inlineStr"/>
      <c r="L3593" s="7" t="n">
        <v>50</v>
      </c>
      <c r="M3593" s="5" t="inlineStr">
        <is>
          <t>20 GB de franquia 30 GB de bônus</t>
        </is>
      </c>
      <c r="N3593" s="5" t="inlineStr"/>
      <c r="O3593" s="5" t="inlineStr"/>
      <c r="P3593" s="5" t="inlineStr"/>
      <c r="Q3593" s="5" t="inlineStr"/>
      <c r="R3593" s="5" t="inlineStr"/>
      <c r="S3593" s="5" t="inlineStr"/>
      <c r="T3593" s="5" t="inlineStr">
        <is>
          <t>2 meses de YouTube sem consumo no plano</t>
        </is>
      </c>
      <c r="U3593" s="5" t="inlineStr">
        <is>
          <t>https://vivo.com.br/para-voce/produtos-e-servicos/para-o-celular/planos-controle</t>
        </is>
      </c>
      <c r="V3593" s="5" t="inlineStr">
        <is>
          <t>data/raw/vivo_control_SP.html</t>
        </is>
      </c>
    </row>
    <row r="3594">
      <c r="A3594" s="2" t="inlineStr">
        <is>
          <t>2026-08-25</t>
        </is>
      </c>
      <c r="B3594" s="2" t="inlineStr">
        <is>
          <t>2026-08-25T18:23:38</t>
        </is>
      </c>
      <c r="C3594" s="2" t="inlineStr">
        <is>
          <t>vivo</t>
        </is>
      </c>
      <c r="D3594" s="2" t="inlineStr">
        <is>
          <t>lite</t>
        </is>
      </c>
      <c r="E3594" s="2" t="inlineStr">
        <is>
          <t>SP</t>
        </is>
      </c>
      <c r="F3594" s="2" t="inlineStr">
        <is>
          <t>Vivo Lite</t>
        </is>
      </c>
      <c r="G3594" s="2" t="inlineStr">
        <is>
          <t>vivo:VIV202600033987</t>
        </is>
      </c>
      <c r="H3594" s="3" t="n">
        <v>45</v>
      </c>
      <c r="I3594" s="3" t="n">
        <v>30</v>
      </c>
      <c r="J3594" s="2" t="inlineStr">
        <is>
          <t>preço sem fidelidade; fidelidade 12m no promo</t>
        </is>
      </c>
      <c r="K3594" s="2" t="inlineStr"/>
      <c r="L3594" s="4" t="n">
        <v>30</v>
      </c>
      <c r="M3594" s="2" t="inlineStr">
        <is>
          <t>30 GB de franquia</t>
        </is>
      </c>
      <c r="N3594" s="2" t="inlineStr"/>
      <c r="O3594" s="2" t="inlineStr"/>
      <c r="P3594" s="2" t="inlineStr"/>
      <c r="Q3594" s="2" t="inlineStr"/>
      <c r="R3594" s="2" t="inlineStr"/>
      <c r="S3594" s="2" t="n">
        <v>12</v>
      </c>
      <c r="T3594" s="2" t="inlineStr">
        <is>
          <t>2 meses de YouTube sem consumo no plano</t>
        </is>
      </c>
      <c r="U3594" s="2" t="inlineStr">
        <is>
          <t>https://vivo.com.br/para-voce/produtos-e-servicos/para-o-celular/easy-lite</t>
        </is>
      </c>
      <c r="V3594" s="2" t="inlineStr">
        <is>
          <t>data/raw/vivo_lite_SP.html</t>
        </is>
      </c>
    </row>
    <row r="3595">
      <c r="A3595" s="5" t="inlineStr">
        <is>
          <t>2026-08-25</t>
        </is>
      </c>
      <c r="B3595" s="5" t="inlineStr">
        <is>
          <t>2026-08-25T18:23:38</t>
        </is>
      </c>
      <c r="C3595" s="5" t="inlineStr">
        <is>
          <t>vivo</t>
        </is>
      </c>
      <c r="D3595" s="5" t="inlineStr">
        <is>
          <t>lite</t>
        </is>
      </c>
      <c r="E3595" s="5" t="inlineStr">
        <is>
          <t>SP</t>
        </is>
      </c>
      <c r="F3595" s="5" t="inlineStr">
        <is>
          <t>Vivo Lite</t>
        </is>
      </c>
      <c r="G3595" s="5" t="inlineStr">
        <is>
          <t>vivo:VIV202600033989</t>
        </is>
      </c>
      <c r="H3595" s="6" t="n">
        <v>55</v>
      </c>
      <c r="I3595" s="6" t="n">
        <v>40</v>
      </c>
      <c r="J3595" s="5" t="inlineStr">
        <is>
          <t>preço sem fidelidade; fidelidade 12m no promo</t>
        </is>
      </c>
      <c r="K3595" s="5" t="inlineStr"/>
      <c r="L3595" s="7" t="n">
        <v>40</v>
      </c>
      <c r="M3595" s="5" t="inlineStr">
        <is>
          <t>40 GB de franquia</t>
        </is>
      </c>
      <c r="N3595" s="5" t="inlineStr"/>
      <c r="O3595" s="5" t="inlineStr"/>
      <c r="P3595" s="5" t="inlineStr"/>
      <c r="Q3595" s="5" t="inlineStr"/>
      <c r="R3595" s="5" t="inlineStr"/>
      <c r="S3595" s="5" t="n">
        <v>12</v>
      </c>
      <c r="T3595" s="5" t="inlineStr">
        <is>
          <t>2 meses de YouTube sem consumo no plano</t>
        </is>
      </c>
      <c r="U3595" s="5" t="inlineStr">
        <is>
          <t>https://vivo.com.br/para-voce/produtos-e-servicos/para-o-celular/easy-lite</t>
        </is>
      </c>
      <c r="V3595" s="5" t="inlineStr">
        <is>
          <t>data/raw/vivo_lite_SP.html</t>
        </is>
      </c>
    </row>
    <row r="3596">
      <c r="A3596" s="2" t="inlineStr">
        <is>
          <t>2026-08-25</t>
        </is>
      </c>
      <c r="B3596" s="2" t="inlineStr">
        <is>
          <t>2026-08-25T18:23:38</t>
        </is>
      </c>
      <c r="C3596" s="2" t="inlineStr">
        <is>
          <t>vivo</t>
        </is>
      </c>
      <c r="D3596" s="2" t="inlineStr">
        <is>
          <t>lite</t>
        </is>
      </c>
      <c r="E3596" s="2" t="inlineStr">
        <is>
          <t>SP</t>
        </is>
      </c>
      <c r="F3596" s="2" t="inlineStr">
        <is>
          <t>Vivo Lite</t>
        </is>
      </c>
      <c r="G3596" s="2" t="inlineStr">
        <is>
          <t>vivo:VIV202600033992</t>
        </is>
      </c>
      <c r="H3596" s="3" t="n">
        <v>35</v>
      </c>
      <c r="I3596" s="3" t="inlineStr"/>
      <c r="J3596" s="2" t="inlineStr"/>
      <c r="K3596" s="2" t="inlineStr"/>
      <c r="L3596" s="4" t="n">
        <v>20</v>
      </c>
      <c r="M3596" s="2" t="inlineStr">
        <is>
          <t>20 GB de franquia</t>
        </is>
      </c>
      <c r="N3596" s="2" t="inlineStr"/>
      <c r="O3596" s="2" t="inlineStr"/>
      <c r="P3596" s="2" t="inlineStr"/>
      <c r="Q3596" s="2" t="inlineStr"/>
      <c r="R3596" s="2" t="inlineStr"/>
      <c r="S3596" s="2" t="inlineStr"/>
      <c r="T3596" s="2" t="inlineStr">
        <is>
          <t>2 meses de YouTube sem consumo no plano</t>
        </is>
      </c>
      <c r="U3596" s="2" t="inlineStr">
        <is>
          <t>https://vivo.com.br/para-voce/produtos-e-servicos/para-o-celular/easy-lite</t>
        </is>
      </c>
      <c r="V3596" s="2" t="inlineStr">
        <is>
          <t>data/raw/vivo_lite_SP.html</t>
        </is>
      </c>
    </row>
    <row r="3597">
      <c r="A3597" s="5" t="inlineStr">
        <is>
          <t>2026-08-25</t>
        </is>
      </c>
      <c r="B3597" s="5" t="inlineStr">
        <is>
          <t>2026-08-25T18:23:38</t>
        </is>
      </c>
      <c r="C3597" s="5" t="inlineStr">
        <is>
          <t>vivo</t>
        </is>
      </c>
      <c r="D3597" s="5" t="inlineStr">
        <is>
          <t>postpaid</t>
        </is>
      </c>
      <c r="E3597" s="5" t="inlineStr">
        <is>
          <t>SP</t>
        </is>
      </c>
      <c r="F3597" s="5" t="inlineStr">
        <is>
          <t>Vivo Família 2</t>
        </is>
      </c>
      <c r="G3597" s="5" t="inlineStr">
        <is>
          <t>vivo:VIV202600034547</t>
        </is>
      </c>
      <c r="H3597" s="6" t="n">
        <v>270</v>
      </c>
      <c r="I3597" s="6" t="inlineStr"/>
      <c r="J3597" s="5" t="inlineStr"/>
      <c r="K3597" s="5" t="inlineStr"/>
      <c r="L3597" s="7" t="n">
        <v>120</v>
      </c>
      <c r="M3597" s="5" t="inlineStr">
        <is>
          <t>120 GB de franquia Você + 1 linha adicional Roaming Internacional com Vivo Travel Américas e Europa</t>
        </is>
      </c>
      <c r="N3597" s="5" t="inlineStr"/>
      <c r="O3597" s="5" t="inlineStr"/>
      <c r="P3597" s="5" t="inlineStr"/>
      <c r="Q3597" s="5" t="inlineStr"/>
      <c r="R3597" s="5" t="inlineStr"/>
      <c r="S3597" s="5" t="inlineStr"/>
      <c r="T3597" s="5" t="inlineStr">
        <is>
          <t>2 meses de YouTube sem consumo no plano</t>
        </is>
      </c>
      <c r="U3597" s="5" t="inlineStr">
        <is>
          <t>https://vivo.com.br/para-voce/produtos-e-servicos/para-o-celular/planos-pos-pago</t>
        </is>
      </c>
      <c r="V3597" s="5" t="inlineStr">
        <is>
          <t>data/raw/vivo_postpaid_SP.html</t>
        </is>
      </c>
    </row>
    <row r="3598">
      <c r="A3598" s="2" t="inlineStr">
        <is>
          <t>2026-08-25</t>
        </is>
      </c>
      <c r="B3598" s="2" t="inlineStr">
        <is>
          <t>2026-08-25T18:23:38</t>
        </is>
      </c>
      <c r="C3598" s="2" t="inlineStr">
        <is>
          <t>vivo</t>
        </is>
      </c>
      <c r="D3598" s="2" t="inlineStr">
        <is>
          <t>postpaid</t>
        </is>
      </c>
      <c r="E3598" s="2" t="inlineStr">
        <is>
          <t>SP</t>
        </is>
      </c>
      <c r="F3598" s="2" t="inlineStr">
        <is>
          <t>Vivo Família 3</t>
        </is>
      </c>
      <c r="G3598" s="2" t="inlineStr">
        <is>
          <t>vivo:VIV202600034540</t>
        </is>
      </c>
      <c r="H3598" s="3" t="n">
        <v>340</v>
      </c>
      <c r="I3598" s="3" t="inlineStr"/>
      <c r="J3598" s="2" t="inlineStr"/>
      <c r="K3598" s="2" t="inlineStr"/>
      <c r="L3598" s="4" t="n">
        <v>180</v>
      </c>
      <c r="M3598" s="2" t="inlineStr">
        <is>
          <t>180 GB de franquia Você + 2 linhas adicionais Roaming Internacional com Vivo Travel Américas e Europa</t>
        </is>
      </c>
      <c r="N3598" s="2" t="inlineStr"/>
      <c r="O3598" s="2" t="inlineStr"/>
      <c r="P3598" s="2" t="inlineStr"/>
      <c r="Q3598" s="2" t="inlineStr"/>
      <c r="R3598" s="2" t="inlineStr"/>
      <c r="S3598" s="2" t="inlineStr"/>
      <c r="T3598" s="2" t="inlineStr">
        <is>
          <t>2 meses de YouTube sem consumo no plano</t>
        </is>
      </c>
      <c r="U3598" s="2" t="inlineStr">
        <is>
          <t>https://vivo.com.br/para-voce/produtos-e-servicos/para-o-celular/planos-pos-pago</t>
        </is>
      </c>
      <c r="V3598" s="2" t="inlineStr">
        <is>
          <t>data/raw/vivo_postpaid_SP.html</t>
        </is>
      </c>
    </row>
    <row r="3599">
      <c r="A3599" s="5" t="inlineStr">
        <is>
          <t>2026-08-25</t>
        </is>
      </c>
      <c r="B3599" s="5" t="inlineStr">
        <is>
          <t>2026-08-25T18:23:38</t>
        </is>
      </c>
      <c r="C3599" s="5" t="inlineStr">
        <is>
          <t>vivo</t>
        </is>
      </c>
      <c r="D3599" s="5" t="inlineStr">
        <is>
          <t>postpaid</t>
        </is>
      </c>
      <c r="E3599" s="5" t="inlineStr">
        <is>
          <t>SP</t>
        </is>
      </c>
      <c r="F3599" s="5" t="inlineStr">
        <is>
          <t>Vivo Família 4</t>
        </is>
      </c>
      <c r="G3599" s="5" t="inlineStr">
        <is>
          <t>vivo:VIV202600034531</t>
        </is>
      </c>
      <c r="H3599" s="6" t="n">
        <v>430</v>
      </c>
      <c r="I3599" s="6" t="inlineStr"/>
      <c r="J3599" s="5" t="inlineStr"/>
      <c r="K3599" s="5" t="inlineStr"/>
      <c r="L3599" s="7" t="n">
        <v>240</v>
      </c>
      <c r="M3599" s="5" t="inlineStr">
        <is>
          <t>240 GB de franquia Você + 3 linhas adicionais Roaming Internacional com Vivo Travel Américas e Europa</t>
        </is>
      </c>
      <c r="N3599" s="5" t="inlineStr"/>
      <c r="O3599" s="5" t="inlineStr"/>
      <c r="P3599" s="5" t="inlineStr"/>
      <c r="Q3599" s="5" t="inlineStr"/>
      <c r="R3599" s="5" t="inlineStr"/>
      <c r="S3599" s="5" t="inlineStr"/>
      <c r="T3599" s="5" t="inlineStr">
        <is>
          <t>2 meses de YouTube sem consumo no plano</t>
        </is>
      </c>
      <c r="U3599" s="5" t="inlineStr">
        <is>
          <t>https://vivo.com.br/para-voce/produtos-e-servicos/para-o-celular/planos-pos-pago</t>
        </is>
      </c>
      <c r="V3599" s="5" t="inlineStr">
        <is>
          <t>data/raw/vivo_postpaid_SP.html</t>
        </is>
      </c>
    </row>
    <row r="3600">
      <c r="A3600" s="2" t="inlineStr">
        <is>
          <t>2026-08-25</t>
        </is>
      </c>
      <c r="B3600" s="2" t="inlineStr">
        <is>
          <t>2026-08-25T18:23:38</t>
        </is>
      </c>
      <c r="C3600" s="2" t="inlineStr">
        <is>
          <t>vivo</t>
        </is>
      </c>
      <c r="D3600" s="2" t="inlineStr">
        <is>
          <t>postpaid</t>
        </is>
      </c>
      <c r="E3600" s="2" t="inlineStr">
        <is>
          <t>SP</t>
        </is>
      </c>
      <c r="F3600" s="2" t="inlineStr">
        <is>
          <t>Vivo Família 5</t>
        </is>
      </c>
      <c r="G3600" s="2" t="inlineStr">
        <is>
          <t>vivo:VIV202600034526</t>
        </is>
      </c>
      <c r="H3600" s="3" t="n">
        <v>530</v>
      </c>
      <c r="I3600" s="3" t="inlineStr"/>
      <c r="J3600" s="2" t="inlineStr"/>
      <c r="K3600" s="2" t="inlineStr"/>
      <c r="L3600" s="4" t="n">
        <v>300</v>
      </c>
      <c r="M3600" s="2" t="inlineStr">
        <is>
          <t>300 GB de franquia Você + 4 linhas adicionais Roaming Internacional com Vivo Travel Américas e Europa</t>
        </is>
      </c>
      <c r="N3600" s="2" t="inlineStr"/>
      <c r="O3600" s="2" t="inlineStr"/>
      <c r="P3600" s="2" t="inlineStr"/>
      <c r="Q3600" s="2" t="inlineStr"/>
      <c r="R3600" s="2" t="inlineStr"/>
      <c r="S3600" s="2" t="inlineStr"/>
      <c r="T3600" s="2" t="inlineStr">
        <is>
          <t>2 meses de YouTube sem consumo no plano</t>
        </is>
      </c>
      <c r="U3600" s="2" t="inlineStr">
        <is>
          <t>https://vivo.com.br/para-voce/produtos-e-servicos/para-o-celular/planos-pos-pago</t>
        </is>
      </c>
      <c r="V3600" s="2" t="inlineStr">
        <is>
          <t>data/raw/vivo_postpaid_SP.html</t>
        </is>
      </c>
    </row>
    <row r="3601">
      <c r="A3601" s="5" t="inlineStr">
        <is>
          <t>2026-08-25</t>
        </is>
      </c>
      <c r="B3601" s="5" t="inlineStr">
        <is>
          <t>2026-08-25T18:23:38</t>
        </is>
      </c>
      <c r="C3601" s="5" t="inlineStr">
        <is>
          <t>vivo</t>
        </is>
      </c>
      <c r="D3601" s="5" t="inlineStr">
        <is>
          <t>postpaid</t>
        </is>
      </c>
      <c r="E3601" s="5" t="inlineStr">
        <is>
          <t>SP</t>
        </is>
      </c>
      <c r="F3601" s="5" t="inlineStr">
        <is>
          <t>Vivo Pós com Amazon</t>
        </is>
      </c>
      <c r="G3601" s="5" t="inlineStr">
        <is>
          <t>vivo:VIV202600034554</t>
        </is>
      </c>
      <c r="H3601" s="6" t="n">
        <v>150</v>
      </c>
      <c r="I3601" s="6" t="inlineStr"/>
      <c r="J3601" s="5" t="inlineStr"/>
      <c r="K3601" s="5" t="inlineStr"/>
      <c r="L3601" s="7" t="n">
        <v>60</v>
      </c>
      <c r="M3601" s="5" t="inlineStr">
        <is>
          <t>50 GB de franquia 10 GB de bônus</t>
        </is>
      </c>
      <c r="N3601" s="5" t="inlineStr"/>
      <c r="O3601" s="5" t="inlineStr"/>
      <c r="P3601" s="5" t="inlineStr"/>
      <c r="Q3601" s="5" t="inlineStr"/>
      <c r="R3601" s="5" t="inlineStr"/>
      <c r="S3601" s="5" t="inlineStr"/>
      <c r="T3601" s="5" t="inlineStr">
        <is>
          <t>Assinatura Amazon Prime inclusa</t>
        </is>
      </c>
      <c r="U3601" s="5" t="inlineStr">
        <is>
          <t>https://vivo.com.br/para-voce/produtos-e-servicos/para-o-celular/planos-pos-pago</t>
        </is>
      </c>
      <c r="V3601" s="5" t="inlineStr">
        <is>
          <t>data/raw/vivo_postpaid_SP.html</t>
        </is>
      </c>
    </row>
    <row r="3602">
      <c r="A3602" s="2" t="inlineStr">
        <is>
          <t>2026-08-25</t>
        </is>
      </c>
      <c r="B3602" s="2" t="inlineStr">
        <is>
          <t>2026-08-25T18:23:38</t>
        </is>
      </c>
      <c r="C3602" s="2" t="inlineStr">
        <is>
          <t>vivo</t>
        </is>
      </c>
      <c r="D3602" s="2" t="inlineStr">
        <is>
          <t>postpaid</t>
        </is>
      </c>
      <c r="E3602" s="2" t="inlineStr">
        <is>
          <t>SP</t>
        </is>
      </c>
      <c r="F3602" s="2" t="inlineStr">
        <is>
          <t>Vivo Pós com Disney+</t>
        </is>
      </c>
      <c r="G3602" s="2" t="inlineStr">
        <is>
          <t>vivo:VIV202600034532</t>
        </is>
      </c>
      <c r="H3602" s="3" t="n">
        <v>180</v>
      </c>
      <c r="I3602" s="3" t="inlineStr"/>
      <c r="J3602" s="2" t="inlineStr"/>
      <c r="K3602" s="2" t="inlineStr"/>
      <c r="L3602" s="4" t="n">
        <v>60</v>
      </c>
      <c r="M3602" s="2" t="inlineStr">
        <is>
          <t>50 GB de franquia 10 GB de bônus</t>
        </is>
      </c>
      <c r="N3602" s="2" t="inlineStr"/>
      <c r="O3602" s="2" t="inlineStr"/>
      <c r="P3602" s="2" t="inlineStr"/>
      <c r="Q3602" s="2" t="inlineStr"/>
      <c r="R3602" s="2" t="inlineStr">
        <is>
          <t>Disney+</t>
        </is>
      </c>
      <c r="S3602" s="2" t="inlineStr"/>
      <c r="T3602" s="2" t="inlineStr">
        <is>
          <t>Assinatura Disney+ Padrão inclusa</t>
        </is>
      </c>
      <c r="U3602" s="2" t="inlineStr">
        <is>
          <t>https://vivo.com.br/para-voce/produtos-e-servicos/para-o-celular/planos-pos-pago</t>
        </is>
      </c>
      <c r="V3602" s="2" t="inlineStr">
        <is>
          <t>data/raw/vivo_postpaid_SP.html</t>
        </is>
      </c>
    </row>
    <row r="3603">
      <c r="A3603" s="5" t="inlineStr">
        <is>
          <t>2026-08-25</t>
        </is>
      </c>
      <c r="B3603" s="5" t="inlineStr">
        <is>
          <t>2026-08-25T18:23:38</t>
        </is>
      </c>
      <c r="C3603" s="5" t="inlineStr">
        <is>
          <t>vivo</t>
        </is>
      </c>
      <c r="D3603" s="5" t="inlineStr">
        <is>
          <t>postpaid</t>
        </is>
      </c>
      <c r="E3603" s="5" t="inlineStr">
        <is>
          <t>SP</t>
        </is>
      </c>
      <c r="F3603" s="5" t="inlineStr">
        <is>
          <t>Vivo Pós com Globoplay</t>
        </is>
      </c>
      <c r="G3603" s="5" t="inlineStr">
        <is>
          <t>vivo:VIV202600034575</t>
        </is>
      </c>
      <c r="H3603" s="6" t="n">
        <v>165</v>
      </c>
      <c r="I3603" s="6" t="inlineStr"/>
      <c r="J3603" s="5" t="inlineStr"/>
      <c r="K3603" s="5" t="inlineStr"/>
      <c r="L3603" s="7" t="n">
        <v>60</v>
      </c>
      <c r="M3603" s="5" t="inlineStr">
        <is>
          <t>50 GB de franquia 10 GB de bônus</t>
        </is>
      </c>
      <c r="N3603" s="5" t="inlineStr"/>
      <c r="O3603" s="5" t="inlineStr"/>
      <c r="P3603" s="5" t="inlineStr"/>
      <c r="Q3603" s="5" t="inlineStr"/>
      <c r="R3603" s="5" t="inlineStr">
        <is>
          <t>Globoplay</t>
        </is>
      </c>
      <c r="S3603" s="5" t="inlineStr"/>
      <c r="T3603" s="5" t="inlineStr">
        <is>
          <t>Assinatura Globoplay inclusa</t>
        </is>
      </c>
      <c r="U3603" s="5" t="inlineStr">
        <is>
          <t>https://vivo.com.br/para-voce/produtos-e-servicos/para-o-celular/planos-pos-pago</t>
        </is>
      </c>
      <c r="V3603" s="5" t="inlineStr">
        <is>
          <t>data/raw/vivo_postpaid_SP.html</t>
        </is>
      </c>
    </row>
    <row r="3604">
      <c r="A3604" s="2" t="inlineStr">
        <is>
          <t>2026-08-25</t>
        </is>
      </c>
      <c r="B3604" s="2" t="inlineStr">
        <is>
          <t>2026-08-25T18:23:38</t>
        </is>
      </c>
      <c r="C3604" s="2" t="inlineStr">
        <is>
          <t>vivo</t>
        </is>
      </c>
      <c r="D3604" s="2" t="inlineStr">
        <is>
          <t>postpaid</t>
        </is>
      </c>
      <c r="E3604" s="2" t="inlineStr">
        <is>
          <t>SP</t>
        </is>
      </c>
      <c r="F3604" s="2" t="inlineStr">
        <is>
          <t>Vivo Pós com Netflix</t>
        </is>
      </c>
      <c r="G3604" s="2" t="inlineStr">
        <is>
          <t>vivo:VIV202600034562</t>
        </is>
      </c>
      <c r="H3604" s="3" t="n">
        <v>180</v>
      </c>
      <c r="I3604" s="3" t="inlineStr"/>
      <c r="J3604" s="2" t="inlineStr"/>
      <c r="K3604" s="2" t="inlineStr"/>
      <c r="L3604" s="4" t="n">
        <v>60</v>
      </c>
      <c r="M3604" s="2" t="inlineStr">
        <is>
          <t>50 GB de franquia 10 GB de bônus</t>
        </is>
      </c>
      <c r="N3604" s="2" t="inlineStr"/>
      <c r="O3604" s="2" t="inlineStr"/>
      <c r="P3604" s="2" t="inlineStr"/>
      <c r="Q3604" s="2" t="inlineStr"/>
      <c r="R3604" s="2" t="inlineStr">
        <is>
          <t>Netflix</t>
        </is>
      </c>
      <c r="S3604" s="2" t="inlineStr"/>
      <c r="T3604" s="2" t="inlineStr">
        <is>
          <t>Assinatura Netflix Padrão inclusa</t>
        </is>
      </c>
      <c r="U3604" s="2" t="inlineStr">
        <is>
          <t>https://vivo.com.br/para-voce/produtos-e-servicos/para-o-celular/planos-pos-pago</t>
        </is>
      </c>
      <c r="V3604" s="2" t="inlineStr">
        <is>
          <t>data/raw/vivo_postpaid_SP.html</t>
        </is>
      </c>
    </row>
    <row r="3605">
      <c r="A3605" s="5" t="inlineStr">
        <is>
          <t>2026-08-25</t>
        </is>
      </c>
      <c r="B3605" s="5" t="inlineStr">
        <is>
          <t>2026-08-25T18:23:38</t>
        </is>
      </c>
      <c r="C3605" s="5" t="inlineStr">
        <is>
          <t>vivo</t>
        </is>
      </c>
      <c r="D3605" s="5" t="inlineStr">
        <is>
          <t>postpaid</t>
        </is>
      </c>
      <c r="E3605" s="5" t="inlineStr">
        <is>
          <t>SP</t>
        </is>
      </c>
      <c r="F3605" s="5" t="inlineStr">
        <is>
          <t>Vivo Pós com Premiere</t>
        </is>
      </c>
      <c r="G3605" s="5" t="inlineStr">
        <is>
          <t>vivo:VIV202600034579</t>
        </is>
      </c>
      <c r="H3605" s="6" t="n">
        <v>180</v>
      </c>
      <c r="I3605" s="6" t="inlineStr"/>
      <c r="J3605" s="5" t="inlineStr"/>
      <c r="K3605" s="5" t="inlineStr"/>
      <c r="L3605" s="7" t="n">
        <v>60</v>
      </c>
      <c r="M3605" s="5" t="inlineStr">
        <is>
          <t>50 GB de franquia 10 GB de bônus</t>
        </is>
      </c>
      <c r="N3605" s="5" t="inlineStr"/>
      <c r="O3605" s="5" t="inlineStr"/>
      <c r="P3605" s="5" t="inlineStr"/>
      <c r="Q3605" s="5" t="inlineStr"/>
      <c r="R3605" s="5" t="inlineStr">
        <is>
          <t>Premiere</t>
        </is>
      </c>
      <c r="S3605" s="5" t="inlineStr"/>
      <c r="T3605" s="5" t="inlineStr">
        <is>
          <t>Assinatura Premiere inclusa</t>
        </is>
      </c>
      <c r="U3605" s="5" t="inlineStr">
        <is>
          <t>https://vivo.com.br/para-voce/produtos-e-servicos/para-o-celular/planos-pos-pago</t>
        </is>
      </c>
      <c r="V3605" s="5" t="inlineStr">
        <is>
          <t>data/raw/vivo_postpaid_SP.html</t>
        </is>
      </c>
    </row>
    <row r="3606">
      <c r="A3606" s="2" t="inlineStr">
        <is>
          <t>2026-08-25</t>
        </is>
      </c>
      <c r="B3606" s="2" t="inlineStr">
        <is>
          <t>2026-08-25T18:23:38</t>
        </is>
      </c>
      <c r="C3606" s="2" t="inlineStr">
        <is>
          <t>vivo</t>
        </is>
      </c>
      <c r="D3606" s="2" t="inlineStr">
        <is>
          <t>postpaid</t>
        </is>
      </c>
      <c r="E3606" s="2" t="inlineStr">
        <is>
          <t>SP</t>
        </is>
      </c>
      <c r="F3606" s="2" t="inlineStr">
        <is>
          <t>Vivo Pós com Spotify</t>
        </is>
      </c>
      <c r="G3606" s="2" t="inlineStr">
        <is>
          <t>vivo:VIV202600034556</t>
        </is>
      </c>
      <c r="H3606" s="3" t="n">
        <v>165</v>
      </c>
      <c r="I3606" s="3" t="inlineStr"/>
      <c r="J3606" s="2" t="inlineStr"/>
      <c r="K3606" s="2" t="inlineStr"/>
      <c r="L3606" s="4" t="n">
        <v>60</v>
      </c>
      <c r="M3606" s="2" t="inlineStr">
        <is>
          <t>50 GB de franquia 10 GB de bônus</t>
        </is>
      </c>
      <c r="N3606" s="2" t="inlineStr"/>
      <c r="O3606" s="2" t="inlineStr"/>
      <c r="P3606" s="2" t="inlineStr"/>
      <c r="Q3606" s="2" t="inlineStr"/>
      <c r="R3606" s="2" t="inlineStr">
        <is>
          <t>Spotify</t>
        </is>
      </c>
      <c r="S3606" s="2" t="inlineStr"/>
      <c r="T3606" s="2" t="inlineStr">
        <is>
          <t>Assinatura Spotify Premium inclusa</t>
        </is>
      </c>
      <c r="U3606" s="2" t="inlineStr">
        <is>
          <t>https://vivo.com.br/para-voce/produtos-e-servicos/para-o-celular/planos-pos-pago</t>
        </is>
      </c>
      <c r="V3606" s="2" t="inlineStr">
        <is>
          <t>data/raw/vivo_postpaid_SP.html</t>
        </is>
      </c>
    </row>
    <row r="3607">
      <c r="A3607" s="5" t="inlineStr">
        <is>
          <t>2026-08-25</t>
        </is>
      </c>
      <c r="B3607" s="5" t="inlineStr">
        <is>
          <t>2026-08-25T18:23:38</t>
        </is>
      </c>
      <c r="C3607" s="5" t="inlineStr">
        <is>
          <t>vivo</t>
        </is>
      </c>
      <c r="D3607" s="5" t="inlineStr">
        <is>
          <t>postpaid</t>
        </is>
      </c>
      <c r="E3607" s="5" t="inlineStr">
        <is>
          <t>SP</t>
        </is>
      </c>
      <c r="F3607" s="5" t="inlineStr">
        <is>
          <t>Vivo Pós com Travel</t>
        </is>
      </c>
      <c r="G3607" s="5" t="inlineStr">
        <is>
          <t>vivo:VIV202600034573</t>
        </is>
      </c>
      <c r="H3607" s="6" t="n">
        <v>215</v>
      </c>
      <c r="I3607" s="6" t="inlineStr"/>
      <c r="J3607" s="5" t="inlineStr"/>
      <c r="K3607" s="5" t="inlineStr"/>
      <c r="L3607" s="7" t="n">
        <v>70</v>
      </c>
      <c r="M3607" s="5" t="inlineStr">
        <is>
          <t>60 GB de franquia 10 GB de bônus</t>
        </is>
      </c>
      <c r="N3607" s="5" t="inlineStr"/>
      <c r="O3607" s="5" t="inlineStr"/>
      <c r="P3607" s="5" t="inlineStr"/>
      <c r="Q3607" s="5" t="inlineStr"/>
      <c r="R3607" s="5" t="inlineStr"/>
      <c r="S3607" s="5" t="inlineStr"/>
      <c r="T3607" s="5" t="inlineStr">
        <is>
          <t>2 meses de YouTube sem consumo no plano</t>
        </is>
      </c>
      <c r="U3607" s="5" t="inlineStr">
        <is>
          <t>https://vivo.com.br/para-voce/produtos-e-servicos/para-o-celular/planos-pos-pago</t>
        </is>
      </c>
      <c r="V3607" s="5" t="inlineStr">
        <is>
          <t>data/raw/vivo_postpaid_SP.html</t>
        </is>
      </c>
    </row>
    <row r="3608">
      <c r="A3608" s="2" t="inlineStr">
        <is>
          <t>2026-08-25</t>
        </is>
      </c>
      <c r="B3608" s="2" t="inlineStr">
        <is>
          <t>2026-08-25T18:23:38</t>
        </is>
      </c>
      <c r="C3608" s="2" t="inlineStr">
        <is>
          <t>vivo</t>
        </is>
      </c>
      <c r="D3608" s="2" t="inlineStr">
        <is>
          <t>prepaid</t>
        </is>
      </c>
      <c r="E3608" s="2" t="inlineStr">
        <is>
          <t>SP</t>
        </is>
      </c>
      <c r="F3608" s="2" t="inlineStr">
        <is>
          <t>Vivo Pré</t>
        </is>
      </c>
      <c r="G3608" s="2" t="inlineStr">
        <is>
          <t>vivo:VIV202600029370-30d</t>
        </is>
      </c>
      <c r="H3608" s="3" t="n">
        <v>30</v>
      </c>
      <c r="I3608" s="3" t="inlineStr"/>
      <c r="J3608" s="2" t="inlineStr"/>
      <c r="K3608" s="2" t="inlineStr"/>
      <c r="L3608" s="4" t="n">
        <v>25</v>
      </c>
      <c r="M3608" s="2" t="inlineStr">
        <is>
          <t>15 GB para navegar como quiser 5 GB de bônus 5 GB para navegar no Youtube</t>
        </is>
      </c>
      <c r="N3608" s="2" t="n">
        <v>30</v>
      </c>
      <c r="O3608" s="2" t="inlineStr"/>
      <c r="P3608" s="2" t="inlineStr"/>
      <c r="Q3608" s="2" t="inlineStr"/>
      <c r="R3608" s="2" t="inlineStr"/>
      <c r="S3608" s="2" t="inlineStr"/>
      <c r="T3608" s="2" t="inlineStr"/>
      <c r="U3608" s="2" t="inlineStr">
        <is>
          <t>https://vivo.com.br/para-voce/produtos-e-servicos/para-o-celular/pre-pago/vivo-pre</t>
        </is>
      </c>
      <c r="V3608" s="2" t="inlineStr">
        <is>
          <t>data/raw/vivo_prepaid_SP.html</t>
        </is>
      </c>
    </row>
    <row r="3609">
      <c r="A3609" s="5" t="inlineStr">
        <is>
          <t>2026-08-25</t>
        </is>
      </c>
      <c r="B3609" s="5" t="inlineStr">
        <is>
          <t>2026-08-25T18:23:38</t>
        </is>
      </c>
      <c r="C3609" s="5" t="inlineStr">
        <is>
          <t>vivo</t>
        </is>
      </c>
      <c r="D3609" s="5" t="inlineStr">
        <is>
          <t>prepaid</t>
        </is>
      </c>
      <c r="E3609" s="5" t="inlineStr">
        <is>
          <t>SP</t>
        </is>
      </c>
      <c r="F3609" s="5" t="inlineStr">
        <is>
          <t>Vivo Pré</t>
        </is>
      </c>
      <c r="G3609" s="5" t="inlineStr">
        <is>
          <t>vivo:VIV202600029370-22d</t>
        </is>
      </c>
      <c r="H3609" s="6" t="n">
        <v>25</v>
      </c>
      <c r="I3609" s="6" t="inlineStr"/>
      <c r="J3609" s="5" t="inlineStr"/>
      <c r="K3609" s="5" t="inlineStr"/>
      <c r="L3609" s="7" t="n">
        <v>9</v>
      </c>
      <c r="M3609" s="5" t="inlineStr">
        <is>
          <t>6 GB para navegar como quiser 3 GB para navegar no YouTube</t>
        </is>
      </c>
      <c r="N3609" s="5" t="n">
        <v>22</v>
      </c>
      <c r="O3609" s="5" t="inlineStr"/>
      <c r="P3609" s="5" t="inlineStr"/>
      <c r="Q3609" s="5" t="inlineStr"/>
      <c r="R3609" s="5" t="inlineStr"/>
      <c r="S3609" s="5" t="inlineStr"/>
      <c r="T3609" s="5" t="inlineStr"/>
      <c r="U3609" s="5" t="inlineStr">
        <is>
          <t>https://vivo.com.br/para-voce/produtos-e-servicos/para-o-celular/pre-pago/vivo-pre</t>
        </is>
      </c>
      <c r="V3609" s="5" t="inlineStr">
        <is>
          <t>data/raw/vivo_prepaid_SP.html</t>
        </is>
      </c>
    </row>
    <row r="3610">
      <c r="A3610" s="2" t="inlineStr">
        <is>
          <t>2026-08-25</t>
        </is>
      </c>
      <c r="B3610" s="2" t="inlineStr">
        <is>
          <t>2026-08-25T18:23:38</t>
        </is>
      </c>
      <c r="C3610" s="2" t="inlineStr">
        <is>
          <t>vivo</t>
        </is>
      </c>
      <c r="D3610" s="2" t="inlineStr">
        <is>
          <t>prepaid</t>
        </is>
      </c>
      <c r="E3610" s="2" t="inlineStr">
        <is>
          <t>SP</t>
        </is>
      </c>
      <c r="F3610" s="2" t="inlineStr">
        <is>
          <t>Vivo Pré</t>
        </is>
      </c>
      <c r="G3610" s="2" t="inlineStr">
        <is>
          <t>vivo:VIV202600029370-17d</t>
        </is>
      </c>
      <c r="H3610" s="3" t="n">
        <v>20</v>
      </c>
      <c r="I3610" s="3" t="inlineStr"/>
      <c r="J3610" s="2" t="inlineStr"/>
      <c r="K3610" s="2" t="inlineStr"/>
      <c r="L3610" s="4" t="n">
        <v>5</v>
      </c>
      <c r="M3610" s="2" t="inlineStr">
        <is>
          <t>5 GB para navegar como quiser</t>
        </is>
      </c>
      <c r="N3610" s="2" t="n">
        <v>17</v>
      </c>
      <c r="O3610" s="2" t="inlineStr"/>
      <c r="P3610" s="2" t="inlineStr"/>
      <c r="Q3610" s="2" t="inlineStr"/>
      <c r="R3610" s="2" t="inlineStr"/>
      <c r="S3610" s="2" t="inlineStr"/>
      <c r="T3610" s="2" t="inlineStr"/>
      <c r="U3610" s="2" t="inlineStr">
        <is>
          <t>https://vivo.com.br/para-voce/produtos-e-servicos/para-o-celular/pre-pago/vivo-pre</t>
        </is>
      </c>
      <c r="V3610" s="2" t="inlineStr">
        <is>
          <t>data/raw/vivo_prepaid_SP.html</t>
        </is>
      </c>
    </row>
    <row r="3611">
      <c r="A3611" s="5" t="inlineStr">
        <is>
          <t>2026-08-25</t>
        </is>
      </c>
      <c r="B3611" s="5" t="inlineStr">
        <is>
          <t>2026-08-25T18:23:38</t>
        </is>
      </c>
      <c r="C3611" s="5" t="inlineStr">
        <is>
          <t>vivo</t>
        </is>
      </c>
      <c r="D3611" s="5" t="inlineStr">
        <is>
          <t>prepaid</t>
        </is>
      </c>
      <c r="E3611" s="5" t="inlineStr">
        <is>
          <t>SP</t>
        </is>
      </c>
      <c r="F3611" s="5" t="inlineStr">
        <is>
          <t>Vivo Pré</t>
        </is>
      </c>
      <c r="G3611" s="5" t="inlineStr">
        <is>
          <t>vivo:VIV202600029370-15d</t>
        </is>
      </c>
      <c r="H3611" s="6" t="n">
        <v>17</v>
      </c>
      <c r="I3611" s="6" t="inlineStr"/>
      <c r="J3611" s="5" t="inlineStr"/>
      <c r="K3611" s="5" t="inlineStr"/>
      <c r="L3611" s="7" t="n">
        <v>4</v>
      </c>
      <c r="M3611" s="5" t="inlineStr">
        <is>
          <t>4 GB para navegar como quiser</t>
        </is>
      </c>
      <c r="N3611" s="5" t="n">
        <v>15</v>
      </c>
      <c r="O3611" s="5" t="inlineStr"/>
      <c r="P3611" s="5" t="inlineStr"/>
      <c r="Q3611" s="5" t="inlineStr"/>
      <c r="R3611" s="5" t="inlineStr"/>
      <c r="S3611" s="5" t="inlineStr"/>
      <c r="T3611" s="5" t="inlineStr"/>
      <c r="U3611" s="5" t="inlineStr">
        <is>
          <t>https://vivo.com.br/para-voce/produtos-e-servicos/para-o-celular/pre-pago/vivo-pre</t>
        </is>
      </c>
      <c r="V3611" s="5" t="inlineStr">
        <is>
          <t>data/raw/vivo_prepaid_SP.html</t>
        </is>
      </c>
    </row>
    <row r="3612">
      <c r="A3612" s="2" t="inlineStr">
        <is>
          <t>2026-08-26</t>
        </is>
      </c>
      <c r="B3612" s="2" t="inlineStr">
        <is>
          <t>2026-08-26T21:24:35</t>
        </is>
      </c>
      <c r="C3612" s="2" t="inlineStr">
        <is>
          <t>claro</t>
        </is>
      </c>
      <c r="D3612" s="2" t="inlineStr">
        <is>
          <t>control</t>
        </is>
      </c>
      <c r="E3612" s="2" t="inlineStr">
        <is>
          <t>SP</t>
        </is>
      </c>
      <c r="F3612" s="2" t="inlineStr">
        <is>
          <t>Controle 25GB</t>
        </is>
      </c>
      <c r="G3612" s="2" t="inlineStr">
        <is>
          <t>claro:plano-controle-25gb</t>
        </is>
      </c>
      <c r="H3612" s="3" t="n">
        <v>59.9</v>
      </c>
      <c r="I3612" s="3" t="n">
        <v>54.9</v>
      </c>
      <c r="J3612" s="2" t="inlineStr">
        <is>
          <t>De R$ 59,90 Por:</t>
        </is>
      </c>
      <c r="K3612" s="2" t="inlineStr"/>
      <c r="L3612" s="4" t="n">
        <v>25</v>
      </c>
      <c r="M3612" s="2" t="inlineStr"/>
      <c r="N3612" s="2" t="inlineStr"/>
      <c r="O3612" s="2" t="inlineStr">
        <is>
          <t>WhatsApp</t>
        </is>
      </c>
      <c r="P3612" s="2" t="inlineStr"/>
      <c r="Q3612" s="2" t="inlineStr"/>
      <c r="R3612" s="2" t="inlineStr"/>
      <c r="S3612" s="2" t="inlineStr"/>
      <c r="T3612" s="2" t="inlineStr">
        <is>
          <t>Para uso livre; Para redes sociais e vídeos; Bônus exclusivo; Aproveite na sua franquia; WhatsApp e ligações ilimitadas</t>
        </is>
      </c>
      <c r="U3612" s="2" t="inlineStr">
        <is>
          <t>https://www.claro.com.br/celular/controle</t>
        </is>
      </c>
      <c r="V3612" s="2" t="inlineStr">
        <is>
          <t>data/raw/claro_control_SP.json</t>
        </is>
      </c>
    </row>
    <row r="3613">
      <c r="A3613" s="5" t="inlineStr">
        <is>
          <t>2026-08-26</t>
        </is>
      </c>
      <c r="B3613" s="5" t="inlineStr">
        <is>
          <t>2026-08-26T21:24:35</t>
        </is>
      </c>
      <c r="C3613" s="5" t="inlineStr">
        <is>
          <t>claro</t>
        </is>
      </c>
      <c r="D3613" s="5" t="inlineStr">
        <is>
          <t>control</t>
        </is>
      </c>
      <c r="E3613" s="5" t="inlineStr">
        <is>
          <t>SP</t>
        </is>
      </c>
      <c r="F3613" s="5" t="inlineStr">
        <is>
          <t>Controle 30GB</t>
        </is>
      </c>
      <c r="G3613" s="5" t="inlineStr">
        <is>
          <t>claro:plano-controle-30gb</t>
        </is>
      </c>
      <c r="H3613" s="6" t="n">
        <v>69.90000000000001</v>
      </c>
      <c r="I3613" s="6" t="inlineStr"/>
      <c r="J3613" s="5" t="inlineStr"/>
      <c r="K3613" s="5" t="inlineStr"/>
      <c r="L3613" s="7" t="n">
        <v>30</v>
      </c>
      <c r="M3613" s="5" t="inlineStr"/>
      <c r="N3613" s="5" t="inlineStr"/>
      <c r="O3613" s="5" t="inlineStr">
        <is>
          <t>WhatsApp</t>
        </is>
      </c>
      <c r="P3613" s="5" t="inlineStr"/>
      <c r="Q3613" s="5" t="inlineStr"/>
      <c r="R3613" s="5" t="inlineStr"/>
      <c r="S3613" s="5" t="inlineStr"/>
      <c r="T3613" s="5" t="inlineStr">
        <is>
          <t>Para uso livre; Bônus para uso livre; Bônus para redes sociais e apps; Assinatura Amazon Prime por 3 meses; Redes sociais e apps; WhatsApp ilimitado</t>
        </is>
      </c>
      <c r="U3613" s="5" t="inlineStr">
        <is>
          <t>https://www.claro.com.br/celular/controle</t>
        </is>
      </c>
      <c r="V3613" s="5" t="inlineStr">
        <is>
          <t>data/raw/claro_control_SP.json</t>
        </is>
      </c>
    </row>
    <row r="3614">
      <c r="A3614" s="2" t="inlineStr">
        <is>
          <t>2026-08-26</t>
        </is>
      </c>
      <c r="B3614" s="2" t="inlineStr">
        <is>
          <t>2026-08-26T21:24:35</t>
        </is>
      </c>
      <c r="C3614" s="2" t="inlineStr">
        <is>
          <t>claro</t>
        </is>
      </c>
      <c r="D3614" s="2" t="inlineStr">
        <is>
          <t>control</t>
        </is>
      </c>
      <c r="E3614" s="2" t="inlineStr">
        <is>
          <t>SP</t>
        </is>
      </c>
      <c r="F3614" s="2" t="inlineStr">
        <is>
          <t>Controle 30GB</t>
        </is>
      </c>
      <c r="G3614" s="2" t="inlineStr">
        <is>
          <t>claro:plano-controle-30gb-gaming</t>
        </is>
      </c>
      <c r="H3614" s="3" t="n">
        <v>99.90000000000001</v>
      </c>
      <c r="I3614" s="3" t="inlineStr"/>
      <c r="J3614" s="2" t="inlineStr"/>
      <c r="K3614" s="2" t="inlineStr"/>
      <c r="L3614" s="4" t="n">
        <v>30</v>
      </c>
      <c r="M3614" s="2" t="inlineStr"/>
      <c r="N3614" s="2" t="inlineStr"/>
      <c r="O3614" s="2" t="inlineStr">
        <is>
          <t>WhatsApp</t>
        </is>
      </c>
      <c r="P3614" s="2" t="inlineStr"/>
      <c r="Q3614" s="2" t="inlineStr"/>
      <c r="R3614" s="2" t="inlineStr"/>
      <c r="S3614" s="2" t="inlineStr"/>
      <c r="T3614" s="2" t="inlineStr">
        <is>
          <t>Para uso livre; Bônus para redes sociais e apps; Bônus uso livre; Assinatura Amazon Prime por 3 meses; Redes sociais e apps; WhatsApp ilimitado</t>
        </is>
      </c>
      <c r="U3614" s="2" t="inlineStr">
        <is>
          <t>https://www.claro.com.br/celular/controle</t>
        </is>
      </c>
      <c r="V3614" s="2" t="inlineStr">
        <is>
          <t>data/raw/claro_control_SP.json</t>
        </is>
      </c>
    </row>
    <row r="3615">
      <c r="A3615" s="5" t="inlineStr">
        <is>
          <t>2026-08-26</t>
        </is>
      </c>
      <c r="B3615" s="5" t="inlineStr">
        <is>
          <t>2026-08-26T21:24:35</t>
        </is>
      </c>
      <c r="C3615" s="5" t="inlineStr">
        <is>
          <t>claro</t>
        </is>
      </c>
      <c r="D3615" s="5" t="inlineStr">
        <is>
          <t>flex</t>
        </is>
      </c>
      <c r="E3615" s="5" t="inlineStr">
        <is>
          <t>SP</t>
        </is>
      </c>
      <c r="F3615" s="5" t="inlineStr">
        <is>
          <t>Flex 15GB</t>
        </is>
      </c>
      <c r="G3615" s="5" t="inlineStr">
        <is>
          <t>claro:plano-flex-15gb</t>
        </is>
      </c>
      <c r="H3615" s="6" t="n">
        <v>44.9</v>
      </c>
      <c r="I3615" s="6" t="inlineStr"/>
      <c r="J3615" s="5" t="inlineStr"/>
      <c r="K3615" s="5" t="inlineStr"/>
      <c r="L3615" s="7" t="n">
        <v>15</v>
      </c>
      <c r="M3615" s="5" t="inlineStr"/>
      <c r="N3615" s="5" t="inlineStr"/>
      <c r="O3615" s="5" t="inlineStr">
        <is>
          <t>WhatsApp</t>
        </is>
      </c>
      <c r="P3615" s="5" t="inlineStr"/>
      <c r="Q3615" s="5" t="inlineStr"/>
      <c r="R3615" s="5" t="inlineStr"/>
      <c r="S3615" s="5" t="inlineStr"/>
      <c r="T3615" s="5" t="inlineStr">
        <is>
          <t>Para uso livre; Bônus Pais para uso livre; Para redes sociais e apps; Bônus extra nos apps; WhatsApp ilimitado</t>
        </is>
      </c>
      <c r="U3615" s="5" t="inlineStr">
        <is>
          <t>https://www.claro.com.br/celular/flex</t>
        </is>
      </c>
      <c r="V3615" s="5" t="inlineStr">
        <is>
          <t>data/raw/claro_flex_SP.json</t>
        </is>
      </c>
    </row>
    <row r="3616">
      <c r="A3616" s="2" t="inlineStr">
        <is>
          <t>2026-08-26</t>
        </is>
      </c>
      <c r="B3616" s="2" t="inlineStr">
        <is>
          <t>2026-08-26T21:24:35</t>
        </is>
      </c>
      <c r="C3616" s="2" t="inlineStr">
        <is>
          <t>claro</t>
        </is>
      </c>
      <c r="D3616" s="2" t="inlineStr">
        <is>
          <t>flex</t>
        </is>
      </c>
      <c r="E3616" s="2" t="inlineStr">
        <is>
          <t>SP</t>
        </is>
      </c>
      <c r="F3616" s="2" t="inlineStr">
        <is>
          <t>Flex 20GB</t>
        </is>
      </c>
      <c r="G3616" s="2" t="inlineStr">
        <is>
          <t>claro:plano-flex-20gb</t>
        </is>
      </c>
      <c r="H3616" s="3" t="n">
        <v>59.9</v>
      </c>
      <c r="I3616" s="3" t="inlineStr"/>
      <c r="J3616" s="2" t="inlineStr"/>
      <c r="K3616" s="2" t="inlineStr"/>
      <c r="L3616" s="4" t="n">
        <v>20</v>
      </c>
      <c r="M3616" s="2" t="inlineStr"/>
      <c r="N3616" s="2" t="inlineStr"/>
      <c r="O3616" s="2" t="inlineStr">
        <is>
          <t>WhatsApp</t>
        </is>
      </c>
      <c r="P3616" s="2" t="inlineStr"/>
      <c r="Q3616" s="2" t="inlineStr"/>
      <c r="R3616" s="2" t="inlineStr"/>
      <c r="S3616" s="2" t="inlineStr"/>
      <c r="T3616" s="2" t="inlineStr">
        <is>
          <t>Para uso livre; Bônus Pais para uso livre; Para redes sociais e apps; Bônus extra nos apps; WhatsApp ilimitado</t>
        </is>
      </c>
      <c r="U3616" s="2" t="inlineStr">
        <is>
          <t>https://www.claro.com.br/celular/flex</t>
        </is>
      </c>
      <c r="V3616" s="2" t="inlineStr">
        <is>
          <t>data/raw/claro_flex_SP.json</t>
        </is>
      </c>
    </row>
    <row r="3617">
      <c r="A3617" s="5" t="inlineStr">
        <is>
          <t>2026-08-26</t>
        </is>
      </c>
      <c r="B3617" s="5" t="inlineStr">
        <is>
          <t>2026-08-26T21:24:35</t>
        </is>
      </c>
      <c r="C3617" s="5" t="inlineStr">
        <is>
          <t>claro</t>
        </is>
      </c>
      <c r="D3617" s="5" t="inlineStr">
        <is>
          <t>flex</t>
        </is>
      </c>
      <c r="E3617" s="5" t="inlineStr">
        <is>
          <t>SP</t>
        </is>
      </c>
      <c r="F3617" s="5" t="inlineStr">
        <is>
          <t>Flex 30GB</t>
        </is>
      </c>
      <c r="G3617" s="5" t="inlineStr">
        <is>
          <t>claro:plano-flex-30gb</t>
        </is>
      </c>
      <c r="H3617" s="6" t="n">
        <v>69.90000000000001</v>
      </c>
      <c r="I3617" s="6" t="inlineStr"/>
      <c r="J3617" s="5" t="inlineStr"/>
      <c r="K3617" s="5" t="inlineStr"/>
      <c r="L3617" s="7" t="n">
        <v>30</v>
      </c>
      <c r="M3617" s="5" t="inlineStr"/>
      <c r="N3617" s="5" t="inlineStr"/>
      <c r="O3617" s="5" t="inlineStr">
        <is>
          <t>WhatsApp</t>
        </is>
      </c>
      <c r="P3617" s="5" t="inlineStr"/>
      <c r="Q3617" s="5" t="inlineStr"/>
      <c r="R3617" s="5" t="inlineStr"/>
      <c r="S3617" s="5" t="inlineStr"/>
      <c r="T3617" s="5" t="inlineStr">
        <is>
          <t>Para uso livre; Bônus Pais para uso livre; Para redes sociais e apps; Bônus extra nos apps; WhatsApp ilimitado; Assinatura Claro musica inclusa</t>
        </is>
      </c>
      <c r="U3617" s="5" t="inlineStr">
        <is>
          <t>https://www.claro.com.br/celular/flex</t>
        </is>
      </c>
      <c r="V3617" s="5" t="inlineStr">
        <is>
          <t>data/raw/claro_flex_SP.json</t>
        </is>
      </c>
    </row>
    <row r="3618">
      <c r="A3618" s="2" t="inlineStr">
        <is>
          <t>2026-08-26</t>
        </is>
      </c>
      <c r="B3618" s="2" t="inlineStr">
        <is>
          <t>2026-08-26T21:24:35</t>
        </is>
      </c>
      <c r="C3618" s="2" t="inlineStr">
        <is>
          <t>claro</t>
        </is>
      </c>
      <c r="D3618" s="2" t="inlineStr">
        <is>
          <t>flex</t>
        </is>
      </c>
      <c r="E3618" s="2" t="inlineStr">
        <is>
          <t>SP</t>
        </is>
      </c>
      <c r="F3618" s="2" t="inlineStr">
        <is>
          <t>Flex 40GB</t>
        </is>
      </c>
      <c r="G3618" s="2" t="inlineStr">
        <is>
          <t>claro:plano-flex-40gb</t>
        </is>
      </c>
      <c r="H3618" s="3" t="n">
        <v>119.9</v>
      </c>
      <c r="I3618" s="3" t="inlineStr"/>
      <c r="J3618" s="2" t="inlineStr"/>
      <c r="K3618" s="2" t="inlineStr"/>
      <c r="L3618" s="4" t="n">
        <v>40</v>
      </c>
      <c r="M3618" s="2" t="inlineStr"/>
      <c r="N3618" s="2" t="inlineStr"/>
      <c r="O3618" s="2" t="inlineStr">
        <is>
          <t>WhatsApp</t>
        </is>
      </c>
      <c r="P3618" s="2" t="inlineStr"/>
      <c r="Q3618" s="2" t="inlineStr"/>
      <c r="R3618" s="2" t="inlineStr"/>
      <c r="S3618" s="2" t="inlineStr"/>
      <c r="T3618" s="2" t="inlineStr">
        <is>
          <t>Para uso livre; Para redes sociais e apps; Bônus extra nos apps; WhatsApp ilimitado; Assinatura Claro musica inclusa</t>
        </is>
      </c>
      <c r="U3618" s="2" t="inlineStr">
        <is>
          <t>https://www.claro.com.br/celular/flex</t>
        </is>
      </c>
      <c r="V3618" s="2" t="inlineStr">
        <is>
          <t>data/raw/claro_flex_SP.json</t>
        </is>
      </c>
    </row>
    <row r="3619">
      <c r="A3619" s="5" t="inlineStr">
        <is>
          <t>2026-08-26</t>
        </is>
      </c>
      <c r="B3619" s="5" t="inlineStr">
        <is>
          <t>2026-08-26T21:24:35</t>
        </is>
      </c>
      <c r="C3619" s="5" t="inlineStr">
        <is>
          <t>claro</t>
        </is>
      </c>
      <c r="D3619" s="5" t="inlineStr">
        <is>
          <t>postpaid</t>
        </is>
      </c>
      <c r="E3619" s="5" t="inlineStr">
        <is>
          <t>SP</t>
        </is>
      </c>
      <c r="F3619" s="5" t="inlineStr">
        <is>
          <t>Pós 100GB</t>
        </is>
      </c>
      <c r="G3619" s="5" t="inlineStr">
        <is>
          <t>claro:plano-pos-100gb</t>
        </is>
      </c>
      <c r="H3619" s="6" t="n">
        <v>179.9</v>
      </c>
      <c r="I3619" s="6" t="inlineStr"/>
      <c r="J3619" s="5" t="inlineStr"/>
      <c r="K3619" s="5" t="inlineStr"/>
      <c r="L3619" s="7" t="n">
        <v>100</v>
      </c>
      <c r="M3619" s="5" t="inlineStr"/>
      <c r="N3619" s="5" t="inlineStr"/>
      <c r="O3619" s="5" t="inlineStr">
        <is>
          <t>WhatsApp</t>
        </is>
      </c>
      <c r="P3619" s="5" t="inlineStr"/>
      <c r="Q3619" s="5" t="inlineStr"/>
      <c r="R3619" s="5" t="inlineStr"/>
      <c r="S3619" s="5" t="inlineStr"/>
      <c r="T3619" s="5" t="inlineStr">
        <is>
          <t>Armazenamento na nuvem:; Google One ou iCloud+; WhatsApp ilimitado; Assinatura Amazon Prime por 3 meses; Roaming: Passaporte Américas; Claro Sync: Smartwatch conectado</t>
        </is>
      </c>
      <c r="U3619" s="5" t="inlineStr">
        <is>
          <t>https://www.claro.com.br/celular/pos</t>
        </is>
      </c>
      <c r="V3619" s="5" t="inlineStr">
        <is>
          <t>data/raw/claro_postpaid_SP.json</t>
        </is>
      </c>
    </row>
    <row r="3620">
      <c r="A3620" s="2" t="inlineStr">
        <is>
          <t>2026-08-26</t>
        </is>
      </c>
      <c r="B3620" s="2" t="inlineStr">
        <is>
          <t>2026-08-26T21:24:35</t>
        </is>
      </c>
      <c r="C3620" s="2" t="inlineStr">
        <is>
          <t>claro</t>
        </is>
      </c>
      <c r="D3620" s="2" t="inlineStr">
        <is>
          <t>postpaid</t>
        </is>
      </c>
      <c r="E3620" s="2" t="inlineStr">
        <is>
          <t>SP</t>
        </is>
      </c>
      <c r="F3620" s="2" t="inlineStr">
        <is>
          <t>Pós 150GB</t>
        </is>
      </c>
      <c r="G3620" s="2" t="inlineStr">
        <is>
          <t>claro:plano-pos-150gb</t>
        </is>
      </c>
      <c r="H3620" s="3" t="n">
        <v>239.9</v>
      </c>
      <c r="I3620" s="3" t="inlineStr"/>
      <c r="J3620" s="2" t="inlineStr"/>
      <c r="K3620" s="2" t="inlineStr"/>
      <c r="L3620" s="4" t="n">
        <v>150</v>
      </c>
      <c r="M3620" s="2" t="inlineStr"/>
      <c r="N3620" s="2" t="inlineStr"/>
      <c r="O3620" s="2" t="inlineStr">
        <is>
          <t>WhatsApp</t>
        </is>
      </c>
      <c r="P3620" s="2" t="inlineStr"/>
      <c r="Q3620" s="2" t="inlineStr"/>
      <c r="R3620" s="2" t="inlineStr"/>
      <c r="S3620" s="2" t="inlineStr"/>
      <c r="T362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20" s="2" t="inlineStr">
        <is>
          <t>https://www.claro.com.br/celular/pos</t>
        </is>
      </c>
      <c r="V3620" s="2" t="inlineStr">
        <is>
          <t>data/raw/claro_postpaid_SP.json</t>
        </is>
      </c>
    </row>
    <row r="3621">
      <c r="A3621" s="5" t="inlineStr">
        <is>
          <t>2026-08-26</t>
        </is>
      </c>
      <c r="B3621" s="5" t="inlineStr">
        <is>
          <t>2026-08-26T21:24:35</t>
        </is>
      </c>
      <c r="C3621" s="5" t="inlineStr">
        <is>
          <t>claro</t>
        </is>
      </c>
      <c r="D3621" s="5" t="inlineStr">
        <is>
          <t>postpaid</t>
        </is>
      </c>
      <c r="E3621" s="5" t="inlineStr">
        <is>
          <t>SP</t>
        </is>
      </c>
      <c r="F3621" s="5" t="inlineStr">
        <is>
          <t>Pós 200GB</t>
        </is>
      </c>
      <c r="G3621" s="5" t="inlineStr">
        <is>
          <t>claro:plano-pos-200gb</t>
        </is>
      </c>
      <c r="H3621" s="6" t="n">
        <v>339.9</v>
      </c>
      <c r="I3621" s="6" t="inlineStr"/>
      <c r="J3621" s="5" t="inlineStr"/>
      <c r="K3621" s="5" t="inlineStr"/>
      <c r="L3621" s="7" t="n">
        <v>200</v>
      </c>
      <c r="M3621" s="5" t="inlineStr"/>
      <c r="N3621" s="5" t="inlineStr"/>
      <c r="O3621" s="5" t="inlineStr">
        <is>
          <t>WhatsApp</t>
        </is>
      </c>
      <c r="P3621" s="5" t="inlineStr"/>
      <c r="Q3621" s="5" t="inlineStr"/>
      <c r="R3621" s="5" t="inlineStr"/>
      <c r="S3621" s="5" t="inlineStr"/>
      <c r="T3621" s="5" t="inlineStr">
        <is>
          <t>Armazenamento na nuvem:; Google One (AI Plus) ou iCloud+; WhatsApp ilimitado; Assinatura Amazon Prime por 3 meses; Roaming: Passaporte Mundo; Claro Sync: Smartwatch conectado</t>
        </is>
      </c>
      <c r="U3621" s="5" t="inlineStr">
        <is>
          <t>https://www.claro.com.br/celular/pos</t>
        </is>
      </c>
      <c r="V3621" s="5" t="inlineStr">
        <is>
          <t>data/raw/claro_postpaid_SP.json</t>
        </is>
      </c>
    </row>
    <row r="3622">
      <c r="A3622" s="2" t="inlineStr">
        <is>
          <t>2026-08-26</t>
        </is>
      </c>
      <c r="B3622" s="2" t="inlineStr">
        <is>
          <t>2026-08-26T21:24:35</t>
        </is>
      </c>
      <c r="C3622" s="2" t="inlineStr">
        <is>
          <t>claro</t>
        </is>
      </c>
      <c r="D3622" s="2" t="inlineStr">
        <is>
          <t>postpaid</t>
        </is>
      </c>
      <c r="E3622" s="2" t="inlineStr">
        <is>
          <t>SP</t>
        </is>
      </c>
      <c r="F3622" s="2" t="inlineStr">
        <is>
          <t>Pós 50GB com GeForce NOW</t>
        </is>
      </c>
      <c r="G3622" s="2" t="inlineStr">
        <is>
          <t>claro:plano-pos-60gb-geforce</t>
        </is>
      </c>
      <c r="H3622" s="3" t="n">
        <v>164.9</v>
      </c>
      <c r="I3622" s="3" t="inlineStr"/>
      <c r="J3622" s="2" t="inlineStr"/>
      <c r="K3622" s="2" t="inlineStr"/>
      <c r="L3622" s="4" t="n">
        <v>50</v>
      </c>
      <c r="M3622" s="2" t="inlineStr"/>
      <c r="N3622" s="2" t="inlineStr"/>
      <c r="O3622" s="2" t="inlineStr">
        <is>
          <t>WhatsApp</t>
        </is>
      </c>
      <c r="P3622" s="2" t="inlineStr"/>
      <c r="Q3622" s="2" t="inlineStr"/>
      <c r="R3622" s="2" t="inlineStr"/>
      <c r="S3622" s="2" t="inlineStr"/>
      <c r="T362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22" s="2" t="inlineStr">
        <is>
          <t>https://www.claro.com.br/celular/pos</t>
        </is>
      </c>
      <c r="V3622" s="2" t="inlineStr">
        <is>
          <t>data/raw/claro_postpaid_SP.json</t>
        </is>
      </c>
    </row>
    <row r="3623">
      <c r="A3623" s="5" t="inlineStr">
        <is>
          <t>2026-08-26</t>
        </is>
      </c>
      <c r="B3623" s="5" t="inlineStr">
        <is>
          <t>2026-08-26T21:24:35</t>
        </is>
      </c>
      <c r="C3623" s="5" t="inlineStr">
        <is>
          <t>claro</t>
        </is>
      </c>
      <c r="D3623" s="5" t="inlineStr">
        <is>
          <t>postpaid</t>
        </is>
      </c>
      <c r="E3623" s="5" t="inlineStr">
        <is>
          <t>SP</t>
        </is>
      </c>
      <c r="F3623" s="5" t="inlineStr">
        <is>
          <t>Pós 60GB</t>
        </is>
      </c>
      <c r="G3623" s="5" t="inlineStr">
        <is>
          <t>claro:plano-pos-60gb</t>
        </is>
      </c>
      <c r="H3623" s="6" t="n">
        <v>124.9</v>
      </c>
      <c r="I3623" s="6" t="inlineStr"/>
      <c r="J3623" s="5" t="inlineStr"/>
      <c r="K3623" s="5" t="inlineStr"/>
      <c r="L3623" s="7" t="n">
        <v>60</v>
      </c>
      <c r="M3623" s="5" t="inlineStr"/>
      <c r="N3623" s="5" t="inlineStr"/>
      <c r="O3623" s="5" t="inlineStr">
        <is>
          <t>WhatsApp</t>
        </is>
      </c>
      <c r="P3623" s="5" t="inlineStr"/>
      <c r="Q3623" s="5" t="inlineStr"/>
      <c r="R3623" s="5" t="inlineStr"/>
      <c r="S3623" s="5" t="inlineStr"/>
      <c r="T3623" s="5" t="inlineStr">
        <is>
          <t>Armazenamento na nuvem:; Google One ou iCloud+; WhatsApp ilimitado; Assinatura Amazon Prime por 3 meses; Roaming: Passaporte Américas; Claro Sync: Smartwatch conectado</t>
        </is>
      </c>
      <c r="U3623" s="5" t="inlineStr">
        <is>
          <t>https://www.claro.com.br/celular/pos</t>
        </is>
      </c>
      <c r="V3623" s="5" t="inlineStr">
        <is>
          <t>data/raw/claro_postpaid_SP.json</t>
        </is>
      </c>
    </row>
    <row r="3624">
      <c r="A3624" s="2" t="inlineStr">
        <is>
          <t>2026-08-26</t>
        </is>
      </c>
      <c r="B3624" s="2" t="inlineStr">
        <is>
          <t>2026-08-26T21:24:35</t>
        </is>
      </c>
      <c r="C3624" s="2" t="inlineStr">
        <is>
          <t>claro</t>
        </is>
      </c>
      <c r="D3624" s="2" t="inlineStr">
        <is>
          <t>prepaid</t>
        </is>
      </c>
      <c r="E3624" s="2" t="inlineStr">
        <is>
          <t>SP</t>
        </is>
      </c>
      <c r="F3624" s="2" t="inlineStr">
        <is>
          <t>Prezão 10GB (25 dias)</t>
        </is>
      </c>
      <c r="G3624" s="2" t="inlineStr">
        <is>
          <t>claro:prezao-25d-10gb</t>
        </is>
      </c>
      <c r="H3624" s="3" t="n">
        <v>25</v>
      </c>
      <c r="I3624" s="3" t="inlineStr"/>
      <c r="J3624" s="2" t="inlineStr">
        <is>
          <t>recarga Prezão R$25 — validade 25 dias</t>
        </is>
      </c>
      <c r="K3624" s="2" t="inlineStr"/>
      <c r="L3624" s="4" t="n">
        <v>10</v>
      </c>
      <c r="M3624" s="2" t="inlineStr"/>
      <c r="N3624" s="2" t="n">
        <v>25</v>
      </c>
      <c r="O3624" s="2" t="inlineStr"/>
      <c r="P3624" s="2" t="inlineStr"/>
      <c r="Q3624" s="2" t="inlineStr"/>
      <c r="R3624" s="2" t="inlineStr"/>
      <c r="S3624" s="2" t="inlineStr"/>
      <c r="T3624" s="2" t="inlineStr"/>
      <c r="U3624" s="2" t="inlineStr">
        <is>
          <t>https://www.claro.com.br/celular/planos-pre/prezao</t>
        </is>
      </c>
      <c r="V3624" s="2" t="inlineStr">
        <is>
          <t>data/raw/claro_prepaid_SP.json</t>
        </is>
      </c>
    </row>
    <row r="3625">
      <c r="A3625" s="5" t="inlineStr">
        <is>
          <t>2026-08-26</t>
        </is>
      </c>
      <c r="B3625" s="5" t="inlineStr">
        <is>
          <t>2026-08-26T21:24:35</t>
        </is>
      </c>
      <c r="C3625" s="5" t="inlineStr">
        <is>
          <t>claro</t>
        </is>
      </c>
      <c r="D3625" s="5" t="inlineStr">
        <is>
          <t>prepaid</t>
        </is>
      </c>
      <c r="E3625" s="5" t="inlineStr">
        <is>
          <t>SP</t>
        </is>
      </c>
      <c r="F3625" s="5" t="inlineStr">
        <is>
          <t>Prezão 12GB (30 dias)</t>
        </is>
      </c>
      <c r="G3625" s="5" t="inlineStr">
        <is>
          <t>claro:prezao-30d-12gb</t>
        </is>
      </c>
      <c r="H3625" s="6" t="n">
        <v>30</v>
      </c>
      <c r="I3625" s="6" t="inlineStr"/>
      <c r="J3625" s="5" t="inlineStr">
        <is>
          <t>recarga Prezão R$30 — validade 30 dias</t>
        </is>
      </c>
      <c r="K3625" s="5" t="inlineStr"/>
      <c r="L3625" s="7" t="n">
        <v>12</v>
      </c>
      <c r="M3625" s="5" t="inlineStr"/>
      <c r="N3625" s="5" t="n">
        <v>30</v>
      </c>
      <c r="O3625" s="5" t="inlineStr"/>
      <c r="P3625" s="5" t="inlineStr"/>
      <c r="Q3625" s="5" t="inlineStr"/>
      <c r="R3625" s="5" t="inlineStr"/>
      <c r="S3625" s="5" t="inlineStr"/>
      <c r="T3625" s="5" t="inlineStr"/>
      <c r="U3625" s="5" t="inlineStr">
        <is>
          <t>https://www.claro.com.br/celular/planos-pre/prezao</t>
        </is>
      </c>
      <c r="V3625" s="5" t="inlineStr">
        <is>
          <t>data/raw/claro_prepaid_SP.json</t>
        </is>
      </c>
    </row>
    <row r="3626">
      <c r="A3626" s="2" t="inlineStr">
        <is>
          <t>2026-08-26</t>
        </is>
      </c>
      <c r="B3626" s="2" t="inlineStr">
        <is>
          <t>2026-08-26T21:24:35</t>
        </is>
      </c>
      <c r="C3626" s="2" t="inlineStr">
        <is>
          <t>claro</t>
        </is>
      </c>
      <c r="D3626" s="2" t="inlineStr">
        <is>
          <t>prepaid</t>
        </is>
      </c>
      <c r="E3626" s="2" t="inlineStr">
        <is>
          <t>SP</t>
        </is>
      </c>
      <c r="F3626" s="2" t="inlineStr">
        <is>
          <t>Prezão 4GB (12 dias)</t>
        </is>
      </c>
      <c r="G3626" s="2" t="inlineStr">
        <is>
          <t>claro:prezao-12d-4gb</t>
        </is>
      </c>
      <c r="H3626" s="3" t="n">
        <v>15</v>
      </c>
      <c r="I3626" s="3" t="inlineStr"/>
      <c r="J3626" s="2" t="inlineStr">
        <is>
          <t>recarga Prezão R$15 — validade 12 dias</t>
        </is>
      </c>
      <c r="K3626" s="2" t="inlineStr"/>
      <c r="L3626" s="4" t="n">
        <v>4</v>
      </c>
      <c r="M3626" s="2" t="inlineStr"/>
      <c r="N3626" s="2" t="n">
        <v>12</v>
      </c>
      <c r="O3626" s="2" t="inlineStr"/>
      <c r="P3626" s="2" t="inlineStr"/>
      <c r="Q3626" s="2" t="inlineStr"/>
      <c r="R3626" s="2" t="inlineStr"/>
      <c r="S3626" s="2" t="inlineStr"/>
      <c r="T3626" s="2" t="inlineStr"/>
      <c r="U3626" s="2" t="inlineStr">
        <is>
          <t>https://www.claro.com.br/celular/planos-pre/prezao</t>
        </is>
      </c>
      <c r="V3626" s="2" t="inlineStr">
        <is>
          <t>data/raw/claro_prepaid_SP.json</t>
        </is>
      </c>
    </row>
    <row r="3627">
      <c r="A3627" s="5" t="inlineStr">
        <is>
          <t>2026-08-26</t>
        </is>
      </c>
      <c r="B3627" s="5" t="inlineStr">
        <is>
          <t>2026-08-26T21:24:35</t>
        </is>
      </c>
      <c r="C3627" s="5" t="inlineStr">
        <is>
          <t>claro</t>
        </is>
      </c>
      <c r="D3627" s="5" t="inlineStr">
        <is>
          <t>prepaid</t>
        </is>
      </c>
      <c r="E3627" s="5" t="inlineStr">
        <is>
          <t>SP</t>
        </is>
      </c>
      <c r="F3627" s="5" t="inlineStr">
        <is>
          <t>Prezão 5GB (15 dias)</t>
        </is>
      </c>
      <c r="G3627" s="5" t="inlineStr">
        <is>
          <t>claro:prezao-15d-5gb</t>
        </is>
      </c>
      <c r="H3627" s="6" t="n">
        <v>15</v>
      </c>
      <c r="I3627" s="6" t="inlineStr"/>
      <c r="J3627" s="5" t="inlineStr">
        <is>
          <t>recarga Prezão R$15 — validade 15 dias</t>
        </is>
      </c>
      <c r="K3627" s="5" t="inlineStr"/>
      <c r="L3627" s="7" t="n">
        <v>5</v>
      </c>
      <c r="M3627" s="5" t="inlineStr"/>
      <c r="N3627" s="5" t="n">
        <v>15</v>
      </c>
      <c r="O3627" s="5" t="inlineStr"/>
      <c r="P3627" s="5" t="inlineStr"/>
      <c r="Q3627" s="5" t="inlineStr"/>
      <c r="R3627" s="5" t="inlineStr"/>
      <c r="S3627" s="5" t="inlineStr"/>
      <c r="T3627" s="5" t="inlineStr"/>
      <c r="U3627" s="5" t="inlineStr">
        <is>
          <t>https://www.claro.com.br/celular/planos-pre/prezao</t>
        </is>
      </c>
      <c r="V3627" s="5" t="inlineStr">
        <is>
          <t>data/raw/claro_prepaid_SP.json</t>
        </is>
      </c>
    </row>
    <row r="3628">
      <c r="A3628" s="2" t="inlineStr">
        <is>
          <t>2026-08-26</t>
        </is>
      </c>
      <c r="B3628" s="2" t="inlineStr">
        <is>
          <t>2026-08-26T21:24:35</t>
        </is>
      </c>
      <c r="C3628" s="2" t="inlineStr">
        <is>
          <t>claro</t>
        </is>
      </c>
      <c r="D3628" s="2" t="inlineStr">
        <is>
          <t>prepaid</t>
        </is>
      </c>
      <c r="E3628" s="2" t="inlineStr">
        <is>
          <t>SP</t>
        </is>
      </c>
      <c r="F3628" s="2" t="inlineStr">
        <is>
          <t>Prezão 6GB (20 dias)</t>
        </is>
      </c>
      <c r="G3628" s="2" t="inlineStr">
        <is>
          <t>claro:prezao-20d-6gb</t>
        </is>
      </c>
      <c r="H3628" s="3" t="n">
        <v>20</v>
      </c>
      <c r="I3628" s="3" t="inlineStr"/>
      <c r="J3628" s="2" t="inlineStr">
        <is>
          <t>recarga Prezão R$20 — validade 20 dias</t>
        </is>
      </c>
      <c r="K3628" s="2" t="inlineStr"/>
      <c r="L3628" s="4" t="n">
        <v>6</v>
      </c>
      <c r="M3628" s="2" t="inlineStr"/>
      <c r="N3628" s="2" t="n">
        <v>20</v>
      </c>
      <c r="O3628" s="2" t="inlineStr"/>
      <c r="P3628" s="2" t="inlineStr"/>
      <c r="Q3628" s="2" t="inlineStr"/>
      <c r="R3628" s="2" t="inlineStr"/>
      <c r="S3628" s="2" t="inlineStr"/>
      <c r="T3628" s="2" t="inlineStr"/>
      <c r="U3628" s="2" t="inlineStr">
        <is>
          <t>https://www.claro.com.br/celular/planos-pre/prezao</t>
        </is>
      </c>
      <c r="V3628" s="2" t="inlineStr">
        <is>
          <t>data/raw/claro_prepaid_SP.json</t>
        </is>
      </c>
    </row>
    <row r="3629">
      <c r="A3629" s="5" t="inlineStr">
        <is>
          <t>2026-08-26</t>
        </is>
      </c>
      <c r="B3629" s="5" t="inlineStr">
        <is>
          <t>2026-08-26T21:24:35</t>
        </is>
      </c>
      <c r="C3629" s="5" t="inlineStr">
        <is>
          <t>claro</t>
        </is>
      </c>
      <c r="D3629" s="5" t="inlineStr">
        <is>
          <t>prepaid</t>
        </is>
      </c>
      <c r="E3629" s="5" t="inlineStr">
        <is>
          <t>SP</t>
        </is>
      </c>
      <c r="F3629" s="5" t="inlineStr">
        <is>
          <t>Prezão 8GB (20 dias)</t>
        </is>
      </c>
      <c r="G3629" s="5" t="inlineStr">
        <is>
          <t>claro:prezao-20d-8gb</t>
        </is>
      </c>
      <c r="H3629" s="6" t="n">
        <v>20</v>
      </c>
      <c r="I3629" s="6" t="inlineStr"/>
      <c r="J3629" s="5" t="inlineStr">
        <is>
          <t>recarga Prezão R$20 — validade 20 dias</t>
        </is>
      </c>
      <c r="K3629" s="5" t="inlineStr"/>
      <c r="L3629" s="7" t="n">
        <v>8</v>
      </c>
      <c r="M3629" s="5" t="inlineStr"/>
      <c r="N3629" s="5" t="n">
        <v>20</v>
      </c>
      <c r="O3629" s="5" t="inlineStr"/>
      <c r="P3629" s="5" t="inlineStr"/>
      <c r="Q3629" s="5" t="inlineStr"/>
      <c r="R3629" s="5" t="inlineStr"/>
      <c r="S3629" s="5" t="inlineStr"/>
      <c r="T3629" s="5" t="inlineStr"/>
      <c r="U3629" s="5" t="inlineStr">
        <is>
          <t>https://www.claro.com.br/celular/planos-pre/prezao</t>
        </is>
      </c>
      <c r="V3629" s="5" t="inlineStr">
        <is>
          <t>data/raw/claro_prepaid_SP.json</t>
        </is>
      </c>
    </row>
    <row r="3630">
      <c r="A3630" s="2" t="inlineStr">
        <is>
          <t>2026-08-26</t>
        </is>
      </c>
      <c r="B3630" s="2" t="inlineStr">
        <is>
          <t>2026-08-26T21:24:35</t>
        </is>
      </c>
      <c r="C3630" s="2" t="inlineStr">
        <is>
          <t>claro</t>
        </is>
      </c>
      <c r="D3630" s="2" t="inlineStr">
        <is>
          <t>prepaid</t>
        </is>
      </c>
      <c r="E3630" s="2" t="inlineStr">
        <is>
          <t>SP</t>
        </is>
      </c>
      <c r="F3630" s="2" t="inlineStr">
        <is>
          <t>Prezão 9GB (25 dias)</t>
        </is>
      </c>
      <c r="G3630" s="2" t="inlineStr">
        <is>
          <t>claro:prezao-25d-9gb</t>
        </is>
      </c>
      <c r="H3630" s="3" t="n">
        <v>25</v>
      </c>
      <c r="I3630" s="3" t="inlineStr"/>
      <c r="J3630" s="2" t="inlineStr">
        <is>
          <t>recarga Prezão R$25 — validade 25 dias</t>
        </is>
      </c>
      <c r="K3630" s="2" t="inlineStr"/>
      <c r="L3630" s="4" t="n">
        <v>9</v>
      </c>
      <c r="M3630" s="2" t="inlineStr"/>
      <c r="N3630" s="2" t="n">
        <v>25</v>
      </c>
      <c r="O3630" s="2" t="inlineStr"/>
      <c r="P3630" s="2" t="inlineStr"/>
      <c r="Q3630" s="2" t="inlineStr"/>
      <c r="R3630" s="2" t="inlineStr"/>
      <c r="S3630" s="2" t="inlineStr"/>
      <c r="T3630" s="2" t="inlineStr"/>
      <c r="U3630" s="2" t="inlineStr">
        <is>
          <t>https://www.claro.com.br/celular/planos-pre/prezao</t>
        </is>
      </c>
      <c r="V3630" s="2" t="inlineStr">
        <is>
          <t>data/raw/claro_prepaid_SP.json</t>
        </is>
      </c>
    </row>
    <row r="3631">
      <c r="A3631" s="5" t="inlineStr">
        <is>
          <t>2026-08-26</t>
        </is>
      </c>
      <c r="B3631" s="5" t="inlineStr">
        <is>
          <t>2026-08-26T21:24:35</t>
        </is>
      </c>
      <c r="C3631" s="5" t="inlineStr">
        <is>
          <t>tim</t>
        </is>
      </c>
      <c r="D3631" s="5" t="inlineStr">
        <is>
          <t>control</t>
        </is>
      </c>
      <c r="E3631" s="5" t="inlineStr">
        <is>
          <t>SP</t>
        </is>
      </c>
      <c r="F3631" s="5" t="inlineStr">
        <is>
          <t>TIM Controle 45GB</t>
        </is>
      </c>
      <c r="G3631" s="5" t="inlineStr">
        <is>
          <t>tim:181976</t>
        </is>
      </c>
      <c r="H3631" s="6" t="n">
        <v>58.99</v>
      </c>
      <c r="I3631" s="6" t="inlineStr"/>
      <c r="J3631" s="5" t="inlineStr"/>
      <c r="K3631" s="5" t="inlineStr"/>
      <c r="L3631" s="7" t="n">
        <v>45</v>
      </c>
      <c r="M3631" s="5" t="inlineStr"/>
      <c r="N3631" s="5" t="inlineStr"/>
      <c r="O3631" s="5" t="inlineStr"/>
      <c r="P3631" s="5" t="inlineStr"/>
      <c r="Q3631" s="5" t="inlineStr"/>
      <c r="R3631" s="5" t="inlineStr"/>
      <c r="S3631" s="5" t="inlineStr"/>
      <c r="T3631" s="5" t="inlineStr"/>
      <c r="U3631" s="5" t="inlineStr">
        <is>
          <t>https://www.tim.com.br/sp/para-voce/planos/controle</t>
        </is>
      </c>
      <c r="V3631" s="5" t="inlineStr">
        <is>
          <t>data/raw/tim_control_SP.html</t>
        </is>
      </c>
    </row>
    <row r="3632">
      <c r="A3632" s="2" t="inlineStr">
        <is>
          <t>2026-08-26</t>
        </is>
      </c>
      <c r="B3632" s="2" t="inlineStr">
        <is>
          <t>2026-08-26T21:24:35</t>
        </is>
      </c>
      <c r="C3632" s="2" t="inlineStr">
        <is>
          <t>tim</t>
        </is>
      </c>
      <c r="D3632" s="2" t="inlineStr">
        <is>
          <t>control</t>
        </is>
      </c>
      <c r="E3632" s="2" t="inlineStr">
        <is>
          <t>SP</t>
        </is>
      </c>
      <c r="F3632" s="2" t="inlineStr">
        <is>
          <t>TIM Controle Light Express 45GB</t>
        </is>
      </c>
      <c r="G3632" s="2" t="inlineStr">
        <is>
          <t>tim:167726</t>
        </is>
      </c>
      <c r="H3632" s="3" t="n">
        <v>60.99</v>
      </c>
      <c r="I3632" s="3" t="inlineStr"/>
      <c r="J3632" s="2" t="inlineStr"/>
      <c r="K3632" s="2" t="inlineStr"/>
      <c r="L3632" s="4" t="n">
        <v>45</v>
      </c>
      <c r="M3632" s="2" t="inlineStr"/>
      <c r="N3632" s="2" t="inlineStr"/>
      <c r="O3632" s="2" t="inlineStr"/>
      <c r="P3632" s="2" t="inlineStr"/>
      <c r="Q3632" s="2" t="inlineStr"/>
      <c r="R3632" s="2" t="inlineStr"/>
      <c r="S3632" s="2" t="inlineStr"/>
      <c r="T3632" s="2" t="inlineStr"/>
      <c r="U3632" s="2" t="inlineStr">
        <is>
          <t>https://www.tim.com.br/sp/para-voce/planos/controle</t>
        </is>
      </c>
      <c r="V3632" s="2" t="inlineStr">
        <is>
          <t>data/raw/tim_control_SP.html</t>
        </is>
      </c>
    </row>
    <row r="3633">
      <c r="A3633" s="5" t="inlineStr">
        <is>
          <t>2026-08-26</t>
        </is>
      </c>
      <c r="B3633" s="5" t="inlineStr">
        <is>
          <t>2026-08-26T21:24:35</t>
        </is>
      </c>
      <c r="C3633" s="5" t="inlineStr">
        <is>
          <t>tim</t>
        </is>
      </c>
      <c r="D3633" s="5" t="inlineStr">
        <is>
          <t>control</t>
        </is>
      </c>
      <c r="E3633" s="5" t="inlineStr">
        <is>
          <t>SP</t>
        </is>
      </c>
      <c r="F3633" s="5" t="inlineStr">
        <is>
          <t>TIM Controle Premium 55GB</t>
        </is>
      </c>
      <c r="G3633" s="5" t="inlineStr">
        <is>
          <t>tim:167041</t>
        </is>
      </c>
      <c r="H3633" s="6" t="n">
        <v>84.98999999999999</v>
      </c>
      <c r="I3633" s="6" t="inlineStr"/>
      <c r="J3633" s="5" t="inlineStr"/>
      <c r="K3633" s="5" t="inlineStr"/>
      <c r="L3633" s="7" t="n">
        <v>55</v>
      </c>
      <c r="M3633" s="5" t="inlineStr"/>
      <c r="N3633" s="5" t="inlineStr"/>
      <c r="O3633" s="5" t="inlineStr"/>
      <c r="P3633" s="5" t="inlineStr"/>
      <c r="Q3633" s="5" t="inlineStr"/>
      <c r="R3633" s="5" t="inlineStr"/>
      <c r="S3633" s="5" t="inlineStr"/>
      <c r="T3633" s="5" t="inlineStr"/>
      <c r="U3633" s="5" t="inlineStr">
        <is>
          <t>https://www.tim.com.br/sp/para-voce/planos/controle</t>
        </is>
      </c>
      <c r="V3633" s="5" t="inlineStr">
        <is>
          <t>data/raw/tim_control_SP.html</t>
        </is>
      </c>
    </row>
    <row r="3634">
      <c r="A3634" s="2" t="inlineStr">
        <is>
          <t>2026-08-26</t>
        </is>
      </c>
      <c r="B3634" s="2" t="inlineStr">
        <is>
          <t>2026-08-26T21:24:35</t>
        </is>
      </c>
      <c r="C3634" s="2" t="inlineStr">
        <is>
          <t>tim</t>
        </is>
      </c>
      <c r="D3634" s="2" t="inlineStr">
        <is>
          <t>control</t>
        </is>
      </c>
      <c r="E3634" s="2" t="inlineStr">
        <is>
          <t>SP</t>
        </is>
      </c>
      <c r="F3634" s="2" t="inlineStr">
        <is>
          <t>TIM Controle Pro Express 46GB</t>
        </is>
      </c>
      <c r="G3634" s="2" t="inlineStr">
        <is>
          <t>tim:167731</t>
        </is>
      </c>
      <c r="H3634" s="3" t="n">
        <v>64.98999999999999</v>
      </c>
      <c r="I3634" s="3" t="inlineStr"/>
      <c r="J3634" s="2" t="inlineStr"/>
      <c r="K3634" s="2" t="inlineStr"/>
      <c r="L3634" s="4" t="n">
        <v>46</v>
      </c>
      <c r="M3634" s="2" t="inlineStr"/>
      <c r="N3634" s="2" t="inlineStr"/>
      <c r="O3634" s="2" t="inlineStr"/>
      <c r="P3634" s="2" t="inlineStr"/>
      <c r="Q3634" s="2" t="inlineStr"/>
      <c r="R3634" s="2" t="inlineStr"/>
      <c r="S3634" s="2" t="inlineStr"/>
      <c r="T3634" s="2" t="inlineStr"/>
      <c r="U3634" s="2" t="inlineStr">
        <is>
          <t>https://www.tim.com.br/sp/para-voce/planos/controle</t>
        </is>
      </c>
      <c r="V3634" s="2" t="inlineStr">
        <is>
          <t>data/raw/tim_control_SP.html</t>
        </is>
      </c>
    </row>
    <row r="3635">
      <c r="A3635" s="5" t="inlineStr">
        <is>
          <t>2026-08-26</t>
        </is>
      </c>
      <c r="B3635" s="5" t="inlineStr">
        <is>
          <t>2026-08-26T21:24:35</t>
        </is>
      </c>
      <c r="C3635" s="5" t="inlineStr">
        <is>
          <t>tim</t>
        </is>
      </c>
      <c r="D3635" s="5" t="inlineStr">
        <is>
          <t>control</t>
        </is>
      </c>
      <c r="E3635" s="5" t="inlineStr">
        <is>
          <t>SP</t>
        </is>
      </c>
      <c r="F3635" s="5" t="inlineStr">
        <is>
          <t>TIM Controle Redes Sociais 46GB</t>
        </is>
      </c>
      <c r="G3635" s="5" t="inlineStr">
        <is>
          <t>tim:180746</t>
        </is>
      </c>
      <c r="H3635" s="6" t="n">
        <v>64.98999999999999</v>
      </c>
      <c r="I3635" s="6" t="inlineStr"/>
      <c r="J3635" s="5" t="inlineStr"/>
      <c r="K3635" s="5" t="inlineStr"/>
      <c r="L3635" s="7" t="n">
        <v>46</v>
      </c>
      <c r="M3635" s="5" t="inlineStr"/>
      <c r="N3635" s="5" t="inlineStr"/>
      <c r="O3635" s="5" t="inlineStr"/>
      <c r="P3635" s="5" t="inlineStr"/>
      <c r="Q3635" s="5" t="inlineStr"/>
      <c r="R3635" s="5" t="inlineStr"/>
      <c r="S3635" s="5" t="inlineStr"/>
      <c r="T3635" s="5" t="inlineStr"/>
      <c r="U3635" s="5" t="inlineStr">
        <is>
          <t>https://www.tim.com.br/sp/para-voce/planos/controle</t>
        </is>
      </c>
      <c r="V3635" s="5" t="inlineStr">
        <is>
          <t>data/raw/tim_control_SP.html</t>
        </is>
      </c>
    </row>
    <row r="3636">
      <c r="A3636" s="2" t="inlineStr">
        <is>
          <t>2026-08-26</t>
        </is>
      </c>
      <c r="B3636" s="2" t="inlineStr">
        <is>
          <t>2026-08-26T21:24:35</t>
        </is>
      </c>
      <c r="C3636" s="2" t="inlineStr">
        <is>
          <t>tim</t>
        </is>
      </c>
      <c r="D3636" s="2" t="inlineStr">
        <is>
          <t>fit</t>
        </is>
      </c>
      <c r="E3636" s="2" t="inlineStr">
        <is>
          <t>SP</t>
        </is>
      </c>
      <c r="F3636" s="2" t="inlineStr">
        <is>
          <t>TIM Controle Fit Anual 1.0</t>
        </is>
      </c>
      <c r="G3636" s="2" t="inlineStr">
        <is>
          <t>tim:TIM202600000306</t>
        </is>
      </c>
      <c r="H3636" s="3" t="n">
        <v>20</v>
      </c>
      <c r="I3636" s="3" t="inlineStr"/>
      <c r="J3636" s="2" t="inlineStr">
        <is>
          <t>plano anual 12x no cartão de crédito; a etiqueta TIM informa 'sem prazo de permanência'</t>
        </is>
      </c>
      <c r="K3636" s="2" t="inlineStr">
        <is>
          <t>credit_card</t>
        </is>
      </c>
      <c r="L3636" s="4" t="n">
        <v>25</v>
      </c>
      <c r="M3636" s="2" t="inlineStr"/>
      <c r="N3636" s="2" t="inlineStr"/>
      <c r="O3636" s="2" t="inlineStr"/>
      <c r="P3636" s="2" t="inlineStr"/>
      <c r="Q3636" s="2" t="inlineStr"/>
      <c r="R3636" s="2" t="inlineStr"/>
      <c r="S3636" s="2" t="n">
        <v>12</v>
      </c>
      <c r="T3636" s="2" t="inlineStr"/>
      <c r="U3636" s="2" t="inlineStr">
        <is>
          <t>https://www.tim.com.br/sp/para-voce/planos/controle</t>
        </is>
      </c>
      <c r="V3636" s="2" t="inlineStr">
        <is>
          <t>data/raw/tim_fit_SP.html</t>
        </is>
      </c>
    </row>
    <row r="3637">
      <c r="A3637" s="5" t="inlineStr">
        <is>
          <t>2026-08-26</t>
        </is>
      </c>
      <c r="B3637" s="5" t="inlineStr">
        <is>
          <t>2026-08-26T21:24:35</t>
        </is>
      </c>
      <c r="C3637" s="5" t="inlineStr">
        <is>
          <t>tim</t>
        </is>
      </c>
      <c r="D3637" s="5" t="inlineStr">
        <is>
          <t>fit</t>
        </is>
      </c>
      <c r="E3637" s="5" t="inlineStr">
        <is>
          <t>SP</t>
        </is>
      </c>
      <c r="F3637" s="5" t="inlineStr">
        <is>
          <t>TIM Controle Fit Anual 2.0</t>
        </is>
      </c>
      <c r="G3637" s="5" t="inlineStr">
        <is>
          <t>tim:TIM202600000271</t>
        </is>
      </c>
      <c r="H3637" s="6" t="n">
        <v>30</v>
      </c>
      <c r="I3637" s="6" t="inlineStr"/>
      <c r="J3637" s="5" t="inlineStr">
        <is>
          <t>plano anual 12x no cartão de crédito; a etiqueta TIM informa 'sem prazo de permanência'</t>
        </is>
      </c>
      <c r="K3637" s="5" t="inlineStr">
        <is>
          <t>credit_card</t>
        </is>
      </c>
      <c r="L3637" s="7" t="n">
        <v>35</v>
      </c>
      <c r="M3637" s="5" t="inlineStr"/>
      <c r="N3637" s="5" t="inlineStr"/>
      <c r="O3637" s="5" t="inlineStr"/>
      <c r="P3637" s="5" t="inlineStr"/>
      <c r="Q3637" s="5" t="inlineStr"/>
      <c r="R3637" s="5" t="inlineStr"/>
      <c r="S3637" s="5" t="n">
        <v>12</v>
      </c>
      <c r="T3637" s="5" t="inlineStr"/>
      <c r="U3637" s="5" t="inlineStr">
        <is>
          <t>https://www.tim.com.br/sp/para-voce/planos/controle</t>
        </is>
      </c>
      <c r="V3637" s="5" t="inlineStr">
        <is>
          <t>data/raw/tim_fit_SP.html</t>
        </is>
      </c>
    </row>
    <row r="3638">
      <c r="A3638" s="2" t="inlineStr">
        <is>
          <t>2026-08-26</t>
        </is>
      </c>
      <c r="B3638" s="2" t="inlineStr">
        <is>
          <t>2026-08-26T21:24:35</t>
        </is>
      </c>
      <c r="C3638" s="2" t="inlineStr">
        <is>
          <t>tim</t>
        </is>
      </c>
      <c r="D3638" s="2" t="inlineStr">
        <is>
          <t>fit</t>
        </is>
      </c>
      <c r="E3638" s="2" t="inlineStr">
        <is>
          <t>SP</t>
        </is>
      </c>
      <c r="F3638" s="2" t="inlineStr">
        <is>
          <t>TIM Controle Fit Mensal 1.0</t>
        </is>
      </c>
      <c r="G3638" s="2" t="inlineStr">
        <is>
          <t>tim:TIM202600000270</t>
        </is>
      </c>
      <c r="H3638" s="3" t="n">
        <v>20</v>
      </c>
      <c r="I3638" s="3" t="inlineStr"/>
      <c r="J363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638" s="2" t="inlineStr"/>
      <c r="L3638" s="4" t="n">
        <v>20</v>
      </c>
      <c r="M3638" s="2" t="inlineStr"/>
      <c r="N3638" s="2" t="inlineStr"/>
      <c r="O3638" s="2" t="inlineStr"/>
      <c r="P3638" s="2" t="inlineStr"/>
      <c r="Q3638" s="2" t="inlineStr"/>
      <c r="R3638" s="2" t="inlineStr"/>
      <c r="S3638" s="2" t="inlineStr"/>
      <c r="T3638" s="2" t="inlineStr"/>
      <c r="U3638" s="2" t="inlineStr">
        <is>
          <t>https://www.tim.com.br/sp/para-voce/planos/controle</t>
        </is>
      </c>
      <c r="V3638" s="2" t="inlineStr">
        <is>
          <t>data/raw/tim_fit_SP.html</t>
        </is>
      </c>
    </row>
    <row r="3639">
      <c r="A3639" s="5" t="inlineStr">
        <is>
          <t>2026-08-26</t>
        </is>
      </c>
      <c r="B3639" s="5" t="inlineStr">
        <is>
          <t>2026-08-26T21:24:35</t>
        </is>
      </c>
      <c r="C3639" s="5" t="inlineStr">
        <is>
          <t>tim</t>
        </is>
      </c>
      <c r="D3639" s="5" t="inlineStr">
        <is>
          <t>fit</t>
        </is>
      </c>
      <c r="E3639" s="5" t="inlineStr">
        <is>
          <t>SP</t>
        </is>
      </c>
      <c r="F3639" s="5" t="inlineStr">
        <is>
          <t>TIM Controle Fit Mensal 2.0</t>
        </is>
      </c>
      <c r="G3639" s="5" t="inlineStr">
        <is>
          <t>tim:TIM202600000305</t>
        </is>
      </c>
      <c r="H3639" s="6" t="n">
        <v>45</v>
      </c>
      <c r="I3639" s="6" t="inlineStr"/>
      <c r="J3639" s="5" t="inlineStr">
        <is>
          <t>plano mensal, sem prazo de permanência; a etiqueta TIM informa 'sem prazo de permanência'</t>
        </is>
      </c>
      <c r="K3639" s="5" t="inlineStr"/>
      <c r="L3639" s="7" t="n">
        <v>35</v>
      </c>
      <c r="M3639" s="5" t="inlineStr"/>
      <c r="N3639" s="5" t="inlineStr"/>
      <c r="O3639" s="5" t="inlineStr"/>
      <c r="P3639" s="5" t="inlineStr"/>
      <c r="Q3639" s="5" t="inlineStr"/>
      <c r="R3639" s="5" t="inlineStr"/>
      <c r="S3639" s="5" t="inlineStr"/>
      <c r="T3639" s="5" t="inlineStr"/>
      <c r="U3639" s="5" t="inlineStr">
        <is>
          <t>https://www.tim.com.br/sp/para-voce/planos/controle</t>
        </is>
      </c>
      <c r="V3639" s="5" t="inlineStr">
        <is>
          <t>data/raw/tim_fit_SP.html</t>
        </is>
      </c>
    </row>
    <row r="3640">
      <c r="A3640" s="2" t="inlineStr">
        <is>
          <t>2026-08-26</t>
        </is>
      </c>
      <c r="B3640" s="2" t="inlineStr">
        <is>
          <t>2026-08-26T21:24:35</t>
        </is>
      </c>
      <c r="C3640" s="2" t="inlineStr">
        <is>
          <t>tim</t>
        </is>
      </c>
      <c r="D3640" s="2" t="inlineStr">
        <is>
          <t>postpaid</t>
        </is>
      </c>
      <c r="E3640" s="2" t="inlineStr">
        <is>
          <t>SP</t>
        </is>
      </c>
      <c r="F3640" s="2" t="inlineStr">
        <is>
          <t>TIM Black 70GB</t>
        </is>
      </c>
      <c r="G3640" s="2" t="inlineStr">
        <is>
          <t>tim:54206</t>
        </is>
      </c>
      <c r="H3640" s="3" t="n">
        <v>129.99</v>
      </c>
      <c r="I3640" s="3" t="inlineStr"/>
      <c r="J3640" s="2" t="inlineStr"/>
      <c r="K3640" s="2" t="inlineStr">
        <is>
          <t>bill</t>
        </is>
      </c>
      <c r="L3640" s="4" t="n">
        <v>70</v>
      </c>
      <c r="M3640" s="2" t="inlineStr"/>
      <c r="N3640" s="2" t="inlineStr"/>
      <c r="O3640" s="2" t="inlineStr"/>
      <c r="P3640" s="2" t="inlineStr"/>
      <c r="Q3640" s="2" t="inlineStr"/>
      <c r="R3640" s="2" t="inlineStr"/>
      <c r="S3640" s="2" t="inlineStr"/>
      <c r="T3640" s="2" t="inlineStr"/>
      <c r="U3640" s="2" t="inlineStr">
        <is>
          <t>https://www.tim.com.br/sp/para-voce/planos/pos-pago/tim-black</t>
        </is>
      </c>
      <c r="V3640" s="2" t="inlineStr">
        <is>
          <t>data/raw/tim_postpaid_SP.html</t>
        </is>
      </c>
    </row>
    <row r="3641">
      <c r="A3641" s="5" t="inlineStr">
        <is>
          <t>2026-08-26</t>
        </is>
      </c>
      <c r="B3641" s="5" t="inlineStr">
        <is>
          <t>2026-08-26T21:24:35</t>
        </is>
      </c>
      <c r="C3641" s="5" t="inlineStr">
        <is>
          <t>tim</t>
        </is>
      </c>
      <c r="D3641" s="5" t="inlineStr">
        <is>
          <t>postpaid</t>
        </is>
      </c>
      <c r="E3641" s="5" t="inlineStr">
        <is>
          <t>SP</t>
        </is>
      </c>
      <c r="F3641" s="5" t="inlineStr">
        <is>
          <t>TIM Black A Express 67GB</t>
        </is>
      </c>
      <c r="G3641" s="5" t="inlineStr">
        <is>
          <t>tim:55121</t>
        </is>
      </c>
      <c r="H3641" s="6" t="n">
        <v>119.99</v>
      </c>
      <c r="I3641" s="6" t="inlineStr"/>
      <c r="J3641" s="5" t="inlineStr"/>
      <c r="K3641" s="5" t="inlineStr">
        <is>
          <t>credit_card</t>
        </is>
      </c>
      <c r="L3641" s="7" t="n">
        <v>67</v>
      </c>
      <c r="M3641" s="5" t="inlineStr"/>
      <c r="N3641" s="5" t="inlineStr"/>
      <c r="O3641" s="5" t="inlineStr"/>
      <c r="P3641" s="5" t="inlineStr"/>
      <c r="Q3641" s="5" t="inlineStr"/>
      <c r="R3641" s="5" t="inlineStr"/>
      <c r="S3641" s="5" t="inlineStr"/>
      <c r="T3641" s="5" t="inlineStr"/>
      <c r="U3641" s="5" t="inlineStr">
        <is>
          <t>https://www.tim.com.br/sp/para-voce/planos/pos-pago/tim-black</t>
        </is>
      </c>
      <c r="V3641" s="5" t="inlineStr">
        <is>
          <t>data/raw/tim_postpaid_SP.html</t>
        </is>
      </c>
    </row>
    <row r="3642">
      <c r="A3642" s="2" t="inlineStr">
        <is>
          <t>2026-08-26</t>
        </is>
      </c>
      <c r="B3642" s="2" t="inlineStr">
        <is>
          <t>2026-08-26T21:24:35</t>
        </is>
      </c>
      <c r="C3642" s="2" t="inlineStr">
        <is>
          <t>tim</t>
        </is>
      </c>
      <c r="D3642" s="2" t="inlineStr">
        <is>
          <t>postpaid</t>
        </is>
      </c>
      <c r="E3642" s="2" t="inlineStr">
        <is>
          <t>SP</t>
        </is>
      </c>
      <c r="F3642" s="2" t="inlineStr">
        <is>
          <t>TIM Black B Express 82GB</t>
        </is>
      </c>
      <c r="G3642" s="2" t="inlineStr">
        <is>
          <t>tim:52146</t>
        </is>
      </c>
      <c r="H3642" s="3" t="n">
        <v>144.99</v>
      </c>
      <c r="I3642" s="3" t="inlineStr"/>
      <c r="J3642" s="2" t="inlineStr"/>
      <c r="K3642" s="2" t="inlineStr">
        <is>
          <t>credit_card</t>
        </is>
      </c>
      <c r="L3642" s="4" t="n">
        <v>82</v>
      </c>
      <c r="M3642" s="2" t="inlineStr"/>
      <c r="N3642" s="2" t="inlineStr"/>
      <c r="O3642" s="2" t="inlineStr"/>
      <c r="P3642" s="2" t="inlineStr"/>
      <c r="Q3642" s="2" t="inlineStr"/>
      <c r="R3642" s="2" t="inlineStr"/>
      <c r="S3642" s="2" t="inlineStr"/>
      <c r="T3642" s="2" t="inlineStr"/>
      <c r="U3642" s="2" t="inlineStr">
        <is>
          <t>https://www.tim.com.br/sp/para-voce/planos/pos-pago/tim-black</t>
        </is>
      </c>
      <c r="V3642" s="2" t="inlineStr">
        <is>
          <t>data/raw/tim_postpaid_SP.html</t>
        </is>
      </c>
    </row>
    <row r="3643">
      <c r="A3643" s="5" t="inlineStr">
        <is>
          <t>2026-08-26</t>
        </is>
      </c>
      <c r="B3643" s="5" t="inlineStr">
        <is>
          <t>2026-08-26T21:24:35</t>
        </is>
      </c>
      <c r="C3643" s="5" t="inlineStr">
        <is>
          <t>tim</t>
        </is>
      </c>
      <c r="D3643" s="5" t="inlineStr">
        <is>
          <t>postpaid</t>
        </is>
      </c>
      <c r="E3643" s="5" t="inlineStr">
        <is>
          <t>SP</t>
        </is>
      </c>
      <c r="F3643" s="5" t="inlineStr">
        <is>
          <t>TIM Black C Express 107GB</t>
        </is>
      </c>
      <c r="G3643" s="5" t="inlineStr">
        <is>
          <t>tim:52151</t>
        </is>
      </c>
      <c r="H3643" s="6" t="n">
        <v>164.99</v>
      </c>
      <c r="I3643" s="6" t="inlineStr"/>
      <c r="J3643" s="5" t="inlineStr"/>
      <c r="K3643" s="5" t="inlineStr">
        <is>
          <t>credit_card</t>
        </is>
      </c>
      <c r="L3643" s="7" t="n">
        <v>107</v>
      </c>
      <c r="M3643" s="5" t="inlineStr"/>
      <c r="N3643" s="5" t="inlineStr"/>
      <c r="O3643" s="5" t="inlineStr"/>
      <c r="P3643" s="5" t="inlineStr"/>
      <c r="Q3643" s="5" t="inlineStr"/>
      <c r="R3643" s="5" t="inlineStr"/>
      <c r="S3643" s="5" t="inlineStr"/>
      <c r="T3643" s="5" t="inlineStr"/>
      <c r="U3643" s="5" t="inlineStr">
        <is>
          <t>https://www.tim.com.br/sp/para-voce/planos/pos-pago/tim-black</t>
        </is>
      </c>
      <c r="V3643" s="5" t="inlineStr">
        <is>
          <t>data/raw/tim_postpaid_SP.html</t>
        </is>
      </c>
    </row>
    <row r="3644">
      <c r="A3644" s="2" t="inlineStr">
        <is>
          <t>2026-08-26</t>
        </is>
      </c>
      <c r="B3644" s="2" t="inlineStr">
        <is>
          <t>2026-08-26T21:24:35</t>
        </is>
      </c>
      <c r="C3644" s="2" t="inlineStr">
        <is>
          <t>tim</t>
        </is>
      </c>
      <c r="D3644" s="2" t="inlineStr">
        <is>
          <t>postpaid</t>
        </is>
      </c>
      <c r="E3644" s="2" t="inlineStr">
        <is>
          <t>SP</t>
        </is>
      </c>
      <c r="F3644" s="2" t="inlineStr">
        <is>
          <t>TIM Black C Ultra 95GB</t>
        </is>
      </c>
      <c r="G3644" s="2" t="inlineStr">
        <is>
          <t>tim:100581</t>
        </is>
      </c>
      <c r="H3644" s="3" t="n">
        <v>159.99</v>
      </c>
      <c r="I3644" s="3" t="inlineStr"/>
      <c r="J3644" s="2" t="inlineStr"/>
      <c r="K3644" s="2" t="inlineStr">
        <is>
          <t>bill</t>
        </is>
      </c>
      <c r="L3644" s="4" t="n">
        <v>95</v>
      </c>
      <c r="M3644" s="2" t="inlineStr"/>
      <c r="N3644" s="2" t="inlineStr"/>
      <c r="O3644" s="2" t="inlineStr"/>
      <c r="P3644" s="2" t="inlineStr"/>
      <c r="Q3644" s="2" t="inlineStr"/>
      <c r="R3644" s="2" t="inlineStr"/>
      <c r="S3644" s="2" t="inlineStr"/>
      <c r="T3644" s="2" t="inlineStr"/>
      <c r="U3644" s="2" t="inlineStr">
        <is>
          <t>https://www.tim.com.br/sp/para-voce/planos/pos-pago/tim-black</t>
        </is>
      </c>
      <c r="V3644" s="2" t="inlineStr">
        <is>
          <t>data/raw/tim_postpaid_SP.html</t>
        </is>
      </c>
    </row>
    <row r="3645">
      <c r="A3645" s="5" t="inlineStr">
        <is>
          <t>2026-08-26</t>
        </is>
      </c>
      <c r="B3645" s="5" t="inlineStr">
        <is>
          <t>2026-08-26T21:24:35</t>
        </is>
      </c>
      <c r="C3645" s="5" t="inlineStr">
        <is>
          <t>tim</t>
        </is>
      </c>
      <c r="D3645" s="5" t="inlineStr">
        <is>
          <t>postpaid</t>
        </is>
      </c>
      <c r="E3645" s="5" t="inlineStr">
        <is>
          <t>SP</t>
        </is>
      </c>
      <c r="F3645" s="5" t="inlineStr">
        <is>
          <t>TIM Black Plus 80GB</t>
        </is>
      </c>
      <c r="G3645" s="5" t="inlineStr">
        <is>
          <t>tim:54256</t>
        </is>
      </c>
      <c r="H3645" s="6" t="n">
        <v>149.99</v>
      </c>
      <c r="I3645" s="6" t="inlineStr"/>
      <c r="J3645" s="5" t="inlineStr"/>
      <c r="K3645" s="5" t="inlineStr">
        <is>
          <t>bill</t>
        </is>
      </c>
      <c r="L3645" s="7" t="n">
        <v>80</v>
      </c>
      <c r="M3645" s="5" t="inlineStr"/>
      <c r="N3645" s="5" t="inlineStr"/>
      <c r="O3645" s="5" t="inlineStr"/>
      <c r="P3645" s="5" t="inlineStr"/>
      <c r="Q3645" s="5" t="inlineStr"/>
      <c r="R3645" s="5" t="inlineStr"/>
      <c r="S3645" s="5" t="inlineStr"/>
      <c r="T3645" s="5" t="inlineStr"/>
      <c r="U3645" s="5" t="inlineStr">
        <is>
          <t>https://www.tim.com.br/sp/para-voce/planos/pos-pago/tim-black</t>
        </is>
      </c>
      <c r="V3645" s="5" t="inlineStr">
        <is>
          <t>data/raw/tim_postpaid_SP.html</t>
        </is>
      </c>
    </row>
    <row r="3646">
      <c r="A3646" s="2" t="inlineStr">
        <is>
          <t>2026-08-26</t>
        </is>
      </c>
      <c r="B3646" s="2" t="inlineStr">
        <is>
          <t>2026-08-26T21:24:35</t>
        </is>
      </c>
      <c r="C3646" s="2" t="inlineStr">
        <is>
          <t>tim</t>
        </is>
      </c>
      <c r="D3646" s="2" t="inlineStr">
        <is>
          <t>postpaid</t>
        </is>
      </c>
      <c r="E3646" s="2" t="inlineStr">
        <is>
          <t>SP</t>
        </is>
      </c>
      <c r="F3646" s="2" t="inlineStr">
        <is>
          <t>TIM Black Premium 110GB</t>
        </is>
      </c>
      <c r="G3646" s="2" t="inlineStr">
        <is>
          <t>tim:54261</t>
        </is>
      </c>
      <c r="H3646" s="3" t="n">
        <v>159.99</v>
      </c>
      <c r="I3646" s="3" t="inlineStr"/>
      <c r="J3646" s="2" t="inlineStr"/>
      <c r="K3646" s="2" t="inlineStr">
        <is>
          <t>bill</t>
        </is>
      </c>
      <c r="L3646" s="4" t="n">
        <v>110</v>
      </c>
      <c r="M3646" s="2" t="inlineStr"/>
      <c r="N3646" s="2" t="inlineStr"/>
      <c r="O3646" s="2" t="inlineStr"/>
      <c r="P3646" s="2" t="inlineStr"/>
      <c r="Q3646" s="2" t="inlineStr"/>
      <c r="R3646" s="2" t="inlineStr"/>
      <c r="S3646" s="2" t="inlineStr"/>
      <c r="T3646" s="2" t="inlineStr"/>
      <c r="U3646" s="2" t="inlineStr">
        <is>
          <t>https://www.tim.com.br/sp/para-voce/planos/pos-pago/tim-black</t>
        </is>
      </c>
      <c r="V3646" s="2" t="inlineStr">
        <is>
          <t>data/raw/tim_postpaid_SP.html</t>
        </is>
      </c>
    </row>
    <row r="3647">
      <c r="A3647" s="5" t="inlineStr">
        <is>
          <t>2026-08-26</t>
        </is>
      </c>
      <c r="B3647" s="5" t="inlineStr">
        <is>
          <t>2026-08-26T21:24:35</t>
        </is>
      </c>
      <c r="C3647" s="5" t="inlineStr">
        <is>
          <t>tim</t>
        </is>
      </c>
      <c r="D3647" s="5" t="inlineStr">
        <is>
          <t>prepaid</t>
        </is>
      </c>
      <c r="E3647" s="5" t="inlineStr">
        <is>
          <t>SP</t>
        </is>
      </c>
      <c r="F3647" s="5" t="inlineStr">
        <is>
          <t>TIM Pré XIP Plus 16GB</t>
        </is>
      </c>
      <c r="G3647" s="5" t="inlineStr">
        <is>
          <t>tim:106306</t>
        </is>
      </c>
      <c r="H3647" s="6" t="n">
        <v>30</v>
      </c>
      <c r="I3647" s="6" t="inlineStr"/>
      <c r="J3647" s="5" t="inlineStr"/>
      <c r="K3647" s="5" t="inlineStr"/>
      <c r="L3647" s="7" t="n">
        <v>16</v>
      </c>
      <c r="M3647" s="5" t="inlineStr"/>
      <c r="N3647" s="5" t="n">
        <v>30</v>
      </c>
      <c r="O3647" s="5" t="inlineStr"/>
      <c r="P3647" s="5" t="inlineStr"/>
      <c r="Q3647" s="5" t="inlineStr"/>
      <c r="R3647" s="5" t="inlineStr"/>
      <c r="S3647" s="5" t="inlineStr"/>
      <c r="T3647" s="5" t="inlineStr"/>
      <c r="U3647" s="5" t="inlineStr">
        <is>
          <t>https://www.tim.com.br/sp/para-voce/planos/pre-pago</t>
        </is>
      </c>
      <c r="V3647" s="5" t="inlineStr">
        <is>
          <t>data/raw/tim_prepaid_SP.html</t>
        </is>
      </c>
    </row>
    <row r="3648">
      <c r="A3648" s="2" t="inlineStr">
        <is>
          <t>2026-08-26</t>
        </is>
      </c>
      <c r="B3648" s="2" t="inlineStr">
        <is>
          <t>2026-08-26T21:24:35</t>
        </is>
      </c>
      <c r="C3648" s="2" t="inlineStr">
        <is>
          <t>tim</t>
        </is>
      </c>
      <c r="D3648" s="2" t="inlineStr">
        <is>
          <t>prepaid</t>
        </is>
      </c>
      <c r="E3648" s="2" t="inlineStr">
        <is>
          <t>SP</t>
        </is>
      </c>
      <c r="F3648" s="2" t="inlineStr">
        <is>
          <t>TIM Pré XIP Plus 6GB</t>
        </is>
      </c>
      <c r="G3648" s="2" t="inlineStr">
        <is>
          <t>tim:59906</t>
        </is>
      </c>
      <c r="H3648" s="3" t="n">
        <v>20</v>
      </c>
      <c r="I3648" s="3" t="inlineStr"/>
      <c r="J3648" s="2" t="inlineStr"/>
      <c r="K3648" s="2" t="inlineStr"/>
      <c r="L3648" s="4" t="n">
        <v>6</v>
      </c>
      <c r="M3648" s="2" t="inlineStr"/>
      <c r="N3648" s="2" t="n">
        <v>17</v>
      </c>
      <c r="O3648" s="2" t="inlineStr"/>
      <c r="P3648" s="2" t="inlineStr"/>
      <c r="Q3648" s="2" t="inlineStr"/>
      <c r="R3648" s="2" t="inlineStr"/>
      <c r="S3648" s="2" t="inlineStr"/>
      <c r="T3648" s="2" t="inlineStr"/>
      <c r="U3648" s="2" t="inlineStr">
        <is>
          <t>https://www.tim.com.br/sp/para-voce/planos/pre-pago</t>
        </is>
      </c>
      <c r="V3648" s="2" t="inlineStr">
        <is>
          <t>data/raw/tim_prepaid_SP.html</t>
        </is>
      </c>
    </row>
    <row r="3649">
      <c r="A3649" s="5" t="inlineStr">
        <is>
          <t>2026-08-26</t>
        </is>
      </c>
      <c r="B3649" s="5" t="inlineStr">
        <is>
          <t>2026-08-26T21:24:35</t>
        </is>
      </c>
      <c r="C3649" s="5" t="inlineStr">
        <is>
          <t>tim</t>
        </is>
      </c>
      <c r="D3649" s="5" t="inlineStr">
        <is>
          <t>prepaid</t>
        </is>
      </c>
      <c r="E3649" s="5" t="inlineStr">
        <is>
          <t>SP</t>
        </is>
      </c>
      <c r="F3649" s="5" t="inlineStr">
        <is>
          <t>TIM Pré XIP Plus 8GB</t>
        </is>
      </c>
      <c r="G3649" s="5" t="inlineStr">
        <is>
          <t>tim:59901</t>
        </is>
      </c>
      <c r="H3649" s="6" t="n">
        <v>25</v>
      </c>
      <c r="I3649" s="6" t="inlineStr"/>
      <c r="J3649" s="5" t="inlineStr"/>
      <c r="K3649" s="5" t="inlineStr"/>
      <c r="L3649" s="7" t="n">
        <v>8</v>
      </c>
      <c r="M3649" s="5" t="inlineStr"/>
      <c r="N3649" s="5" t="n">
        <v>22</v>
      </c>
      <c r="O3649" s="5" t="inlineStr"/>
      <c r="P3649" s="5" t="inlineStr"/>
      <c r="Q3649" s="5" t="inlineStr"/>
      <c r="R3649" s="5" t="inlineStr"/>
      <c r="S3649" s="5" t="inlineStr"/>
      <c r="T3649" s="5" t="inlineStr"/>
      <c r="U3649" s="5" t="inlineStr">
        <is>
          <t>https://www.tim.com.br/sp/para-voce/planos/pre-pago</t>
        </is>
      </c>
      <c r="V3649" s="5" t="inlineStr">
        <is>
          <t>data/raw/tim_prepaid_SP.html</t>
        </is>
      </c>
    </row>
    <row r="3650">
      <c r="A3650" s="2" t="inlineStr">
        <is>
          <t>2026-08-26</t>
        </is>
      </c>
      <c r="B3650" s="2" t="inlineStr">
        <is>
          <t>2026-08-26T21:24:35</t>
        </is>
      </c>
      <c r="C3650" s="2" t="inlineStr">
        <is>
          <t>vivo</t>
        </is>
      </c>
      <c r="D3650" s="2" t="inlineStr">
        <is>
          <t>control</t>
        </is>
      </c>
      <c r="E3650" s="2" t="inlineStr">
        <is>
          <t>SP</t>
        </is>
      </c>
      <c r="F3650" s="2" t="inlineStr">
        <is>
          <t>Vivo Controle</t>
        </is>
      </c>
      <c r="G3650" s="2" t="inlineStr">
        <is>
          <t>vivo:VIV202600034591</t>
        </is>
      </c>
      <c r="H3650" s="3" t="n">
        <v>59</v>
      </c>
      <c r="I3650" s="3" t="inlineStr"/>
      <c r="J3650" s="2" t="inlineStr"/>
      <c r="K3650" s="2" t="inlineStr"/>
      <c r="L3650" s="4" t="n">
        <v>45</v>
      </c>
      <c r="M3650" s="2" t="inlineStr">
        <is>
          <t>15 GB de franquia 30 GB de bônus</t>
        </is>
      </c>
      <c r="N3650" s="2" t="inlineStr"/>
      <c r="O3650" s="2" t="inlineStr"/>
      <c r="P3650" s="2" t="inlineStr"/>
      <c r="Q3650" s="2" t="inlineStr"/>
      <c r="R3650" s="2" t="inlineStr"/>
      <c r="S3650" s="2" t="inlineStr"/>
      <c r="T3650" s="2" t="inlineStr">
        <is>
          <t>2 meses de YouTube sem consumo no plano</t>
        </is>
      </c>
      <c r="U3650" s="2" t="inlineStr">
        <is>
          <t>https://vivo.com.br/para-voce/produtos-e-servicos/para-o-celular/planos-controle</t>
        </is>
      </c>
      <c r="V3650" s="2" t="inlineStr">
        <is>
          <t>data/raw/vivo_control_SP.html</t>
        </is>
      </c>
    </row>
    <row r="3651">
      <c r="A3651" s="5" t="inlineStr">
        <is>
          <t>2026-08-26</t>
        </is>
      </c>
      <c r="B3651" s="5" t="inlineStr">
        <is>
          <t>2026-08-26T21:24:35</t>
        </is>
      </c>
      <c r="C3651" s="5" t="inlineStr">
        <is>
          <t>vivo</t>
        </is>
      </c>
      <c r="D3651" s="5" t="inlineStr">
        <is>
          <t>control</t>
        </is>
      </c>
      <c r="E3651" s="5" t="inlineStr">
        <is>
          <t>SP</t>
        </is>
      </c>
      <c r="F3651" s="5" t="inlineStr">
        <is>
          <t>Vivo Controle</t>
        </is>
      </c>
      <c r="G3651" s="5" t="inlineStr">
        <is>
          <t>vivo:VIV202600034599</t>
        </is>
      </c>
      <c r="H3651" s="6" t="n">
        <v>75</v>
      </c>
      <c r="I3651" s="6" t="inlineStr"/>
      <c r="J3651" s="5" t="inlineStr">
        <is>
          <t>preço-base do plano; a tela exibia R$ 80 com o adicional pré-selecionado (+R$ 5/mês, opcional); 60 GB na tela incluem +10 GB do adicional</t>
        </is>
      </c>
      <c r="K3651" s="5" t="inlineStr"/>
      <c r="L3651" s="7" t="n">
        <v>50</v>
      </c>
      <c r="M3651" s="5" t="inlineStr">
        <is>
          <t>20 GB de franquia 30 GB de bônus</t>
        </is>
      </c>
      <c r="N3651" s="5" t="inlineStr"/>
      <c r="O3651" s="5" t="inlineStr"/>
      <c r="P3651" s="5" t="inlineStr"/>
      <c r="Q3651" s="5" t="inlineStr"/>
      <c r="R3651" s="5" t="inlineStr"/>
      <c r="S3651" s="5" t="inlineStr"/>
      <c r="T3651" s="5" t="inlineStr">
        <is>
          <t>2 meses de YouTube sem consumo no plano</t>
        </is>
      </c>
      <c r="U3651" s="5" t="inlineStr">
        <is>
          <t>https://vivo.com.br/para-voce/produtos-e-servicos/para-o-celular/planos-controle</t>
        </is>
      </c>
      <c r="V3651" s="5" t="inlineStr">
        <is>
          <t>data/raw/vivo_control_SP.html</t>
        </is>
      </c>
    </row>
    <row r="3652">
      <c r="A3652" s="2" t="inlineStr">
        <is>
          <t>2026-08-26</t>
        </is>
      </c>
      <c r="B3652" s="2" t="inlineStr">
        <is>
          <t>2026-08-26T21:24:35</t>
        </is>
      </c>
      <c r="C3652" s="2" t="inlineStr">
        <is>
          <t>vivo</t>
        </is>
      </c>
      <c r="D3652" s="2" t="inlineStr">
        <is>
          <t>control</t>
        </is>
      </c>
      <c r="E3652" s="2" t="inlineStr">
        <is>
          <t>SP</t>
        </is>
      </c>
      <c r="F3652" s="2" t="inlineStr">
        <is>
          <t>Vivo Controle Educação</t>
        </is>
      </c>
      <c r="G3652" s="2" t="inlineStr">
        <is>
          <t>vivo:VIV202600034616</t>
        </is>
      </c>
      <c r="H3652" s="3" t="n">
        <v>85</v>
      </c>
      <c r="I3652" s="3" t="inlineStr"/>
      <c r="J3652" s="2" t="inlineStr">
        <is>
          <t>preço-base do plano; a tela exibia R$ 90 com o adicional pré-selecionado (+R$ 5/mês, opcional); 60 GB na tela incluem +10 GB do adicional</t>
        </is>
      </c>
      <c r="K3652" s="2" t="inlineStr"/>
      <c r="L3652" s="4" t="n">
        <v>50</v>
      </c>
      <c r="M3652" s="2" t="inlineStr">
        <is>
          <t>20 GB de franquia 30 GB de bônus</t>
        </is>
      </c>
      <c r="N3652" s="2" t="inlineStr"/>
      <c r="O3652" s="2" t="inlineStr"/>
      <c r="P3652" s="2" t="inlineStr"/>
      <c r="Q3652" s="2" t="inlineStr"/>
      <c r="R3652" s="2" t="inlineStr"/>
      <c r="S3652" s="2" t="inlineStr"/>
      <c r="T3652" s="2" t="inlineStr">
        <is>
          <t>Assinatura Vivae inclusa</t>
        </is>
      </c>
      <c r="U3652" s="2" t="inlineStr">
        <is>
          <t>https://vivo.com.br/para-voce/produtos-e-servicos/para-o-celular/planos-controle</t>
        </is>
      </c>
      <c r="V3652" s="2" t="inlineStr">
        <is>
          <t>data/raw/vivo_control_SP.html</t>
        </is>
      </c>
    </row>
    <row r="3653">
      <c r="A3653" s="5" t="inlineStr">
        <is>
          <t>2026-08-26</t>
        </is>
      </c>
      <c r="B3653" s="5" t="inlineStr">
        <is>
          <t>2026-08-26T21:24:35</t>
        </is>
      </c>
      <c r="C3653" s="5" t="inlineStr">
        <is>
          <t>vivo</t>
        </is>
      </c>
      <c r="D3653" s="5" t="inlineStr">
        <is>
          <t>control</t>
        </is>
      </c>
      <c r="E3653" s="5" t="inlineStr">
        <is>
          <t>SP</t>
        </is>
      </c>
      <c r="F3653" s="5" t="inlineStr">
        <is>
          <t>Vivo Controle Entretenimento</t>
        </is>
      </c>
      <c r="G3653" s="5" t="inlineStr">
        <is>
          <t>vivo:VIV202600034619</t>
        </is>
      </c>
      <c r="H3653" s="6" t="n">
        <v>105</v>
      </c>
      <c r="I3653" s="6" t="inlineStr"/>
      <c r="J3653" s="5" t="inlineStr">
        <is>
          <t>preço-base do plano; a tela exibia R$ 110 com o adicional pré-selecionado (+R$ 5/mês, opcional); 60 GB na tela incluem +10 GB do adicional</t>
        </is>
      </c>
      <c r="K3653" s="5" t="inlineStr"/>
      <c r="L3653" s="7" t="n">
        <v>50</v>
      </c>
      <c r="M3653" s="5" t="inlineStr">
        <is>
          <t>20 GB de franquia 30 GB de bônus</t>
        </is>
      </c>
      <c r="N3653" s="5" t="inlineStr"/>
      <c r="O3653" s="5" t="inlineStr"/>
      <c r="P3653" s="5" t="inlineStr"/>
      <c r="Q3653" s="5" t="inlineStr"/>
      <c r="R3653" s="5" t="inlineStr"/>
      <c r="S3653" s="5" t="inlineStr"/>
      <c r="T3653" s="5" t="inlineStr">
        <is>
          <t>Assinatura Vivo TV Inicial inclusa</t>
        </is>
      </c>
      <c r="U3653" s="5" t="inlineStr">
        <is>
          <t>https://vivo.com.br/para-voce/produtos-e-servicos/para-o-celular/planos-controle</t>
        </is>
      </c>
      <c r="V3653" s="5" t="inlineStr">
        <is>
          <t>data/raw/vivo_control_SP.html</t>
        </is>
      </c>
    </row>
    <row r="3654">
      <c r="A3654" s="2" t="inlineStr">
        <is>
          <t>2026-08-26</t>
        </is>
      </c>
      <c r="B3654" s="2" t="inlineStr">
        <is>
          <t>2026-08-26T21:24:35</t>
        </is>
      </c>
      <c r="C3654" s="2" t="inlineStr">
        <is>
          <t>vivo</t>
        </is>
      </c>
      <c r="D3654" s="2" t="inlineStr">
        <is>
          <t>control</t>
        </is>
      </c>
      <c r="E3654" s="2" t="inlineStr">
        <is>
          <t>SP</t>
        </is>
      </c>
      <c r="F3654" s="2" t="inlineStr">
        <is>
          <t>Vivo Controle Música</t>
        </is>
      </c>
      <c r="G3654" s="2" t="inlineStr">
        <is>
          <t>vivo:VIV202600034620</t>
        </is>
      </c>
      <c r="H3654" s="3" t="n">
        <v>85</v>
      </c>
      <c r="I3654" s="3" t="inlineStr"/>
      <c r="J3654" s="2" t="inlineStr">
        <is>
          <t>preço-base do plano; a tela exibia R$ 90 com o adicional pré-selecionado (+R$ 5/mês, opcional); 60 GB na tela incluem +10 GB do adicional</t>
        </is>
      </c>
      <c r="K3654" s="2" t="inlineStr"/>
      <c r="L3654" s="4" t="n">
        <v>50</v>
      </c>
      <c r="M3654" s="2" t="inlineStr">
        <is>
          <t>20 GB de franquia 30 GB de bônus</t>
        </is>
      </c>
      <c r="N3654" s="2" t="inlineStr"/>
      <c r="O3654" s="2" t="inlineStr"/>
      <c r="P3654" s="2" t="inlineStr"/>
      <c r="Q3654" s="2" t="inlineStr"/>
      <c r="R3654" s="2" t="inlineStr"/>
      <c r="S3654" s="2" t="inlineStr"/>
      <c r="T3654" s="2" t="inlineStr">
        <is>
          <t>Apple Music Individual</t>
        </is>
      </c>
      <c r="U3654" s="2" t="inlineStr">
        <is>
          <t>https://vivo.com.br/para-voce/produtos-e-servicos/para-o-celular/planos-controle</t>
        </is>
      </c>
      <c r="V3654" s="2" t="inlineStr">
        <is>
          <t>data/raw/vivo_control_SP.html</t>
        </is>
      </c>
    </row>
    <row r="3655">
      <c r="A3655" s="5" t="inlineStr">
        <is>
          <t>2026-08-26</t>
        </is>
      </c>
      <c r="B3655" s="5" t="inlineStr">
        <is>
          <t>2026-08-26T21:24:35</t>
        </is>
      </c>
      <c r="C3655" s="5" t="inlineStr">
        <is>
          <t>vivo</t>
        </is>
      </c>
      <c r="D3655" s="5" t="inlineStr">
        <is>
          <t>control</t>
        </is>
      </c>
      <c r="E3655" s="5" t="inlineStr">
        <is>
          <t>SP</t>
        </is>
      </c>
      <c r="F3655" s="5" t="inlineStr">
        <is>
          <t>Vivo Controle Netflix</t>
        </is>
      </c>
      <c r="G3655" s="5" t="inlineStr">
        <is>
          <t>vivo:VIV202600034623</t>
        </is>
      </c>
      <c r="H3655" s="6" t="n">
        <v>90</v>
      </c>
      <c r="I3655" s="6" t="inlineStr"/>
      <c r="J3655" s="5" t="inlineStr">
        <is>
          <t>preço-base do plano; a tela exibia R$ 95 com o adicional pré-selecionado (+R$ 5/mês, opcional); 60 GB na tela incluem +10 GB do adicional</t>
        </is>
      </c>
      <c r="K3655" s="5" t="inlineStr"/>
      <c r="L3655" s="7" t="n">
        <v>50</v>
      </c>
      <c r="M3655" s="5" t="inlineStr">
        <is>
          <t>20 GB de franquia 30 GB de bônus</t>
        </is>
      </c>
      <c r="N3655" s="5" t="inlineStr"/>
      <c r="O3655" s="5" t="inlineStr"/>
      <c r="P3655" s="5" t="inlineStr"/>
      <c r="Q3655" s="5" t="inlineStr"/>
      <c r="R3655" s="5" t="inlineStr"/>
      <c r="S3655" s="5" t="inlineStr"/>
      <c r="T3655" s="5" t="inlineStr">
        <is>
          <t>Assinatura Netflix Padrão com anúncios</t>
        </is>
      </c>
      <c r="U3655" s="5" t="inlineStr">
        <is>
          <t>https://vivo.com.br/para-voce/produtos-e-servicos/para-o-celular/planos-controle</t>
        </is>
      </c>
      <c r="V3655" s="5" t="inlineStr">
        <is>
          <t>data/raw/vivo_control_SP.html</t>
        </is>
      </c>
    </row>
    <row r="3656">
      <c r="A3656" s="2" t="inlineStr">
        <is>
          <t>2026-08-26</t>
        </is>
      </c>
      <c r="B3656" s="2" t="inlineStr">
        <is>
          <t>2026-08-26T21:24:35</t>
        </is>
      </c>
      <c r="C3656" s="2" t="inlineStr">
        <is>
          <t>vivo</t>
        </is>
      </c>
      <c r="D3656" s="2" t="inlineStr">
        <is>
          <t>control</t>
        </is>
      </c>
      <c r="E3656" s="2" t="inlineStr">
        <is>
          <t>SP</t>
        </is>
      </c>
      <c r="F3656" s="2" t="inlineStr">
        <is>
          <t>Vivo Controle Saúde</t>
        </is>
      </c>
      <c r="G3656" s="2" t="inlineStr">
        <is>
          <t>vivo:VIV202600034625</t>
        </is>
      </c>
      <c r="H3656" s="3" t="n">
        <v>85</v>
      </c>
      <c r="I3656" s="3" t="inlineStr"/>
      <c r="J3656" s="2" t="inlineStr">
        <is>
          <t>preço-base do plano; a tela exibia R$ 90 com o adicional pré-selecionado (+R$ 5/mês, opcional); 60 GB na tela incluem +10 GB do adicional</t>
        </is>
      </c>
      <c r="K3656" s="2" t="inlineStr"/>
      <c r="L3656" s="4" t="n">
        <v>50</v>
      </c>
      <c r="M3656" s="2" t="inlineStr">
        <is>
          <t>20 GB de franquia 30 GB de bônus</t>
        </is>
      </c>
      <c r="N3656" s="2" t="inlineStr"/>
      <c r="O3656" s="2" t="inlineStr"/>
      <c r="P3656" s="2" t="inlineStr"/>
      <c r="Q3656" s="2" t="inlineStr"/>
      <c r="R3656" s="2" t="inlineStr"/>
      <c r="S3656" s="2" t="inlineStr"/>
      <c r="T3656" s="2" t="inlineStr">
        <is>
          <t>Assinatura Vale Saúde Sempre inclusa</t>
        </is>
      </c>
      <c r="U3656" s="2" t="inlineStr">
        <is>
          <t>https://vivo.com.br/para-voce/produtos-e-servicos/para-o-celular/planos-controle</t>
        </is>
      </c>
      <c r="V3656" s="2" t="inlineStr">
        <is>
          <t>data/raw/vivo_control_SP.html</t>
        </is>
      </c>
    </row>
    <row r="3657">
      <c r="A3657" s="5" t="inlineStr">
        <is>
          <t>2026-08-26</t>
        </is>
      </c>
      <c r="B3657" s="5" t="inlineStr">
        <is>
          <t>2026-08-26T21:24:35</t>
        </is>
      </c>
      <c r="C3657" s="5" t="inlineStr">
        <is>
          <t>vivo</t>
        </is>
      </c>
      <c r="D3657" s="5" t="inlineStr">
        <is>
          <t>control</t>
        </is>
      </c>
      <c r="E3657" s="5" t="inlineStr">
        <is>
          <t>SP</t>
        </is>
      </c>
      <c r="F3657" s="5" t="inlineStr">
        <is>
          <t>Vivo Controle Youtube Lite</t>
        </is>
      </c>
      <c r="G3657" s="5" t="inlineStr">
        <is>
          <t>vivo:VIV202600034626</t>
        </is>
      </c>
      <c r="H3657" s="6" t="n">
        <v>85</v>
      </c>
      <c r="I3657" s="6" t="inlineStr"/>
      <c r="J3657" s="5" t="inlineStr">
        <is>
          <t>preço-base do plano; a tela exibia R$ 90 com o adicional pré-selecionado (+R$ 5/mês, opcional); 60 GB na tela incluem +10 GB do adicional</t>
        </is>
      </c>
      <c r="K3657" s="5" t="inlineStr"/>
      <c r="L3657" s="7" t="n">
        <v>50</v>
      </c>
      <c r="M3657" s="5" t="inlineStr">
        <is>
          <t>20 GB de franquia 30 GB de bônus</t>
        </is>
      </c>
      <c r="N3657" s="5" t="inlineStr"/>
      <c r="O3657" s="5" t="inlineStr"/>
      <c r="P3657" s="5" t="inlineStr"/>
      <c r="Q3657" s="5" t="inlineStr"/>
      <c r="R3657" s="5" t="inlineStr"/>
      <c r="S3657" s="5" t="inlineStr"/>
      <c r="T3657" s="5" t="inlineStr">
        <is>
          <t>2 meses de YouTube sem consumo no plano</t>
        </is>
      </c>
      <c r="U3657" s="5" t="inlineStr">
        <is>
          <t>https://vivo.com.br/para-voce/produtos-e-servicos/para-o-celular/planos-controle</t>
        </is>
      </c>
      <c r="V3657" s="5" t="inlineStr">
        <is>
          <t>data/raw/vivo_control_SP.html</t>
        </is>
      </c>
    </row>
    <row r="3658">
      <c r="A3658" s="2" t="inlineStr">
        <is>
          <t>2026-08-26</t>
        </is>
      </c>
      <c r="B3658" s="2" t="inlineStr">
        <is>
          <t>2026-08-26T21:24:35</t>
        </is>
      </c>
      <c r="C3658" s="2" t="inlineStr">
        <is>
          <t>vivo</t>
        </is>
      </c>
      <c r="D3658" s="2" t="inlineStr">
        <is>
          <t>lite</t>
        </is>
      </c>
      <c r="E3658" s="2" t="inlineStr">
        <is>
          <t>SP</t>
        </is>
      </c>
      <c r="F3658" s="2" t="inlineStr">
        <is>
          <t>Vivo Lite</t>
        </is>
      </c>
      <c r="G3658" s="2" t="inlineStr">
        <is>
          <t>vivo:VIV202600033987</t>
        </is>
      </c>
      <c r="H3658" s="3" t="n">
        <v>45</v>
      </c>
      <c r="I3658" s="3" t="n">
        <v>30</v>
      </c>
      <c r="J3658" s="2" t="inlineStr">
        <is>
          <t>preço sem fidelidade; fidelidade 12m no promo</t>
        </is>
      </c>
      <c r="K3658" s="2" t="inlineStr"/>
      <c r="L3658" s="4" t="n">
        <v>30</v>
      </c>
      <c r="M3658" s="2" t="inlineStr">
        <is>
          <t>30 GB de franquia</t>
        </is>
      </c>
      <c r="N3658" s="2" t="inlineStr"/>
      <c r="O3658" s="2" t="inlineStr"/>
      <c r="P3658" s="2" t="inlineStr"/>
      <c r="Q3658" s="2" t="inlineStr"/>
      <c r="R3658" s="2" t="inlineStr"/>
      <c r="S3658" s="2" t="n">
        <v>12</v>
      </c>
      <c r="T3658" s="2" t="inlineStr">
        <is>
          <t>2 meses de YouTube sem consumo no plano</t>
        </is>
      </c>
      <c r="U3658" s="2" t="inlineStr">
        <is>
          <t>https://vivo.com.br/para-voce/produtos-e-servicos/para-o-celular/easy-lite</t>
        </is>
      </c>
      <c r="V3658" s="2" t="inlineStr">
        <is>
          <t>data/raw/vivo_lite_SP.html</t>
        </is>
      </c>
    </row>
    <row r="3659">
      <c r="A3659" s="5" t="inlineStr">
        <is>
          <t>2026-08-26</t>
        </is>
      </c>
      <c r="B3659" s="5" t="inlineStr">
        <is>
          <t>2026-08-26T21:24:35</t>
        </is>
      </c>
      <c r="C3659" s="5" t="inlineStr">
        <is>
          <t>vivo</t>
        </is>
      </c>
      <c r="D3659" s="5" t="inlineStr">
        <is>
          <t>lite</t>
        </is>
      </c>
      <c r="E3659" s="5" t="inlineStr">
        <is>
          <t>SP</t>
        </is>
      </c>
      <c r="F3659" s="5" t="inlineStr">
        <is>
          <t>Vivo Lite</t>
        </is>
      </c>
      <c r="G3659" s="5" t="inlineStr">
        <is>
          <t>vivo:VIV202600033989</t>
        </is>
      </c>
      <c r="H3659" s="6" t="n">
        <v>55</v>
      </c>
      <c r="I3659" s="6" t="n">
        <v>40</v>
      </c>
      <c r="J3659" s="5" t="inlineStr">
        <is>
          <t>preço sem fidelidade; fidelidade 12m no promo</t>
        </is>
      </c>
      <c r="K3659" s="5" t="inlineStr"/>
      <c r="L3659" s="7" t="n">
        <v>40</v>
      </c>
      <c r="M3659" s="5" t="inlineStr">
        <is>
          <t>40 GB de franquia</t>
        </is>
      </c>
      <c r="N3659" s="5" t="inlineStr"/>
      <c r="O3659" s="5" t="inlineStr"/>
      <c r="P3659" s="5" t="inlineStr"/>
      <c r="Q3659" s="5" t="inlineStr"/>
      <c r="R3659" s="5" t="inlineStr"/>
      <c r="S3659" s="5" t="n">
        <v>12</v>
      </c>
      <c r="T3659" s="5" t="inlineStr">
        <is>
          <t>2 meses de YouTube sem consumo no plano</t>
        </is>
      </c>
      <c r="U3659" s="5" t="inlineStr">
        <is>
          <t>https://vivo.com.br/para-voce/produtos-e-servicos/para-o-celular/easy-lite</t>
        </is>
      </c>
      <c r="V3659" s="5" t="inlineStr">
        <is>
          <t>data/raw/vivo_lite_SP.html</t>
        </is>
      </c>
    </row>
    <row r="3660">
      <c r="A3660" s="2" t="inlineStr">
        <is>
          <t>2026-08-26</t>
        </is>
      </c>
      <c r="B3660" s="2" t="inlineStr">
        <is>
          <t>2026-08-26T21:24:35</t>
        </is>
      </c>
      <c r="C3660" s="2" t="inlineStr">
        <is>
          <t>vivo</t>
        </is>
      </c>
      <c r="D3660" s="2" t="inlineStr">
        <is>
          <t>lite</t>
        </is>
      </c>
      <c r="E3660" s="2" t="inlineStr">
        <is>
          <t>SP</t>
        </is>
      </c>
      <c r="F3660" s="2" t="inlineStr">
        <is>
          <t>Vivo Lite</t>
        </is>
      </c>
      <c r="G3660" s="2" t="inlineStr">
        <is>
          <t>vivo:VIV202600033992</t>
        </is>
      </c>
      <c r="H3660" s="3" t="n">
        <v>35</v>
      </c>
      <c r="I3660" s="3" t="inlineStr"/>
      <c r="J3660" s="2" t="inlineStr"/>
      <c r="K3660" s="2" t="inlineStr"/>
      <c r="L3660" s="4" t="n">
        <v>20</v>
      </c>
      <c r="M3660" s="2" t="inlineStr">
        <is>
          <t>20 GB de franquia</t>
        </is>
      </c>
      <c r="N3660" s="2" t="inlineStr"/>
      <c r="O3660" s="2" t="inlineStr"/>
      <c r="P3660" s="2" t="inlineStr"/>
      <c r="Q3660" s="2" t="inlineStr"/>
      <c r="R3660" s="2" t="inlineStr"/>
      <c r="S3660" s="2" t="inlineStr"/>
      <c r="T3660" s="2" t="inlineStr">
        <is>
          <t>2 meses de YouTube sem consumo no plano</t>
        </is>
      </c>
      <c r="U3660" s="2" t="inlineStr">
        <is>
          <t>https://vivo.com.br/para-voce/produtos-e-servicos/para-o-celular/easy-lite</t>
        </is>
      </c>
      <c r="V3660" s="2" t="inlineStr">
        <is>
          <t>data/raw/vivo_lite_SP.html</t>
        </is>
      </c>
    </row>
    <row r="3661">
      <c r="A3661" s="5" t="inlineStr">
        <is>
          <t>2026-08-26</t>
        </is>
      </c>
      <c r="B3661" s="5" t="inlineStr">
        <is>
          <t>2026-08-26T21:24:35</t>
        </is>
      </c>
      <c r="C3661" s="5" t="inlineStr">
        <is>
          <t>vivo</t>
        </is>
      </c>
      <c r="D3661" s="5" t="inlineStr">
        <is>
          <t>postpaid</t>
        </is>
      </c>
      <c r="E3661" s="5" t="inlineStr">
        <is>
          <t>SP</t>
        </is>
      </c>
      <c r="F3661" s="5" t="inlineStr">
        <is>
          <t>Vivo Família 2</t>
        </is>
      </c>
      <c r="G3661" s="5" t="inlineStr">
        <is>
          <t>vivo:VIV202600034547</t>
        </is>
      </c>
      <c r="H3661" s="6" t="n">
        <v>270</v>
      </c>
      <c r="I3661" s="6" t="inlineStr"/>
      <c r="J3661" s="5" t="inlineStr"/>
      <c r="K3661" s="5" t="inlineStr"/>
      <c r="L3661" s="7" t="n">
        <v>120</v>
      </c>
      <c r="M3661" s="5" t="inlineStr">
        <is>
          <t>120 GB de franquia Você + 1 linha adicional Roaming Internacional com Vivo Travel Américas e Europa</t>
        </is>
      </c>
      <c r="N3661" s="5" t="inlineStr"/>
      <c r="O3661" s="5" t="inlineStr"/>
      <c r="P3661" s="5" t="inlineStr"/>
      <c r="Q3661" s="5" t="inlineStr"/>
      <c r="R3661" s="5" t="inlineStr"/>
      <c r="S3661" s="5" t="inlineStr"/>
      <c r="T3661" s="5" t="inlineStr">
        <is>
          <t>2 meses de YouTube sem consumo no plano</t>
        </is>
      </c>
      <c r="U3661" s="5" t="inlineStr">
        <is>
          <t>https://vivo.com.br/para-voce/produtos-e-servicos/para-o-celular/planos-pos-pago</t>
        </is>
      </c>
      <c r="V3661" s="5" t="inlineStr">
        <is>
          <t>data/raw/vivo_postpaid_SP.html</t>
        </is>
      </c>
    </row>
    <row r="3662">
      <c r="A3662" s="2" t="inlineStr">
        <is>
          <t>2026-08-26</t>
        </is>
      </c>
      <c r="B3662" s="2" t="inlineStr">
        <is>
          <t>2026-08-26T21:24:35</t>
        </is>
      </c>
      <c r="C3662" s="2" t="inlineStr">
        <is>
          <t>vivo</t>
        </is>
      </c>
      <c r="D3662" s="2" t="inlineStr">
        <is>
          <t>postpaid</t>
        </is>
      </c>
      <c r="E3662" s="2" t="inlineStr">
        <is>
          <t>SP</t>
        </is>
      </c>
      <c r="F3662" s="2" t="inlineStr">
        <is>
          <t>Vivo Família 3</t>
        </is>
      </c>
      <c r="G3662" s="2" t="inlineStr">
        <is>
          <t>vivo:VIV202600034540</t>
        </is>
      </c>
      <c r="H3662" s="3" t="n">
        <v>340</v>
      </c>
      <c r="I3662" s="3" t="inlineStr"/>
      <c r="J3662" s="2" t="inlineStr"/>
      <c r="K3662" s="2" t="inlineStr"/>
      <c r="L3662" s="4" t="n">
        <v>180</v>
      </c>
      <c r="M3662" s="2" t="inlineStr">
        <is>
          <t>180 GB de franquia Você + 2 linhas adicionais Roaming Internacional com Vivo Travel Américas e Europa</t>
        </is>
      </c>
      <c r="N3662" s="2" t="inlineStr"/>
      <c r="O3662" s="2" t="inlineStr"/>
      <c r="P3662" s="2" t="inlineStr"/>
      <c r="Q3662" s="2" t="inlineStr"/>
      <c r="R3662" s="2" t="inlineStr"/>
      <c r="S3662" s="2" t="inlineStr"/>
      <c r="T3662" s="2" t="inlineStr">
        <is>
          <t>2 meses de YouTube sem consumo no plano</t>
        </is>
      </c>
      <c r="U3662" s="2" t="inlineStr">
        <is>
          <t>https://vivo.com.br/para-voce/produtos-e-servicos/para-o-celular/planos-pos-pago</t>
        </is>
      </c>
      <c r="V3662" s="2" t="inlineStr">
        <is>
          <t>data/raw/vivo_postpaid_SP.html</t>
        </is>
      </c>
    </row>
    <row r="3663">
      <c r="A3663" s="5" t="inlineStr">
        <is>
          <t>2026-08-26</t>
        </is>
      </c>
      <c r="B3663" s="5" t="inlineStr">
        <is>
          <t>2026-08-26T21:24:35</t>
        </is>
      </c>
      <c r="C3663" s="5" t="inlineStr">
        <is>
          <t>vivo</t>
        </is>
      </c>
      <c r="D3663" s="5" t="inlineStr">
        <is>
          <t>postpaid</t>
        </is>
      </c>
      <c r="E3663" s="5" t="inlineStr">
        <is>
          <t>SP</t>
        </is>
      </c>
      <c r="F3663" s="5" t="inlineStr">
        <is>
          <t>Vivo Família 4</t>
        </is>
      </c>
      <c r="G3663" s="5" t="inlineStr">
        <is>
          <t>vivo:VIV202600034531</t>
        </is>
      </c>
      <c r="H3663" s="6" t="n">
        <v>430</v>
      </c>
      <c r="I3663" s="6" t="inlineStr"/>
      <c r="J3663" s="5" t="inlineStr"/>
      <c r="K3663" s="5" t="inlineStr"/>
      <c r="L3663" s="7" t="n">
        <v>240</v>
      </c>
      <c r="M3663" s="5" t="inlineStr">
        <is>
          <t>240 GB de franquia Você + 3 linhas adicionais Roaming Internacional com Vivo Travel Américas e Europa</t>
        </is>
      </c>
      <c r="N3663" s="5" t="inlineStr"/>
      <c r="O3663" s="5" t="inlineStr"/>
      <c r="P3663" s="5" t="inlineStr"/>
      <c r="Q3663" s="5" t="inlineStr"/>
      <c r="R3663" s="5" t="inlineStr"/>
      <c r="S3663" s="5" t="inlineStr"/>
      <c r="T3663" s="5" t="inlineStr">
        <is>
          <t>2 meses de YouTube sem consumo no plano</t>
        </is>
      </c>
      <c r="U3663" s="5" t="inlineStr">
        <is>
          <t>https://vivo.com.br/para-voce/produtos-e-servicos/para-o-celular/planos-pos-pago</t>
        </is>
      </c>
      <c r="V3663" s="5" t="inlineStr">
        <is>
          <t>data/raw/vivo_postpaid_SP.html</t>
        </is>
      </c>
    </row>
    <row r="3664">
      <c r="A3664" s="2" t="inlineStr">
        <is>
          <t>2026-08-26</t>
        </is>
      </c>
      <c r="B3664" s="2" t="inlineStr">
        <is>
          <t>2026-08-26T21:24:35</t>
        </is>
      </c>
      <c r="C3664" s="2" t="inlineStr">
        <is>
          <t>vivo</t>
        </is>
      </c>
      <c r="D3664" s="2" t="inlineStr">
        <is>
          <t>postpaid</t>
        </is>
      </c>
      <c r="E3664" s="2" t="inlineStr">
        <is>
          <t>SP</t>
        </is>
      </c>
      <c r="F3664" s="2" t="inlineStr">
        <is>
          <t>Vivo Família 5</t>
        </is>
      </c>
      <c r="G3664" s="2" t="inlineStr">
        <is>
          <t>vivo:VIV202600034526</t>
        </is>
      </c>
      <c r="H3664" s="3" t="n">
        <v>530</v>
      </c>
      <c r="I3664" s="3" t="inlineStr"/>
      <c r="J3664" s="2" t="inlineStr"/>
      <c r="K3664" s="2" t="inlineStr"/>
      <c r="L3664" s="4" t="n">
        <v>300</v>
      </c>
      <c r="M3664" s="2" t="inlineStr">
        <is>
          <t>300 GB de franquia Você + 4 linhas adicionais Roaming Internacional com Vivo Travel Américas e Europa</t>
        </is>
      </c>
      <c r="N3664" s="2" t="inlineStr"/>
      <c r="O3664" s="2" t="inlineStr"/>
      <c r="P3664" s="2" t="inlineStr"/>
      <c r="Q3664" s="2" t="inlineStr"/>
      <c r="R3664" s="2" t="inlineStr"/>
      <c r="S3664" s="2" t="inlineStr"/>
      <c r="T3664" s="2" t="inlineStr">
        <is>
          <t>2 meses de YouTube sem consumo no plano</t>
        </is>
      </c>
      <c r="U3664" s="2" t="inlineStr">
        <is>
          <t>https://vivo.com.br/para-voce/produtos-e-servicos/para-o-celular/planos-pos-pago</t>
        </is>
      </c>
      <c r="V3664" s="2" t="inlineStr">
        <is>
          <t>data/raw/vivo_postpaid_SP.html</t>
        </is>
      </c>
    </row>
    <row r="3665">
      <c r="A3665" s="5" t="inlineStr">
        <is>
          <t>2026-08-26</t>
        </is>
      </c>
      <c r="B3665" s="5" t="inlineStr">
        <is>
          <t>2026-08-26T21:24:35</t>
        </is>
      </c>
      <c r="C3665" s="5" t="inlineStr">
        <is>
          <t>vivo</t>
        </is>
      </c>
      <c r="D3665" s="5" t="inlineStr">
        <is>
          <t>postpaid</t>
        </is>
      </c>
      <c r="E3665" s="5" t="inlineStr">
        <is>
          <t>SP</t>
        </is>
      </c>
      <c r="F3665" s="5" t="inlineStr">
        <is>
          <t>Vivo Pós com Amazon</t>
        </is>
      </c>
      <c r="G3665" s="5" t="inlineStr">
        <is>
          <t>vivo:VIV202600034554</t>
        </is>
      </c>
      <c r="H3665" s="6" t="n">
        <v>150</v>
      </c>
      <c r="I3665" s="6" t="inlineStr"/>
      <c r="J3665" s="5" t="inlineStr"/>
      <c r="K3665" s="5" t="inlineStr"/>
      <c r="L3665" s="7" t="n">
        <v>60</v>
      </c>
      <c r="M3665" s="5" t="inlineStr">
        <is>
          <t>50 GB de franquia 10 GB de bônus</t>
        </is>
      </c>
      <c r="N3665" s="5" t="inlineStr"/>
      <c r="O3665" s="5" t="inlineStr"/>
      <c r="P3665" s="5" t="inlineStr"/>
      <c r="Q3665" s="5" t="inlineStr"/>
      <c r="R3665" s="5" t="inlineStr"/>
      <c r="S3665" s="5" t="inlineStr"/>
      <c r="T3665" s="5" t="inlineStr">
        <is>
          <t>Assinatura Amazon Prime inclusa</t>
        </is>
      </c>
      <c r="U3665" s="5" t="inlineStr">
        <is>
          <t>https://vivo.com.br/para-voce/produtos-e-servicos/para-o-celular/planos-pos-pago</t>
        </is>
      </c>
      <c r="V3665" s="5" t="inlineStr">
        <is>
          <t>data/raw/vivo_postpaid_SP.html</t>
        </is>
      </c>
    </row>
    <row r="3666">
      <c r="A3666" s="2" t="inlineStr">
        <is>
          <t>2026-08-26</t>
        </is>
      </c>
      <c r="B3666" s="2" t="inlineStr">
        <is>
          <t>2026-08-26T21:24:35</t>
        </is>
      </c>
      <c r="C3666" s="2" t="inlineStr">
        <is>
          <t>vivo</t>
        </is>
      </c>
      <c r="D3666" s="2" t="inlineStr">
        <is>
          <t>postpaid</t>
        </is>
      </c>
      <c r="E3666" s="2" t="inlineStr">
        <is>
          <t>SP</t>
        </is>
      </c>
      <c r="F3666" s="2" t="inlineStr">
        <is>
          <t>Vivo Pós com Disney+</t>
        </is>
      </c>
      <c r="G3666" s="2" t="inlineStr">
        <is>
          <t>vivo:VIV202600034532</t>
        </is>
      </c>
      <c r="H3666" s="3" t="n">
        <v>180</v>
      </c>
      <c r="I3666" s="3" t="inlineStr"/>
      <c r="J3666" s="2" t="inlineStr"/>
      <c r="K3666" s="2" t="inlineStr"/>
      <c r="L3666" s="4" t="n">
        <v>60</v>
      </c>
      <c r="M3666" s="2" t="inlineStr">
        <is>
          <t>50 GB de franquia 10 GB de bônus</t>
        </is>
      </c>
      <c r="N3666" s="2" t="inlineStr"/>
      <c r="O3666" s="2" t="inlineStr"/>
      <c r="P3666" s="2" t="inlineStr"/>
      <c r="Q3666" s="2" t="inlineStr"/>
      <c r="R3666" s="2" t="inlineStr">
        <is>
          <t>Disney+</t>
        </is>
      </c>
      <c r="S3666" s="2" t="inlineStr"/>
      <c r="T3666" s="2" t="inlineStr">
        <is>
          <t>Assinatura Disney+ Padrão inclusa</t>
        </is>
      </c>
      <c r="U3666" s="2" t="inlineStr">
        <is>
          <t>https://vivo.com.br/para-voce/produtos-e-servicos/para-o-celular/planos-pos-pago</t>
        </is>
      </c>
      <c r="V3666" s="2" t="inlineStr">
        <is>
          <t>data/raw/vivo_postpaid_SP.html</t>
        </is>
      </c>
    </row>
    <row r="3667">
      <c r="A3667" s="5" t="inlineStr">
        <is>
          <t>2026-08-26</t>
        </is>
      </c>
      <c r="B3667" s="5" t="inlineStr">
        <is>
          <t>2026-08-26T21:24:35</t>
        </is>
      </c>
      <c r="C3667" s="5" t="inlineStr">
        <is>
          <t>vivo</t>
        </is>
      </c>
      <c r="D3667" s="5" t="inlineStr">
        <is>
          <t>postpaid</t>
        </is>
      </c>
      <c r="E3667" s="5" t="inlineStr">
        <is>
          <t>SP</t>
        </is>
      </c>
      <c r="F3667" s="5" t="inlineStr">
        <is>
          <t>Vivo Pós com Globoplay</t>
        </is>
      </c>
      <c r="G3667" s="5" t="inlineStr">
        <is>
          <t>vivo:VIV202600034575</t>
        </is>
      </c>
      <c r="H3667" s="6" t="n">
        <v>165</v>
      </c>
      <c r="I3667" s="6" t="inlineStr"/>
      <c r="J3667" s="5" t="inlineStr"/>
      <c r="K3667" s="5" t="inlineStr"/>
      <c r="L3667" s="7" t="n">
        <v>60</v>
      </c>
      <c r="M3667" s="5" t="inlineStr">
        <is>
          <t>50 GB de franquia 10 GB de bônus</t>
        </is>
      </c>
      <c r="N3667" s="5" t="inlineStr"/>
      <c r="O3667" s="5" t="inlineStr"/>
      <c r="P3667" s="5" t="inlineStr"/>
      <c r="Q3667" s="5" t="inlineStr"/>
      <c r="R3667" s="5" t="inlineStr">
        <is>
          <t>Globoplay</t>
        </is>
      </c>
      <c r="S3667" s="5" t="inlineStr"/>
      <c r="T3667" s="5" t="inlineStr">
        <is>
          <t>Assinatura Globoplay inclusa</t>
        </is>
      </c>
      <c r="U3667" s="5" t="inlineStr">
        <is>
          <t>https://vivo.com.br/para-voce/produtos-e-servicos/para-o-celular/planos-pos-pago</t>
        </is>
      </c>
      <c r="V3667" s="5" t="inlineStr">
        <is>
          <t>data/raw/vivo_postpaid_SP.html</t>
        </is>
      </c>
    </row>
    <row r="3668">
      <c r="A3668" s="2" t="inlineStr">
        <is>
          <t>2026-08-26</t>
        </is>
      </c>
      <c r="B3668" s="2" t="inlineStr">
        <is>
          <t>2026-08-26T21:24:35</t>
        </is>
      </c>
      <c r="C3668" s="2" t="inlineStr">
        <is>
          <t>vivo</t>
        </is>
      </c>
      <c r="D3668" s="2" t="inlineStr">
        <is>
          <t>postpaid</t>
        </is>
      </c>
      <c r="E3668" s="2" t="inlineStr">
        <is>
          <t>SP</t>
        </is>
      </c>
      <c r="F3668" s="2" t="inlineStr">
        <is>
          <t>Vivo Pós com Netflix</t>
        </is>
      </c>
      <c r="G3668" s="2" t="inlineStr">
        <is>
          <t>vivo:VIV202600034562</t>
        </is>
      </c>
      <c r="H3668" s="3" t="n">
        <v>180</v>
      </c>
      <c r="I3668" s="3" t="inlineStr"/>
      <c r="J3668" s="2" t="inlineStr"/>
      <c r="K3668" s="2" t="inlineStr"/>
      <c r="L3668" s="4" t="n">
        <v>60</v>
      </c>
      <c r="M3668" s="2" t="inlineStr">
        <is>
          <t>50 GB de franquia 10 GB de bônus</t>
        </is>
      </c>
      <c r="N3668" s="2" t="inlineStr"/>
      <c r="O3668" s="2" t="inlineStr"/>
      <c r="P3668" s="2" t="inlineStr"/>
      <c r="Q3668" s="2" t="inlineStr"/>
      <c r="R3668" s="2" t="inlineStr">
        <is>
          <t>Netflix</t>
        </is>
      </c>
      <c r="S3668" s="2" t="inlineStr"/>
      <c r="T3668" s="2" t="inlineStr">
        <is>
          <t>Assinatura Netflix Padrão inclusa</t>
        </is>
      </c>
      <c r="U3668" s="2" t="inlineStr">
        <is>
          <t>https://vivo.com.br/para-voce/produtos-e-servicos/para-o-celular/planos-pos-pago</t>
        </is>
      </c>
      <c r="V3668" s="2" t="inlineStr">
        <is>
          <t>data/raw/vivo_postpaid_SP.html</t>
        </is>
      </c>
    </row>
    <row r="3669">
      <c r="A3669" s="5" t="inlineStr">
        <is>
          <t>2026-08-26</t>
        </is>
      </c>
      <c r="B3669" s="5" t="inlineStr">
        <is>
          <t>2026-08-26T21:24:35</t>
        </is>
      </c>
      <c r="C3669" s="5" t="inlineStr">
        <is>
          <t>vivo</t>
        </is>
      </c>
      <c r="D3669" s="5" t="inlineStr">
        <is>
          <t>postpaid</t>
        </is>
      </c>
      <c r="E3669" s="5" t="inlineStr">
        <is>
          <t>SP</t>
        </is>
      </c>
      <c r="F3669" s="5" t="inlineStr">
        <is>
          <t>Vivo Pós com Premiere</t>
        </is>
      </c>
      <c r="G3669" s="5" t="inlineStr">
        <is>
          <t>vivo:VIV202600034579</t>
        </is>
      </c>
      <c r="H3669" s="6" t="n">
        <v>180</v>
      </c>
      <c r="I3669" s="6" t="inlineStr"/>
      <c r="J3669" s="5" t="inlineStr"/>
      <c r="K3669" s="5" t="inlineStr"/>
      <c r="L3669" s="7" t="n">
        <v>60</v>
      </c>
      <c r="M3669" s="5" t="inlineStr">
        <is>
          <t>50 GB de franquia 10 GB de bônus</t>
        </is>
      </c>
      <c r="N3669" s="5" t="inlineStr"/>
      <c r="O3669" s="5" t="inlineStr"/>
      <c r="P3669" s="5" t="inlineStr"/>
      <c r="Q3669" s="5" t="inlineStr"/>
      <c r="R3669" s="5" t="inlineStr">
        <is>
          <t>Premiere</t>
        </is>
      </c>
      <c r="S3669" s="5" t="inlineStr"/>
      <c r="T3669" s="5" t="inlineStr">
        <is>
          <t>Assinatura Premiere inclusa</t>
        </is>
      </c>
      <c r="U3669" s="5" t="inlineStr">
        <is>
          <t>https://vivo.com.br/para-voce/produtos-e-servicos/para-o-celular/planos-pos-pago</t>
        </is>
      </c>
      <c r="V3669" s="5" t="inlineStr">
        <is>
          <t>data/raw/vivo_postpaid_SP.html</t>
        </is>
      </c>
    </row>
    <row r="3670">
      <c r="A3670" s="2" t="inlineStr">
        <is>
          <t>2026-08-26</t>
        </is>
      </c>
      <c r="B3670" s="2" t="inlineStr">
        <is>
          <t>2026-08-26T21:24:35</t>
        </is>
      </c>
      <c r="C3670" s="2" t="inlineStr">
        <is>
          <t>vivo</t>
        </is>
      </c>
      <c r="D3670" s="2" t="inlineStr">
        <is>
          <t>postpaid</t>
        </is>
      </c>
      <c r="E3670" s="2" t="inlineStr">
        <is>
          <t>SP</t>
        </is>
      </c>
      <c r="F3670" s="2" t="inlineStr">
        <is>
          <t>Vivo Pós com Spotify</t>
        </is>
      </c>
      <c r="G3670" s="2" t="inlineStr">
        <is>
          <t>vivo:VIV202600034556</t>
        </is>
      </c>
      <c r="H3670" s="3" t="n">
        <v>165</v>
      </c>
      <c r="I3670" s="3" t="inlineStr"/>
      <c r="J3670" s="2" t="inlineStr"/>
      <c r="K3670" s="2" t="inlineStr"/>
      <c r="L3670" s="4" t="n">
        <v>60</v>
      </c>
      <c r="M3670" s="2" t="inlineStr">
        <is>
          <t>50 GB de franquia 10 GB de bônus</t>
        </is>
      </c>
      <c r="N3670" s="2" t="inlineStr"/>
      <c r="O3670" s="2" t="inlineStr"/>
      <c r="P3670" s="2" t="inlineStr"/>
      <c r="Q3670" s="2" t="inlineStr"/>
      <c r="R3670" s="2" t="inlineStr">
        <is>
          <t>Spotify</t>
        </is>
      </c>
      <c r="S3670" s="2" t="inlineStr"/>
      <c r="T3670" s="2" t="inlineStr">
        <is>
          <t>Assinatura Spotify Premium inclusa</t>
        </is>
      </c>
      <c r="U3670" s="2" t="inlineStr">
        <is>
          <t>https://vivo.com.br/para-voce/produtos-e-servicos/para-o-celular/planos-pos-pago</t>
        </is>
      </c>
      <c r="V3670" s="2" t="inlineStr">
        <is>
          <t>data/raw/vivo_postpaid_SP.html</t>
        </is>
      </c>
    </row>
    <row r="3671">
      <c r="A3671" s="5" t="inlineStr">
        <is>
          <t>2026-08-26</t>
        </is>
      </c>
      <c r="B3671" s="5" t="inlineStr">
        <is>
          <t>2026-08-26T21:24:35</t>
        </is>
      </c>
      <c r="C3671" s="5" t="inlineStr">
        <is>
          <t>vivo</t>
        </is>
      </c>
      <c r="D3671" s="5" t="inlineStr">
        <is>
          <t>postpaid</t>
        </is>
      </c>
      <c r="E3671" s="5" t="inlineStr">
        <is>
          <t>SP</t>
        </is>
      </c>
      <c r="F3671" s="5" t="inlineStr">
        <is>
          <t>Vivo Pós com Travel</t>
        </is>
      </c>
      <c r="G3671" s="5" t="inlineStr">
        <is>
          <t>vivo:VIV202600034573</t>
        </is>
      </c>
      <c r="H3671" s="6" t="n">
        <v>215</v>
      </c>
      <c r="I3671" s="6" t="inlineStr"/>
      <c r="J3671" s="5" t="inlineStr"/>
      <c r="K3671" s="5" t="inlineStr"/>
      <c r="L3671" s="7" t="n">
        <v>70</v>
      </c>
      <c r="M3671" s="5" t="inlineStr">
        <is>
          <t>60 GB de franquia 10 GB de bônus</t>
        </is>
      </c>
      <c r="N3671" s="5" t="inlineStr"/>
      <c r="O3671" s="5" t="inlineStr"/>
      <c r="P3671" s="5" t="inlineStr"/>
      <c r="Q3671" s="5" t="inlineStr"/>
      <c r="R3671" s="5" t="inlineStr"/>
      <c r="S3671" s="5" t="inlineStr"/>
      <c r="T3671" s="5" t="inlineStr">
        <is>
          <t>2 meses de YouTube sem consumo no plano</t>
        </is>
      </c>
      <c r="U3671" s="5" t="inlineStr">
        <is>
          <t>https://vivo.com.br/para-voce/produtos-e-servicos/para-o-celular/planos-pos-pago</t>
        </is>
      </c>
      <c r="V3671" s="5" t="inlineStr">
        <is>
          <t>data/raw/vivo_postpaid_SP.html</t>
        </is>
      </c>
    </row>
    <row r="3672">
      <c r="A3672" s="2" t="inlineStr">
        <is>
          <t>2026-08-26</t>
        </is>
      </c>
      <c r="B3672" s="2" t="inlineStr">
        <is>
          <t>2026-08-26T21:24:35</t>
        </is>
      </c>
      <c r="C3672" s="2" t="inlineStr">
        <is>
          <t>vivo</t>
        </is>
      </c>
      <c r="D3672" s="2" t="inlineStr">
        <is>
          <t>prepaid</t>
        </is>
      </c>
      <c r="E3672" s="2" t="inlineStr">
        <is>
          <t>SP</t>
        </is>
      </c>
      <c r="F3672" s="2" t="inlineStr">
        <is>
          <t>Vivo Pré</t>
        </is>
      </c>
      <c r="G3672" s="2" t="inlineStr">
        <is>
          <t>vivo:VIV202600029370-30d</t>
        </is>
      </c>
      <c r="H3672" s="3" t="n">
        <v>30</v>
      </c>
      <c r="I3672" s="3" t="inlineStr"/>
      <c r="J3672" s="2" t="inlineStr"/>
      <c r="K3672" s="2" t="inlineStr"/>
      <c r="L3672" s="4" t="n">
        <v>25</v>
      </c>
      <c r="M3672" s="2" t="inlineStr">
        <is>
          <t>15 GB para navegar como quiser 5 GB de bônus 5 GB para navegar no Youtube</t>
        </is>
      </c>
      <c r="N3672" s="2" t="n">
        <v>30</v>
      </c>
      <c r="O3672" s="2" t="inlineStr"/>
      <c r="P3672" s="2" t="inlineStr"/>
      <c r="Q3672" s="2" t="inlineStr"/>
      <c r="R3672" s="2" t="inlineStr"/>
      <c r="S3672" s="2" t="inlineStr"/>
      <c r="T3672" s="2" t="inlineStr"/>
      <c r="U3672" s="2" t="inlineStr">
        <is>
          <t>https://vivo.com.br/para-voce/produtos-e-servicos/para-o-celular/pre-pago/vivo-pre</t>
        </is>
      </c>
      <c r="V3672" s="2" t="inlineStr">
        <is>
          <t>data/raw/vivo_prepaid_SP.html</t>
        </is>
      </c>
    </row>
    <row r="3673">
      <c r="A3673" s="5" t="inlineStr">
        <is>
          <t>2026-08-26</t>
        </is>
      </c>
      <c r="B3673" s="5" t="inlineStr">
        <is>
          <t>2026-08-26T21:24:35</t>
        </is>
      </c>
      <c r="C3673" s="5" t="inlineStr">
        <is>
          <t>vivo</t>
        </is>
      </c>
      <c r="D3673" s="5" t="inlineStr">
        <is>
          <t>prepaid</t>
        </is>
      </c>
      <c r="E3673" s="5" t="inlineStr">
        <is>
          <t>SP</t>
        </is>
      </c>
      <c r="F3673" s="5" t="inlineStr">
        <is>
          <t>Vivo Pré</t>
        </is>
      </c>
      <c r="G3673" s="5" t="inlineStr">
        <is>
          <t>vivo:VIV202600029370-22d</t>
        </is>
      </c>
      <c r="H3673" s="6" t="n">
        <v>25</v>
      </c>
      <c r="I3673" s="6" t="inlineStr"/>
      <c r="J3673" s="5" t="inlineStr"/>
      <c r="K3673" s="5" t="inlineStr"/>
      <c r="L3673" s="7" t="n">
        <v>9</v>
      </c>
      <c r="M3673" s="5" t="inlineStr">
        <is>
          <t>6 GB para navegar como quiser 3 GB para navegar no YouTube</t>
        </is>
      </c>
      <c r="N3673" s="5" t="n">
        <v>22</v>
      </c>
      <c r="O3673" s="5" t="inlineStr"/>
      <c r="P3673" s="5" t="inlineStr"/>
      <c r="Q3673" s="5" t="inlineStr"/>
      <c r="R3673" s="5" t="inlineStr"/>
      <c r="S3673" s="5" t="inlineStr"/>
      <c r="T3673" s="5" t="inlineStr"/>
      <c r="U3673" s="5" t="inlineStr">
        <is>
          <t>https://vivo.com.br/para-voce/produtos-e-servicos/para-o-celular/pre-pago/vivo-pre</t>
        </is>
      </c>
      <c r="V3673" s="5" t="inlineStr">
        <is>
          <t>data/raw/vivo_prepaid_SP.html</t>
        </is>
      </c>
    </row>
    <row r="3674">
      <c r="A3674" s="2" t="inlineStr">
        <is>
          <t>2026-08-26</t>
        </is>
      </c>
      <c r="B3674" s="2" t="inlineStr">
        <is>
          <t>2026-08-26T21:24:35</t>
        </is>
      </c>
      <c r="C3674" s="2" t="inlineStr">
        <is>
          <t>vivo</t>
        </is>
      </c>
      <c r="D3674" s="2" t="inlineStr">
        <is>
          <t>prepaid</t>
        </is>
      </c>
      <c r="E3674" s="2" t="inlineStr">
        <is>
          <t>SP</t>
        </is>
      </c>
      <c r="F3674" s="2" t="inlineStr">
        <is>
          <t>Vivo Pré</t>
        </is>
      </c>
      <c r="G3674" s="2" t="inlineStr">
        <is>
          <t>vivo:VIV202600029370-17d</t>
        </is>
      </c>
      <c r="H3674" s="3" t="n">
        <v>20</v>
      </c>
      <c r="I3674" s="3" t="inlineStr"/>
      <c r="J3674" s="2" t="inlineStr"/>
      <c r="K3674" s="2" t="inlineStr"/>
      <c r="L3674" s="4" t="n">
        <v>5</v>
      </c>
      <c r="M3674" s="2" t="inlineStr">
        <is>
          <t>5 GB para navegar como quiser</t>
        </is>
      </c>
      <c r="N3674" s="2" t="n">
        <v>17</v>
      </c>
      <c r="O3674" s="2" t="inlineStr"/>
      <c r="P3674" s="2" t="inlineStr"/>
      <c r="Q3674" s="2" t="inlineStr"/>
      <c r="R3674" s="2" t="inlineStr"/>
      <c r="S3674" s="2" t="inlineStr"/>
      <c r="T3674" s="2" t="inlineStr"/>
      <c r="U3674" s="2" t="inlineStr">
        <is>
          <t>https://vivo.com.br/para-voce/produtos-e-servicos/para-o-celular/pre-pago/vivo-pre</t>
        </is>
      </c>
      <c r="V3674" s="2" t="inlineStr">
        <is>
          <t>data/raw/vivo_prepaid_SP.html</t>
        </is>
      </c>
    </row>
    <row r="3675">
      <c r="A3675" s="5" t="inlineStr">
        <is>
          <t>2026-08-26</t>
        </is>
      </c>
      <c r="B3675" s="5" t="inlineStr">
        <is>
          <t>2026-08-26T21:24:35</t>
        </is>
      </c>
      <c r="C3675" s="5" t="inlineStr">
        <is>
          <t>vivo</t>
        </is>
      </c>
      <c r="D3675" s="5" t="inlineStr">
        <is>
          <t>prepaid</t>
        </is>
      </c>
      <c r="E3675" s="5" t="inlineStr">
        <is>
          <t>SP</t>
        </is>
      </c>
      <c r="F3675" s="5" t="inlineStr">
        <is>
          <t>Vivo Pré</t>
        </is>
      </c>
      <c r="G3675" s="5" t="inlineStr">
        <is>
          <t>vivo:VIV202600029370-15d</t>
        </is>
      </c>
      <c r="H3675" s="6" t="n">
        <v>17</v>
      </c>
      <c r="I3675" s="6" t="inlineStr"/>
      <c r="J3675" s="5" t="inlineStr"/>
      <c r="K3675" s="5" t="inlineStr"/>
      <c r="L3675" s="7" t="n">
        <v>4</v>
      </c>
      <c r="M3675" s="5" t="inlineStr">
        <is>
          <t>4 GB para navegar como quiser</t>
        </is>
      </c>
      <c r="N3675" s="5" t="n">
        <v>15</v>
      </c>
      <c r="O3675" s="5" t="inlineStr"/>
      <c r="P3675" s="5" t="inlineStr"/>
      <c r="Q3675" s="5" t="inlineStr"/>
      <c r="R3675" s="5" t="inlineStr"/>
      <c r="S3675" s="5" t="inlineStr"/>
      <c r="T3675" s="5" t="inlineStr"/>
      <c r="U3675" s="5" t="inlineStr">
        <is>
          <t>https://vivo.com.br/para-voce/produtos-e-servicos/para-o-celular/pre-pago/vivo-pre</t>
        </is>
      </c>
      <c r="V3675" s="5" t="inlineStr">
        <is>
          <t>data/raw/vivo_prepaid_SP.html</t>
        </is>
      </c>
    </row>
    <row r="3676">
      <c r="A3676" s="2" t="inlineStr">
        <is>
          <t>2026-08-27</t>
        </is>
      </c>
      <c r="B3676" s="2" t="inlineStr">
        <is>
          <t>2026-08-27T01:25:48</t>
        </is>
      </c>
      <c r="C3676" s="2" t="inlineStr">
        <is>
          <t>claro</t>
        </is>
      </c>
      <c r="D3676" s="2" t="inlineStr">
        <is>
          <t>control</t>
        </is>
      </c>
      <c r="E3676" s="2" t="inlineStr">
        <is>
          <t>SP</t>
        </is>
      </c>
      <c r="F3676" s="2" t="inlineStr">
        <is>
          <t>Controle 25GB</t>
        </is>
      </c>
      <c r="G3676" s="2" t="inlineStr">
        <is>
          <t>claro:plano-controle-25gb</t>
        </is>
      </c>
      <c r="H3676" s="3" t="n">
        <v>59.9</v>
      </c>
      <c r="I3676" s="3" t="n">
        <v>54.9</v>
      </c>
      <c r="J3676" s="2" t="inlineStr">
        <is>
          <t>De R$ 59,90 Por:</t>
        </is>
      </c>
      <c r="K3676" s="2" t="inlineStr"/>
      <c r="L3676" s="4" t="n">
        <v>25</v>
      </c>
      <c r="M3676" s="2" t="inlineStr"/>
      <c r="N3676" s="2" t="inlineStr"/>
      <c r="O3676" s="2" t="inlineStr">
        <is>
          <t>WhatsApp</t>
        </is>
      </c>
      <c r="P3676" s="2" t="inlineStr"/>
      <c r="Q3676" s="2" t="inlineStr"/>
      <c r="R3676" s="2" t="inlineStr"/>
      <c r="S3676" s="2" t="inlineStr"/>
      <c r="T3676" s="2" t="inlineStr">
        <is>
          <t>Para uso livre; Para redes sociais e vídeos; Bônus exclusivo; Aproveite na sua franquia; WhatsApp e ligações ilimitadas</t>
        </is>
      </c>
      <c r="U3676" s="2" t="inlineStr">
        <is>
          <t>https://www.claro.com.br/celular/controle</t>
        </is>
      </c>
      <c r="V3676" s="2" t="inlineStr">
        <is>
          <t>data/raw/claro_control_SP.json</t>
        </is>
      </c>
    </row>
    <row r="3677">
      <c r="A3677" s="5" t="inlineStr">
        <is>
          <t>2026-08-27</t>
        </is>
      </c>
      <c r="B3677" s="5" t="inlineStr">
        <is>
          <t>2026-08-27T01:25:48</t>
        </is>
      </c>
      <c r="C3677" s="5" t="inlineStr">
        <is>
          <t>claro</t>
        </is>
      </c>
      <c r="D3677" s="5" t="inlineStr">
        <is>
          <t>control</t>
        </is>
      </c>
      <c r="E3677" s="5" t="inlineStr">
        <is>
          <t>SP</t>
        </is>
      </c>
      <c r="F3677" s="5" t="inlineStr">
        <is>
          <t>Controle 30GB</t>
        </is>
      </c>
      <c r="G3677" s="5" t="inlineStr">
        <is>
          <t>claro:plano-controle-30gb</t>
        </is>
      </c>
      <c r="H3677" s="6" t="n">
        <v>69.90000000000001</v>
      </c>
      <c r="I3677" s="6" t="inlineStr"/>
      <c r="J3677" s="5" t="inlineStr"/>
      <c r="K3677" s="5" t="inlineStr"/>
      <c r="L3677" s="7" t="n">
        <v>30</v>
      </c>
      <c r="M3677" s="5" t="inlineStr"/>
      <c r="N3677" s="5" t="inlineStr"/>
      <c r="O3677" s="5" t="inlineStr">
        <is>
          <t>WhatsApp</t>
        </is>
      </c>
      <c r="P3677" s="5" t="inlineStr"/>
      <c r="Q3677" s="5" t="inlineStr"/>
      <c r="R3677" s="5" t="inlineStr"/>
      <c r="S3677" s="5" t="inlineStr"/>
      <c r="T3677" s="5" t="inlineStr">
        <is>
          <t>Para uso livre; Bônus para uso livre; Bônus para redes sociais e apps; Assinatura Amazon Prime por 3 meses; Redes sociais e apps; WhatsApp ilimitado</t>
        </is>
      </c>
      <c r="U3677" s="5" t="inlineStr">
        <is>
          <t>https://www.claro.com.br/celular/controle</t>
        </is>
      </c>
      <c r="V3677" s="5" t="inlineStr">
        <is>
          <t>data/raw/claro_control_SP.json</t>
        </is>
      </c>
    </row>
    <row r="3678">
      <c r="A3678" s="2" t="inlineStr">
        <is>
          <t>2026-08-27</t>
        </is>
      </c>
      <c r="B3678" s="2" t="inlineStr">
        <is>
          <t>2026-08-27T01:25:48</t>
        </is>
      </c>
      <c r="C3678" s="2" t="inlineStr">
        <is>
          <t>claro</t>
        </is>
      </c>
      <c r="D3678" s="2" t="inlineStr">
        <is>
          <t>control</t>
        </is>
      </c>
      <c r="E3678" s="2" t="inlineStr">
        <is>
          <t>SP</t>
        </is>
      </c>
      <c r="F3678" s="2" t="inlineStr">
        <is>
          <t>Controle 30GB</t>
        </is>
      </c>
      <c r="G3678" s="2" t="inlineStr">
        <is>
          <t>claro:plano-controle-30gb-gaming</t>
        </is>
      </c>
      <c r="H3678" s="3" t="n">
        <v>99.90000000000001</v>
      </c>
      <c r="I3678" s="3" t="inlineStr"/>
      <c r="J3678" s="2" t="inlineStr"/>
      <c r="K3678" s="2" t="inlineStr"/>
      <c r="L3678" s="4" t="n">
        <v>30</v>
      </c>
      <c r="M3678" s="2" t="inlineStr"/>
      <c r="N3678" s="2" t="inlineStr"/>
      <c r="O3678" s="2" t="inlineStr">
        <is>
          <t>WhatsApp</t>
        </is>
      </c>
      <c r="P3678" s="2" t="inlineStr"/>
      <c r="Q3678" s="2" t="inlineStr"/>
      <c r="R3678" s="2" t="inlineStr"/>
      <c r="S3678" s="2" t="inlineStr"/>
      <c r="T3678" s="2" t="inlineStr">
        <is>
          <t>Para uso livre; Bônus para redes sociais e apps; Bônus uso livre; Assinatura Amazon Prime por 3 meses; Redes sociais e apps; WhatsApp ilimitado</t>
        </is>
      </c>
      <c r="U3678" s="2" t="inlineStr">
        <is>
          <t>https://www.claro.com.br/celular/controle</t>
        </is>
      </c>
      <c r="V3678" s="2" t="inlineStr">
        <is>
          <t>data/raw/claro_control_SP.json</t>
        </is>
      </c>
    </row>
    <row r="3679">
      <c r="A3679" s="5" t="inlineStr">
        <is>
          <t>2026-08-27</t>
        </is>
      </c>
      <c r="B3679" s="5" t="inlineStr">
        <is>
          <t>2026-08-27T01:25:48</t>
        </is>
      </c>
      <c r="C3679" s="5" t="inlineStr">
        <is>
          <t>claro</t>
        </is>
      </c>
      <c r="D3679" s="5" t="inlineStr">
        <is>
          <t>flex</t>
        </is>
      </c>
      <c r="E3679" s="5" t="inlineStr">
        <is>
          <t>SP</t>
        </is>
      </c>
      <c r="F3679" s="5" t="inlineStr">
        <is>
          <t>Flex 15GB</t>
        </is>
      </c>
      <c r="G3679" s="5" t="inlineStr">
        <is>
          <t>claro:plano-flex-15gb</t>
        </is>
      </c>
      <c r="H3679" s="6" t="n">
        <v>44.9</v>
      </c>
      <c r="I3679" s="6" t="inlineStr"/>
      <c r="J3679" s="5" t="inlineStr"/>
      <c r="K3679" s="5" t="inlineStr"/>
      <c r="L3679" s="7" t="n">
        <v>15</v>
      </c>
      <c r="M3679" s="5" t="inlineStr"/>
      <c r="N3679" s="5" t="inlineStr"/>
      <c r="O3679" s="5" t="inlineStr">
        <is>
          <t>WhatsApp</t>
        </is>
      </c>
      <c r="P3679" s="5" t="inlineStr"/>
      <c r="Q3679" s="5" t="inlineStr"/>
      <c r="R3679" s="5" t="inlineStr"/>
      <c r="S3679" s="5" t="inlineStr"/>
      <c r="T3679" s="5" t="inlineStr">
        <is>
          <t>Para uso livre; Bônus Pais para uso livre; Para redes sociais e apps; Bônus extra nos apps; WhatsApp ilimitado</t>
        </is>
      </c>
      <c r="U3679" s="5" t="inlineStr">
        <is>
          <t>https://www.claro.com.br/celular/flex</t>
        </is>
      </c>
      <c r="V3679" s="5" t="inlineStr">
        <is>
          <t>data/raw/claro_flex_SP.json</t>
        </is>
      </c>
    </row>
    <row r="3680">
      <c r="A3680" s="2" t="inlineStr">
        <is>
          <t>2026-08-27</t>
        </is>
      </c>
      <c r="B3680" s="2" t="inlineStr">
        <is>
          <t>2026-08-27T01:25:48</t>
        </is>
      </c>
      <c r="C3680" s="2" t="inlineStr">
        <is>
          <t>claro</t>
        </is>
      </c>
      <c r="D3680" s="2" t="inlineStr">
        <is>
          <t>flex</t>
        </is>
      </c>
      <c r="E3680" s="2" t="inlineStr">
        <is>
          <t>SP</t>
        </is>
      </c>
      <c r="F3680" s="2" t="inlineStr">
        <is>
          <t>Flex 20GB</t>
        </is>
      </c>
      <c r="G3680" s="2" t="inlineStr">
        <is>
          <t>claro:plano-flex-20gb</t>
        </is>
      </c>
      <c r="H3680" s="3" t="n">
        <v>59.9</v>
      </c>
      <c r="I3680" s="3" t="inlineStr"/>
      <c r="J3680" s="2" t="inlineStr"/>
      <c r="K3680" s="2" t="inlineStr"/>
      <c r="L3680" s="4" t="n">
        <v>20</v>
      </c>
      <c r="M3680" s="2" t="inlineStr"/>
      <c r="N3680" s="2" t="inlineStr"/>
      <c r="O3680" s="2" t="inlineStr">
        <is>
          <t>WhatsApp</t>
        </is>
      </c>
      <c r="P3680" s="2" t="inlineStr"/>
      <c r="Q3680" s="2" t="inlineStr"/>
      <c r="R3680" s="2" t="inlineStr"/>
      <c r="S3680" s="2" t="inlineStr"/>
      <c r="T3680" s="2" t="inlineStr">
        <is>
          <t>Para uso livre; Bônus Pais para uso livre; Para redes sociais e apps; Bônus extra nos apps; WhatsApp ilimitado</t>
        </is>
      </c>
      <c r="U3680" s="2" t="inlineStr">
        <is>
          <t>https://www.claro.com.br/celular/flex</t>
        </is>
      </c>
      <c r="V3680" s="2" t="inlineStr">
        <is>
          <t>data/raw/claro_flex_SP.json</t>
        </is>
      </c>
    </row>
    <row r="3681">
      <c r="A3681" s="5" t="inlineStr">
        <is>
          <t>2026-08-27</t>
        </is>
      </c>
      <c r="B3681" s="5" t="inlineStr">
        <is>
          <t>2026-08-27T01:25:48</t>
        </is>
      </c>
      <c r="C3681" s="5" t="inlineStr">
        <is>
          <t>claro</t>
        </is>
      </c>
      <c r="D3681" s="5" t="inlineStr">
        <is>
          <t>flex</t>
        </is>
      </c>
      <c r="E3681" s="5" t="inlineStr">
        <is>
          <t>SP</t>
        </is>
      </c>
      <c r="F3681" s="5" t="inlineStr">
        <is>
          <t>Flex 30GB</t>
        </is>
      </c>
      <c r="G3681" s="5" t="inlineStr">
        <is>
          <t>claro:plano-flex-30gb</t>
        </is>
      </c>
      <c r="H3681" s="6" t="n">
        <v>69.90000000000001</v>
      </c>
      <c r="I3681" s="6" t="inlineStr"/>
      <c r="J3681" s="5" t="inlineStr"/>
      <c r="K3681" s="5" t="inlineStr"/>
      <c r="L3681" s="7" t="n">
        <v>30</v>
      </c>
      <c r="M3681" s="5" t="inlineStr"/>
      <c r="N3681" s="5" t="inlineStr"/>
      <c r="O3681" s="5" t="inlineStr">
        <is>
          <t>WhatsApp</t>
        </is>
      </c>
      <c r="P3681" s="5" t="inlineStr"/>
      <c r="Q3681" s="5" t="inlineStr"/>
      <c r="R3681" s="5" t="inlineStr"/>
      <c r="S3681" s="5" t="inlineStr"/>
      <c r="T3681" s="5" t="inlineStr">
        <is>
          <t>Para uso livre; Bônus Pais para uso livre; Para redes sociais e apps; Bônus extra nos apps; WhatsApp ilimitado; Assinatura Claro musica inclusa</t>
        </is>
      </c>
      <c r="U3681" s="5" t="inlineStr">
        <is>
          <t>https://www.claro.com.br/celular/flex</t>
        </is>
      </c>
      <c r="V3681" s="5" t="inlineStr">
        <is>
          <t>data/raw/claro_flex_SP.json</t>
        </is>
      </c>
    </row>
    <row r="3682">
      <c r="A3682" s="2" t="inlineStr">
        <is>
          <t>2026-08-27</t>
        </is>
      </c>
      <c r="B3682" s="2" t="inlineStr">
        <is>
          <t>2026-08-27T01:25:48</t>
        </is>
      </c>
      <c r="C3682" s="2" t="inlineStr">
        <is>
          <t>claro</t>
        </is>
      </c>
      <c r="D3682" s="2" t="inlineStr">
        <is>
          <t>flex</t>
        </is>
      </c>
      <c r="E3682" s="2" t="inlineStr">
        <is>
          <t>SP</t>
        </is>
      </c>
      <c r="F3682" s="2" t="inlineStr">
        <is>
          <t>Flex 40GB</t>
        </is>
      </c>
      <c r="G3682" s="2" t="inlineStr">
        <is>
          <t>claro:plano-flex-40gb</t>
        </is>
      </c>
      <c r="H3682" s="3" t="n">
        <v>119.9</v>
      </c>
      <c r="I3682" s="3" t="inlineStr"/>
      <c r="J3682" s="2" t="inlineStr"/>
      <c r="K3682" s="2" t="inlineStr"/>
      <c r="L3682" s="4" t="n">
        <v>40</v>
      </c>
      <c r="M3682" s="2" t="inlineStr"/>
      <c r="N3682" s="2" t="inlineStr"/>
      <c r="O3682" s="2" t="inlineStr">
        <is>
          <t>WhatsApp</t>
        </is>
      </c>
      <c r="P3682" s="2" t="inlineStr"/>
      <c r="Q3682" s="2" t="inlineStr"/>
      <c r="R3682" s="2" t="inlineStr"/>
      <c r="S3682" s="2" t="inlineStr"/>
      <c r="T3682" s="2" t="inlineStr">
        <is>
          <t>Para uso livre; Para redes sociais e apps; Bônus extra nos apps; WhatsApp ilimitado; Assinatura Claro musica inclusa</t>
        </is>
      </c>
      <c r="U3682" s="2" t="inlineStr">
        <is>
          <t>https://www.claro.com.br/celular/flex</t>
        </is>
      </c>
      <c r="V3682" s="2" t="inlineStr">
        <is>
          <t>data/raw/claro_flex_SP.json</t>
        </is>
      </c>
    </row>
    <row r="3683">
      <c r="A3683" s="5" t="inlineStr">
        <is>
          <t>2026-08-27</t>
        </is>
      </c>
      <c r="B3683" s="5" t="inlineStr">
        <is>
          <t>2026-08-27T01:25:48</t>
        </is>
      </c>
      <c r="C3683" s="5" t="inlineStr">
        <is>
          <t>claro</t>
        </is>
      </c>
      <c r="D3683" s="5" t="inlineStr">
        <is>
          <t>postpaid</t>
        </is>
      </c>
      <c r="E3683" s="5" t="inlineStr">
        <is>
          <t>SP</t>
        </is>
      </c>
      <c r="F3683" s="5" t="inlineStr">
        <is>
          <t>Pós 100GB</t>
        </is>
      </c>
      <c r="G3683" s="5" t="inlineStr">
        <is>
          <t>claro:plano-pos-100gb</t>
        </is>
      </c>
      <c r="H3683" s="6" t="n">
        <v>179.9</v>
      </c>
      <c r="I3683" s="6" t="inlineStr"/>
      <c r="J3683" s="5" t="inlineStr"/>
      <c r="K3683" s="5" t="inlineStr"/>
      <c r="L3683" s="7" t="n">
        <v>100</v>
      </c>
      <c r="M3683" s="5" t="inlineStr"/>
      <c r="N3683" s="5" t="inlineStr"/>
      <c r="O3683" s="5" t="inlineStr">
        <is>
          <t>WhatsApp</t>
        </is>
      </c>
      <c r="P3683" s="5" t="inlineStr"/>
      <c r="Q3683" s="5" t="inlineStr"/>
      <c r="R3683" s="5" t="inlineStr"/>
      <c r="S3683" s="5" t="inlineStr"/>
      <c r="T3683" s="5" t="inlineStr">
        <is>
          <t>Armazenamento na nuvem:; Google One ou iCloud+; WhatsApp ilimitado; Assinatura Amazon Prime por 3 meses; Roaming: Passaporte Américas; Claro Sync: Smartwatch conectado</t>
        </is>
      </c>
      <c r="U3683" s="5" t="inlineStr">
        <is>
          <t>https://www.claro.com.br/celular/pos</t>
        </is>
      </c>
      <c r="V3683" s="5" t="inlineStr">
        <is>
          <t>data/raw/claro_postpaid_SP.json</t>
        </is>
      </c>
    </row>
    <row r="3684">
      <c r="A3684" s="2" t="inlineStr">
        <is>
          <t>2026-08-27</t>
        </is>
      </c>
      <c r="B3684" s="2" t="inlineStr">
        <is>
          <t>2026-08-27T01:25:48</t>
        </is>
      </c>
      <c r="C3684" s="2" t="inlineStr">
        <is>
          <t>claro</t>
        </is>
      </c>
      <c r="D3684" s="2" t="inlineStr">
        <is>
          <t>postpaid</t>
        </is>
      </c>
      <c r="E3684" s="2" t="inlineStr">
        <is>
          <t>SP</t>
        </is>
      </c>
      <c r="F3684" s="2" t="inlineStr">
        <is>
          <t>Pós 150GB</t>
        </is>
      </c>
      <c r="G3684" s="2" t="inlineStr">
        <is>
          <t>claro:plano-pos-150gb</t>
        </is>
      </c>
      <c r="H3684" s="3" t="n">
        <v>239.9</v>
      </c>
      <c r="I3684" s="3" t="inlineStr"/>
      <c r="J3684" s="2" t="inlineStr"/>
      <c r="K3684" s="2" t="inlineStr"/>
      <c r="L3684" s="4" t="n">
        <v>150</v>
      </c>
      <c r="M3684" s="2" t="inlineStr"/>
      <c r="N3684" s="2" t="inlineStr"/>
      <c r="O3684" s="2" t="inlineStr">
        <is>
          <t>WhatsApp</t>
        </is>
      </c>
      <c r="P3684" s="2" t="inlineStr"/>
      <c r="Q3684" s="2" t="inlineStr"/>
      <c r="R3684" s="2" t="inlineStr"/>
      <c r="S3684" s="2" t="inlineStr"/>
      <c r="T368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84" s="2" t="inlineStr">
        <is>
          <t>https://www.claro.com.br/celular/pos</t>
        </is>
      </c>
      <c r="V3684" s="2" t="inlineStr">
        <is>
          <t>data/raw/claro_postpaid_SP.json</t>
        </is>
      </c>
    </row>
    <row r="3685">
      <c r="A3685" s="5" t="inlineStr">
        <is>
          <t>2026-08-27</t>
        </is>
      </c>
      <c r="B3685" s="5" t="inlineStr">
        <is>
          <t>2026-08-27T01:25:48</t>
        </is>
      </c>
      <c r="C3685" s="5" t="inlineStr">
        <is>
          <t>claro</t>
        </is>
      </c>
      <c r="D3685" s="5" t="inlineStr">
        <is>
          <t>postpaid</t>
        </is>
      </c>
      <c r="E3685" s="5" t="inlineStr">
        <is>
          <t>SP</t>
        </is>
      </c>
      <c r="F3685" s="5" t="inlineStr">
        <is>
          <t>Pós 200GB</t>
        </is>
      </c>
      <c r="G3685" s="5" t="inlineStr">
        <is>
          <t>claro:plano-pos-200gb</t>
        </is>
      </c>
      <c r="H3685" s="6" t="n">
        <v>339.9</v>
      </c>
      <c r="I3685" s="6" t="inlineStr"/>
      <c r="J3685" s="5" t="inlineStr"/>
      <c r="K3685" s="5" t="inlineStr"/>
      <c r="L3685" s="7" t="n">
        <v>200</v>
      </c>
      <c r="M3685" s="5" t="inlineStr"/>
      <c r="N3685" s="5" t="inlineStr"/>
      <c r="O3685" s="5" t="inlineStr">
        <is>
          <t>WhatsApp</t>
        </is>
      </c>
      <c r="P3685" s="5" t="inlineStr"/>
      <c r="Q3685" s="5" t="inlineStr"/>
      <c r="R3685" s="5" t="inlineStr"/>
      <c r="S3685" s="5" t="inlineStr"/>
      <c r="T3685" s="5" t="inlineStr">
        <is>
          <t>Armazenamento na nuvem:; Google One (AI Plus) ou iCloud+; WhatsApp ilimitado; Assinatura Amazon Prime por 3 meses; Roaming: Passaporte Mundo; Claro Sync: Smartwatch conectado</t>
        </is>
      </c>
      <c r="U3685" s="5" t="inlineStr">
        <is>
          <t>https://www.claro.com.br/celular/pos</t>
        </is>
      </c>
      <c r="V3685" s="5" t="inlineStr">
        <is>
          <t>data/raw/claro_postpaid_SP.json</t>
        </is>
      </c>
    </row>
    <row r="3686">
      <c r="A3686" s="2" t="inlineStr">
        <is>
          <t>2026-08-27</t>
        </is>
      </c>
      <c r="B3686" s="2" t="inlineStr">
        <is>
          <t>2026-08-27T01:25:48</t>
        </is>
      </c>
      <c r="C3686" s="2" t="inlineStr">
        <is>
          <t>claro</t>
        </is>
      </c>
      <c r="D3686" s="2" t="inlineStr">
        <is>
          <t>postpaid</t>
        </is>
      </c>
      <c r="E3686" s="2" t="inlineStr">
        <is>
          <t>SP</t>
        </is>
      </c>
      <c r="F3686" s="2" t="inlineStr">
        <is>
          <t>Pós 50GB com GeForce NOW</t>
        </is>
      </c>
      <c r="G3686" s="2" t="inlineStr">
        <is>
          <t>claro:plano-pos-60gb-geforce</t>
        </is>
      </c>
      <c r="H3686" s="3" t="n">
        <v>164.9</v>
      </c>
      <c r="I3686" s="3" t="inlineStr"/>
      <c r="J3686" s="2" t="inlineStr"/>
      <c r="K3686" s="2" t="inlineStr"/>
      <c r="L3686" s="4" t="n">
        <v>50</v>
      </c>
      <c r="M3686" s="2" t="inlineStr"/>
      <c r="N3686" s="2" t="inlineStr"/>
      <c r="O3686" s="2" t="inlineStr">
        <is>
          <t>WhatsApp</t>
        </is>
      </c>
      <c r="P3686" s="2" t="inlineStr"/>
      <c r="Q3686" s="2" t="inlineStr"/>
      <c r="R3686" s="2" t="inlineStr"/>
      <c r="S3686" s="2" t="inlineStr"/>
      <c r="T368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86" s="2" t="inlineStr">
        <is>
          <t>https://www.claro.com.br/celular/pos</t>
        </is>
      </c>
      <c r="V3686" s="2" t="inlineStr">
        <is>
          <t>data/raw/claro_postpaid_SP.json</t>
        </is>
      </c>
    </row>
    <row r="3687">
      <c r="A3687" s="5" t="inlineStr">
        <is>
          <t>2026-08-27</t>
        </is>
      </c>
      <c r="B3687" s="5" t="inlineStr">
        <is>
          <t>2026-08-27T01:25:48</t>
        </is>
      </c>
      <c r="C3687" s="5" t="inlineStr">
        <is>
          <t>claro</t>
        </is>
      </c>
      <c r="D3687" s="5" t="inlineStr">
        <is>
          <t>postpaid</t>
        </is>
      </c>
      <c r="E3687" s="5" t="inlineStr">
        <is>
          <t>SP</t>
        </is>
      </c>
      <c r="F3687" s="5" t="inlineStr">
        <is>
          <t>Pós 60GB</t>
        </is>
      </c>
      <c r="G3687" s="5" t="inlineStr">
        <is>
          <t>claro:plano-pos-60gb</t>
        </is>
      </c>
      <c r="H3687" s="6" t="n">
        <v>124.9</v>
      </c>
      <c r="I3687" s="6" t="inlineStr"/>
      <c r="J3687" s="5" t="inlineStr"/>
      <c r="K3687" s="5" t="inlineStr"/>
      <c r="L3687" s="7" t="n">
        <v>60</v>
      </c>
      <c r="M3687" s="5" t="inlineStr"/>
      <c r="N3687" s="5" t="inlineStr"/>
      <c r="O3687" s="5" t="inlineStr">
        <is>
          <t>WhatsApp</t>
        </is>
      </c>
      <c r="P3687" s="5" t="inlineStr"/>
      <c r="Q3687" s="5" t="inlineStr"/>
      <c r="R3687" s="5" t="inlineStr"/>
      <c r="S3687" s="5" t="inlineStr"/>
      <c r="T3687" s="5" t="inlineStr">
        <is>
          <t>Armazenamento na nuvem:; Google One ou iCloud+; WhatsApp ilimitado; Assinatura Amazon Prime por 3 meses; Roaming: Passaporte Américas; Claro Sync: Smartwatch conectado</t>
        </is>
      </c>
      <c r="U3687" s="5" t="inlineStr">
        <is>
          <t>https://www.claro.com.br/celular/pos</t>
        </is>
      </c>
      <c r="V3687" s="5" t="inlineStr">
        <is>
          <t>data/raw/claro_postpaid_SP.json</t>
        </is>
      </c>
    </row>
    <row r="3688">
      <c r="A3688" s="2" t="inlineStr">
        <is>
          <t>2026-08-27</t>
        </is>
      </c>
      <c r="B3688" s="2" t="inlineStr">
        <is>
          <t>2026-08-27T01:25:48</t>
        </is>
      </c>
      <c r="C3688" s="2" t="inlineStr">
        <is>
          <t>claro</t>
        </is>
      </c>
      <c r="D3688" s="2" t="inlineStr">
        <is>
          <t>prepaid</t>
        </is>
      </c>
      <c r="E3688" s="2" t="inlineStr">
        <is>
          <t>SP</t>
        </is>
      </c>
      <c r="F3688" s="2" t="inlineStr">
        <is>
          <t>Prezão 10GB (25 dias)</t>
        </is>
      </c>
      <c r="G3688" s="2" t="inlineStr">
        <is>
          <t>claro:prezao-25d-10gb</t>
        </is>
      </c>
      <c r="H3688" s="3" t="n">
        <v>25</v>
      </c>
      <c r="I3688" s="3" t="inlineStr"/>
      <c r="J3688" s="2" t="inlineStr">
        <is>
          <t>recarga Prezão R$25 — validade 25 dias</t>
        </is>
      </c>
      <c r="K3688" s="2" t="inlineStr"/>
      <c r="L3688" s="4" t="n">
        <v>10</v>
      </c>
      <c r="M3688" s="2" t="inlineStr"/>
      <c r="N3688" s="2" t="n">
        <v>25</v>
      </c>
      <c r="O3688" s="2" t="inlineStr"/>
      <c r="P3688" s="2" t="inlineStr"/>
      <c r="Q3688" s="2" t="inlineStr"/>
      <c r="R3688" s="2" t="inlineStr"/>
      <c r="S3688" s="2" t="inlineStr"/>
      <c r="T3688" s="2" t="inlineStr"/>
      <c r="U3688" s="2" t="inlineStr">
        <is>
          <t>https://www.claro.com.br/celular/planos-pre/prezao</t>
        </is>
      </c>
      <c r="V3688" s="2" t="inlineStr">
        <is>
          <t>data/raw/claro_prepaid_SP.json</t>
        </is>
      </c>
    </row>
    <row r="3689">
      <c r="A3689" s="5" t="inlineStr">
        <is>
          <t>2026-08-27</t>
        </is>
      </c>
      <c r="B3689" s="5" t="inlineStr">
        <is>
          <t>2026-08-27T01:25:48</t>
        </is>
      </c>
      <c r="C3689" s="5" t="inlineStr">
        <is>
          <t>claro</t>
        </is>
      </c>
      <c r="D3689" s="5" t="inlineStr">
        <is>
          <t>prepaid</t>
        </is>
      </c>
      <c r="E3689" s="5" t="inlineStr">
        <is>
          <t>SP</t>
        </is>
      </c>
      <c r="F3689" s="5" t="inlineStr">
        <is>
          <t>Prezão 12GB (30 dias)</t>
        </is>
      </c>
      <c r="G3689" s="5" t="inlineStr">
        <is>
          <t>claro:prezao-30d-12gb</t>
        </is>
      </c>
      <c r="H3689" s="6" t="n">
        <v>30</v>
      </c>
      <c r="I3689" s="6" t="inlineStr"/>
      <c r="J3689" s="5" t="inlineStr">
        <is>
          <t>recarga Prezão R$30 — validade 30 dias</t>
        </is>
      </c>
      <c r="K3689" s="5" t="inlineStr"/>
      <c r="L3689" s="7" t="n">
        <v>12</v>
      </c>
      <c r="M3689" s="5" t="inlineStr"/>
      <c r="N3689" s="5" t="n">
        <v>30</v>
      </c>
      <c r="O3689" s="5" t="inlineStr"/>
      <c r="P3689" s="5" t="inlineStr"/>
      <c r="Q3689" s="5" t="inlineStr"/>
      <c r="R3689" s="5" t="inlineStr"/>
      <c r="S3689" s="5" t="inlineStr"/>
      <c r="T3689" s="5" t="inlineStr"/>
      <c r="U3689" s="5" t="inlineStr">
        <is>
          <t>https://www.claro.com.br/celular/planos-pre/prezao</t>
        </is>
      </c>
      <c r="V3689" s="5" t="inlineStr">
        <is>
          <t>data/raw/claro_prepaid_SP.json</t>
        </is>
      </c>
    </row>
    <row r="3690">
      <c r="A3690" s="2" t="inlineStr">
        <is>
          <t>2026-08-27</t>
        </is>
      </c>
      <c r="B3690" s="2" t="inlineStr">
        <is>
          <t>2026-08-27T01:25:48</t>
        </is>
      </c>
      <c r="C3690" s="2" t="inlineStr">
        <is>
          <t>claro</t>
        </is>
      </c>
      <c r="D3690" s="2" t="inlineStr">
        <is>
          <t>prepaid</t>
        </is>
      </c>
      <c r="E3690" s="2" t="inlineStr">
        <is>
          <t>SP</t>
        </is>
      </c>
      <c r="F3690" s="2" t="inlineStr">
        <is>
          <t>Prezão 4GB (12 dias)</t>
        </is>
      </c>
      <c r="G3690" s="2" t="inlineStr">
        <is>
          <t>claro:prezao-12d-4gb</t>
        </is>
      </c>
      <c r="H3690" s="3" t="n">
        <v>15</v>
      </c>
      <c r="I3690" s="3" t="inlineStr"/>
      <c r="J3690" s="2" t="inlineStr">
        <is>
          <t>recarga Prezão R$15 — validade 12 dias</t>
        </is>
      </c>
      <c r="K3690" s="2" t="inlineStr"/>
      <c r="L3690" s="4" t="n">
        <v>4</v>
      </c>
      <c r="M3690" s="2" t="inlineStr"/>
      <c r="N3690" s="2" t="n">
        <v>12</v>
      </c>
      <c r="O3690" s="2" t="inlineStr"/>
      <c r="P3690" s="2" t="inlineStr"/>
      <c r="Q3690" s="2" t="inlineStr"/>
      <c r="R3690" s="2" t="inlineStr"/>
      <c r="S3690" s="2" t="inlineStr"/>
      <c r="T3690" s="2" t="inlineStr"/>
      <c r="U3690" s="2" t="inlineStr">
        <is>
          <t>https://www.claro.com.br/celular/planos-pre/prezao</t>
        </is>
      </c>
      <c r="V3690" s="2" t="inlineStr">
        <is>
          <t>data/raw/claro_prepaid_SP.json</t>
        </is>
      </c>
    </row>
    <row r="3691">
      <c r="A3691" s="5" t="inlineStr">
        <is>
          <t>2026-08-27</t>
        </is>
      </c>
      <c r="B3691" s="5" t="inlineStr">
        <is>
          <t>2026-08-27T01:25:48</t>
        </is>
      </c>
      <c r="C3691" s="5" t="inlineStr">
        <is>
          <t>claro</t>
        </is>
      </c>
      <c r="D3691" s="5" t="inlineStr">
        <is>
          <t>prepaid</t>
        </is>
      </c>
      <c r="E3691" s="5" t="inlineStr">
        <is>
          <t>SP</t>
        </is>
      </c>
      <c r="F3691" s="5" t="inlineStr">
        <is>
          <t>Prezão 5GB (15 dias)</t>
        </is>
      </c>
      <c r="G3691" s="5" t="inlineStr">
        <is>
          <t>claro:prezao-15d-5gb</t>
        </is>
      </c>
      <c r="H3691" s="6" t="n">
        <v>15</v>
      </c>
      <c r="I3691" s="6" t="inlineStr"/>
      <c r="J3691" s="5" t="inlineStr">
        <is>
          <t>recarga Prezão R$15 — validade 15 dias</t>
        </is>
      </c>
      <c r="K3691" s="5" t="inlineStr"/>
      <c r="L3691" s="7" t="n">
        <v>5</v>
      </c>
      <c r="M3691" s="5" t="inlineStr"/>
      <c r="N3691" s="5" t="n">
        <v>15</v>
      </c>
      <c r="O3691" s="5" t="inlineStr"/>
      <c r="P3691" s="5" t="inlineStr"/>
      <c r="Q3691" s="5" t="inlineStr"/>
      <c r="R3691" s="5" t="inlineStr"/>
      <c r="S3691" s="5" t="inlineStr"/>
      <c r="T3691" s="5" t="inlineStr"/>
      <c r="U3691" s="5" t="inlineStr">
        <is>
          <t>https://www.claro.com.br/celular/planos-pre/prezao</t>
        </is>
      </c>
      <c r="V3691" s="5" t="inlineStr">
        <is>
          <t>data/raw/claro_prepaid_SP.json</t>
        </is>
      </c>
    </row>
    <row r="3692">
      <c r="A3692" s="2" t="inlineStr">
        <is>
          <t>2026-08-27</t>
        </is>
      </c>
      <c r="B3692" s="2" t="inlineStr">
        <is>
          <t>2026-08-27T01:25:48</t>
        </is>
      </c>
      <c r="C3692" s="2" t="inlineStr">
        <is>
          <t>claro</t>
        </is>
      </c>
      <c r="D3692" s="2" t="inlineStr">
        <is>
          <t>prepaid</t>
        </is>
      </c>
      <c r="E3692" s="2" t="inlineStr">
        <is>
          <t>SP</t>
        </is>
      </c>
      <c r="F3692" s="2" t="inlineStr">
        <is>
          <t>Prezão 6GB (20 dias)</t>
        </is>
      </c>
      <c r="G3692" s="2" t="inlineStr">
        <is>
          <t>claro:prezao-20d-6gb</t>
        </is>
      </c>
      <c r="H3692" s="3" t="n">
        <v>20</v>
      </c>
      <c r="I3692" s="3" t="inlineStr"/>
      <c r="J3692" s="2" t="inlineStr">
        <is>
          <t>recarga Prezão R$20 — validade 20 dias</t>
        </is>
      </c>
      <c r="K3692" s="2" t="inlineStr"/>
      <c r="L3692" s="4" t="n">
        <v>6</v>
      </c>
      <c r="M3692" s="2" t="inlineStr"/>
      <c r="N3692" s="2" t="n">
        <v>20</v>
      </c>
      <c r="O3692" s="2" t="inlineStr"/>
      <c r="P3692" s="2" t="inlineStr"/>
      <c r="Q3692" s="2" t="inlineStr"/>
      <c r="R3692" s="2" t="inlineStr"/>
      <c r="S3692" s="2" t="inlineStr"/>
      <c r="T3692" s="2" t="inlineStr"/>
      <c r="U3692" s="2" t="inlineStr">
        <is>
          <t>https://www.claro.com.br/celular/planos-pre/prezao</t>
        </is>
      </c>
      <c r="V3692" s="2" t="inlineStr">
        <is>
          <t>data/raw/claro_prepaid_SP.json</t>
        </is>
      </c>
    </row>
    <row r="3693">
      <c r="A3693" s="5" t="inlineStr">
        <is>
          <t>2026-08-27</t>
        </is>
      </c>
      <c r="B3693" s="5" t="inlineStr">
        <is>
          <t>2026-08-27T01:25:48</t>
        </is>
      </c>
      <c r="C3693" s="5" t="inlineStr">
        <is>
          <t>claro</t>
        </is>
      </c>
      <c r="D3693" s="5" t="inlineStr">
        <is>
          <t>prepaid</t>
        </is>
      </c>
      <c r="E3693" s="5" t="inlineStr">
        <is>
          <t>SP</t>
        </is>
      </c>
      <c r="F3693" s="5" t="inlineStr">
        <is>
          <t>Prezão 8GB (20 dias)</t>
        </is>
      </c>
      <c r="G3693" s="5" t="inlineStr">
        <is>
          <t>claro:prezao-20d-8gb</t>
        </is>
      </c>
      <c r="H3693" s="6" t="n">
        <v>20</v>
      </c>
      <c r="I3693" s="6" t="inlineStr"/>
      <c r="J3693" s="5" t="inlineStr">
        <is>
          <t>recarga Prezão R$20 — validade 20 dias</t>
        </is>
      </c>
      <c r="K3693" s="5" t="inlineStr"/>
      <c r="L3693" s="7" t="n">
        <v>8</v>
      </c>
      <c r="M3693" s="5" t="inlineStr"/>
      <c r="N3693" s="5" t="n">
        <v>20</v>
      </c>
      <c r="O3693" s="5" t="inlineStr"/>
      <c r="P3693" s="5" t="inlineStr"/>
      <c r="Q3693" s="5" t="inlineStr"/>
      <c r="R3693" s="5" t="inlineStr"/>
      <c r="S3693" s="5" t="inlineStr"/>
      <c r="T3693" s="5" t="inlineStr"/>
      <c r="U3693" s="5" t="inlineStr">
        <is>
          <t>https://www.claro.com.br/celular/planos-pre/prezao</t>
        </is>
      </c>
      <c r="V3693" s="5" t="inlineStr">
        <is>
          <t>data/raw/claro_prepaid_SP.json</t>
        </is>
      </c>
    </row>
    <row r="3694">
      <c r="A3694" s="2" t="inlineStr">
        <is>
          <t>2026-08-27</t>
        </is>
      </c>
      <c r="B3694" s="2" t="inlineStr">
        <is>
          <t>2026-08-27T01:25:48</t>
        </is>
      </c>
      <c r="C3694" s="2" t="inlineStr">
        <is>
          <t>claro</t>
        </is>
      </c>
      <c r="D3694" s="2" t="inlineStr">
        <is>
          <t>prepaid</t>
        </is>
      </c>
      <c r="E3694" s="2" t="inlineStr">
        <is>
          <t>SP</t>
        </is>
      </c>
      <c r="F3694" s="2" t="inlineStr">
        <is>
          <t>Prezão 9GB (25 dias)</t>
        </is>
      </c>
      <c r="G3694" s="2" t="inlineStr">
        <is>
          <t>claro:prezao-25d-9gb</t>
        </is>
      </c>
      <c r="H3694" s="3" t="n">
        <v>25</v>
      </c>
      <c r="I3694" s="3" t="inlineStr"/>
      <c r="J3694" s="2" t="inlineStr">
        <is>
          <t>recarga Prezão R$25 — validade 25 dias</t>
        </is>
      </c>
      <c r="K3694" s="2" t="inlineStr"/>
      <c r="L3694" s="4" t="n">
        <v>9</v>
      </c>
      <c r="M3694" s="2" t="inlineStr"/>
      <c r="N3694" s="2" t="n">
        <v>25</v>
      </c>
      <c r="O3694" s="2" t="inlineStr"/>
      <c r="P3694" s="2" t="inlineStr"/>
      <c r="Q3694" s="2" t="inlineStr"/>
      <c r="R3694" s="2" t="inlineStr"/>
      <c r="S3694" s="2" t="inlineStr"/>
      <c r="T3694" s="2" t="inlineStr"/>
      <c r="U3694" s="2" t="inlineStr">
        <is>
          <t>https://www.claro.com.br/celular/planos-pre/prezao</t>
        </is>
      </c>
      <c r="V3694" s="2" t="inlineStr">
        <is>
          <t>data/raw/claro_prepaid_SP.json</t>
        </is>
      </c>
    </row>
    <row r="3695">
      <c r="A3695" s="5" t="inlineStr">
        <is>
          <t>2026-08-27</t>
        </is>
      </c>
      <c r="B3695" s="5" t="inlineStr">
        <is>
          <t>2026-08-27T01:25:48</t>
        </is>
      </c>
      <c r="C3695" s="5" t="inlineStr">
        <is>
          <t>tim</t>
        </is>
      </c>
      <c r="D3695" s="5" t="inlineStr">
        <is>
          <t>control</t>
        </is>
      </c>
      <c r="E3695" s="5" t="inlineStr">
        <is>
          <t>SP</t>
        </is>
      </c>
      <c r="F3695" s="5" t="inlineStr">
        <is>
          <t>TIM Controle 45GB</t>
        </is>
      </c>
      <c r="G3695" s="5" t="inlineStr">
        <is>
          <t>tim:181976</t>
        </is>
      </c>
      <c r="H3695" s="6" t="n">
        <v>58.99</v>
      </c>
      <c r="I3695" s="6" t="inlineStr"/>
      <c r="J3695" s="5" t="inlineStr"/>
      <c r="K3695" s="5" t="inlineStr"/>
      <c r="L3695" s="7" t="n">
        <v>45</v>
      </c>
      <c r="M3695" s="5" t="inlineStr"/>
      <c r="N3695" s="5" t="inlineStr"/>
      <c r="O3695" s="5" t="inlineStr"/>
      <c r="P3695" s="5" t="inlineStr"/>
      <c r="Q3695" s="5" t="inlineStr"/>
      <c r="R3695" s="5" t="inlineStr"/>
      <c r="S3695" s="5" t="inlineStr"/>
      <c r="T3695" s="5" t="inlineStr"/>
      <c r="U3695" s="5" t="inlineStr">
        <is>
          <t>https://www.tim.com.br/sp/para-voce/planos/controle</t>
        </is>
      </c>
      <c r="V3695" s="5" t="inlineStr">
        <is>
          <t>data/raw/tim_control_SP.html</t>
        </is>
      </c>
    </row>
    <row r="3696">
      <c r="A3696" s="2" t="inlineStr">
        <is>
          <t>2026-08-27</t>
        </is>
      </c>
      <c r="B3696" s="2" t="inlineStr">
        <is>
          <t>2026-08-27T01:25:48</t>
        </is>
      </c>
      <c r="C3696" s="2" t="inlineStr">
        <is>
          <t>tim</t>
        </is>
      </c>
      <c r="D3696" s="2" t="inlineStr">
        <is>
          <t>control</t>
        </is>
      </c>
      <c r="E3696" s="2" t="inlineStr">
        <is>
          <t>SP</t>
        </is>
      </c>
      <c r="F3696" s="2" t="inlineStr">
        <is>
          <t>TIM Controle Light Express 45GB</t>
        </is>
      </c>
      <c r="G3696" s="2" t="inlineStr">
        <is>
          <t>tim:167726</t>
        </is>
      </c>
      <c r="H3696" s="3" t="n">
        <v>60.99</v>
      </c>
      <c r="I3696" s="3" t="inlineStr"/>
      <c r="J3696" s="2" t="inlineStr"/>
      <c r="K3696" s="2" t="inlineStr"/>
      <c r="L3696" s="4" t="n">
        <v>45</v>
      </c>
      <c r="M3696" s="2" t="inlineStr"/>
      <c r="N3696" s="2" t="inlineStr"/>
      <c r="O3696" s="2" t="inlineStr"/>
      <c r="P3696" s="2" t="inlineStr"/>
      <c r="Q3696" s="2" t="inlineStr"/>
      <c r="R3696" s="2" t="inlineStr"/>
      <c r="S3696" s="2" t="inlineStr"/>
      <c r="T3696" s="2" t="inlineStr"/>
      <c r="U3696" s="2" t="inlineStr">
        <is>
          <t>https://www.tim.com.br/sp/para-voce/planos/controle</t>
        </is>
      </c>
      <c r="V3696" s="2" t="inlineStr">
        <is>
          <t>data/raw/tim_control_SP.html</t>
        </is>
      </c>
    </row>
    <row r="3697">
      <c r="A3697" s="5" t="inlineStr">
        <is>
          <t>2026-08-27</t>
        </is>
      </c>
      <c r="B3697" s="5" t="inlineStr">
        <is>
          <t>2026-08-27T01:25:48</t>
        </is>
      </c>
      <c r="C3697" s="5" t="inlineStr">
        <is>
          <t>tim</t>
        </is>
      </c>
      <c r="D3697" s="5" t="inlineStr">
        <is>
          <t>control</t>
        </is>
      </c>
      <c r="E3697" s="5" t="inlineStr">
        <is>
          <t>SP</t>
        </is>
      </c>
      <c r="F3697" s="5" t="inlineStr">
        <is>
          <t>TIM Controle Premium 55GB</t>
        </is>
      </c>
      <c r="G3697" s="5" t="inlineStr">
        <is>
          <t>tim:167041</t>
        </is>
      </c>
      <c r="H3697" s="6" t="n">
        <v>84.98999999999999</v>
      </c>
      <c r="I3697" s="6" t="inlineStr"/>
      <c r="J3697" s="5" t="inlineStr"/>
      <c r="K3697" s="5" t="inlineStr"/>
      <c r="L3697" s="7" t="n">
        <v>55</v>
      </c>
      <c r="M3697" s="5" t="inlineStr"/>
      <c r="N3697" s="5" t="inlineStr"/>
      <c r="O3697" s="5" t="inlineStr"/>
      <c r="P3697" s="5" t="inlineStr"/>
      <c r="Q3697" s="5" t="inlineStr"/>
      <c r="R3697" s="5" t="inlineStr"/>
      <c r="S3697" s="5" t="inlineStr"/>
      <c r="T3697" s="5" t="inlineStr"/>
      <c r="U3697" s="5" t="inlineStr">
        <is>
          <t>https://www.tim.com.br/sp/para-voce/planos/controle</t>
        </is>
      </c>
      <c r="V3697" s="5" t="inlineStr">
        <is>
          <t>data/raw/tim_control_SP.html</t>
        </is>
      </c>
    </row>
    <row r="3698">
      <c r="A3698" s="2" t="inlineStr">
        <is>
          <t>2026-08-27</t>
        </is>
      </c>
      <c r="B3698" s="2" t="inlineStr">
        <is>
          <t>2026-08-27T01:25:48</t>
        </is>
      </c>
      <c r="C3698" s="2" t="inlineStr">
        <is>
          <t>tim</t>
        </is>
      </c>
      <c r="D3698" s="2" t="inlineStr">
        <is>
          <t>control</t>
        </is>
      </c>
      <c r="E3698" s="2" t="inlineStr">
        <is>
          <t>SP</t>
        </is>
      </c>
      <c r="F3698" s="2" t="inlineStr">
        <is>
          <t>TIM Controle Pro Express 46GB</t>
        </is>
      </c>
      <c r="G3698" s="2" t="inlineStr">
        <is>
          <t>tim:167731</t>
        </is>
      </c>
      <c r="H3698" s="3" t="n">
        <v>64.98999999999999</v>
      </c>
      <c r="I3698" s="3" t="inlineStr"/>
      <c r="J3698" s="2" t="inlineStr"/>
      <c r="K3698" s="2" t="inlineStr"/>
      <c r="L3698" s="4" t="n">
        <v>46</v>
      </c>
      <c r="M3698" s="2" t="inlineStr"/>
      <c r="N3698" s="2" t="inlineStr"/>
      <c r="O3698" s="2" t="inlineStr"/>
      <c r="P3698" s="2" t="inlineStr"/>
      <c r="Q3698" s="2" t="inlineStr"/>
      <c r="R3698" s="2" t="inlineStr"/>
      <c r="S3698" s="2" t="inlineStr"/>
      <c r="T3698" s="2" t="inlineStr"/>
      <c r="U3698" s="2" t="inlineStr">
        <is>
          <t>https://www.tim.com.br/sp/para-voce/planos/controle</t>
        </is>
      </c>
      <c r="V3698" s="2" t="inlineStr">
        <is>
          <t>data/raw/tim_control_SP.html</t>
        </is>
      </c>
    </row>
    <row r="3699">
      <c r="A3699" s="5" t="inlineStr">
        <is>
          <t>2026-08-27</t>
        </is>
      </c>
      <c r="B3699" s="5" t="inlineStr">
        <is>
          <t>2026-08-27T01:25:48</t>
        </is>
      </c>
      <c r="C3699" s="5" t="inlineStr">
        <is>
          <t>tim</t>
        </is>
      </c>
      <c r="D3699" s="5" t="inlineStr">
        <is>
          <t>control</t>
        </is>
      </c>
      <c r="E3699" s="5" t="inlineStr">
        <is>
          <t>SP</t>
        </is>
      </c>
      <c r="F3699" s="5" t="inlineStr">
        <is>
          <t>TIM Controle Redes Sociais 46GB</t>
        </is>
      </c>
      <c r="G3699" s="5" t="inlineStr">
        <is>
          <t>tim:180746</t>
        </is>
      </c>
      <c r="H3699" s="6" t="n">
        <v>64.98999999999999</v>
      </c>
      <c r="I3699" s="6" t="inlineStr"/>
      <c r="J3699" s="5" t="inlineStr"/>
      <c r="K3699" s="5" t="inlineStr"/>
      <c r="L3699" s="7" t="n">
        <v>46</v>
      </c>
      <c r="M3699" s="5" t="inlineStr"/>
      <c r="N3699" s="5" t="inlineStr"/>
      <c r="O3699" s="5" t="inlineStr"/>
      <c r="P3699" s="5" t="inlineStr"/>
      <c r="Q3699" s="5" t="inlineStr"/>
      <c r="R3699" s="5" t="inlineStr"/>
      <c r="S3699" s="5" t="inlineStr"/>
      <c r="T3699" s="5" t="inlineStr"/>
      <c r="U3699" s="5" t="inlineStr">
        <is>
          <t>https://www.tim.com.br/sp/para-voce/planos/controle</t>
        </is>
      </c>
      <c r="V3699" s="5" t="inlineStr">
        <is>
          <t>data/raw/tim_control_SP.html</t>
        </is>
      </c>
    </row>
    <row r="3700">
      <c r="A3700" s="2" t="inlineStr">
        <is>
          <t>2026-08-27</t>
        </is>
      </c>
      <c r="B3700" s="2" t="inlineStr">
        <is>
          <t>2026-08-27T01:25:48</t>
        </is>
      </c>
      <c r="C3700" s="2" t="inlineStr">
        <is>
          <t>tim</t>
        </is>
      </c>
      <c r="D3700" s="2" t="inlineStr">
        <is>
          <t>fit</t>
        </is>
      </c>
      <c r="E3700" s="2" t="inlineStr">
        <is>
          <t>SP</t>
        </is>
      </c>
      <c r="F3700" s="2" t="inlineStr">
        <is>
          <t>TIM Controle Fit Anual 1.0</t>
        </is>
      </c>
      <c r="G3700" s="2" t="inlineStr">
        <is>
          <t>tim:TIM202600000306</t>
        </is>
      </c>
      <c r="H3700" s="3" t="n">
        <v>20</v>
      </c>
      <c r="I3700" s="3" t="inlineStr"/>
      <c r="J3700" s="2" t="inlineStr">
        <is>
          <t>plano anual 12x no cartão de crédito; a etiqueta TIM informa 'sem prazo de permanência'</t>
        </is>
      </c>
      <c r="K3700" s="2" t="inlineStr">
        <is>
          <t>credit_card</t>
        </is>
      </c>
      <c r="L3700" s="4" t="n">
        <v>25</v>
      </c>
      <c r="M3700" s="2" t="inlineStr"/>
      <c r="N3700" s="2" t="inlineStr"/>
      <c r="O3700" s="2" t="inlineStr"/>
      <c r="P3700" s="2" t="inlineStr"/>
      <c r="Q3700" s="2" t="inlineStr"/>
      <c r="R3700" s="2" t="inlineStr"/>
      <c r="S3700" s="2" t="n">
        <v>12</v>
      </c>
      <c r="T3700" s="2" t="inlineStr"/>
      <c r="U3700" s="2" t="inlineStr">
        <is>
          <t>https://www.tim.com.br/sp/para-voce/planos/controle</t>
        </is>
      </c>
      <c r="V3700" s="2" t="inlineStr">
        <is>
          <t>data/raw/tim_fit_SP.html</t>
        </is>
      </c>
    </row>
    <row r="3701">
      <c r="A3701" s="5" t="inlineStr">
        <is>
          <t>2026-08-27</t>
        </is>
      </c>
      <c r="B3701" s="5" t="inlineStr">
        <is>
          <t>2026-08-27T01:25:48</t>
        </is>
      </c>
      <c r="C3701" s="5" t="inlineStr">
        <is>
          <t>tim</t>
        </is>
      </c>
      <c r="D3701" s="5" t="inlineStr">
        <is>
          <t>fit</t>
        </is>
      </c>
      <c r="E3701" s="5" t="inlineStr">
        <is>
          <t>SP</t>
        </is>
      </c>
      <c r="F3701" s="5" t="inlineStr">
        <is>
          <t>TIM Controle Fit Anual 2.0</t>
        </is>
      </c>
      <c r="G3701" s="5" t="inlineStr">
        <is>
          <t>tim:TIM202600000271</t>
        </is>
      </c>
      <c r="H3701" s="6" t="n">
        <v>30</v>
      </c>
      <c r="I3701" s="6" t="inlineStr"/>
      <c r="J3701" s="5" t="inlineStr">
        <is>
          <t>plano anual 12x no cartão de crédito; a etiqueta TIM informa 'sem prazo de permanência'</t>
        </is>
      </c>
      <c r="K3701" s="5" t="inlineStr">
        <is>
          <t>credit_card</t>
        </is>
      </c>
      <c r="L3701" s="7" t="n">
        <v>35</v>
      </c>
      <c r="M3701" s="5" t="inlineStr"/>
      <c r="N3701" s="5" t="inlineStr"/>
      <c r="O3701" s="5" t="inlineStr"/>
      <c r="P3701" s="5" t="inlineStr"/>
      <c r="Q3701" s="5" t="inlineStr"/>
      <c r="R3701" s="5" t="inlineStr"/>
      <c r="S3701" s="5" t="n">
        <v>12</v>
      </c>
      <c r="T3701" s="5" t="inlineStr"/>
      <c r="U3701" s="5" t="inlineStr">
        <is>
          <t>https://www.tim.com.br/sp/para-voce/planos/controle</t>
        </is>
      </c>
      <c r="V3701" s="5" t="inlineStr">
        <is>
          <t>data/raw/tim_fit_SP.html</t>
        </is>
      </c>
    </row>
    <row r="3702">
      <c r="A3702" s="2" t="inlineStr">
        <is>
          <t>2026-08-27</t>
        </is>
      </c>
      <c r="B3702" s="2" t="inlineStr">
        <is>
          <t>2026-08-27T01:25:48</t>
        </is>
      </c>
      <c r="C3702" s="2" t="inlineStr">
        <is>
          <t>tim</t>
        </is>
      </c>
      <c r="D3702" s="2" t="inlineStr">
        <is>
          <t>fit</t>
        </is>
      </c>
      <c r="E3702" s="2" t="inlineStr">
        <is>
          <t>SP</t>
        </is>
      </c>
      <c r="F3702" s="2" t="inlineStr">
        <is>
          <t>TIM Controle Fit Mensal 1.0</t>
        </is>
      </c>
      <c r="G3702" s="2" t="inlineStr">
        <is>
          <t>tim:TIM202600000270</t>
        </is>
      </c>
      <c r="H3702" s="3" t="n">
        <v>20</v>
      </c>
      <c r="I3702" s="3" t="inlineStr"/>
      <c r="J370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02" s="2" t="inlineStr"/>
      <c r="L3702" s="4" t="n">
        <v>20</v>
      </c>
      <c r="M3702" s="2" t="inlineStr"/>
      <c r="N3702" s="2" t="inlineStr"/>
      <c r="O3702" s="2" t="inlineStr"/>
      <c r="P3702" s="2" t="inlineStr"/>
      <c r="Q3702" s="2" t="inlineStr"/>
      <c r="R3702" s="2" t="inlineStr"/>
      <c r="S3702" s="2" t="inlineStr"/>
      <c r="T3702" s="2" t="inlineStr"/>
      <c r="U3702" s="2" t="inlineStr">
        <is>
          <t>https://www.tim.com.br/sp/para-voce/planos/controle</t>
        </is>
      </c>
      <c r="V3702" s="2" t="inlineStr">
        <is>
          <t>data/raw/tim_fit_SP.html</t>
        </is>
      </c>
    </row>
    <row r="3703">
      <c r="A3703" s="5" t="inlineStr">
        <is>
          <t>2026-08-27</t>
        </is>
      </c>
      <c r="B3703" s="5" t="inlineStr">
        <is>
          <t>2026-08-27T01:25:48</t>
        </is>
      </c>
      <c r="C3703" s="5" t="inlineStr">
        <is>
          <t>tim</t>
        </is>
      </c>
      <c r="D3703" s="5" t="inlineStr">
        <is>
          <t>fit</t>
        </is>
      </c>
      <c r="E3703" s="5" t="inlineStr">
        <is>
          <t>SP</t>
        </is>
      </c>
      <c r="F3703" s="5" t="inlineStr">
        <is>
          <t>TIM Controle Fit Mensal 2.0</t>
        </is>
      </c>
      <c r="G3703" s="5" t="inlineStr">
        <is>
          <t>tim:TIM202600000305</t>
        </is>
      </c>
      <c r="H3703" s="6" t="n">
        <v>45</v>
      </c>
      <c r="I3703" s="6" t="inlineStr"/>
      <c r="J3703" s="5" t="inlineStr">
        <is>
          <t>plano mensal, sem prazo de permanência; a etiqueta TIM informa 'sem prazo de permanência'</t>
        </is>
      </c>
      <c r="K3703" s="5" t="inlineStr"/>
      <c r="L3703" s="7" t="n">
        <v>35</v>
      </c>
      <c r="M3703" s="5" t="inlineStr"/>
      <c r="N3703" s="5" t="inlineStr"/>
      <c r="O3703" s="5" t="inlineStr"/>
      <c r="P3703" s="5" t="inlineStr"/>
      <c r="Q3703" s="5" t="inlineStr"/>
      <c r="R3703" s="5" t="inlineStr"/>
      <c r="S3703" s="5" t="inlineStr"/>
      <c r="T3703" s="5" t="inlineStr"/>
      <c r="U3703" s="5" t="inlineStr">
        <is>
          <t>https://www.tim.com.br/sp/para-voce/planos/controle</t>
        </is>
      </c>
      <c r="V3703" s="5" t="inlineStr">
        <is>
          <t>data/raw/tim_fit_SP.html</t>
        </is>
      </c>
    </row>
    <row r="3704">
      <c r="A3704" s="2" t="inlineStr">
        <is>
          <t>2026-08-27</t>
        </is>
      </c>
      <c r="B3704" s="2" t="inlineStr">
        <is>
          <t>2026-08-27T01:25:48</t>
        </is>
      </c>
      <c r="C3704" s="2" t="inlineStr">
        <is>
          <t>tim</t>
        </is>
      </c>
      <c r="D3704" s="2" t="inlineStr">
        <is>
          <t>postpaid</t>
        </is>
      </c>
      <c r="E3704" s="2" t="inlineStr">
        <is>
          <t>SP</t>
        </is>
      </c>
      <c r="F3704" s="2" t="inlineStr">
        <is>
          <t>TIM Black 70GB</t>
        </is>
      </c>
      <c r="G3704" s="2" t="inlineStr">
        <is>
          <t>tim:54206</t>
        </is>
      </c>
      <c r="H3704" s="3" t="n">
        <v>129.99</v>
      </c>
      <c r="I3704" s="3" t="inlineStr"/>
      <c r="J3704" s="2" t="inlineStr"/>
      <c r="K3704" s="2" t="inlineStr">
        <is>
          <t>bill</t>
        </is>
      </c>
      <c r="L3704" s="4" t="n">
        <v>70</v>
      </c>
      <c r="M3704" s="2" t="inlineStr"/>
      <c r="N3704" s="2" t="inlineStr"/>
      <c r="O3704" s="2" t="inlineStr"/>
      <c r="P3704" s="2" t="inlineStr"/>
      <c r="Q3704" s="2" t="inlineStr"/>
      <c r="R3704" s="2" t="inlineStr"/>
      <c r="S3704" s="2" t="inlineStr"/>
      <c r="T3704" s="2" t="inlineStr"/>
      <c r="U3704" s="2" t="inlineStr">
        <is>
          <t>https://www.tim.com.br/sp/para-voce/planos/pos-pago/tim-black</t>
        </is>
      </c>
      <c r="V3704" s="2" t="inlineStr">
        <is>
          <t>data/raw/tim_postpaid_SP.html</t>
        </is>
      </c>
    </row>
    <row r="3705">
      <c r="A3705" s="5" t="inlineStr">
        <is>
          <t>2026-08-27</t>
        </is>
      </c>
      <c r="B3705" s="5" t="inlineStr">
        <is>
          <t>2026-08-27T01:25:48</t>
        </is>
      </c>
      <c r="C3705" s="5" t="inlineStr">
        <is>
          <t>tim</t>
        </is>
      </c>
      <c r="D3705" s="5" t="inlineStr">
        <is>
          <t>postpaid</t>
        </is>
      </c>
      <c r="E3705" s="5" t="inlineStr">
        <is>
          <t>SP</t>
        </is>
      </c>
      <c r="F3705" s="5" t="inlineStr">
        <is>
          <t>TIM Black A Express 67GB</t>
        </is>
      </c>
      <c r="G3705" s="5" t="inlineStr">
        <is>
          <t>tim:55121</t>
        </is>
      </c>
      <c r="H3705" s="6" t="n">
        <v>119.99</v>
      </c>
      <c r="I3705" s="6" t="inlineStr"/>
      <c r="J3705" s="5" t="inlineStr"/>
      <c r="K3705" s="5" t="inlineStr">
        <is>
          <t>credit_card</t>
        </is>
      </c>
      <c r="L3705" s="7" t="n">
        <v>67</v>
      </c>
      <c r="M3705" s="5" t="inlineStr"/>
      <c r="N3705" s="5" t="inlineStr"/>
      <c r="O3705" s="5" t="inlineStr"/>
      <c r="P3705" s="5" t="inlineStr"/>
      <c r="Q3705" s="5" t="inlineStr"/>
      <c r="R3705" s="5" t="inlineStr"/>
      <c r="S3705" s="5" t="inlineStr"/>
      <c r="T3705" s="5" t="inlineStr"/>
      <c r="U3705" s="5" t="inlineStr">
        <is>
          <t>https://www.tim.com.br/sp/para-voce/planos/pos-pago/tim-black</t>
        </is>
      </c>
      <c r="V3705" s="5" t="inlineStr">
        <is>
          <t>data/raw/tim_postpaid_SP.html</t>
        </is>
      </c>
    </row>
    <row r="3706">
      <c r="A3706" s="2" t="inlineStr">
        <is>
          <t>2026-08-27</t>
        </is>
      </c>
      <c r="B3706" s="2" t="inlineStr">
        <is>
          <t>2026-08-27T01:25:48</t>
        </is>
      </c>
      <c r="C3706" s="2" t="inlineStr">
        <is>
          <t>tim</t>
        </is>
      </c>
      <c r="D3706" s="2" t="inlineStr">
        <is>
          <t>postpaid</t>
        </is>
      </c>
      <c r="E3706" s="2" t="inlineStr">
        <is>
          <t>SP</t>
        </is>
      </c>
      <c r="F3706" s="2" t="inlineStr">
        <is>
          <t>TIM Black B Express 82GB</t>
        </is>
      </c>
      <c r="G3706" s="2" t="inlineStr">
        <is>
          <t>tim:52146</t>
        </is>
      </c>
      <c r="H3706" s="3" t="n">
        <v>144.99</v>
      </c>
      <c r="I3706" s="3" t="inlineStr"/>
      <c r="J3706" s="2" t="inlineStr"/>
      <c r="K3706" s="2" t="inlineStr">
        <is>
          <t>credit_card</t>
        </is>
      </c>
      <c r="L3706" s="4" t="n">
        <v>82</v>
      </c>
      <c r="M3706" s="2" t="inlineStr"/>
      <c r="N3706" s="2" t="inlineStr"/>
      <c r="O3706" s="2" t="inlineStr"/>
      <c r="P3706" s="2" t="inlineStr"/>
      <c r="Q3706" s="2" t="inlineStr"/>
      <c r="R3706" s="2" t="inlineStr"/>
      <c r="S3706" s="2" t="inlineStr"/>
      <c r="T3706" s="2" t="inlineStr"/>
      <c r="U3706" s="2" t="inlineStr">
        <is>
          <t>https://www.tim.com.br/sp/para-voce/planos/pos-pago/tim-black</t>
        </is>
      </c>
      <c r="V3706" s="2" t="inlineStr">
        <is>
          <t>data/raw/tim_postpaid_SP.html</t>
        </is>
      </c>
    </row>
    <row r="3707">
      <c r="A3707" s="5" t="inlineStr">
        <is>
          <t>2026-08-27</t>
        </is>
      </c>
      <c r="B3707" s="5" t="inlineStr">
        <is>
          <t>2026-08-27T01:25:48</t>
        </is>
      </c>
      <c r="C3707" s="5" t="inlineStr">
        <is>
          <t>tim</t>
        </is>
      </c>
      <c r="D3707" s="5" t="inlineStr">
        <is>
          <t>postpaid</t>
        </is>
      </c>
      <c r="E3707" s="5" t="inlineStr">
        <is>
          <t>SP</t>
        </is>
      </c>
      <c r="F3707" s="5" t="inlineStr">
        <is>
          <t>TIM Black C Express 107GB</t>
        </is>
      </c>
      <c r="G3707" s="5" t="inlineStr">
        <is>
          <t>tim:52151</t>
        </is>
      </c>
      <c r="H3707" s="6" t="n">
        <v>164.99</v>
      </c>
      <c r="I3707" s="6" t="inlineStr"/>
      <c r="J3707" s="5" t="inlineStr"/>
      <c r="K3707" s="5" t="inlineStr">
        <is>
          <t>credit_card</t>
        </is>
      </c>
      <c r="L3707" s="7" t="n">
        <v>107</v>
      </c>
      <c r="M3707" s="5" t="inlineStr"/>
      <c r="N3707" s="5" t="inlineStr"/>
      <c r="O3707" s="5" t="inlineStr"/>
      <c r="P3707" s="5" t="inlineStr"/>
      <c r="Q3707" s="5" t="inlineStr"/>
      <c r="R3707" s="5" t="inlineStr"/>
      <c r="S3707" s="5" t="inlineStr"/>
      <c r="T3707" s="5" t="inlineStr"/>
      <c r="U3707" s="5" t="inlineStr">
        <is>
          <t>https://www.tim.com.br/sp/para-voce/planos/pos-pago/tim-black</t>
        </is>
      </c>
      <c r="V3707" s="5" t="inlineStr">
        <is>
          <t>data/raw/tim_postpaid_SP.html</t>
        </is>
      </c>
    </row>
    <row r="3708">
      <c r="A3708" s="2" t="inlineStr">
        <is>
          <t>2026-08-27</t>
        </is>
      </c>
      <c r="B3708" s="2" t="inlineStr">
        <is>
          <t>2026-08-27T01:25:48</t>
        </is>
      </c>
      <c r="C3708" s="2" t="inlineStr">
        <is>
          <t>tim</t>
        </is>
      </c>
      <c r="D3708" s="2" t="inlineStr">
        <is>
          <t>postpaid</t>
        </is>
      </c>
      <c r="E3708" s="2" t="inlineStr">
        <is>
          <t>SP</t>
        </is>
      </c>
      <c r="F3708" s="2" t="inlineStr">
        <is>
          <t>TIM Black C Ultra 95GB</t>
        </is>
      </c>
      <c r="G3708" s="2" t="inlineStr">
        <is>
          <t>tim:100581</t>
        </is>
      </c>
      <c r="H3708" s="3" t="n">
        <v>159.99</v>
      </c>
      <c r="I3708" s="3" t="inlineStr"/>
      <c r="J3708" s="2" t="inlineStr"/>
      <c r="K3708" s="2" t="inlineStr">
        <is>
          <t>bill</t>
        </is>
      </c>
      <c r="L3708" s="4" t="n">
        <v>95</v>
      </c>
      <c r="M3708" s="2" t="inlineStr"/>
      <c r="N3708" s="2" t="inlineStr"/>
      <c r="O3708" s="2" t="inlineStr"/>
      <c r="P3708" s="2" t="inlineStr"/>
      <c r="Q3708" s="2" t="inlineStr"/>
      <c r="R3708" s="2" t="inlineStr"/>
      <c r="S3708" s="2" t="inlineStr"/>
      <c r="T3708" s="2" t="inlineStr"/>
      <c r="U3708" s="2" t="inlineStr">
        <is>
          <t>https://www.tim.com.br/sp/para-voce/planos/pos-pago/tim-black</t>
        </is>
      </c>
      <c r="V3708" s="2" t="inlineStr">
        <is>
          <t>data/raw/tim_postpaid_SP.html</t>
        </is>
      </c>
    </row>
    <row r="3709">
      <c r="A3709" s="5" t="inlineStr">
        <is>
          <t>2026-08-27</t>
        </is>
      </c>
      <c r="B3709" s="5" t="inlineStr">
        <is>
          <t>2026-08-27T01:25:48</t>
        </is>
      </c>
      <c r="C3709" s="5" t="inlineStr">
        <is>
          <t>tim</t>
        </is>
      </c>
      <c r="D3709" s="5" t="inlineStr">
        <is>
          <t>postpaid</t>
        </is>
      </c>
      <c r="E3709" s="5" t="inlineStr">
        <is>
          <t>SP</t>
        </is>
      </c>
      <c r="F3709" s="5" t="inlineStr">
        <is>
          <t>TIM Black Plus 80GB</t>
        </is>
      </c>
      <c r="G3709" s="5" t="inlineStr">
        <is>
          <t>tim:54256</t>
        </is>
      </c>
      <c r="H3709" s="6" t="n">
        <v>149.99</v>
      </c>
      <c r="I3709" s="6" t="inlineStr"/>
      <c r="J3709" s="5" t="inlineStr"/>
      <c r="K3709" s="5" t="inlineStr">
        <is>
          <t>bill</t>
        </is>
      </c>
      <c r="L3709" s="7" t="n">
        <v>80</v>
      </c>
      <c r="M3709" s="5" t="inlineStr"/>
      <c r="N3709" s="5" t="inlineStr"/>
      <c r="O3709" s="5" t="inlineStr"/>
      <c r="P3709" s="5" t="inlineStr"/>
      <c r="Q3709" s="5" t="inlineStr"/>
      <c r="R3709" s="5" t="inlineStr"/>
      <c r="S3709" s="5" t="inlineStr"/>
      <c r="T3709" s="5" t="inlineStr"/>
      <c r="U3709" s="5" t="inlineStr">
        <is>
          <t>https://www.tim.com.br/sp/para-voce/planos/pos-pago/tim-black</t>
        </is>
      </c>
      <c r="V3709" s="5" t="inlineStr">
        <is>
          <t>data/raw/tim_postpaid_SP.html</t>
        </is>
      </c>
    </row>
    <row r="3710">
      <c r="A3710" s="2" t="inlineStr">
        <is>
          <t>2026-08-27</t>
        </is>
      </c>
      <c r="B3710" s="2" t="inlineStr">
        <is>
          <t>2026-08-27T01:25:48</t>
        </is>
      </c>
      <c r="C3710" s="2" t="inlineStr">
        <is>
          <t>tim</t>
        </is>
      </c>
      <c r="D3710" s="2" t="inlineStr">
        <is>
          <t>postpaid</t>
        </is>
      </c>
      <c r="E3710" s="2" t="inlineStr">
        <is>
          <t>SP</t>
        </is>
      </c>
      <c r="F3710" s="2" t="inlineStr">
        <is>
          <t>TIM Black Premium 110GB</t>
        </is>
      </c>
      <c r="G3710" s="2" t="inlineStr">
        <is>
          <t>tim:54261</t>
        </is>
      </c>
      <c r="H3710" s="3" t="n">
        <v>159.99</v>
      </c>
      <c r="I3710" s="3" t="inlineStr"/>
      <c r="J3710" s="2" t="inlineStr"/>
      <c r="K3710" s="2" t="inlineStr">
        <is>
          <t>bill</t>
        </is>
      </c>
      <c r="L3710" s="4" t="n">
        <v>110</v>
      </c>
      <c r="M3710" s="2" t="inlineStr"/>
      <c r="N3710" s="2" t="inlineStr"/>
      <c r="O3710" s="2" t="inlineStr"/>
      <c r="P3710" s="2" t="inlineStr"/>
      <c r="Q3710" s="2" t="inlineStr"/>
      <c r="R3710" s="2" t="inlineStr"/>
      <c r="S3710" s="2" t="inlineStr"/>
      <c r="T3710" s="2" t="inlineStr"/>
      <c r="U3710" s="2" t="inlineStr">
        <is>
          <t>https://www.tim.com.br/sp/para-voce/planos/pos-pago/tim-black</t>
        </is>
      </c>
      <c r="V3710" s="2" t="inlineStr">
        <is>
          <t>data/raw/tim_postpaid_SP.html</t>
        </is>
      </c>
    </row>
    <row r="3711">
      <c r="A3711" s="5" t="inlineStr">
        <is>
          <t>2026-08-27</t>
        </is>
      </c>
      <c r="B3711" s="5" t="inlineStr">
        <is>
          <t>2026-08-27T01:25:48</t>
        </is>
      </c>
      <c r="C3711" s="5" t="inlineStr">
        <is>
          <t>tim</t>
        </is>
      </c>
      <c r="D3711" s="5" t="inlineStr">
        <is>
          <t>prepaid</t>
        </is>
      </c>
      <c r="E3711" s="5" t="inlineStr">
        <is>
          <t>SP</t>
        </is>
      </c>
      <c r="F3711" s="5" t="inlineStr">
        <is>
          <t>TIM Pré XIP Plus 16GB</t>
        </is>
      </c>
      <c r="G3711" s="5" t="inlineStr">
        <is>
          <t>tim:106306</t>
        </is>
      </c>
      <c r="H3711" s="6" t="n">
        <v>30</v>
      </c>
      <c r="I3711" s="6" t="inlineStr"/>
      <c r="J3711" s="5" t="inlineStr"/>
      <c r="K3711" s="5" t="inlineStr"/>
      <c r="L3711" s="7" t="n">
        <v>16</v>
      </c>
      <c r="M3711" s="5" t="inlineStr"/>
      <c r="N3711" s="5" t="n">
        <v>30</v>
      </c>
      <c r="O3711" s="5" t="inlineStr"/>
      <c r="P3711" s="5" t="inlineStr"/>
      <c r="Q3711" s="5" t="inlineStr"/>
      <c r="R3711" s="5" t="inlineStr"/>
      <c r="S3711" s="5" t="inlineStr"/>
      <c r="T3711" s="5" t="inlineStr"/>
      <c r="U3711" s="5" t="inlineStr">
        <is>
          <t>https://www.tim.com.br/sp/para-voce/planos/pre-pago</t>
        </is>
      </c>
      <c r="V3711" s="5" t="inlineStr">
        <is>
          <t>data/raw/tim_prepaid_SP.html</t>
        </is>
      </c>
    </row>
    <row r="3712">
      <c r="A3712" s="2" t="inlineStr">
        <is>
          <t>2026-08-27</t>
        </is>
      </c>
      <c r="B3712" s="2" t="inlineStr">
        <is>
          <t>2026-08-27T01:25:48</t>
        </is>
      </c>
      <c r="C3712" s="2" t="inlineStr">
        <is>
          <t>tim</t>
        </is>
      </c>
      <c r="D3712" s="2" t="inlineStr">
        <is>
          <t>prepaid</t>
        </is>
      </c>
      <c r="E3712" s="2" t="inlineStr">
        <is>
          <t>SP</t>
        </is>
      </c>
      <c r="F3712" s="2" t="inlineStr">
        <is>
          <t>TIM Pré XIP Plus 6GB</t>
        </is>
      </c>
      <c r="G3712" s="2" t="inlineStr">
        <is>
          <t>tim:59906</t>
        </is>
      </c>
      <c r="H3712" s="3" t="n">
        <v>20</v>
      </c>
      <c r="I3712" s="3" t="inlineStr"/>
      <c r="J3712" s="2" t="inlineStr"/>
      <c r="K3712" s="2" t="inlineStr"/>
      <c r="L3712" s="4" t="n">
        <v>6</v>
      </c>
      <c r="M3712" s="2" t="inlineStr"/>
      <c r="N3712" s="2" t="n">
        <v>17</v>
      </c>
      <c r="O3712" s="2" t="inlineStr"/>
      <c r="P3712" s="2" t="inlineStr"/>
      <c r="Q3712" s="2" t="inlineStr"/>
      <c r="R3712" s="2" t="inlineStr"/>
      <c r="S3712" s="2" t="inlineStr"/>
      <c r="T3712" s="2" t="inlineStr"/>
      <c r="U3712" s="2" t="inlineStr">
        <is>
          <t>https://www.tim.com.br/sp/para-voce/planos/pre-pago</t>
        </is>
      </c>
      <c r="V3712" s="2" t="inlineStr">
        <is>
          <t>data/raw/tim_prepaid_SP.html</t>
        </is>
      </c>
    </row>
    <row r="3713">
      <c r="A3713" s="5" t="inlineStr">
        <is>
          <t>2026-08-27</t>
        </is>
      </c>
      <c r="B3713" s="5" t="inlineStr">
        <is>
          <t>2026-08-27T01:25:48</t>
        </is>
      </c>
      <c r="C3713" s="5" t="inlineStr">
        <is>
          <t>tim</t>
        </is>
      </c>
      <c r="D3713" s="5" t="inlineStr">
        <is>
          <t>prepaid</t>
        </is>
      </c>
      <c r="E3713" s="5" t="inlineStr">
        <is>
          <t>SP</t>
        </is>
      </c>
      <c r="F3713" s="5" t="inlineStr">
        <is>
          <t>TIM Pré XIP Plus 8GB</t>
        </is>
      </c>
      <c r="G3713" s="5" t="inlineStr">
        <is>
          <t>tim:59901</t>
        </is>
      </c>
      <c r="H3713" s="6" t="n">
        <v>25</v>
      </c>
      <c r="I3713" s="6" t="inlineStr"/>
      <c r="J3713" s="5" t="inlineStr"/>
      <c r="K3713" s="5" t="inlineStr"/>
      <c r="L3713" s="7" t="n">
        <v>8</v>
      </c>
      <c r="M3713" s="5" t="inlineStr"/>
      <c r="N3713" s="5" t="n">
        <v>22</v>
      </c>
      <c r="O3713" s="5" t="inlineStr"/>
      <c r="P3713" s="5" t="inlineStr"/>
      <c r="Q3713" s="5" t="inlineStr"/>
      <c r="R3713" s="5" t="inlineStr"/>
      <c r="S3713" s="5" t="inlineStr"/>
      <c r="T3713" s="5" t="inlineStr"/>
      <c r="U3713" s="5" t="inlineStr">
        <is>
          <t>https://www.tim.com.br/sp/para-voce/planos/pre-pago</t>
        </is>
      </c>
      <c r="V3713" s="5" t="inlineStr">
        <is>
          <t>data/raw/tim_prepaid_SP.html</t>
        </is>
      </c>
    </row>
    <row r="3714">
      <c r="A3714" s="2" t="inlineStr">
        <is>
          <t>2026-08-27</t>
        </is>
      </c>
      <c r="B3714" s="2" t="inlineStr">
        <is>
          <t>2026-08-27T01:25:48</t>
        </is>
      </c>
      <c r="C3714" s="2" t="inlineStr">
        <is>
          <t>vivo</t>
        </is>
      </c>
      <c r="D3714" s="2" t="inlineStr">
        <is>
          <t>control</t>
        </is>
      </c>
      <c r="E3714" s="2" t="inlineStr">
        <is>
          <t>SP</t>
        </is>
      </c>
      <c r="F3714" s="2" t="inlineStr">
        <is>
          <t>Vivo Controle</t>
        </is>
      </c>
      <c r="G3714" s="2" t="inlineStr">
        <is>
          <t>vivo:VIV202600034591</t>
        </is>
      </c>
      <c r="H3714" s="3" t="n">
        <v>59</v>
      </c>
      <c r="I3714" s="3" t="inlineStr"/>
      <c r="J3714" s="2" t="inlineStr"/>
      <c r="K3714" s="2" t="inlineStr"/>
      <c r="L3714" s="4" t="n">
        <v>45</v>
      </c>
      <c r="M3714" s="2" t="inlineStr">
        <is>
          <t>15 GB de franquia 30 GB de bônus</t>
        </is>
      </c>
      <c r="N3714" s="2" t="inlineStr"/>
      <c r="O3714" s="2" t="inlineStr"/>
      <c r="P3714" s="2" t="inlineStr"/>
      <c r="Q3714" s="2" t="inlineStr"/>
      <c r="R3714" s="2" t="inlineStr"/>
      <c r="S3714" s="2" t="inlineStr"/>
      <c r="T3714" s="2" t="inlineStr">
        <is>
          <t>2 meses de YouTube sem consumo no plano</t>
        </is>
      </c>
      <c r="U3714" s="2" t="inlineStr">
        <is>
          <t>https://vivo.com.br/para-voce/produtos-e-servicos/para-o-celular/planos-controle</t>
        </is>
      </c>
      <c r="V3714" s="2" t="inlineStr">
        <is>
          <t>data/raw/vivo_control_SP.html</t>
        </is>
      </c>
    </row>
    <row r="3715">
      <c r="A3715" s="5" t="inlineStr">
        <is>
          <t>2026-08-27</t>
        </is>
      </c>
      <c r="B3715" s="5" t="inlineStr">
        <is>
          <t>2026-08-27T01:25:48</t>
        </is>
      </c>
      <c r="C3715" s="5" t="inlineStr">
        <is>
          <t>vivo</t>
        </is>
      </c>
      <c r="D3715" s="5" t="inlineStr">
        <is>
          <t>control</t>
        </is>
      </c>
      <c r="E3715" s="5" t="inlineStr">
        <is>
          <t>SP</t>
        </is>
      </c>
      <c r="F3715" s="5" t="inlineStr">
        <is>
          <t>Vivo Controle</t>
        </is>
      </c>
      <c r="G3715" s="5" t="inlineStr">
        <is>
          <t>vivo:VIV202600034599</t>
        </is>
      </c>
      <c r="H3715" s="6" t="n">
        <v>75</v>
      </c>
      <c r="I3715" s="6" t="inlineStr"/>
      <c r="J3715" s="5" t="inlineStr">
        <is>
          <t>preço-base do plano; a tela exibia R$ 80 com o adicional pré-selecionado (+R$ 5/mês, opcional); 60 GB na tela incluem +10 GB do adicional</t>
        </is>
      </c>
      <c r="K3715" s="5" t="inlineStr"/>
      <c r="L3715" s="7" t="n">
        <v>50</v>
      </c>
      <c r="M3715" s="5" t="inlineStr">
        <is>
          <t>20 GB de franquia 30 GB de bônus</t>
        </is>
      </c>
      <c r="N3715" s="5" t="inlineStr"/>
      <c r="O3715" s="5" t="inlineStr"/>
      <c r="P3715" s="5" t="inlineStr"/>
      <c r="Q3715" s="5" t="inlineStr"/>
      <c r="R3715" s="5" t="inlineStr"/>
      <c r="S3715" s="5" t="inlineStr"/>
      <c r="T3715" s="5" t="inlineStr">
        <is>
          <t>2 meses de YouTube sem consumo no plano</t>
        </is>
      </c>
      <c r="U3715" s="5" t="inlineStr">
        <is>
          <t>https://vivo.com.br/para-voce/produtos-e-servicos/para-o-celular/planos-controle</t>
        </is>
      </c>
      <c r="V3715" s="5" t="inlineStr">
        <is>
          <t>data/raw/vivo_control_SP.html</t>
        </is>
      </c>
    </row>
    <row r="3716">
      <c r="A3716" s="2" t="inlineStr">
        <is>
          <t>2026-08-27</t>
        </is>
      </c>
      <c r="B3716" s="2" t="inlineStr">
        <is>
          <t>2026-08-27T01:25:48</t>
        </is>
      </c>
      <c r="C3716" s="2" t="inlineStr">
        <is>
          <t>vivo</t>
        </is>
      </c>
      <c r="D3716" s="2" t="inlineStr">
        <is>
          <t>control</t>
        </is>
      </c>
      <c r="E3716" s="2" t="inlineStr">
        <is>
          <t>SP</t>
        </is>
      </c>
      <c r="F3716" s="2" t="inlineStr">
        <is>
          <t>Vivo Controle Educação</t>
        </is>
      </c>
      <c r="G3716" s="2" t="inlineStr">
        <is>
          <t>vivo:VIV202600034616</t>
        </is>
      </c>
      <c r="H3716" s="3" t="n">
        <v>85</v>
      </c>
      <c r="I3716" s="3" t="inlineStr"/>
      <c r="J3716" s="2" t="inlineStr">
        <is>
          <t>preço-base do plano; a tela exibia R$ 90 com o adicional pré-selecionado (+R$ 5/mês, opcional); 60 GB na tela incluem +10 GB do adicional</t>
        </is>
      </c>
      <c r="K3716" s="2" t="inlineStr"/>
      <c r="L3716" s="4" t="n">
        <v>50</v>
      </c>
      <c r="M3716" s="2" t="inlineStr">
        <is>
          <t>20 GB de franquia 30 GB de bônus</t>
        </is>
      </c>
      <c r="N3716" s="2" t="inlineStr"/>
      <c r="O3716" s="2" t="inlineStr"/>
      <c r="P3716" s="2" t="inlineStr"/>
      <c r="Q3716" s="2" t="inlineStr"/>
      <c r="R3716" s="2" t="inlineStr"/>
      <c r="S3716" s="2" t="inlineStr"/>
      <c r="T3716" s="2" t="inlineStr">
        <is>
          <t>Assinatura Vivae inclusa</t>
        </is>
      </c>
      <c r="U3716" s="2" t="inlineStr">
        <is>
          <t>https://vivo.com.br/para-voce/produtos-e-servicos/para-o-celular/planos-controle</t>
        </is>
      </c>
      <c r="V3716" s="2" t="inlineStr">
        <is>
          <t>data/raw/vivo_control_SP.html</t>
        </is>
      </c>
    </row>
    <row r="3717">
      <c r="A3717" s="5" t="inlineStr">
        <is>
          <t>2026-08-27</t>
        </is>
      </c>
      <c r="B3717" s="5" t="inlineStr">
        <is>
          <t>2026-08-27T01:25:48</t>
        </is>
      </c>
      <c r="C3717" s="5" t="inlineStr">
        <is>
          <t>vivo</t>
        </is>
      </c>
      <c r="D3717" s="5" t="inlineStr">
        <is>
          <t>control</t>
        </is>
      </c>
      <c r="E3717" s="5" t="inlineStr">
        <is>
          <t>SP</t>
        </is>
      </c>
      <c r="F3717" s="5" t="inlineStr">
        <is>
          <t>Vivo Controle Entretenimento</t>
        </is>
      </c>
      <c r="G3717" s="5" t="inlineStr">
        <is>
          <t>vivo:VIV202600034619</t>
        </is>
      </c>
      <c r="H3717" s="6" t="n">
        <v>105</v>
      </c>
      <c r="I3717" s="6" t="inlineStr"/>
      <c r="J3717" s="5" t="inlineStr">
        <is>
          <t>preço-base do plano; a tela exibia R$ 110 com o adicional pré-selecionado (+R$ 5/mês, opcional); 60 GB na tela incluem +10 GB do adicional</t>
        </is>
      </c>
      <c r="K3717" s="5" t="inlineStr"/>
      <c r="L3717" s="7" t="n">
        <v>50</v>
      </c>
      <c r="M3717" s="5" t="inlineStr">
        <is>
          <t>20 GB de franquia 30 GB de bônus</t>
        </is>
      </c>
      <c r="N3717" s="5" t="inlineStr"/>
      <c r="O3717" s="5" t="inlineStr"/>
      <c r="P3717" s="5" t="inlineStr"/>
      <c r="Q3717" s="5" t="inlineStr"/>
      <c r="R3717" s="5" t="inlineStr"/>
      <c r="S3717" s="5" t="inlineStr"/>
      <c r="T3717" s="5" t="inlineStr">
        <is>
          <t>Assinatura Vivo TV Inicial inclusa</t>
        </is>
      </c>
      <c r="U3717" s="5" t="inlineStr">
        <is>
          <t>https://vivo.com.br/para-voce/produtos-e-servicos/para-o-celular/planos-controle</t>
        </is>
      </c>
      <c r="V3717" s="5" t="inlineStr">
        <is>
          <t>data/raw/vivo_control_SP.html</t>
        </is>
      </c>
    </row>
    <row r="3718">
      <c r="A3718" s="2" t="inlineStr">
        <is>
          <t>2026-08-27</t>
        </is>
      </c>
      <c r="B3718" s="2" t="inlineStr">
        <is>
          <t>2026-08-27T01:25:48</t>
        </is>
      </c>
      <c r="C3718" s="2" t="inlineStr">
        <is>
          <t>vivo</t>
        </is>
      </c>
      <c r="D3718" s="2" t="inlineStr">
        <is>
          <t>control</t>
        </is>
      </c>
      <c r="E3718" s="2" t="inlineStr">
        <is>
          <t>SP</t>
        </is>
      </c>
      <c r="F3718" s="2" t="inlineStr">
        <is>
          <t>Vivo Controle Música</t>
        </is>
      </c>
      <c r="G3718" s="2" t="inlineStr">
        <is>
          <t>vivo:VIV202600034620</t>
        </is>
      </c>
      <c r="H3718" s="3" t="n">
        <v>85</v>
      </c>
      <c r="I3718" s="3" t="inlineStr"/>
      <c r="J3718" s="2" t="inlineStr">
        <is>
          <t>preço-base do plano; a tela exibia R$ 90 com o adicional pré-selecionado (+R$ 5/mês, opcional); 60 GB na tela incluem +10 GB do adicional</t>
        </is>
      </c>
      <c r="K3718" s="2" t="inlineStr"/>
      <c r="L3718" s="4" t="n">
        <v>50</v>
      </c>
      <c r="M3718" s="2" t="inlineStr">
        <is>
          <t>20 GB de franquia 30 GB de bônus</t>
        </is>
      </c>
      <c r="N3718" s="2" t="inlineStr"/>
      <c r="O3718" s="2" t="inlineStr"/>
      <c r="P3718" s="2" t="inlineStr"/>
      <c r="Q3718" s="2" t="inlineStr"/>
      <c r="R3718" s="2" t="inlineStr"/>
      <c r="S3718" s="2" t="inlineStr"/>
      <c r="T3718" s="2" t="inlineStr">
        <is>
          <t>Apple Music Individual</t>
        </is>
      </c>
      <c r="U3718" s="2" t="inlineStr">
        <is>
          <t>https://vivo.com.br/para-voce/produtos-e-servicos/para-o-celular/planos-controle</t>
        </is>
      </c>
      <c r="V3718" s="2" t="inlineStr">
        <is>
          <t>data/raw/vivo_control_SP.html</t>
        </is>
      </c>
    </row>
    <row r="3719">
      <c r="A3719" s="5" t="inlineStr">
        <is>
          <t>2026-08-27</t>
        </is>
      </c>
      <c r="B3719" s="5" t="inlineStr">
        <is>
          <t>2026-08-27T01:25:48</t>
        </is>
      </c>
      <c r="C3719" s="5" t="inlineStr">
        <is>
          <t>vivo</t>
        </is>
      </c>
      <c r="D3719" s="5" t="inlineStr">
        <is>
          <t>control</t>
        </is>
      </c>
      <c r="E3719" s="5" t="inlineStr">
        <is>
          <t>SP</t>
        </is>
      </c>
      <c r="F3719" s="5" t="inlineStr">
        <is>
          <t>Vivo Controle Netflix</t>
        </is>
      </c>
      <c r="G3719" s="5" t="inlineStr">
        <is>
          <t>vivo:VIV202600034623</t>
        </is>
      </c>
      <c r="H3719" s="6" t="n">
        <v>90</v>
      </c>
      <c r="I3719" s="6" t="inlineStr"/>
      <c r="J3719" s="5" t="inlineStr">
        <is>
          <t>preço-base do plano; a tela exibia R$ 95 com o adicional pré-selecionado (+R$ 5/mês, opcional); 60 GB na tela incluem +10 GB do adicional</t>
        </is>
      </c>
      <c r="K3719" s="5" t="inlineStr"/>
      <c r="L3719" s="7" t="n">
        <v>50</v>
      </c>
      <c r="M3719" s="5" t="inlineStr">
        <is>
          <t>20 GB de franquia 30 GB de bônus</t>
        </is>
      </c>
      <c r="N3719" s="5" t="inlineStr"/>
      <c r="O3719" s="5" t="inlineStr"/>
      <c r="P3719" s="5" t="inlineStr"/>
      <c r="Q3719" s="5" t="inlineStr"/>
      <c r="R3719" s="5" t="inlineStr"/>
      <c r="S3719" s="5" t="inlineStr"/>
      <c r="T3719" s="5" t="inlineStr">
        <is>
          <t>Assinatura Netflix Padrão com anúncios</t>
        </is>
      </c>
      <c r="U3719" s="5" t="inlineStr">
        <is>
          <t>https://vivo.com.br/para-voce/produtos-e-servicos/para-o-celular/planos-controle</t>
        </is>
      </c>
      <c r="V3719" s="5" t="inlineStr">
        <is>
          <t>data/raw/vivo_control_SP.html</t>
        </is>
      </c>
    </row>
    <row r="3720">
      <c r="A3720" s="2" t="inlineStr">
        <is>
          <t>2026-08-27</t>
        </is>
      </c>
      <c r="B3720" s="2" t="inlineStr">
        <is>
          <t>2026-08-27T01:25:48</t>
        </is>
      </c>
      <c r="C3720" s="2" t="inlineStr">
        <is>
          <t>vivo</t>
        </is>
      </c>
      <c r="D3720" s="2" t="inlineStr">
        <is>
          <t>control</t>
        </is>
      </c>
      <c r="E3720" s="2" t="inlineStr">
        <is>
          <t>SP</t>
        </is>
      </c>
      <c r="F3720" s="2" t="inlineStr">
        <is>
          <t>Vivo Controle Saúde</t>
        </is>
      </c>
      <c r="G3720" s="2" t="inlineStr">
        <is>
          <t>vivo:VIV202600034625</t>
        </is>
      </c>
      <c r="H3720" s="3" t="n">
        <v>85</v>
      </c>
      <c r="I3720" s="3" t="inlineStr"/>
      <c r="J3720" s="2" t="inlineStr">
        <is>
          <t>preço-base do plano; a tela exibia R$ 90 com o adicional pré-selecionado (+R$ 5/mês, opcional); 60 GB na tela incluem +10 GB do adicional</t>
        </is>
      </c>
      <c r="K3720" s="2" t="inlineStr"/>
      <c r="L3720" s="4" t="n">
        <v>50</v>
      </c>
      <c r="M3720" s="2" t="inlineStr">
        <is>
          <t>20 GB de franquia 30 GB de bônus</t>
        </is>
      </c>
      <c r="N3720" s="2" t="inlineStr"/>
      <c r="O3720" s="2" t="inlineStr"/>
      <c r="P3720" s="2" t="inlineStr"/>
      <c r="Q3720" s="2" t="inlineStr"/>
      <c r="R3720" s="2" t="inlineStr"/>
      <c r="S3720" s="2" t="inlineStr"/>
      <c r="T3720" s="2" t="inlineStr">
        <is>
          <t>Assinatura Vale Saúde Sempre inclusa</t>
        </is>
      </c>
      <c r="U3720" s="2" t="inlineStr">
        <is>
          <t>https://vivo.com.br/para-voce/produtos-e-servicos/para-o-celular/planos-controle</t>
        </is>
      </c>
      <c r="V3720" s="2" t="inlineStr">
        <is>
          <t>data/raw/vivo_control_SP.html</t>
        </is>
      </c>
    </row>
    <row r="3721">
      <c r="A3721" s="5" t="inlineStr">
        <is>
          <t>2026-08-27</t>
        </is>
      </c>
      <c r="B3721" s="5" t="inlineStr">
        <is>
          <t>2026-08-27T01:25:48</t>
        </is>
      </c>
      <c r="C3721" s="5" t="inlineStr">
        <is>
          <t>vivo</t>
        </is>
      </c>
      <c r="D3721" s="5" t="inlineStr">
        <is>
          <t>control</t>
        </is>
      </c>
      <c r="E3721" s="5" t="inlineStr">
        <is>
          <t>SP</t>
        </is>
      </c>
      <c r="F3721" s="5" t="inlineStr">
        <is>
          <t>Vivo Controle Youtube Lite</t>
        </is>
      </c>
      <c r="G3721" s="5" t="inlineStr">
        <is>
          <t>vivo:VIV202600034626</t>
        </is>
      </c>
      <c r="H3721" s="6" t="n">
        <v>85</v>
      </c>
      <c r="I3721" s="6" t="inlineStr"/>
      <c r="J3721" s="5" t="inlineStr">
        <is>
          <t>preço-base do plano; a tela exibia R$ 90 com o adicional pré-selecionado (+R$ 5/mês, opcional); 60 GB na tela incluem +10 GB do adicional</t>
        </is>
      </c>
      <c r="K3721" s="5" t="inlineStr"/>
      <c r="L3721" s="7" t="n">
        <v>50</v>
      </c>
      <c r="M3721" s="5" t="inlineStr">
        <is>
          <t>20 GB de franquia 30 GB de bônus</t>
        </is>
      </c>
      <c r="N3721" s="5" t="inlineStr"/>
      <c r="O3721" s="5" t="inlineStr"/>
      <c r="P3721" s="5" t="inlineStr"/>
      <c r="Q3721" s="5" t="inlineStr"/>
      <c r="R3721" s="5" t="inlineStr"/>
      <c r="S3721" s="5" t="inlineStr"/>
      <c r="T3721" s="5" t="inlineStr">
        <is>
          <t>2 meses de YouTube sem consumo no plano</t>
        </is>
      </c>
      <c r="U3721" s="5" t="inlineStr">
        <is>
          <t>https://vivo.com.br/para-voce/produtos-e-servicos/para-o-celular/planos-controle</t>
        </is>
      </c>
      <c r="V3721" s="5" t="inlineStr">
        <is>
          <t>data/raw/vivo_control_SP.html</t>
        </is>
      </c>
    </row>
    <row r="3722">
      <c r="A3722" s="2" t="inlineStr">
        <is>
          <t>2026-08-27</t>
        </is>
      </c>
      <c r="B3722" s="2" t="inlineStr">
        <is>
          <t>2026-08-27T01:25:48</t>
        </is>
      </c>
      <c r="C3722" s="2" t="inlineStr">
        <is>
          <t>vivo</t>
        </is>
      </c>
      <c r="D3722" s="2" t="inlineStr">
        <is>
          <t>lite</t>
        </is>
      </c>
      <c r="E3722" s="2" t="inlineStr">
        <is>
          <t>SP</t>
        </is>
      </c>
      <c r="F3722" s="2" t="inlineStr">
        <is>
          <t>Vivo Lite</t>
        </is>
      </c>
      <c r="G3722" s="2" t="inlineStr">
        <is>
          <t>vivo:VIV202600033987</t>
        </is>
      </c>
      <c r="H3722" s="3" t="n">
        <v>45</v>
      </c>
      <c r="I3722" s="3" t="n">
        <v>30</v>
      </c>
      <c r="J3722" s="2" t="inlineStr">
        <is>
          <t>preço sem fidelidade; fidelidade 12m no promo</t>
        </is>
      </c>
      <c r="K3722" s="2" t="inlineStr"/>
      <c r="L3722" s="4" t="n">
        <v>30</v>
      </c>
      <c r="M3722" s="2" t="inlineStr">
        <is>
          <t>30 GB de franquia</t>
        </is>
      </c>
      <c r="N3722" s="2" t="inlineStr"/>
      <c r="O3722" s="2" t="inlineStr"/>
      <c r="P3722" s="2" t="inlineStr"/>
      <c r="Q3722" s="2" t="inlineStr"/>
      <c r="R3722" s="2" t="inlineStr"/>
      <c r="S3722" s="2" t="n">
        <v>12</v>
      </c>
      <c r="T3722" s="2" t="inlineStr">
        <is>
          <t>2 meses de YouTube sem consumo no plano</t>
        </is>
      </c>
      <c r="U3722" s="2" t="inlineStr">
        <is>
          <t>https://vivo.com.br/para-voce/produtos-e-servicos/para-o-celular/easy-lite</t>
        </is>
      </c>
      <c r="V3722" s="2" t="inlineStr">
        <is>
          <t>data/raw/vivo_lite_SP.html</t>
        </is>
      </c>
    </row>
    <row r="3723">
      <c r="A3723" s="5" t="inlineStr">
        <is>
          <t>2026-08-27</t>
        </is>
      </c>
      <c r="B3723" s="5" t="inlineStr">
        <is>
          <t>2026-08-27T01:25:48</t>
        </is>
      </c>
      <c r="C3723" s="5" t="inlineStr">
        <is>
          <t>vivo</t>
        </is>
      </c>
      <c r="D3723" s="5" t="inlineStr">
        <is>
          <t>lite</t>
        </is>
      </c>
      <c r="E3723" s="5" t="inlineStr">
        <is>
          <t>SP</t>
        </is>
      </c>
      <c r="F3723" s="5" t="inlineStr">
        <is>
          <t>Vivo Lite</t>
        </is>
      </c>
      <c r="G3723" s="5" t="inlineStr">
        <is>
          <t>vivo:VIV202600033989</t>
        </is>
      </c>
      <c r="H3723" s="6" t="n">
        <v>55</v>
      </c>
      <c r="I3723" s="6" t="n">
        <v>40</v>
      </c>
      <c r="J3723" s="5" t="inlineStr">
        <is>
          <t>preço sem fidelidade; fidelidade 12m no promo</t>
        </is>
      </c>
      <c r="K3723" s="5" t="inlineStr"/>
      <c r="L3723" s="7" t="n">
        <v>40</v>
      </c>
      <c r="M3723" s="5" t="inlineStr">
        <is>
          <t>40 GB de franquia</t>
        </is>
      </c>
      <c r="N3723" s="5" t="inlineStr"/>
      <c r="O3723" s="5" t="inlineStr"/>
      <c r="P3723" s="5" t="inlineStr"/>
      <c r="Q3723" s="5" t="inlineStr"/>
      <c r="R3723" s="5" t="inlineStr"/>
      <c r="S3723" s="5" t="n">
        <v>12</v>
      </c>
      <c r="T3723" s="5" t="inlineStr">
        <is>
          <t>2 meses de YouTube sem consumo no plano</t>
        </is>
      </c>
      <c r="U3723" s="5" t="inlineStr">
        <is>
          <t>https://vivo.com.br/para-voce/produtos-e-servicos/para-o-celular/easy-lite</t>
        </is>
      </c>
      <c r="V3723" s="5" t="inlineStr">
        <is>
          <t>data/raw/vivo_lite_SP.html</t>
        </is>
      </c>
    </row>
    <row r="3724">
      <c r="A3724" s="2" t="inlineStr">
        <is>
          <t>2026-08-27</t>
        </is>
      </c>
      <c r="B3724" s="2" t="inlineStr">
        <is>
          <t>2026-08-27T01:25:48</t>
        </is>
      </c>
      <c r="C3724" s="2" t="inlineStr">
        <is>
          <t>vivo</t>
        </is>
      </c>
      <c r="D3724" s="2" t="inlineStr">
        <is>
          <t>lite</t>
        </is>
      </c>
      <c r="E3724" s="2" t="inlineStr">
        <is>
          <t>SP</t>
        </is>
      </c>
      <c r="F3724" s="2" t="inlineStr">
        <is>
          <t>Vivo Lite</t>
        </is>
      </c>
      <c r="G3724" s="2" t="inlineStr">
        <is>
          <t>vivo:VIV202600033992</t>
        </is>
      </c>
      <c r="H3724" s="3" t="n">
        <v>35</v>
      </c>
      <c r="I3724" s="3" t="inlineStr"/>
      <c r="J3724" s="2" t="inlineStr"/>
      <c r="K3724" s="2" t="inlineStr"/>
      <c r="L3724" s="4" t="n">
        <v>20</v>
      </c>
      <c r="M3724" s="2" t="inlineStr">
        <is>
          <t>20 GB de franquia</t>
        </is>
      </c>
      <c r="N3724" s="2" t="inlineStr"/>
      <c r="O3724" s="2" t="inlineStr"/>
      <c r="P3724" s="2" t="inlineStr"/>
      <c r="Q3724" s="2" t="inlineStr"/>
      <c r="R3724" s="2" t="inlineStr"/>
      <c r="S3724" s="2" t="inlineStr"/>
      <c r="T3724" s="2" t="inlineStr">
        <is>
          <t>2 meses de YouTube sem consumo no plano</t>
        </is>
      </c>
      <c r="U3724" s="2" t="inlineStr">
        <is>
          <t>https://vivo.com.br/para-voce/produtos-e-servicos/para-o-celular/easy-lite</t>
        </is>
      </c>
      <c r="V3724" s="2" t="inlineStr">
        <is>
          <t>data/raw/vivo_lite_SP.html</t>
        </is>
      </c>
    </row>
    <row r="3725">
      <c r="A3725" s="5" t="inlineStr">
        <is>
          <t>2026-08-27</t>
        </is>
      </c>
      <c r="B3725" s="5" t="inlineStr">
        <is>
          <t>2026-08-27T01:25:48</t>
        </is>
      </c>
      <c r="C3725" s="5" t="inlineStr">
        <is>
          <t>vivo</t>
        </is>
      </c>
      <c r="D3725" s="5" t="inlineStr">
        <is>
          <t>postpaid</t>
        </is>
      </c>
      <c r="E3725" s="5" t="inlineStr">
        <is>
          <t>SP</t>
        </is>
      </c>
      <c r="F3725" s="5" t="inlineStr">
        <is>
          <t>Vivo Família 2</t>
        </is>
      </c>
      <c r="G3725" s="5" t="inlineStr">
        <is>
          <t>vivo:VIV202600034547</t>
        </is>
      </c>
      <c r="H3725" s="6" t="n">
        <v>270</v>
      </c>
      <c r="I3725" s="6" t="inlineStr"/>
      <c r="J3725" s="5" t="inlineStr"/>
      <c r="K3725" s="5" t="inlineStr"/>
      <c r="L3725" s="7" t="n">
        <v>120</v>
      </c>
      <c r="M3725" s="5" t="inlineStr">
        <is>
          <t>120 GB de franquia Você + 1 linha adicional Roaming Internacional com Vivo Travel Américas e Europa</t>
        </is>
      </c>
      <c r="N3725" s="5" t="inlineStr"/>
      <c r="O3725" s="5" t="inlineStr"/>
      <c r="P3725" s="5" t="inlineStr"/>
      <c r="Q3725" s="5" t="inlineStr"/>
      <c r="R3725" s="5" t="inlineStr"/>
      <c r="S3725" s="5" t="inlineStr"/>
      <c r="T3725" s="5" t="inlineStr">
        <is>
          <t>2 meses de YouTube sem consumo no plano</t>
        </is>
      </c>
      <c r="U3725" s="5" t="inlineStr">
        <is>
          <t>https://vivo.com.br/para-voce/produtos-e-servicos/para-o-celular/planos-pos-pago</t>
        </is>
      </c>
      <c r="V3725" s="5" t="inlineStr">
        <is>
          <t>data/raw/vivo_postpaid_SP.html</t>
        </is>
      </c>
    </row>
    <row r="3726">
      <c r="A3726" s="2" t="inlineStr">
        <is>
          <t>2026-08-27</t>
        </is>
      </c>
      <c r="B3726" s="2" t="inlineStr">
        <is>
          <t>2026-08-27T01:25:48</t>
        </is>
      </c>
      <c r="C3726" s="2" t="inlineStr">
        <is>
          <t>vivo</t>
        </is>
      </c>
      <c r="D3726" s="2" t="inlineStr">
        <is>
          <t>postpaid</t>
        </is>
      </c>
      <c r="E3726" s="2" t="inlineStr">
        <is>
          <t>SP</t>
        </is>
      </c>
      <c r="F3726" s="2" t="inlineStr">
        <is>
          <t>Vivo Família 3</t>
        </is>
      </c>
      <c r="G3726" s="2" t="inlineStr">
        <is>
          <t>vivo:VIV202600034540</t>
        </is>
      </c>
      <c r="H3726" s="3" t="n">
        <v>340</v>
      </c>
      <c r="I3726" s="3" t="inlineStr"/>
      <c r="J3726" s="2" t="inlineStr"/>
      <c r="K3726" s="2" t="inlineStr"/>
      <c r="L3726" s="4" t="n">
        <v>180</v>
      </c>
      <c r="M3726" s="2" t="inlineStr">
        <is>
          <t>180 GB de franquia Você + 2 linhas adicionais Roaming Internacional com Vivo Travel Américas e Europa</t>
        </is>
      </c>
      <c r="N3726" s="2" t="inlineStr"/>
      <c r="O3726" s="2" t="inlineStr"/>
      <c r="P3726" s="2" t="inlineStr"/>
      <c r="Q3726" s="2" t="inlineStr"/>
      <c r="R3726" s="2" t="inlineStr"/>
      <c r="S3726" s="2" t="inlineStr"/>
      <c r="T3726" s="2" t="inlineStr">
        <is>
          <t>2 meses de YouTube sem consumo no plano</t>
        </is>
      </c>
      <c r="U3726" s="2" t="inlineStr">
        <is>
          <t>https://vivo.com.br/para-voce/produtos-e-servicos/para-o-celular/planos-pos-pago</t>
        </is>
      </c>
      <c r="V3726" s="2" t="inlineStr">
        <is>
          <t>data/raw/vivo_postpaid_SP.html</t>
        </is>
      </c>
    </row>
    <row r="3727">
      <c r="A3727" s="5" t="inlineStr">
        <is>
          <t>2026-08-27</t>
        </is>
      </c>
      <c r="B3727" s="5" t="inlineStr">
        <is>
          <t>2026-08-27T01:25:48</t>
        </is>
      </c>
      <c r="C3727" s="5" t="inlineStr">
        <is>
          <t>vivo</t>
        </is>
      </c>
      <c r="D3727" s="5" t="inlineStr">
        <is>
          <t>postpaid</t>
        </is>
      </c>
      <c r="E3727" s="5" t="inlineStr">
        <is>
          <t>SP</t>
        </is>
      </c>
      <c r="F3727" s="5" t="inlineStr">
        <is>
          <t>Vivo Família 4</t>
        </is>
      </c>
      <c r="G3727" s="5" t="inlineStr">
        <is>
          <t>vivo:VIV202600034531</t>
        </is>
      </c>
      <c r="H3727" s="6" t="n">
        <v>430</v>
      </c>
      <c r="I3727" s="6" t="inlineStr"/>
      <c r="J3727" s="5" t="inlineStr"/>
      <c r="K3727" s="5" t="inlineStr"/>
      <c r="L3727" s="7" t="n">
        <v>240</v>
      </c>
      <c r="M3727" s="5" t="inlineStr">
        <is>
          <t>240 GB de franquia Você + 3 linhas adicionais Roaming Internacional com Vivo Travel Américas e Europa</t>
        </is>
      </c>
      <c r="N3727" s="5" t="inlineStr"/>
      <c r="O3727" s="5" t="inlineStr"/>
      <c r="P3727" s="5" t="inlineStr"/>
      <c r="Q3727" s="5" t="inlineStr"/>
      <c r="R3727" s="5" t="inlineStr"/>
      <c r="S3727" s="5" t="inlineStr"/>
      <c r="T3727" s="5" t="inlineStr">
        <is>
          <t>2 meses de YouTube sem consumo no plano</t>
        </is>
      </c>
      <c r="U3727" s="5" t="inlineStr">
        <is>
          <t>https://vivo.com.br/para-voce/produtos-e-servicos/para-o-celular/planos-pos-pago</t>
        </is>
      </c>
      <c r="V3727" s="5" t="inlineStr">
        <is>
          <t>data/raw/vivo_postpaid_SP.html</t>
        </is>
      </c>
    </row>
    <row r="3728">
      <c r="A3728" s="2" t="inlineStr">
        <is>
          <t>2026-08-27</t>
        </is>
      </c>
      <c r="B3728" s="2" t="inlineStr">
        <is>
          <t>2026-08-27T01:25:48</t>
        </is>
      </c>
      <c r="C3728" s="2" t="inlineStr">
        <is>
          <t>vivo</t>
        </is>
      </c>
      <c r="D3728" s="2" t="inlineStr">
        <is>
          <t>postpaid</t>
        </is>
      </c>
      <c r="E3728" s="2" t="inlineStr">
        <is>
          <t>SP</t>
        </is>
      </c>
      <c r="F3728" s="2" t="inlineStr">
        <is>
          <t>Vivo Família 5</t>
        </is>
      </c>
      <c r="G3728" s="2" t="inlineStr">
        <is>
          <t>vivo:VIV202600034526</t>
        </is>
      </c>
      <c r="H3728" s="3" t="n">
        <v>530</v>
      </c>
      <c r="I3728" s="3" t="inlineStr"/>
      <c r="J3728" s="2" t="inlineStr"/>
      <c r="K3728" s="2" t="inlineStr"/>
      <c r="L3728" s="4" t="n">
        <v>300</v>
      </c>
      <c r="M3728" s="2" t="inlineStr">
        <is>
          <t>300 GB de franquia Você + 4 linhas adicionais Roaming Internacional com Vivo Travel Américas e Europa</t>
        </is>
      </c>
      <c r="N3728" s="2" t="inlineStr"/>
      <c r="O3728" s="2" t="inlineStr"/>
      <c r="P3728" s="2" t="inlineStr"/>
      <c r="Q3728" s="2" t="inlineStr"/>
      <c r="R3728" s="2" t="inlineStr"/>
      <c r="S3728" s="2" t="inlineStr"/>
      <c r="T3728" s="2" t="inlineStr">
        <is>
          <t>2 meses de YouTube sem consumo no plano</t>
        </is>
      </c>
      <c r="U3728" s="2" t="inlineStr">
        <is>
          <t>https://vivo.com.br/para-voce/produtos-e-servicos/para-o-celular/planos-pos-pago</t>
        </is>
      </c>
      <c r="V3728" s="2" t="inlineStr">
        <is>
          <t>data/raw/vivo_postpaid_SP.html</t>
        </is>
      </c>
    </row>
    <row r="3729">
      <c r="A3729" s="5" t="inlineStr">
        <is>
          <t>2026-08-27</t>
        </is>
      </c>
      <c r="B3729" s="5" t="inlineStr">
        <is>
          <t>2026-08-27T01:25:48</t>
        </is>
      </c>
      <c r="C3729" s="5" t="inlineStr">
        <is>
          <t>vivo</t>
        </is>
      </c>
      <c r="D3729" s="5" t="inlineStr">
        <is>
          <t>postpaid</t>
        </is>
      </c>
      <c r="E3729" s="5" t="inlineStr">
        <is>
          <t>SP</t>
        </is>
      </c>
      <c r="F3729" s="5" t="inlineStr">
        <is>
          <t>Vivo Pós com Amazon</t>
        </is>
      </c>
      <c r="G3729" s="5" t="inlineStr">
        <is>
          <t>vivo:VIV202600034554</t>
        </is>
      </c>
      <c r="H3729" s="6" t="n">
        <v>150</v>
      </c>
      <c r="I3729" s="6" t="inlineStr"/>
      <c r="J3729" s="5" t="inlineStr"/>
      <c r="K3729" s="5" t="inlineStr"/>
      <c r="L3729" s="7" t="n">
        <v>60</v>
      </c>
      <c r="M3729" s="5" t="inlineStr">
        <is>
          <t>50 GB de franquia 10 GB de bônus</t>
        </is>
      </c>
      <c r="N3729" s="5" t="inlineStr"/>
      <c r="O3729" s="5" t="inlineStr"/>
      <c r="P3729" s="5" t="inlineStr"/>
      <c r="Q3729" s="5" t="inlineStr"/>
      <c r="R3729" s="5" t="inlineStr"/>
      <c r="S3729" s="5" t="inlineStr"/>
      <c r="T3729" s="5" t="inlineStr">
        <is>
          <t>Assinatura Amazon Prime inclusa</t>
        </is>
      </c>
      <c r="U3729" s="5" t="inlineStr">
        <is>
          <t>https://vivo.com.br/para-voce/produtos-e-servicos/para-o-celular/planos-pos-pago</t>
        </is>
      </c>
      <c r="V3729" s="5" t="inlineStr">
        <is>
          <t>data/raw/vivo_postpaid_SP.html</t>
        </is>
      </c>
    </row>
    <row r="3730">
      <c r="A3730" s="2" t="inlineStr">
        <is>
          <t>2026-08-27</t>
        </is>
      </c>
      <c r="B3730" s="2" t="inlineStr">
        <is>
          <t>2026-08-27T01:25:48</t>
        </is>
      </c>
      <c r="C3730" s="2" t="inlineStr">
        <is>
          <t>vivo</t>
        </is>
      </c>
      <c r="D3730" s="2" t="inlineStr">
        <is>
          <t>postpaid</t>
        </is>
      </c>
      <c r="E3730" s="2" t="inlineStr">
        <is>
          <t>SP</t>
        </is>
      </c>
      <c r="F3730" s="2" t="inlineStr">
        <is>
          <t>Vivo Pós com Disney+</t>
        </is>
      </c>
      <c r="G3730" s="2" t="inlineStr">
        <is>
          <t>vivo:VIV202600034532</t>
        </is>
      </c>
      <c r="H3730" s="3" t="n">
        <v>180</v>
      </c>
      <c r="I3730" s="3" t="inlineStr"/>
      <c r="J3730" s="2" t="inlineStr"/>
      <c r="K3730" s="2" t="inlineStr"/>
      <c r="L3730" s="4" t="n">
        <v>60</v>
      </c>
      <c r="M3730" s="2" t="inlineStr">
        <is>
          <t>50 GB de franquia 10 GB de bônus</t>
        </is>
      </c>
      <c r="N3730" s="2" t="inlineStr"/>
      <c r="O3730" s="2" t="inlineStr"/>
      <c r="P3730" s="2" t="inlineStr"/>
      <c r="Q3730" s="2" t="inlineStr"/>
      <c r="R3730" s="2" t="inlineStr">
        <is>
          <t>Disney+</t>
        </is>
      </c>
      <c r="S3730" s="2" t="inlineStr"/>
      <c r="T3730" s="2" t="inlineStr">
        <is>
          <t>Assinatura Disney+ Padrão inclusa</t>
        </is>
      </c>
      <c r="U3730" s="2" t="inlineStr">
        <is>
          <t>https://vivo.com.br/para-voce/produtos-e-servicos/para-o-celular/planos-pos-pago</t>
        </is>
      </c>
      <c r="V3730" s="2" t="inlineStr">
        <is>
          <t>data/raw/vivo_postpaid_SP.html</t>
        </is>
      </c>
    </row>
    <row r="3731">
      <c r="A3731" s="5" t="inlineStr">
        <is>
          <t>2026-08-27</t>
        </is>
      </c>
      <c r="B3731" s="5" t="inlineStr">
        <is>
          <t>2026-08-27T01:25:48</t>
        </is>
      </c>
      <c r="C3731" s="5" t="inlineStr">
        <is>
          <t>vivo</t>
        </is>
      </c>
      <c r="D3731" s="5" t="inlineStr">
        <is>
          <t>postpaid</t>
        </is>
      </c>
      <c r="E3731" s="5" t="inlineStr">
        <is>
          <t>SP</t>
        </is>
      </c>
      <c r="F3731" s="5" t="inlineStr">
        <is>
          <t>Vivo Pós com Globoplay</t>
        </is>
      </c>
      <c r="G3731" s="5" t="inlineStr">
        <is>
          <t>vivo:VIV202600034575</t>
        </is>
      </c>
      <c r="H3731" s="6" t="n">
        <v>165</v>
      </c>
      <c r="I3731" s="6" t="inlineStr"/>
      <c r="J3731" s="5" t="inlineStr"/>
      <c r="K3731" s="5" t="inlineStr"/>
      <c r="L3731" s="7" t="n">
        <v>60</v>
      </c>
      <c r="M3731" s="5" t="inlineStr">
        <is>
          <t>50 GB de franquia 10 GB de bônus</t>
        </is>
      </c>
      <c r="N3731" s="5" t="inlineStr"/>
      <c r="O3731" s="5" t="inlineStr"/>
      <c r="P3731" s="5" t="inlineStr"/>
      <c r="Q3731" s="5" t="inlineStr"/>
      <c r="R3731" s="5" t="inlineStr">
        <is>
          <t>Globoplay</t>
        </is>
      </c>
      <c r="S3731" s="5" t="inlineStr"/>
      <c r="T3731" s="5" t="inlineStr">
        <is>
          <t>Assinatura Globoplay inclusa</t>
        </is>
      </c>
      <c r="U3731" s="5" t="inlineStr">
        <is>
          <t>https://vivo.com.br/para-voce/produtos-e-servicos/para-o-celular/planos-pos-pago</t>
        </is>
      </c>
      <c r="V3731" s="5" t="inlineStr">
        <is>
          <t>data/raw/vivo_postpaid_SP.html</t>
        </is>
      </c>
    </row>
    <row r="3732">
      <c r="A3732" s="2" t="inlineStr">
        <is>
          <t>2026-08-27</t>
        </is>
      </c>
      <c r="B3732" s="2" t="inlineStr">
        <is>
          <t>2026-08-27T01:25:48</t>
        </is>
      </c>
      <c r="C3732" s="2" t="inlineStr">
        <is>
          <t>vivo</t>
        </is>
      </c>
      <c r="D3732" s="2" t="inlineStr">
        <is>
          <t>postpaid</t>
        </is>
      </c>
      <c r="E3732" s="2" t="inlineStr">
        <is>
          <t>SP</t>
        </is>
      </c>
      <c r="F3732" s="2" t="inlineStr">
        <is>
          <t>Vivo Pós com Netflix</t>
        </is>
      </c>
      <c r="G3732" s="2" t="inlineStr">
        <is>
          <t>vivo:VIV202600034562</t>
        </is>
      </c>
      <c r="H3732" s="3" t="n">
        <v>180</v>
      </c>
      <c r="I3732" s="3" t="inlineStr"/>
      <c r="J3732" s="2" t="inlineStr"/>
      <c r="K3732" s="2" t="inlineStr"/>
      <c r="L3732" s="4" t="n">
        <v>60</v>
      </c>
      <c r="M3732" s="2" t="inlineStr">
        <is>
          <t>50 GB de franquia 10 GB de bônus</t>
        </is>
      </c>
      <c r="N3732" s="2" t="inlineStr"/>
      <c r="O3732" s="2" t="inlineStr"/>
      <c r="P3732" s="2" t="inlineStr"/>
      <c r="Q3732" s="2" t="inlineStr"/>
      <c r="R3732" s="2" t="inlineStr">
        <is>
          <t>Netflix</t>
        </is>
      </c>
      <c r="S3732" s="2" t="inlineStr"/>
      <c r="T3732" s="2" t="inlineStr">
        <is>
          <t>Assinatura Netflix Padrão inclusa</t>
        </is>
      </c>
      <c r="U3732" s="2" t="inlineStr">
        <is>
          <t>https://vivo.com.br/para-voce/produtos-e-servicos/para-o-celular/planos-pos-pago</t>
        </is>
      </c>
      <c r="V3732" s="2" t="inlineStr">
        <is>
          <t>data/raw/vivo_postpaid_SP.html</t>
        </is>
      </c>
    </row>
    <row r="3733">
      <c r="A3733" s="5" t="inlineStr">
        <is>
          <t>2026-08-27</t>
        </is>
      </c>
      <c r="B3733" s="5" t="inlineStr">
        <is>
          <t>2026-08-27T01:25:48</t>
        </is>
      </c>
      <c r="C3733" s="5" t="inlineStr">
        <is>
          <t>vivo</t>
        </is>
      </c>
      <c r="D3733" s="5" t="inlineStr">
        <is>
          <t>postpaid</t>
        </is>
      </c>
      <c r="E3733" s="5" t="inlineStr">
        <is>
          <t>SP</t>
        </is>
      </c>
      <c r="F3733" s="5" t="inlineStr">
        <is>
          <t>Vivo Pós com Premiere</t>
        </is>
      </c>
      <c r="G3733" s="5" t="inlineStr">
        <is>
          <t>vivo:VIV202600034579</t>
        </is>
      </c>
      <c r="H3733" s="6" t="n">
        <v>180</v>
      </c>
      <c r="I3733" s="6" t="inlineStr"/>
      <c r="J3733" s="5" t="inlineStr"/>
      <c r="K3733" s="5" t="inlineStr"/>
      <c r="L3733" s="7" t="n">
        <v>60</v>
      </c>
      <c r="M3733" s="5" t="inlineStr">
        <is>
          <t>50 GB de franquia 10 GB de bônus</t>
        </is>
      </c>
      <c r="N3733" s="5" t="inlineStr"/>
      <c r="O3733" s="5" t="inlineStr"/>
      <c r="P3733" s="5" t="inlineStr"/>
      <c r="Q3733" s="5" t="inlineStr"/>
      <c r="R3733" s="5" t="inlineStr">
        <is>
          <t>Premiere</t>
        </is>
      </c>
      <c r="S3733" s="5" t="inlineStr"/>
      <c r="T3733" s="5" t="inlineStr">
        <is>
          <t>Assinatura Premiere inclusa</t>
        </is>
      </c>
      <c r="U3733" s="5" t="inlineStr">
        <is>
          <t>https://vivo.com.br/para-voce/produtos-e-servicos/para-o-celular/planos-pos-pago</t>
        </is>
      </c>
      <c r="V3733" s="5" t="inlineStr">
        <is>
          <t>data/raw/vivo_postpaid_SP.html</t>
        </is>
      </c>
    </row>
    <row r="3734">
      <c r="A3734" s="2" t="inlineStr">
        <is>
          <t>2026-08-27</t>
        </is>
      </c>
      <c r="B3734" s="2" t="inlineStr">
        <is>
          <t>2026-08-27T01:25:48</t>
        </is>
      </c>
      <c r="C3734" s="2" t="inlineStr">
        <is>
          <t>vivo</t>
        </is>
      </c>
      <c r="D3734" s="2" t="inlineStr">
        <is>
          <t>postpaid</t>
        </is>
      </c>
      <c r="E3734" s="2" t="inlineStr">
        <is>
          <t>SP</t>
        </is>
      </c>
      <c r="F3734" s="2" t="inlineStr">
        <is>
          <t>Vivo Pós com Spotify</t>
        </is>
      </c>
      <c r="G3734" s="2" t="inlineStr">
        <is>
          <t>vivo:VIV202600034556</t>
        </is>
      </c>
      <c r="H3734" s="3" t="n">
        <v>165</v>
      </c>
      <c r="I3734" s="3" t="inlineStr"/>
      <c r="J3734" s="2" t="inlineStr"/>
      <c r="K3734" s="2" t="inlineStr"/>
      <c r="L3734" s="4" t="n">
        <v>60</v>
      </c>
      <c r="M3734" s="2" t="inlineStr">
        <is>
          <t>50 GB de franquia 10 GB de bônus</t>
        </is>
      </c>
      <c r="N3734" s="2" t="inlineStr"/>
      <c r="O3734" s="2" t="inlineStr"/>
      <c r="P3734" s="2" t="inlineStr"/>
      <c r="Q3734" s="2" t="inlineStr"/>
      <c r="R3734" s="2" t="inlineStr">
        <is>
          <t>Spotify</t>
        </is>
      </c>
      <c r="S3734" s="2" t="inlineStr"/>
      <c r="T3734" s="2" t="inlineStr">
        <is>
          <t>Assinatura Spotify Premium inclusa</t>
        </is>
      </c>
      <c r="U3734" s="2" t="inlineStr">
        <is>
          <t>https://vivo.com.br/para-voce/produtos-e-servicos/para-o-celular/planos-pos-pago</t>
        </is>
      </c>
      <c r="V3734" s="2" t="inlineStr">
        <is>
          <t>data/raw/vivo_postpaid_SP.html</t>
        </is>
      </c>
    </row>
    <row r="3735">
      <c r="A3735" s="5" t="inlineStr">
        <is>
          <t>2026-08-27</t>
        </is>
      </c>
      <c r="B3735" s="5" t="inlineStr">
        <is>
          <t>2026-08-27T01:25:48</t>
        </is>
      </c>
      <c r="C3735" s="5" t="inlineStr">
        <is>
          <t>vivo</t>
        </is>
      </c>
      <c r="D3735" s="5" t="inlineStr">
        <is>
          <t>postpaid</t>
        </is>
      </c>
      <c r="E3735" s="5" t="inlineStr">
        <is>
          <t>SP</t>
        </is>
      </c>
      <c r="F3735" s="5" t="inlineStr">
        <is>
          <t>Vivo Pós com Travel</t>
        </is>
      </c>
      <c r="G3735" s="5" t="inlineStr">
        <is>
          <t>vivo:VIV202600034573</t>
        </is>
      </c>
      <c r="H3735" s="6" t="n">
        <v>215</v>
      </c>
      <c r="I3735" s="6" t="inlineStr"/>
      <c r="J3735" s="5" t="inlineStr"/>
      <c r="K3735" s="5" t="inlineStr"/>
      <c r="L3735" s="7" t="n">
        <v>70</v>
      </c>
      <c r="M3735" s="5" t="inlineStr">
        <is>
          <t>60 GB de franquia 10 GB de bônus</t>
        </is>
      </c>
      <c r="N3735" s="5" t="inlineStr"/>
      <c r="O3735" s="5" t="inlineStr"/>
      <c r="P3735" s="5" t="inlineStr"/>
      <c r="Q3735" s="5" t="inlineStr"/>
      <c r="R3735" s="5" t="inlineStr"/>
      <c r="S3735" s="5" t="inlineStr"/>
      <c r="T3735" s="5" t="inlineStr">
        <is>
          <t>2 meses de YouTube sem consumo no plano</t>
        </is>
      </c>
      <c r="U3735" s="5" t="inlineStr">
        <is>
          <t>https://vivo.com.br/para-voce/produtos-e-servicos/para-o-celular/planos-pos-pago</t>
        </is>
      </c>
      <c r="V3735" s="5" t="inlineStr">
        <is>
          <t>data/raw/vivo_postpaid_SP.html</t>
        </is>
      </c>
    </row>
    <row r="3736">
      <c r="A3736" s="2" t="inlineStr">
        <is>
          <t>2026-08-27</t>
        </is>
      </c>
      <c r="B3736" s="2" t="inlineStr">
        <is>
          <t>2026-08-27T01:25:48</t>
        </is>
      </c>
      <c r="C3736" s="2" t="inlineStr">
        <is>
          <t>vivo</t>
        </is>
      </c>
      <c r="D3736" s="2" t="inlineStr">
        <is>
          <t>prepaid</t>
        </is>
      </c>
      <c r="E3736" s="2" t="inlineStr">
        <is>
          <t>SP</t>
        </is>
      </c>
      <c r="F3736" s="2" t="inlineStr">
        <is>
          <t>Vivo Pré</t>
        </is>
      </c>
      <c r="G3736" s="2" t="inlineStr">
        <is>
          <t>vivo:VIV202600029370-30d</t>
        </is>
      </c>
      <c r="H3736" s="3" t="n">
        <v>30</v>
      </c>
      <c r="I3736" s="3" t="inlineStr"/>
      <c r="J3736" s="2" t="inlineStr"/>
      <c r="K3736" s="2" t="inlineStr"/>
      <c r="L3736" s="4" t="n">
        <v>25</v>
      </c>
      <c r="M3736" s="2" t="inlineStr">
        <is>
          <t>15 GB para navegar como quiser 5 GB de bônus 5 GB para navegar no Youtube</t>
        </is>
      </c>
      <c r="N3736" s="2" t="n">
        <v>30</v>
      </c>
      <c r="O3736" s="2" t="inlineStr"/>
      <c r="P3736" s="2" t="inlineStr"/>
      <c r="Q3736" s="2" t="inlineStr"/>
      <c r="R3736" s="2" t="inlineStr"/>
      <c r="S3736" s="2" t="inlineStr"/>
      <c r="T3736" s="2" t="inlineStr"/>
      <c r="U3736" s="2" t="inlineStr">
        <is>
          <t>https://vivo.com.br/para-voce/produtos-e-servicos/para-o-celular/pre-pago/vivo-pre</t>
        </is>
      </c>
      <c r="V3736" s="2" t="inlineStr">
        <is>
          <t>data/raw/vivo_prepaid_SP.html</t>
        </is>
      </c>
    </row>
    <row r="3737">
      <c r="A3737" s="5" t="inlineStr">
        <is>
          <t>2026-08-27</t>
        </is>
      </c>
      <c r="B3737" s="5" t="inlineStr">
        <is>
          <t>2026-08-27T01:25:48</t>
        </is>
      </c>
      <c r="C3737" s="5" t="inlineStr">
        <is>
          <t>vivo</t>
        </is>
      </c>
      <c r="D3737" s="5" t="inlineStr">
        <is>
          <t>prepaid</t>
        </is>
      </c>
      <c r="E3737" s="5" t="inlineStr">
        <is>
          <t>SP</t>
        </is>
      </c>
      <c r="F3737" s="5" t="inlineStr">
        <is>
          <t>Vivo Pré</t>
        </is>
      </c>
      <c r="G3737" s="5" t="inlineStr">
        <is>
          <t>vivo:VIV202600029370-22d</t>
        </is>
      </c>
      <c r="H3737" s="6" t="n">
        <v>25</v>
      </c>
      <c r="I3737" s="6" t="inlineStr"/>
      <c r="J3737" s="5" t="inlineStr"/>
      <c r="K3737" s="5" t="inlineStr"/>
      <c r="L3737" s="7" t="n">
        <v>9</v>
      </c>
      <c r="M3737" s="5" t="inlineStr">
        <is>
          <t>6 GB para navegar como quiser 3 GB para navegar no YouTube</t>
        </is>
      </c>
      <c r="N3737" s="5" t="n">
        <v>22</v>
      </c>
      <c r="O3737" s="5" t="inlineStr"/>
      <c r="P3737" s="5" t="inlineStr"/>
      <c r="Q3737" s="5" t="inlineStr"/>
      <c r="R3737" s="5" t="inlineStr"/>
      <c r="S3737" s="5" t="inlineStr"/>
      <c r="T3737" s="5" t="inlineStr"/>
      <c r="U3737" s="5" t="inlineStr">
        <is>
          <t>https://vivo.com.br/para-voce/produtos-e-servicos/para-o-celular/pre-pago/vivo-pre</t>
        </is>
      </c>
      <c r="V3737" s="5" t="inlineStr">
        <is>
          <t>data/raw/vivo_prepaid_SP.html</t>
        </is>
      </c>
    </row>
    <row r="3738">
      <c r="A3738" s="2" t="inlineStr">
        <is>
          <t>2026-08-27</t>
        </is>
      </c>
      <c r="B3738" s="2" t="inlineStr">
        <is>
          <t>2026-08-27T01:25:48</t>
        </is>
      </c>
      <c r="C3738" s="2" t="inlineStr">
        <is>
          <t>vivo</t>
        </is>
      </c>
      <c r="D3738" s="2" t="inlineStr">
        <is>
          <t>prepaid</t>
        </is>
      </c>
      <c r="E3738" s="2" t="inlineStr">
        <is>
          <t>SP</t>
        </is>
      </c>
      <c r="F3738" s="2" t="inlineStr">
        <is>
          <t>Vivo Pré</t>
        </is>
      </c>
      <c r="G3738" s="2" t="inlineStr">
        <is>
          <t>vivo:VIV202600029370-17d</t>
        </is>
      </c>
      <c r="H3738" s="3" t="n">
        <v>20</v>
      </c>
      <c r="I3738" s="3" t="inlineStr"/>
      <c r="J3738" s="2" t="inlineStr"/>
      <c r="K3738" s="2" t="inlineStr"/>
      <c r="L3738" s="4" t="n">
        <v>5</v>
      </c>
      <c r="M3738" s="2" t="inlineStr">
        <is>
          <t>5 GB para navegar como quiser</t>
        </is>
      </c>
      <c r="N3738" s="2" t="n">
        <v>17</v>
      </c>
      <c r="O3738" s="2" t="inlineStr"/>
      <c r="P3738" s="2" t="inlineStr"/>
      <c r="Q3738" s="2" t="inlineStr"/>
      <c r="R3738" s="2" t="inlineStr"/>
      <c r="S3738" s="2" t="inlineStr"/>
      <c r="T3738" s="2" t="inlineStr"/>
      <c r="U3738" s="2" t="inlineStr">
        <is>
          <t>https://vivo.com.br/para-voce/produtos-e-servicos/para-o-celular/pre-pago/vivo-pre</t>
        </is>
      </c>
      <c r="V3738" s="2" t="inlineStr">
        <is>
          <t>data/raw/vivo_prepaid_SP.html</t>
        </is>
      </c>
    </row>
    <row r="3739">
      <c r="A3739" s="5" t="inlineStr">
        <is>
          <t>2026-08-27</t>
        </is>
      </c>
      <c r="B3739" s="5" t="inlineStr">
        <is>
          <t>2026-08-27T01:25:48</t>
        </is>
      </c>
      <c r="C3739" s="5" t="inlineStr">
        <is>
          <t>vivo</t>
        </is>
      </c>
      <c r="D3739" s="5" t="inlineStr">
        <is>
          <t>prepaid</t>
        </is>
      </c>
      <c r="E3739" s="5" t="inlineStr">
        <is>
          <t>SP</t>
        </is>
      </c>
      <c r="F3739" s="5" t="inlineStr">
        <is>
          <t>Vivo Pré</t>
        </is>
      </c>
      <c r="G3739" s="5" t="inlineStr">
        <is>
          <t>vivo:VIV202600029370-15d</t>
        </is>
      </c>
      <c r="H3739" s="6" t="n">
        <v>17</v>
      </c>
      <c r="I3739" s="6" t="inlineStr"/>
      <c r="J3739" s="5" t="inlineStr"/>
      <c r="K3739" s="5" t="inlineStr"/>
      <c r="L3739" s="7" t="n">
        <v>4</v>
      </c>
      <c r="M3739" s="5" t="inlineStr">
        <is>
          <t>4 GB para navegar como quiser</t>
        </is>
      </c>
      <c r="N3739" s="5" t="n">
        <v>15</v>
      </c>
      <c r="O3739" s="5" t="inlineStr"/>
      <c r="P3739" s="5" t="inlineStr"/>
      <c r="Q3739" s="5" t="inlineStr"/>
      <c r="R3739" s="5" t="inlineStr"/>
      <c r="S3739" s="5" t="inlineStr"/>
      <c r="T3739" s="5" t="inlineStr"/>
      <c r="U3739" s="5" t="inlineStr">
        <is>
          <t>https://vivo.com.br/para-voce/produtos-e-servicos/para-o-celular/pre-pago/vivo-pre</t>
        </is>
      </c>
      <c r="V3739" s="5" t="inlineStr">
        <is>
          <t>data/raw/vivo_prepaid_SP.html</t>
        </is>
      </c>
    </row>
    <row r="3740">
      <c r="A3740" s="2" t="inlineStr">
        <is>
          <t>2026-08-28</t>
        </is>
      </c>
      <c r="B3740" s="2" t="inlineStr">
        <is>
          <t>2026-08-28T02:04:32</t>
        </is>
      </c>
      <c r="C3740" s="2" t="inlineStr">
        <is>
          <t>claro</t>
        </is>
      </c>
      <c r="D3740" s="2" t="inlineStr">
        <is>
          <t>control</t>
        </is>
      </c>
      <c r="E3740" s="2" t="inlineStr">
        <is>
          <t>SP</t>
        </is>
      </c>
      <c r="F3740" s="2" t="inlineStr">
        <is>
          <t>Controle 25GB</t>
        </is>
      </c>
      <c r="G3740" s="2" t="inlineStr">
        <is>
          <t>claro:plano-controle-25gb</t>
        </is>
      </c>
      <c r="H3740" s="3" t="n">
        <v>59.9</v>
      </c>
      <c r="I3740" s="3" t="n">
        <v>54.9</v>
      </c>
      <c r="J3740" s="2" t="inlineStr">
        <is>
          <t>De R$ 59,90 Por:</t>
        </is>
      </c>
      <c r="K3740" s="2" t="inlineStr"/>
      <c r="L3740" s="4" t="n">
        <v>25</v>
      </c>
      <c r="M3740" s="2" t="inlineStr"/>
      <c r="N3740" s="2" t="inlineStr"/>
      <c r="O3740" s="2" t="inlineStr">
        <is>
          <t>WhatsApp</t>
        </is>
      </c>
      <c r="P3740" s="2" t="inlineStr"/>
      <c r="Q3740" s="2" t="inlineStr"/>
      <c r="R3740" s="2" t="inlineStr"/>
      <c r="S3740" s="2" t="inlineStr"/>
      <c r="T3740" s="2" t="inlineStr">
        <is>
          <t>Para uso livre; Para redes sociais e vídeos; Bônus exclusivo; Aproveite na sua franquia; WhatsApp e ligações ilimitadas</t>
        </is>
      </c>
      <c r="U3740" s="2" t="inlineStr">
        <is>
          <t>https://www.claro.com.br/celular/controle</t>
        </is>
      </c>
      <c r="V3740" s="2" t="inlineStr">
        <is>
          <t>data/raw/claro_control_SP.json</t>
        </is>
      </c>
    </row>
    <row r="3741">
      <c r="A3741" s="5" t="inlineStr">
        <is>
          <t>2026-08-28</t>
        </is>
      </c>
      <c r="B3741" s="5" t="inlineStr">
        <is>
          <t>2026-08-28T02:04:32</t>
        </is>
      </c>
      <c r="C3741" s="5" t="inlineStr">
        <is>
          <t>claro</t>
        </is>
      </c>
      <c r="D3741" s="5" t="inlineStr">
        <is>
          <t>control</t>
        </is>
      </c>
      <c r="E3741" s="5" t="inlineStr">
        <is>
          <t>SP</t>
        </is>
      </c>
      <c r="F3741" s="5" t="inlineStr">
        <is>
          <t>Controle 30GB</t>
        </is>
      </c>
      <c r="G3741" s="5" t="inlineStr">
        <is>
          <t>claro:plano-controle-30gb</t>
        </is>
      </c>
      <c r="H3741" s="6" t="n">
        <v>69.90000000000001</v>
      </c>
      <c r="I3741" s="6" t="inlineStr"/>
      <c r="J3741" s="5" t="inlineStr"/>
      <c r="K3741" s="5" t="inlineStr"/>
      <c r="L3741" s="7" t="n">
        <v>30</v>
      </c>
      <c r="M3741" s="5" t="inlineStr"/>
      <c r="N3741" s="5" t="inlineStr"/>
      <c r="O3741" s="5" t="inlineStr">
        <is>
          <t>WhatsApp</t>
        </is>
      </c>
      <c r="P3741" s="5" t="inlineStr"/>
      <c r="Q3741" s="5" t="inlineStr"/>
      <c r="R3741" s="5" t="inlineStr"/>
      <c r="S3741" s="5" t="inlineStr"/>
      <c r="T3741" s="5" t="inlineStr">
        <is>
          <t>Para uso livre; Bônus para uso livre; Bônus para redes sociais e apps; Assinatura Amazon Prime por 3 meses; Redes sociais e apps; WhatsApp ilimitado</t>
        </is>
      </c>
      <c r="U3741" s="5" t="inlineStr">
        <is>
          <t>https://www.claro.com.br/celular/controle</t>
        </is>
      </c>
      <c r="V3741" s="5" t="inlineStr">
        <is>
          <t>data/raw/claro_control_SP.json</t>
        </is>
      </c>
    </row>
    <row r="3742">
      <c r="A3742" s="2" t="inlineStr">
        <is>
          <t>2026-08-28</t>
        </is>
      </c>
      <c r="B3742" s="2" t="inlineStr">
        <is>
          <t>2026-08-28T02:04:32</t>
        </is>
      </c>
      <c r="C3742" s="2" t="inlineStr">
        <is>
          <t>claro</t>
        </is>
      </c>
      <c r="D3742" s="2" t="inlineStr">
        <is>
          <t>control</t>
        </is>
      </c>
      <c r="E3742" s="2" t="inlineStr">
        <is>
          <t>SP</t>
        </is>
      </c>
      <c r="F3742" s="2" t="inlineStr">
        <is>
          <t>Controle 30GB</t>
        </is>
      </c>
      <c r="G3742" s="2" t="inlineStr">
        <is>
          <t>claro:plano-controle-30gb-gaming</t>
        </is>
      </c>
      <c r="H3742" s="3" t="n">
        <v>99.90000000000001</v>
      </c>
      <c r="I3742" s="3" t="inlineStr"/>
      <c r="J3742" s="2" t="inlineStr"/>
      <c r="K3742" s="2" t="inlineStr"/>
      <c r="L3742" s="4" t="n">
        <v>30</v>
      </c>
      <c r="M3742" s="2" t="inlineStr"/>
      <c r="N3742" s="2" t="inlineStr"/>
      <c r="O3742" s="2" t="inlineStr">
        <is>
          <t>WhatsApp</t>
        </is>
      </c>
      <c r="P3742" s="2" t="inlineStr"/>
      <c r="Q3742" s="2" t="inlineStr"/>
      <c r="R3742" s="2" t="inlineStr"/>
      <c r="S3742" s="2" t="inlineStr"/>
      <c r="T3742" s="2" t="inlineStr">
        <is>
          <t>Para uso livre; Bônus para redes sociais e apps; Bônus uso livre; Assinatura Amazon Prime por 3 meses; Redes sociais e apps; WhatsApp ilimitado</t>
        </is>
      </c>
      <c r="U3742" s="2" t="inlineStr">
        <is>
          <t>https://www.claro.com.br/celular/controle</t>
        </is>
      </c>
      <c r="V3742" s="2" t="inlineStr">
        <is>
          <t>data/raw/claro_control_SP.json</t>
        </is>
      </c>
    </row>
    <row r="3743">
      <c r="A3743" s="5" t="inlineStr">
        <is>
          <t>2026-08-28</t>
        </is>
      </c>
      <c r="B3743" s="5" t="inlineStr">
        <is>
          <t>2026-08-28T02:04:32</t>
        </is>
      </c>
      <c r="C3743" s="5" t="inlineStr">
        <is>
          <t>claro</t>
        </is>
      </c>
      <c r="D3743" s="5" t="inlineStr">
        <is>
          <t>flex</t>
        </is>
      </c>
      <c r="E3743" s="5" t="inlineStr">
        <is>
          <t>SP</t>
        </is>
      </c>
      <c r="F3743" s="5" t="inlineStr">
        <is>
          <t>Flex 15GB</t>
        </is>
      </c>
      <c r="G3743" s="5" t="inlineStr">
        <is>
          <t>claro:plano-flex-15gb</t>
        </is>
      </c>
      <c r="H3743" s="6" t="n">
        <v>44.9</v>
      </c>
      <c r="I3743" s="6" t="inlineStr"/>
      <c r="J3743" s="5" t="inlineStr"/>
      <c r="K3743" s="5" t="inlineStr"/>
      <c r="L3743" s="7" t="n">
        <v>15</v>
      </c>
      <c r="M3743" s="5" t="inlineStr"/>
      <c r="N3743" s="5" t="inlineStr"/>
      <c r="O3743" s="5" t="inlineStr">
        <is>
          <t>WhatsApp</t>
        </is>
      </c>
      <c r="P3743" s="5" t="inlineStr"/>
      <c r="Q3743" s="5" t="inlineStr"/>
      <c r="R3743" s="5" t="inlineStr"/>
      <c r="S3743" s="5" t="inlineStr"/>
      <c r="T3743" s="5" t="inlineStr">
        <is>
          <t>Para uso livre; Bônus Pais para uso livre; Para redes sociais e apps; Bônus extra nos apps; WhatsApp ilimitado</t>
        </is>
      </c>
      <c r="U3743" s="5" t="inlineStr">
        <is>
          <t>https://www.claro.com.br/celular/flex</t>
        </is>
      </c>
      <c r="V3743" s="5" t="inlineStr">
        <is>
          <t>data/raw/claro_flex_SP.json</t>
        </is>
      </c>
    </row>
    <row r="3744">
      <c r="A3744" s="2" t="inlineStr">
        <is>
          <t>2026-08-28</t>
        </is>
      </c>
      <c r="B3744" s="2" t="inlineStr">
        <is>
          <t>2026-08-28T02:04:32</t>
        </is>
      </c>
      <c r="C3744" s="2" t="inlineStr">
        <is>
          <t>claro</t>
        </is>
      </c>
      <c r="D3744" s="2" t="inlineStr">
        <is>
          <t>flex</t>
        </is>
      </c>
      <c r="E3744" s="2" t="inlineStr">
        <is>
          <t>SP</t>
        </is>
      </c>
      <c r="F3744" s="2" t="inlineStr">
        <is>
          <t>Flex 20GB</t>
        </is>
      </c>
      <c r="G3744" s="2" t="inlineStr">
        <is>
          <t>claro:plano-flex-20gb</t>
        </is>
      </c>
      <c r="H3744" s="3" t="n">
        <v>59.9</v>
      </c>
      <c r="I3744" s="3" t="inlineStr"/>
      <c r="J3744" s="2" t="inlineStr"/>
      <c r="K3744" s="2" t="inlineStr"/>
      <c r="L3744" s="4" t="n">
        <v>20</v>
      </c>
      <c r="M3744" s="2" t="inlineStr"/>
      <c r="N3744" s="2" t="inlineStr"/>
      <c r="O3744" s="2" t="inlineStr">
        <is>
          <t>WhatsApp</t>
        </is>
      </c>
      <c r="P3744" s="2" t="inlineStr"/>
      <c r="Q3744" s="2" t="inlineStr"/>
      <c r="R3744" s="2" t="inlineStr"/>
      <c r="S3744" s="2" t="inlineStr"/>
      <c r="T3744" s="2" t="inlineStr">
        <is>
          <t>Para uso livre; Bônus Pais para uso livre; Para redes sociais e apps; Bônus extra nos apps; WhatsApp ilimitado</t>
        </is>
      </c>
      <c r="U3744" s="2" t="inlineStr">
        <is>
          <t>https://www.claro.com.br/celular/flex</t>
        </is>
      </c>
      <c r="V3744" s="2" t="inlineStr">
        <is>
          <t>data/raw/claro_flex_SP.json</t>
        </is>
      </c>
    </row>
    <row r="3745">
      <c r="A3745" s="5" t="inlineStr">
        <is>
          <t>2026-08-28</t>
        </is>
      </c>
      <c r="B3745" s="5" t="inlineStr">
        <is>
          <t>2026-08-28T02:04:32</t>
        </is>
      </c>
      <c r="C3745" s="5" t="inlineStr">
        <is>
          <t>claro</t>
        </is>
      </c>
      <c r="D3745" s="5" t="inlineStr">
        <is>
          <t>flex</t>
        </is>
      </c>
      <c r="E3745" s="5" t="inlineStr">
        <is>
          <t>SP</t>
        </is>
      </c>
      <c r="F3745" s="5" t="inlineStr">
        <is>
          <t>Flex 30GB</t>
        </is>
      </c>
      <c r="G3745" s="5" t="inlineStr">
        <is>
          <t>claro:plano-flex-30gb</t>
        </is>
      </c>
      <c r="H3745" s="6" t="n">
        <v>69.90000000000001</v>
      </c>
      <c r="I3745" s="6" t="inlineStr"/>
      <c r="J3745" s="5" t="inlineStr"/>
      <c r="K3745" s="5" t="inlineStr"/>
      <c r="L3745" s="7" t="n">
        <v>30</v>
      </c>
      <c r="M3745" s="5" t="inlineStr"/>
      <c r="N3745" s="5" t="inlineStr"/>
      <c r="O3745" s="5" t="inlineStr">
        <is>
          <t>WhatsApp</t>
        </is>
      </c>
      <c r="P3745" s="5" t="inlineStr"/>
      <c r="Q3745" s="5" t="inlineStr"/>
      <c r="R3745" s="5" t="inlineStr"/>
      <c r="S3745" s="5" t="inlineStr"/>
      <c r="T3745" s="5" t="inlineStr">
        <is>
          <t>Para uso livre; Bônus Pais para uso livre; Para redes sociais e apps; Bônus extra nos apps; WhatsApp ilimitado; Assinatura Claro musica inclusa</t>
        </is>
      </c>
      <c r="U3745" s="5" t="inlineStr">
        <is>
          <t>https://www.claro.com.br/celular/flex</t>
        </is>
      </c>
      <c r="V3745" s="5" t="inlineStr">
        <is>
          <t>data/raw/claro_flex_SP.json</t>
        </is>
      </c>
    </row>
    <row r="3746">
      <c r="A3746" s="2" t="inlineStr">
        <is>
          <t>2026-08-28</t>
        </is>
      </c>
      <c r="B3746" s="2" t="inlineStr">
        <is>
          <t>2026-08-28T02:04:32</t>
        </is>
      </c>
      <c r="C3746" s="2" t="inlineStr">
        <is>
          <t>claro</t>
        </is>
      </c>
      <c r="D3746" s="2" t="inlineStr">
        <is>
          <t>flex</t>
        </is>
      </c>
      <c r="E3746" s="2" t="inlineStr">
        <is>
          <t>SP</t>
        </is>
      </c>
      <c r="F3746" s="2" t="inlineStr">
        <is>
          <t>Flex 40GB</t>
        </is>
      </c>
      <c r="G3746" s="2" t="inlineStr">
        <is>
          <t>claro:plano-flex-40gb</t>
        </is>
      </c>
      <c r="H3746" s="3" t="n">
        <v>119.9</v>
      </c>
      <c r="I3746" s="3" t="inlineStr"/>
      <c r="J3746" s="2" t="inlineStr"/>
      <c r="K3746" s="2" t="inlineStr"/>
      <c r="L3746" s="4" t="n">
        <v>40</v>
      </c>
      <c r="M3746" s="2" t="inlineStr"/>
      <c r="N3746" s="2" t="inlineStr"/>
      <c r="O3746" s="2" t="inlineStr">
        <is>
          <t>WhatsApp</t>
        </is>
      </c>
      <c r="P3746" s="2" t="inlineStr"/>
      <c r="Q3746" s="2" t="inlineStr"/>
      <c r="R3746" s="2" t="inlineStr"/>
      <c r="S3746" s="2" t="inlineStr"/>
      <c r="T3746" s="2" t="inlineStr">
        <is>
          <t>Para uso livre; Para redes sociais e apps; Bônus extra nos apps; WhatsApp ilimitado; Assinatura Claro musica inclusa</t>
        </is>
      </c>
      <c r="U3746" s="2" t="inlineStr">
        <is>
          <t>https://www.claro.com.br/celular/flex</t>
        </is>
      </c>
      <c r="V3746" s="2" t="inlineStr">
        <is>
          <t>data/raw/claro_flex_SP.json</t>
        </is>
      </c>
    </row>
    <row r="3747">
      <c r="A3747" s="5" t="inlineStr">
        <is>
          <t>2026-08-28</t>
        </is>
      </c>
      <c r="B3747" s="5" t="inlineStr">
        <is>
          <t>2026-08-28T02:04:32</t>
        </is>
      </c>
      <c r="C3747" s="5" t="inlineStr">
        <is>
          <t>claro</t>
        </is>
      </c>
      <c r="D3747" s="5" t="inlineStr">
        <is>
          <t>postpaid</t>
        </is>
      </c>
      <c r="E3747" s="5" t="inlineStr">
        <is>
          <t>SP</t>
        </is>
      </c>
      <c r="F3747" s="5" t="inlineStr">
        <is>
          <t>Pós 100GB</t>
        </is>
      </c>
      <c r="G3747" s="5" t="inlineStr">
        <is>
          <t>claro:plano-pos-100gb</t>
        </is>
      </c>
      <c r="H3747" s="6" t="n">
        <v>179.9</v>
      </c>
      <c r="I3747" s="6" t="inlineStr"/>
      <c r="J3747" s="5" t="inlineStr"/>
      <c r="K3747" s="5" t="inlineStr"/>
      <c r="L3747" s="7" t="n">
        <v>100</v>
      </c>
      <c r="M3747" s="5" t="inlineStr"/>
      <c r="N3747" s="5" t="inlineStr"/>
      <c r="O3747" s="5" t="inlineStr">
        <is>
          <t>WhatsApp</t>
        </is>
      </c>
      <c r="P3747" s="5" t="inlineStr"/>
      <c r="Q3747" s="5" t="inlineStr"/>
      <c r="R3747" s="5" t="inlineStr"/>
      <c r="S3747" s="5" t="inlineStr"/>
      <c r="T3747" s="5" t="inlineStr">
        <is>
          <t>Armazenamento na nuvem:; Google One ou iCloud+; WhatsApp ilimitado; Assinatura Amazon Prime por 3 meses; Roaming: Passaporte Américas; Claro Sync: Smartwatch conectado</t>
        </is>
      </c>
      <c r="U3747" s="5" t="inlineStr">
        <is>
          <t>https://www.claro.com.br/celular/pos</t>
        </is>
      </c>
      <c r="V3747" s="5" t="inlineStr">
        <is>
          <t>data/raw/claro_postpaid_SP.json</t>
        </is>
      </c>
    </row>
    <row r="3748">
      <c r="A3748" s="2" t="inlineStr">
        <is>
          <t>2026-08-28</t>
        </is>
      </c>
      <c r="B3748" s="2" t="inlineStr">
        <is>
          <t>2026-08-28T02:04:32</t>
        </is>
      </c>
      <c r="C3748" s="2" t="inlineStr">
        <is>
          <t>claro</t>
        </is>
      </c>
      <c r="D3748" s="2" t="inlineStr">
        <is>
          <t>postpaid</t>
        </is>
      </c>
      <c r="E3748" s="2" t="inlineStr">
        <is>
          <t>SP</t>
        </is>
      </c>
      <c r="F3748" s="2" t="inlineStr">
        <is>
          <t>Pós 150GB</t>
        </is>
      </c>
      <c r="G3748" s="2" t="inlineStr">
        <is>
          <t>claro:plano-pos-150gb</t>
        </is>
      </c>
      <c r="H3748" s="3" t="n">
        <v>239.9</v>
      </c>
      <c r="I3748" s="3" t="inlineStr"/>
      <c r="J3748" s="2" t="inlineStr"/>
      <c r="K3748" s="2" t="inlineStr"/>
      <c r="L3748" s="4" t="n">
        <v>150</v>
      </c>
      <c r="M3748" s="2" t="inlineStr"/>
      <c r="N3748" s="2" t="inlineStr"/>
      <c r="O3748" s="2" t="inlineStr">
        <is>
          <t>WhatsApp</t>
        </is>
      </c>
      <c r="P3748" s="2" t="inlineStr"/>
      <c r="Q3748" s="2" t="inlineStr"/>
      <c r="R3748" s="2" t="inlineStr"/>
      <c r="S3748" s="2" t="inlineStr"/>
      <c r="T374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748" s="2" t="inlineStr">
        <is>
          <t>https://www.claro.com.br/celular/pos</t>
        </is>
      </c>
      <c r="V3748" s="2" t="inlineStr">
        <is>
          <t>data/raw/claro_postpaid_SP.json</t>
        </is>
      </c>
    </row>
    <row r="3749">
      <c r="A3749" s="5" t="inlineStr">
        <is>
          <t>2026-08-28</t>
        </is>
      </c>
      <c r="B3749" s="5" t="inlineStr">
        <is>
          <t>2026-08-28T02:04:32</t>
        </is>
      </c>
      <c r="C3749" s="5" t="inlineStr">
        <is>
          <t>claro</t>
        </is>
      </c>
      <c r="D3749" s="5" t="inlineStr">
        <is>
          <t>postpaid</t>
        </is>
      </c>
      <c r="E3749" s="5" t="inlineStr">
        <is>
          <t>SP</t>
        </is>
      </c>
      <c r="F3749" s="5" t="inlineStr">
        <is>
          <t>Pós 200GB</t>
        </is>
      </c>
      <c r="G3749" s="5" t="inlineStr">
        <is>
          <t>claro:plano-pos-200gb</t>
        </is>
      </c>
      <c r="H3749" s="6" t="n">
        <v>339.9</v>
      </c>
      <c r="I3749" s="6" t="inlineStr"/>
      <c r="J3749" s="5" t="inlineStr"/>
      <c r="K3749" s="5" t="inlineStr"/>
      <c r="L3749" s="7" t="n">
        <v>200</v>
      </c>
      <c r="M3749" s="5" t="inlineStr"/>
      <c r="N3749" s="5" t="inlineStr"/>
      <c r="O3749" s="5" t="inlineStr">
        <is>
          <t>WhatsApp</t>
        </is>
      </c>
      <c r="P3749" s="5" t="inlineStr"/>
      <c r="Q3749" s="5" t="inlineStr"/>
      <c r="R3749" s="5" t="inlineStr"/>
      <c r="S3749" s="5" t="inlineStr"/>
      <c r="T3749" s="5" t="inlineStr">
        <is>
          <t>Armazenamento na nuvem:; Google One (AI Plus) ou iCloud+; WhatsApp ilimitado; Assinatura Amazon Prime por 3 meses; Roaming: Passaporte Mundo; Claro Sync: Smartwatch conectado</t>
        </is>
      </c>
      <c r="U3749" s="5" t="inlineStr">
        <is>
          <t>https://www.claro.com.br/celular/pos</t>
        </is>
      </c>
      <c r="V3749" s="5" t="inlineStr">
        <is>
          <t>data/raw/claro_postpaid_SP.json</t>
        </is>
      </c>
    </row>
    <row r="3750">
      <c r="A3750" s="2" t="inlineStr">
        <is>
          <t>2026-08-28</t>
        </is>
      </c>
      <c r="B3750" s="2" t="inlineStr">
        <is>
          <t>2026-08-28T02:04:32</t>
        </is>
      </c>
      <c r="C3750" s="2" t="inlineStr">
        <is>
          <t>claro</t>
        </is>
      </c>
      <c r="D3750" s="2" t="inlineStr">
        <is>
          <t>postpaid</t>
        </is>
      </c>
      <c r="E3750" s="2" t="inlineStr">
        <is>
          <t>SP</t>
        </is>
      </c>
      <c r="F3750" s="2" t="inlineStr">
        <is>
          <t>Pós 50GB com GeForce NOW</t>
        </is>
      </c>
      <c r="G3750" s="2" t="inlineStr">
        <is>
          <t>claro:plano-pos-60gb-geforce</t>
        </is>
      </c>
      <c r="H3750" s="3" t="n">
        <v>164.9</v>
      </c>
      <c r="I3750" s="3" t="inlineStr"/>
      <c r="J3750" s="2" t="inlineStr"/>
      <c r="K3750" s="2" t="inlineStr"/>
      <c r="L3750" s="4" t="n">
        <v>50</v>
      </c>
      <c r="M3750" s="2" t="inlineStr"/>
      <c r="N3750" s="2" t="inlineStr"/>
      <c r="O3750" s="2" t="inlineStr">
        <is>
          <t>WhatsApp</t>
        </is>
      </c>
      <c r="P3750" s="2" t="inlineStr"/>
      <c r="Q3750" s="2" t="inlineStr"/>
      <c r="R3750" s="2" t="inlineStr"/>
      <c r="S3750" s="2" t="inlineStr"/>
      <c r="T375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750" s="2" t="inlineStr">
        <is>
          <t>https://www.claro.com.br/celular/pos</t>
        </is>
      </c>
      <c r="V3750" s="2" t="inlineStr">
        <is>
          <t>data/raw/claro_postpaid_SP.json</t>
        </is>
      </c>
    </row>
    <row r="3751">
      <c r="A3751" s="5" t="inlineStr">
        <is>
          <t>2026-08-28</t>
        </is>
      </c>
      <c r="B3751" s="5" t="inlineStr">
        <is>
          <t>2026-08-28T02:04:32</t>
        </is>
      </c>
      <c r="C3751" s="5" t="inlineStr">
        <is>
          <t>claro</t>
        </is>
      </c>
      <c r="D3751" s="5" t="inlineStr">
        <is>
          <t>postpaid</t>
        </is>
      </c>
      <c r="E3751" s="5" t="inlineStr">
        <is>
          <t>SP</t>
        </is>
      </c>
      <c r="F3751" s="5" t="inlineStr">
        <is>
          <t>Pós 60GB</t>
        </is>
      </c>
      <c r="G3751" s="5" t="inlineStr">
        <is>
          <t>claro:plano-pos-60gb</t>
        </is>
      </c>
      <c r="H3751" s="6" t="n">
        <v>124.9</v>
      </c>
      <c r="I3751" s="6" t="inlineStr"/>
      <c r="J3751" s="5" t="inlineStr"/>
      <c r="K3751" s="5" t="inlineStr"/>
      <c r="L3751" s="7" t="n">
        <v>60</v>
      </c>
      <c r="M3751" s="5" t="inlineStr"/>
      <c r="N3751" s="5" t="inlineStr"/>
      <c r="O3751" s="5" t="inlineStr">
        <is>
          <t>WhatsApp</t>
        </is>
      </c>
      <c r="P3751" s="5" t="inlineStr"/>
      <c r="Q3751" s="5" t="inlineStr"/>
      <c r="R3751" s="5" t="inlineStr"/>
      <c r="S3751" s="5" t="inlineStr"/>
      <c r="T3751" s="5" t="inlineStr">
        <is>
          <t>Armazenamento na nuvem:; Google One ou iCloud+; WhatsApp ilimitado; Assinatura Amazon Prime por 3 meses; Roaming: Passaporte Américas; Claro Sync: Smartwatch conectado</t>
        </is>
      </c>
      <c r="U3751" s="5" t="inlineStr">
        <is>
          <t>https://www.claro.com.br/celular/pos</t>
        </is>
      </c>
      <c r="V3751" s="5" t="inlineStr">
        <is>
          <t>data/raw/claro_postpaid_SP.json</t>
        </is>
      </c>
    </row>
    <row r="3752">
      <c r="A3752" s="2" t="inlineStr">
        <is>
          <t>2026-08-28</t>
        </is>
      </c>
      <c r="B3752" s="2" t="inlineStr">
        <is>
          <t>2026-08-28T02:04:32</t>
        </is>
      </c>
      <c r="C3752" s="2" t="inlineStr">
        <is>
          <t>claro</t>
        </is>
      </c>
      <c r="D3752" s="2" t="inlineStr">
        <is>
          <t>prepaid</t>
        </is>
      </c>
      <c r="E3752" s="2" t="inlineStr">
        <is>
          <t>SP</t>
        </is>
      </c>
      <c r="F3752" s="2" t="inlineStr">
        <is>
          <t>Prezão 10GB (25 dias)</t>
        </is>
      </c>
      <c r="G3752" s="2" t="inlineStr">
        <is>
          <t>claro:prezao-25d-10gb</t>
        </is>
      </c>
      <c r="H3752" s="3" t="n">
        <v>25</v>
      </c>
      <c r="I3752" s="3" t="inlineStr"/>
      <c r="J3752" s="2" t="inlineStr">
        <is>
          <t>recarga Prezão R$25 — validade 25 dias</t>
        </is>
      </c>
      <c r="K3752" s="2" t="inlineStr"/>
      <c r="L3752" s="4" t="n">
        <v>10</v>
      </c>
      <c r="M3752" s="2" t="inlineStr"/>
      <c r="N3752" s="2" t="n">
        <v>25</v>
      </c>
      <c r="O3752" s="2" t="inlineStr"/>
      <c r="P3752" s="2" t="inlineStr"/>
      <c r="Q3752" s="2" t="inlineStr"/>
      <c r="R3752" s="2" t="inlineStr"/>
      <c r="S3752" s="2" t="inlineStr"/>
      <c r="T3752" s="2" t="inlineStr"/>
      <c r="U3752" s="2" t="inlineStr">
        <is>
          <t>https://www.claro.com.br/celular/planos-pre/prezao</t>
        </is>
      </c>
      <c r="V3752" s="2" t="inlineStr">
        <is>
          <t>data/raw/claro_prepaid_SP.json</t>
        </is>
      </c>
    </row>
    <row r="3753">
      <c r="A3753" s="5" t="inlineStr">
        <is>
          <t>2026-08-28</t>
        </is>
      </c>
      <c r="B3753" s="5" t="inlineStr">
        <is>
          <t>2026-08-28T02:04:32</t>
        </is>
      </c>
      <c r="C3753" s="5" t="inlineStr">
        <is>
          <t>claro</t>
        </is>
      </c>
      <c r="D3753" s="5" t="inlineStr">
        <is>
          <t>prepaid</t>
        </is>
      </c>
      <c r="E3753" s="5" t="inlineStr">
        <is>
          <t>SP</t>
        </is>
      </c>
      <c r="F3753" s="5" t="inlineStr">
        <is>
          <t>Prezão 12GB (30 dias)</t>
        </is>
      </c>
      <c r="G3753" s="5" t="inlineStr">
        <is>
          <t>claro:prezao-30d-12gb</t>
        </is>
      </c>
      <c r="H3753" s="6" t="n">
        <v>30</v>
      </c>
      <c r="I3753" s="6" t="inlineStr"/>
      <c r="J3753" s="5" t="inlineStr">
        <is>
          <t>recarga Prezão R$30 — validade 30 dias</t>
        </is>
      </c>
      <c r="K3753" s="5" t="inlineStr"/>
      <c r="L3753" s="7" t="n">
        <v>12</v>
      </c>
      <c r="M3753" s="5" t="inlineStr"/>
      <c r="N3753" s="5" t="n">
        <v>30</v>
      </c>
      <c r="O3753" s="5" t="inlineStr"/>
      <c r="P3753" s="5" t="inlineStr"/>
      <c r="Q3753" s="5" t="inlineStr"/>
      <c r="R3753" s="5" t="inlineStr"/>
      <c r="S3753" s="5" t="inlineStr"/>
      <c r="T3753" s="5" t="inlineStr"/>
      <c r="U3753" s="5" t="inlineStr">
        <is>
          <t>https://www.claro.com.br/celular/planos-pre/prezao</t>
        </is>
      </c>
      <c r="V3753" s="5" t="inlineStr">
        <is>
          <t>data/raw/claro_prepaid_SP.json</t>
        </is>
      </c>
    </row>
    <row r="3754">
      <c r="A3754" s="2" t="inlineStr">
        <is>
          <t>2026-08-28</t>
        </is>
      </c>
      <c r="B3754" s="2" t="inlineStr">
        <is>
          <t>2026-08-28T02:04:32</t>
        </is>
      </c>
      <c r="C3754" s="2" t="inlineStr">
        <is>
          <t>claro</t>
        </is>
      </c>
      <c r="D3754" s="2" t="inlineStr">
        <is>
          <t>prepaid</t>
        </is>
      </c>
      <c r="E3754" s="2" t="inlineStr">
        <is>
          <t>SP</t>
        </is>
      </c>
      <c r="F3754" s="2" t="inlineStr">
        <is>
          <t>Prezão 4GB (12 dias)</t>
        </is>
      </c>
      <c r="G3754" s="2" t="inlineStr">
        <is>
          <t>claro:prezao-12d-4gb</t>
        </is>
      </c>
      <c r="H3754" s="3" t="n">
        <v>15</v>
      </c>
      <c r="I3754" s="3" t="inlineStr"/>
      <c r="J3754" s="2" t="inlineStr">
        <is>
          <t>recarga Prezão R$15 — validade 12 dias</t>
        </is>
      </c>
      <c r="K3754" s="2" t="inlineStr"/>
      <c r="L3754" s="4" t="n">
        <v>4</v>
      </c>
      <c r="M3754" s="2" t="inlineStr"/>
      <c r="N3754" s="2" t="n">
        <v>12</v>
      </c>
      <c r="O3754" s="2" t="inlineStr"/>
      <c r="P3754" s="2" t="inlineStr"/>
      <c r="Q3754" s="2" t="inlineStr"/>
      <c r="R3754" s="2" t="inlineStr"/>
      <c r="S3754" s="2" t="inlineStr"/>
      <c r="T3754" s="2" t="inlineStr"/>
      <c r="U3754" s="2" t="inlineStr">
        <is>
          <t>https://www.claro.com.br/celular/planos-pre/prezao</t>
        </is>
      </c>
      <c r="V3754" s="2" t="inlineStr">
        <is>
          <t>data/raw/claro_prepaid_SP.json</t>
        </is>
      </c>
    </row>
    <row r="3755">
      <c r="A3755" s="5" t="inlineStr">
        <is>
          <t>2026-08-28</t>
        </is>
      </c>
      <c r="B3755" s="5" t="inlineStr">
        <is>
          <t>2026-08-28T02:04:32</t>
        </is>
      </c>
      <c r="C3755" s="5" t="inlineStr">
        <is>
          <t>claro</t>
        </is>
      </c>
      <c r="D3755" s="5" t="inlineStr">
        <is>
          <t>prepaid</t>
        </is>
      </c>
      <c r="E3755" s="5" t="inlineStr">
        <is>
          <t>SP</t>
        </is>
      </c>
      <c r="F3755" s="5" t="inlineStr">
        <is>
          <t>Prezão 5GB (15 dias)</t>
        </is>
      </c>
      <c r="G3755" s="5" t="inlineStr">
        <is>
          <t>claro:prezao-15d-5gb</t>
        </is>
      </c>
      <c r="H3755" s="6" t="n">
        <v>15</v>
      </c>
      <c r="I3755" s="6" t="inlineStr"/>
      <c r="J3755" s="5" t="inlineStr">
        <is>
          <t>recarga Prezão R$15 — validade 15 dias</t>
        </is>
      </c>
      <c r="K3755" s="5" t="inlineStr"/>
      <c r="L3755" s="7" t="n">
        <v>5</v>
      </c>
      <c r="M3755" s="5" t="inlineStr"/>
      <c r="N3755" s="5" t="n">
        <v>15</v>
      </c>
      <c r="O3755" s="5" t="inlineStr"/>
      <c r="P3755" s="5" t="inlineStr"/>
      <c r="Q3755" s="5" t="inlineStr"/>
      <c r="R3755" s="5" t="inlineStr"/>
      <c r="S3755" s="5" t="inlineStr"/>
      <c r="T3755" s="5" t="inlineStr"/>
      <c r="U3755" s="5" t="inlineStr">
        <is>
          <t>https://www.claro.com.br/celular/planos-pre/prezao</t>
        </is>
      </c>
      <c r="V3755" s="5" t="inlineStr">
        <is>
          <t>data/raw/claro_prepaid_SP.json</t>
        </is>
      </c>
    </row>
    <row r="3756">
      <c r="A3756" s="2" t="inlineStr">
        <is>
          <t>2026-08-28</t>
        </is>
      </c>
      <c r="B3756" s="2" t="inlineStr">
        <is>
          <t>2026-08-28T02:04:32</t>
        </is>
      </c>
      <c r="C3756" s="2" t="inlineStr">
        <is>
          <t>claro</t>
        </is>
      </c>
      <c r="D3756" s="2" t="inlineStr">
        <is>
          <t>prepaid</t>
        </is>
      </c>
      <c r="E3756" s="2" t="inlineStr">
        <is>
          <t>SP</t>
        </is>
      </c>
      <c r="F3756" s="2" t="inlineStr">
        <is>
          <t>Prezão 6GB (20 dias)</t>
        </is>
      </c>
      <c r="G3756" s="2" t="inlineStr">
        <is>
          <t>claro:prezao-20d-6gb</t>
        </is>
      </c>
      <c r="H3756" s="3" t="n">
        <v>20</v>
      </c>
      <c r="I3756" s="3" t="inlineStr"/>
      <c r="J3756" s="2" t="inlineStr">
        <is>
          <t>recarga Prezão R$20 — validade 20 dias</t>
        </is>
      </c>
      <c r="K3756" s="2" t="inlineStr"/>
      <c r="L3756" s="4" t="n">
        <v>6</v>
      </c>
      <c r="M3756" s="2" t="inlineStr"/>
      <c r="N3756" s="2" t="n">
        <v>20</v>
      </c>
      <c r="O3756" s="2" t="inlineStr"/>
      <c r="P3756" s="2" t="inlineStr"/>
      <c r="Q3756" s="2" t="inlineStr"/>
      <c r="R3756" s="2" t="inlineStr"/>
      <c r="S3756" s="2" t="inlineStr"/>
      <c r="T3756" s="2" t="inlineStr"/>
      <c r="U3756" s="2" t="inlineStr">
        <is>
          <t>https://www.claro.com.br/celular/planos-pre/prezao</t>
        </is>
      </c>
      <c r="V3756" s="2" t="inlineStr">
        <is>
          <t>data/raw/claro_prepaid_SP.json</t>
        </is>
      </c>
    </row>
    <row r="3757">
      <c r="A3757" s="5" t="inlineStr">
        <is>
          <t>2026-08-28</t>
        </is>
      </c>
      <c r="B3757" s="5" t="inlineStr">
        <is>
          <t>2026-08-28T02:04:32</t>
        </is>
      </c>
      <c r="C3757" s="5" t="inlineStr">
        <is>
          <t>claro</t>
        </is>
      </c>
      <c r="D3757" s="5" t="inlineStr">
        <is>
          <t>prepaid</t>
        </is>
      </c>
      <c r="E3757" s="5" t="inlineStr">
        <is>
          <t>SP</t>
        </is>
      </c>
      <c r="F3757" s="5" t="inlineStr">
        <is>
          <t>Prezão 8GB (20 dias)</t>
        </is>
      </c>
      <c r="G3757" s="5" t="inlineStr">
        <is>
          <t>claro:prezao-20d-8gb</t>
        </is>
      </c>
      <c r="H3757" s="6" t="n">
        <v>20</v>
      </c>
      <c r="I3757" s="6" t="inlineStr"/>
      <c r="J3757" s="5" t="inlineStr">
        <is>
          <t>recarga Prezão R$20 — validade 20 dias</t>
        </is>
      </c>
      <c r="K3757" s="5" t="inlineStr"/>
      <c r="L3757" s="7" t="n">
        <v>8</v>
      </c>
      <c r="M3757" s="5" t="inlineStr"/>
      <c r="N3757" s="5" t="n">
        <v>20</v>
      </c>
      <c r="O3757" s="5" t="inlineStr"/>
      <c r="P3757" s="5" t="inlineStr"/>
      <c r="Q3757" s="5" t="inlineStr"/>
      <c r="R3757" s="5" t="inlineStr"/>
      <c r="S3757" s="5" t="inlineStr"/>
      <c r="T3757" s="5" t="inlineStr"/>
      <c r="U3757" s="5" t="inlineStr">
        <is>
          <t>https://www.claro.com.br/celular/planos-pre/prezao</t>
        </is>
      </c>
      <c r="V3757" s="5" t="inlineStr">
        <is>
          <t>data/raw/claro_prepaid_SP.json</t>
        </is>
      </c>
    </row>
    <row r="3758">
      <c r="A3758" s="2" t="inlineStr">
        <is>
          <t>2026-08-28</t>
        </is>
      </c>
      <c r="B3758" s="2" t="inlineStr">
        <is>
          <t>2026-08-28T02:04:32</t>
        </is>
      </c>
      <c r="C3758" s="2" t="inlineStr">
        <is>
          <t>claro</t>
        </is>
      </c>
      <c r="D3758" s="2" t="inlineStr">
        <is>
          <t>prepaid</t>
        </is>
      </c>
      <c r="E3758" s="2" t="inlineStr">
        <is>
          <t>SP</t>
        </is>
      </c>
      <c r="F3758" s="2" t="inlineStr">
        <is>
          <t>Prezão 9GB (25 dias)</t>
        </is>
      </c>
      <c r="G3758" s="2" t="inlineStr">
        <is>
          <t>claro:prezao-25d-9gb</t>
        </is>
      </c>
      <c r="H3758" s="3" t="n">
        <v>25</v>
      </c>
      <c r="I3758" s="3" t="inlineStr"/>
      <c r="J3758" s="2" t="inlineStr">
        <is>
          <t>recarga Prezão R$25 — validade 25 dias</t>
        </is>
      </c>
      <c r="K3758" s="2" t="inlineStr"/>
      <c r="L3758" s="4" t="n">
        <v>9</v>
      </c>
      <c r="M3758" s="2" t="inlineStr"/>
      <c r="N3758" s="2" t="n">
        <v>25</v>
      </c>
      <c r="O3758" s="2" t="inlineStr"/>
      <c r="P3758" s="2" t="inlineStr"/>
      <c r="Q3758" s="2" t="inlineStr"/>
      <c r="R3758" s="2" t="inlineStr"/>
      <c r="S3758" s="2" t="inlineStr"/>
      <c r="T3758" s="2" t="inlineStr"/>
      <c r="U3758" s="2" t="inlineStr">
        <is>
          <t>https://www.claro.com.br/celular/planos-pre/prezao</t>
        </is>
      </c>
      <c r="V3758" s="2" t="inlineStr">
        <is>
          <t>data/raw/claro_prepaid_SP.json</t>
        </is>
      </c>
    </row>
    <row r="3759">
      <c r="A3759" s="5" t="inlineStr">
        <is>
          <t>2026-08-28</t>
        </is>
      </c>
      <c r="B3759" s="5" t="inlineStr">
        <is>
          <t>2026-08-28T02:04:32</t>
        </is>
      </c>
      <c r="C3759" s="5" t="inlineStr">
        <is>
          <t>tim</t>
        </is>
      </c>
      <c r="D3759" s="5" t="inlineStr">
        <is>
          <t>control</t>
        </is>
      </c>
      <c r="E3759" s="5" t="inlineStr">
        <is>
          <t>SP</t>
        </is>
      </c>
      <c r="F3759" s="5" t="inlineStr">
        <is>
          <t>TIM Controle 45GB</t>
        </is>
      </c>
      <c r="G3759" s="5" t="inlineStr">
        <is>
          <t>tim:181976</t>
        </is>
      </c>
      <c r="H3759" s="6" t="n">
        <v>58.99</v>
      </c>
      <c r="I3759" s="6" t="inlineStr"/>
      <c r="J3759" s="5" t="inlineStr"/>
      <c r="K3759" s="5" t="inlineStr"/>
      <c r="L3759" s="7" t="n">
        <v>45</v>
      </c>
      <c r="M3759" s="5" t="inlineStr"/>
      <c r="N3759" s="5" t="inlineStr"/>
      <c r="O3759" s="5" t="inlineStr"/>
      <c r="P3759" s="5" t="inlineStr"/>
      <c r="Q3759" s="5" t="inlineStr"/>
      <c r="R3759" s="5" t="inlineStr"/>
      <c r="S3759" s="5" t="inlineStr"/>
      <c r="T3759" s="5" t="inlineStr"/>
      <c r="U3759" s="5" t="inlineStr">
        <is>
          <t>https://www.tim.com.br/sp/para-voce/planos/controle</t>
        </is>
      </c>
      <c r="V3759" s="5" t="inlineStr">
        <is>
          <t>data/raw/tim_control_SP.html</t>
        </is>
      </c>
    </row>
    <row r="3760">
      <c r="A3760" s="2" t="inlineStr">
        <is>
          <t>2026-08-28</t>
        </is>
      </c>
      <c r="B3760" s="2" t="inlineStr">
        <is>
          <t>2026-08-28T02:04:32</t>
        </is>
      </c>
      <c r="C3760" s="2" t="inlineStr">
        <is>
          <t>tim</t>
        </is>
      </c>
      <c r="D3760" s="2" t="inlineStr">
        <is>
          <t>control</t>
        </is>
      </c>
      <c r="E3760" s="2" t="inlineStr">
        <is>
          <t>SP</t>
        </is>
      </c>
      <c r="F3760" s="2" t="inlineStr">
        <is>
          <t>TIM Controle Light Express 45GB</t>
        </is>
      </c>
      <c r="G3760" s="2" t="inlineStr">
        <is>
          <t>tim:167726</t>
        </is>
      </c>
      <c r="H3760" s="3" t="n">
        <v>60.99</v>
      </c>
      <c r="I3760" s="3" t="inlineStr"/>
      <c r="J3760" s="2" t="inlineStr"/>
      <c r="K3760" s="2" t="inlineStr"/>
      <c r="L3760" s="4" t="n">
        <v>45</v>
      </c>
      <c r="M3760" s="2" t="inlineStr"/>
      <c r="N3760" s="2" t="inlineStr"/>
      <c r="O3760" s="2" t="inlineStr"/>
      <c r="P3760" s="2" t="inlineStr"/>
      <c r="Q3760" s="2" t="inlineStr"/>
      <c r="R3760" s="2" t="inlineStr"/>
      <c r="S3760" s="2" t="inlineStr"/>
      <c r="T3760" s="2" t="inlineStr"/>
      <c r="U3760" s="2" t="inlineStr">
        <is>
          <t>https://www.tim.com.br/sp/para-voce/planos/controle</t>
        </is>
      </c>
      <c r="V3760" s="2" t="inlineStr">
        <is>
          <t>data/raw/tim_control_SP.html</t>
        </is>
      </c>
    </row>
    <row r="3761">
      <c r="A3761" s="5" t="inlineStr">
        <is>
          <t>2026-08-28</t>
        </is>
      </c>
      <c r="B3761" s="5" t="inlineStr">
        <is>
          <t>2026-08-28T02:04:32</t>
        </is>
      </c>
      <c r="C3761" s="5" t="inlineStr">
        <is>
          <t>tim</t>
        </is>
      </c>
      <c r="D3761" s="5" t="inlineStr">
        <is>
          <t>control</t>
        </is>
      </c>
      <c r="E3761" s="5" t="inlineStr">
        <is>
          <t>SP</t>
        </is>
      </c>
      <c r="F3761" s="5" t="inlineStr">
        <is>
          <t>TIM Controle Premium 55GB</t>
        </is>
      </c>
      <c r="G3761" s="5" t="inlineStr">
        <is>
          <t>tim:167041</t>
        </is>
      </c>
      <c r="H3761" s="6" t="n">
        <v>84.98999999999999</v>
      </c>
      <c r="I3761" s="6" t="inlineStr"/>
      <c r="J3761" s="5" t="inlineStr"/>
      <c r="K3761" s="5" t="inlineStr"/>
      <c r="L3761" s="7" t="n">
        <v>55</v>
      </c>
      <c r="M3761" s="5" t="inlineStr"/>
      <c r="N3761" s="5" t="inlineStr"/>
      <c r="O3761" s="5" t="inlineStr"/>
      <c r="P3761" s="5" t="inlineStr"/>
      <c r="Q3761" s="5" t="inlineStr"/>
      <c r="R3761" s="5" t="inlineStr"/>
      <c r="S3761" s="5" t="inlineStr"/>
      <c r="T3761" s="5" t="inlineStr"/>
      <c r="U3761" s="5" t="inlineStr">
        <is>
          <t>https://www.tim.com.br/sp/para-voce/planos/controle</t>
        </is>
      </c>
      <c r="V3761" s="5" t="inlineStr">
        <is>
          <t>data/raw/tim_control_SP.html</t>
        </is>
      </c>
    </row>
    <row r="3762">
      <c r="A3762" s="2" t="inlineStr">
        <is>
          <t>2026-08-28</t>
        </is>
      </c>
      <c r="B3762" s="2" t="inlineStr">
        <is>
          <t>2026-08-28T02:04:32</t>
        </is>
      </c>
      <c r="C3762" s="2" t="inlineStr">
        <is>
          <t>tim</t>
        </is>
      </c>
      <c r="D3762" s="2" t="inlineStr">
        <is>
          <t>control</t>
        </is>
      </c>
      <c r="E3762" s="2" t="inlineStr">
        <is>
          <t>SP</t>
        </is>
      </c>
      <c r="F3762" s="2" t="inlineStr">
        <is>
          <t>TIM Controle Pro Express 46GB</t>
        </is>
      </c>
      <c r="G3762" s="2" t="inlineStr">
        <is>
          <t>tim:167731</t>
        </is>
      </c>
      <c r="H3762" s="3" t="n">
        <v>64.98999999999999</v>
      </c>
      <c r="I3762" s="3" t="inlineStr"/>
      <c r="J3762" s="2" t="inlineStr"/>
      <c r="K3762" s="2" t="inlineStr"/>
      <c r="L3762" s="4" t="n">
        <v>46</v>
      </c>
      <c r="M3762" s="2" t="inlineStr"/>
      <c r="N3762" s="2" t="inlineStr"/>
      <c r="O3762" s="2" t="inlineStr"/>
      <c r="P3762" s="2" t="inlineStr"/>
      <c r="Q3762" s="2" t="inlineStr"/>
      <c r="R3762" s="2" t="inlineStr"/>
      <c r="S3762" s="2" t="inlineStr"/>
      <c r="T3762" s="2" t="inlineStr"/>
      <c r="U3762" s="2" t="inlineStr">
        <is>
          <t>https://www.tim.com.br/sp/para-voce/planos/controle</t>
        </is>
      </c>
      <c r="V3762" s="2" t="inlineStr">
        <is>
          <t>data/raw/tim_control_SP.html</t>
        </is>
      </c>
    </row>
    <row r="3763">
      <c r="A3763" s="5" t="inlineStr">
        <is>
          <t>2026-08-28</t>
        </is>
      </c>
      <c r="B3763" s="5" t="inlineStr">
        <is>
          <t>2026-08-28T02:04:32</t>
        </is>
      </c>
      <c r="C3763" s="5" t="inlineStr">
        <is>
          <t>tim</t>
        </is>
      </c>
      <c r="D3763" s="5" t="inlineStr">
        <is>
          <t>control</t>
        </is>
      </c>
      <c r="E3763" s="5" t="inlineStr">
        <is>
          <t>SP</t>
        </is>
      </c>
      <c r="F3763" s="5" t="inlineStr">
        <is>
          <t>TIM Controle Redes Sociais 46GB</t>
        </is>
      </c>
      <c r="G3763" s="5" t="inlineStr">
        <is>
          <t>tim:180746</t>
        </is>
      </c>
      <c r="H3763" s="6" t="n">
        <v>64.98999999999999</v>
      </c>
      <c r="I3763" s="6" t="inlineStr"/>
      <c r="J3763" s="5" t="inlineStr"/>
      <c r="K3763" s="5" t="inlineStr"/>
      <c r="L3763" s="7" t="n">
        <v>46</v>
      </c>
      <c r="M3763" s="5" t="inlineStr"/>
      <c r="N3763" s="5" t="inlineStr"/>
      <c r="O3763" s="5" t="inlineStr"/>
      <c r="P3763" s="5" t="inlineStr"/>
      <c r="Q3763" s="5" t="inlineStr"/>
      <c r="R3763" s="5" t="inlineStr"/>
      <c r="S3763" s="5" t="inlineStr"/>
      <c r="T3763" s="5" t="inlineStr"/>
      <c r="U3763" s="5" t="inlineStr">
        <is>
          <t>https://www.tim.com.br/sp/para-voce/planos/controle</t>
        </is>
      </c>
      <c r="V3763" s="5" t="inlineStr">
        <is>
          <t>data/raw/tim_control_SP.html</t>
        </is>
      </c>
    </row>
    <row r="3764">
      <c r="A3764" s="2" t="inlineStr">
        <is>
          <t>2026-08-28</t>
        </is>
      </c>
      <c r="B3764" s="2" t="inlineStr">
        <is>
          <t>2026-08-28T02:04:32</t>
        </is>
      </c>
      <c r="C3764" s="2" t="inlineStr">
        <is>
          <t>tim</t>
        </is>
      </c>
      <c r="D3764" s="2" t="inlineStr">
        <is>
          <t>fit</t>
        </is>
      </c>
      <c r="E3764" s="2" t="inlineStr">
        <is>
          <t>SP</t>
        </is>
      </c>
      <c r="F3764" s="2" t="inlineStr">
        <is>
          <t>TIM Controle Fit Anual 1.0</t>
        </is>
      </c>
      <c r="G3764" s="2" t="inlineStr">
        <is>
          <t>tim:TIM202600000306</t>
        </is>
      </c>
      <c r="H3764" s="3" t="n">
        <v>20</v>
      </c>
      <c r="I3764" s="3" t="inlineStr"/>
      <c r="J3764" s="2" t="inlineStr">
        <is>
          <t>plano anual 12x no cartão de crédito; a etiqueta TIM informa 'sem prazo de permanência'</t>
        </is>
      </c>
      <c r="K3764" s="2" t="inlineStr">
        <is>
          <t>credit_card</t>
        </is>
      </c>
      <c r="L3764" s="4" t="n">
        <v>25</v>
      </c>
      <c r="M3764" s="2" t="inlineStr"/>
      <c r="N3764" s="2" t="inlineStr"/>
      <c r="O3764" s="2" t="inlineStr"/>
      <c r="P3764" s="2" t="inlineStr"/>
      <c r="Q3764" s="2" t="inlineStr"/>
      <c r="R3764" s="2" t="inlineStr"/>
      <c r="S3764" s="2" t="n">
        <v>12</v>
      </c>
      <c r="T3764" s="2" t="inlineStr"/>
      <c r="U3764" s="2" t="inlineStr">
        <is>
          <t>https://www.tim.com.br/sp/para-voce/planos/controle</t>
        </is>
      </c>
      <c r="V3764" s="2" t="inlineStr">
        <is>
          <t>data/raw/tim_fit_SP.html</t>
        </is>
      </c>
    </row>
    <row r="3765">
      <c r="A3765" s="5" t="inlineStr">
        <is>
          <t>2026-08-28</t>
        </is>
      </c>
      <c r="B3765" s="5" t="inlineStr">
        <is>
          <t>2026-08-28T02:04:32</t>
        </is>
      </c>
      <c r="C3765" s="5" t="inlineStr">
        <is>
          <t>tim</t>
        </is>
      </c>
      <c r="D3765" s="5" t="inlineStr">
        <is>
          <t>fit</t>
        </is>
      </c>
      <c r="E3765" s="5" t="inlineStr">
        <is>
          <t>SP</t>
        </is>
      </c>
      <c r="F3765" s="5" t="inlineStr">
        <is>
          <t>TIM Controle Fit Anual 2.0</t>
        </is>
      </c>
      <c r="G3765" s="5" t="inlineStr">
        <is>
          <t>tim:TIM202600000271</t>
        </is>
      </c>
      <c r="H3765" s="6" t="n">
        <v>30</v>
      </c>
      <c r="I3765" s="6" t="inlineStr"/>
      <c r="J3765" s="5" t="inlineStr">
        <is>
          <t>plano anual 12x no cartão de crédito; a etiqueta TIM informa 'sem prazo de permanência'</t>
        </is>
      </c>
      <c r="K3765" s="5" t="inlineStr">
        <is>
          <t>credit_card</t>
        </is>
      </c>
      <c r="L3765" s="7" t="n">
        <v>35</v>
      </c>
      <c r="M3765" s="5" t="inlineStr"/>
      <c r="N3765" s="5" t="inlineStr"/>
      <c r="O3765" s="5" t="inlineStr"/>
      <c r="P3765" s="5" t="inlineStr"/>
      <c r="Q3765" s="5" t="inlineStr"/>
      <c r="R3765" s="5" t="inlineStr"/>
      <c r="S3765" s="5" t="n">
        <v>12</v>
      </c>
      <c r="T3765" s="5" t="inlineStr"/>
      <c r="U3765" s="5" t="inlineStr">
        <is>
          <t>https://www.tim.com.br/sp/para-voce/planos/controle</t>
        </is>
      </c>
      <c r="V3765" s="5" t="inlineStr">
        <is>
          <t>data/raw/tim_fit_SP.html</t>
        </is>
      </c>
    </row>
    <row r="3766">
      <c r="A3766" s="2" t="inlineStr">
        <is>
          <t>2026-08-28</t>
        </is>
      </c>
      <c r="B3766" s="2" t="inlineStr">
        <is>
          <t>2026-08-28T02:04:32</t>
        </is>
      </c>
      <c r="C3766" s="2" t="inlineStr">
        <is>
          <t>tim</t>
        </is>
      </c>
      <c r="D3766" s="2" t="inlineStr">
        <is>
          <t>fit</t>
        </is>
      </c>
      <c r="E3766" s="2" t="inlineStr">
        <is>
          <t>SP</t>
        </is>
      </c>
      <c r="F3766" s="2" t="inlineStr">
        <is>
          <t>TIM Controle Fit Mensal 1.0</t>
        </is>
      </c>
      <c r="G3766" s="2" t="inlineStr">
        <is>
          <t>tim:TIM202600000270</t>
        </is>
      </c>
      <c r="H3766" s="3" t="n">
        <v>20</v>
      </c>
      <c r="I3766" s="3" t="inlineStr"/>
      <c r="J376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66" s="2" t="inlineStr"/>
      <c r="L3766" s="4" t="n">
        <v>20</v>
      </c>
      <c r="M3766" s="2" t="inlineStr"/>
      <c r="N3766" s="2" t="inlineStr"/>
      <c r="O3766" s="2" t="inlineStr"/>
      <c r="P3766" s="2" t="inlineStr"/>
      <c r="Q3766" s="2" t="inlineStr"/>
      <c r="R3766" s="2" t="inlineStr"/>
      <c r="S3766" s="2" t="inlineStr"/>
      <c r="T3766" s="2" t="inlineStr"/>
      <c r="U3766" s="2" t="inlineStr">
        <is>
          <t>https://www.tim.com.br/sp/para-voce/planos/controle</t>
        </is>
      </c>
      <c r="V3766" s="2" t="inlineStr">
        <is>
          <t>data/raw/tim_fit_SP.html</t>
        </is>
      </c>
    </row>
    <row r="3767">
      <c r="A3767" s="5" t="inlineStr">
        <is>
          <t>2026-08-28</t>
        </is>
      </c>
      <c r="B3767" s="5" t="inlineStr">
        <is>
          <t>2026-08-28T02:04:32</t>
        </is>
      </c>
      <c r="C3767" s="5" t="inlineStr">
        <is>
          <t>tim</t>
        </is>
      </c>
      <c r="D3767" s="5" t="inlineStr">
        <is>
          <t>fit</t>
        </is>
      </c>
      <c r="E3767" s="5" t="inlineStr">
        <is>
          <t>SP</t>
        </is>
      </c>
      <c r="F3767" s="5" t="inlineStr">
        <is>
          <t>TIM Controle Fit Mensal 2.0</t>
        </is>
      </c>
      <c r="G3767" s="5" t="inlineStr">
        <is>
          <t>tim:TIM202600000305</t>
        </is>
      </c>
      <c r="H3767" s="6" t="n">
        <v>45</v>
      </c>
      <c r="I3767" s="6" t="inlineStr"/>
      <c r="J3767" s="5" t="inlineStr">
        <is>
          <t>plano mensal, sem prazo de permanência; a etiqueta TIM informa 'sem prazo de permanência'</t>
        </is>
      </c>
      <c r="K3767" s="5" t="inlineStr"/>
      <c r="L3767" s="7" t="n">
        <v>35</v>
      </c>
      <c r="M3767" s="5" t="inlineStr"/>
      <c r="N3767" s="5" t="inlineStr"/>
      <c r="O3767" s="5" t="inlineStr"/>
      <c r="P3767" s="5" t="inlineStr"/>
      <c r="Q3767" s="5" t="inlineStr"/>
      <c r="R3767" s="5" t="inlineStr"/>
      <c r="S3767" s="5" t="inlineStr"/>
      <c r="T3767" s="5" t="inlineStr"/>
      <c r="U3767" s="5" t="inlineStr">
        <is>
          <t>https://www.tim.com.br/sp/para-voce/planos/controle</t>
        </is>
      </c>
      <c r="V3767" s="5" t="inlineStr">
        <is>
          <t>data/raw/tim_fit_SP.html</t>
        </is>
      </c>
    </row>
    <row r="3768">
      <c r="A3768" s="2" t="inlineStr">
        <is>
          <t>2026-08-28</t>
        </is>
      </c>
      <c r="B3768" s="2" t="inlineStr">
        <is>
          <t>2026-08-28T02:04:32</t>
        </is>
      </c>
      <c r="C3768" s="2" t="inlineStr">
        <is>
          <t>tim</t>
        </is>
      </c>
      <c r="D3768" s="2" t="inlineStr">
        <is>
          <t>postpaid</t>
        </is>
      </c>
      <c r="E3768" s="2" t="inlineStr">
        <is>
          <t>SP</t>
        </is>
      </c>
      <c r="F3768" s="2" t="inlineStr">
        <is>
          <t>TIM Black 70GB</t>
        </is>
      </c>
      <c r="G3768" s="2" t="inlineStr">
        <is>
          <t>tim:54206</t>
        </is>
      </c>
      <c r="H3768" s="3" t="n">
        <v>129.99</v>
      </c>
      <c r="I3768" s="3" t="inlineStr"/>
      <c r="J3768" s="2" t="inlineStr"/>
      <c r="K3768" s="2" t="inlineStr">
        <is>
          <t>bill</t>
        </is>
      </c>
      <c r="L3768" s="4" t="n">
        <v>70</v>
      </c>
      <c r="M3768" s="2" t="inlineStr"/>
      <c r="N3768" s="2" t="inlineStr"/>
      <c r="O3768" s="2" t="inlineStr"/>
      <c r="P3768" s="2" t="inlineStr"/>
      <c r="Q3768" s="2" t="inlineStr"/>
      <c r="R3768" s="2" t="inlineStr"/>
      <c r="S3768" s="2" t="inlineStr"/>
      <c r="T3768" s="2" t="inlineStr"/>
      <c r="U3768" s="2" t="inlineStr">
        <is>
          <t>https://www.tim.com.br/sp/para-voce/planos/pos-pago/tim-black</t>
        </is>
      </c>
      <c r="V3768" s="2" t="inlineStr">
        <is>
          <t>data/raw/tim_postpaid_SP.html</t>
        </is>
      </c>
    </row>
    <row r="3769">
      <c r="A3769" s="5" t="inlineStr">
        <is>
          <t>2026-08-28</t>
        </is>
      </c>
      <c r="B3769" s="5" t="inlineStr">
        <is>
          <t>2026-08-28T02:04:32</t>
        </is>
      </c>
      <c r="C3769" s="5" t="inlineStr">
        <is>
          <t>tim</t>
        </is>
      </c>
      <c r="D3769" s="5" t="inlineStr">
        <is>
          <t>postpaid</t>
        </is>
      </c>
      <c r="E3769" s="5" t="inlineStr">
        <is>
          <t>SP</t>
        </is>
      </c>
      <c r="F3769" s="5" t="inlineStr">
        <is>
          <t>TIM Black A Express 67GB</t>
        </is>
      </c>
      <c r="G3769" s="5" t="inlineStr">
        <is>
          <t>tim:55121</t>
        </is>
      </c>
      <c r="H3769" s="6" t="n">
        <v>119.99</v>
      </c>
      <c r="I3769" s="6" t="inlineStr"/>
      <c r="J3769" s="5" t="inlineStr"/>
      <c r="K3769" s="5" t="inlineStr">
        <is>
          <t>credit_card</t>
        </is>
      </c>
      <c r="L3769" s="7" t="n">
        <v>67</v>
      </c>
      <c r="M3769" s="5" t="inlineStr"/>
      <c r="N3769" s="5" t="inlineStr"/>
      <c r="O3769" s="5" t="inlineStr"/>
      <c r="P3769" s="5" t="inlineStr"/>
      <c r="Q3769" s="5" t="inlineStr"/>
      <c r="R3769" s="5" t="inlineStr"/>
      <c r="S3769" s="5" t="inlineStr"/>
      <c r="T3769" s="5" t="inlineStr"/>
      <c r="U3769" s="5" t="inlineStr">
        <is>
          <t>https://www.tim.com.br/sp/para-voce/planos/pos-pago/tim-black</t>
        </is>
      </c>
      <c r="V3769" s="5" t="inlineStr">
        <is>
          <t>data/raw/tim_postpaid_SP.html</t>
        </is>
      </c>
    </row>
    <row r="3770">
      <c r="A3770" s="2" t="inlineStr">
        <is>
          <t>2026-08-28</t>
        </is>
      </c>
      <c r="B3770" s="2" t="inlineStr">
        <is>
          <t>2026-08-28T02:04:32</t>
        </is>
      </c>
      <c r="C3770" s="2" t="inlineStr">
        <is>
          <t>tim</t>
        </is>
      </c>
      <c r="D3770" s="2" t="inlineStr">
        <is>
          <t>postpaid</t>
        </is>
      </c>
      <c r="E3770" s="2" t="inlineStr">
        <is>
          <t>SP</t>
        </is>
      </c>
      <c r="F3770" s="2" t="inlineStr">
        <is>
          <t>TIM Black B Express 82GB</t>
        </is>
      </c>
      <c r="G3770" s="2" t="inlineStr">
        <is>
          <t>tim:52146</t>
        </is>
      </c>
      <c r="H3770" s="3" t="n">
        <v>144.99</v>
      </c>
      <c r="I3770" s="3" t="inlineStr"/>
      <c r="J3770" s="2" t="inlineStr"/>
      <c r="K3770" s="2" t="inlineStr">
        <is>
          <t>credit_card</t>
        </is>
      </c>
      <c r="L3770" s="4" t="n">
        <v>82</v>
      </c>
      <c r="M3770" s="2" t="inlineStr"/>
      <c r="N3770" s="2" t="inlineStr"/>
      <c r="O3770" s="2" t="inlineStr"/>
      <c r="P3770" s="2" t="inlineStr"/>
      <c r="Q3770" s="2" t="inlineStr"/>
      <c r="R3770" s="2" t="inlineStr"/>
      <c r="S3770" s="2" t="inlineStr"/>
      <c r="T3770" s="2" t="inlineStr"/>
      <c r="U3770" s="2" t="inlineStr">
        <is>
          <t>https://www.tim.com.br/sp/para-voce/planos/pos-pago/tim-black</t>
        </is>
      </c>
      <c r="V3770" s="2" t="inlineStr">
        <is>
          <t>data/raw/tim_postpaid_SP.html</t>
        </is>
      </c>
    </row>
    <row r="3771">
      <c r="A3771" s="5" t="inlineStr">
        <is>
          <t>2026-08-28</t>
        </is>
      </c>
      <c r="B3771" s="5" t="inlineStr">
        <is>
          <t>2026-08-28T02:04:32</t>
        </is>
      </c>
      <c r="C3771" s="5" t="inlineStr">
        <is>
          <t>tim</t>
        </is>
      </c>
      <c r="D3771" s="5" t="inlineStr">
        <is>
          <t>postpaid</t>
        </is>
      </c>
      <c r="E3771" s="5" t="inlineStr">
        <is>
          <t>SP</t>
        </is>
      </c>
      <c r="F3771" s="5" t="inlineStr">
        <is>
          <t>TIM Black C Express 107GB</t>
        </is>
      </c>
      <c r="G3771" s="5" t="inlineStr">
        <is>
          <t>tim:52151</t>
        </is>
      </c>
      <c r="H3771" s="6" t="n">
        <v>164.99</v>
      </c>
      <c r="I3771" s="6" t="inlineStr"/>
      <c r="J3771" s="5" t="inlineStr"/>
      <c r="K3771" s="5" t="inlineStr">
        <is>
          <t>credit_card</t>
        </is>
      </c>
      <c r="L3771" s="7" t="n">
        <v>107</v>
      </c>
      <c r="M3771" s="5" t="inlineStr"/>
      <c r="N3771" s="5" t="inlineStr"/>
      <c r="O3771" s="5" t="inlineStr"/>
      <c r="P3771" s="5" t="inlineStr"/>
      <c r="Q3771" s="5" t="inlineStr"/>
      <c r="R3771" s="5" t="inlineStr"/>
      <c r="S3771" s="5" t="inlineStr"/>
      <c r="T3771" s="5" t="inlineStr"/>
      <c r="U3771" s="5" t="inlineStr">
        <is>
          <t>https://www.tim.com.br/sp/para-voce/planos/pos-pago/tim-black</t>
        </is>
      </c>
      <c r="V3771" s="5" t="inlineStr">
        <is>
          <t>data/raw/tim_postpaid_SP.html</t>
        </is>
      </c>
    </row>
    <row r="3772">
      <c r="A3772" s="2" t="inlineStr">
        <is>
          <t>2026-08-28</t>
        </is>
      </c>
      <c r="B3772" s="2" t="inlineStr">
        <is>
          <t>2026-08-28T02:04:32</t>
        </is>
      </c>
      <c r="C3772" s="2" t="inlineStr">
        <is>
          <t>tim</t>
        </is>
      </c>
      <c r="D3772" s="2" t="inlineStr">
        <is>
          <t>postpaid</t>
        </is>
      </c>
      <c r="E3772" s="2" t="inlineStr">
        <is>
          <t>SP</t>
        </is>
      </c>
      <c r="F3772" s="2" t="inlineStr">
        <is>
          <t>TIM Black C Ultra 95GB</t>
        </is>
      </c>
      <c r="G3772" s="2" t="inlineStr">
        <is>
          <t>tim:100581</t>
        </is>
      </c>
      <c r="H3772" s="3" t="n">
        <v>159.99</v>
      </c>
      <c r="I3772" s="3" t="inlineStr"/>
      <c r="J3772" s="2" t="inlineStr"/>
      <c r="K3772" s="2" t="inlineStr">
        <is>
          <t>bill</t>
        </is>
      </c>
      <c r="L3772" s="4" t="n">
        <v>95</v>
      </c>
      <c r="M3772" s="2" t="inlineStr"/>
      <c r="N3772" s="2" t="inlineStr"/>
      <c r="O3772" s="2" t="inlineStr"/>
      <c r="P3772" s="2" t="inlineStr"/>
      <c r="Q3772" s="2" t="inlineStr"/>
      <c r="R3772" s="2" t="inlineStr"/>
      <c r="S3772" s="2" t="inlineStr"/>
      <c r="T3772" s="2" t="inlineStr"/>
      <c r="U3772" s="2" t="inlineStr">
        <is>
          <t>https://www.tim.com.br/sp/para-voce/planos/pos-pago/tim-black</t>
        </is>
      </c>
      <c r="V3772" s="2" t="inlineStr">
        <is>
          <t>data/raw/tim_postpaid_SP.html</t>
        </is>
      </c>
    </row>
    <row r="3773">
      <c r="A3773" s="5" t="inlineStr">
        <is>
          <t>2026-08-28</t>
        </is>
      </c>
      <c r="B3773" s="5" t="inlineStr">
        <is>
          <t>2026-08-28T02:04:32</t>
        </is>
      </c>
      <c r="C3773" s="5" t="inlineStr">
        <is>
          <t>tim</t>
        </is>
      </c>
      <c r="D3773" s="5" t="inlineStr">
        <is>
          <t>postpaid</t>
        </is>
      </c>
      <c r="E3773" s="5" t="inlineStr">
        <is>
          <t>SP</t>
        </is>
      </c>
      <c r="F3773" s="5" t="inlineStr">
        <is>
          <t>TIM Black Plus 80GB</t>
        </is>
      </c>
      <c r="G3773" s="5" t="inlineStr">
        <is>
          <t>tim:54256</t>
        </is>
      </c>
      <c r="H3773" s="6" t="n">
        <v>149.99</v>
      </c>
      <c r="I3773" s="6" t="inlineStr"/>
      <c r="J3773" s="5" t="inlineStr"/>
      <c r="K3773" s="5" t="inlineStr">
        <is>
          <t>bill</t>
        </is>
      </c>
      <c r="L3773" s="7" t="n">
        <v>80</v>
      </c>
      <c r="M3773" s="5" t="inlineStr"/>
      <c r="N3773" s="5" t="inlineStr"/>
      <c r="O3773" s="5" t="inlineStr"/>
      <c r="P3773" s="5" t="inlineStr"/>
      <c r="Q3773" s="5" t="inlineStr"/>
      <c r="R3773" s="5" t="inlineStr"/>
      <c r="S3773" s="5" t="inlineStr"/>
      <c r="T3773" s="5" t="inlineStr"/>
      <c r="U3773" s="5" t="inlineStr">
        <is>
          <t>https://www.tim.com.br/sp/para-voce/planos/pos-pago/tim-black</t>
        </is>
      </c>
      <c r="V3773" s="5" t="inlineStr">
        <is>
          <t>data/raw/tim_postpaid_SP.html</t>
        </is>
      </c>
    </row>
    <row r="3774">
      <c r="A3774" s="2" t="inlineStr">
        <is>
          <t>2026-08-28</t>
        </is>
      </c>
      <c r="B3774" s="2" t="inlineStr">
        <is>
          <t>2026-08-28T02:04:32</t>
        </is>
      </c>
      <c r="C3774" s="2" t="inlineStr">
        <is>
          <t>tim</t>
        </is>
      </c>
      <c r="D3774" s="2" t="inlineStr">
        <is>
          <t>postpaid</t>
        </is>
      </c>
      <c r="E3774" s="2" t="inlineStr">
        <is>
          <t>SP</t>
        </is>
      </c>
      <c r="F3774" s="2" t="inlineStr">
        <is>
          <t>TIM Black Premium 110GB</t>
        </is>
      </c>
      <c r="G3774" s="2" t="inlineStr">
        <is>
          <t>tim:54261</t>
        </is>
      </c>
      <c r="H3774" s="3" t="n">
        <v>159.99</v>
      </c>
      <c r="I3774" s="3" t="inlineStr"/>
      <c r="J3774" s="2" t="inlineStr"/>
      <c r="K3774" s="2" t="inlineStr">
        <is>
          <t>bill</t>
        </is>
      </c>
      <c r="L3774" s="4" t="n">
        <v>110</v>
      </c>
      <c r="M3774" s="2" t="inlineStr"/>
      <c r="N3774" s="2" t="inlineStr"/>
      <c r="O3774" s="2" t="inlineStr"/>
      <c r="P3774" s="2" t="inlineStr"/>
      <c r="Q3774" s="2" t="inlineStr"/>
      <c r="R3774" s="2" t="inlineStr"/>
      <c r="S3774" s="2" t="inlineStr"/>
      <c r="T3774" s="2" t="inlineStr"/>
      <c r="U3774" s="2" t="inlineStr">
        <is>
          <t>https://www.tim.com.br/sp/para-voce/planos/pos-pago/tim-black</t>
        </is>
      </c>
      <c r="V3774" s="2" t="inlineStr">
        <is>
          <t>data/raw/tim_postpaid_SP.html</t>
        </is>
      </c>
    </row>
    <row r="3775">
      <c r="A3775" s="5" t="inlineStr">
        <is>
          <t>2026-08-28</t>
        </is>
      </c>
      <c r="B3775" s="5" t="inlineStr">
        <is>
          <t>2026-08-28T02:04:32</t>
        </is>
      </c>
      <c r="C3775" s="5" t="inlineStr">
        <is>
          <t>tim</t>
        </is>
      </c>
      <c r="D3775" s="5" t="inlineStr">
        <is>
          <t>prepaid</t>
        </is>
      </c>
      <c r="E3775" s="5" t="inlineStr">
        <is>
          <t>SP</t>
        </is>
      </c>
      <c r="F3775" s="5" t="inlineStr">
        <is>
          <t>TIM Pré XIP Plus 16GB</t>
        </is>
      </c>
      <c r="G3775" s="5" t="inlineStr">
        <is>
          <t>tim:106306</t>
        </is>
      </c>
      <c r="H3775" s="6" t="n">
        <v>30</v>
      </c>
      <c r="I3775" s="6" t="inlineStr"/>
      <c r="J3775" s="5" t="inlineStr"/>
      <c r="K3775" s="5" t="inlineStr"/>
      <c r="L3775" s="7" t="n">
        <v>16</v>
      </c>
      <c r="M3775" s="5" t="inlineStr"/>
      <c r="N3775" s="5" t="n">
        <v>30</v>
      </c>
      <c r="O3775" s="5" t="inlineStr"/>
      <c r="P3775" s="5" t="inlineStr"/>
      <c r="Q3775" s="5" t="inlineStr"/>
      <c r="R3775" s="5" t="inlineStr"/>
      <c r="S3775" s="5" t="inlineStr"/>
      <c r="T3775" s="5" t="inlineStr"/>
      <c r="U3775" s="5" t="inlineStr">
        <is>
          <t>https://www.tim.com.br/sp/para-voce/planos/pre-pago</t>
        </is>
      </c>
      <c r="V3775" s="5" t="inlineStr">
        <is>
          <t>data/raw/tim_prepaid_SP.html</t>
        </is>
      </c>
    </row>
    <row r="3776">
      <c r="A3776" s="2" t="inlineStr">
        <is>
          <t>2026-08-28</t>
        </is>
      </c>
      <c r="B3776" s="2" t="inlineStr">
        <is>
          <t>2026-08-28T02:04:32</t>
        </is>
      </c>
      <c r="C3776" s="2" t="inlineStr">
        <is>
          <t>tim</t>
        </is>
      </c>
      <c r="D3776" s="2" t="inlineStr">
        <is>
          <t>prepaid</t>
        </is>
      </c>
      <c r="E3776" s="2" t="inlineStr">
        <is>
          <t>SP</t>
        </is>
      </c>
      <c r="F3776" s="2" t="inlineStr">
        <is>
          <t>TIM Pré XIP Plus 6GB</t>
        </is>
      </c>
      <c r="G3776" s="2" t="inlineStr">
        <is>
          <t>tim:59906</t>
        </is>
      </c>
      <c r="H3776" s="3" t="n">
        <v>20</v>
      </c>
      <c r="I3776" s="3" t="inlineStr"/>
      <c r="J3776" s="2" t="inlineStr"/>
      <c r="K3776" s="2" t="inlineStr"/>
      <c r="L3776" s="4" t="n">
        <v>6</v>
      </c>
      <c r="M3776" s="2" t="inlineStr"/>
      <c r="N3776" s="2" t="n">
        <v>17</v>
      </c>
      <c r="O3776" s="2" t="inlineStr"/>
      <c r="P3776" s="2" t="inlineStr"/>
      <c r="Q3776" s="2" t="inlineStr"/>
      <c r="R3776" s="2" t="inlineStr"/>
      <c r="S3776" s="2" t="inlineStr"/>
      <c r="T3776" s="2" t="inlineStr"/>
      <c r="U3776" s="2" t="inlineStr">
        <is>
          <t>https://www.tim.com.br/sp/para-voce/planos/pre-pago</t>
        </is>
      </c>
      <c r="V3776" s="2" t="inlineStr">
        <is>
          <t>data/raw/tim_prepaid_SP.html</t>
        </is>
      </c>
    </row>
    <row r="3777">
      <c r="A3777" s="5" t="inlineStr">
        <is>
          <t>2026-08-28</t>
        </is>
      </c>
      <c r="B3777" s="5" t="inlineStr">
        <is>
          <t>2026-08-28T02:04:32</t>
        </is>
      </c>
      <c r="C3777" s="5" t="inlineStr">
        <is>
          <t>tim</t>
        </is>
      </c>
      <c r="D3777" s="5" t="inlineStr">
        <is>
          <t>prepaid</t>
        </is>
      </c>
      <c r="E3777" s="5" t="inlineStr">
        <is>
          <t>SP</t>
        </is>
      </c>
      <c r="F3777" s="5" t="inlineStr">
        <is>
          <t>TIM Pré XIP Plus 8GB</t>
        </is>
      </c>
      <c r="G3777" s="5" t="inlineStr">
        <is>
          <t>tim:59901</t>
        </is>
      </c>
      <c r="H3777" s="6" t="n">
        <v>25</v>
      </c>
      <c r="I3777" s="6" t="inlineStr"/>
      <c r="J3777" s="5" t="inlineStr"/>
      <c r="K3777" s="5" t="inlineStr"/>
      <c r="L3777" s="7" t="n">
        <v>8</v>
      </c>
      <c r="M3777" s="5" t="inlineStr"/>
      <c r="N3777" s="5" t="n">
        <v>22</v>
      </c>
      <c r="O3777" s="5" t="inlineStr"/>
      <c r="P3777" s="5" t="inlineStr"/>
      <c r="Q3777" s="5" t="inlineStr"/>
      <c r="R3777" s="5" t="inlineStr"/>
      <c r="S3777" s="5" t="inlineStr"/>
      <c r="T3777" s="5" t="inlineStr"/>
      <c r="U3777" s="5" t="inlineStr">
        <is>
          <t>https://www.tim.com.br/sp/para-voce/planos/pre-pago</t>
        </is>
      </c>
      <c r="V3777" s="5" t="inlineStr">
        <is>
          <t>data/raw/tim_prepaid_SP.html</t>
        </is>
      </c>
    </row>
    <row r="3778">
      <c r="A3778" s="2" t="inlineStr">
        <is>
          <t>2026-08-28</t>
        </is>
      </c>
      <c r="B3778" s="2" t="inlineStr">
        <is>
          <t>2026-08-28T02:04:32</t>
        </is>
      </c>
      <c r="C3778" s="2" t="inlineStr">
        <is>
          <t>vivo</t>
        </is>
      </c>
      <c r="D3778" s="2" t="inlineStr">
        <is>
          <t>control</t>
        </is>
      </c>
      <c r="E3778" s="2" t="inlineStr">
        <is>
          <t>SP</t>
        </is>
      </c>
      <c r="F3778" s="2" t="inlineStr">
        <is>
          <t>Vivo Controle</t>
        </is>
      </c>
      <c r="G3778" s="2" t="inlineStr">
        <is>
          <t>vivo:VIV202600034591</t>
        </is>
      </c>
      <c r="H3778" s="3" t="n">
        <v>59</v>
      </c>
      <c r="I3778" s="3" t="inlineStr"/>
      <c r="J3778" s="2" t="inlineStr"/>
      <c r="K3778" s="2" t="inlineStr"/>
      <c r="L3778" s="4" t="n">
        <v>45</v>
      </c>
      <c r="M3778" s="2" t="inlineStr">
        <is>
          <t>15 GB de franquia 30 GB de bônus</t>
        </is>
      </c>
      <c r="N3778" s="2" t="inlineStr"/>
      <c r="O3778" s="2" t="inlineStr"/>
      <c r="P3778" s="2" t="inlineStr"/>
      <c r="Q3778" s="2" t="inlineStr"/>
      <c r="R3778" s="2" t="inlineStr"/>
      <c r="S3778" s="2" t="inlineStr"/>
      <c r="T3778" s="2" t="inlineStr">
        <is>
          <t>6 meses grátis de Gemini com AI Plus</t>
        </is>
      </c>
      <c r="U3778" s="2" t="inlineStr">
        <is>
          <t>https://vivo.com.br/para-voce/produtos-e-servicos/para-o-celular/planos-controle</t>
        </is>
      </c>
      <c r="V3778" s="2" t="inlineStr">
        <is>
          <t>data/raw/vivo_control_SP.html</t>
        </is>
      </c>
    </row>
    <row r="3779">
      <c r="A3779" s="5" t="inlineStr">
        <is>
          <t>2026-08-28</t>
        </is>
      </c>
      <c r="B3779" s="5" t="inlineStr">
        <is>
          <t>2026-08-28T02:04:32</t>
        </is>
      </c>
      <c r="C3779" s="5" t="inlineStr">
        <is>
          <t>vivo</t>
        </is>
      </c>
      <c r="D3779" s="5" t="inlineStr">
        <is>
          <t>control</t>
        </is>
      </c>
      <c r="E3779" s="5" t="inlineStr">
        <is>
          <t>SP</t>
        </is>
      </c>
      <c r="F3779" s="5" t="inlineStr">
        <is>
          <t>Vivo Controle</t>
        </is>
      </c>
      <c r="G3779" s="5" t="inlineStr">
        <is>
          <t>vivo:VIV202600034599</t>
        </is>
      </c>
      <c r="H3779" s="6" t="n">
        <v>75</v>
      </c>
      <c r="I3779" s="6" t="inlineStr"/>
      <c r="J3779" s="5" t="inlineStr">
        <is>
          <t>preço-base do plano; a tela exibia R$ 80 com o adicional pré-selecionado (+R$ 5/mês, opcional); 60 GB na tela incluem +10 GB do adicional</t>
        </is>
      </c>
      <c r="K3779" s="5" t="inlineStr"/>
      <c r="L3779" s="7" t="n">
        <v>50</v>
      </c>
      <c r="M3779" s="5" t="inlineStr">
        <is>
          <t>20 GB de franquia 30 GB de bônus</t>
        </is>
      </c>
      <c r="N3779" s="5" t="inlineStr"/>
      <c r="O3779" s="5" t="inlineStr"/>
      <c r="P3779" s="5" t="inlineStr"/>
      <c r="Q3779" s="5" t="inlineStr"/>
      <c r="R3779" s="5" t="inlineStr"/>
      <c r="S3779" s="5" t="inlineStr"/>
      <c r="T3779" s="5" t="inlineStr">
        <is>
          <t>6 meses grátis de Gemini com AI Plus</t>
        </is>
      </c>
      <c r="U3779" s="5" t="inlineStr">
        <is>
          <t>https://vivo.com.br/para-voce/produtos-e-servicos/para-o-celular/planos-controle</t>
        </is>
      </c>
      <c r="V3779" s="5" t="inlineStr">
        <is>
          <t>data/raw/vivo_control_SP.html</t>
        </is>
      </c>
    </row>
    <row r="3780">
      <c r="A3780" s="2" t="inlineStr">
        <is>
          <t>2026-08-28</t>
        </is>
      </c>
      <c r="B3780" s="2" t="inlineStr">
        <is>
          <t>2026-08-28T02:04:32</t>
        </is>
      </c>
      <c r="C3780" s="2" t="inlineStr">
        <is>
          <t>vivo</t>
        </is>
      </c>
      <c r="D3780" s="2" t="inlineStr">
        <is>
          <t>control</t>
        </is>
      </c>
      <c r="E3780" s="2" t="inlineStr">
        <is>
          <t>SP</t>
        </is>
      </c>
      <c r="F3780" s="2" t="inlineStr">
        <is>
          <t>Vivo Controle Educação</t>
        </is>
      </c>
      <c r="G3780" s="2" t="inlineStr">
        <is>
          <t>vivo:VIV202600034616</t>
        </is>
      </c>
      <c r="H3780" s="3" t="n">
        <v>85</v>
      </c>
      <c r="I3780" s="3" t="inlineStr"/>
      <c r="J3780" s="2" t="inlineStr">
        <is>
          <t>preço-base do plano; a tela exibia R$ 90 com o adicional pré-selecionado (+R$ 5/mês, opcional); 60 GB na tela incluem +10 GB do adicional</t>
        </is>
      </c>
      <c r="K3780" s="2" t="inlineStr"/>
      <c r="L3780" s="4" t="n">
        <v>50</v>
      </c>
      <c r="M3780" s="2" t="inlineStr">
        <is>
          <t>20 GB de franquia 30 GB de bônus</t>
        </is>
      </c>
      <c r="N3780" s="2" t="inlineStr"/>
      <c r="O3780" s="2" t="inlineStr"/>
      <c r="P3780" s="2" t="inlineStr"/>
      <c r="Q3780" s="2" t="inlineStr"/>
      <c r="R3780" s="2" t="inlineStr"/>
      <c r="S3780" s="2" t="inlineStr"/>
      <c r="T3780" s="2" t="inlineStr">
        <is>
          <t>Assinatura Vivae inclusa</t>
        </is>
      </c>
      <c r="U3780" s="2" t="inlineStr">
        <is>
          <t>https://vivo.com.br/para-voce/produtos-e-servicos/para-o-celular/planos-controle</t>
        </is>
      </c>
      <c r="V3780" s="2" t="inlineStr">
        <is>
          <t>data/raw/vivo_control_SP.html</t>
        </is>
      </c>
    </row>
    <row r="3781">
      <c r="A3781" s="5" t="inlineStr">
        <is>
          <t>2026-08-28</t>
        </is>
      </c>
      <c r="B3781" s="5" t="inlineStr">
        <is>
          <t>2026-08-28T02:04:32</t>
        </is>
      </c>
      <c r="C3781" s="5" t="inlineStr">
        <is>
          <t>vivo</t>
        </is>
      </c>
      <c r="D3781" s="5" t="inlineStr">
        <is>
          <t>control</t>
        </is>
      </c>
      <c r="E3781" s="5" t="inlineStr">
        <is>
          <t>SP</t>
        </is>
      </c>
      <c r="F3781" s="5" t="inlineStr">
        <is>
          <t>Vivo Controle Entretenimento</t>
        </is>
      </c>
      <c r="G3781" s="5" t="inlineStr">
        <is>
          <t>vivo:VIV202600034619</t>
        </is>
      </c>
      <c r="H3781" s="6" t="n">
        <v>105</v>
      </c>
      <c r="I3781" s="6" t="inlineStr"/>
      <c r="J3781" s="5" t="inlineStr">
        <is>
          <t>preço-base do plano; a tela exibia R$ 110 com o adicional pré-selecionado (+R$ 5/mês, opcional); 60 GB na tela incluem +10 GB do adicional</t>
        </is>
      </c>
      <c r="K3781" s="5" t="inlineStr"/>
      <c r="L3781" s="7" t="n">
        <v>50</v>
      </c>
      <c r="M3781" s="5" t="inlineStr">
        <is>
          <t>20 GB de franquia 30 GB de bônus</t>
        </is>
      </c>
      <c r="N3781" s="5" t="inlineStr"/>
      <c r="O3781" s="5" t="inlineStr"/>
      <c r="P3781" s="5" t="inlineStr"/>
      <c r="Q3781" s="5" t="inlineStr"/>
      <c r="R3781" s="5" t="inlineStr"/>
      <c r="S3781" s="5" t="inlineStr"/>
      <c r="T3781" s="5" t="inlineStr">
        <is>
          <t>Assinatura Vivo TV Inicial inclusa</t>
        </is>
      </c>
      <c r="U3781" s="5" t="inlineStr">
        <is>
          <t>https://vivo.com.br/para-voce/produtos-e-servicos/para-o-celular/planos-controle</t>
        </is>
      </c>
      <c r="V3781" s="5" t="inlineStr">
        <is>
          <t>data/raw/vivo_control_SP.html</t>
        </is>
      </c>
    </row>
    <row r="3782">
      <c r="A3782" s="2" t="inlineStr">
        <is>
          <t>2026-08-28</t>
        </is>
      </c>
      <c r="B3782" s="2" t="inlineStr">
        <is>
          <t>2026-08-28T02:04:32</t>
        </is>
      </c>
      <c r="C3782" s="2" t="inlineStr">
        <is>
          <t>vivo</t>
        </is>
      </c>
      <c r="D3782" s="2" t="inlineStr">
        <is>
          <t>control</t>
        </is>
      </c>
      <c r="E3782" s="2" t="inlineStr">
        <is>
          <t>SP</t>
        </is>
      </c>
      <c r="F3782" s="2" t="inlineStr">
        <is>
          <t>Vivo Controle Música</t>
        </is>
      </c>
      <c r="G3782" s="2" t="inlineStr">
        <is>
          <t>vivo:VIV202600034620</t>
        </is>
      </c>
      <c r="H3782" s="3" t="n">
        <v>85</v>
      </c>
      <c r="I3782" s="3" t="inlineStr"/>
      <c r="J3782" s="2" t="inlineStr">
        <is>
          <t>preço-base do plano; a tela exibia R$ 90 com o adicional pré-selecionado (+R$ 5/mês, opcional); 60 GB na tela incluem +10 GB do adicional</t>
        </is>
      </c>
      <c r="K3782" s="2" t="inlineStr"/>
      <c r="L3782" s="4" t="n">
        <v>50</v>
      </c>
      <c r="M3782" s="2" t="inlineStr">
        <is>
          <t>20 GB de franquia 30 GB de bônus</t>
        </is>
      </c>
      <c r="N3782" s="2" t="inlineStr"/>
      <c r="O3782" s="2" t="inlineStr"/>
      <c r="P3782" s="2" t="inlineStr"/>
      <c r="Q3782" s="2" t="inlineStr"/>
      <c r="R3782" s="2" t="inlineStr"/>
      <c r="S3782" s="2" t="inlineStr"/>
      <c r="T3782" s="2" t="inlineStr">
        <is>
          <t>Apple Music Individual</t>
        </is>
      </c>
      <c r="U3782" s="2" t="inlineStr">
        <is>
          <t>https://vivo.com.br/para-voce/produtos-e-servicos/para-o-celular/planos-controle</t>
        </is>
      </c>
      <c r="V3782" s="2" t="inlineStr">
        <is>
          <t>data/raw/vivo_control_SP.html</t>
        </is>
      </c>
    </row>
    <row r="3783">
      <c r="A3783" s="5" t="inlineStr">
        <is>
          <t>2026-08-28</t>
        </is>
      </c>
      <c r="B3783" s="5" t="inlineStr">
        <is>
          <t>2026-08-28T02:04:32</t>
        </is>
      </c>
      <c r="C3783" s="5" t="inlineStr">
        <is>
          <t>vivo</t>
        </is>
      </c>
      <c r="D3783" s="5" t="inlineStr">
        <is>
          <t>control</t>
        </is>
      </c>
      <c r="E3783" s="5" t="inlineStr">
        <is>
          <t>SP</t>
        </is>
      </c>
      <c r="F3783" s="5" t="inlineStr">
        <is>
          <t>Vivo Controle Netflix</t>
        </is>
      </c>
      <c r="G3783" s="5" t="inlineStr">
        <is>
          <t>vivo:VIV202600034623</t>
        </is>
      </c>
      <c r="H3783" s="6" t="n">
        <v>90</v>
      </c>
      <c r="I3783" s="6" t="inlineStr"/>
      <c r="J3783" s="5" t="inlineStr">
        <is>
          <t>preço-base do plano; a tela exibia R$ 95 com o adicional pré-selecionado (+R$ 5/mês, opcional); 60 GB na tela incluem +10 GB do adicional</t>
        </is>
      </c>
      <c r="K3783" s="5" t="inlineStr"/>
      <c r="L3783" s="7" t="n">
        <v>50</v>
      </c>
      <c r="M3783" s="5" t="inlineStr">
        <is>
          <t>20 GB de franquia 30 GB de bônus</t>
        </is>
      </c>
      <c r="N3783" s="5" t="inlineStr"/>
      <c r="O3783" s="5" t="inlineStr"/>
      <c r="P3783" s="5" t="inlineStr"/>
      <c r="Q3783" s="5" t="inlineStr"/>
      <c r="R3783" s="5" t="inlineStr"/>
      <c r="S3783" s="5" t="inlineStr"/>
      <c r="T3783" s="5" t="inlineStr">
        <is>
          <t>Assinatura Netflix Padrão com anúncios</t>
        </is>
      </c>
      <c r="U3783" s="5" t="inlineStr">
        <is>
          <t>https://vivo.com.br/para-voce/produtos-e-servicos/para-o-celular/planos-controle</t>
        </is>
      </c>
      <c r="V3783" s="5" t="inlineStr">
        <is>
          <t>data/raw/vivo_control_SP.html</t>
        </is>
      </c>
    </row>
    <row r="3784">
      <c r="A3784" s="2" t="inlineStr">
        <is>
          <t>2026-08-28</t>
        </is>
      </c>
      <c r="B3784" s="2" t="inlineStr">
        <is>
          <t>2026-08-28T02:04:32</t>
        </is>
      </c>
      <c r="C3784" s="2" t="inlineStr">
        <is>
          <t>vivo</t>
        </is>
      </c>
      <c r="D3784" s="2" t="inlineStr">
        <is>
          <t>control</t>
        </is>
      </c>
      <c r="E3784" s="2" t="inlineStr">
        <is>
          <t>SP</t>
        </is>
      </c>
      <c r="F3784" s="2" t="inlineStr">
        <is>
          <t>Vivo Controle Saúde</t>
        </is>
      </c>
      <c r="G3784" s="2" t="inlineStr">
        <is>
          <t>vivo:VIV202600034625</t>
        </is>
      </c>
      <c r="H3784" s="3" t="n">
        <v>85</v>
      </c>
      <c r="I3784" s="3" t="inlineStr"/>
      <c r="J3784" s="2" t="inlineStr">
        <is>
          <t>preço-base do plano; a tela exibia R$ 90 com o adicional pré-selecionado (+R$ 5/mês, opcional); 60 GB na tela incluem +10 GB do adicional</t>
        </is>
      </c>
      <c r="K3784" s="2" t="inlineStr"/>
      <c r="L3784" s="4" t="n">
        <v>50</v>
      </c>
      <c r="M3784" s="2" t="inlineStr">
        <is>
          <t>20 GB de franquia 30 GB de bônus</t>
        </is>
      </c>
      <c r="N3784" s="2" t="inlineStr"/>
      <c r="O3784" s="2" t="inlineStr"/>
      <c r="P3784" s="2" t="inlineStr"/>
      <c r="Q3784" s="2" t="inlineStr"/>
      <c r="R3784" s="2" t="inlineStr"/>
      <c r="S3784" s="2" t="inlineStr"/>
      <c r="T3784" s="2" t="inlineStr">
        <is>
          <t>Assinatura Vale Saúde Sempre inclusa</t>
        </is>
      </c>
      <c r="U3784" s="2" t="inlineStr">
        <is>
          <t>https://vivo.com.br/para-voce/produtos-e-servicos/para-o-celular/planos-controle</t>
        </is>
      </c>
      <c r="V3784" s="2" t="inlineStr">
        <is>
          <t>data/raw/vivo_control_SP.html</t>
        </is>
      </c>
    </row>
    <row r="3785">
      <c r="A3785" s="5" t="inlineStr">
        <is>
          <t>2026-08-28</t>
        </is>
      </c>
      <c r="B3785" s="5" t="inlineStr">
        <is>
          <t>2026-08-28T02:04:32</t>
        </is>
      </c>
      <c r="C3785" s="5" t="inlineStr">
        <is>
          <t>vivo</t>
        </is>
      </c>
      <c r="D3785" s="5" t="inlineStr">
        <is>
          <t>control</t>
        </is>
      </c>
      <c r="E3785" s="5" t="inlineStr">
        <is>
          <t>SP</t>
        </is>
      </c>
      <c r="F3785" s="5" t="inlineStr">
        <is>
          <t>Vivo Controle Youtube Lite</t>
        </is>
      </c>
      <c r="G3785" s="5" t="inlineStr">
        <is>
          <t>vivo:VIV202600034626</t>
        </is>
      </c>
      <c r="H3785" s="6" t="n">
        <v>85</v>
      </c>
      <c r="I3785" s="6" t="inlineStr"/>
      <c r="J3785" s="5" t="inlineStr">
        <is>
          <t>preço-base do plano; a tela exibia R$ 90 com o adicional pré-selecionado (+R$ 5/mês, opcional); 60 GB na tela incluem +10 GB do adicional</t>
        </is>
      </c>
      <c r="K3785" s="5" t="inlineStr"/>
      <c r="L3785" s="7" t="n">
        <v>50</v>
      </c>
      <c r="M3785" s="5" t="inlineStr">
        <is>
          <t>20 GB de franquia 30 GB de bônus</t>
        </is>
      </c>
      <c r="N3785" s="5" t="inlineStr"/>
      <c r="O3785" s="5" t="inlineStr"/>
      <c r="P3785" s="5" t="inlineStr"/>
      <c r="Q3785" s="5" t="inlineStr"/>
      <c r="R3785" s="5" t="inlineStr"/>
      <c r="S3785" s="5" t="inlineStr"/>
      <c r="T3785" s="5" t="inlineStr">
        <is>
          <t>Assinatura Youtube Premium Lite Inclusa</t>
        </is>
      </c>
      <c r="U3785" s="5" t="inlineStr">
        <is>
          <t>https://vivo.com.br/para-voce/produtos-e-servicos/para-o-celular/planos-controle</t>
        </is>
      </c>
      <c r="V3785" s="5" t="inlineStr">
        <is>
          <t>data/raw/vivo_control_SP.html</t>
        </is>
      </c>
    </row>
    <row r="3786">
      <c r="A3786" s="2" t="inlineStr">
        <is>
          <t>2026-08-28</t>
        </is>
      </c>
      <c r="B3786" s="2" t="inlineStr">
        <is>
          <t>2026-08-28T02:04:32</t>
        </is>
      </c>
      <c r="C3786" s="2" t="inlineStr">
        <is>
          <t>vivo</t>
        </is>
      </c>
      <c r="D3786" s="2" t="inlineStr">
        <is>
          <t>lite</t>
        </is>
      </c>
      <c r="E3786" s="2" t="inlineStr">
        <is>
          <t>SP</t>
        </is>
      </c>
      <c r="F3786" s="2" t="inlineStr">
        <is>
          <t>Vivo Lite</t>
        </is>
      </c>
      <c r="G3786" s="2" t="inlineStr">
        <is>
          <t>vivo:VIV202600033987</t>
        </is>
      </c>
      <c r="H3786" s="3" t="n">
        <v>45</v>
      </c>
      <c r="I3786" s="3" t="n">
        <v>30</v>
      </c>
      <c r="J3786" s="2" t="inlineStr">
        <is>
          <t>preço sem fidelidade; fidelidade 12m no promo</t>
        </is>
      </c>
      <c r="K3786" s="2" t="inlineStr"/>
      <c r="L3786" s="4" t="n">
        <v>30</v>
      </c>
      <c r="M3786" s="2" t="inlineStr">
        <is>
          <t>30 GB de franquia</t>
        </is>
      </c>
      <c r="N3786" s="2" t="inlineStr"/>
      <c r="O3786" s="2" t="inlineStr"/>
      <c r="P3786" s="2" t="inlineStr"/>
      <c r="Q3786" s="2" t="inlineStr"/>
      <c r="R3786" s="2" t="inlineStr"/>
      <c r="S3786" s="2" t="n">
        <v>12</v>
      </c>
      <c r="T3786" s="2" t="inlineStr"/>
      <c r="U3786" s="2" t="inlineStr">
        <is>
          <t>https://vivo.com.br/para-voce/produtos-e-servicos/para-o-celular/easy-lite</t>
        </is>
      </c>
      <c r="V3786" s="2" t="inlineStr">
        <is>
          <t>data/raw/vivo_lite_SP.html</t>
        </is>
      </c>
    </row>
    <row r="3787">
      <c r="A3787" s="5" t="inlineStr">
        <is>
          <t>2026-08-28</t>
        </is>
      </c>
      <c r="B3787" s="5" t="inlineStr">
        <is>
          <t>2026-08-28T02:04:32</t>
        </is>
      </c>
      <c r="C3787" s="5" t="inlineStr">
        <is>
          <t>vivo</t>
        </is>
      </c>
      <c r="D3787" s="5" t="inlineStr">
        <is>
          <t>lite</t>
        </is>
      </c>
      <c r="E3787" s="5" t="inlineStr">
        <is>
          <t>SP</t>
        </is>
      </c>
      <c r="F3787" s="5" t="inlineStr">
        <is>
          <t>Vivo Lite</t>
        </is>
      </c>
      <c r="G3787" s="5" t="inlineStr">
        <is>
          <t>vivo:VIV202600033989</t>
        </is>
      </c>
      <c r="H3787" s="6" t="n">
        <v>55</v>
      </c>
      <c r="I3787" s="6" t="n">
        <v>40</v>
      </c>
      <c r="J3787" s="5" t="inlineStr">
        <is>
          <t>preço sem fidelidade; fidelidade 12m no promo</t>
        </is>
      </c>
      <c r="K3787" s="5" t="inlineStr"/>
      <c r="L3787" s="7" t="n">
        <v>40</v>
      </c>
      <c r="M3787" s="5" t="inlineStr">
        <is>
          <t>40 GB de franquia</t>
        </is>
      </c>
      <c r="N3787" s="5" t="inlineStr"/>
      <c r="O3787" s="5" t="inlineStr"/>
      <c r="P3787" s="5" t="inlineStr"/>
      <c r="Q3787" s="5" t="inlineStr"/>
      <c r="R3787" s="5" t="inlineStr"/>
      <c r="S3787" s="5" t="n">
        <v>12</v>
      </c>
      <c r="T3787" s="5" t="inlineStr"/>
      <c r="U3787" s="5" t="inlineStr">
        <is>
          <t>https://vivo.com.br/para-voce/produtos-e-servicos/para-o-celular/easy-lite</t>
        </is>
      </c>
      <c r="V3787" s="5" t="inlineStr">
        <is>
          <t>data/raw/vivo_lite_SP.html</t>
        </is>
      </c>
    </row>
    <row r="3788">
      <c r="A3788" s="2" t="inlineStr">
        <is>
          <t>2026-08-28</t>
        </is>
      </c>
      <c r="B3788" s="2" t="inlineStr">
        <is>
          <t>2026-08-28T02:04:32</t>
        </is>
      </c>
      <c r="C3788" s="2" t="inlineStr">
        <is>
          <t>vivo</t>
        </is>
      </c>
      <c r="D3788" s="2" t="inlineStr">
        <is>
          <t>lite</t>
        </is>
      </c>
      <c r="E3788" s="2" t="inlineStr">
        <is>
          <t>SP</t>
        </is>
      </c>
      <c r="F3788" s="2" t="inlineStr">
        <is>
          <t>Vivo Lite</t>
        </is>
      </c>
      <c r="G3788" s="2" t="inlineStr">
        <is>
          <t>vivo:VIV202600033992</t>
        </is>
      </c>
      <c r="H3788" s="3" t="n">
        <v>35</v>
      </c>
      <c r="I3788" s="3" t="inlineStr"/>
      <c r="J3788" s="2" t="inlineStr"/>
      <c r="K3788" s="2" t="inlineStr"/>
      <c r="L3788" s="4" t="n">
        <v>20</v>
      </c>
      <c r="M3788" s="2" t="inlineStr">
        <is>
          <t>20 GB de franquia</t>
        </is>
      </c>
      <c r="N3788" s="2" t="inlineStr"/>
      <c r="O3788" s="2" t="inlineStr"/>
      <c r="P3788" s="2" t="inlineStr"/>
      <c r="Q3788" s="2" t="inlineStr"/>
      <c r="R3788" s="2" t="inlineStr"/>
      <c r="S3788" s="2" t="inlineStr"/>
      <c r="T3788" s="2" t="inlineStr"/>
      <c r="U3788" s="2" t="inlineStr">
        <is>
          <t>https://vivo.com.br/para-voce/produtos-e-servicos/para-o-celular/easy-lite</t>
        </is>
      </c>
      <c r="V3788" s="2" t="inlineStr">
        <is>
          <t>data/raw/vivo_lite_SP.html</t>
        </is>
      </c>
    </row>
    <row r="3789">
      <c r="A3789" s="5" t="inlineStr">
        <is>
          <t>2026-08-28</t>
        </is>
      </c>
      <c r="B3789" s="5" t="inlineStr">
        <is>
          <t>2026-08-28T02:04:32</t>
        </is>
      </c>
      <c r="C3789" s="5" t="inlineStr">
        <is>
          <t>vivo</t>
        </is>
      </c>
      <c r="D3789" s="5" t="inlineStr">
        <is>
          <t>postpaid</t>
        </is>
      </c>
      <c r="E3789" s="5" t="inlineStr">
        <is>
          <t>SP</t>
        </is>
      </c>
      <c r="F3789" s="5" t="inlineStr">
        <is>
          <t>Vivo Família 2</t>
        </is>
      </c>
      <c r="G3789" s="5" t="inlineStr">
        <is>
          <t>vivo:VIV202600034547</t>
        </is>
      </c>
      <c r="H3789" s="6" t="n">
        <v>270</v>
      </c>
      <c r="I3789" s="6" t="inlineStr"/>
      <c r="J3789" s="5" t="inlineStr"/>
      <c r="K3789" s="5" t="inlineStr"/>
      <c r="L3789" s="7" t="n">
        <v>120</v>
      </c>
      <c r="M3789" s="5" t="inlineStr">
        <is>
          <t>120 GB de franquia Você + 1 linha adicional Roaming Internacional com Vivo Travel Américas e Europa</t>
        </is>
      </c>
      <c r="N3789" s="5" t="inlineStr"/>
      <c r="O3789" s="5" t="inlineStr"/>
      <c r="P3789" s="5" t="inlineStr"/>
      <c r="Q3789" s="5" t="inlineStr"/>
      <c r="R3789" s="5" t="inlineStr"/>
      <c r="S3789" s="5" t="inlineStr"/>
      <c r="T3789" s="5" t="inlineStr">
        <is>
          <t>12 meses grátis de Gemini com AI Plus</t>
        </is>
      </c>
      <c r="U3789" s="5" t="inlineStr">
        <is>
          <t>https://vivo.com.br/para-voce/produtos-e-servicos/para-o-celular/planos-pos-pago</t>
        </is>
      </c>
      <c r="V3789" s="5" t="inlineStr">
        <is>
          <t>data/raw/vivo_postpaid_SP.html</t>
        </is>
      </c>
    </row>
    <row r="3790">
      <c r="A3790" s="2" t="inlineStr">
        <is>
          <t>2026-08-28</t>
        </is>
      </c>
      <c r="B3790" s="2" t="inlineStr">
        <is>
          <t>2026-08-28T02:04:32</t>
        </is>
      </c>
      <c r="C3790" s="2" t="inlineStr">
        <is>
          <t>vivo</t>
        </is>
      </c>
      <c r="D3790" s="2" t="inlineStr">
        <is>
          <t>postpaid</t>
        </is>
      </c>
      <c r="E3790" s="2" t="inlineStr">
        <is>
          <t>SP</t>
        </is>
      </c>
      <c r="F3790" s="2" t="inlineStr">
        <is>
          <t>Vivo Família 3</t>
        </is>
      </c>
      <c r="G3790" s="2" t="inlineStr">
        <is>
          <t>vivo:VIV202600034540</t>
        </is>
      </c>
      <c r="H3790" s="3" t="n">
        <v>340</v>
      </c>
      <c r="I3790" s="3" t="inlineStr"/>
      <c r="J3790" s="2" t="inlineStr"/>
      <c r="K3790" s="2" t="inlineStr"/>
      <c r="L3790" s="4" t="n">
        <v>180</v>
      </c>
      <c r="M3790" s="2" t="inlineStr">
        <is>
          <t>180 GB de franquia Você + 2 linhas adicionais Roaming Internacional com Vivo Travel Américas e Europa</t>
        </is>
      </c>
      <c r="N3790" s="2" t="inlineStr"/>
      <c r="O3790" s="2" t="inlineStr"/>
      <c r="P3790" s="2" t="inlineStr"/>
      <c r="Q3790" s="2" t="inlineStr"/>
      <c r="R3790" s="2" t="inlineStr"/>
      <c r="S3790" s="2" t="inlineStr"/>
      <c r="T3790" s="2" t="inlineStr">
        <is>
          <t>12 meses grátis de Gemini com AI Plus</t>
        </is>
      </c>
      <c r="U3790" s="2" t="inlineStr">
        <is>
          <t>https://vivo.com.br/para-voce/produtos-e-servicos/para-o-celular/planos-pos-pago</t>
        </is>
      </c>
      <c r="V3790" s="2" t="inlineStr">
        <is>
          <t>data/raw/vivo_postpaid_SP.html</t>
        </is>
      </c>
    </row>
    <row r="3791">
      <c r="A3791" s="5" t="inlineStr">
        <is>
          <t>2026-08-28</t>
        </is>
      </c>
      <c r="B3791" s="5" t="inlineStr">
        <is>
          <t>2026-08-28T02:04:32</t>
        </is>
      </c>
      <c r="C3791" s="5" t="inlineStr">
        <is>
          <t>vivo</t>
        </is>
      </c>
      <c r="D3791" s="5" t="inlineStr">
        <is>
          <t>postpaid</t>
        </is>
      </c>
      <c r="E3791" s="5" t="inlineStr">
        <is>
          <t>SP</t>
        </is>
      </c>
      <c r="F3791" s="5" t="inlineStr">
        <is>
          <t>Vivo Família 4</t>
        </is>
      </c>
      <c r="G3791" s="5" t="inlineStr">
        <is>
          <t>vivo:VIV202600034531</t>
        </is>
      </c>
      <c r="H3791" s="6" t="n">
        <v>430</v>
      </c>
      <c r="I3791" s="6" t="inlineStr"/>
      <c r="J3791" s="5" t="inlineStr"/>
      <c r="K3791" s="5" t="inlineStr"/>
      <c r="L3791" s="7" t="n">
        <v>240</v>
      </c>
      <c r="M3791" s="5" t="inlineStr">
        <is>
          <t>240 GB de franquia Você + 3 linhas adicionais Roaming Internacional com Vivo Travel Américas e Europa</t>
        </is>
      </c>
      <c r="N3791" s="5" t="inlineStr"/>
      <c r="O3791" s="5" t="inlineStr"/>
      <c r="P3791" s="5" t="inlineStr"/>
      <c r="Q3791" s="5" t="inlineStr"/>
      <c r="R3791" s="5" t="inlineStr"/>
      <c r="S3791" s="5" t="inlineStr"/>
      <c r="T3791" s="5" t="inlineStr">
        <is>
          <t>12 meses grátis de Gemini com AI Plus</t>
        </is>
      </c>
      <c r="U3791" s="5" t="inlineStr">
        <is>
          <t>https://vivo.com.br/para-voce/produtos-e-servicos/para-o-celular/planos-pos-pago</t>
        </is>
      </c>
      <c r="V3791" s="5" t="inlineStr">
        <is>
          <t>data/raw/vivo_postpaid_SP.html</t>
        </is>
      </c>
    </row>
    <row r="3792">
      <c r="A3792" s="2" t="inlineStr">
        <is>
          <t>2026-08-28</t>
        </is>
      </c>
      <c r="B3792" s="2" t="inlineStr">
        <is>
          <t>2026-08-28T02:04:32</t>
        </is>
      </c>
      <c r="C3792" s="2" t="inlineStr">
        <is>
          <t>vivo</t>
        </is>
      </c>
      <c r="D3792" s="2" t="inlineStr">
        <is>
          <t>postpaid</t>
        </is>
      </c>
      <c r="E3792" s="2" t="inlineStr">
        <is>
          <t>SP</t>
        </is>
      </c>
      <c r="F3792" s="2" t="inlineStr">
        <is>
          <t>Vivo Família 5</t>
        </is>
      </c>
      <c r="G3792" s="2" t="inlineStr">
        <is>
          <t>vivo:VIV202600034526</t>
        </is>
      </c>
      <c r="H3792" s="3" t="n">
        <v>530</v>
      </c>
      <c r="I3792" s="3" t="inlineStr"/>
      <c r="J3792" s="2" t="inlineStr"/>
      <c r="K3792" s="2" t="inlineStr"/>
      <c r="L3792" s="4" t="n">
        <v>300</v>
      </c>
      <c r="M3792" s="2" t="inlineStr">
        <is>
          <t>300 GB de franquia Você + 4 linhas adicionais Roaming Internacional com Vivo Travel Américas e Europa</t>
        </is>
      </c>
      <c r="N3792" s="2" t="inlineStr"/>
      <c r="O3792" s="2" t="inlineStr"/>
      <c r="P3792" s="2" t="inlineStr"/>
      <c r="Q3792" s="2" t="inlineStr"/>
      <c r="R3792" s="2" t="inlineStr"/>
      <c r="S3792" s="2" t="inlineStr"/>
      <c r="T3792" s="2" t="inlineStr">
        <is>
          <t>12 meses grátis de Gemini com AI Plus</t>
        </is>
      </c>
      <c r="U3792" s="2" t="inlineStr">
        <is>
          <t>https://vivo.com.br/para-voce/produtos-e-servicos/para-o-celular/planos-pos-pago</t>
        </is>
      </c>
      <c r="V3792" s="2" t="inlineStr">
        <is>
          <t>data/raw/vivo_postpaid_SP.html</t>
        </is>
      </c>
    </row>
    <row r="3793">
      <c r="A3793" s="5" t="inlineStr">
        <is>
          <t>2026-08-28</t>
        </is>
      </c>
      <c r="B3793" s="5" t="inlineStr">
        <is>
          <t>2026-08-28T02:04:32</t>
        </is>
      </c>
      <c r="C3793" s="5" t="inlineStr">
        <is>
          <t>vivo</t>
        </is>
      </c>
      <c r="D3793" s="5" t="inlineStr">
        <is>
          <t>postpaid</t>
        </is>
      </c>
      <c r="E3793" s="5" t="inlineStr">
        <is>
          <t>SP</t>
        </is>
      </c>
      <c r="F3793" s="5" t="inlineStr">
        <is>
          <t>Vivo Pós com Amazon</t>
        </is>
      </c>
      <c r="G3793" s="5" t="inlineStr">
        <is>
          <t>vivo:VIV202600034554</t>
        </is>
      </c>
      <c r="H3793" s="6" t="n">
        <v>150</v>
      </c>
      <c r="I3793" s="6" t="inlineStr"/>
      <c r="J3793" s="5" t="inlineStr"/>
      <c r="K3793" s="5" t="inlineStr"/>
      <c r="L3793" s="7" t="n">
        <v>60</v>
      </c>
      <c r="M3793" s="5" t="inlineStr">
        <is>
          <t>50 GB de franquia 10 GB de bônus</t>
        </is>
      </c>
      <c r="N3793" s="5" t="inlineStr"/>
      <c r="O3793" s="5" t="inlineStr"/>
      <c r="P3793" s="5" t="inlineStr"/>
      <c r="Q3793" s="5" t="inlineStr"/>
      <c r="R3793" s="5" t="inlineStr"/>
      <c r="S3793" s="5" t="inlineStr"/>
      <c r="T3793" s="5" t="inlineStr">
        <is>
          <t>Assinatura Amazon Prime inclusa</t>
        </is>
      </c>
      <c r="U3793" s="5" t="inlineStr">
        <is>
          <t>https://vivo.com.br/para-voce/produtos-e-servicos/para-o-celular/planos-pos-pago</t>
        </is>
      </c>
      <c r="V3793" s="5" t="inlineStr">
        <is>
          <t>data/raw/vivo_postpaid_SP.html</t>
        </is>
      </c>
    </row>
    <row r="3794">
      <c r="A3794" s="2" t="inlineStr">
        <is>
          <t>2026-08-28</t>
        </is>
      </c>
      <c r="B3794" s="2" t="inlineStr">
        <is>
          <t>2026-08-28T02:04:32</t>
        </is>
      </c>
      <c r="C3794" s="2" t="inlineStr">
        <is>
          <t>vivo</t>
        </is>
      </c>
      <c r="D3794" s="2" t="inlineStr">
        <is>
          <t>postpaid</t>
        </is>
      </c>
      <c r="E3794" s="2" t="inlineStr">
        <is>
          <t>SP</t>
        </is>
      </c>
      <c r="F3794" s="2" t="inlineStr">
        <is>
          <t>Vivo Pós com Disney+</t>
        </is>
      </c>
      <c r="G3794" s="2" t="inlineStr">
        <is>
          <t>vivo:VIV202600034532</t>
        </is>
      </c>
      <c r="H3794" s="3" t="n">
        <v>180</v>
      </c>
      <c r="I3794" s="3" t="inlineStr"/>
      <c r="J3794" s="2" t="inlineStr"/>
      <c r="K3794" s="2" t="inlineStr"/>
      <c r="L3794" s="4" t="n">
        <v>60</v>
      </c>
      <c r="M3794" s="2" t="inlineStr">
        <is>
          <t>50 GB de franquia 10 GB de bônus</t>
        </is>
      </c>
      <c r="N3794" s="2" t="inlineStr"/>
      <c r="O3794" s="2" t="inlineStr"/>
      <c r="P3794" s="2" t="inlineStr"/>
      <c r="Q3794" s="2" t="inlineStr"/>
      <c r="R3794" s="2" t="inlineStr">
        <is>
          <t>Disney+</t>
        </is>
      </c>
      <c r="S3794" s="2" t="inlineStr"/>
      <c r="T3794" s="2" t="inlineStr">
        <is>
          <t>Assinatura Disney+ Padrão inclusa</t>
        </is>
      </c>
      <c r="U3794" s="2" t="inlineStr">
        <is>
          <t>https://vivo.com.br/para-voce/produtos-e-servicos/para-o-celular/planos-pos-pago</t>
        </is>
      </c>
      <c r="V3794" s="2" t="inlineStr">
        <is>
          <t>data/raw/vivo_postpaid_SP.html</t>
        </is>
      </c>
    </row>
    <row r="3795">
      <c r="A3795" s="5" t="inlineStr">
        <is>
          <t>2026-08-28</t>
        </is>
      </c>
      <c r="B3795" s="5" t="inlineStr">
        <is>
          <t>2026-08-28T02:04:32</t>
        </is>
      </c>
      <c r="C3795" s="5" t="inlineStr">
        <is>
          <t>vivo</t>
        </is>
      </c>
      <c r="D3795" s="5" t="inlineStr">
        <is>
          <t>postpaid</t>
        </is>
      </c>
      <c r="E3795" s="5" t="inlineStr">
        <is>
          <t>SP</t>
        </is>
      </c>
      <c r="F3795" s="5" t="inlineStr">
        <is>
          <t>Vivo Pós com Globoplay</t>
        </is>
      </c>
      <c r="G3795" s="5" t="inlineStr">
        <is>
          <t>vivo:VIV202600034575</t>
        </is>
      </c>
      <c r="H3795" s="6" t="n">
        <v>165</v>
      </c>
      <c r="I3795" s="6" t="inlineStr"/>
      <c r="J3795" s="5" t="inlineStr"/>
      <c r="K3795" s="5" t="inlineStr"/>
      <c r="L3795" s="7" t="n">
        <v>60</v>
      </c>
      <c r="M3795" s="5" t="inlineStr">
        <is>
          <t>50 GB de franquia 10 GB de bônus</t>
        </is>
      </c>
      <c r="N3795" s="5" t="inlineStr"/>
      <c r="O3795" s="5" t="inlineStr"/>
      <c r="P3795" s="5" t="inlineStr"/>
      <c r="Q3795" s="5" t="inlineStr"/>
      <c r="R3795" s="5" t="inlineStr">
        <is>
          <t>Globoplay</t>
        </is>
      </c>
      <c r="S3795" s="5" t="inlineStr"/>
      <c r="T3795" s="5" t="inlineStr">
        <is>
          <t>Assinatura Globoplay inclusa</t>
        </is>
      </c>
      <c r="U3795" s="5" t="inlineStr">
        <is>
          <t>https://vivo.com.br/para-voce/produtos-e-servicos/para-o-celular/planos-pos-pago</t>
        </is>
      </c>
      <c r="V3795" s="5" t="inlineStr">
        <is>
          <t>data/raw/vivo_postpaid_SP.html</t>
        </is>
      </c>
    </row>
    <row r="3796">
      <c r="A3796" s="2" t="inlineStr">
        <is>
          <t>2026-08-28</t>
        </is>
      </c>
      <c r="B3796" s="2" t="inlineStr">
        <is>
          <t>2026-08-28T02:04:32</t>
        </is>
      </c>
      <c r="C3796" s="2" t="inlineStr">
        <is>
          <t>vivo</t>
        </is>
      </c>
      <c r="D3796" s="2" t="inlineStr">
        <is>
          <t>postpaid</t>
        </is>
      </c>
      <c r="E3796" s="2" t="inlineStr">
        <is>
          <t>SP</t>
        </is>
      </c>
      <c r="F3796" s="2" t="inlineStr">
        <is>
          <t>Vivo Pós com Netflix</t>
        </is>
      </c>
      <c r="G3796" s="2" t="inlineStr">
        <is>
          <t>vivo:VIV202600034562</t>
        </is>
      </c>
      <c r="H3796" s="3" t="n">
        <v>180</v>
      </c>
      <c r="I3796" s="3" t="inlineStr"/>
      <c r="J3796" s="2" t="inlineStr"/>
      <c r="K3796" s="2" t="inlineStr"/>
      <c r="L3796" s="4" t="n">
        <v>60</v>
      </c>
      <c r="M3796" s="2" t="inlineStr">
        <is>
          <t>50 GB de franquia 10 GB de bônus</t>
        </is>
      </c>
      <c r="N3796" s="2" t="inlineStr"/>
      <c r="O3796" s="2" t="inlineStr"/>
      <c r="P3796" s="2" t="inlineStr"/>
      <c r="Q3796" s="2" t="inlineStr"/>
      <c r="R3796" s="2" t="inlineStr">
        <is>
          <t>Netflix</t>
        </is>
      </c>
      <c r="S3796" s="2" t="inlineStr"/>
      <c r="T3796" s="2" t="inlineStr">
        <is>
          <t>Assinatura Netflix Padrão inclusa</t>
        </is>
      </c>
      <c r="U3796" s="2" t="inlineStr">
        <is>
          <t>https://vivo.com.br/para-voce/produtos-e-servicos/para-o-celular/planos-pos-pago</t>
        </is>
      </c>
      <c r="V3796" s="2" t="inlineStr">
        <is>
          <t>data/raw/vivo_postpaid_SP.html</t>
        </is>
      </c>
    </row>
    <row r="3797">
      <c r="A3797" s="5" t="inlineStr">
        <is>
          <t>2026-08-28</t>
        </is>
      </c>
      <c r="B3797" s="5" t="inlineStr">
        <is>
          <t>2026-08-28T02:04:32</t>
        </is>
      </c>
      <c r="C3797" s="5" t="inlineStr">
        <is>
          <t>vivo</t>
        </is>
      </c>
      <c r="D3797" s="5" t="inlineStr">
        <is>
          <t>postpaid</t>
        </is>
      </c>
      <c r="E3797" s="5" t="inlineStr">
        <is>
          <t>SP</t>
        </is>
      </c>
      <c r="F3797" s="5" t="inlineStr">
        <is>
          <t>Vivo Pós com Premiere</t>
        </is>
      </c>
      <c r="G3797" s="5" t="inlineStr">
        <is>
          <t>vivo:VIV202600034579</t>
        </is>
      </c>
      <c r="H3797" s="6" t="n">
        <v>180</v>
      </c>
      <c r="I3797" s="6" t="inlineStr"/>
      <c r="J3797" s="5" t="inlineStr"/>
      <c r="K3797" s="5" t="inlineStr"/>
      <c r="L3797" s="7" t="n">
        <v>60</v>
      </c>
      <c r="M3797" s="5" t="inlineStr">
        <is>
          <t>50 GB de franquia 10 GB de bônus</t>
        </is>
      </c>
      <c r="N3797" s="5" t="inlineStr"/>
      <c r="O3797" s="5" t="inlineStr"/>
      <c r="P3797" s="5" t="inlineStr"/>
      <c r="Q3797" s="5" t="inlineStr"/>
      <c r="R3797" s="5" t="inlineStr">
        <is>
          <t>Premiere</t>
        </is>
      </c>
      <c r="S3797" s="5" t="inlineStr"/>
      <c r="T3797" s="5" t="inlineStr">
        <is>
          <t>Assinatura Premiere inclusa</t>
        </is>
      </c>
      <c r="U3797" s="5" t="inlineStr">
        <is>
          <t>https://vivo.com.br/para-voce/produtos-e-servicos/para-o-celular/planos-pos-pago</t>
        </is>
      </c>
      <c r="V3797" s="5" t="inlineStr">
        <is>
          <t>data/raw/vivo_postpaid_SP.html</t>
        </is>
      </c>
    </row>
    <row r="3798">
      <c r="A3798" s="2" t="inlineStr">
        <is>
          <t>2026-08-28</t>
        </is>
      </c>
      <c r="B3798" s="2" t="inlineStr">
        <is>
          <t>2026-08-28T02:04:32</t>
        </is>
      </c>
      <c r="C3798" s="2" t="inlineStr">
        <is>
          <t>vivo</t>
        </is>
      </c>
      <c r="D3798" s="2" t="inlineStr">
        <is>
          <t>postpaid</t>
        </is>
      </c>
      <c r="E3798" s="2" t="inlineStr">
        <is>
          <t>SP</t>
        </is>
      </c>
      <c r="F3798" s="2" t="inlineStr">
        <is>
          <t>Vivo Pós com Spotify</t>
        </is>
      </c>
      <c r="G3798" s="2" t="inlineStr">
        <is>
          <t>vivo:VIV202600034556</t>
        </is>
      </c>
      <c r="H3798" s="3" t="n">
        <v>165</v>
      </c>
      <c r="I3798" s="3" t="inlineStr"/>
      <c r="J3798" s="2" t="inlineStr"/>
      <c r="K3798" s="2" t="inlineStr"/>
      <c r="L3798" s="4" t="n">
        <v>60</v>
      </c>
      <c r="M3798" s="2" t="inlineStr">
        <is>
          <t>50 GB de franquia 10 GB de bônus</t>
        </is>
      </c>
      <c r="N3798" s="2" t="inlineStr"/>
      <c r="O3798" s="2" t="inlineStr"/>
      <c r="P3798" s="2" t="inlineStr"/>
      <c r="Q3798" s="2" t="inlineStr"/>
      <c r="R3798" s="2" t="inlineStr">
        <is>
          <t>Spotify</t>
        </is>
      </c>
      <c r="S3798" s="2" t="inlineStr"/>
      <c r="T3798" s="2" t="inlineStr">
        <is>
          <t>Assinatura Spotify Premium inclusa</t>
        </is>
      </c>
      <c r="U3798" s="2" t="inlineStr">
        <is>
          <t>https://vivo.com.br/para-voce/produtos-e-servicos/para-o-celular/planos-pos-pago</t>
        </is>
      </c>
      <c r="V3798" s="2" t="inlineStr">
        <is>
          <t>data/raw/vivo_postpaid_SP.html</t>
        </is>
      </c>
    </row>
    <row r="3799">
      <c r="A3799" s="5" t="inlineStr">
        <is>
          <t>2026-08-28</t>
        </is>
      </c>
      <c r="B3799" s="5" t="inlineStr">
        <is>
          <t>2026-08-28T02:04:32</t>
        </is>
      </c>
      <c r="C3799" s="5" t="inlineStr">
        <is>
          <t>vivo</t>
        </is>
      </c>
      <c r="D3799" s="5" t="inlineStr">
        <is>
          <t>postpaid</t>
        </is>
      </c>
      <c r="E3799" s="5" t="inlineStr">
        <is>
          <t>SP</t>
        </is>
      </c>
      <c r="F3799" s="5" t="inlineStr">
        <is>
          <t>Vivo Pós com Travel</t>
        </is>
      </c>
      <c r="G3799" s="5" t="inlineStr">
        <is>
          <t>vivo:VIV202600034573</t>
        </is>
      </c>
      <c r="H3799" s="6" t="n">
        <v>215</v>
      </c>
      <c r="I3799" s="6" t="inlineStr"/>
      <c r="J3799" s="5" t="inlineStr"/>
      <c r="K3799" s="5" t="inlineStr"/>
      <c r="L3799" s="7" t="n">
        <v>70</v>
      </c>
      <c r="M3799" s="5" t="inlineStr">
        <is>
          <t>60 GB de franquia 10 GB de bônus</t>
        </is>
      </c>
      <c r="N3799" s="5" t="inlineStr"/>
      <c r="O3799" s="5" t="inlineStr"/>
      <c r="P3799" s="5" t="inlineStr"/>
      <c r="Q3799" s="5" t="inlineStr"/>
      <c r="R3799" s="5" t="inlineStr"/>
      <c r="S3799" s="5" t="inlineStr"/>
      <c r="T3799" s="5" t="inlineStr">
        <is>
          <t>6 meses grátis de Gemini com AI Plus</t>
        </is>
      </c>
      <c r="U3799" s="5" t="inlineStr">
        <is>
          <t>https://vivo.com.br/para-voce/produtos-e-servicos/para-o-celular/planos-pos-pago</t>
        </is>
      </c>
      <c r="V3799" s="5" t="inlineStr">
        <is>
          <t>data/raw/vivo_postpaid_SP.html</t>
        </is>
      </c>
    </row>
    <row r="3800">
      <c r="A3800" s="2" t="inlineStr">
        <is>
          <t>2026-08-28</t>
        </is>
      </c>
      <c r="B3800" s="2" t="inlineStr">
        <is>
          <t>2026-08-28T02:04:32</t>
        </is>
      </c>
      <c r="C3800" s="2" t="inlineStr">
        <is>
          <t>vivo</t>
        </is>
      </c>
      <c r="D3800" s="2" t="inlineStr">
        <is>
          <t>prepaid</t>
        </is>
      </c>
      <c r="E3800" s="2" t="inlineStr">
        <is>
          <t>SP</t>
        </is>
      </c>
      <c r="F3800" s="2" t="inlineStr">
        <is>
          <t>Vivo Pré</t>
        </is>
      </c>
      <c r="G3800" s="2" t="inlineStr">
        <is>
          <t>vivo:VIV202600029370-30d</t>
        </is>
      </c>
      <c r="H3800" s="3" t="n">
        <v>30</v>
      </c>
      <c r="I3800" s="3" t="inlineStr"/>
      <c r="J3800" s="2" t="inlineStr"/>
      <c r="K3800" s="2" t="inlineStr"/>
      <c r="L3800" s="4" t="n">
        <v>25</v>
      </c>
      <c r="M3800" s="2" t="inlineStr">
        <is>
          <t>15 GB para navegar como quiser 5 GB de bônus 5 GB para navegar no Youtube</t>
        </is>
      </c>
      <c r="N3800" s="2" t="n">
        <v>30</v>
      </c>
      <c r="O3800" s="2" t="inlineStr"/>
      <c r="P3800" s="2" t="inlineStr"/>
      <c r="Q3800" s="2" t="inlineStr"/>
      <c r="R3800" s="2" t="inlineStr"/>
      <c r="S3800" s="2" t="inlineStr"/>
      <c r="T3800" s="2" t="inlineStr"/>
      <c r="U3800" s="2" t="inlineStr">
        <is>
          <t>https://vivo.com.br/para-voce/produtos-e-servicos/para-o-celular/pre-pago/vivo-pre</t>
        </is>
      </c>
      <c r="V3800" s="2" t="inlineStr">
        <is>
          <t>data/raw/vivo_prepaid_SP.html</t>
        </is>
      </c>
    </row>
    <row r="3801">
      <c r="A3801" s="5" t="inlineStr">
        <is>
          <t>2026-08-28</t>
        </is>
      </c>
      <c r="B3801" s="5" t="inlineStr">
        <is>
          <t>2026-08-28T02:04:32</t>
        </is>
      </c>
      <c r="C3801" s="5" t="inlineStr">
        <is>
          <t>vivo</t>
        </is>
      </c>
      <c r="D3801" s="5" t="inlineStr">
        <is>
          <t>prepaid</t>
        </is>
      </c>
      <c r="E3801" s="5" t="inlineStr">
        <is>
          <t>SP</t>
        </is>
      </c>
      <c r="F3801" s="5" t="inlineStr">
        <is>
          <t>Vivo Pré</t>
        </is>
      </c>
      <c r="G3801" s="5" t="inlineStr">
        <is>
          <t>vivo:VIV202600029370-22d</t>
        </is>
      </c>
      <c r="H3801" s="6" t="n">
        <v>25</v>
      </c>
      <c r="I3801" s="6" t="inlineStr"/>
      <c r="J3801" s="5" t="inlineStr"/>
      <c r="K3801" s="5" t="inlineStr"/>
      <c r="L3801" s="7" t="n">
        <v>9</v>
      </c>
      <c r="M3801" s="5" t="inlineStr">
        <is>
          <t>6 GB para navegar como quiser 3 GB para navegar no YouTube</t>
        </is>
      </c>
      <c r="N3801" s="5" t="n">
        <v>22</v>
      </c>
      <c r="O3801" s="5" t="inlineStr"/>
      <c r="P3801" s="5" t="inlineStr"/>
      <c r="Q3801" s="5" t="inlineStr"/>
      <c r="R3801" s="5" t="inlineStr"/>
      <c r="S3801" s="5" t="inlineStr"/>
      <c r="T3801" s="5" t="inlineStr"/>
      <c r="U3801" s="5" t="inlineStr">
        <is>
          <t>https://vivo.com.br/para-voce/produtos-e-servicos/para-o-celular/pre-pago/vivo-pre</t>
        </is>
      </c>
      <c r="V3801" s="5" t="inlineStr">
        <is>
          <t>data/raw/vivo_prepaid_SP.html</t>
        </is>
      </c>
    </row>
    <row r="3802">
      <c r="A3802" s="2" t="inlineStr">
        <is>
          <t>2026-08-28</t>
        </is>
      </c>
      <c r="B3802" s="2" t="inlineStr">
        <is>
          <t>2026-08-28T02:04:32</t>
        </is>
      </c>
      <c r="C3802" s="2" t="inlineStr">
        <is>
          <t>vivo</t>
        </is>
      </c>
      <c r="D3802" s="2" t="inlineStr">
        <is>
          <t>prepaid</t>
        </is>
      </c>
      <c r="E3802" s="2" t="inlineStr">
        <is>
          <t>SP</t>
        </is>
      </c>
      <c r="F3802" s="2" t="inlineStr">
        <is>
          <t>Vivo Pré</t>
        </is>
      </c>
      <c r="G3802" s="2" t="inlineStr">
        <is>
          <t>vivo:VIV202600029370-17d</t>
        </is>
      </c>
      <c r="H3802" s="3" t="n">
        <v>20</v>
      </c>
      <c r="I3802" s="3" t="inlineStr"/>
      <c r="J3802" s="2" t="inlineStr"/>
      <c r="K3802" s="2" t="inlineStr"/>
      <c r="L3802" s="4" t="n">
        <v>5</v>
      </c>
      <c r="M3802" s="2" t="inlineStr">
        <is>
          <t>5 GB para navegar como quiser</t>
        </is>
      </c>
      <c r="N3802" s="2" t="n">
        <v>17</v>
      </c>
      <c r="O3802" s="2" t="inlineStr"/>
      <c r="P3802" s="2" t="inlineStr"/>
      <c r="Q3802" s="2" t="inlineStr"/>
      <c r="R3802" s="2" t="inlineStr"/>
      <c r="S3802" s="2" t="inlineStr"/>
      <c r="T3802" s="2" t="inlineStr"/>
      <c r="U3802" s="2" t="inlineStr">
        <is>
          <t>https://vivo.com.br/para-voce/produtos-e-servicos/para-o-celular/pre-pago/vivo-pre</t>
        </is>
      </c>
      <c r="V3802" s="2" t="inlineStr">
        <is>
          <t>data/raw/vivo_prepaid_SP.html</t>
        </is>
      </c>
    </row>
    <row r="3803">
      <c r="A3803" s="5" t="inlineStr">
        <is>
          <t>2026-08-28</t>
        </is>
      </c>
      <c r="B3803" s="5" t="inlineStr">
        <is>
          <t>2026-08-28T02:04:32</t>
        </is>
      </c>
      <c r="C3803" s="5" t="inlineStr">
        <is>
          <t>vivo</t>
        </is>
      </c>
      <c r="D3803" s="5" t="inlineStr">
        <is>
          <t>prepaid</t>
        </is>
      </c>
      <c r="E3803" s="5" t="inlineStr">
        <is>
          <t>SP</t>
        </is>
      </c>
      <c r="F3803" s="5" t="inlineStr">
        <is>
          <t>Vivo Pré</t>
        </is>
      </c>
      <c r="G3803" s="5" t="inlineStr">
        <is>
          <t>vivo:VIV202600029370-15d</t>
        </is>
      </c>
      <c r="H3803" s="6" t="n">
        <v>17</v>
      </c>
      <c r="I3803" s="6" t="inlineStr"/>
      <c r="J3803" s="5" t="inlineStr"/>
      <c r="K3803" s="5" t="inlineStr"/>
      <c r="L3803" s="7" t="n">
        <v>4</v>
      </c>
      <c r="M3803" s="5" t="inlineStr">
        <is>
          <t>4 GB para navegar como quiser</t>
        </is>
      </c>
      <c r="N3803" s="5" t="n">
        <v>15</v>
      </c>
      <c r="O3803" s="5" t="inlineStr"/>
      <c r="P3803" s="5" t="inlineStr"/>
      <c r="Q3803" s="5" t="inlineStr"/>
      <c r="R3803" s="5" t="inlineStr"/>
      <c r="S3803" s="5" t="inlineStr"/>
      <c r="T3803" s="5" t="inlineStr"/>
      <c r="U3803" s="5" t="inlineStr">
        <is>
          <t>https://vivo.com.br/para-voce/produtos-e-servicos/para-o-celular/pre-pago/vivo-pre</t>
        </is>
      </c>
      <c r="V3803" s="5" t="inlineStr">
        <is>
          <t>data/raw/vivo_prepaid_SP.html</t>
        </is>
      </c>
    </row>
    <row r="3804">
      <c r="A3804" s="2" t="inlineStr">
        <is>
          <t>2026-08-29</t>
        </is>
      </c>
      <c r="B3804" s="2" t="inlineStr">
        <is>
          <t>2026-08-29T19:58:27</t>
        </is>
      </c>
      <c r="C3804" s="2" t="inlineStr">
        <is>
          <t>claro</t>
        </is>
      </c>
      <c r="D3804" s="2" t="inlineStr">
        <is>
          <t>control</t>
        </is>
      </c>
      <c r="E3804" s="2" t="inlineStr">
        <is>
          <t>SP</t>
        </is>
      </c>
      <c r="F3804" s="2" t="inlineStr">
        <is>
          <t>Controle 25GB</t>
        </is>
      </c>
      <c r="G3804" s="2" t="inlineStr">
        <is>
          <t>claro:plano-controle-25gb</t>
        </is>
      </c>
      <c r="H3804" s="3" t="n">
        <v>59.9</v>
      </c>
      <c r="I3804" s="3" t="n">
        <v>54.9</v>
      </c>
      <c r="J3804" s="2" t="inlineStr">
        <is>
          <t>De R$ 59,90 Por:</t>
        </is>
      </c>
      <c r="K3804" s="2" t="inlineStr"/>
      <c r="L3804" s="4" t="n">
        <v>25</v>
      </c>
      <c r="M3804" s="2" t="inlineStr"/>
      <c r="N3804" s="2" t="inlineStr"/>
      <c r="O3804" s="2" t="inlineStr">
        <is>
          <t>WhatsApp</t>
        </is>
      </c>
      <c r="P3804" s="2" t="inlineStr"/>
      <c r="Q3804" s="2" t="inlineStr"/>
      <c r="R3804" s="2" t="inlineStr"/>
      <c r="S3804" s="2" t="inlineStr"/>
      <c r="T3804" s="2" t="inlineStr">
        <is>
          <t>Para uso livre; Para redes sociais e vídeos; Bônus exclusivo; Aproveite na sua franquia; WhatsApp e ligações ilimitadas</t>
        </is>
      </c>
      <c r="U3804" s="2" t="inlineStr">
        <is>
          <t>https://www.claro.com.br/celular/controle</t>
        </is>
      </c>
      <c r="V3804" s="2" t="inlineStr">
        <is>
          <t>data/raw/claro_control_SP.json</t>
        </is>
      </c>
    </row>
    <row r="3805">
      <c r="A3805" s="5" t="inlineStr">
        <is>
          <t>2026-08-29</t>
        </is>
      </c>
      <c r="B3805" s="5" t="inlineStr">
        <is>
          <t>2026-08-29T19:58:27</t>
        </is>
      </c>
      <c r="C3805" s="5" t="inlineStr">
        <is>
          <t>claro</t>
        </is>
      </c>
      <c r="D3805" s="5" t="inlineStr">
        <is>
          <t>control</t>
        </is>
      </c>
      <c r="E3805" s="5" t="inlineStr">
        <is>
          <t>SP</t>
        </is>
      </c>
      <c r="F3805" s="5" t="inlineStr">
        <is>
          <t>Controle 30GB</t>
        </is>
      </c>
      <c r="G3805" s="5" t="inlineStr">
        <is>
          <t>claro:plano-controle-30gb</t>
        </is>
      </c>
      <c r="H3805" s="6" t="n">
        <v>69.90000000000001</v>
      </c>
      <c r="I3805" s="6" t="inlineStr"/>
      <c r="J3805" s="5" t="inlineStr"/>
      <c r="K3805" s="5" t="inlineStr"/>
      <c r="L3805" s="7" t="n">
        <v>30</v>
      </c>
      <c r="M3805" s="5" t="inlineStr"/>
      <c r="N3805" s="5" t="inlineStr"/>
      <c r="O3805" s="5" t="inlineStr">
        <is>
          <t>WhatsApp</t>
        </is>
      </c>
      <c r="P3805" s="5" t="inlineStr"/>
      <c r="Q3805" s="5" t="inlineStr"/>
      <c r="R3805" s="5" t="inlineStr"/>
      <c r="S3805" s="5" t="inlineStr"/>
      <c r="T3805" s="5" t="inlineStr">
        <is>
          <t>Para uso livre; Bônus para uso livre; Bônus para redes sociais e apps; Assinatura Amazon Prime por 3 meses; Redes sociais e apps; WhatsApp ilimitado</t>
        </is>
      </c>
      <c r="U3805" s="5" t="inlineStr">
        <is>
          <t>https://www.claro.com.br/celular/controle</t>
        </is>
      </c>
      <c r="V3805" s="5" t="inlineStr">
        <is>
          <t>data/raw/claro_control_SP.json</t>
        </is>
      </c>
    </row>
    <row r="3806">
      <c r="A3806" s="2" t="inlineStr">
        <is>
          <t>2026-08-29</t>
        </is>
      </c>
      <c r="B3806" s="2" t="inlineStr">
        <is>
          <t>2026-08-29T19:58:27</t>
        </is>
      </c>
      <c r="C3806" s="2" t="inlineStr">
        <is>
          <t>claro</t>
        </is>
      </c>
      <c r="D3806" s="2" t="inlineStr">
        <is>
          <t>control</t>
        </is>
      </c>
      <c r="E3806" s="2" t="inlineStr">
        <is>
          <t>SP</t>
        </is>
      </c>
      <c r="F3806" s="2" t="inlineStr">
        <is>
          <t>Controle 30GB</t>
        </is>
      </c>
      <c r="G3806" s="2" t="inlineStr">
        <is>
          <t>claro:plano-controle-30gb-gaming</t>
        </is>
      </c>
      <c r="H3806" s="3" t="n">
        <v>99.90000000000001</v>
      </c>
      <c r="I3806" s="3" t="inlineStr"/>
      <c r="J3806" s="2" t="inlineStr"/>
      <c r="K3806" s="2" t="inlineStr"/>
      <c r="L3806" s="4" t="n">
        <v>30</v>
      </c>
      <c r="M3806" s="2" t="inlineStr"/>
      <c r="N3806" s="2" t="inlineStr"/>
      <c r="O3806" s="2" t="inlineStr">
        <is>
          <t>WhatsApp</t>
        </is>
      </c>
      <c r="P3806" s="2" t="inlineStr"/>
      <c r="Q3806" s="2" t="inlineStr"/>
      <c r="R3806" s="2" t="inlineStr"/>
      <c r="S3806" s="2" t="inlineStr"/>
      <c r="T3806" s="2" t="inlineStr">
        <is>
          <t>Para uso livre; Bônus para redes sociais e apps; Bônus uso livre; Assinatura Amazon Prime por 3 meses; Redes sociais e apps; WhatsApp ilimitado</t>
        </is>
      </c>
      <c r="U3806" s="2" t="inlineStr">
        <is>
          <t>https://www.claro.com.br/celular/controle</t>
        </is>
      </c>
      <c r="V3806" s="2" t="inlineStr">
        <is>
          <t>data/raw/claro_control_SP.json</t>
        </is>
      </c>
    </row>
    <row r="3807">
      <c r="A3807" s="5" t="inlineStr">
        <is>
          <t>2026-08-29</t>
        </is>
      </c>
      <c r="B3807" s="5" t="inlineStr">
        <is>
          <t>2026-08-29T19:58:27</t>
        </is>
      </c>
      <c r="C3807" s="5" t="inlineStr">
        <is>
          <t>claro</t>
        </is>
      </c>
      <c r="D3807" s="5" t="inlineStr">
        <is>
          <t>flex</t>
        </is>
      </c>
      <c r="E3807" s="5" t="inlineStr">
        <is>
          <t>SP</t>
        </is>
      </c>
      <c r="F3807" s="5" t="inlineStr">
        <is>
          <t>Flex 15GB</t>
        </is>
      </c>
      <c r="G3807" s="5" t="inlineStr">
        <is>
          <t>claro:plano-flex-15gb</t>
        </is>
      </c>
      <c r="H3807" s="6" t="n">
        <v>44.9</v>
      </c>
      <c r="I3807" s="6" t="inlineStr"/>
      <c r="J3807" s="5" t="inlineStr"/>
      <c r="K3807" s="5" t="inlineStr"/>
      <c r="L3807" s="7" t="n">
        <v>15</v>
      </c>
      <c r="M3807" s="5" t="inlineStr"/>
      <c r="N3807" s="5" t="inlineStr"/>
      <c r="O3807" s="5" t="inlineStr">
        <is>
          <t>WhatsApp</t>
        </is>
      </c>
      <c r="P3807" s="5" t="inlineStr"/>
      <c r="Q3807" s="5" t="inlineStr"/>
      <c r="R3807" s="5" t="inlineStr"/>
      <c r="S3807" s="5" t="inlineStr"/>
      <c r="T3807" s="5" t="inlineStr">
        <is>
          <t>Para uso livre; Bônus Pais para uso livre; Para redes sociais e apps; Bônus extra nos apps; WhatsApp ilimitado</t>
        </is>
      </c>
      <c r="U3807" s="5" t="inlineStr">
        <is>
          <t>https://www.claro.com.br/celular/flex</t>
        </is>
      </c>
      <c r="V3807" s="5" t="inlineStr">
        <is>
          <t>data/raw/claro_flex_SP.json</t>
        </is>
      </c>
    </row>
    <row r="3808">
      <c r="A3808" s="2" t="inlineStr">
        <is>
          <t>2026-08-29</t>
        </is>
      </c>
      <c r="B3808" s="2" t="inlineStr">
        <is>
          <t>2026-08-29T19:58:27</t>
        </is>
      </c>
      <c r="C3808" s="2" t="inlineStr">
        <is>
          <t>claro</t>
        </is>
      </c>
      <c r="D3808" s="2" t="inlineStr">
        <is>
          <t>flex</t>
        </is>
      </c>
      <c r="E3808" s="2" t="inlineStr">
        <is>
          <t>SP</t>
        </is>
      </c>
      <c r="F3808" s="2" t="inlineStr">
        <is>
          <t>Flex 20GB</t>
        </is>
      </c>
      <c r="G3808" s="2" t="inlineStr">
        <is>
          <t>claro:plano-flex-20gb</t>
        </is>
      </c>
      <c r="H3808" s="3" t="n">
        <v>59.9</v>
      </c>
      <c r="I3808" s="3" t="inlineStr"/>
      <c r="J3808" s="2" t="inlineStr"/>
      <c r="K3808" s="2" t="inlineStr"/>
      <c r="L3808" s="4" t="n">
        <v>20</v>
      </c>
      <c r="M3808" s="2" t="inlineStr"/>
      <c r="N3808" s="2" t="inlineStr"/>
      <c r="O3808" s="2" t="inlineStr">
        <is>
          <t>WhatsApp</t>
        </is>
      </c>
      <c r="P3808" s="2" t="inlineStr"/>
      <c r="Q3808" s="2" t="inlineStr"/>
      <c r="R3808" s="2" t="inlineStr"/>
      <c r="S3808" s="2" t="inlineStr"/>
      <c r="T3808" s="2" t="inlineStr">
        <is>
          <t>Para uso livre; Bônus Pais para uso livre; Para redes sociais e apps; Bônus extra nos apps; WhatsApp ilimitado</t>
        </is>
      </c>
      <c r="U3808" s="2" t="inlineStr">
        <is>
          <t>https://www.claro.com.br/celular/flex</t>
        </is>
      </c>
      <c r="V3808" s="2" t="inlineStr">
        <is>
          <t>data/raw/claro_flex_SP.json</t>
        </is>
      </c>
    </row>
    <row r="3809">
      <c r="A3809" s="5" t="inlineStr">
        <is>
          <t>2026-08-29</t>
        </is>
      </c>
      <c r="B3809" s="5" t="inlineStr">
        <is>
          <t>2026-08-29T19:58:27</t>
        </is>
      </c>
      <c r="C3809" s="5" t="inlineStr">
        <is>
          <t>claro</t>
        </is>
      </c>
      <c r="D3809" s="5" t="inlineStr">
        <is>
          <t>flex</t>
        </is>
      </c>
      <c r="E3809" s="5" t="inlineStr">
        <is>
          <t>SP</t>
        </is>
      </c>
      <c r="F3809" s="5" t="inlineStr">
        <is>
          <t>Flex 30GB</t>
        </is>
      </c>
      <c r="G3809" s="5" t="inlineStr">
        <is>
          <t>claro:plano-flex-30gb</t>
        </is>
      </c>
      <c r="H3809" s="6" t="n">
        <v>69.90000000000001</v>
      </c>
      <c r="I3809" s="6" t="inlineStr"/>
      <c r="J3809" s="5" t="inlineStr"/>
      <c r="K3809" s="5" t="inlineStr"/>
      <c r="L3809" s="7" t="n">
        <v>30</v>
      </c>
      <c r="M3809" s="5" t="inlineStr"/>
      <c r="N3809" s="5" t="inlineStr"/>
      <c r="O3809" s="5" t="inlineStr">
        <is>
          <t>WhatsApp</t>
        </is>
      </c>
      <c r="P3809" s="5" t="inlineStr"/>
      <c r="Q3809" s="5" t="inlineStr"/>
      <c r="R3809" s="5" t="inlineStr"/>
      <c r="S3809" s="5" t="inlineStr"/>
      <c r="T3809" s="5" t="inlineStr">
        <is>
          <t>Para uso livre; Bônus Pais para uso livre; Para redes sociais e apps; Bônus extra nos apps; WhatsApp ilimitado; Assinatura Claro musica inclusa</t>
        </is>
      </c>
      <c r="U3809" s="5" t="inlineStr">
        <is>
          <t>https://www.claro.com.br/celular/flex</t>
        </is>
      </c>
      <c r="V3809" s="5" t="inlineStr">
        <is>
          <t>data/raw/claro_flex_SP.json</t>
        </is>
      </c>
    </row>
    <row r="3810">
      <c r="A3810" s="2" t="inlineStr">
        <is>
          <t>2026-08-29</t>
        </is>
      </c>
      <c r="B3810" s="2" t="inlineStr">
        <is>
          <t>2026-08-29T19:58:27</t>
        </is>
      </c>
      <c r="C3810" s="2" t="inlineStr">
        <is>
          <t>claro</t>
        </is>
      </c>
      <c r="D3810" s="2" t="inlineStr">
        <is>
          <t>flex</t>
        </is>
      </c>
      <c r="E3810" s="2" t="inlineStr">
        <is>
          <t>SP</t>
        </is>
      </c>
      <c r="F3810" s="2" t="inlineStr">
        <is>
          <t>Flex 40GB</t>
        </is>
      </c>
      <c r="G3810" s="2" t="inlineStr">
        <is>
          <t>claro:plano-flex-40gb</t>
        </is>
      </c>
      <c r="H3810" s="3" t="n">
        <v>119.9</v>
      </c>
      <c r="I3810" s="3" t="inlineStr"/>
      <c r="J3810" s="2" t="inlineStr"/>
      <c r="K3810" s="2" t="inlineStr"/>
      <c r="L3810" s="4" t="n">
        <v>40</v>
      </c>
      <c r="M3810" s="2" t="inlineStr"/>
      <c r="N3810" s="2" t="inlineStr"/>
      <c r="O3810" s="2" t="inlineStr">
        <is>
          <t>WhatsApp</t>
        </is>
      </c>
      <c r="P3810" s="2" t="inlineStr"/>
      <c r="Q3810" s="2" t="inlineStr"/>
      <c r="R3810" s="2" t="inlineStr"/>
      <c r="S3810" s="2" t="inlineStr"/>
      <c r="T3810" s="2" t="inlineStr">
        <is>
          <t>Para uso livre; Para redes sociais e apps; Bônus extra nos apps; WhatsApp ilimitado; Assinatura Claro musica inclusa</t>
        </is>
      </c>
      <c r="U3810" s="2" t="inlineStr">
        <is>
          <t>https://www.claro.com.br/celular/flex</t>
        </is>
      </c>
      <c r="V3810" s="2" t="inlineStr">
        <is>
          <t>data/raw/claro_flex_SP.json</t>
        </is>
      </c>
    </row>
    <row r="3811">
      <c r="A3811" s="5" t="inlineStr">
        <is>
          <t>2026-08-29</t>
        </is>
      </c>
      <c r="B3811" s="5" t="inlineStr">
        <is>
          <t>2026-08-29T19:58:27</t>
        </is>
      </c>
      <c r="C3811" s="5" t="inlineStr">
        <is>
          <t>claro</t>
        </is>
      </c>
      <c r="D3811" s="5" t="inlineStr">
        <is>
          <t>postpaid</t>
        </is>
      </c>
      <c r="E3811" s="5" t="inlineStr">
        <is>
          <t>SP</t>
        </is>
      </c>
      <c r="F3811" s="5" t="inlineStr">
        <is>
          <t>Pós 100GB</t>
        </is>
      </c>
      <c r="G3811" s="5" t="inlineStr">
        <is>
          <t>claro:plano-pos-100gb</t>
        </is>
      </c>
      <c r="H3811" s="6" t="n">
        <v>179.9</v>
      </c>
      <c r="I3811" s="6" t="inlineStr"/>
      <c r="J3811" s="5" t="inlineStr"/>
      <c r="K3811" s="5" t="inlineStr"/>
      <c r="L3811" s="7" t="n">
        <v>100</v>
      </c>
      <c r="M3811" s="5" t="inlineStr"/>
      <c r="N3811" s="5" t="inlineStr"/>
      <c r="O3811" s="5" t="inlineStr">
        <is>
          <t>WhatsApp</t>
        </is>
      </c>
      <c r="P3811" s="5" t="inlineStr"/>
      <c r="Q3811" s="5" t="inlineStr"/>
      <c r="R3811" s="5" t="inlineStr"/>
      <c r="S3811" s="5" t="inlineStr"/>
      <c r="T3811" s="5" t="inlineStr">
        <is>
          <t>Armazenamento na nuvem:; Google One ou iCloud+; WhatsApp ilimitado; Assinatura Amazon Prime por 3 meses; Roaming: Passaporte Américas; Claro Sync: Smartwatch conectado</t>
        </is>
      </c>
      <c r="U3811" s="5" t="inlineStr">
        <is>
          <t>https://www.claro.com.br/celular/pos</t>
        </is>
      </c>
      <c r="V3811" s="5" t="inlineStr">
        <is>
          <t>data/raw/claro_postpaid_SP.json</t>
        </is>
      </c>
    </row>
    <row r="3812">
      <c r="A3812" s="2" t="inlineStr">
        <is>
          <t>2026-08-29</t>
        </is>
      </c>
      <c r="B3812" s="2" t="inlineStr">
        <is>
          <t>2026-08-29T19:58:27</t>
        </is>
      </c>
      <c r="C3812" s="2" t="inlineStr">
        <is>
          <t>claro</t>
        </is>
      </c>
      <c r="D3812" s="2" t="inlineStr">
        <is>
          <t>postpaid</t>
        </is>
      </c>
      <c r="E3812" s="2" t="inlineStr">
        <is>
          <t>SP</t>
        </is>
      </c>
      <c r="F3812" s="2" t="inlineStr">
        <is>
          <t>Pós 150GB</t>
        </is>
      </c>
      <c r="G3812" s="2" t="inlineStr">
        <is>
          <t>claro:plano-pos-150gb</t>
        </is>
      </c>
      <c r="H3812" s="3" t="n">
        <v>239.9</v>
      </c>
      <c r="I3812" s="3" t="inlineStr"/>
      <c r="J3812" s="2" t="inlineStr"/>
      <c r="K3812" s="2" t="inlineStr"/>
      <c r="L3812" s="4" t="n">
        <v>150</v>
      </c>
      <c r="M3812" s="2" t="inlineStr"/>
      <c r="N3812" s="2" t="inlineStr"/>
      <c r="O3812" s="2" t="inlineStr">
        <is>
          <t>WhatsApp</t>
        </is>
      </c>
      <c r="P3812" s="2" t="inlineStr"/>
      <c r="Q3812" s="2" t="inlineStr"/>
      <c r="R3812" s="2" t="inlineStr"/>
      <c r="S3812" s="2" t="inlineStr"/>
      <c r="T381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12" s="2" t="inlineStr">
        <is>
          <t>https://www.claro.com.br/celular/pos</t>
        </is>
      </c>
      <c r="V3812" s="2" t="inlineStr">
        <is>
          <t>data/raw/claro_postpaid_SP.json</t>
        </is>
      </c>
    </row>
    <row r="3813">
      <c r="A3813" s="5" t="inlineStr">
        <is>
          <t>2026-08-29</t>
        </is>
      </c>
      <c r="B3813" s="5" t="inlineStr">
        <is>
          <t>2026-08-29T19:58:27</t>
        </is>
      </c>
      <c r="C3813" s="5" t="inlineStr">
        <is>
          <t>claro</t>
        </is>
      </c>
      <c r="D3813" s="5" t="inlineStr">
        <is>
          <t>postpaid</t>
        </is>
      </c>
      <c r="E3813" s="5" t="inlineStr">
        <is>
          <t>SP</t>
        </is>
      </c>
      <c r="F3813" s="5" t="inlineStr">
        <is>
          <t>Pós 200GB</t>
        </is>
      </c>
      <c r="G3813" s="5" t="inlineStr">
        <is>
          <t>claro:plano-pos-200gb</t>
        </is>
      </c>
      <c r="H3813" s="6" t="n">
        <v>339.9</v>
      </c>
      <c r="I3813" s="6" t="inlineStr"/>
      <c r="J3813" s="5" t="inlineStr"/>
      <c r="K3813" s="5" t="inlineStr"/>
      <c r="L3813" s="7" t="n">
        <v>200</v>
      </c>
      <c r="M3813" s="5" t="inlineStr"/>
      <c r="N3813" s="5" t="inlineStr"/>
      <c r="O3813" s="5" t="inlineStr">
        <is>
          <t>WhatsApp</t>
        </is>
      </c>
      <c r="P3813" s="5" t="inlineStr"/>
      <c r="Q3813" s="5" t="inlineStr"/>
      <c r="R3813" s="5" t="inlineStr"/>
      <c r="S3813" s="5" t="inlineStr"/>
      <c r="T3813" s="5" t="inlineStr">
        <is>
          <t>Armazenamento na nuvem:; Google One (AI Plus) ou iCloud+; WhatsApp ilimitado; Assinatura Amazon Prime por 3 meses; Roaming: Passaporte Mundo; Claro Sync: Smartwatch conectado</t>
        </is>
      </c>
      <c r="U3813" s="5" t="inlineStr">
        <is>
          <t>https://www.claro.com.br/celular/pos</t>
        </is>
      </c>
      <c r="V3813" s="5" t="inlineStr">
        <is>
          <t>data/raw/claro_postpaid_SP.json</t>
        </is>
      </c>
    </row>
    <row r="3814">
      <c r="A3814" s="2" t="inlineStr">
        <is>
          <t>2026-08-29</t>
        </is>
      </c>
      <c r="B3814" s="2" t="inlineStr">
        <is>
          <t>2026-08-29T19:58:27</t>
        </is>
      </c>
      <c r="C3814" s="2" t="inlineStr">
        <is>
          <t>claro</t>
        </is>
      </c>
      <c r="D3814" s="2" t="inlineStr">
        <is>
          <t>postpaid</t>
        </is>
      </c>
      <c r="E3814" s="2" t="inlineStr">
        <is>
          <t>SP</t>
        </is>
      </c>
      <c r="F3814" s="2" t="inlineStr">
        <is>
          <t>Pós 50GB com GeForce NOW</t>
        </is>
      </c>
      <c r="G3814" s="2" t="inlineStr">
        <is>
          <t>claro:plano-pos-60gb-geforce</t>
        </is>
      </c>
      <c r="H3814" s="3" t="n">
        <v>164.9</v>
      </c>
      <c r="I3814" s="3" t="inlineStr"/>
      <c r="J3814" s="2" t="inlineStr"/>
      <c r="K3814" s="2" t="inlineStr"/>
      <c r="L3814" s="4" t="n">
        <v>50</v>
      </c>
      <c r="M3814" s="2" t="inlineStr"/>
      <c r="N3814" s="2" t="inlineStr"/>
      <c r="O3814" s="2" t="inlineStr">
        <is>
          <t>WhatsApp</t>
        </is>
      </c>
      <c r="P3814" s="2" t="inlineStr"/>
      <c r="Q3814" s="2" t="inlineStr"/>
      <c r="R3814" s="2" t="inlineStr"/>
      <c r="S3814" s="2" t="inlineStr"/>
      <c r="T381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14" s="2" t="inlineStr">
        <is>
          <t>https://www.claro.com.br/celular/pos</t>
        </is>
      </c>
      <c r="V3814" s="2" t="inlineStr">
        <is>
          <t>data/raw/claro_postpaid_SP.json</t>
        </is>
      </c>
    </row>
    <row r="3815">
      <c r="A3815" s="5" t="inlineStr">
        <is>
          <t>2026-08-29</t>
        </is>
      </c>
      <c r="B3815" s="5" t="inlineStr">
        <is>
          <t>2026-08-29T19:58:27</t>
        </is>
      </c>
      <c r="C3815" s="5" t="inlineStr">
        <is>
          <t>claro</t>
        </is>
      </c>
      <c r="D3815" s="5" t="inlineStr">
        <is>
          <t>postpaid</t>
        </is>
      </c>
      <c r="E3815" s="5" t="inlineStr">
        <is>
          <t>SP</t>
        </is>
      </c>
      <c r="F3815" s="5" t="inlineStr">
        <is>
          <t>Pós 60GB</t>
        </is>
      </c>
      <c r="G3815" s="5" t="inlineStr">
        <is>
          <t>claro:plano-pos-60gb</t>
        </is>
      </c>
      <c r="H3815" s="6" t="n">
        <v>124.9</v>
      </c>
      <c r="I3815" s="6" t="inlineStr"/>
      <c r="J3815" s="5" t="inlineStr"/>
      <c r="K3815" s="5" t="inlineStr"/>
      <c r="L3815" s="7" t="n">
        <v>60</v>
      </c>
      <c r="M3815" s="5" t="inlineStr"/>
      <c r="N3815" s="5" t="inlineStr"/>
      <c r="O3815" s="5" t="inlineStr">
        <is>
          <t>WhatsApp</t>
        </is>
      </c>
      <c r="P3815" s="5" t="inlineStr"/>
      <c r="Q3815" s="5" t="inlineStr"/>
      <c r="R3815" s="5" t="inlineStr"/>
      <c r="S3815" s="5" t="inlineStr"/>
      <c r="T3815" s="5" t="inlineStr">
        <is>
          <t>Armazenamento na nuvem:; Google One ou iCloud+; WhatsApp ilimitado; Assinatura Amazon Prime por 3 meses; Roaming: Passaporte Américas; Claro Sync: Smartwatch conectado</t>
        </is>
      </c>
      <c r="U3815" s="5" t="inlineStr">
        <is>
          <t>https://www.claro.com.br/celular/pos</t>
        </is>
      </c>
      <c r="V3815" s="5" t="inlineStr">
        <is>
          <t>data/raw/claro_postpaid_SP.json</t>
        </is>
      </c>
    </row>
    <row r="3816">
      <c r="A3816" s="2" t="inlineStr">
        <is>
          <t>2026-08-29</t>
        </is>
      </c>
      <c r="B3816" s="2" t="inlineStr">
        <is>
          <t>2026-08-29T19:58:27</t>
        </is>
      </c>
      <c r="C3816" s="2" t="inlineStr">
        <is>
          <t>claro</t>
        </is>
      </c>
      <c r="D3816" s="2" t="inlineStr">
        <is>
          <t>prepaid</t>
        </is>
      </c>
      <c r="E3816" s="2" t="inlineStr">
        <is>
          <t>SP</t>
        </is>
      </c>
      <c r="F3816" s="2" t="inlineStr">
        <is>
          <t>Prezão 10GB (25 dias)</t>
        </is>
      </c>
      <c r="G3816" s="2" t="inlineStr">
        <is>
          <t>claro:prezao-25d-10gb</t>
        </is>
      </c>
      <c r="H3816" s="3" t="n">
        <v>25</v>
      </c>
      <c r="I3816" s="3" t="inlineStr"/>
      <c r="J3816" s="2" t="inlineStr">
        <is>
          <t>recarga Prezão R$25 — validade 25 dias</t>
        </is>
      </c>
      <c r="K3816" s="2" t="inlineStr"/>
      <c r="L3816" s="4" t="n">
        <v>10</v>
      </c>
      <c r="M3816" s="2" t="inlineStr"/>
      <c r="N3816" s="2" t="n">
        <v>25</v>
      </c>
      <c r="O3816" s="2" t="inlineStr"/>
      <c r="P3816" s="2" t="inlineStr"/>
      <c r="Q3816" s="2" t="inlineStr"/>
      <c r="R3816" s="2" t="inlineStr"/>
      <c r="S3816" s="2" t="inlineStr"/>
      <c r="T3816" s="2" t="inlineStr"/>
      <c r="U3816" s="2" t="inlineStr">
        <is>
          <t>https://www.claro.com.br/celular/planos-pre/prezao</t>
        </is>
      </c>
      <c r="V3816" s="2" t="inlineStr">
        <is>
          <t>data/raw/claro_prepaid_SP.json</t>
        </is>
      </c>
    </row>
    <row r="3817">
      <c r="A3817" s="5" t="inlineStr">
        <is>
          <t>2026-08-29</t>
        </is>
      </c>
      <c r="B3817" s="5" t="inlineStr">
        <is>
          <t>2026-08-29T19:58:27</t>
        </is>
      </c>
      <c r="C3817" s="5" t="inlineStr">
        <is>
          <t>claro</t>
        </is>
      </c>
      <c r="D3817" s="5" t="inlineStr">
        <is>
          <t>prepaid</t>
        </is>
      </c>
      <c r="E3817" s="5" t="inlineStr">
        <is>
          <t>SP</t>
        </is>
      </c>
      <c r="F3817" s="5" t="inlineStr">
        <is>
          <t>Prezão 12GB (30 dias)</t>
        </is>
      </c>
      <c r="G3817" s="5" t="inlineStr">
        <is>
          <t>claro:prezao-30d-12gb</t>
        </is>
      </c>
      <c r="H3817" s="6" t="n">
        <v>30</v>
      </c>
      <c r="I3817" s="6" t="inlineStr"/>
      <c r="J3817" s="5" t="inlineStr">
        <is>
          <t>recarga Prezão R$30 — validade 30 dias</t>
        </is>
      </c>
      <c r="K3817" s="5" t="inlineStr"/>
      <c r="L3817" s="7" t="n">
        <v>12</v>
      </c>
      <c r="M3817" s="5" t="inlineStr"/>
      <c r="N3817" s="5" t="n">
        <v>30</v>
      </c>
      <c r="O3817" s="5" t="inlineStr"/>
      <c r="P3817" s="5" t="inlineStr"/>
      <c r="Q3817" s="5" t="inlineStr"/>
      <c r="R3817" s="5" t="inlineStr"/>
      <c r="S3817" s="5" t="inlineStr"/>
      <c r="T3817" s="5" t="inlineStr"/>
      <c r="U3817" s="5" t="inlineStr">
        <is>
          <t>https://www.claro.com.br/celular/planos-pre/prezao</t>
        </is>
      </c>
      <c r="V3817" s="5" t="inlineStr">
        <is>
          <t>data/raw/claro_prepaid_SP.json</t>
        </is>
      </c>
    </row>
    <row r="3818">
      <c r="A3818" s="2" t="inlineStr">
        <is>
          <t>2026-08-29</t>
        </is>
      </c>
      <c r="B3818" s="2" t="inlineStr">
        <is>
          <t>2026-08-29T19:58:27</t>
        </is>
      </c>
      <c r="C3818" s="2" t="inlineStr">
        <is>
          <t>claro</t>
        </is>
      </c>
      <c r="D3818" s="2" t="inlineStr">
        <is>
          <t>prepaid</t>
        </is>
      </c>
      <c r="E3818" s="2" t="inlineStr">
        <is>
          <t>SP</t>
        </is>
      </c>
      <c r="F3818" s="2" t="inlineStr">
        <is>
          <t>Prezão 4GB (12 dias)</t>
        </is>
      </c>
      <c r="G3818" s="2" t="inlineStr">
        <is>
          <t>claro:prezao-12d-4gb</t>
        </is>
      </c>
      <c r="H3818" s="3" t="n">
        <v>15</v>
      </c>
      <c r="I3818" s="3" t="inlineStr"/>
      <c r="J3818" s="2" t="inlineStr">
        <is>
          <t>recarga Prezão R$15 — validade 12 dias</t>
        </is>
      </c>
      <c r="K3818" s="2" t="inlineStr"/>
      <c r="L3818" s="4" t="n">
        <v>4</v>
      </c>
      <c r="M3818" s="2" t="inlineStr"/>
      <c r="N3818" s="2" t="n">
        <v>12</v>
      </c>
      <c r="O3818" s="2" t="inlineStr"/>
      <c r="P3818" s="2" t="inlineStr"/>
      <c r="Q3818" s="2" t="inlineStr"/>
      <c r="R3818" s="2" t="inlineStr"/>
      <c r="S3818" s="2" t="inlineStr"/>
      <c r="T3818" s="2" t="inlineStr"/>
      <c r="U3818" s="2" t="inlineStr">
        <is>
          <t>https://www.claro.com.br/celular/planos-pre/prezao</t>
        </is>
      </c>
      <c r="V3818" s="2" t="inlineStr">
        <is>
          <t>data/raw/claro_prepaid_SP.json</t>
        </is>
      </c>
    </row>
    <row r="3819">
      <c r="A3819" s="5" t="inlineStr">
        <is>
          <t>2026-08-29</t>
        </is>
      </c>
      <c r="B3819" s="5" t="inlineStr">
        <is>
          <t>2026-08-29T19:58:27</t>
        </is>
      </c>
      <c r="C3819" s="5" t="inlineStr">
        <is>
          <t>claro</t>
        </is>
      </c>
      <c r="D3819" s="5" t="inlineStr">
        <is>
          <t>prepaid</t>
        </is>
      </c>
      <c r="E3819" s="5" t="inlineStr">
        <is>
          <t>SP</t>
        </is>
      </c>
      <c r="F3819" s="5" t="inlineStr">
        <is>
          <t>Prezão 5GB (15 dias)</t>
        </is>
      </c>
      <c r="G3819" s="5" t="inlineStr">
        <is>
          <t>claro:prezao-15d-5gb</t>
        </is>
      </c>
      <c r="H3819" s="6" t="n">
        <v>15</v>
      </c>
      <c r="I3819" s="6" t="inlineStr"/>
      <c r="J3819" s="5" t="inlineStr">
        <is>
          <t>recarga Prezão R$15 — validade 15 dias</t>
        </is>
      </c>
      <c r="K3819" s="5" t="inlineStr"/>
      <c r="L3819" s="7" t="n">
        <v>5</v>
      </c>
      <c r="M3819" s="5" t="inlineStr"/>
      <c r="N3819" s="5" t="n">
        <v>15</v>
      </c>
      <c r="O3819" s="5" t="inlineStr"/>
      <c r="P3819" s="5" t="inlineStr"/>
      <c r="Q3819" s="5" t="inlineStr"/>
      <c r="R3819" s="5" t="inlineStr"/>
      <c r="S3819" s="5" t="inlineStr"/>
      <c r="T3819" s="5" t="inlineStr"/>
      <c r="U3819" s="5" t="inlineStr">
        <is>
          <t>https://www.claro.com.br/celular/planos-pre/prezao</t>
        </is>
      </c>
      <c r="V3819" s="5" t="inlineStr">
        <is>
          <t>data/raw/claro_prepaid_SP.json</t>
        </is>
      </c>
    </row>
    <row r="3820">
      <c r="A3820" s="2" t="inlineStr">
        <is>
          <t>2026-08-29</t>
        </is>
      </c>
      <c r="B3820" s="2" t="inlineStr">
        <is>
          <t>2026-08-29T19:58:27</t>
        </is>
      </c>
      <c r="C3820" s="2" t="inlineStr">
        <is>
          <t>claro</t>
        </is>
      </c>
      <c r="D3820" s="2" t="inlineStr">
        <is>
          <t>prepaid</t>
        </is>
      </c>
      <c r="E3820" s="2" t="inlineStr">
        <is>
          <t>SP</t>
        </is>
      </c>
      <c r="F3820" s="2" t="inlineStr">
        <is>
          <t>Prezão 6GB (20 dias)</t>
        </is>
      </c>
      <c r="G3820" s="2" t="inlineStr">
        <is>
          <t>claro:prezao-20d-6gb</t>
        </is>
      </c>
      <c r="H3820" s="3" t="n">
        <v>20</v>
      </c>
      <c r="I3820" s="3" t="inlineStr"/>
      <c r="J3820" s="2" t="inlineStr">
        <is>
          <t>recarga Prezão R$20 — validade 20 dias</t>
        </is>
      </c>
      <c r="K3820" s="2" t="inlineStr"/>
      <c r="L3820" s="4" t="n">
        <v>6</v>
      </c>
      <c r="M3820" s="2" t="inlineStr"/>
      <c r="N3820" s="2" t="n">
        <v>20</v>
      </c>
      <c r="O3820" s="2" t="inlineStr"/>
      <c r="P3820" s="2" t="inlineStr"/>
      <c r="Q3820" s="2" t="inlineStr"/>
      <c r="R3820" s="2" t="inlineStr"/>
      <c r="S3820" s="2" t="inlineStr"/>
      <c r="T3820" s="2" t="inlineStr"/>
      <c r="U3820" s="2" t="inlineStr">
        <is>
          <t>https://www.claro.com.br/celular/planos-pre/prezao</t>
        </is>
      </c>
      <c r="V3820" s="2" t="inlineStr">
        <is>
          <t>data/raw/claro_prepaid_SP.json</t>
        </is>
      </c>
    </row>
    <row r="3821">
      <c r="A3821" s="5" t="inlineStr">
        <is>
          <t>2026-08-29</t>
        </is>
      </c>
      <c r="B3821" s="5" t="inlineStr">
        <is>
          <t>2026-08-29T19:58:27</t>
        </is>
      </c>
      <c r="C3821" s="5" t="inlineStr">
        <is>
          <t>claro</t>
        </is>
      </c>
      <c r="D3821" s="5" t="inlineStr">
        <is>
          <t>prepaid</t>
        </is>
      </c>
      <c r="E3821" s="5" t="inlineStr">
        <is>
          <t>SP</t>
        </is>
      </c>
      <c r="F3821" s="5" t="inlineStr">
        <is>
          <t>Prezão 8GB (20 dias)</t>
        </is>
      </c>
      <c r="G3821" s="5" t="inlineStr">
        <is>
          <t>claro:prezao-20d-8gb</t>
        </is>
      </c>
      <c r="H3821" s="6" t="n">
        <v>20</v>
      </c>
      <c r="I3821" s="6" t="inlineStr"/>
      <c r="J3821" s="5" t="inlineStr">
        <is>
          <t>recarga Prezão R$20 — validade 20 dias</t>
        </is>
      </c>
      <c r="K3821" s="5" t="inlineStr"/>
      <c r="L3821" s="7" t="n">
        <v>8</v>
      </c>
      <c r="M3821" s="5" t="inlineStr"/>
      <c r="N3821" s="5" t="n">
        <v>20</v>
      </c>
      <c r="O3821" s="5" t="inlineStr"/>
      <c r="P3821" s="5" t="inlineStr"/>
      <c r="Q3821" s="5" t="inlineStr"/>
      <c r="R3821" s="5" t="inlineStr"/>
      <c r="S3821" s="5" t="inlineStr"/>
      <c r="T3821" s="5" t="inlineStr"/>
      <c r="U3821" s="5" t="inlineStr">
        <is>
          <t>https://www.claro.com.br/celular/planos-pre/prezao</t>
        </is>
      </c>
      <c r="V3821" s="5" t="inlineStr">
        <is>
          <t>data/raw/claro_prepaid_SP.json</t>
        </is>
      </c>
    </row>
    <row r="3822">
      <c r="A3822" s="2" t="inlineStr">
        <is>
          <t>2026-08-29</t>
        </is>
      </c>
      <c r="B3822" s="2" t="inlineStr">
        <is>
          <t>2026-08-29T19:58:27</t>
        </is>
      </c>
      <c r="C3822" s="2" t="inlineStr">
        <is>
          <t>claro</t>
        </is>
      </c>
      <c r="D3822" s="2" t="inlineStr">
        <is>
          <t>prepaid</t>
        </is>
      </c>
      <c r="E3822" s="2" t="inlineStr">
        <is>
          <t>SP</t>
        </is>
      </c>
      <c r="F3822" s="2" t="inlineStr">
        <is>
          <t>Prezão 9GB (25 dias)</t>
        </is>
      </c>
      <c r="G3822" s="2" t="inlineStr">
        <is>
          <t>claro:prezao-25d-9gb</t>
        </is>
      </c>
      <c r="H3822" s="3" t="n">
        <v>25</v>
      </c>
      <c r="I3822" s="3" t="inlineStr"/>
      <c r="J3822" s="2" t="inlineStr">
        <is>
          <t>recarga Prezão R$25 — validade 25 dias</t>
        </is>
      </c>
      <c r="K3822" s="2" t="inlineStr"/>
      <c r="L3822" s="4" t="n">
        <v>9</v>
      </c>
      <c r="M3822" s="2" t="inlineStr"/>
      <c r="N3822" s="2" t="n">
        <v>25</v>
      </c>
      <c r="O3822" s="2" t="inlineStr"/>
      <c r="P3822" s="2" t="inlineStr"/>
      <c r="Q3822" s="2" t="inlineStr"/>
      <c r="R3822" s="2" t="inlineStr"/>
      <c r="S3822" s="2" t="inlineStr"/>
      <c r="T3822" s="2" t="inlineStr"/>
      <c r="U3822" s="2" t="inlineStr">
        <is>
          <t>https://www.claro.com.br/celular/planos-pre/prezao</t>
        </is>
      </c>
      <c r="V3822" s="2" t="inlineStr">
        <is>
          <t>data/raw/claro_prepaid_SP.json</t>
        </is>
      </c>
    </row>
    <row r="3823">
      <c r="A3823" s="5" t="inlineStr">
        <is>
          <t>2026-08-29</t>
        </is>
      </c>
      <c r="B3823" s="5" t="inlineStr">
        <is>
          <t>2026-08-29T19:58:27</t>
        </is>
      </c>
      <c r="C3823" s="5" t="inlineStr">
        <is>
          <t>tim</t>
        </is>
      </c>
      <c r="D3823" s="5" t="inlineStr">
        <is>
          <t>control</t>
        </is>
      </c>
      <c r="E3823" s="5" t="inlineStr">
        <is>
          <t>SP</t>
        </is>
      </c>
      <c r="F3823" s="5" t="inlineStr">
        <is>
          <t>TIM Controle 45GB</t>
        </is>
      </c>
      <c r="G3823" s="5" t="inlineStr">
        <is>
          <t>tim:182766</t>
        </is>
      </c>
      <c r="H3823" s="6" t="n">
        <v>49.99</v>
      </c>
      <c r="I3823" s="6" t="inlineStr"/>
      <c r="J3823" s="5" t="inlineStr"/>
      <c r="K3823" s="5" t="inlineStr"/>
      <c r="L3823" s="7" t="n">
        <v>45</v>
      </c>
      <c r="M3823" s="5" t="inlineStr"/>
      <c r="N3823" s="5" t="inlineStr"/>
      <c r="O3823" s="5" t="inlineStr"/>
      <c r="P3823" s="5" t="inlineStr"/>
      <c r="Q3823" s="5" t="inlineStr"/>
      <c r="R3823" s="5" t="inlineStr"/>
      <c r="S3823" s="5" t="inlineStr"/>
      <c r="T3823" s="5" t="inlineStr"/>
      <c r="U3823" s="5" t="inlineStr">
        <is>
          <t>https://www.tim.com.br/sp/para-voce/planos/controle</t>
        </is>
      </c>
      <c r="V3823" s="5" t="inlineStr">
        <is>
          <t>data/raw/tim_control_SP.html</t>
        </is>
      </c>
    </row>
    <row r="3824">
      <c r="A3824" s="2" t="inlineStr">
        <is>
          <t>2026-08-29</t>
        </is>
      </c>
      <c r="B3824" s="2" t="inlineStr">
        <is>
          <t>2026-08-29T19:58:27</t>
        </is>
      </c>
      <c r="C3824" s="2" t="inlineStr">
        <is>
          <t>tim</t>
        </is>
      </c>
      <c r="D3824" s="2" t="inlineStr">
        <is>
          <t>control</t>
        </is>
      </c>
      <c r="E3824" s="2" t="inlineStr">
        <is>
          <t>SP</t>
        </is>
      </c>
      <c r="F3824" s="2" t="inlineStr">
        <is>
          <t>TIM Controle Light Express 45GB</t>
        </is>
      </c>
      <c r="G3824" s="2" t="inlineStr">
        <is>
          <t>tim:167726</t>
        </is>
      </c>
      <c r="H3824" s="3" t="n">
        <v>60.99</v>
      </c>
      <c r="I3824" s="3" t="inlineStr"/>
      <c r="J3824" s="2" t="inlineStr"/>
      <c r="K3824" s="2" t="inlineStr"/>
      <c r="L3824" s="4" t="n">
        <v>45</v>
      </c>
      <c r="M3824" s="2" t="inlineStr"/>
      <c r="N3824" s="2" t="inlineStr"/>
      <c r="O3824" s="2" t="inlineStr"/>
      <c r="P3824" s="2" t="inlineStr"/>
      <c r="Q3824" s="2" t="inlineStr"/>
      <c r="R3824" s="2" t="inlineStr"/>
      <c r="S3824" s="2" t="inlineStr"/>
      <c r="T3824" s="2" t="inlineStr"/>
      <c r="U3824" s="2" t="inlineStr">
        <is>
          <t>https://www.tim.com.br/sp/para-voce/planos/controle</t>
        </is>
      </c>
      <c r="V3824" s="2" t="inlineStr">
        <is>
          <t>data/raw/tim_control_SP.html</t>
        </is>
      </c>
    </row>
    <row r="3825">
      <c r="A3825" s="5" t="inlineStr">
        <is>
          <t>2026-08-29</t>
        </is>
      </c>
      <c r="B3825" s="5" t="inlineStr">
        <is>
          <t>2026-08-29T19:58:27</t>
        </is>
      </c>
      <c r="C3825" s="5" t="inlineStr">
        <is>
          <t>tim</t>
        </is>
      </c>
      <c r="D3825" s="5" t="inlineStr">
        <is>
          <t>control</t>
        </is>
      </c>
      <c r="E3825" s="5" t="inlineStr">
        <is>
          <t>SP</t>
        </is>
      </c>
      <c r="F3825" s="5" t="inlineStr">
        <is>
          <t>TIM Controle Premium 55GB</t>
        </is>
      </c>
      <c r="G3825" s="5" t="inlineStr">
        <is>
          <t>tim:180756</t>
        </is>
      </c>
      <c r="H3825" s="6" t="n">
        <v>69.98999999999999</v>
      </c>
      <c r="I3825" s="6" t="inlineStr"/>
      <c r="J3825" s="5" t="inlineStr"/>
      <c r="K3825" s="5" t="inlineStr"/>
      <c r="L3825" s="7" t="n">
        <v>55</v>
      </c>
      <c r="M3825" s="5" t="inlineStr"/>
      <c r="N3825" s="5" t="inlineStr"/>
      <c r="O3825" s="5" t="inlineStr"/>
      <c r="P3825" s="5" t="inlineStr"/>
      <c r="Q3825" s="5" t="inlineStr"/>
      <c r="R3825" s="5" t="inlineStr"/>
      <c r="S3825" s="5" t="inlineStr"/>
      <c r="T3825" s="5" t="inlineStr"/>
      <c r="U3825" s="5" t="inlineStr">
        <is>
          <t>https://www.tim.com.br/sp/para-voce/planos/controle</t>
        </is>
      </c>
      <c r="V3825" s="5" t="inlineStr">
        <is>
          <t>data/raw/tim_control_SP.html</t>
        </is>
      </c>
    </row>
    <row r="3826">
      <c r="A3826" s="2" t="inlineStr">
        <is>
          <t>2026-08-29</t>
        </is>
      </c>
      <c r="B3826" s="2" t="inlineStr">
        <is>
          <t>2026-08-29T19:58:27</t>
        </is>
      </c>
      <c r="C3826" s="2" t="inlineStr">
        <is>
          <t>tim</t>
        </is>
      </c>
      <c r="D3826" s="2" t="inlineStr">
        <is>
          <t>control</t>
        </is>
      </c>
      <c r="E3826" s="2" t="inlineStr">
        <is>
          <t>SP</t>
        </is>
      </c>
      <c r="F3826" s="2" t="inlineStr">
        <is>
          <t>TIM Controle Pro Express 46GB</t>
        </is>
      </c>
      <c r="G3826" s="2" t="inlineStr">
        <is>
          <t>tim:167731</t>
        </is>
      </c>
      <c r="H3826" s="3" t="n">
        <v>64.98999999999999</v>
      </c>
      <c r="I3826" s="3" t="inlineStr"/>
      <c r="J3826" s="2" t="inlineStr"/>
      <c r="K3826" s="2" t="inlineStr"/>
      <c r="L3826" s="4" t="n">
        <v>46</v>
      </c>
      <c r="M3826" s="2" t="inlineStr"/>
      <c r="N3826" s="2" t="inlineStr"/>
      <c r="O3826" s="2" t="inlineStr"/>
      <c r="P3826" s="2" t="inlineStr"/>
      <c r="Q3826" s="2" t="inlineStr"/>
      <c r="R3826" s="2" t="inlineStr"/>
      <c r="S3826" s="2" t="inlineStr"/>
      <c r="T3826" s="2" t="inlineStr"/>
      <c r="U3826" s="2" t="inlineStr">
        <is>
          <t>https://www.tim.com.br/sp/para-voce/planos/controle</t>
        </is>
      </c>
      <c r="V3826" s="2" t="inlineStr">
        <is>
          <t>data/raw/tim_control_SP.html</t>
        </is>
      </c>
    </row>
    <row r="3827">
      <c r="A3827" s="5" t="inlineStr">
        <is>
          <t>2026-08-29</t>
        </is>
      </c>
      <c r="B3827" s="5" t="inlineStr">
        <is>
          <t>2026-08-29T19:58:27</t>
        </is>
      </c>
      <c r="C3827" s="5" t="inlineStr">
        <is>
          <t>tim</t>
        </is>
      </c>
      <c r="D3827" s="5" t="inlineStr">
        <is>
          <t>control</t>
        </is>
      </c>
      <c r="E3827" s="5" t="inlineStr">
        <is>
          <t>SP</t>
        </is>
      </c>
      <c r="F3827" s="5" t="inlineStr">
        <is>
          <t>TIM Controle Redes Sociais 46GB</t>
        </is>
      </c>
      <c r="G3827" s="5" t="inlineStr">
        <is>
          <t>tim:167031</t>
        </is>
      </c>
      <c r="H3827" s="6" t="n">
        <v>59.99</v>
      </c>
      <c r="I3827" s="6" t="inlineStr"/>
      <c r="J3827" s="5" t="inlineStr"/>
      <c r="K3827" s="5" t="inlineStr"/>
      <c r="L3827" s="7" t="n">
        <v>46</v>
      </c>
      <c r="M3827" s="5" t="inlineStr"/>
      <c r="N3827" s="5" t="inlineStr"/>
      <c r="O3827" s="5" t="inlineStr"/>
      <c r="P3827" s="5" t="inlineStr"/>
      <c r="Q3827" s="5" t="inlineStr"/>
      <c r="R3827" s="5" t="inlineStr"/>
      <c r="S3827" s="5" t="inlineStr"/>
      <c r="T3827" s="5" t="inlineStr"/>
      <c r="U3827" s="5" t="inlineStr">
        <is>
          <t>https://www.tim.com.br/sp/para-voce/planos/controle</t>
        </is>
      </c>
      <c r="V3827" s="5" t="inlineStr">
        <is>
          <t>data/raw/tim_control_SP.html</t>
        </is>
      </c>
    </row>
    <row r="3828">
      <c r="A3828" s="2" t="inlineStr">
        <is>
          <t>2026-08-29</t>
        </is>
      </c>
      <c r="B3828" s="2" t="inlineStr">
        <is>
          <t>2026-08-29T19:58:27</t>
        </is>
      </c>
      <c r="C3828" s="2" t="inlineStr">
        <is>
          <t>tim</t>
        </is>
      </c>
      <c r="D3828" s="2" t="inlineStr">
        <is>
          <t>fit</t>
        </is>
      </c>
      <c r="E3828" s="2" t="inlineStr">
        <is>
          <t>SP</t>
        </is>
      </c>
      <c r="F3828" s="2" t="inlineStr">
        <is>
          <t>TIM Controle Fit Anual 1.0</t>
        </is>
      </c>
      <c r="G3828" s="2" t="inlineStr">
        <is>
          <t>tim:TIM202600000306</t>
        </is>
      </c>
      <c r="H3828" s="3" t="n">
        <v>20</v>
      </c>
      <c r="I3828" s="3" t="inlineStr"/>
      <c r="J3828" s="2" t="inlineStr">
        <is>
          <t>plano anual 12x no cartão de crédito; a etiqueta TIM informa 'sem prazo de permanência'</t>
        </is>
      </c>
      <c r="K3828" s="2" t="inlineStr">
        <is>
          <t>credit_card</t>
        </is>
      </c>
      <c r="L3828" s="4" t="n">
        <v>25</v>
      </c>
      <c r="M3828" s="2" t="inlineStr"/>
      <c r="N3828" s="2" t="inlineStr"/>
      <c r="O3828" s="2" t="inlineStr"/>
      <c r="P3828" s="2" t="inlineStr"/>
      <c r="Q3828" s="2" t="inlineStr"/>
      <c r="R3828" s="2" t="inlineStr"/>
      <c r="S3828" s="2" t="n">
        <v>12</v>
      </c>
      <c r="T3828" s="2" t="inlineStr"/>
      <c r="U3828" s="2" t="inlineStr">
        <is>
          <t>https://www.tim.com.br/sp/para-voce/planos/controle</t>
        </is>
      </c>
      <c r="V3828" s="2" t="inlineStr">
        <is>
          <t>data/raw/tim_fit_SP.html</t>
        </is>
      </c>
    </row>
    <row r="3829">
      <c r="A3829" s="5" t="inlineStr">
        <is>
          <t>2026-08-29</t>
        </is>
      </c>
      <c r="B3829" s="5" t="inlineStr">
        <is>
          <t>2026-08-29T19:58:27</t>
        </is>
      </c>
      <c r="C3829" s="5" t="inlineStr">
        <is>
          <t>tim</t>
        </is>
      </c>
      <c r="D3829" s="5" t="inlineStr">
        <is>
          <t>fit</t>
        </is>
      </c>
      <c r="E3829" s="5" t="inlineStr">
        <is>
          <t>SP</t>
        </is>
      </c>
      <c r="F3829" s="5" t="inlineStr">
        <is>
          <t>TIM Controle Fit Anual 2.0</t>
        </is>
      </c>
      <c r="G3829" s="5" t="inlineStr">
        <is>
          <t>tim:TIM202600000271</t>
        </is>
      </c>
      <c r="H3829" s="6" t="n">
        <v>30</v>
      </c>
      <c r="I3829" s="6" t="inlineStr"/>
      <c r="J3829" s="5" t="inlineStr">
        <is>
          <t>plano anual 12x no cartão de crédito; a etiqueta TIM informa 'sem prazo de permanência'</t>
        </is>
      </c>
      <c r="K3829" s="5" t="inlineStr">
        <is>
          <t>credit_card</t>
        </is>
      </c>
      <c r="L3829" s="7" t="n">
        <v>35</v>
      </c>
      <c r="M3829" s="5" t="inlineStr"/>
      <c r="N3829" s="5" t="inlineStr"/>
      <c r="O3829" s="5" t="inlineStr"/>
      <c r="P3829" s="5" t="inlineStr"/>
      <c r="Q3829" s="5" t="inlineStr"/>
      <c r="R3829" s="5" t="inlineStr"/>
      <c r="S3829" s="5" t="n">
        <v>12</v>
      </c>
      <c r="T3829" s="5" t="inlineStr"/>
      <c r="U3829" s="5" t="inlineStr">
        <is>
          <t>https://www.tim.com.br/sp/para-voce/planos/controle</t>
        </is>
      </c>
      <c r="V3829" s="5" t="inlineStr">
        <is>
          <t>data/raw/tim_fit_SP.html</t>
        </is>
      </c>
    </row>
    <row r="3830">
      <c r="A3830" s="2" t="inlineStr">
        <is>
          <t>2026-08-29</t>
        </is>
      </c>
      <c r="B3830" s="2" t="inlineStr">
        <is>
          <t>2026-08-29T19:58:27</t>
        </is>
      </c>
      <c r="C3830" s="2" t="inlineStr">
        <is>
          <t>tim</t>
        </is>
      </c>
      <c r="D3830" s="2" t="inlineStr">
        <is>
          <t>fit</t>
        </is>
      </c>
      <c r="E3830" s="2" t="inlineStr">
        <is>
          <t>SP</t>
        </is>
      </c>
      <c r="F3830" s="2" t="inlineStr">
        <is>
          <t>TIM Controle Fit Mensal 1.0</t>
        </is>
      </c>
      <c r="G3830" s="2" t="inlineStr">
        <is>
          <t>tim:TIM202600000270</t>
        </is>
      </c>
      <c r="H3830" s="3" t="n">
        <v>20</v>
      </c>
      <c r="I3830" s="3" t="inlineStr"/>
      <c r="J383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30" s="2" t="inlineStr"/>
      <c r="L3830" s="4" t="n">
        <v>20</v>
      </c>
      <c r="M3830" s="2" t="inlineStr"/>
      <c r="N3830" s="2" t="inlineStr"/>
      <c r="O3830" s="2" t="inlineStr"/>
      <c r="P3830" s="2" t="inlineStr"/>
      <c r="Q3830" s="2" t="inlineStr"/>
      <c r="R3830" s="2" t="inlineStr"/>
      <c r="S3830" s="2" t="inlineStr"/>
      <c r="T3830" s="2" t="inlineStr"/>
      <c r="U3830" s="2" t="inlineStr">
        <is>
          <t>https://www.tim.com.br/sp/para-voce/planos/controle</t>
        </is>
      </c>
      <c r="V3830" s="2" t="inlineStr">
        <is>
          <t>data/raw/tim_fit_SP.html</t>
        </is>
      </c>
    </row>
    <row r="3831">
      <c r="A3831" s="5" t="inlineStr">
        <is>
          <t>2026-08-29</t>
        </is>
      </c>
      <c r="B3831" s="5" t="inlineStr">
        <is>
          <t>2026-08-29T19:58:27</t>
        </is>
      </c>
      <c r="C3831" s="5" t="inlineStr">
        <is>
          <t>tim</t>
        </is>
      </c>
      <c r="D3831" s="5" t="inlineStr">
        <is>
          <t>fit</t>
        </is>
      </c>
      <c r="E3831" s="5" t="inlineStr">
        <is>
          <t>SP</t>
        </is>
      </c>
      <c r="F3831" s="5" t="inlineStr">
        <is>
          <t>TIM Controle Fit Mensal 2.0</t>
        </is>
      </c>
      <c r="G3831" s="5" t="inlineStr">
        <is>
          <t>tim:TIM202600000305</t>
        </is>
      </c>
      <c r="H3831" s="6" t="n">
        <v>45</v>
      </c>
      <c r="I3831" s="6" t="inlineStr"/>
      <c r="J3831" s="5" t="inlineStr">
        <is>
          <t>plano mensal, sem prazo de permanência; a etiqueta TIM informa 'sem prazo de permanência'</t>
        </is>
      </c>
      <c r="K3831" s="5" t="inlineStr"/>
      <c r="L3831" s="7" t="n">
        <v>35</v>
      </c>
      <c r="M3831" s="5" t="inlineStr"/>
      <c r="N3831" s="5" t="inlineStr"/>
      <c r="O3831" s="5" t="inlineStr"/>
      <c r="P3831" s="5" t="inlineStr"/>
      <c r="Q3831" s="5" t="inlineStr"/>
      <c r="R3831" s="5" t="inlineStr"/>
      <c r="S3831" s="5" t="inlineStr"/>
      <c r="T3831" s="5" t="inlineStr"/>
      <c r="U3831" s="5" t="inlineStr">
        <is>
          <t>https://www.tim.com.br/sp/para-voce/planos/controle</t>
        </is>
      </c>
      <c r="V3831" s="5" t="inlineStr">
        <is>
          <t>data/raw/tim_fit_SP.html</t>
        </is>
      </c>
    </row>
    <row r="3832">
      <c r="A3832" s="2" t="inlineStr">
        <is>
          <t>2026-08-29</t>
        </is>
      </c>
      <c r="B3832" s="2" t="inlineStr">
        <is>
          <t>2026-08-29T19:58:27</t>
        </is>
      </c>
      <c r="C3832" s="2" t="inlineStr">
        <is>
          <t>tim</t>
        </is>
      </c>
      <c r="D3832" s="2" t="inlineStr">
        <is>
          <t>postpaid</t>
        </is>
      </c>
      <c r="E3832" s="2" t="inlineStr">
        <is>
          <t>SP</t>
        </is>
      </c>
      <c r="F3832" s="2" t="inlineStr">
        <is>
          <t>TIM Black 70GB</t>
        </is>
      </c>
      <c r="G3832" s="2" t="inlineStr">
        <is>
          <t>tim:54206</t>
        </is>
      </c>
      <c r="H3832" s="3" t="n">
        <v>129.99</v>
      </c>
      <c r="I3832" s="3" t="inlineStr"/>
      <c r="J3832" s="2" t="inlineStr"/>
      <c r="K3832" s="2" t="inlineStr">
        <is>
          <t>bill</t>
        </is>
      </c>
      <c r="L3832" s="4" t="n">
        <v>70</v>
      </c>
      <c r="M3832" s="2" t="inlineStr"/>
      <c r="N3832" s="2" t="inlineStr"/>
      <c r="O3832" s="2" t="inlineStr"/>
      <c r="P3832" s="2" t="inlineStr"/>
      <c r="Q3832" s="2" t="inlineStr"/>
      <c r="R3832" s="2" t="inlineStr"/>
      <c r="S3832" s="2" t="inlineStr"/>
      <c r="T3832" s="2" t="inlineStr"/>
      <c r="U3832" s="2" t="inlineStr">
        <is>
          <t>https://www.tim.com.br/sp/para-voce/planos/pos-pago/tim-black</t>
        </is>
      </c>
      <c r="V3832" s="2" t="inlineStr">
        <is>
          <t>data/raw/tim_postpaid_SP.html</t>
        </is>
      </c>
    </row>
    <row r="3833">
      <c r="A3833" s="5" t="inlineStr">
        <is>
          <t>2026-08-29</t>
        </is>
      </c>
      <c r="B3833" s="5" t="inlineStr">
        <is>
          <t>2026-08-29T19:58:27</t>
        </is>
      </c>
      <c r="C3833" s="5" t="inlineStr">
        <is>
          <t>tim</t>
        </is>
      </c>
      <c r="D3833" s="5" t="inlineStr">
        <is>
          <t>postpaid</t>
        </is>
      </c>
      <c r="E3833" s="5" t="inlineStr">
        <is>
          <t>SP</t>
        </is>
      </c>
      <c r="F3833" s="5" t="inlineStr">
        <is>
          <t>TIM Black B Express 82GB</t>
        </is>
      </c>
      <c r="G3833" s="5" t="inlineStr">
        <is>
          <t>tim:52146</t>
        </is>
      </c>
      <c r="H3833" s="6" t="n">
        <v>144.99</v>
      </c>
      <c r="I3833" s="6" t="inlineStr"/>
      <c r="J3833" s="5" t="inlineStr"/>
      <c r="K3833" s="5" t="inlineStr">
        <is>
          <t>credit_card</t>
        </is>
      </c>
      <c r="L3833" s="7" t="n">
        <v>82</v>
      </c>
      <c r="M3833" s="5" t="inlineStr"/>
      <c r="N3833" s="5" t="inlineStr"/>
      <c r="O3833" s="5" t="inlineStr"/>
      <c r="P3833" s="5" t="inlineStr"/>
      <c r="Q3833" s="5" t="inlineStr"/>
      <c r="R3833" s="5" t="inlineStr"/>
      <c r="S3833" s="5" t="inlineStr"/>
      <c r="T3833" s="5" t="inlineStr"/>
      <c r="U3833" s="5" t="inlineStr">
        <is>
          <t>https://www.tim.com.br/sp/para-voce/planos/pos-pago/tim-black</t>
        </is>
      </c>
      <c r="V3833" s="5" t="inlineStr">
        <is>
          <t>data/raw/tim_postpaid_SP.html</t>
        </is>
      </c>
    </row>
    <row r="3834">
      <c r="A3834" s="2" t="inlineStr">
        <is>
          <t>2026-08-29</t>
        </is>
      </c>
      <c r="B3834" s="2" t="inlineStr">
        <is>
          <t>2026-08-29T19:58:27</t>
        </is>
      </c>
      <c r="C3834" s="2" t="inlineStr">
        <is>
          <t>tim</t>
        </is>
      </c>
      <c r="D3834" s="2" t="inlineStr">
        <is>
          <t>postpaid</t>
        </is>
      </c>
      <c r="E3834" s="2" t="inlineStr">
        <is>
          <t>SP</t>
        </is>
      </c>
      <c r="F3834" s="2" t="inlineStr">
        <is>
          <t>TIM Black C Express 107GB</t>
        </is>
      </c>
      <c r="G3834" s="2" t="inlineStr">
        <is>
          <t>tim:52151</t>
        </is>
      </c>
      <c r="H3834" s="3" t="n">
        <v>164.99</v>
      </c>
      <c r="I3834" s="3" t="inlineStr"/>
      <c r="J3834" s="2" t="inlineStr"/>
      <c r="K3834" s="2" t="inlineStr">
        <is>
          <t>credit_card</t>
        </is>
      </c>
      <c r="L3834" s="4" t="n">
        <v>107</v>
      </c>
      <c r="M3834" s="2" t="inlineStr"/>
      <c r="N3834" s="2" t="inlineStr"/>
      <c r="O3834" s="2" t="inlineStr"/>
      <c r="P3834" s="2" t="inlineStr"/>
      <c r="Q3834" s="2" t="inlineStr"/>
      <c r="R3834" s="2" t="inlineStr"/>
      <c r="S3834" s="2" t="inlineStr"/>
      <c r="T3834" s="2" t="inlineStr"/>
      <c r="U3834" s="2" t="inlineStr">
        <is>
          <t>https://www.tim.com.br/sp/para-voce/planos/pos-pago/tim-black</t>
        </is>
      </c>
      <c r="V3834" s="2" t="inlineStr">
        <is>
          <t>data/raw/tim_postpaid_SP.html</t>
        </is>
      </c>
    </row>
    <row r="3835">
      <c r="A3835" s="5" t="inlineStr">
        <is>
          <t>2026-08-29</t>
        </is>
      </c>
      <c r="B3835" s="5" t="inlineStr">
        <is>
          <t>2026-08-29T19:58:27</t>
        </is>
      </c>
      <c r="C3835" s="5" t="inlineStr">
        <is>
          <t>tim</t>
        </is>
      </c>
      <c r="D3835" s="5" t="inlineStr">
        <is>
          <t>postpaid</t>
        </is>
      </c>
      <c r="E3835" s="5" t="inlineStr">
        <is>
          <t>SP</t>
        </is>
      </c>
      <c r="F3835" s="5" t="inlineStr">
        <is>
          <t>TIM Black Plus 80GB</t>
        </is>
      </c>
      <c r="G3835" s="5" t="inlineStr">
        <is>
          <t>tim:54256</t>
        </is>
      </c>
      <c r="H3835" s="6" t="n">
        <v>149.99</v>
      </c>
      <c r="I3835" s="6" t="inlineStr"/>
      <c r="J3835" s="5" t="inlineStr"/>
      <c r="K3835" s="5" t="inlineStr">
        <is>
          <t>bill</t>
        </is>
      </c>
      <c r="L3835" s="7" t="n">
        <v>80</v>
      </c>
      <c r="M3835" s="5" t="inlineStr"/>
      <c r="N3835" s="5" t="inlineStr"/>
      <c r="O3835" s="5" t="inlineStr"/>
      <c r="P3835" s="5" t="inlineStr"/>
      <c r="Q3835" s="5" t="inlineStr"/>
      <c r="R3835" s="5" t="inlineStr"/>
      <c r="S3835" s="5" t="inlineStr"/>
      <c r="T3835" s="5" t="inlineStr"/>
      <c r="U3835" s="5" t="inlineStr">
        <is>
          <t>https://www.tim.com.br/sp/para-voce/planos/pos-pago/tim-black</t>
        </is>
      </c>
      <c r="V3835" s="5" t="inlineStr">
        <is>
          <t>data/raw/tim_postpaid_SP.html</t>
        </is>
      </c>
    </row>
    <row r="3836">
      <c r="A3836" s="2" t="inlineStr">
        <is>
          <t>2026-08-29</t>
        </is>
      </c>
      <c r="B3836" s="2" t="inlineStr">
        <is>
          <t>2026-08-29T19:58:27</t>
        </is>
      </c>
      <c r="C3836" s="2" t="inlineStr">
        <is>
          <t>tim</t>
        </is>
      </c>
      <c r="D3836" s="2" t="inlineStr">
        <is>
          <t>postpaid</t>
        </is>
      </c>
      <c r="E3836" s="2" t="inlineStr">
        <is>
          <t>SP</t>
        </is>
      </c>
      <c r="F3836" s="2" t="inlineStr">
        <is>
          <t>TIM Black Premium 110GB</t>
        </is>
      </c>
      <c r="G3836" s="2" t="inlineStr">
        <is>
          <t>tim:54261</t>
        </is>
      </c>
      <c r="H3836" s="3" t="n">
        <v>159.99</v>
      </c>
      <c r="I3836" s="3" t="inlineStr"/>
      <c r="J3836" s="2" t="inlineStr"/>
      <c r="K3836" s="2" t="inlineStr">
        <is>
          <t>bill</t>
        </is>
      </c>
      <c r="L3836" s="4" t="n">
        <v>110</v>
      </c>
      <c r="M3836" s="2" t="inlineStr"/>
      <c r="N3836" s="2" t="inlineStr"/>
      <c r="O3836" s="2" t="inlineStr"/>
      <c r="P3836" s="2" t="inlineStr"/>
      <c r="Q3836" s="2" t="inlineStr"/>
      <c r="R3836" s="2" t="inlineStr"/>
      <c r="S3836" s="2" t="inlineStr"/>
      <c r="T3836" s="2" t="inlineStr"/>
      <c r="U3836" s="2" t="inlineStr">
        <is>
          <t>https://www.tim.com.br/sp/para-voce/planos/pos-pago/tim-black</t>
        </is>
      </c>
      <c r="V3836" s="2" t="inlineStr">
        <is>
          <t>data/raw/tim_postpaid_SP.html</t>
        </is>
      </c>
    </row>
    <row r="3837">
      <c r="A3837" s="5" t="inlineStr">
        <is>
          <t>2026-08-29</t>
        </is>
      </c>
      <c r="B3837" s="5" t="inlineStr">
        <is>
          <t>2026-08-29T19:58:27</t>
        </is>
      </c>
      <c r="C3837" s="5" t="inlineStr">
        <is>
          <t>tim</t>
        </is>
      </c>
      <c r="D3837" s="5" t="inlineStr">
        <is>
          <t>prepaid</t>
        </is>
      </c>
      <c r="E3837" s="5" t="inlineStr">
        <is>
          <t>SP</t>
        </is>
      </c>
      <c r="F3837" s="5" t="inlineStr">
        <is>
          <t>TIM Pré XIP Plus 16GB</t>
        </is>
      </c>
      <c r="G3837" s="5" t="inlineStr">
        <is>
          <t>tim:106306</t>
        </is>
      </c>
      <c r="H3837" s="6" t="n">
        <v>30</v>
      </c>
      <c r="I3837" s="6" t="inlineStr"/>
      <c r="J3837" s="5" t="inlineStr"/>
      <c r="K3837" s="5" t="inlineStr"/>
      <c r="L3837" s="7" t="n">
        <v>16</v>
      </c>
      <c r="M3837" s="5" t="inlineStr"/>
      <c r="N3837" s="5" t="n">
        <v>30</v>
      </c>
      <c r="O3837" s="5" t="inlineStr"/>
      <c r="P3837" s="5" t="inlineStr"/>
      <c r="Q3837" s="5" t="inlineStr"/>
      <c r="R3837" s="5" t="inlineStr"/>
      <c r="S3837" s="5" t="inlineStr"/>
      <c r="T3837" s="5" t="inlineStr"/>
      <c r="U3837" s="5" t="inlineStr">
        <is>
          <t>https://www.tim.com.br/sp/para-voce/planos/pre-pago</t>
        </is>
      </c>
      <c r="V3837" s="5" t="inlineStr">
        <is>
          <t>data/raw/tim_prepaid_SP.html</t>
        </is>
      </c>
    </row>
    <row r="3838">
      <c r="A3838" s="2" t="inlineStr">
        <is>
          <t>2026-08-29</t>
        </is>
      </c>
      <c r="B3838" s="2" t="inlineStr">
        <is>
          <t>2026-08-29T19:58:27</t>
        </is>
      </c>
      <c r="C3838" s="2" t="inlineStr">
        <is>
          <t>tim</t>
        </is>
      </c>
      <c r="D3838" s="2" t="inlineStr">
        <is>
          <t>prepaid</t>
        </is>
      </c>
      <c r="E3838" s="2" t="inlineStr">
        <is>
          <t>SP</t>
        </is>
      </c>
      <c r="F3838" s="2" t="inlineStr">
        <is>
          <t>TIM Pré XIP Plus 6GB</t>
        </is>
      </c>
      <c r="G3838" s="2" t="inlineStr">
        <is>
          <t>tim:59906</t>
        </is>
      </c>
      <c r="H3838" s="3" t="n">
        <v>20</v>
      </c>
      <c r="I3838" s="3" t="inlineStr"/>
      <c r="J3838" s="2" t="inlineStr"/>
      <c r="K3838" s="2" t="inlineStr"/>
      <c r="L3838" s="4" t="n">
        <v>6</v>
      </c>
      <c r="M3838" s="2" t="inlineStr"/>
      <c r="N3838" s="2" t="n">
        <v>17</v>
      </c>
      <c r="O3838" s="2" t="inlineStr"/>
      <c r="P3838" s="2" t="inlineStr"/>
      <c r="Q3838" s="2" t="inlineStr"/>
      <c r="R3838" s="2" t="inlineStr"/>
      <c r="S3838" s="2" t="inlineStr"/>
      <c r="T3838" s="2" t="inlineStr"/>
      <c r="U3838" s="2" t="inlineStr">
        <is>
          <t>https://www.tim.com.br/sp/para-voce/planos/pre-pago</t>
        </is>
      </c>
      <c r="V3838" s="2" t="inlineStr">
        <is>
          <t>data/raw/tim_prepaid_SP.html</t>
        </is>
      </c>
    </row>
    <row r="3839">
      <c r="A3839" s="5" t="inlineStr">
        <is>
          <t>2026-08-29</t>
        </is>
      </c>
      <c r="B3839" s="5" t="inlineStr">
        <is>
          <t>2026-08-29T19:58:27</t>
        </is>
      </c>
      <c r="C3839" s="5" t="inlineStr">
        <is>
          <t>tim</t>
        </is>
      </c>
      <c r="D3839" s="5" t="inlineStr">
        <is>
          <t>prepaid</t>
        </is>
      </c>
      <c r="E3839" s="5" t="inlineStr">
        <is>
          <t>SP</t>
        </is>
      </c>
      <c r="F3839" s="5" t="inlineStr">
        <is>
          <t>TIM Pré XIP Plus 8GB</t>
        </is>
      </c>
      <c r="G3839" s="5" t="inlineStr">
        <is>
          <t>tim:59901</t>
        </is>
      </c>
      <c r="H3839" s="6" t="n">
        <v>25</v>
      </c>
      <c r="I3839" s="6" t="inlineStr"/>
      <c r="J3839" s="5" t="inlineStr"/>
      <c r="K3839" s="5" t="inlineStr"/>
      <c r="L3839" s="7" t="n">
        <v>8</v>
      </c>
      <c r="M3839" s="5" t="inlineStr"/>
      <c r="N3839" s="5" t="n">
        <v>22</v>
      </c>
      <c r="O3839" s="5" t="inlineStr"/>
      <c r="P3839" s="5" t="inlineStr"/>
      <c r="Q3839" s="5" t="inlineStr"/>
      <c r="R3839" s="5" t="inlineStr"/>
      <c r="S3839" s="5" t="inlineStr"/>
      <c r="T3839" s="5" t="inlineStr"/>
      <c r="U3839" s="5" t="inlineStr">
        <is>
          <t>https://www.tim.com.br/sp/para-voce/planos/pre-pago</t>
        </is>
      </c>
      <c r="V3839" s="5" t="inlineStr">
        <is>
          <t>data/raw/tim_prepaid_SP.html</t>
        </is>
      </c>
    </row>
    <row r="3840">
      <c r="A3840" s="2" t="inlineStr">
        <is>
          <t>2026-08-29</t>
        </is>
      </c>
      <c r="B3840" s="2" t="inlineStr">
        <is>
          <t>2026-08-29T19:58:27</t>
        </is>
      </c>
      <c r="C3840" s="2" t="inlineStr">
        <is>
          <t>vivo</t>
        </is>
      </c>
      <c r="D3840" s="2" t="inlineStr">
        <is>
          <t>control</t>
        </is>
      </c>
      <c r="E3840" s="2" t="inlineStr">
        <is>
          <t>SP</t>
        </is>
      </c>
      <c r="F3840" s="2" t="inlineStr">
        <is>
          <t>Vivo Controle</t>
        </is>
      </c>
      <c r="G3840" s="2" t="inlineStr">
        <is>
          <t>vivo:VIV202600034591</t>
        </is>
      </c>
      <c r="H3840" s="3" t="n">
        <v>59</v>
      </c>
      <c r="I3840" s="3" t="inlineStr"/>
      <c r="J3840" s="2" t="inlineStr"/>
      <c r="K3840" s="2" t="inlineStr"/>
      <c r="L3840" s="4" t="n">
        <v>45</v>
      </c>
      <c r="M3840" s="2" t="inlineStr">
        <is>
          <t>15 GB de franquia 30 GB de bônus</t>
        </is>
      </c>
      <c r="N3840" s="2" t="inlineStr"/>
      <c r="O3840" s="2" t="inlineStr"/>
      <c r="P3840" s="2" t="inlineStr"/>
      <c r="Q3840" s="2" t="inlineStr"/>
      <c r="R3840" s="2" t="inlineStr"/>
      <c r="S3840" s="2" t="inlineStr"/>
      <c r="T3840" s="2" t="inlineStr">
        <is>
          <t>6 meses grátis de Gemini com AI Plus</t>
        </is>
      </c>
      <c r="U3840" s="2" t="inlineStr">
        <is>
          <t>https://vivo.com.br/para-voce/produtos-e-servicos/para-o-celular/planos-controle</t>
        </is>
      </c>
      <c r="V3840" s="2" t="inlineStr">
        <is>
          <t>data/raw/vivo_control_SP.html</t>
        </is>
      </c>
    </row>
    <row r="3841">
      <c r="A3841" s="5" t="inlineStr">
        <is>
          <t>2026-08-29</t>
        </is>
      </c>
      <c r="B3841" s="5" t="inlineStr">
        <is>
          <t>2026-08-29T19:58:27</t>
        </is>
      </c>
      <c r="C3841" s="5" t="inlineStr">
        <is>
          <t>vivo</t>
        </is>
      </c>
      <c r="D3841" s="5" t="inlineStr">
        <is>
          <t>control</t>
        </is>
      </c>
      <c r="E3841" s="5" t="inlineStr">
        <is>
          <t>SP</t>
        </is>
      </c>
      <c r="F3841" s="5" t="inlineStr">
        <is>
          <t>Vivo Controle</t>
        </is>
      </c>
      <c r="G3841" s="5" t="inlineStr">
        <is>
          <t>vivo:VIV202600034599</t>
        </is>
      </c>
      <c r="H3841" s="6" t="n">
        <v>75</v>
      </c>
      <c r="I3841" s="6" t="inlineStr"/>
      <c r="J3841" s="5" t="inlineStr">
        <is>
          <t>preço-base do plano; a tela exibia R$ 80 com o adicional pré-selecionado (+R$ 5/mês, opcional); 60 GB na tela incluem +10 GB do adicional</t>
        </is>
      </c>
      <c r="K3841" s="5" t="inlineStr"/>
      <c r="L3841" s="7" t="n">
        <v>50</v>
      </c>
      <c r="M3841" s="5" t="inlineStr">
        <is>
          <t>20 GB de franquia 30 GB de bônus</t>
        </is>
      </c>
      <c r="N3841" s="5" t="inlineStr"/>
      <c r="O3841" s="5" t="inlineStr"/>
      <c r="P3841" s="5" t="inlineStr"/>
      <c r="Q3841" s="5" t="inlineStr"/>
      <c r="R3841" s="5" t="inlineStr"/>
      <c r="S3841" s="5" t="inlineStr"/>
      <c r="T3841" s="5" t="inlineStr">
        <is>
          <t>6 meses grátis de Gemini com AI Plus</t>
        </is>
      </c>
      <c r="U3841" s="5" t="inlineStr">
        <is>
          <t>https://vivo.com.br/para-voce/produtos-e-servicos/para-o-celular/planos-controle</t>
        </is>
      </c>
      <c r="V3841" s="5" t="inlineStr">
        <is>
          <t>data/raw/vivo_control_SP.html</t>
        </is>
      </c>
    </row>
    <row r="3842">
      <c r="A3842" s="2" t="inlineStr">
        <is>
          <t>2026-08-29</t>
        </is>
      </c>
      <c r="B3842" s="2" t="inlineStr">
        <is>
          <t>2026-08-29T19:58:27</t>
        </is>
      </c>
      <c r="C3842" s="2" t="inlineStr">
        <is>
          <t>vivo</t>
        </is>
      </c>
      <c r="D3842" s="2" t="inlineStr">
        <is>
          <t>control</t>
        </is>
      </c>
      <c r="E3842" s="2" t="inlineStr">
        <is>
          <t>SP</t>
        </is>
      </c>
      <c r="F3842" s="2" t="inlineStr">
        <is>
          <t>Vivo Controle Educação</t>
        </is>
      </c>
      <c r="G3842" s="2" t="inlineStr">
        <is>
          <t>vivo:VIV202600034616</t>
        </is>
      </c>
      <c r="H3842" s="3" t="n">
        <v>85</v>
      </c>
      <c r="I3842" s="3" t="inlineStr"/>
      <c r="J3842" s="2" t="inlineStr">
        <is>
          <t>preço-base do plano; a tela exibia R$ 90 com o adicional pré-selecionado (+R$ 5/mês, opcional); 60 GB na tela incluem +10 GB do adicional</t>
        </is>
      </c>
      <c r="K3842" s="2" t="inlineStr"/>
      <c r="L3842" s="4" t="n">
        <v>50</v>
      </c>
      <c r="M3842" s="2" t="inlineStr">
        <is>
          <t>20 GB de franquia 30 GB de bônus</t>
        </is>
      </c>
      <c r="N3842" s="2" t="inlineStr"/>
      <c r="O3842" s="2" t="inlineStr"/>
      <c r="P3842" s="2" t="inlineStr"/>
      <c r="Q3842" s="2" t="inlineStr"/>
      <c r="R3842" s="2" t="inlineStr"/>
      <c r="S3842" s="2" t="inlineStr"/>
      <c r="T3842" s="2" t="inlineStr">
        <is>
          <t>Assinatura Vivae inclusa</t>
        </is>
      </c>
      <c r="U3842" s="2" t="inlineStr">
        <is>
          <t>https://vivo.com.br/para-voce/produtos-e-servicos/para-o-celular/planos-controle</t>
        </is>
      </c>
      <c r="V3842" s="2" t="inlineStr">
        <is>
          <t>data/raw/vivo_control_SP.html</t>
        </is>
      </c>
    </row>
    <row r="3843">
      <c r="A3843" s="5" t="inlineStr">
        <is>
          <t>2026-08-29</t>
        </is>
      </c>
      <c r="B3843" s="5" t="inlineStr">
        <is>
          <t>2026-08-29T19:58:27</t>
        </is>
      </c>
      <c r="C3843" s="5" t="inlineStr">
        <is>
          <t>vivo</t>
        </is>
      </c>
      <c r="D3843" s="5" t="inlineStr">
        <is>
          <t>control</t>
        </is>
      </c>
      <c r="E3843" s="5" t="inlineStr">
        <is>
          <t>SP</t>
        </is>
      </c>
      <c r="F3843" s="5" t="inlineStr">
        <is>
          <t>Vivo Controle Entretenimento</t>
        </is>
      </c>
      <c r="G3843" s="5" t="inlineStr">
        <is>
          <t>vivo:VIV202600034619</t>
        </is>
      </c>
      <c r="H3843" s="6" t="n">
        <v>105</v>
      </c>
      <c r="I3843" s="6" t="inlineStr"/>
      <c r="J3843" s="5" t="inlineStr">
        <is>
          <t>preço-base do plano; a tela exibia R$ 110 com o adicional pré-selecionado (+R$ 5/mês, opcional); 60 GB na tela incluem +10 GB do adicional</t>
        </is>
      </c>
      <c r="K3843" s="5" t="inlineStr"/>
      <c r="L3843" s="7" t="n">
        <v>50</v>
      </c>
      <c r="M3843" s="5" t="inlineStr">
        <is>
          <t>20 GB de franquia 30 GB de bônus</t>
        </is>
      </c>
      <c r="N3843" s="5" t="inlineStr"/>
      <c r="O3843" s="5" t="inlineStr"/>
      <c r="P3843" s="5" t="inlineStr"/>
      <c r="Q3843" s="5" t="inlineStr"/>
      <c r="R3843" s="5" t="inlineStr"/>
      <c r="S3843" s="5" t="inlineStr"/>
      <c r="T3843" s="5" t="inlineStr">
        <is>
          <t>Assinatura Vivo TV Inicial inclusa</t>
        </is>
      </c>
      <c r="U3843" s="5" t="inlineStr">
        <is>
          <t>https://vivo.com.br/para-voce/produtos-e-servicos/para-o-celular/planos-controle</t>
        </is>
      </c>
      <c r="V3843" s="5" t="inlineStr">
        <is>
          <t>data/raw/vivo_control_SP.html</t>
        </is>
      </c>
    </row>
    <row r="3844">
      <c r="A3844" s="2" t="inlineStr">
        <is>
          <t>2026-08-29</t>
        </is>
      </c>
      <c r="B3844" s="2" t="inlineStr">
        <is>
          <t>2026-08-29T19:58:27</t>
        </is>
      </c>
      <c r="C3844" s="2" t="inlineStr">
        <is>
          <t>vivo</t>
        </is>
      </c>
      <c r="D3844" s="2" t="inlineStr">
        <is>
          <t>control</t>
        </is>
      </c>
      <c r="E3844" s="2" t="inlineStr">
        <is>
          <t>SP</t>
        </is>
      </c>
      <c r="F3844" s="2" t="inlineStr">
        <is>
          <t>Vivo Controle Música</t>
        </is>
      </c>
      <c r="G3844" s="2" t="inlineStr">
        <is>
          <t>vivo:VIV202600034620</t>
        </is>
      </c>
      <c r="H3844" s="3" t="n">
        <v>85</v>
      </c>
      <c r="I3844" s="3" t="inlineStr"/>
      <c r="J3844" s="2" t="inlineStr">
        <is>
          <t>preço-base do plano; a tela exibia R$ 90 com o adicional pré-selecionado (+R$ 5/mês, opcional); 60 GB na tela incluem +10 GB do adicional</t>
        </is>
      </c>
      <c r="K3844" s="2" t="inlineStr"/>
      <c r="L3844" s="4" t="n">
        <v>50</v>
      </c>
      <c r="M3844" s="2" t="inlineStr">
        <is>
          <t>20 GB de franquia 30 GB de bônus</t>
        </is>
      </c>
      <c r="N3844" s="2" t="inlineStr"/>
      <c r="O3844" s="2" t="inlineStr"/>
      <c r="P3844" s="2" t="inlineStr"/>
      <c r="Q3844" s="2" t="inlineStr"/>
      <c r="R3844" s="2" t="inlineStr"/>
      <c r="S3844" s="2" t="inlineStr"/>
      <c r="T3844" s="2" t="inlineStr">
        <is>
          <t>Apple Music Individual</t>
        </is>
      </c>
      <c r="U3844" s="2" t="inlineStr">
        <is>
          <t>https://vivo.com.br/para-voce/produtos-e-servicos/para-o-celular/planos-controle</t>
        </is>
      </c>
      <c r="V3844" s="2" t="inlineStr">
        <is>
          <t>data/raw/vivo_control_SP.html</t>
        </is>
      </c>
    </row>
    <row r="3845">
      <c r="A3845" s="5" t="inlineStr">
        <is>
          <t>2026-08-29</t>
        </is>
      </c>
      <c r="B3845" s="5" t="inlineStr">
        <is>
          <t>2026-08-29T19:58:27</t>
        </is>
      </c>
      <c r="C3845" s="5" t="inlineStr">
        <is>
          <t>vivo</t>
        </is>
      </c>
      <c r="D3845" s="5" t="inlineStr">
        <is>
          <t>control</t>
        </is>
      </c>
      <c r="E3845" s="5" t="inlineStr">
        <is>
          <t>SP</t>
        </is>
      </c>
      <c r="F3845" s="5" t="inlineStr">
        <is>
          <t>Vivo Controle Netflix</t>
        </is>
      </c>
      <c r="G3845" s="5" t="inlineStr">
        <is>
          <t>vivo:VIV202600034623</t>
        </is>
      </c>
      <c r="H3845" s="6" t="n">
        <v>90</v>
      </c>
      <c r="I3845" s="6" t="inlineStr"/>
      <c r="J3845" s="5" t="inlineStr">
        <is>
          <t>preço-base do plano; a tela exibia R$ 95 com o adicional pré-selecionado (+R$ 5/mês, opcional); 60 GB na tela incluem +10 GB do adicional</t>
        </is>
      </c>
      <c r="K3845" s="5" t="inlineStr"/>
      <c r="L3845" s="7" t="n">
        <v>50</v>
      </c>
      <c r="M3845" s="5" t="inlineStr">
        <is>
          <t>20 GB de franquia 30 GB de bônus</t>
        </is>
      </c>
      <c r="N3845" s="5" t="inlineStr"/>
      <c r="O3845" s="5" t="inlineStr"/>
      <c r="P3845" s="5" t="inlineStr"/>
      <c r="Q3845" s="5" t="inlineStr"/>
      <c r="R3845" s="5" t="inlineStr"/>
      <c r="S3845" s="5" t="inlineStr"/>
      <c r="T3845" s="5" t="inlineStr">
        <is>
          <t>Assinatura Netflix Padrão com anúncios</t>
        </is>
      </c>
      <c r="U3845" s="5" t="inlineStr">
        <is>
          <t>https://vivo.com.br/para-voce/produtos-e-servicos/para-o-celular/planos-controle</t>
        </is>
      </c>
      <c r="V3845" s="5" t="inlineStr">
        <is>
          <t>data/raw/vivo_control_SP.html</t>
        </is>
      </c>
    </row>
    <row r="3846">
      <c r="A3846" s="2" t="inlineStr">
        <is>
          <t>2026-08-29</t>
        </is>
      </c>
      <c r="B3846" s="2" t="inlineStr">
        <is>
          <t>2026-08-29T19:58:27</t>
        </is>
      </c>
      <c r="C3846" s="2" t="inlineStr">
        <is>
          <t>vivo</t>
        </is>
      </c>
      <c r="D3846" s="2" t="inlineStr">
        <is>
          <t>control</t>
        </is>
      </c>
      <c r="E3846" s="2" t="inlineStr">
        <is>
          <t>SP</t>
        </is>
      </c>
      <c r="F3846" s="2" t="inlineStr">
        <is>
          <t>Vivo Controle Saúde</t>
        </is>
      </c>
      <c r="G3846" s="2" t="inlineStr">
        <is>
          <t>vivo:VIV202600034625</t>
        </is>
      </c>
      <c r="H3846" s="3" t="n">
        <v>85</v>
      </c>
      <c r="I3846" s="3" t="inlineStr"/>
      <c r="J3846" s="2" t="inlineStr">
        <is>
          <t>preço-base do plano; a tela exibia R$ 90 com o adicional pré-selecionado (+R$ 5/mês, opcional); 60 GB na tela incluem +10 GB do adicional</t>
        </is>
      </c>
      <c r="K3846" s="2" t="inlineStr"/>
      <c r="L3846" s="4" t="n">
        <v>50</v>
      </c>
      <c r="M3846" s="2" t="inlineStr">
        <is>
          <t>20 GB de franquia 30 GB de bônus</t>
        </is>
      </c>
      <c r="N3846" s="2" t="inlineStr"/>
      <c r="O3846" s="2" t="inlineStr"/>
      <c r="P3846" s="2" t="inlineStr"/>
      <c r="Q3846" s="2" t="inlineStr"/>
      <c r="R3846" s="2" t="inlineStr"/>
      <c r="S3846" s="2" t="inlineStr"/>
      <c r="T3846" s="2" t="inlineStr">
        <is>
          <t>Assinatura Vale Saúde Sempre inclusa</t>
        </is>
      </c>
      <c r="U3846" s="2" t="inlineStr">
        <is>
          <t>https://vivo.com.br/para-voce/produtos-e-servicos/para-o-celular/planos-controle</t>
        </is>
      </c>
      <c r="V3846" s="2" t="inlineStr">
        <is>
          <t>data/raw/vivo_control_SP.html</t>
        </is>
      </c>
    </row>
    <row r="3847">
      <c r="A3847" s="5" t="inlineStr">
        <is>
          <t>2026-08-29</t>
        </is>
      </c>
      <c r="B3847" s="5" t="inlineStr">
        <is>
          <t>2026-08-29T19:58:27</t>
        </is>
      </c>
      <c r="C3847" s="5" t="inlineStr">
        <is>
          <t>vivo</t>
        </is>
      </c>
      <c r="D3847" s="5" t="inlineStr">
        <is>
          <t>control</t>
        </is>
      </c>
      <c r="E3847" s="5" t="inlineStr">
        <is>
          <t>SP</t>
        </is>
      </c>
      <c r="F3847" s="5" t="inlineStr">
        <is>
          <t>Vivo Controle Youtube Lite</t>
        </is>
      </c>
      <c r="G3847" s="5" t="inlineStr">
        <is>
          <t>vivo:VIV202600034626</t>
        </is>
      </c>
      <c r="H3847" s="6" t="n">
        <v>85</v>
      </c>
      <c r="I3847" s="6" t="inlineStr"/>
      <c r="J3847" s="5" t="inlineStr">
        <is>
          <t>preço-base do plano; a tela exibia R$ 90 com o adicional pré-selecionado (+R$ 5/mês, opcional); 60 GB na tela incluem +10 GB do adicional</t>
        </is>
      </c>
      <c r="K3847" s="5" t="inlineStr"/>
      <c r="L3847" s="7" t="n">
        <v>50</v>
      </c>
      <c r="M3847" s="5" t="inlineStr">
        <is>
          <t>20 GB de franquia 30 GB de bônus</t>
        </is>
      </c>
      <c r="N3847" s="5" t="inlineStr"/>
      <c r="O3847" s="5" t="inlineStr"/>
      <c r="P3847" s="5" t="inlineStr"/>
      <c r="Q3847" s="5" t="inlineStr"/>
      <c r="R3847" s="5" t="inlineStr"/>
      <c r="S3847" s="5" t="inlineStr"/>
      <c r="T3847" s="5" t="inlineStr">
        <is>
          <t>Assinatura Youtube Premium Lite Inclusa</t>
        </is>
      </c>
      <c r="U3847" s="5" t="inlineStr">
        <is>
          <t>https://vivo.com.br/para-voce/produtos-e-servicos/para-o-celular/planos-controle</t>
        </is>
      </c>
      <c r="V3847" s="5" t="inlineStr">
        <is>
          <t>data/raw/vivo_control_SP.html</t>
        </is>
      </c>
    </row>
    <row r="3848">
      <c r="A3848" s="2" t="inlineStr">
        <is>
          <t>2026-08-29</t>
        </is>
      </c>
      <c r="B3848" s="2" t="inlineStr">
        <is>
          <t>2026-08-29T19:58:27</t>
        </is>
      </c>
      <c r="C3848" s="2" t="inlineStr">
        <is>
          <t>vivo</t>
        </is>
      </c>
      <c r="D3848" s="2" t="inlineStr">
        <is>
          <t>lite</t>
        </is>
      </c>
      <c r="E3848" s="2" t="inlineStr">
        <is>
          <t>SP</t>
        </is>
      </c>
      <c r="F3848" s="2" t="inlineStr">
        <is>
          <t>Vivo Lite</t>
        </is>
      </c>
      <c r="G3848" s="2" t="inlineStr">
        <is>
          <t>vivo:VIV202600033987</t>
        </is>
      </c>
      <c r="H3848" s="3" t="n">
        <v>45</v>
      </c>
      <c r="I3848" s="3" t="n">
        <v>30</v>
      </c>
      <c r="J3848" s="2" t="inlineStr">
        <is>
          <t>preço sem fidelidade; fidelidade 12m no promo</t>
        </is>
      </c>
      <c r="K3848" s="2" t="inlineStr"/>
      <c r="L3848" s="4" t="n">
        <v>30</v>
      </c>
      <c r="M3848" s="2" t="inlineStr">
        <is>
          <t>30 GB de franquia</t>
        </is>
      </c>
      <c r="N3848" s="2" t="inlineStr"/>
      <c r="O3848" s="2" t="inlineStr"/>
      <c r="P3848" s="2" t="inlineStr"/>
      <c r="Q3848" s="2" t="inlineStr"/>
      <c r="R3848" s="2" t="inlineStr"/>
      <c r="S3848" s="2" t="n">
        <v>12</v>
      </c>
      <c r="T3848" s="2" t="inlineStr"/>
      <c r="U3848" s="2" t="inlineStr">
        <is>
          <t>https://vivo.com.br/para-voce/produtos-e-servicos/para-o-celular/easy-lite</t>
        </is>
      </c>
      <c r="V3848" s="2" t="inlineStr">
        <is>
          <t>data/raw/vivo_lite_SP.html</t>
        </is>
      </c>
    </row>
    <row r="3849">
      <c r="A3849" s="5" t="inlineStr">
        <is>
          <t>2026-08-29</t>
        </is>
      </c>
      <c r="B3849" s="5" t="inlineStr">
        <is>
          <t>2026-08-29T19:58:27</t>
        </is>
      </c>
      <c r="C3849" s="5" t="inlineStr">
        <is>
          <t>vivo</t>
        </is>
      </c>
      <c r="D3849" s="5" t="inlineStr">
        <is>
          <t>lite</t>
        </is>
      </c>
      <c r="E3849" s="5" t="inlineStr">
        <is>
          <t>SP</t>
        </is>
      </c>
      <c r="F3849" s="5" t="inlineStr">
        <is>
          <t>Vivo Lite</t>
        </is>
      </c>
      <c r="G3849" s="5" t="inlineStr">
        <is>
          <t>vivo:VIV202600033989</t>
        </is>
      </c>
      <c r="H3849" s="6" t="n">
        <v>55</v>
      </c>
      <c r="I3849" s="6" t="n">
        <v>40</v>
      </c>
      <c r="J3849" s="5" t="inlineStr">
        <is>
          <t>preço sem fidelidade; fidelidade 12m no promo</t>
        </is>
      </c>
      <c r="K3849" s="5" t="inlineStr"/>
      <c r="L3849" s="7" t="n">
        <v>40</v>
      </c>
      <c r="M3849" s="5" t="inlineStr">
        <is>
          <t>40 GB de franquia</t>
        </is>
      </c>
      <c r="N3849" s="5" t="inlineStr"/>
      <c r="O3849" s="5" t="inlineStr"/>
      <c r="P3849" s="5" t="inlineStr"/>
      <c r="Q3849" s="5" t="inlineStr"/>
      <c r="R3849" s="5" t="inlineStr"/>
      <c r="S3849" s="5" t="n">
        <v>12</v>
      </c>
      <c r="T3849" s="5" t="inlineStr"/>
      <c r="U3849" s="5" t="inlineStr">
        <is>
          <t>https://vivo.com.br/para-voce/produtos-e-servicos/para-o-celular/easy-lite</t>
        </is>
      </c>
      <c r="V3849" s="5" t="inlineStr">
        <is>
          <t>data/raw/vivo_lite_SP.html</t>
        </is>
      </c>
    </row>
    <row r="3850">
      <c r="A3850" s="2" t="inlineStr">
        <is>
          <t>2026-08-29</t>
        </is>
      </c>
      <c r="B3850" s="2" t="inlineStr">
        <is>
          <t>2026-08-29T19:58:27</t>
        </is>
      </c>
      <c r="C3850" s="2" t="inlineStr">
        <is>
          <t>vivo</t>
        </is>
      </c>
      <c r="D3850" s="2" t="inlineStr">
        <is>
          <t>lite</t>
        </is>
      </c>
      <c r="E3850" s="2" t="inlineStr">
        <is>
          <t>SP</t>
        </is>
      </c>
      <c r="F3850" s="2" t="inlineStr">
        <is>
          <t>Vivo Lite</t>
        </is>
      </c>
      <c r="G3850" s="2" t="inlineStr">
        <is>
          <t>vivo:VIV202600033992</t>
        </is>
      </c>
      <c r="H3850" s="3" t="n">
        <v>35</v>
      </c>
      <c r="I3850" s="3" t="inlineStr"/>
      <c r="J3850" s="2" t="inlineStr"/>
      <c r="K3850" s="2" t="inlineStr"/>
      <c r="L3850" s="4" t="n">
        <v>20</v>
      </c>
      <c r="M3850" s="2" t="inlineStr">
        <is>
          <t>20 GB de franquia</t>
        </is>
      </c>
      <c r="N3850" s="2" t="inlineStr"/>
      <c r="O3850" s="2" t="inlineStr"/>
      <c r="P3850" s="2" t="inlineStr"/>
      <c r="Q3850" s="2" t="inlineStr"/>
      <c r="R3850" s="2" t="inlineStr"/>
      <c r="S3850" s="2" t="inlineStr"/>
      <c r="T3850" s="2" t="inlineStr"/>
      <c r="U3850" s="2" t="inlineStr">
        <is>
          <t>https://vivo.com.br/para-voce/produtos-e-servicos/para-o-celular/easy-lite</t>
        </is>
      </c>
      <c r="V3850" s="2" t="inlineStr">
        <is>
          <t>data/raw/vivo_lite_SP.html</t>
        </is>
      </c>
    </row>
    <row r="3851">
      <c r="A3851" s="5" t="inlineStr">
        <is>
          <t>2026-08-29</t>
        </is>
      </c>
      <c r="B3851" s="5" t="inlineStr">
        <is>
          <t>2026-08-29T19:58:27</t>
        </is>
      </c>
      <c r="C3851" s="5" t="inlineStr">
        <is>
          <t>vivo</t>
        </is>
      </c>
      <c r="D3851" s="5" t="inlineStr">
        <is>
          <t>postpaid</t>
        </is>
      </c>
      <c r="E3851" s="5" t="inlineStr">
        <is>
          <t>SP</t>
        </is>
      </c>
      <c r="F3851" s="5" t="inlineStr">
        <is>
          <t>Vivo Família 2</t>
        </is>
      </c>
      <c r="G3851" s="5" t="inlineStr">
        <is>
          <t>vivo:VIV202600034547</t>
        </is>
      </c>
      <c r="H3851" s="6" t="n">
        <v>270</v>
      </c>
      <c r="I3851" s="6" t="inlineStr"/>
      <c r="J3851" s="5" t="inlineStr"/>
      <c r="K3851" s="5" t="inlineStr"/>
      <c r="L3851" s="7" t="n">
        <v>120</v>
      </c>
      <c r="M3851" s="5" t="inlineStr">
        <is>
          <t>120 GB de franquia Você + 1 linha adicional Roaming Internacional com Vivo Travel Américas e Europa</t>
        </is>
      </c>
      <c r="N3851" s="5" t="inlineStr"/>
      <c r="O3851" s="5" t="inlineStr"/>
      <c r="P3851" s="5" t="inlineStr"/>
      <c r="Q3851" s="5" t="inlineStr"/>
      <c r="R3851" s="5" t="inlineStr"/>
      <c r="S3851" s="5" t="inlineStr"/>
      <c r="T3851" s="5" t="inlineStr">
        <is>
          <t>12 meses grátis de Gemini com AI Plus</t>
        </is>
      </c>
      <c r="U3851" s="5" t="inlineStr">
        <is>
          <t>https://vivo.com.br/para-voce/produtos-e-servicos/para-o-celular/planos-pos-pago</t>
        </is>
      </c>
      <c r="V3851" s="5" t="inlineStr">
        <is>
          <t>data/raw/vivo_postpaid_SP.html</t>
        </is>
      </c>
    </row>
    <row r="3852">
      <c r="A3852" s="2" t="inlineStr">
        <is>
          <t>2026-08-29</t>
        </is>
      </c>
      <c r="B3852" s="2" t="inlineStr">
        <is>
          <t>2026-08-29T19:58:27</t>
        </is>
      </c>
      <c r="C3852" s="2" t="inlineStr">
        <is>
          <t>vivo</t>
        </is>
      </c>
      <c r="D3852" s="2" t="inlineStr">
        <is>
          <t>postpaid</t>
        </is>
      </c>
      <c r="E3852" s="2" t="inlineStr">
        <is>
          <t>SP</t>
        </is>
      </c>
      <c r="F3852" s="2" t="inlineStr">
        <is>
          <t>Vivo Família 3</t>
        </is>
      </c>
      <c r="G3852" s="2" t="inlineStr">
        <is>
          <t>vivo:VIV202600034540</t>
        </is>
      </c>
      <c r="H3852" s="3" t="n">
        <v>340</v>
      </c>
      <c r="I3852" s="3" t="inlineStr"/>
      <c r="J3852" s="2" t="inlineStr"/>
      <c r="K3852" s="2" t="inlineStr"/>
      <c r="L3852" s="4" t="n">
        <v>180</v>
      </c>
      <c r="M3852" s="2" t="inlineStr">
        <is>
          <t>180 GB de franquia Você + 2 linhas adicionais Roaming Internacional com Vivo Travel Américas e Europa</t>
        </is>
      </c>
      <c r="N3852" s="2" t="inlineStr"/>
      <c r="O3852" s="2" t="inlineStr"/>
      <c r="P3852" s="2" t="inlineStr"/>
      <c r="Q3852" s="2" t="inlineStr"/>
      <c r="R3852" s="2" t="inlineStr"/>
      <c r="S3852" s="2" t="inlineStr"/>
      <c r="T3852" s="2" t="inlineStr">
        <is>
          <t>12 meses grátis de Gemini com AI Plus</t>
        </is>
      </c>
      <c r="U3852" s="2" t="inlineStr">
        <is>
          <t>https://vivo.com.br/para-voce/produtos-e-servicos/para-o-celular/planos-pos-pago</t>
        </is>
      </c>
      <c r="V3852" s="2" t="inlineStr">
        <is>
          <t>data/raw/vivo_postpaid_SP.html</t>
        </is>
      </c>
    </row>
    <row r="3853">
      <c r="A3853" s="5" t="inlineStr">
        <is>
          <t>2026-08-29</t>
        </is>
      </c>
      <c r="B3853" s="5" t="inlineStr">
        <is>
          <t>2026-08-29T19:58:27</t>
        </is>
      </c>
      <c r="C3853" s="5" t="inlineStr">
        <is>
          <t>vivo</t>
        </is>
      </c>
      <c r="D3853" s="5" t="inlineStr">
        <is>
          <t>postpaid</t>
        </is>
      </c>
      <c r="E3853" s="5" t="inlineStr">
        <is>
          <t>SP</t>
        </is>
      </c>
      <c r="F3853" s="5" t="inlineStr">
        <is>
          <t>Vivo Família 4</t>
        </is>
      </c>
      <c r="G3853" s="5" t="inlineStr">
        <is>
          <t>vivo:VIV202600034531</t>
        </is>
      </c>
      <c r="H3853" s="6" t="n">
        <v>430</v>
      </c>
      <c r="I3853" s="6" t="inlineStr"/>
      <c r="J3853" s="5" t="inlineStr"/>
      <c r="K3853" s="5" t="inlineStr"/>
      <c r="L3853" s="7" t="n">
        <v>240</v>
      </c>
      <c r="M3853" s="5" t="inlineStr">
        <is>
          <t>240 GB de franquia Você + 3 linhas adicionais Roaming Internacional com Vivo Travel Américas e Europa</t>
        </is>
      </c>
      <c r="N3853" s="5" t="inlineStr"/>
      <c r="O3853" s="5" t="inlineStr"/>
      <c r="P3853" s="5" t="inlineStr"/>
      <c r="Q3853" s="5" t="inlineStr"/>
      <c r="R3853" s="5" t="inlineStr"/>
      <c r="S3853" s="5" t="inlineStr"/>
      <c r="T3853" s="5" t="inlineStr">
        <is>
          <t>12 meses grátis de Gemini com AI Plus</t>
        </is>
      </c>
      <c r="U3853" s="5" t="inlineStr">
        <is>
          <t>https://vivo.com.br/para-voce/produtos-e-servicos/para-o-celular/planos-pos-pago</t>
        </is>
      </c>
      <c r="V3853" s="5" t="inlineStr">
        <is>
          <t>data/raw/vivo_postpaid_SP.html</t>
        </is>
      </c>
    </row>
    <row r="3854">
      <c r="A3854" s="2" t="inlineStr">
        <is>
          <t>2026-08-29</t>
        </is>
      </c>
      <c r="B3854" s="2" t="inlineStr">
        <is>
          <t>2026-08-29T19:58:27</t>
        </is>
      </c>
      <c r="C3854" s="2" t="inlineStr">
        <is>
          <t>vivo</t>
        </is>
      </c>
      <c r="D3854" s="2" t="inlineStr">
        <is>
          <t>postpaid</t>
        </is>
      </c>
      <c r="E3854" s="2" t="inlineStr">
        <is>
          <t>SP</t>
        </is>
      </c>
      <c r="F3854" s="2" t="inlineStr">
        <is>
          <t>Vivo Família 5</t>
        </is>
      </c>
      <c r="G3854" s="2" t="inlineStr">
        <is>
          <t>vivo:VIV202600034526</t>
        </is>
      </c>
      <c r="H3854" s="3" t="n">
        <v>530</v>
      </c>
      <c r="I3854" s="3" t="inlineStr"/>
      <c r="J3854" s="2" t="inlineStr"/>
      <c r="K3854" s="2" t="inlineStr"/>
      <c r="L3854" s="4" t="n">
        <v>300</v>
      </c>
      <c r="M3854" s="2" t="inlineStr">
        <is>
          <t>300 GB de franquia Você + 4 linhas adicionais Roaming Internacional com Vivo Travel Américas e Europa</t>
        </is>
      </c>
      <c r="N3854" s="2" t="inlineStr"/>
      <c r="O3854" s="2" t="inlineStr"/>
      <c r="P3854" s="2" t="inlineStr"/>
      <c r="Q3854" s="2" t="inlineStr"/>
      <c r="R3854" s="2" t="inlineStr"/>
      <c r="S3854" s="2" t="inlineStr"/>
      <c r="T3854" s="2" t="inlineStr">
        <is>
          <t>12 meses grátis de Gemini com AI Plus</t>
        </is>
      </c>
      <c r="U3854" s="2" t="inlineStr">
        <is>
          <t>https://vivo.com.br/para-voce/produtos-e-servicos/para-o-celular/planos-pos-pago</t>
        </is>
      </c>
      <c r="V3854" s="2" t="inlineStr">
        <is>
          <t>data/raw/vivo_postpaid_SP.html</t>
        </is>
      </c>
    </row>
    <row r="3855">
      <c r="A3855" s="5" t="inlineStr">
        <is>
          <t>2026-08-29</t>
        </is>
      </c>
      <c r="B3855" s="5" t="inlineStr">
        <is>
          <t>2026-08-29T19:58:27</t>
        </is>
      </c>
      <c r="C3855" s="5" t="inlineStr">
        <is>
          <t>vivo</t>
        </is>
      </c>
      <c r="D3855" s="5" t="inlineStr">
        <is>
          <t>postpaid</t>
        </is>
      </c>
      <c r="E3855" s="5" t="inlineStr">
        <is>
          <t>SP</t>
        </is>
      </c>
      <c r="F3855" s="5" t="inlineStr">
        <is>
          <t>Vivo Pós com Amazon</t>
        </is>
      </c>
      <c r="G3855" s="5" t="inlineStr">
        <is>
          <t>vivo:VIV202600034554</t>
        </is>
      </c>
      <c r="H3855" s="6" t="n">
        <v>150</v>
      </c>
      <c r="I3855" s="6" t="inlineStr"/>
      <c r="J3855" s="5" t="inlineStr"/>
      <c r="K3855" s="5" t="inlineStr"/>
      <c r="L3855" s="7" t="n">
        <v>60</v>
      </c>
      <c r="M3855" s="5" t="inlineStr">
        <is>
          <t>50 GB de franquia 10 GB de bônus</t>
        </is>
      </c>
      <c r="N3855" s="5" t="inlineStr"/>
      <c r="O3855" s="5" t="inlineStr"/>
      <c r="P3855" s="5" t="inlineStr"/>
      <c r="Q3855" s="5" t="inlineStr"/>
      <c r="R3855" s="5" t="inlineStr"/>
      <c r="S3855" s="5" t="inlineStr"/>
      <c r="T3855" s="5" t="inlineStr">
        <is>
          <t>Assinatura Amazon Prime inclusa</t>
        </is>
      </c>
      <c r="U3855" s="5" t="inlineStr">
        <is>
          <t>https://vivo.com.br/para-voce/produtos-e-servicos/para-o-celular/planos-pos-pago</t>
        </is>
      </c>
      <c r="V3855" s="5" t="inlineStr">
        <is>
          <t>data/raw/vivo_postpaid_SP.html</t>
        </is>
      </c>
    </row>
    <row r="3856">
      <c r="A3856" s="2" t="inlineStr">
        <is>
          <t>2026-08-29</t>
        </is>
      </c>
      <c r="B3856" s="2" t="inlineStr">
        <is>
          <t>2026-08-29T19:58:27</t>
        </is>
      </c>
      <c r="C3856" s="2" t="inlineStr">
        <is>
          <t>vivo</t>
        </is>
      </c>
      <c r="D3856" s="2" t="inlineStr">
        <is>
          <t>postpaid</t>
        </is>
      </c>
      <c r="E3856" s="2" t="inlineStr">
        <is>
          <t>SP</t>
        </is>
      </c>
      <c r="F3856" s="2" t="inlineStr">
        <is>
          <t>Vivo Pós com Disney+</t>
        </is>
      </c>
      <c r="G3856" s="2" t="inlineStr">
        <is>
          <t>vivo:VIV202600034532</t>
        </is>
      </c>
      <c r="H3856" s="3" t="n">
        <v>180</v>
      </c>
      <c r="I3856" s="3" t="inlineStr"/>
      <c r="J3856" s="2" t="inlineStr"/>
      <c r="K3856" s="2" t="inlineStr"/>
      <c r="L3856" s="4" t="n">
        <v>60</v>
      </c>
      <c r="M3856" s="2" t="inlineStr">
        <is>
          <t>50 GB de franquia 10 GB de bônus</t>
        </is>
      </c>
      <c r="N3856" s="2" t="inlineStr"/>
      <c r="O3856" s="2" t="inlineStr"/>
      <c r="P3856" s="2" t="inlineStr"/>
      <c r="Q3856" s="2" t="inlineStr"/>
      <c r="R3856" s="2" t="inlineStr">
        <is>
          <t>Disney+</t>
        </is>
      </c>
      <c r="S3856" s="2" t="inlineStr"/>
      <c r="T3856" s="2" t="inlineStr">
        <is>
          <t>Assinatura Disney+ Padrão inclusa</t>
        </is>
      </c>
      <c r="U3856" s="2" t="inlineStr">
        <is>
          <t>https://vivo.com.br/para-voce/produtos-e-servicos/para-o-celular/planos-pos-pago</t>
        </is>
      </c>
      <c r="V3856" s="2" t="inlineStr">
        <is>
          <t>data/raw/vivo_postpaid_SP.html</t>
        </is>
      </c>
    </row>
    <row r="3857">
      <c r="A3857" s="5" t="inlineStr">
        <is>
          <t>2026-08-29</t>
        </is>
      </c>
      <c r="B3857" s="5" t="inlineStr">
        <is>
          <t>2026-08-29T19:58:27</t>
        </is>
      </c>
      <c r="C3857" s="5" t="inlineStr">
        <is>
          <t>vivo</t>
        </is>
      </c>
      <c r="D3857" s="5" t="inlineStr">
        <is>
          <t>postpaid</t>
        </is>
      </c>
      <c r="E3857" s="5" t="inlineStr">
        <is>
          <t>SP</t>
        </is>
      </c>
      <c r="F3857" s="5" t="inlineStr">
        <is>
          <t>Vivo Pós com Globoplay</t>
        </is>
      </c>
      <c r="G3857" s="5" t="inlineStr">
        <is>
          <t>vivo:VIV202600034575</t>
        </is>
      </c>
      <c r="H3857" s="6" t="n">
        <v>165</v>
      </c>
      <c r="I3857" s="6" t="inlineStr"/>
      <c r="J3857" s="5" t="inlineStr"/>
      <c r="K3857" s="5" t="inlineStr"/>
      <c r="L3857" s="7" t="n">
        <v>60</v>
      </c>
      <c r="M3857" s="5" t="inlineStr">
        <is>
          <t>50 GB de franquia 10 GB de bônus</t>
        </is>
      </c>
      <c r="N3857" s="5" t="inlineStr"/>
      <c r="O3857" s="5" t="inlineStr"/>
      <c r="P3857" s="5" t="inlineStr"/>
      <c r="Q3857" s="5" t="inlineStr"/>
      <c r="R3857" s="5" t="inlineStr">
        <is>
          <t>Globoplay</t>
        </is>
      </c>
      <c r="S3857" s="5" t="inlineStr"/>
      <c r="T3857" s="5" t="inlineStr">
        <is>
          <t>Assinatura Globoplay inclusa</t>
        </is>
      </c>
      <c r="U3857" s="5" t="inlineStr">
        <is>
          <t>https://vivo.com.br/para-voce/produtos-e-servicos/para-o-celular/planos-pos-pago</t>
        </is>
      </c>
      <c r="V3857" s="5" t="inlineStr">
        <is>
          <t>data/raw/vivo_postpaid_SP.html</t>
        </is>
      </c>
    </row>
    <row r="3858">
      <c r="A3858" s="2" t="inlineStr">
        <is>
          <t>2026-08-29</t>
        </is>
      </c>
      <c r="B3858" s="2" t="inlineStr">
        <is>
          <t>2026-08-29T19:58:27</t>
        </is>
      </c>
      <c r="C3858" s="2" t="inlineStr">
        <is>
          <t>vivo</t>
        </is>
      </c>
      <c r="D3858" s="2" t="inlineStr">
        <is>
          <t>postpaid</t>
        </is>
      </c>
      <c r="E3858" s="2" t="inlineStr">
        <is>
          <t>SP</t>
        </is>
      </c>
      <c r="F3858" s="2" t="inlineStr">
        <is>
          <t>Vivo Pós com Netflix</t>
        </is>
      </c>
      <c r="G3858" s="2" t="inlineStr">
        <is>
          <t>vivo:VIV202600034562</t>
        </is>
      </c>
      <c r="H3858" s="3" t="n">
        <v>180</v>
      </c>
      <c r="I3858" s="3" t="inlineStr"/>
      <c r="J3858" s="2" t="inlineStr"/>
      <c r="K3858" s="2" t="inlineStr"/>
      <c r="L3858" s="4" t="n">
        <v>60</v>
      </c>
      <c r="M3858" s="2" t="inlineStr">
        <is>
          <t>50 GB de franquia 10 GB de bônus</t>
        </is>
      </c>
      <c r="N3858" s="2" t="inlineStr"/>
      <c r="O3858" s="2" t="inlineStr"/>
      <c r="P3858" s="2" t="inlineStr"/>
      <c r="Q3858" s="2" t="inlineStr"/>
      <c r="R3858" s="2" t="inlineStr">
        <is>
          <t>Netflix</t>
        </is>
      </c>
      <c r="S3858" s="2" t="inlineStr"/>
      <c r="T3858" s="2" t="inlineStr">
        <is>
          <t>Assinatura Netflix Padrão inclusa</t>
        </is>
      </c>
      <c r="U3858" s="2" t="inlineStr">
        <is>
          <t>https://vivo.com.br/para-voce/produtos-e-servicos/para-o-celular/planos-pos-pago</t>
        </is>
      </c>
      <c r="V3858" s="2" t="inlineStr">
        <is>
          <t>data/raw/vivo_postpaid_SP.html</t>
        </is>
      </c>
    </row>
    <row r="3859">
      <c r="A3859" s="5" t="inlineStr">
        <is>
          <t>2026-08-29</t>
        </is>
      </c>
      <c r="B3859" s="5" t="inlineStr">
        <is>
          <t>2026-08-29T19:58:27</t>
        </is>
      </c>
      <c r="C3859" s="5" t="inlineStr">
        <is>
          <t>vivo</t>
        </is>
      </c>
      <c r="D3859" s="5" t="inlineStr">
        <is>
          <t>postpaid</t>
        </is>
      </c>
      <c r="E3859" s="5" t="inlineStr">
        <is>
          <t>SP</t>
        </is>
      </c>
      <c r="F3859" s="5" t="inlineStr">
        <is>
          <t>Vivo Pós com Premiere</t>
        </is>
      </c>
      <c r="G3859" s="5" t="inlineStr">
        <is>
          <t>vivo:VIV202600034579</t>
        </is>
      </c>
      <c r="H3859" s="6" t="n">
        <v>180</v>
      </c>
      <c r="I3859" s="6" t="inlineStr"/>
      <c r="J3859" s="5" t="inlineStr"/>
      <c r="K3859" s="5" t="inlineStr"/>
      <c r="L3859" s="7" t="n">
        <v>60</v>
      </c>
      <c r="M3859" s="5" t="inlineStr">
        <is>
          <t>50 GB de franquia 10 GB de bônus</t>
        </is>
      </c>
      <c r="N3859" s="5" t="inlineStr"/>
      <c r="O3859" s="5" t="inlineStr"/>
      <c r="P3859" s="5" t="inlineStr"/>
      <c r="Q3859" s="5" t="inlineStr"/>
      <c r="R3859" s="5" t="inlineStr">
        <is>
          <t>Premiere</t>
        </is>
      </c>
      <c r="S3859" s="5" t="inlineStr"/>
      <c r="T3859" s="5" t="inlineStr">
        <is>
          <t>Assinatura Premiere inclusa</t>
        </is>
      </c>
      <c r="U3859" s="5" t="inlineStr">
        <is>
          <t>https://vivo.com.br/para-voce/produtos-e-servicos/para-o-celular/planos-pos-pago</t>
        </is>
      </c>
      <c r="V3859" s="5" t="inlineStr">
        <is>
          <t>data/raw/vivo_postpaid_SP.html</t>
        </is>
      </c>
    </row>
    <row r="3860">
      <c r="A3860" s="2" t="inlineStr">
        <is>
          <t>2026-08-29</t>
        </is>
      </c>
      <c r="B3860" s="2" t="inlineStr">
        <is>
          <t>2026-08-29T19:58:27</t>
        </is>
      </c>
      <c r="C3860" s="2" t="inlineStr">
        <is>
          <t>vivo</t>
        </is>
      </c>
      <c r="D3860" s="2" t="inlineStr">
        <is>
          <t>postpaid</t>
        </is>
      </c>
      <c r="E3860" s="2" t="inlineStr">
        <is>
          <t>SP</t>
        </is>
      </c>
      <c r="F3860" s="2" t="inlineStr">
        <is>
          <t>Vivo Pós com Spotify</t>
        </is>
      </c>
      <c r="G3860" s="2" t="inlineStr">
        <is>
          <t>vivo:VIV202600034556</t>
        </is>
      </c>
      <c r="H3860" s="3" t="n">
        <v>165</v>
      </c>
      <c r="I3860" s="3" t="inlineStr"/>
      <c r="J3860" s="2" t="inlineStr"/>
      <c r="K3860" s="2" t="inlineStr"/>
      <c r="L3860" s="4" t="n">
        <v>60</v>
      </c>
      <c r="M3860" s="2" t="inlineStr">
        <is>
          <t>50 GB de franquia 10 GB de bônus</t>
        </is>
      </c>
      <c r="N3860" s="2" t="inlineStr"/>
      <c r="O3860" s="2" t="inlineStr"/>
      <c r="P3860" s="2" t="inlineStr"/>
      <c r="Q3860" s="2" t="inlineStr"/>
      <c r="R3860" s="2" t="inlineStr">
        <is>
          <t>Spotify</t>
        </is>
      </c>
      <c r="S3860" s="2" t="inlineStr"/>
      <c r="T3860" s="2" t="inlineStr">
        <is>
          <t>Assinatura Spotify Premium inclusa</t>
        </is>
      </c>
      <c r="U3860" s="2" t="inlineStr">
        <is>
          <t>https://vivo.com.br/para-voce/produtos-e-servicos/para-o-celular/planos-pos-pago</t>
        </is>
      </c>
      <c r="V3860" s="2" t="inlineStr">
        <is>
          <t>data/raw/vivo_postpaid_SP.html</t>
        </is>
      </c>
    </row>
    <row r="3861">
      <c r="A3861" s="5" t="inlineStr">
        <is>
          <t>2026-08-29</t>
        </is>
      </c>
      <c r="B3861" s="5" t="inlineStr">
        <is>
          <t>2026-08-29T19:58:27</t>
        </is>
      </c>
      <c r="C3861" s="5" t="inlineStr">
        <is>
          <t>vivo</t>
        </is>
      </c>
      <c r="D3861" s="5" t="inlineStr">
        <is>
          <t>postpaid</t>
        </is>
      </c>
      <c r="E3861" s="5" t="inlineStr">
        <is>
          <t>SP</t>
        </is>
      </c>
      <c r="F3861" s="5" t="inlineStr">
        <is>
          <t>Vivo Pós com Travel</t>
        </is>
      </c>
      <c r="G3861" s="5" t="inlineStr">
        <is>
          <t>vivo:VIV202600034573</t>
        </is>
      </c>
      <c r="H3861" s="6" t="n">
        <v>215</v>
      </c>
      <c r="I3861" s="6" t="inlineStr"/>
      <c r="J3861" s="5" t="inlineStr"/>
      <c r="K3861" s="5" t="inlineStr"/>
      <c r="L3861" s="7" t="n">
        <v>70</v>
      </c>
      <c r="M3861" s="5" t="inlineStr">
        <is>
          <t>60 GB de franquia 10 GB de bônus</t>
        </is>
      </c>
      <c r="N3861" s="5" t="inlineStr"/>
      <c r="O3861" s="5" t="inlineStr"/>
      <c r="P3861" s="5" t="inlineStr"/>
      <c r="Q3861" s="5" t="inlineStr"/>
      <c r="R3861" s="5" t="inlineStr"/>
      <c r="S3861" s="5" t="inlineStr"/>
      <c r="T3861" s="5" t="inlineStr">
        <is>
          <t>6 meses grátis de Gemini com AI Plus</t>
        </is>
      </c>
      <c r="U3861" s="5" t="inlineStr">
        <is>
          <t>https://vivo.com.br/para-voce/produtos-e-servicos/para-o-celular/planos-pos-pago</t>
        </is>
      </c>
      <c r="V3861" s="5" t="inlineStr">
        <is>
          <t>data/raw/vivo_postpaid_SP.html</t>
        </is>
      </c>
    </row>
    <row r="3862">
      <c r="A3862" s="2" t="inlineStr">
        <is>
          <t>2026-08-29</t>
        </is>
      </c>
      <c r="B3862" s="2" t="inlineStr">
        <is>
          <t>2026-08-29T19:58:27</t>
        </is>
      </c>
      <c r="C3862" s="2" t="inlineStr">
        <is>
          <t>vivo</t>
        </is>
      </c>
      <c r="D3862" s="2" t="inlineStr">
        <is>
          <t>prepaid</t>
        </is>
      </c>
      <c r="E3862" s="2" t="inlineStr">
        <is>
          <t>SP</t>
        </is>
      </c>
      <c r="F3862" s="2" t="inlineStr">
        <is>
          <t>Vivo Pré</t>
        </is>
      </c>
      <c r="G3862" s="2" t="inlineStr">
        <is>
          <t>vivo:VIV202600029370-30d</t>
        </is>
      </c>
      <c r="H3862" s="3" t="n">
        <v>30</v>
      </c>
      <c r="I3862" s="3" t="inlineStr"/>
      <c r="J3862" s="2" t="inlineStr"/>
      <c r="K3862" s="2" t="inlineStr"/>
      <c r="L3862" s="4" t="n">
        <v>25</v>
      </c>
      <c r="M3862" s="2" t="inlineStr">
        <is>
          <t>15 GB para navegar como quiser 5 GB de bônus 5 GB para navegar no Youtube</t>
        </is>
      </c>
      <c r="N3862" s="2" t="n">
        <v>30</v>
      </c>
      <c r="O3862" s="2" t="inlineStr"/>
      <c r="P3862" s="2" t="inlineStr"/>
      <c r="Q3862" s="2" t="inlineStr"/>
      <c r="R3862" s="2" t="inlineStr"/>
      <c r="S3862" s="2" t="inlineStr"/>
      <c r="T3862" s="2" t="inlineStr"/>
      <c r="U3862" s="2" t="inlineStr">
        <is>
          <t>https://vivo.com.br/para-voce/produtos-e-servicos/para-o-celular/pre-pago/vivo-pre</t>
        </is>
      </c>
      <c r="V3862" s="2" t="inlineStr">
        <is>
          <t>data/raw/vivo_prepaid_SP.html</t>
        </is>
      </c>
    </row>
    <row r="3863">
      <c r="A3863" s="5" t="inlineStr">
        <is>
          <t>2026-08-29</t>
        </is>
      </c>
      <c r="B3863" s="5" t="inlineStr">
        <is>
          <t>2026-08-29T19:58:27</t>
        </is>
      </c>
      <c r="C3863" s="5" t="inlineStr">
        <is>
          <t>vivo</t>
        </is>
      </c>
      <c r="D3863" s="5" t="inlineStr">
        <is>
          <t>prepaid</t>
        </is>
      </c>
      <c r="E3863" s="5" t="inlineStr">
        <is>
          <t>SP</t>
        </is>
      </c>
      <c r="F3863" s="5" t="inlineStr">
        <is>
          <t>Vivo Pré</t>
        </is>
      </c>
      <c r="G3863" s="5" t="inlineStr">
        <is>
          <t>vivo:VIV202600029370-22d</t>
        </is>
      </c>
      <c r="H3863" s="6" t="n">
        <v>25</v>
      </c>
      <c r="I3863" s="6" t="inlineStr"/>
      <c r="J3863" s="5" t="inlineStr"/>
      <c r="K3863" s="5" t="inlineStr"/>
      <c r="L3863" s="7" t="n">
        <v>9</v>
      </c>
      <c r="M3863" s="5" t="inlineStr">
        <is>
          <t>6 GB para navegar como quiser 3 GB para navegar no YouTube</t>
        </is>
      </c>
      <c r="N3863" s="5" t="n">
        <v>22</v>
      </c>
      <c r="O3863" s="5" t="inlineStr"/>
      <c r="P3863" s="5" t="inlineStr"/>
      <c r="Q3863" s="5" t="inlineStr"/>
      <c r="R3863" s="5" t="inlineStr"/>
      <c r="S3863" s="5" t="inlineStr"/>
      <c r="T3863" s="5" t="inlineStr"/>
      <c r="U3863" s="5" t="inlineStr">
        <is>
          <t>https://vivo.com.br/para-voce/produtos-e-servicos/para-o-celular/pre-pago/vivo-pre</t>
        </is>
      </c>
      <c r="V3863" s="5" t="inlineStr">
        <is>
          <t>data/raw/vivo_prepaid_SP.html</t>
        </is>
      </c>
    </row>
    <row r="3864">
      <c r="A3864" s="2" t="inlineStr">
        <is>
          <t>2026-08-29</t>
        </is>
      </c>
      <c r="B3864" s="2" t="inlineStr">
        <is>
          <t>2026-08-29T19:58:27</t>
        </is>
      </c>
      <c r="C3864" s="2" t="inlineStr">
        <is>
          <t>vivo</t>
        </is>
      </c>
      <c r="D3864" s="2" t="inlineStr">
        <is>
          <t>prepaid</t>
        </is>
      </c>
      <c r="E3864" s="2" t="inlineStr">
        <is>
          <t>SP</t>
        </is>
      </c>
      <c r="F3864" s="2" t="inlineStr">
        <is>
          <t>Vivo Pré</t>
        </is>
      </c>
      <c r="G3864" s="2" t="inlineStr">
        <is>
          <t>vivo:VIV202600029370-17d</t>
        </is>
      </c>
      <c r="H3864" s="3" t="n">
        <v>20</v>
      </c>
      <c r="I3864" s="3" t="inlineStr"/>
      <c r="J3864" s="2" t="inlineStr"/>
      <c r="K3864" s="2" t="inlineStr"/>
      <c r="L3864" s="4" t="n">
        <v>5</v>
      </c>
      <c r="M3864" s="2" t="inlineStr">
        <is>
          <t>5 GB para navegar como quiser</t>
        </is>
      </c>
      <c r="N3864" s="2" t="n">
        <v>17</v>
      </c>
      <c r="O3864" s="2" t="inlineStr"/>
      <c r="P3864" s="2" t="inlineStr"/>
      <c r="Q3864" s="2" t="inlineStr"/>
      <c r="R3864" s="2" t="inlineStr"/>
      <c r="S3864" s="2" t="inlineStr"/>
      <c r="T3864" s="2" t="inlineStr"/>
      <c r="U3864" s="2" t="inlineStr">
        <is>
          <t>https://vivo.com.br/para-voce/produtos-e-servicos/para-o-celular/pre-pago/vivo-pre</t>
        </is>
      </c>
      <c r="V3864" s="2" t="inlineStr">
        <is>
          <t>data/raw/vivo_prepaid_SP.html</t>
        </is>
      </c>
    </row>
    <row r="3865">
      <c r="A3865" s="5" t="inlineStr">
        <is>
          <t>2026-08-29</t>
        </is>
      </c>
      <c r="B3865" s="5" t="inlineStr">
        <is>
          <t>2026-08-29T19:58:27</t>
        </is>
      </c>
      <c r="C3865" s="5" t="inlineStr">
        <is>
          <t>vivo</t>
        </is>
      </c>
      <c r="D3865" s="5" t="inlineStr">
        <is>
          <t>prepaid</t>
        </is>
      </c>
      <c r="E3865" s="5" t="inlineStr">
        <is>
          <t>SP</t>
        </is>
      </c>
      <c r="F3865" s="5" t="inlineStr">
        <is>
          <t>Vivo Pré</t>
        </is>
      </c>
      <c r="G3865" s="5" t="inlineStr">
        <is>
          <t>vivo:VIV202600029370-15d</t>
        </is>
      </c>
      <c r="H3865" s="6" t="n">
        <v>17</v>
      </c>
      <c r="I3865" s="6" t="inlineStr"/>
      <c r="J3865" s="5" t="inlineStr"/>
      <c r="K3865" s="5" t="inlineStr"/>
      <c r="L3865" s="7" t="n">
        <v>4</v>
      </c>
      <c r="M3865" s="5" t="inlineStr">
        <is>
          <t>4 GB para navegar como quiser</t>
        </is>
      </c>
      <c r="N3865" s="5" t="n">
        <v>15</v>
      </c>
      <c r="O3865" s="5" t="inlineStr"/>
      <c r="P3865" s="5" t="inlineStr"/>
      <c r="Q3865" s="5" t="inlineStr"/>
      <c r="R3865" s="5" t="inlineStr"/>
      <c r="S3865" s="5" t="inlineStr"/>
      <c r="T3865" s="5" t="inlineStr"/>
      <c r="U3865" s="5" t="inlineStr">
        <is>
          <t>https://vivo.com.br/para-voce/produtos-e-servicos/para-o-celular/pre-pago/vivo-pre</t>
        </is>
      </c>
      <c r="V3865" s="5" t="inlineStr">
        <is>
          <t>data/raw/vivo_prepaid_SP.html</t>
        </is>
      </c>
    </row>
    <row r="3866">
      <c r="A3866" s="2" t="inlineStr">
        <is>
          <t>2026-08-30</t>
        </is>
      </c>
      <c r="B3866" s="2" t="inlineStr">
        <is>
          <t>2026-08-30T20:06:52</t>
        </is>
      </c>
      <c r="C3866" s="2" t="inlineStr">
        <is>
          <t>claro</t>
        </is>
      </c>
      <c r="D3866" s="2" t="inlineStr">
        <is>
          <t>control</t>
        </is>
      </c>
      <c r="E3866" s="2" t="inlineStr">
        <is>
          <t>SP</t>
        </is>
      </c>
      <c r="F3866" s="2" t="inlineStr">
        <is>
          <t>Controle 25GB</t>
        </is>
      </c>
      <c r="G3866" s="2" t="inlineStr">
        <is>
          <t>claro:plano-controle-25gb</t>
        </is>
      </c>
      <c r="H3866" s="3" t="n">
        <v>59.9</v>
      </c>
      <c r="I3866" s="3" t="n">
        <v>54.9</v>
      </c>
      <c r="J3866" s="2" t="inlineStr">
        <is>
          <t>De R$ 59,90 Por:</t>
        </is>
      </c>
      <c r="K3866" s="2" t="inlineStr"/>
      <c r="L3866" s="4" t="n">
        <v>25</v>
      </c>
      <c r="M3866" s="2" t="inlineStr"/>
      <c r="N3866" s="2" t="inlineStr"/>
      <c r="O3866" s="2" t="inlineStr">
        <is>
          <t>WhatsApp</t>
        </is>
      </c>
      <c r="P3866" s="2" t="inlineStr"/>
      <c r="Q3866" s="2" t="inlineStr"/>
      <c r="R3866" s="2" t="inlineStr"/>
      <c r="S3866" s="2" t="inlineStr"/>
      <c r="T3866" s="2" t="inlineStr">
        <is>
          <t>Para uso livre; Para redes sociais e vídeos; Bônus exclusivo; Aproveite na sua franquia; WhatsApp e ligações ilimitadas</t>
        </is>
      </c>
      <c r="U3866" s="2" t="inlineStr">
        <is>
          <t>https://www.claro.com.br/celular/controle</t>
        </is>
      </c>
      <c r="V3866" s="2" t="inlineStr">
        <is>
          <t>data/raw/claro_control_SP.json</t>
        </is>
      </c>
    </row>
    <row r="3867">
      <c r="A3867" s="5" t="inlineStr">
        <is>
          <t>2026-08-30</t>
        </is>
      </c>
      <c r="B3867" s="5" t="inlineStr">
        <is>
          <t>2026-08-30T20:06:52</t>
        </is>
      </c>
      <c r="C3867" s="5" t="inlineStr">
        <is>
          <t>claro</t>
        </is>
      </c>
      <c r="D3867" s="5" t="inlineStr">
        <is>
          <t>control</t>
        </is>
      </c>
      <c r="E3867" s="5" t="inlineStr">
        <is>
          <t>SP</t>
        </is>
      </c>
      <c r="F3867" s="5" t="inlineStr">
        <is>
          <t>Controle 30GB</t>
        </is>
      </c>
      <c r="G3867" s="5" t="inlineStr">
        <is>
          <t>claro:plano-controle-30gb</t>
        </is>
      </c>
      <c r="H3867" s="6" t="n">
        <v>69.90000000000001</v>
      </c>
      <c r="I3867" s="6" t="inlineStr"/>
      <c r="J3867" s="5" t="inlineStr"/>
      <c r="K3867" s="5" t="inlineStr"/>
      <c r="L3867" s="7" t="n">
        <v>30</v>
      </c>
      <c r="M3867" s="5" t="inlineStr"/>
      <c r="N3867" s="5" t="inlineStr"/>
      <c r="O3867" s="5" t="inlineStr">
        <is>
          <t>WhatsApp</t>
        </is>
      </c>
      <c r="P3867" s="5" t="inlineStr"/>
      <c r="Q3867" s="5" t="inlineStr"/>
      <c r="R3867" s="5" t="inlineStr"/>
      <c r="S3867" s="5" t="inlineStr"/>
      <c r="T3867" s="5" t="inlineStr">
        <is>
          <t>Para uso livre; Bônus para uso livre; Bônus para redes sociais e apps; Assinatura Amazon Prime por 3 meses; Redes sociais e apps; WhatsApp ilimitado</t>
        </is>
      </c>
      <c r="U3867" s="5" t="inlineStr">
        <is>
          <t>https://www.claro.com.br/celular/controle</t>
        </is>
      </c>
      <c r="V3867" s="5" t="inlineStr">
        <is>
          <t>data/raw/claro_control_SP.json</t>
        </is>
      </c>
    </row>
    <row r="3868">
      <c r="A3868" s="2" t="inlineStr">
        <is>
          <t>2026-08-30</t>
        </is>
      </c>
      <c r="B3868" s="2" t="inlineStr">
        <is>
          <t>2026-08-30T20:06:52</t>
        </is>
      </c>
      <c r="C3868" s="2" t="inlineStr">
        <is>
          <t>claro</t>
        </is>
      </c>
      <c r="D3868" s="2" t="inlineStr">
        <is>
          <t>control</t>
        </is>
      </c>
      <c r="E3868" s="2" t="inlineStr">
        <is>
          <t>SP</t>
        </is>
      </c>
      <c r="F3868" s="2" t="inlineStr">
        <is>
          <t>Controle 30GB</t>
        </is>
      </c>
      <c r="G3868" s="2" t="inlineStr">
        <is>
          <t>claro:plano-controle-30gb-gaming</t>
        </is>
      </c>
      <c r="H3868" s="3" t="n">
        <v>99.90000000000001</v>
      </c>
      <c r="I3868" s="3" t="inlineStr"/>
      <c r="J3868" s="2" t="inlineStr"/>
      <c r="K3868" s="2" t="inlineStr"/>
      <c r="L3868" s="4" t="n">
        <v>30</v>
      </c>
      <c r="M3868" s="2" t="inlineStr"/>
      <c r="N3868" s="2" t="inlineStr"/>
      <c r="O3868" s="2" t="inlineStr">
        <is>
          <t>WhatsApp</t>
        </is>
      </c>
      <c r="P3868" s="2" t="inlineStr"/>
      <c r="Q3868" s="2" t="inlineStr"/>
      <c r="R3868" s="2" t="inlineStr"/>
      <c r="S3868" s="2" t="inlineStr"/>
      <c r="T3868" s="2" t="inlineStr">
        <is>
          <t>Para uso livre; Bônus para redes sociais e apps; Bônus uso livre; Assinatura Amazon Prime por 3 meses; Redes sociais e apps; WhatsApp ilimitado</t>
        </is>
      </c>
      <c r="U3868" s="2" t="inlineStr">
        <is>
          <t>https://www.claro.com.br/celular/controle</t>
        </is>
      </c>
      <c r="V3868" s="2" t="inlineStr">
        <is>
          <t>data/raw/claro_control_SP.json</t>
        </is>
      </c>
    </row>
    <row r="3869">
      <c r="A3869" s="5" t="inlineStr">
        <is>
          <t>2026-08-30</t>
        </is>
      </c>
      <c r="B3869" s="5" t="inlineStr">
        <is>
          <t>2026-08-30T20:06:52</t>
        </is>
      </c>
      <c r="C3869" s="5" t="inlineStr">
        <is>
          <t>claro</t>
        </is>
      </c>
      <c r="D3869" s="5" t="inlineStr">
        <is>
          <t>flex</t>
        </is>
      </c>
      <c r="E3869" s="5" t="inlineStr">
        <is>
          <t>SP</t>
        </is>
      </c>
      <c r="F3869" s="5" t="inlineStr">
        <is>
          <t>Flex 15GB</t>
        </is>
      </c>
      <c r="G3869" s="5" t="inlineStr">
        <is>
          <t>claro:plano-flex-15gb</t>
        </is>
      </c>
      <c r="H3869" s="6" t="n">
        <v>44.9</v>
      </c>
      <c r="I3869" s="6" t="inlineStr"/>
      <c r="J3869" s="5" t="inlineStr"/>
      <c r="K3869" s="5" t="inlineStr"/>
      <c r="L3869" s="7" t="n">
        <v>15</v>
      </c>
      <c r="M3869" s="5" t="inlineStr"/>
      <c r="N3869" s="5" t="inlineStr"/>
      <c r="O3869" s="5" t="inlineStr">
        <is>
          <t>WhatsApp</t>
        </is>
      </c>
      <c r="P3869" s="5" t="inlineStr"/>
      <c r="Q3869" s="5" t="inlineStr"/>
      <c r="R3869" s="5" t="inlineStr"/>
      <c r="S3869" s="5" t="inlineStr"/>
      <c r="T3869" s="5" t="inlineStr">
        <is>
          <t>Para uso livre; Bônus Pais para uso livre; Para redes sociais e apps; Bônus extra nos apps; WhatsApp ilimitado</t>
        </is>
      </c>
      <c r="U3869" s="5" t="inlineStr">
        <is>
          <t>https://www.claro.com.br/celular/flex</t>
        </is>
      </c>
      <c r="V3869" s="5" t="inlineStr">
        <is>
          <t>data/raw/claro_flex_SP.json</t>
        </is>
      </c>
    </row>
    <row r="3870">
      <c r="A3870" s="2" t="inlineStr">
        <is>
          <t>2026-08-30</t>
        </is>
      </c>
      <c r="B3870" s="2" t="inlineStr">
        <is>
          <t>2026-08-30T20:06:52</t>
        </is>
      </c>
      <c r="C3870" s="2" t="inlineStr">
        <is>
          <t>claro</t>
        </is>
      </c>
      <c r="D3870" s="2" t="inlineStr">
        <is>
          <t>flex</t>
        </is>
      </c>
      <c r="E3870" s="2" t="inlineStr">
        <is>
          <t>SP</t>
        </is>
      </c>
      <c r="F3870" s="2" t="inlineStr">
        <is>
          <t>Flex 20GB</t>
        </is>
      </c>
      <c r="G3870" s="2" t="inlineStr">
        <is>
          <t>claro:plano-flex-20gb</t>
        </is>
      </c>
      <c r="H3870" s="3" t="n">
        <v>59.9</v>
      </c>
      <c r="I3870" s="3" t="inlineStr"/>
      <c r="J3870" s="2" t="inlineStr"/>
      <c r="K3870" s="2" t="inlineStr"/>
      <c r="L3870" s="4" t="n">
        <v>20</v>
      </c>
      <c r="M3870" s="2" t="inlineStr"/>
      <c r="N3870" s="2" t="inlineStr"/>
      <c r="O3870" s="2" t="inlineStr">
        <is>
          <t>WhatsApp</t>
        </is>
      </c>
      <c r="P3870" s="2" t="inlineStr"/>
      <c r="Q3870" s="2" t="inlineStr"/>
      <c r="R3870" s="2" t="inlineStr"/>
      <c r="S3870" s="2" t="inlineStr"/>
      <c r="T3870" s="2" t="inlineStr">
        <is>
          <t>Para uso livre; Bônus Pais para uso livre; Para redes sociais e apps; Bônus extra nos apps; WhatsApp ilimitado</t>
        </is>
      </c>
      <c r="U3870" s="2" t="inlineStr">
        <is>
          <t>https://www.claro.com.br/celular/flex</t>
        </is>
      </c>
      <c r="V3870" s="2" t="inlineStr">
        <is>
          <t>data/raw/claro_flex_SP.json</t>
        </is>
      </c>
    </row>
    <row r="3871">
      <c r="A3871" s="5" t="inlineStr">
        <is>
          <t>2026-08-30</t>
        </is>
      </c>
      <c r="B3871" s="5" t="inlineStr">
        <is>
          <t>2026-08-30T20:06:52</t>
        </is>
      </c>
      <c r="C3871" s="5" t="inlineStr">
        <is>
          <t>claro</t>
        </is>
      </c>
      <c r="D3871" s="5" t="inlineStr">
        <is>
          <t>flex</t>
        </is>
      </c>
      <c r="E3871" s="5" t="inlineStr">
        <is>
          <t>SP</t>
        </is>
      </c>
      <c r="F3871" s="5" t="inlineStr">
        <is>
          <t>Flex 30GB</t>
        </is>
      </c>
      <c r="G3871" s="5" t="inlineStr">
        <is>
          <t>claro:plano-flex-30gb</t>
        </is>
      </c>
      <c r="H3871" s="6" t="n">
        <v>69.90000000000001</v>
      </c>
      <c r="I3871" s="6" t="inlineStr"/>
      <c r="J3871" s="5" t="inlineStr"/>
      <c r="K3871" s="5" t="inlineStr"/>
      <c r="L3871" s="7" t="n">
        <v>30</v>
      </c>
      <c r="M3871" s="5" t="inlineStr"/>
      <c r="N3871" s="5" t="inlineStr"/>
      <c r="O3871" s="5" t="inlineStr">
        <is>
          <t>WhatsApp</t>
        </is>
      </c>
      <c r="P3871" s="5" t="inlineStr"/>
      <c r="Q3871" s="5" t="inlineStr"/>
      <c r="R3871" s="5" t="inlineStr"/>
      <c r="S3871" s="5" t="inlineStr"/>
      <c r="T3871" s="5" t="inlineStr">
        <is>
          <t>Para uso livre; Bônus Pais para uso livre; Para redes sociais e apps; Bônus extra nos apps; WhatsApp ilimitado; Assinatura Claro musica inclusa</t>
        </is>
      </c>
      <c r="U3871" s="5" t="inlineStr">
        <is>
          <t>https://www.claro.com.br/celular/flex</t>
        </is>
      </c>
      <c r="V3871" s="5" t="inlineStr">
        <is>
          <t>data/raw/claro_flex_SP.json</t>
        </is>
      </c>
    </row>
    <row r="3872">
      <c r="A3872" s="2" t="inlineStr">
        <is>
          <t>2026-08-30</t>
        </is>
      </c>
      <c r="B3872" s="2" t="inlineStr">
        <is>
          <t>2026-08-30T20:06:52</t>
        </is>
      </c>
      <c r="C3872" s="2" t="inlineStr">
        <is>
          <t>claro</t>
        </is>
      </c>
      <c r="D3872" s="2" t="inlineStr">
        <is>
          <t>flex</t>
        </is>
      </c>
      <c r="E3872" s="2" t="inlineStr">
        <is>
          <t>SP</t>
        </is>
      </c>
      <c r="F3872" s="2" t="inlineStr">
        <is>
          <t>Flex 40GB</t>
        </is>
      </c>
      <c r="G3872" s="2" t="inlineStr">
        <is>
          <t>claro:plano-flex-40gb</t>
        </is>
      </c>
      <c r="H3872" s="3" t="n">
        <v>119.9</v>
      </c>
      <c r="I3872" s="3" t="inlineStr"/>
      <c r="J3872" s="2" t="inlineStr"/>
      <c r="K3872" s="2" t="inlineStr"/>
      <c r="L3872" s="4" t="n">
        <v>40</v>
      </c>
      <c r="M3872" s="2" t="inlineStr"/>
      <c r="N3872" s="2" t="inlineStr"/>
      <c r="O3872" s="2" t="inlineStr">
        <is>
          <t>WhatsApp</t>
        </is>
      </c>
      <c r="P3872" s="2" t="inlineStr"/>
      <c r="Q3872" s="2" t="inlineStr"/>
      <c r="R3872" s="2" t="inlineStr"/>
      <c r="S3872" s="2" t="inlineStr"/>
      <c r="T3872" s="2" t="inlineStr">
        <is>
          <t>Para uso livre; Para redes sociais e apps; Bônus extra nos apps; WhatsApp ilimitado; Assinatura Claro musica inclusa</t>
        </is>
      </c>
      <c r="U3872" s="2" t="inlineStr">
        <is>
          <t>https://www.claro.com.br/celular/flex</t>
        </is>
      </c>
      <c r="V3872" s="2" t="inlineStr">
        <is>
          <t>data/raw/claro_flex_SP.json</t>
        </is>
      </c>
    </row>
    <row r="3873">
      <c r="A3873" s="5" t="inlineStr">
        <is>
          <t>2026-08-30</t>
        </is>
      </c>
      <c r="B3873" s="5" t="inlineStr">
        <is>
          <t>2026-08-30T20:06:52</t>
        </is>
      </c>
      <c r="C3873" s="5" t="inlineStr">
        <is>
          <t>claro</t>
        </is>
      </c>
      <c r="D3873" s="5" t="inlineStr">
        <is>
          <t>postpaid</t>
        </is>
      </c>
      <c r="E3873" s="5" t="inlineStr">
        <is>
          <t>SP</t>
        </is>
      </c>
      <c r="F3873" s="5" t="inlineStr">
        <is>
          <t>Pós 100GB</t>
        </is>
      </c>
      <c r="G3873" s="5" t="inlineStr">
        <is>
          <t>claro:plano-pos-100gb</t>
        </is>
      </c>
      <c r="H3873" s="6" t="n">
        <v>179.9</v>
      </c>
      <c r="I3873" s="6" t="inlineStr"/>
      <c r="J3873" s="5" t="inlineStr"/>
      <c r="K3873" s="5" t="inlineStr"/>
      <c r="L3873" s="7" t="n">
        <v>100</v>
      </c>
      <c r="M3873" s="5" t="inlineStr"/>
      <c r="N3873" s="5" t="inlineStr"/>
      <c r="O3873" s="5" t="inlineStr">
        <is>
          <t>WhatsApp</t>
        </is>
      </c>
      <c r="P3873" s="5" t="inlineStr"/>
      <c r="Q3873" s="5" t="inlineStr"/>
      <c r="R3873" s="5" t="inlineStr"/>
      <c r="S3873" s="5" t="inlineStr"/>
      <c r="T3873" s="5" t="inlineStr">
        <is>
          <t>Armazenamento na nuvem:; Google One ou iCloud+; WhatsApp ilimitado; Assinatura Amazon Prime por 3 meses; Roaming: Passaporte Américas; Claro Sync: Smartwatch conectado</t>
        </is>
      </c>
      <c r="U3873" s="5" t="inlineStr">
        <is>
          <t>https://www.claro.com.br/celular/pos</t>
        </is>
      </c>
      <c r="V3873" s="5" t="inlineStr">
        <is>
          <t>data/raw/claro_postpaid_SP.json</t>
        </is>
      </c>
    </row>
    <row r="3874">
      <c r="A3874" s="2" t="inlineStr">
        <is>
          <t>2026-08-30</t>
        </is>
      </c>
      <c r="B3874" s="2" t="inlineStr">
        <is>
          <t>2026-08-30T20:06:52</t>
        </is>
      </c>
      <c r="C3874" s="2" t="inlineStr">
        <is>
          <t>claro</t>
        </is>
      </c>
      <c r="D3874" s="2" t="inlineStr">
        <is>
          <t>postpaid</t>
        </is>
      </c>
      <c r="E3874" s="2" t="inlineStr">
        <is>
          <t>SP</t>
        </is>
      </c>
      <c r="F3874" s="2" t="inlineStr">
        <is>
          <t>Pós 150GB</t>
        </is>
      </c>
      <c r="G3874" s="2" t="inlineStr">
        <is>
          <t>claro:plano-pos-150gb</t>
        </is>
      </c>
      <c r="H3874" s="3" t="n">
        <v>239.9</v>
      </c>
      <c r="I3874" s="3" t="inlineStr"/>
      <c r="J3874" s="2" t="inlineStr"/>
      <c r="K3874" s="2" t="inlineStr"/>
      <c r="L3874" s="4" t="n">
        <v>150</v>
      </c>
      <c r="M3874" s="2" t="inlineStr"/>
      <c r="N3874" s="2" t="inlineStr"/>
      <c r="O3874" s="2" t="inlineStr">
        <is>
          <t>WhatsApp</t>
        </is>
      </c>
      <c r="P3874" s="2" t="inlineStr"/>
      <c r="Q3874" s="2" t="inlineStr"/>
      <c r="R3874" s="2" t="inlineStr"/>
      <c r="S3874" s="2" t="inlineStr"/>
      <c r="T387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74" s="2" t="inlineStr">
        <is>
          <t>https://www.claro.com.br/celular/pos</t>
        </is>
      </c>
      <c r="V3874" s="2" t="inlineStr">
        <is>
          <t>data/raw/claro_postpaid_SP.json</t>
        </is>
      </c>
    </row>
    <row r="3875">
      <c r="A3875" s="5" t="inlineStr">
        <is>
          <t>2026-08-30</t>
        </is>
      </c>
      <c r="B3875" s="5" t="inlineStr">
        <is>
          <t>2026-08-30T20:06:52</t>
        </is>
      </c>
      <c r="C3875" s="5" t="inlineStr">
        <is>
          <t>claro</t>
        </is>
      </c>
      <c r="D3875" s="5" t="inlineStr">
        <is>
          <t>postpaid</t>
        </is>
      </c>
      <c r="E3875" s="5" t="inlineStr">
        <is>
          <t>SP</t>
        </is>
      </c>
      <c r="F3875" s="5" t="inlineStr">
        <is>
          <t>Pós 200GB</t>
        </is>
      </c>
      <c r="G3875" s="5" t="inlineStr">
        <is>
          <t>claro:plano-pos-200gb</t>
        </is>
      </c>
      <c r="H3875" s="6" t="n">
        <v>339.9</v>
      </c>
      <c r="I3875" s="6" t="inlineStr"/>
      <c r="J3875" s="5" t="inlineStr"/>
      <c r="K3875" s="5" t="inlineStr"/>
      <c r="L3875" s="7" t="n">
        <v>200</v>
      </c>
      <c r="M3875" s="5" t="inlineStr"/>
      <c r="N3875" s="5" t="inlineStr"/>
      <c r="O3875" s="5" t="inlineStr">
        <is>
          <t>WhatsApp</t>
        </is>
      </c>
      <c r="P3875" s="5" t="inlineStr"/>
      <c r="Q3875" s="5" t="inlineStr"/>
      <c r="R3875" s="5" t="inlineStr"/>
      <c r="S3875" s="5" t="inlineStr"/>
      <c r="T3875" s="5" t="inlineStr">
        <is>
          <t>Armazenamento na nuvem:; Google One (AI Plus) ou iCloud+; WhatsApp ilimitado; Assinatura Amazon Prime por 3 meses; Roaming: Passaporte Mundo; Claro Sync: Smartwatch conectado</t>
        </is>
      </c>
      <c r="U3875" s="5" t="inlineStr">
        <is>
          <t>https://www.claro.com.br/celular/pos</t>
        </is>
      </c>
      <c r="V3875" s="5" t="inlineStr">
        <is>
          <t>data/raw/claro_postpaid_SP.json</t>
        </is>
      </c>
    </row>
    <row r="3876">
      <c r="A3876" s="2" t="inlineStr">
        <is>
          <t>2026-08-30</t>
        </is>
      </c>
      <c r="B3876" s="2" t="inlineStr">
        <is>
          <t>2026-08-30T20:06:52</t>
        </is>
      </c>
      <c r="C3876" s="2" t="inlineStr">
        <is>
          <t>claro</t>
        </is>
      </c>
      <c r="D3876" s="2" t="inlineStr">
        <is>
          <t>postpaid</t>
        </is>
      </c>
      <c r="E3876" s="2" t="inlineStr">
        <is>
          <t>SP</t>
        </is>
      </c>
      <c r="F3876" s="2" t="inlineStr">
        <is>
          <t>Pós 50GB com GeForce NOW</t>
        </is>
      </c>
      <c r="G3876" s="2" t="inlineStr">
        <is>
          <t>claro:plano-pos-60gb-geforce</t>
        </is>
      </c>
      <c r="H3876" s="3" t="n">
        <v>164.9</v>
      </c>
      <c r="I3876" s="3" t="inlineStr"/>
      <c r="J3876" s="2" t="inlineStr"/>
      <c r="K3876" s="2" t="inlineStr"/>
      <c r="L3876" s="4" t="n">
        <v>50</v>
      </c>
      <c r="M3876" s="2" t="inlineStr"/>
      <c r="N3876" s="2" t="inlineStr"/>
      <c r="O3876" s="2" t="inlineStr">
        <is>
          <t>WhatsApp</t>
        </is>
      </c>
      <c r="P3876" s="2" t="inlineStr"/>
      <c r="Q3876" s="2" t="inlineStr"/>
      <c r="R3876" s="2" t="inlineStr"/>
      <c r="S3876" s="2" t="inlineStr"/>
      <c r="T387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76" s="2" t="inlineStr">
        <is>
          <t>https://www.claro.com.br/celular/pos</t>
        </is>
      </c>
      <c r="V3876" s="2" t="inlineStr">
        <is>
          <t>data/raw/claro_postpaid_SP.json</t>
        </is>
      </c>
    </row>
    <row r="3877">
      <c r="A3877" s="5" t="inlineStr">
        <is>
          <t>2026-08-30</t>
        </is>
      </c>
      <c r="B3877" s="5" t="inlineStr">
        <is>
          <t>2026-08-30T20:06:52</t>
        </is>
      </c>
      <c r="C3877" s="5" t="inlineStr">
        <is>
          <t>claro</t>
        </is>
      </c>
      <c r="D3877" s="5" t="inlineStr">
        <is>
          <t>postpaid</t>
        </is>
      </c>
      <c r="E3877" s="5" t="inlineStr">
        <is>
          <t>SP</t>
        </is>
      </c>
      <c r="F3877" s="5" t="inlineStr">
        <is>
          <t>Pós 60GB</t>
        </is>
      </c>
      <c r="G3877" s="5" t="inlineStr">
        <is>
          <t>claro:plano-pos-60gb</t>
        </is>
      </c>
      <c r="H3877" s="6" t="n">
        <v>124.9</v>
      </c>
      <c r="I3877" s="6" t="inlineStr"/>
      <c r="J3877" s="5" t="inlineStr"/>
      <c r="K3877" s="5" t="inlineStr"/>
      <c r="L3877" s="7" t="n">
        <v>60</v>
      </c>
      <c r="M3877" s="5" t="inlineStr"/>
      <c r="N3877" s="5" t="inlineStr"/>
      <c r="O3877" s="5" t="inlineStr">
        <is>
          <t>WhatsApp</t>
        </is>
      </c>
      <c r="P3877" s="5" t="inlineStr"/>
      <c r="Q3877" s="5" t="inlineStr"/>
      <c r="R3877" s="5" t="inlineStr"/>
      <c r="S3877" s="5" t="inlineStr"/>
      <c r="T3877" s="5" t="inlineStr">
        <is>
          <t>Armazenamento na nuvem:; Google One ou iCloud+; WhatsApp ilimitado; Assinatura Amazon Prime por 3 meses; Roaming: Passaporte Américas; Claro Sync: Smartwatch conectado</t>
        </is>
      </c>
      <c r="U3877" s="5" t="inlineStr">
        <is>
          <t>https://www.claro.com.br/celular/pos</t>
        </is>
      </c>
      <c r="V3877" s="5" t="inlineStr">
        <is>
          <t>data/raw/claro_postpaid_SP.json</t>
        </is>
      </c>
    </row>
    <row r="3878">
      <c r="A3878" s="2" t="inlineStr">
        <is>
          <t>2026-08-30</t>
        </is>
      </c>
      <c r="B3878" s="2" t="inlineStr">
        <is>
          <t>2026-08-30T20:06:52</t>
        </is>
      </c>
      <c r="C3878" s="2" t="inlineStr">
        <is>
          <t>claro</t>
        </is>
      </c>
      <c r="D3878" s="2" t="inlineStr">
        <is>
          <t>prepaid</t>
        </is>
      </c>
      <c r="E3878" s="2" t="inlineStr">
        <is>
          <t>SP</t>
        </is>
      </c>
      <c r="F3878" s="2" t="inlineStr">
        <is>
          <t>Prezão 10GB (25 dias)</t>
        </is>
      </c>
      <c r="G3878" s="2" t="inlineStr">
        <is>
          <t>claro:prezao-25d-10gb</t>
        </is>
      </c>
      <c r="H3878" s="3" t="n">
        <v>25</v>
      </c>
      <c r="I3878" s="3" t="inlineStr"/>
      <c r="J3878" s="2" t="inlineStr">
        <is>
          <t>recarga Prezão R$25 — validade 25 dias</t>
        </is>
      </c>
      <c r="K3878" s="2" t="inlineStr"/>
      <c r="L3878" s="4" t="n">
        <v>10</v>
      </c>
      <c r="M3878" s="2" t="inlineStr"/>
      <c r="N3878" s="2" t="n">
        <v>25</v>
      </c>
      <c r="O3878" s="2" t="inlineStr"/>
      <c r="P3878" s="2" t="inlineStr"/>
      <c r="Q3878" s="2" t="inlineStr"/>
      <c r="R3878" s="2" t="inlineStr"/>
      <c r="S3878" s="2" t="inlineStr"/>
      <c r="T3878" s="2" t="inlineStr"/>
      <c r="U3878" s="2" t="inlineStr">
        <is>
          <t>https://www.claro.com.br/celular/planos-pre/prezao</t>
        </is>
      </c>
      <c r="V3878" s="2" t="inlineStr">
        <is>
          <t>data/raw/claro_prepaid_SP.json</t>
        </is>
      </c>
    </row>
    <row r="3879">
      <c r="A3879" s="5" t="inlineStr">
        <is>
          <t>2026-08-30</t>
        </is>
      </c>
      <c r="B3879" s="5" t="inlineStr">
        <is>
          <t>2026-08-30T20:06:52</t>
        </is>
      </c>
      <c r="C3879" s="5" t="inlineStr">
        <is>
          <t>claro</t>
        </is>
      </c>
      <c r="D3879" s="5" t="inlineStr">
        <is>
          <t>prepaid</t>
        </is>
      </c>
      <c r="E3879" s="5" t="inlineStr">
        <is>
          <t>SP</t>
        </is>
      </c>
      <c r="F3879" s="5" t="inlineStr">
        <is>
          <t>Prezão 12GB (30 dias)</t>
        </is>
      </c>
      <c r="G3879" s="5" t="inlineStr">
        <is>
          <t>claro:prezao-30d-12gb</t>
        </is>
      </c>
      <c r="H3879" s="6" t="n">
        <v>30</v>
      </c>
      <c r="I3879" s="6" t="inlineStr"/>
      <c r="J3879" s="5" t="inlineStr">
        <is>
          <t>recarga Prezão R$30 — validade 30 dias</t>
        </is>
      </c>
      <c r="K3879" s="5" t="inlineStr"/>
      <c r="L3879" s="7" t="n">
        <v>12</v>
      </c>
      <c r="M3879" s="5" t="inlineStr"/>
      <c r="N3879" s="5" t="n">
        <v>30</v>
      </c>
      <c r="O3879" s="5" t="inlineStr"/>
      <c r="P3879" s="5" t="inlineStr"/>
      <c r="Q3879" s="5" t="inlineStr"/>
      <c r="R3879" s="5" t="inlineStr"/>
      <c r="S3879" s="5" t="inlineStr"/>
      <c r="T3879" s="5" t="inlineStr"/>
      <c r="U3879" s="5" t="inlineStr">
        <is>
          <t>https://www.claro.com.br/celular/planos-pre/prezao</t>
        </is>
      </c>
      <c r="V3879" s="5" t="inlineStr">
        <is>
          <t>data/raw/claro_prepaid_SP.json</t>
        </is>
      </c>
    </row>
    <row r="3880">
      <c r="A3880" s="2" t="inlineStr">
        <is>
          <t>2026-08-30</t>
        </is>
      </c>
      <c r="B3880" s="2" t="inlineStr">
        <is>
          <t>2026-08-30T20:06:52</t>
        </is>
      </c>
      <c r="C3880" s="2" t="inlineStr">
        <is>
          <t>claro</t>
        </is>
      </c>
      <c r="D3880" s="2" t="inlineStr">
        <is>
          <t>prepaid</t>
        </is>
      </c>
      <c r="E3880" s="2" t="inlineStr">
        <is>
          <t>SP</t>
        </is>
      </c>
      <c r="F3880" s="2" t="inlineStr">
        <is>
          <t>Prezão 4GB (12 dias)</t>
        </is>
      </c>
      <c r="G3880" s="2" t="inlineStr">
        <is>
          <t>claro:prezao-12d-4gb</t>
        </is>
      </c>
      <c r="H3880" s="3" t="n">
        <v>15</v>
      </c>
      <c r="I3880" s="3" t="inlineStr"/>
      <c r="J3880" s="2" t="inlineStr">
        <is>
          <t>recarga Prezão R$15 — validade 12 dias</t>
        </is>
      </c>
      <c r="K3880" s="2" t="inlineStr"/>
      <c r="L3880" s="4" t="n">
        <v>4</v>
      </c>
      <c r="M3880" s="2" t="inlineStr"/>
      <c r="N3880" s="2" t="n">
        <v>12</v>
      </c>
      <c r="O3880" s="2" t="inlineStr"/>
      <c r="P3880" s="2" t="inlineStr"/>
      <c r="Q3880" s="2" t="inlineStr"/>
      <c r="R3880" s="2" t="inlineStr"/>
      <c r="S3880" s="2" t="inlineStr"/>
      <c r="T3880" s="2" t="inlineStr"/>
      <c r="U3880" s="2" t="inlineStr">
        <is>
          <t>https://www.claro.com.br/celular/planos-pre/prezao</t>
        </is>
      </c>
      <c r="V3880" s="2" t="inlineStr">
        <is>
          <t>data/raw/claro_prepaid_SP.json</t>
        </is>
      </c>
    </row>
    <row r="3881">
      <c r="A3881" s="5" t="inlineStr">
        <is>
          <t>2026-08-30</t>
        </is>
      </c>
      <c r="B3881" s="5" t="inlineStr">
        <is>
          <t>2026-08-30T20:06:52</t>
        </is>
      </c>
      <c r="C3881" s="5" t="inlineStr">
        <is>
          <t>claro</t>
        </is>
      </c>
      <c r="D3881" s="5" t="inlineStr">
        <is>
          <t>prepaid</t>
        </is>
      </c>
      <c r="E3881" s="5" t="inlineStr">
        <is>
          <t>SP</t>
        </is>
      </c>
      <c r="F3881" s="5" t="inlineStr">
        <is>
          <t>Prezão 5GB (15 dias)</t>
        </is>
      </c>
      <c r="G3881" s="5" t="inlineStr">
        <is>
          <t>claro:prezao-15d-5gb</t>
        </is>
      </c>
      <c r="H3881" s="6" t="n">
        <v>15</v>
      </c>
      <c r="I3881" s="6" t="inlineStr"/>
      <c r="J3881" s="5" t="inlineStr">
        <is>
          <t>recarga Prezão R$15 — validade 15 dias</t>
        </is>
      </c>
      <c r="K3881" s="5" t="inlineStr"/>
      <c r="L3881" s="7" t="n">
        <v>5</v>
      </c>
      <c r="M3881" s="5" t="inlineStr"/>
      <c r="N3881" s="5" t="n">
        <v>15</v>
      </c>
      <c r="O3881" s="5" t="inlineStr"/>
      <c r="P3881" s="5" t="inlineStr"/>
      <c r="Q3881" s="5" t="inlineStr"/>
      <c r="R3881" s="5" t="inlineStr"/>
      <c r="S3881" s="5" t="inlineStr"/>
      <c r="T3881" s="5" t="inlineStr"/>
      <c r="U3881" s="5" t="inlineStr">
        <is>
          <t>https://www.claro.com.br/celular/planos-pre/prezao</t>
        </is>
      </c>
      <c r="V3881" s="5" t="inlineStr">
        <is>
          <t>data/raw/claro_prepaid_SP.json</t>
        </is>
      </c>
    </row>
    <row r="3882">
      <c r="A3882" s="2" t="inlineStr">
        <is>
          <t>2026-08-30</t>
        </is>
      </c>
      <c r="B3882" s="2" t="inlineStr">
        <is>
          <t>2026-08-30T20:06:52</t>
        </is>
      </c>
      <c r="C3882" s="2" t="inlineStr">
        <is>
          <t>claro</t>
        </is>
      </c>
      <c r="D3882" s="2" t="inlineStr">
        <is>
          <t>prepaid</t>
        </is>
      </c>
      <c r="E3882" s="2" t="inlineStr">
        <is>
          <t>SP</t>
        </is>
      </c>
      <c r="F3882" s="2" t="inlineStr">
        <is>
          <t>Prezão 6GB (20 dias)</t>
        </is>
      </c>
      <c r="G3882" s="2" t="inlineStr">
        <is>
          <t>claro:prezao-20d-6gb</t>
        </is>
      </c>
      <c r="H3882" s="3" t="n">
        <v>20</v>
      </c>
      <c r="I3882" s="3" t="inlineStr"/>
      <c r="J3882" s="2" t="inlineStr">
        <is>
          <t>recarga Prezão R$20 — validade 20 dias</t>
        </is>
      </c>
      <c r="K3882" s="2" t="inlineStr"/>
      <c r="L3882" s="4" t="n">
        <v>6</v>
      </c>
      <c r="M3882" s="2" t="inlineStr"/>
      <c r="N3882" s="2" t="n">
        <v>20</v>
      </c>
      <c r="O3882" s="2" t="inlineStr"/>
      <c r="P3882" s="2" t="inlineStr"/>
      <c r="Q3882" s="2" t="inlineStr"/>
      <c r="R3882" s="2" t="inlineStr"/>
      <c r="S3882" s="2" t="inlineStr"/>
      <c r="T3882" s="2" t="inlineStr"/>
      <c r="U3882" s="2" t="inlineStr">
        <is>
          <t>https://www.claro.com.br/celular/planos-pre/prezao</t>
        </is>
      </c>
      <c r="V3882" s="2" t="inlineStr">
        <is>
          <t>data/raw/claro_prepaid_SP.json</t>
        </is>
      </c>
    </row>
    <row r="3883">
      <c r="A3883" s="5" t="inlineStr">
        <is>
          <t>2026-08-30</t>
        </is>
      </c>
      <c r="B3883" s="5" t="inlineStr">
        <is>
          <t>2026-08-30T20:06:52</t>
        </is>
      </c>
      <c r="C3883" s="5" t="inlineStr">
        <is>
          <t>claro</t>
        </is>
      </c>
      <c r="D3883" s="5" t="inlineStr">
        <is>
          <t>prepaid</t>
        </is>
      </c>
      <c r="E3883" s="5" t="inlineStr">
        <is>
          <t>SP</t>
        </is>
      </c>
      <c r="F3883" s="5" t="inlineStr">
        <is>
          <t>Prezão 8GB (20 dias)</t>
        </is>
      </c>
      <c r="G3883" s="5" t="inlineStr">
        <is>
          <t>claro:prezao-20d-8gb</t>
        </is>
      </c>
      <c r="H3883" s="6" t="n">
        <v>20</v>
      </c>
      <c r="I3883" s="6" t="inlineStr"/>
      <c r="J3883" s="5" t="inlineStr">
        <is>
          <t>recarga Prezão R$20 — validade 20 dias</t>
        </is>
      </c>
      <c r="K3883" s="5" t="inlineStr"/>
      <c r="L3883" s="7" t="n">
        <v>8</v>
      </c>
      <c r="M3883" s="5" t="inlineStr"/>
      <c r="N3883" s="5" t="n">
        <v>20</v>
      </c>
      <c r="O3883" s="5" t="inlineStr"/>
      <c r="P3883" s="5" t="inlineStr"/>
      <c r="Q3883" s="5" t="inlineStr"/>
      <c r="R3883" s="5" t="inlineStr"/>
      <c r="S3883" s="5" t="inlineStr"/>
      <c r="T3883" s="5" t="inlineStr"/>
      <c r="U3883" s="5" t="inlineStr">
        <is>
          <t>https://www.claro.com.br/celular/planos-pre/prezao</t>
        </is>
      </c>
      <c r="V3883" s="5" t="inlineStr">
        <is>
          <t>data/raw/claro_prepaid_SP.json</t>
        </is>
      </c>
    </row>
    <row r="3884">
      <c r="A3884" s="2" t="inlineStr">
        <is>
          <t>2026-08-30</t>
        </is>
      </c>
      <c r="B3884" s="2" t="inlineStr">
        <is>
          <t>2026-08-30T20:06:52</t>
        </is>
      </c>
      <c r="C3884" s="2" t="inlineStr">
        <is>
          <t>claro</t>
        </is>
      </c>
      <c r="D3884" s="2" t="inlineStr">
        <is>
          <t>prepaid</t>
        </is>
      </c>
      <c r="E3884" s="2" t="inlineStr">
        <is>
          <t>SP</t>
        </is>
      </c>
      <c r="F3884" s="2" t="inlineStr">
        <is>
          <t>Prezão 9GB (25 dias)</t>
        </is>
      </c>
      <c r="G3884" s="2" t="inlineStr">
        <is>
          <t>claro:prezao-25d-9gb</t>
        </is>
      </c>
      <c r="H3884" s="3" t="n">
        <v>25</v>
      </c>
      <c r="I3884" s="3" t="inlineStr"/>
      <c r="J3884" s="2" t="inlineStr">
        <is>
          <t>recarga Prezão R$25 — validade 25 dias</t>
        </is>
      </c>
      <c r="K3884" s="2" t="inlineStr"/>
      <c r="L3884" s="4" t="n">
        <v>9</v>
      </c>
      <c r="M3884" s="2" t="inlineStr"/>
      <c r="N3884" s="2" t="n">
        <v>25</v>
      </c>
      <c r="O3884" s="2" t="inlineStr"/>
      <c r="P3884" s="2" t="inlineStr"/>
      <c r="Q3884" s="2" t="inlineStr"/>
      <c r="R3884" s="2" t="inlineStr"/>
      <c r="S3884" s="2" t="inlineStr"/>
      <c r="T3884" s="2" t="inlineStr"/>
      <c r="U3884" s="2" t="inlineStr">
        <is>
          <t>https://www.claro.com.br/celular/planos-pre/prezao</t>
        </is>
      </c>
      <c r="V3884" s="2" t="inlineStr">
        <is>
          <t>data/raw/claro_prepaid_SP.json</t>
        </is>
      </c>
    </row>
    <row r="3885">
      <c r="A3885" s="5" t="inlineStr">
        <is>
          <t>2026-08-30</t>
        </is>
      </c>
      <c r="B3885" s="5" t="inlineStr">
        <is>
          <t>2026-08-30T20:06:52</t>
        </is>
      </c>
      <c r="C3885" s="5" t="inlineStr">
        <is>
          <t>tim</t>
        </is>
      </c>
      <c r="D3885" s="5" t="inlineStr">
        <is>
          <t>control</t>
        </is>
      </c>
      <c r="E3885" s="5" t="inlineStr">
        <is>
          <t>SP</t>
        </is>
      </c>
      <c r="F3885" s="5" t="inlineStr">
        <is>
          <t>TIM Controle 45GB</t>
        </is>
      </c>
      <c r="G3885" s="5" t="inlineStr">
        <is>
          <t>tim:182766</t>
        </is>
      </c>
      <c r="H3885" s="6" t="n">
        <v>49.99</v>
      </c>
      <c r="I3885" s="6" t="inlineStr"/>
      <c r="J3885" s="5" t="inlineStr"/>
      <c r="K3885" s="5" t="inlineStr"/>
      <c r="L3885" s="7" t="n">
        <v>45</v>
      </c>
      <c r="M3885" s="5" t="inlineStr"/>
      <c r="N3885" s="5" t="inlineStr"/>
      <c r="O3885" s="5" t="inlineStr"/>
      <c r="P3885" s="5" t="inlineStr"/>
      <c r="Q3885" s="5" t="inlineStr"/>
      <c r="R3885" s="5" t="inlineStr"/>
      <c r="S3885" s="5" t="inlineStr"/>
      <c r="T3885" s="5" t="inlineStr"/>
      <c r="U3885" s="5" t="inlineStr">
        <is>
          <t>https://www.tim.com.br/sp/para-voce/planos/controle</t>
        </is>
      </c>
      <c r="V3885" s="5" t="inlineStr">
        <is>
          <t>data/raw/tim_control_SP.html</t>
        </is>
      </c>
    </row>
    <row r="3886">
      <c r="A3886" s="2" t="inlineStr">
        <is>
          <t>2026-08-30</t>
        </is>
      </c>
      <c r="B3886" s="2" t="inlineStr">
        <is>
          <t>2026-08-30T20:06:52</t>
        </is>
      </c>
      <c r="C3886" s="2" t="inlineStr">
        <is>
          <t>tim</t>
        </is>
      </c>
      <c r="D3886" s="2" t="inlineStr">
        <is>
          <t>control</t>
        </is>
      </c>
      <c r="E3886" s="2" t="inlineStr">
        <is>
          <t>SP</t>
        </is>
      </c>
      <c r="F3886" s="2" t="inlineStr">
        <is>
          <t>TIM Controle Light Express 45GB</t>
        </is>
      </c>
      <c r="G3886" s="2" t="inlineStr">
        <is>
          <t>tim:167726</t>
        </is>
      </c>
      <c r="H3886" s="3" t="n">
        <v>60.99</v>
      </c>
      <c r="I3886" s="3" t="inlineStr"/>
      <c r="J3886" s="2" t="inlineStr"/>
      <c r="K3886" s="2" t="inlineStr"/>
      <c r="L3886" s="4" t="n">
        <v>45</v>
      </c>
      <c r="M3886" s="2" t="inlineStr"/>
      <c r="N3886" s="2" t="inlineStr"/>
      <c r="O3886" s="2" t="inlineStr"/>
      <c r="P3886" s="2" t="inlineStr"/>
      <c r="Q3886" s="2" t="inlineStr"/>
      <c r="R3886" s="2" t="inlineStr"/>
      <c r="S3886" s="2" t="inlineStr"/>
      <c r="T3886" s="2" t="inlineStr"/>
      <c r="U3886" s="2" t="inlineStr">
        <is>
          <t>https://www.tim.com.br/sp/para-voce/planos/controle</t>
        </is>
      </c>
      <c r="V3886" s="2" t="inlineStr">
        <is>
          <t>data/raw/tim_control_SP.html</t>
        </is>
      </c>
    </row>
    <row r="3887">
      <c r="A3887" s="5" t="inlineStr">
        <is>
          <t>2026-08-30</t>
        </is>
      </c>
      <c r="B3887" s="5" t="inlineStr">
        <is>
          <t>2026-08-30T20:06:52</t>
        </is>
      </c>
      <c r="C3887" s="5" t="inlineStr">
        <is>
          <t>tim</t>
        </is>
      </c>
      <c r="D3887" s="5" t="inlineStr">
        <is>
          <t>control</t>
        </is>
      </c>
      <c r="E3887" s="5" t="inlineStr">
        <is>
          <t>SP</t>
        </is>
      </c>
      <c r="F3887" s="5" t="inlineStr">
        <is>
          <t>TIM Controle Premium 55GB</t>
        </is>
      </c>
      <c r="G3887" s="5" t="inlineStr">
        <is>
          <t>tim:180756</t>
        </is>
      </c>
      <c r="H3887" s="6" t="n">
        <v>69.98999999999999</v>
      </c>
      <c r="I3887" s="6" t="inlineStr"/>
      <c r="J3887" s="5" t="inlineStr"/>
      <c r="K3887" s="5" t="inlineStr"/>
      <c r="L3887" s="7" t="n">
        <v>55</v>
      </c>
      <c r="M3887" s="5" t="inlineStr"/>
      <c r="N3887" s="5" t="inlineStr"/>
      <c r="O3887" s="5" t="inlineStr"/>
      <c r="P3887" s="5" t="inlineStr"/>
      <c r="Q3887" s="5" t="inlineStr"/>
      <c r="R3887" s="5" t="inlineStr"/>
      <c r="S3887" s="5" t="inlineStr"/>
      <c r="T3887" s="5" t="inlineStr"/>
      <c r="U3887" s="5" t="inlineStr">
        <is>
          <t>https://www.tim.com.br/sp/para-voce/planos/controle</t>
        </is>
      </c>
      <c r="V3887" s="5" t="inlineStr">
        <is>
          <t>data/raw/tim_control_SP.html</t>
        </is>
      </c>
    </row>
    <row r="3888">
      <c r="A3888" s="2" t="inlineStr">
        <is>
          <t>2026-08-30</t>
        </is>
      </c>
      <c r="B3888" s="2" t="inlineStr">
        <is>
          <t>2026-08-30T20:06:52</t>
        </is>
      </c>
      <c r="C3888" s="2" t="inlineStr">
        <is>
          <t>tim</t>
        </is>
      </c>
      <c r="D3888" s="2" t="inlineStr">
        <is>
          <t>control</t>
        </is>
      </c>
      <c r="E3888" s="2" t="inlineStr">
        <is>
          <t>SP</t>
        </is>
      </c>
      <c r="F3888" s="2" t="inlineStr">
        <is>
          <t>TIM Controle Pro Express 46GB</t>
        </is>
      </c>
      <c r="G3888" s="2" t="inlineStr">
        <is>
          <t>tim:167731</t>
        </is>
      </c>
      <c r="H3888" s="3" t="n">
        <v>64.98999999999999</v>
      </c>
      <c r="I3888" s="3" t="inlineStr"/>
      <c r="J3888" s="2" t="inlineStr"/>
      <c r="K3888" s="2" t="inlineStr"/>
      <c r="L3888" s="4" t="n">
        <v>46</v>
      </c>
      <c r="M3888" s="2" t="inlineStr"/>
      <c r="N3888" s="2" t="inlineStr"/>
      <c r="O3888" s="2" t="inlineStr"/>
      <c r="P3888" s="2" t="inlineStr"/>
      <c r="Q3888" s="2" t="inlineStr"/>
      <c r="R3888" s="2" t="inlineStr"/>
      <c r="S3888" s="2" t="inlineStr"/>
      <c r="T3888" s="2" t="inlineStr"/>
      <c r="U3888" s="2" t="inlineStr">
        <is>
          <t>https://www.tim.com.br/sp/para-voce/planos/controle</t>
        </is>
      </c>
      <c r="V3888" s="2" t="inlineStr">
        <is>
          <t>data/raw/tim_control_SP.html</t>
        </is>
      </c>
    </row>
    <row r="3889">
      <c r="A3889" s="5" t="inlineStr">
        <is>
          <t>2026-08-30</t>
        </is>
      </c>
      <c r="B3889" s="5" t="inlineStr">
        <is>
          <t>2026-08-30T20:06:52</t>
        </is>
      </c>
      <c r="C3889" s="5" t="inlineStr">
        <is>
          <t>tim</t>
        </is>
      </c>
      <c r="D3889" s="5" t="inlineStr">
        <is>
          <t>control</t>
        </is>
      </c>
      <c r="E3889" s="5" t="inlineStr">
        <is>
          <t>SP</t>
        </is>
      </c>
      <c r="F3889" s="5" t="inlineStr">
        <is>
          <t>TIM Controle Redes Sociais 46GB</t>
        </is>
      </c>
      <c r="G3889" s="5" t="inlineStr">
        <is>
          <t>tim:167031</t>
        </is>
      </c>
      <c r="H3889" s="6" t="n">
        <v>59.99</v>
      </c>
      <c r="I3889" s="6" t="inlineStr"/>
      <c r="J3889" s="5" t="inlineStr"/>
      <c r="K3889" s="5" t="inlineStr"/>
      <c r="L3889" s="7" t="n">
        <v>46</v>
      </c>
      <c r="M3889" s="5" t="inlineStr"/>
      <c r="N3889" s="5" t="inlineStr"/>
      <c r="O3889" s="5" t="inlineStr"/>
      <c r="P3889" s="5" t="inlineStr"/>
      <c r="Q3889" s="5" t="inlineStr"/>
      <c r="R3889" s="5" t="inlineStr"/>
      <c r="S3889" s="5" t="inlineStr"/>
      <c r="T3889" s="5" t="inlineStr"/>
      <c r="U3889" s="5" t="inlineStr">
        <is>
          <t>https://www.tim.com.br/sp/para-voce/planos/controle</t>
        </is>
      </c>
      <c r="V3889" s="5" t="inlineStr">
        <is>
          <t>data/raw/tim_control_SP.html</t>
        </is>
      </c>
    </row>
    <row r="3890">
      <c r="A3890" s="2" t="inlineStr">
        <is>
          <t>2026-08-30</t>
        </is>
      </c>
      <c r="B3890" s="2" t="inlineStr">
        <is>
          <t>2026-08-30T20:06:52</t>
        </is>
      </c>
      <c r="C3890" s="2" t="inlineStr">
        <is>
          <t>tim</t>
        </is>
      </c>
      <c r="D3890" s="2" t="inlineStr">
        <is>
          <t>fit</t>
        </is>
      </c>
      <c r="E3890" s="2" t="inlineStr">
        <is>
          <t>SP</t>
        </is>
      </c>
      <c r="F3890" s="2" t="inlineStr">
        <is>
          <t>TIM Controle Fit Anual 1.0</t>
        </is>
      </c>
      <c r="G3890" s="2" t="inlineStr">
        <is>
          <t>tim:TIM202600000306</t>
        </is>
      </c>
      <c r="H3890" s="3" t="n">
        <v>20</v>
      </c>
      <c r="I3890" s="3" t="inlineStr"/>
      <c r="J3890" s="2" t="inlineStr">
        <is>
          <t>plano anual 12x no cartão de crédito; a etiqueta TIM informa 'sem prazo de permanência'</t>
        </is>
      </c>
      <c r="K3890" s="2" t="inlineStr">
        <is>
          <t>credit_card</t>
        </is>
      </c>
      <c r="L3890" s="4" t="n">
        <v>25</v>
      </c>
      <c r="M3890" s="2" t="inlineStr"/>
      <c r="N3890" s="2" t="inlineStr"/>
      <c r="O3890" s="2" t="inlineStr"/>
      <c r="P3890" s="2" t="inlineStr"/>
      <c r="Q3890" s="2" t="inlineStr"/>
      <c r="R3890" s="2" t="inlineStr"/>
      <c r="S3890" s="2" t="n">
        <v>12</v>
      </c>
      <c r="T3890" s="2" t="inlineStr"/>
      <c r="U3890" s="2" t="inlineStr">
        <is>
          <t>https://www.tim.com.br/sp/para-voce/planos/controle</t>
        </is>
      </c>
      <c r="V3890" s="2" t="inlineStr">
        <is>
          <t>data/raw/tim_fit_SP.html</t>
        </is>
      </c>
    </row>
    <row r="3891">
      <c r="A3891" s="5" t="inlineStr">
        <is>
          <t>2026-08-30</t>
        </is>
      </c>
      <c r="B3891" s="5" t="inlineStr">
        <is>
          <t>2026-08-30T20:06:52</t>
        </is>
      </c>
      <c r="C3891" s="5" t="inlineStr">
        <is>
          <t>tim</t>
        </is>
      </c>
      <c r="D3891" s="5" t="inlineStr">
        <is>
          <t>fit</t>
        </is>
      </c>
      <c r="E3891" s="5" t="inlineStr">
        <is>
          <t>SP</t>
        </is>
      </c>
      <c r="F3891" s="5" t="inlineStr">
        <is>
          <t>TIM Controle Fit Anual 2.0</t>
        </is>
      </c>
      <c r="G3891" s="5" t="inlineStr">
        <is>
          <t>tim:TIM202600000271</t>
        </is>
      </c>
      <c r="H3891" s="6" t="n">
        <v>30</v>
      </c>
      <c r="I3891" s="6" t="inlineStr"/>
      <c r="J3891" s="5" t="inlineStr">
        <is>
          <t>plano anual 12x no cartão de crédito; a etiqueta TIM informa 'sem prazo de permanência'</t>
        </is>
      </c>
      <c r="K3891" s="5" t="inlineStr">
        <is>
          <t>credit_card</t>
        </is>
      </c>
      <c r="L3891" s="7" t="n">
        <v>35</v>
      </c>
      <c r="M3891" s="5" t="inlineStr"/>
      <c r="N3891" s="5" t="inlineStr"/>
      <c r="O3891" s="5" t="inlineStr"/>
      <c r="P3891" s="5" t="inlineStr"/>
      <c r="Q3891" s="5" t="inlineStr"/>
      <c r="R3891" s="5" t="inlineStr"/>
      <c r="S3891" s="5" t="n">
        <v>12</v>
      </c>
      <c r="T3891" s="5" t="inlineStr"/>
      <c r="U3891" s="5" t="inlineStr">
        <is>
          <t>https://www.tim.com.br/sp/para-voce/planos/controle</t>
        </is>
      </c>
      <c r="V3891" s="5" t="inlineStr">
        <is>
          <t>data/raw/tim_fit_SP.html</t>
        </is>
      </c>
    </row>
    <row r="3892">
      <c r="A3892" s="2" t="inlineStr">
        <is>
          <t>2026-08-30</t>
        </is>
      </c>
      <c r="B3892" s="2" t="inlineStr">
        <is>
          <t>2026-08-30T20:06:52</t>
        </is>
      </c>
      <c r="C3892" s="2" t="inlineStr">
        <is>
          <t>tim</t>
        </is>
      </c>
      <c r="D3892" s="2" t="inlineStr">
        <is>
          <t>fit</t>
        </is>
      </c>
      <c r="E3892" s="2" t="inlineStr">
        <is>
          <t>SP</t>
        </is>
      </c>
      <c r="F3892" s="2" t="inlineStr">
        <is>
          <t>TIM Controle Fit Mensal 1.0</t>
        </is>
      </c>
      <c r="G3892" s="2" t="inlineStr">
        <is>
          <t>tim:TIM202600000270</t>
        </is>
      </c>
      <c r="H3892" s="3" t="n">
        <v>20</v>
      </c>
      <c r="I3892" s="3" t="inlineStr"/>
      <c r="J389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92" s="2" t="inlineStr"/>
      <c r="L3892" s="4" t="n">
        <v>20</v>
      </c>
      <c r="M3892" s="2" t="inlineStr"/>
      <c r="N3892" s="2" t="inlineStr"/>
      <c r="O3892" s="2" t="inlineStr"/>
      <c r="P3892" s="2" t="inlineStr"/>
      <c r="Q3892" s="2" t="inlineStr"/>
      <c r="R3892" s="2" t="inlineStr"/>
      <c r="S3892" s="2" t="inlineStr"/>
      <c r="T3892" s="2" t="inlineStr"/>
      <c r="U3892" s="2" t="inlineStr">
        <is>
          <t>https://www.tim.com.br/sp/para-voce/planos/controle</t>
        </is>
      </c>
      <c r="V3892" s="2" t="inlineStr">
        <is>
          <t>data/raw/tim_fit_SP.html</t>
        </is>
      </c>
    </row>
    <row r="3893">
      <c r="A3893" s="5" t="inlineStr">
        <is>
          <t>2026-08-30</t>
        </is>
      </c>
      <c r="B3893" s="5" t="inlineStr">
        <is>
          <t>2026-08-30T20:06:52</t>
        </is>
      </c>
      <c r="C3893" s="5" t="inlineStr">
        <is>
          <t>tim</t>
        </is>
      </c>
      <c r="D3893" s="5" t="inlineStr">
        <is>
          <t>fit</t>
        </is>
      </c>
      <c r="E3893" s="5" t="inlineStr">
        <is>
          <t>SP</t>
        </is>
      </c>
      <c r="F3893" s="5" t="inlineStr">
        <is>
          <t>TIM Controle Fit Mensal 2.0</t>
        </is>
      </c>
      <c r="G3893" s="5" t="inlineStr">
        <is>
          <t>tim:TIM202600000305</t>
        </is>
      </c>
      <c r="H3893" s="6" t="n">
        <v>45</v>
      </c>
      <c r="I3893" s="6" t="inlineStr"/>
      <c r="J3893" s="5" t="inlineStr">
        <is>
          <t>plano mensal, sem prazo de permanência; a etiqueta TIM informa 'sem prazo de permanência'</t>
        </is>
      </c>
      <c r="K3893" s="5" t="inlineStr"/>
      <c r="L3893" s="7" t="n">
        <v>35</v>
      </c>
      <c r="M3893" s="5" t="inlineStr"/>
      <c r="N3893" s="5" t="inlineStr"/>
      <c r="O3893" s="5" t="inlineStr"/>
      <c r="P3893" s="5" t="inlineStr"/>
      <c r="Q3893" s="5" t="inlineStr"/>
      <c r="R3893" s="5" t="inlineStr"/>
      <c r="S3893" s="5" t="inlineStr"/>
      <c r="T3893" s="5" t="inlineStr"/>
      <c r="U3893" s="5" t="inlineStr">
        <is>
          <t>https://www.tim.com.br/sp/para-voce/planos/controle</t>
        </is>
      </c>
      <c r="V3893" s="5" t="inlineStr">
        <is>
          <t>data/raw/tim_fit_SP.html</t>
        </is>
      </c>
    </row>
    <row r="3894">
      <c r="A3894" s="2" t="inlineStr">
        <is>
          <t>2026-08-30</t>
        </is>
      </c>
      <c r="B3894" s="2" t="inlineStr">
        <is>
          <t>2026-08-30T20:06:52</t>
        </is>
      </c>
      <c r="C3894" s="2" t="inlineStr">
        <is>
          <t>tim</t>
        </is>
      </c>
      <c r="D3894" s="2" t="inlineStr">
        <is>
          <t>postpaid</t>
        </is>
      </c>
      <c r="E3894" s="2" t="inlineStr">
        <is>
          <t>SP</t>
        </is>
      </c>
      <c r="F3894" s="2" t="inlineStr">
        <is>
          <t>TIM Black 70GB</t>
        </is>
      </c>
      <c r="G3894" s="2" t="inlineStr">
        <is>
          <t>tim:54206</t>
        </is>
      </c>
      <c r="H3894" s="3" t="n">
        <v>129.99</v>
      </c>
      <c r="I3894" s="3" t="inlineStr"/>
      <c r="J3894" s="2" t="inlineStr"/>
      <c r="K3894" s="2" t="inlineStr">
        <is>
          <t>bill</t>
        </is>
      </c>
      <c r="L3894" s="4" t="n">
        <v>70</v>
      </c>
      <c r="M3894" s="2" t="inlineStr"/>
      <c r="N3894" s="2" t="inlineStr"/>
      <c r="O3894" s="2" t="inlineStr"/>
      <c r="P3894" s="2" t="inlineStr"/>
      <c r="Q3894" s="2" t="inlineStr"/>
      <c r="R3894" s="2" t="inlineStr"/>
      <c r="S3894" s="2" t="inlineStr"/>
      <c r="T3894" s="2" t="inlineStr"/>
      <c r="U3894" s="2" t="inlineStr">
        <is>
          <t>https://www.tim.com.br/sp/para-voce/planos/pos-pago/tim-black</t>
        </is>
      </c>
      <c r="V3894" s="2" t="inlineStr">
        <is>
          <t>data/raw/tim_postpaid_SP.html</t>
        </is>
      </c>
    </row>
    <row r="3895">
      <c r="A3895" s="5" t="inlineStr">
        <is>
          <t>2026-08-30</t>
        </is>
      </c>
      <c r="B3895" s="5" t="inlineStr">
        <is>
          <t>2026-08-30T20:06:52</t>
        </is>
      </c>
      <c r="C3895" s="5" t="inlineStr">
        <is>
          <t>tim</t>
        </is>
      </c>
      <c r="D3895" s="5" t="inlineStr">
        <is>
          <t>postpaid</t>
        </is>
      </c>
      <c r="E3895" s="5" t="inlineStr">
        <is>
          <t>SP</t>
        </is>
      </c>
      <c r="F3895" s="5" t="inlineStr">
        <is>
          <t>TIM Black B Express 82GB</t>
        </is>
      </c>
      <c r="G3895" s="5" t="inlineStr">
        <is>
          <t>tim:52146</t>
        </is>
      </c>
      <c r="H3895" s="6" t="n">
        <v>144.99</v>
      </c>
      <c r="I3895" s="6" t="inlineStr"/>
      <c r="J3895" s="5" t="inlineStr"/>
      <c r="K3895" s="5" t="inlineStr">
        <is>
          <t>credit_card</t>
        </is>
      </c>
      <c r="L3895" s="7" t="n">
        <v>82</v>
      </c>
      <c r="M3895" s="5" t="inlineStr"/>
      <c r="N3895" s="5" t="inlineStr"/>
      <c r="O3895" s="5" t="inlineStr"/>
      <c r="P3895" s="5" t="inlineStr"/>
      <c r="Q3895" s="5" t="inlineStr"/>
      <c r="R3895" s="5" t="inlineStr"/>
      <c r="S3895" s="5" t="inlineStr"/>
      <c r="T3895" s="5" t="inlineStr"/>
      <c r="U3895" s="5" t="inlineStr">
        <is>
          <t>https://www.tim.com.br/sp/para-voce/planos/pos-pago/tim-black</t>
        </is>
      </c>
      <c r="V3895" s="5" t="inlineStr">
        <is>
          <t>data/raw/tim_postpaid_SP.html</t>
        </is>
      </c>
    </row>
    <row r="3896">
      <c r="A3896" s="2" t="inlineStr">
        <is>
          <t>2026-08-30</t>
        </is>
      </c>
      <c r="B3896" s="2" t="inlineStr">
        <is>
          <t>2026-08-30T20:06:52</t>
        </is>
      </c>
      <c r="C3896" s="2" t="inlineStr">
        <is>
          <t>tim</t>
        </is>
      </c>
      <c r="D3896" s="2" t="inlineStr">
        <is>
          <t>postpaid</t>
        </is>
      </c>
      <c r="E3896" s="2" t="inlineStr">
        <is>
          <t>SP</t>
        </is>
      </c>
      <c r="F3896" s="2" t="inlineStr">
        <is>
          <t>TIM Black C Express 107GB</t>
        </is>
      </c>
      <c r="G3896" s="2" t="inlineStr">
        <is>
          <t>tim:52151</t>
        </is>
      </c>
      <c r="H3896" s="3" t="n">
        <v>164.99</v>
      </c>
      <c r="I3896" s="3" t="inlineStr"/>
      <c r="J3896" s="2" t="inlineStr"/>
      <c r="K3896" s="2" t="inlineStr">
        <is>
          <t>credit_card</t>
        </is>
      </c>
      <c r="L3896" s="4" t="n">
        <v>107</v>
      </c>
      <c r="M3896" s="2" t="inlineStr"/>
      <c r="N3896" s="2" t="inlineStr"/>
      <c r="O3896" s="2" t="inlineStr"/>
      <c r="P3896" s="2" t="inlineStr"/>
      <c r="Q3896" s="2" t="inlineStr"/>
      <c r="R3896" s="2" t="inlineStr"/>
      <c r="S3896" s="2" t="inlineStr"/>
      <c r="T3896" s="2" t="inlineStr"/>
      <c r="U3896" s="2" t="inlineStr">
        <is>
          <t>https://www.tim.com.br/sp/para-voce/planos/pos-pago/tim-black</t>
        </is>
      </c>
      <c r="V3896" s="2" t="inlineStr">
        <is>
          <t>data/raw/tim_postpaid_SP.html</t>
        </is>
      </c>
    </row>
    <row r="3897">
      <c r="A3897" s="5" t="inlineStr">
        <is>
          <t>2026-08-30</t>
        </is>
      </c>
      <c r="B3897" s="5" t="inlineStr">
        <is>
          <t>2026-08-30T20:06:52</t>
        </is>
      </c>
      <c r="C3897" s="5" t="inlineStr">
        <is>
          <t>tim</t>
        </is>
      </c>
      <c r="D3897" s="5" t="inlineStr">
        <is>
          <t>postpaid</t>
        </is>
      </c>
      <c r="E3897" s="5" t="inlineStr">
        <is>
          <t>SP</t>
        </is>
      </c>
      <c r="F3897" s="5" t="inlineStr">
        <is>
          <t>TIM Black Plus 80GB</t>
        </is>
      </c>
      <c r="G3897" s="5" t="inlineStr">
        <is>
          <t>tim:54256</t>
        </is>
      </c>
      <c r="H3897" s="6" t="n">
        <v>149.99</v>
      </c>
      <c r="I3897" s="6" t="inlineStr"/>
      <c r="J3897" s="5" t="inlineStr"/>
      <c r="K3897" s="5" t="inlineStr">
        <is>
          <t>bill</t>
        </is>
      </c>
      <c r="L3897" s="7" t="n">
        <v>80</v>
      </c>
      <c r="M3897" s="5" t="inlineStr"/>
      <c r="N3897" s="5" t="inlineStr"/>
      <c r="O3897" s="5" t="inlineStr"/>
      <c r="P3897" s="5" t="inlineStr"/>
      <c r="Q3897" s="5" t="inlineStr"/>
      <c r="R3897" s="5" t="inlineStr"/>
      <c r="S3897" s="5" t="inlineStr"/>
      <c r="T3897" s="5" t="inlineStr"/>
      <c r="U3897" s="5" t="inlineStr">
        <is>
          <t>https://www.tim.com.br/sp/para-voce/planos/pos-pago/tim-black</t>
        </is>
      </c>
      <c r="V3897" s="5" t="inlineStr">
        <is>
          <t>data/raw/tim_postpaid_SP.html</t>
        </is>
      </c>
    </row>
    <row r="3898">
      <c r="A3898" s="2" t="inlineStr">
        <is>
          <t>2026-08-30</t>
        </is>
      </c>
      <c r="B3898" s="2" t="inlineStr">
        <is>
          <t>2026-08-30T20:06:52</t>
        </is>
      </c>
      <c r="C3898" s="2" t="inlineStr">
        <is>
          <t>tim</t>
        </is>
      </c>
      <c r="D3898" s="2" t="inlineStr">
        <is>
          <t>postpaid</t>
        </is>
      </c>
      <c r="E3898" s="2" t="inlineStr">
        <is>
          <t>SP</t>
        </is>
      </c>
      <c r="F3898" s="2" t="inlineStr">
        <is>
          <t>TIM Black Premium 110GB</t>
        </is>
      </c>
      <c r="G3898" s="2" t="inlineStr">
        <is>
          <t>tim:54261</t>
        </is>
      </c>
      <c r="H3898" s="3" t="n">
        <v>159.99</v>
      </c>
      <c r="I3898" s="3" t="inlineStr"/>
      <c r="J3898" s="2" t="inlineStr"/>
      <c r="K3898" s="2" t="inlineStr">
        <is>
          <t>bill</t>
        </is>
      </c>
      <c r="L3898" s="4" t="n">
        <v>110</v>
      </c>
      <c r="M3898" s="2" t="inlineStr"/>
      <c r="N3898" s="2" t="inlineStr"/>
      <c r="O3898" s="2" t="inlineStr"/>
      <c r="P3898" s="2" t="inlineStr"/>
      <c r="Q3898" s="2" t="inlineStr"/>
      <c r="R3898" s="2" t="inlineStr"/>
      <c r="S3898" s="2" t="inlineStr"/>
      <c r="T3898" s="2" t="inlineStr"/>
      <c r="U3898" s="2" t="inlineStr">
        <is>
          <t>https://www.tim.com.br/sp/para-voce/planos/pos-pago/tim-black</t>
        </is>
      </c>
      <c r="V3898" s="2" t="inlineStr">
        <is>
          <t>data/raw/tim_postpaid_SP.html</t>
        </is>
      </c>
    </row>
    <row r="3899">
      <c r="A3899" s="5" t="inlineStr">
        <is>
          <t>2026-08-30</t>
        </is>
      </c>
      <c r="B3899" s="5" t="inlineStr">
        <is>
          <t>2026-08-30T20:06:52</t>
        </is>
      </c>
      <c r="C3899" s="5" t="inlineStr">
        <is>
          <t>tim</t>
        </is>
      </c>
      <c r="D3899" s="5" t="inlineStr">
        <is>
          <t>prepaid</t>
        </is>
      </c>
      <c r="E3899" s="5" t="inlineStr">
        <is>
          <t>SP</t>
        </is>
      </c>
      <c r="F3899" s="5" t="inlineStr">
        <is>
          <t>TIM Pré XIP Plus 16GB</t>
        </is>
      </c>
      <c r="G3899" s="5" t="inlineStr">
        <is>
          <t>tim:106306</t>
        </is>
      </c>
      <c r="H3899" s="6" t="n">
        <v>30</v>
      </c>
      <c r="I3899" s="6" t="inlineStr"/>
      <c r="J3899" s="5" t="inlineStr"/>
      <c r="K3899" s="5" t="inlineStr"/>
      <c r="L3899" s="7" t="n">
        <v>16</v>
      </c>
      <c r="M3899" s="5" t="inlineStr"/>
      <c r="N3899" s="5" t="n">
        <v>30</v>
      </c>
      <c r="O3899" s="5" t="inlineStr"/>
      <c r="P3899" s="5" t="inlineStr"/>
      <c r="Q3899" s="5" t="inlineStr"/>
      <c r="R3899" s="5" t="inlineStr"/>
      <c r="S3899" s="5" t="inlineStr"/>
      <c r="T3899" s="5" t="inlineStr"/>
      <c r="U3899" s="5" t="inlineStr">
        <is>
          <t>https://www.tim.com.br/sp/para-voce/planos/pre-pago</t>
        </is>
      </c>
      <c r="V3899" s="5" t="inlineStr">
        <is>
          <t>data/raw/tim_prepaid_SP.html</t>
        </is>
      </c>
    </row>
    <row r="3900">
      <c r="A3900" s="2" t="inlineStr">
        <is>
          <t>2026-08-30</t>
        </is>
      </c>
      <c r="B3900" s="2" t="inlineStr">
        <is>
          <t>2026-08-30T20:06:52</t>
        </is>
      </c>
      <c r="C3900" s="2" t="inlineStr">
        <is>
          <t>tim</t>
        </is>
      </c>
      <c r="D3900" s="2" t="inlineStr">
        <is>
          <t>prepaid</t>
        </is>
      </c>
      <c r="E3900" s="2" t="inlineStr">
        <is>
          <t>SP</t>
        </is>
      </c>
      <c r="F3900" s="2" t="inlineStr">
        <is>
          <t>TIM Pré XIP Plus 6GB</t>
        </is>
      </c>
      <c r="G3900" s="2" t="inlineStr">
        <is>
          <t>tim:59906</t>
        </is>
      </c>
      <c r="H3900" s="3" t="n">
        <v>20</v>
      </c>
      <c r="I3900" s="3" t="inlineStr"/>
      <c r="J3900" s="2" t="inlineStr"/>
      <c r="K3900" s="2" t="inlineStr"/>
      <c r="L3900" s="4" t="n">
        <v>6</v>
      </c>
      <c r="M3900" s="2" t="inlineStr"/>
      <c r="N3900" s="2" t="n">
        <v>17</v>
      </c>
      <c r="O3900" s="2" t="inlineStr"/>
      <c r="P3900" s="2" t="inlineStr"/>
      <c r="Q3900" s="2" t="inlineStr"/>
      <c r="R3900" s="2" t="inlineStr"/>
      <c r="S3900" s="2" t="inlineStr"/>
      <c r="T3900" s="2" t="inlineStr"/>
      <c r="U3900" s="2" t="inlineStr">
        <is>
          <t>https://www.tim.com.br/sp/para-voce/planos/pre-pago</t>
        </is>
      </c>
      <c r="V3900" s="2" t="inlineStr">
        <is>
          <t>data/raw/tim_prepaid_SP.html</t>
        </is>
      </c>
    </row>
    <row r="3901">
      <c r="A3901" s="5" t="inlineStr">
        <is>
          <t>2026-08-30</t>
        </is>
      </c>
      <c r="B3901" s="5" t="inlineStr">
        <is>
          <t>2026-08-30T20:06:52</t>
        </is>
      </c>
      <c r="C3901" s="5" t="inlineStr">
        <is>
          <t>tim</t>
        </is>
      </c>
      <c r="D3901" s="5" t="inlineStr">
        <is>
          <t>prepaid</t>
        </is>
      </c>
      <c r="E3901" s="5" t="inlineStr">
        <is>
          <t>SP</t>
        </is>
      </c>
      <c r="F3901" s="5" t="inlineStr">
        <is>
          <t>TIM Pré XIP Plus 8GB</t>
        </is>
      </c>
      <c r="G3901" s="5" t="inlineStr">
        <is>
          <t>tim:59901</t>
        </is>
      </c>
      <c r="H3901" s="6" t="n">
        <v>25</v>
      </c>
      <c r="I3901" s="6" t="inlineStr"/>
      <c r="J3901" s="5" t="inlineStr"/>
      <c r="K3901" s="5" t="inlineStr"/>
      <c r="L3901" s="7" t="n">
        <v>8</v>
      </c>
      <c r="M3901" s="5" t="inlineStr"/>
      <c r="N3901" s="5" t="n">
        <v>22</v>
      </c>
      <c r="O3901" s="5" t="inlineStr"/>
      <c r="P3901" s="5" t="inlineStr"/>
      <c r="Q3901" s="5" t="inlineStr"/>
      <c r="R3901" s="5" t="inlineStr"/>
      <c r="S3901" s="5" t="inlineStr"/>
      <c r="T3901" s="5" t="inlineStr"/>
      <c r="U3901" s="5" t="inlineStr">
        <is>
          <t>https://www.tim.com.br/sp/para-voce/planos/pre-pago</t>
        </is>
      </c>
      <c r="V3901" s="5" t="inlineStr">
        <is>
          <t>data/raw/tim_prepaid_SP.html</t>
        </is>
      </c>
    </row>
    <row r="3902">
      <c r="A3902" s="2" t="inlineStr">
        <is>
          <t>2026-08-30</t>
        </is>
      </c>
      <c r="B3902" s="2" t="inlineStr">
        <is>
          <t>2026-08-30T20:06:52</t>
        </is>
      </c>
      <c r="C3902" s="2" t="inlineStr">
        <is>
          <t>vivo</t>
        </is>
      </c>
      <c r="D3902" s="2" t="inlineStr">
        <is>
          <t>control</t>
        </is>
      </c>
      <c r="E3902" s="2" t="inlineStr">
        <is>
          <t>SP</t>
        </is>
      </c>
      <c r="F3902" s="2" t="inlineStr">
        <is>
          <t>Vivo Controle</t>
        </is>
      </c>
      <c r="G3902" s="2" t="inlineStr">
        <is>
          <t>vivo:VIV202600034591</t>
        </is>
      </c>
      <c r="H3902" s="3" t="n">
        <v>59</v>
      </c>
      <c r="I3902" s="3" t="inlineStr"/>
      <c r="J3902" s="2" t="inlineStr"/>
      <c r="K3902" s="2" t="inlineStr"/>
      <c r="L3902" s="4" t="n">
        <v>45</v>
      </c>
      <c r="M3902" s="2" t="inlineStr">
        <is>
          <t>15 GB de franquia 30 GB de bônus</t>
        </is>
      </c>
      <c r="N3902" s="2" t="inlineStr"/>
      <c r="O3902" s="2" t="inlineStr"/>
      <c r="P3902" s="2" t="inlineStr"/>
      <c r="Q3902" s="2" t="inlineStr"/>
      <c r="R3902" s="2" t="inlineStr"/>
      <c r="S3902" s="2" t="inlineStr"/>
      <c r="T3902" s="2" t="inlineStr">
        <is>
          <t>6 meses grátis de Gemini com AI Plus</t>
        </is>
      </c>
      <c r="U3902" s="2" t="inlineStr">
        <is>
          <t>https://vivo.com.br/para-voce/produtos-e-servicos/para-o-celular/planos-controle</t>
        </is>
      </c>
      <c r="V3902" s="2" t="inlineStr">
        <is>
          <t>data/raw/vivo_control_SP.html</t>
        </is>
      </c>
    </row>
    <row r="3903">
      <c r="A3903" s="5" t="inlineStr">
        <is>
          <t>2026-08-30</t>
        </is>
      </c>
      <c r="B3903" s="5" t="inlineStr">
        <is>
          <t>2026-08-30T20:06:52</t>
        </is>
      </c>
      <c r="C3903" s="5" t="inlineStr">
        <is>
          <t>vivo</t>
        </is>
      </c>
      <c r="D3903" s="5" t="inlineStr">
        <is>
          <t>control</t>
        </is>
      </c>
      <c r="E3903" s="5" t="inlineStr">
        <is>
          <t>SP</t>
        </is>
      </c>
      <c r="F3903" s="5" t="inlineStr">
        <is>
          <t>Vivo Controle</t>
        </is>
      </c>
      <c r="G3903" s="5" t="inlineStr">
        <is>
          <t>vivo:VIV202600034599</t>
        </is>
      </c>
      <c r="H3903" s="6" t="n">
        <v>75</v>
      </c>
      <c r="I3903" s="6" t="inlineStr"/>
      <c r="J3903" s="5" t="inlineStr">
        <is>
          <t>preço-base do plano; a tela exibia R$ 80 com o adicional pré-selecionado (+R$ 5/mês, opcional); 60 GB na tela incluem +10 GB do adicional</t>
        </is>
      </c>
      <c r="K3903" s="5" t="inlineStr"/>
      <c r="L3903" s="7" t="n">
        <v>50</v>
      </c>
      <c r="M3903" s="5" t="inlineStr">
        <is>
          <t>20 GB de franquia 30 GB de bônus</t>
        </is>
      </c>
      <c r="N3903" s="5" t="inlineStr"/>
      <c r="O3903" s="5" t="inlineStr"/>
      <c r="P3903" s="5" t="inlineStr"/>
      <c r="Q3903" s="5" t="inlineStr"/>
      <c r="R3903" s="5" t="inlineStr"/>
      <c r="S3903" s="5" t="inlineStr"/>
      <c r="T3903" s="5" t="inlineStr">
        <is>
          <t>6 meses grátis de Gemini com AI Plus</t>
        </is>
      </c>
      <c r="U3903" s="5" t="inlineStr">
        <is>
          <t>https://vivo.com.br/para-voce/produtos-e-servicos/para-o-celular/planos-controle</t>
        </is>
      </c>
      <c r="V3903" s="5" t="inlineStr">
        <is>
          <t>data/raw/vivo_control_SP.html</t>
        </is>
      </c>
    </row>
    <row r="3904">
      <c r="A3904" s="2" t="inlineStr">
        <is>
          <t>2026-08-30</t>
        </is>
      </c>
      <c r="B3904" s="2" t="inlineStr">
        <is>
          <t>2026-08-30T20:06:52</t>
        </is>
      </c>
      <c r="C3904" s="2" t="inlineStr">
        <is>
          <t>vivo</t>
        </is>
      </c>
      <c r="D3904" s="2" t="inlineStr">
        <is>
          <t>control</t>
        </is>
      </c>
      <c r="E3904" s="2" t="inlineStr">
        <is>
          <t>SP</t>
        </is>
      </c>
      <c r="F3904" s="2" t="inlineStr">
        <is>
          <t>Vivo Controle Educação</t>
        </is>
      </c>
      <c r="G3904" s="2" t="inlineStr">
        <is>
          <t>vivo:VIV202600034616</t>
        </is>
      </c>
      <c r="H3904" s="3" t="n">
        <v>85</v>
      </c>
      <c r="I3904" s="3" t="inlineStr"/>
      <c r="J3904" s="2" t="inlineStr">
        <is>
          <t>preço-base do plano; a tela exibia R$ 90 com o adicional pré-selecionado (+R$ 5/mês, opcional); 60 GB na tela incluem +10 GB do adicional</t>
        </is>
      </c>
      <c r="K3904" s="2" t="inlineStr"/>
      <c r="L3904" s="4" t="n">
        <v>50</v>
      </c>
      <c r="M3904" s="2" t="inlineStr">
        <is>
          <t>20 GB de franquia 30 GB de bônus</t>
        </is>
      </c>
      <c r="N3904" s="2" t="inlineStr"/>
      <c r="O3904" s="2" t="inlineStr"/>
      <c r="P3904" s="2" t="inlineStr"/>
      <c r="Q3904" s="2" t="inlineStr"/>
      <c r="R3904" s="2" t="inlineStr"/>
      <c r="S3904" s="2" t="inlineStr"/>
      <c r="T3904" s="2" t="inlineStr">
        <is>
          <t>Assinatura Vivae inclusa</t>
        </is>
      </c>
      <c r="U3904" s="2" t="inlineStr">
        <is>
          <t>https://vivo.com.br/para-voce/produtos-e-servicos/para-o-celular/planos-controle</t>
        </is>
      </c>
      <c r="V3904" s="2" t="inlineStr">
        <is>
          <t>data/raw/vivo_control_SP.html</t>
        </is>
      </c>
    </row>
    <row r="3905">
      <c r="A3905" s="5" t="inlineStr">
        <is>
          <t>2026-08-30</t>
        </is>
      </c>
      <c r="B3905" s="5" t="inlineStr">
        <is>
          <t>2026-08-30T20:06:52</t>
        </is>
      </c>
      <c r="C3905" s="5" t="inlineStr">
        <is>
          <t>vivo</t>
        </is>
      </c>
      <c r="D3905" s="5" t="inlineStr">
        <is>
          <t>control</t>
        </is>
      </c>
      <c r="E3905" s="5" t="inlineStr">
        <is>
          <t>SP</t>
        </is>
      </c>
      <c r="F3905" s="5" t="inlineStr">
        <is>
          <t>Vivo Controle Entretenimento</t>
        </is>
      </c>
      <c r="G3905" s="5" t="inlineStr">
        <is>
          <t>vivo:VIV202600034619</t>
        </is>
      </c>
      <c r="H3905" s="6" t="n">
        <v>105</v>
      </c>
      <c r="I3905" s="6" t="inlineStr"/>
      <c r="J3905" s="5" t="inlineStr">
        <is>
          <t>preço-base do plano; a tela exibia R$ 110 com o adicional pré-selecionado (+R$ 5/mês, opcional); 60 GB na tela incluem +10 GB do adicional</t>
        </is>
      </c>
      <c r="K3905" s="5" t="inlineStr"/>
      <c r="L3905" s="7" t="n">
        <v>50</v>
      </c>
      <c r="M3905" s="5" t="inlineStr">
        <is>
          <t>20 GB de franquia 30 GB de bônus</t>
        </is>
      </c>
      <c r="N3905" s="5" t="inlineStr"/>
      <c r="O3905" s="5" t="inlineStr"/>
      <c r="P3905" s="5" t="inlineStr"/>
      <c r="Q3905" s="5" t="inlineStr"/>
      <c r="R3905" s="5" t="inlineStr"/>
      <c r="S3905" s="5" t="inlineStr"/>
      <c r="T3905" s="5" t="inlineStr">
        <is>
          <t>Assinatura Vivo TV Inicial inclusa</t>
        </is>
      </c>
      <c r="U3905" s="5" t="inlineStr">
        <is>
          <t>https://vivo.com.br/para-voce/produtos-e-servicos/para-o-celular/planos-controle</t>
        </is>
      </c>
      <c r="V3905" s="5" t="inlineStr">
        <is>
          <t>data/raw/vivo_control_SP.html</t>
        </is>
      </c>
    </row>
    <row r="3906">
      <c r="A3906" s="2" t="inlineStr">
        <is>
          <t>2026-08-30</t>
        </is>
      </c>
      <c r="B3906" s="2" t="inlineStr">
        <is>
          <t>2026-08-30T20:06:52</t>
        </is>
      </c>
      <c r="C3906" s="2" t="inlineStr">
        <is>
          <t>vivo</t>
        </is>
      </c>
      <c r="D3906" s="2" t="inlineStr">
        <is>
          <t>control</t>
        </is>
      </c>
      <c r="E3906" s="2" t="inlineStr">
        <is>
          <t>SP</t>
        </is>
      </c>
      <c r="F3906" s="2" t="inlineStr">
        <is>
          <t>Vivo Controle Música</t>
        </is>
      </c>
      <c r="G3906" s="2" t="inlineStr">
        <is>
          <t>vivo:VIV202600034620</t>
        </is>
      </c>
      <c r="H3906" s="3" t="n">
        <v>85</v>
      </c>
      <c r="I3906" s="3" t="inlineStr"/>
      <c r="J3906" s="2" t="inlineStr">
        <is>
          <t>preço-base do plano; a tela exibia R$ 90 com o adicional pré-selecionado (+R$ 5/mês, opcional); 60 GB na tela incluem +10 GB do adicional</t>
        </is>
      </c>
      <c r="K3906" s="2" t="inlineStr"/>
      <c r="L3906" s="4" t="n">
        <v>50</v>
      </c>
      <c r="M3906" s="2" t="inlineStr">
        <is>
          <t>20 GB de franquia 30 GB de bônus</t>
        </is>
      </c>
      <c r="N3906" s="2" t="inlineStr"/>
      <c r="O3906" s="2" t="inlineStr"/>
      <c r="P3906" s="2" t="inlineStr"/>
      <c r="Q3906" s="2" t="inlineStr"/>
      <c r="R3906" s="2" t="inlineStr"/>
      <c r="S3906" s="2" t="inlineStr"/>
      <c r="T3906" s="2" t="inlineStr">
        <is>
          <t>Apple Music Individual</t>
        </is>
      </c>
      <c r="U3906" s="2" t="inlineStr">
        <is>
          <t>https://vivo.com.br/para-voce/produtos-e-servicos/para-o-celular/planos-controle</t>
        </is>
      </c>
      <c r="V3906" s="2" t="inlineStr">
        <is>
          <t>data/raw/vivo_control_SP.html</t>
        </is>
      </c>
    </row>
    <row r="3907">
      <c r="A3907" s="5" t="inlineStr">
        <is>
          <t>2026-08-30</t>
        </is>
      </c>
      <c r="B3907" s="5" t="inlineStr">
        <is>
          <t>2026-08-30T20:06:52</t>
        </is>
      </c>
      <c r="C3907" s="5" t="inlineStr">
        <is>
          <t>vivo</t>
        </is>
      </c>
      <c r="D3907" s="5" t="inlineStr">
        <is>
          <t>control</t>
        </is>
      </c>
      <c r="E3907" s="5" t="inlineStr">
        <is>
          <t>SP</t>
        </is>
      </c>
      <c r="F3907" s="5" t="inlineStr">
        <is>
          <t>Vivo Controle Netflix</t>
        </is>
      </c>
      <c r="G3907" s="5" t="inlineStr">
        <is>
          <t>vivo:VIV202600034623</t>
        </is>
      </c>
      <c r="H3907" s="6" t="n">
        <v>90</v>
      </c>
      <c r="I3907" s="6" t="inlineStr"/>
      <c r="J3907" s="5" t="inlineStr">
        <is>
          <t>preço-base do plano; a tela exibia R$ 95 com o adicional pré-selecionado (+R$ 5/mês, opcional); 60 GB na tela incluem +10 GB do adicional</t>
        </is>
      </c>
      <c r="K3907" s="5" t="inlineStr"/>
      <c r="L3907" s="7" t="n">
        <v>50</v>
      </c>
      <c r="M3907" s="5" t="inlineStr">
        <is>
          <t>20 GB de franquia 30 GB de bônus</t>
        </is>
      </c>
      <c r="N3907" s="5" t="inlineStr"/>
      <c r="O3907" s="5" t="inlineStr"/>
      <c r="P3907" s="5" t="inlineStr"/>
      <c r="Q3907" s="5" t="inlineStr"/>
      <c r="R3907" s="5" t="inlineStr"/>
      <c r="S3907" s="5" t="inlineStr"/>
      <c r="T3907" s="5" t="inlineStr">
        <is>
          <t>Assinatura Netflix Padrão com anúncios</t>
        </is>
      </c>
      <c r="U3907" s="5" t="inlineStr">
        <is>
          <t>https://vivo.com.br/para-voce/produtos-e-servicos/para-o-celular/planos-controle</t>
        </is>
      </c>
      <c r="V3907" s="5" t="inlineStr">
        <is>
          <t>data/raw/vivo_control_SP.html</t>
        </is>
      </c>
    </row>
    <row r="3908">
      <c r="A3908" s="2" t="inlineStr">
        <is>
          <t>2026-08-30</t>
        </is>
      </c>
      <c r="B3908" s="2" t="inlineStr">
        <is>
          <t>2026-08-30T20:06:52</t>
        </is>
      </c>
      <c r="C3908" s="2" t="inlineStr">
        <is>
          <t>vivo</t>
        </is>
      </c>
      <c r="D3908" s="2" t="inlineStr">
        <is>
          <t>control</t>
        </is>
      </c>
      <c r="E3908" s="2" t="inlineStr">
        <is>
          <t>SP</t>
        </is>
      </c>
      <c r="F3908" s="2" t="inlineStr">
        <is>
          <t>Vivo Controle Saúde</t>
        </is>
      </c>
      <c r="G3908" s="2" t="inlineStr">
        <is>
          <t>vivo:VIV202600034625</t>
        </is>
      </c>
      <c r="H3908" s="3" t="n">
        <v>85</v>
      </c>
      <c r="I3908" s="3" t="inlineStr"/>
      <c r="J3908" s="2" t="inlineStr">
        <is>
          <t>preço-base do plano; a tela exibia R$ 90 com o adicional pré-selecionado (+R$ 5/mês, opcional); 60 GB na tela incluem +10 GB do adicional</t>
        </is>
      </c>
      <c r="K3908" s="2" t="inlineStr"/>
      <c r="L3908" s="4" t="n">
        <v>50</v>
      </c>
      <c r="M3908" s="2" t="inlineStr">
        <is>
          <t>20 GB de franquia 30 GB de bônus</t>
        </is>
      </c>
      <c r="N3908" s="2" t="inlineStr"/>
      <c r="O3908" s="2" t="inlineStr"/>
      <c r="P3908" s="2" t="inlineStr"/>
      <c r="Q3908" s="2" t="inlineStr"/>
      <c r="R3908" s="2" t="inlineStr"/>
      <c r="S3908" s="2" t="inlineStr"/>
      <c r="T3908" s="2" t="inlineStr">
        <is>
          <t>Assinatura Vale Saúde Sempre inclusa</t>
        </is>
      </c>
      <c r="U3908" s="2" t="inlineStr">
        <is>
          <t>https://vivo.com.br/para-voce/produtos-e-servicos/para-o-celular/planos-controle</t>
        </is>
      </c>
      <c r="V3908" s="2" t="inlineStr">
        <is>
          <t>data/raw/vivo_control_SP.html</t>
        </is>
      </c>
    </row>
    <row r="3909">
      <c r="A3909" s="5" t="inlineStr">
        <is>
          <t>2026-08-30</t>
        </is>
      </c>
      <c r="B3909" s="5" t="inlineStr">
        <is>
          <t>2026-08-30T20:06:52</t>
        </is>
      </c>
      <c r="C3909" s="5" t="inlineStr">
        <is>
          <t>vivo</t>
        </is>
      </c>
      <c r="D3909" s="5" t="inlineStr">
        <is>
          <t>control</t>
        </is>
      </c>
      <c r="E3909" s="5" t="inlineStr">
        <is>
          <t>SP</t>
        </is>
      </c>
      <c r="F3909" s="5" t="inlineStr">
        <is>
          <t>Vivo Controle Youtube Lite</t>
        </is>
      </c>
      <c r="G3909" s="5" t="inlineStr">
        <is>
          <t>vivo:VIV202600034626</t>
        </is>
      </c>
      <c r="H3909" s="6" t="n">
        <v>85</v>
      </c>
      <c r="I3909" s="6" t="inlineStr"/>
      <c r="J3909" s="5" t="inlineStr">
        <is>
          <t>preço-base do plano; a tela exibia R$ 90 com o adicional pré-selecionado (+R$ 5/mês, opcional); 60 GB na tela incluem +10 GB do adicional</t>
        </is>
      </c>
      <c r="K3909" s="5" t="inlineStr"/>
      <c r="L3909" s="7" t="n">
        <v>50</v>
      </c>
      <c r="M3909" s="5" t="inlineStr">
        <is>
          <t>20 GB de franquia 30 GB de bônus</t>
        </is>
      </c>
      <c r="N3909" s="5" t="inlineStr"/>
      <c r="O3909" s="5" t="inlineStr"/>
      <c r="P3909" s="5" t="inlineStr"/>
      <c r="Q3909" s="5" t="inlineStr"/>
      <c r="R3909" s="5" t="inlineStr"/>
      <c r="S3909" s="5" t="inlineStr"/>
      <c r="T3909" s="5" t="inlineStr">
        <is>
          <t>Assinatura Youtube Premium Lite Inclusa</t>
        </is>
      </c>
      <c r="U3909" s="5" t="inlineStr">
        <is>
          <t>https://vivo.com.br/para-voce/produtos-e-servicos/para-o-celular/planos-controle</t>
        </is>
      </c>
      <c r="V3909" s="5" t="inlineStr">
        <is>
          <t>data/raw/vivo_control_SP.html</t>
        </is>
      </c>
    </row>
    <row r="3910">
      <c r="A3910" s="2" t="inlineStr">
        <is>
          <t>2026-08-30</t>
        </is>
      </c>
      <c r="B3910" s="2" t="inlineStr">
        <is>
          <t>2026-08-30T20:06:52</t>
        </is>
      </c>
      <c r="C3910" s="2" t="inlineStr">
        <is>
          <t>vivo</t>
        </is>
      </c>
      <c r="D3910" s="2" t="inlineStr">
        <is>
          <t>lite</t>
        </is>
      </c>
      <c r="E3910" s="2" t="inlineStr">
        <is>
          <t>SP</t>
        </is>
      </c>
      <c r="F3910" s="2" t="inlineStr">
        <is>
          <t>Vivo Lite</t>
        </is>
      </c>
      <c r="G3910" s="2" t="inlineStr">
        <is>
          <t>vivo:VIV202600033987</t>
        </is>
      </c>
      <c r="H3910" s="3" t="n">
        <v>45</v>
      </c>
      <c r="I3910" s="3" t="n">
        <v>30</v>
      </c>
      <c r="J3910" s="2" t="inlineStr">
        <is>
          <t>preço sem fidelidade; fidelidade 12m no promo</t>
        </is>
      </c>
      <c r="K3910" s="2" t="inlineStr"/>
      <c r="L3910" s="4" t="n">
        <v>30</v>
      </c>
      <c r="M3910" s="2" t="inlineStr">
        <is>
          <t>30 GB de franquia</t>
        </is>
      </c>
      <c r="N3910" s="2" t="inlineStr"/>
      <c r="O3910" s="2" t="inlineStr"/>
      <c r="P3910" s="2" t="inlineStr"/>
      <c r="Q3910" s="2" t="inlineStr"/>
      <c r="R3910" s="2" t="inlineStr"/>
      <c r="S3910" s="2" t="n">
        <v>12</v>
      </c>
      <c r="T3910" s="2" t="inlineStr"/>
      <c r="U3910" s="2" t="inlineStr">
        <is>
          <t>https://vivo.com.br/para-voce/produtos-e-servicos/para-o-celular/easy-lite</t>
        </is>
      </c>
      <c r="V3910" s="2" t="inlineStr">
        <is>
          <t>data/raw/vivo_lite_SP.html</t>
        </is>
      </c>
    </row>
    <row r="3911">
      <c r="A3911" s="5" t="inlineStr">
        <is>
          <t>2026-08-30</t>
        </is>
      </c>
      <c r="B3911" s="5" t="inlineStr">
        <is>
          <t>2026-08-30T20:06:52</t>
        </is>
      </c>
      <c r="C3911" s="5" t="inlineStr">
        <is>
          <t>vivo</t>
        </is>
      </c>
      <c r="D3911" s="5" t="inlineStr">
        <is>
          <t>lite</t>
        </is>
      </c>
      <c r="E3911" s="5" t="inlineStr">
        <is>
          <t>SP</t>
        </is>
      </c>
      <c r="F3911" s="5" t="inlineStr">
        <is>
          <t>Vivo Lite</t>
        </is>
      </c>
      <c r="G3911" s="5" t="inlineStr">
        <is>
          <t>vivo:VIV202600033989</t>
        </is>
      </c>
      <c r="H3911" s="6" t="n">
        <v>55</v>
      </c>
      <c r="I3911" s="6" t="n">
        <v>40</v>
      </c>
      <c r="J3911" s="5" t="inlineStr">
        <is>
          <t>preço sem fidelidade; fidelidade 12m no promo</t>
        </is>
      </c>
      <c r="K3911" s="5" t="inlineStr"/>
      <c r="L3911" s="7" t="n">
        <v>40</v>
      </c>
      <c r="M3911" s="5" t="inlineStr">
        <is>
          <t>40 GB de franquia</t>
        </is>
      </c>
      <c r="N3911" s="5" t="inlineStr"/>
      <c r="O3911" s="5" t="inlineStr"/>
      <c r="P3911" s="5" t="inlineStr"/>
      <c r="Q3911" s="5" t="inlineStr"/>
      <c r="R3911" s="5" t="inlineStr"/>
      <c r="S3911" s="5" t="n">
        <v>12</v>
      </c>
      <c r="T3911" s="5" t="inlineStr"/>
      <c r="U3911" s="5" t="inlineStr">
        <is>
          <t>https://vivo.com.br/para-voce/produtos-e-servicos/para-o-celular/easy-lite</t>
        </is>
      </c>
      <c r="V3911" s="5" t="inlineStr">
        <is>
          <t>data/raw/vivo_lite_SP.html</t>
        </is>
      </c>
    </row>
    <row r="3912">
      <c r="A3912" s="2" t="inlineStr">
        <is>
          <t>2026-08-30</t>
        </is>
      </c>
      <c r="B3912" s="2" t="inlineStr">
        <is>
          <t>2026-08-30T20:06:52</t>
        </is>
      </c>
      <c r="C3912" s="2" t="inlineStr">
        <is>
          <t>vivo</t>
        </is>
      </c>
      <c r="D3912" s="2" t="inlineStr">
        <is>
          <t>lite</t>
        </is>
      </c>
      <c r="E3912" s="2" t="inlineStr">
        <is>
          <t>SP</t>
        </is>
      </c>
      <c r="F3912" s="2" t="inlineStr">
        <is>
          <t>Vivo Lite</t>
        </is>
      </c>
      <c r="G3912" s="2" t="inlineStr">
        <is>
          <t>vivo:VIV202600033992</t>
        </is>
      </c>
      <c r="H3912" s="3" t="n">
        <v>35</v>
      </c>
      <c r="I3912" s="3" t="inlineStr"/>
      <c r="J3912" s="2" t="inlineStr"/>
      <c r="K3912" s="2" t="inlineStr"/>
      <c r="L3912" s="4" t="n">
        <v>20</v>
      </c>
      <c r="M3912" s="2" t="inlineStr">
        <is>
          <t>20 GB de franquia</t>
        </is>
      </c>
      <c r="N3912" s="2" t="inlineStr"/>
      <c r="O3912" s="2" t="inlineStr"/>
      <c r="P3912" s="2" t="inlineStr"/>
      <c r="Q3912" s="2" t="inlineStr"/>
      <c r="R3912" s="2" t="inlineStr"/>
      <c r="S3912" s="2" t="inlineStr"/>
      <c r="T3912" s="2" t="inlineStr"/>
      <c r="U3912" s="2" t="inlineStr">
        <is>
          <t>https://vivo.com.br/para-voce/produtos-e-servicos/para-o-celular/easy-lite</t>
        </is>
      </c>
      <c r="V3912" s="2" t="inlineStr">
        <is>
          <t>data/raw/vivo_lite_SP.html</t>
        </is>
      </c>
    </row>
    <row r="3913">
      <c r="A3913" s="5" t="inlineStr">
        <is>
          <t>2026-08-30</t>
        </is>
      </c>
      <c r="B3913" s="5" t="inlineStr">
        <is>
          <t>2026-08-30T20:06:52</t>
        </is>
      </c>
      <c r="C3913" s="5" t="inlineStr">
        <is>
          <t>vivo</t>
        </is>
      </c>
      <c r="D3913" s="5" t="inlineStr">
        <is>
          <t>postpaid</t>
        </is>
      </c>
      <c r="E3913" s="5" t="inlineStr">
        <is>
          <t>SP</t>
        </is>
      </c>
      <c r="F3913" s="5" t="inlineStr">
        <is>
          <t>Vivo Família 2</t>
        </is>
      </c>
      <c r="G3913" s="5" t="inlineStr">
        <is>
          <t>vivo:VIV202600034547</t>
        </is>
      </c>
      <c r="H3913" s="6" t="n">
        <v>270</v>
      </c>
      <c r="I3913" s="6" t="inlineStr"/>
      <c r="J3913" s="5" t="inlineStr"/>
      <c r="K3913" s="5" t="inlineStr"/>
      <c r="L3913" s="7" t="n">
        <v>120</v>
      </c>
      <c r="M3913" s="5" t="inlineStr">
        <is>
          <t>120 GB de franquia Você + 1 linha adicional Roaming Internacional com Vivo Travel Américas e Europa</t>
        </is>
      </c>
      <c r="N3913" s="5" t="inlineStr"/>
      <c r="O3913" s="5" t="inlineStr"/>
      <c r="P3913" s="5" t="inlineStr"/>
      <c r="Q3913" s="5" t="inlineStr"/>
      <c r="R3913" s="5" t="inlineStr"/>
      <c r="S3913" s="5" t="inlineStr"/>
      <c r="T3913" s="5" t="inlineStr">
        <is>
          <t>12 meses grátis de Gemini com AI Plus</t>
        </is>
      </c>
      <c r="U3913" s="5" t="inlineStr">
        <is>
          <t>https://vivo.com.br/para-voce/produtos-e-servicos/para-o-celular/planos-pos-pago</t>
        </is>
      </c>
      <c r="V3913" s="5" t="inlineStr">
        <is>
          <t>data/raw/vivo_postpaid_SP.html</t>
        </is>
      </c>
    </row>
    <row r="3914">
      <c r="A3914" s="2" t="inlineStr">
        <is>
          <t>2026-08-30</t>
        </is>
      </c>
      <c r="B3914" s="2" t="inlineStr">
        <is>
          <t>2026-08-30T20:06:52</t>
        </is>
      </c>
      <c r="C3914" s="2" t="inlineStr">
        <is>
          <t>vivo</t>
        </is>
      </c>
      <c r="D3914" s="2" t="inlineStr">
        <is>
          <t>postpaid</t>
        </is>
      </c>
      <c r="E3914" s="2" t="inlineStr">
        <is>
          <t>SP</t>
        </is>
      </c>
      <c r="F3914" s="2" t="inlineStr">
        <is>
          <t>Vivo Família 3</t>
        </is>
      </c>
      <c r="G3914" s="2" t="inlineStr">
        <is>
          <t>vivo:VIV202600034540</t>
        </is>
      </c>
      <c r="H3914" s="3" t="n">
        <v>340</v>
      </c>
      <c r="I3914" s="3" t="inlineStr"/>
      <c r="J3914" s="2" t="inlineStr"/>
      <c r="K3914" s="2" t="inlineStr"/>
      <c r="L3914" s="4" t="n">
        <v>180</v>
      </c>
      <c r="M3914" s="2" t="inlineStr">
        <is>
          <t>180 GB de franquia Você + 2 linhas adicionais Roaming Internacional com Vivo Travel Américas e Europa</t>
        </is>
      </c>
      <c r="N3914" s="2" t="inlineStr"/>
      <c r="O3914" s="2" t="inlineStr"/>
      <c r="P3914" s="2" t="inlineStr"/>
      <c r="Q3914" s="2" t="inlineStr"/>
      <c r="R3914" s="2" t="inlineStr"/>
      <c r="S3914" s="2" t="inlineStr"/>
      <c r="T3914" s="2" t="inlineStr">
        <is>
          <t>12 meses grátis de Gemini com AI Plus</t>
        </is>
      </c>
      <c r="U3914" s="2" t="inlineStr">
        <is>
          <t>https://vivo.com.br/para-voce/produtos-e-servicos/para-o-celular/planos-pos-pago</t>
        </is>
      </c>
      <c r="V3914" s="2" t="inlineStr">
        <is>
          <t>data/raw/vivo_postpaid_SP.html</t>
        </is>
      </c>
    </row>
    <row r="3915">
      <c r="A3915" s="5" t="inlineStr">
        <is>
          <t>2026-08-30</t>
        </is>
      </c>
      <c r="B3915" s="5" t="inlineStr">
        <is>
          <t>2026-08-30T20:06:52</t>
        </is>
      </c>
      <c r="C3915" s="5" t="inlineStr">
        <is>
          <t>vivo</t>
        </is>
      </c>
      <c r="D3915" s="5" t="inlineStr">
        <is>
          <t>postpaid</t>
        </is>
      </c>
      <c r="E3915" s="5" t="inlineStr">
        <is>
          <t>SP</t>
        </is>
      </c>
      <c r="F3915" s="5" t="inlineStr">
        <is>
          <t>Vivo Família 4</t>
        </is>
      </c>
      <c r="G3915" s="5" t="inlineStr">
        <is>
          <t>vivo:VIV202600034531</t>
        </is>
      </c>
      <c r="H3915" s="6" t="n">
        <v>430</v>
      </c>
      <c r="I3915" s="6" t="inlineStr"/>
      <c r="J3915" s="5" t="inlineStr"/>
      <c r="K3915" s="5" t="inlineStr"/>
      <c r="L3915" s="7" t="n">
        <v>240</v>
      </c>
      <c r="M3915" s="5" t="inlineStr">
        <is>
          <t>240 GB de franquia Você + 3 linhas adicionais Roaming Internacional com Vivo Travel Américas e Europa</t>
        </is>
      </c>
      <c r="N3915" s="5" t="inlineStr"/>
      <c r="O3915" s="5" t="inlineStr"/>
      <c r="P3915" s="5" t="inlineStr"/>
      <c r="Q3915" s="5" t="inlineStr"/>
      <c r="R3915" s="5" t="inlineStr"/>
      <c r="S3915" s="5" t="inlineStr"/>
      <c r="T3915" s="5" t="inlineStr">
        <is>
          <t>12 meses grátis de Gemini com AI Plus</t>
        </is>
      </c>
      <c r="U3915" s="5" t="inlineStr">
        <is>
          <t>https://vivo.com.br/para-voce/produtos-e-servicos/para-o-celular/planos-pos-pago</t>
        </is>
      </c>
      <c r="V3915" s="5" t="inlineStr">
        <is>
          <t>data/raw/vivo_postpaid_SP.html</t>
        </is>
      </c>
    </row>
    <row r="3916">
      <c r="A3916" s="2" t="inlineStr">
        <is>
          <t>2026-08-30</t>
        </is>
      </c>
      <c r="B3916" s="2" t="inlineStr">
        <is>
          <t>2026-08-30T20:06:52</t>
        </is>
      </c>
      <c r="C3916" s="2" t="inlineStr">
        <is>
          <t>vivo</t>
        </is>
      </c>
      <c r="D3916" s="2" t="inlineStr">
        <is>
          <t>postpaid</t>
        </is>
      </c>
      <c r="E3916" s="2" t="inlineStr">
        <is>
          <t>SP</t>
        </is>
      </c>
      <c r="F3916" s="2" t="inlineStr">
        <is>
          <t>Vivo Família 5</t>
        </is>
      </c>
      <c r="G3916" s="2" t="inlineStr">
        <is>
          <t>vivo:VIV202600034526</t>
        </is>
      </c>
      <c r="H3916" s="3" t="n">
        <v>530</v>
      </c>
      <c r="I3916" s="3" t="inlineStr"/>
      <c r="J3916" s="2" t="inlineStr"/>
      <c r="K3916" s="2" t="inlineStr"/>
      <c r="L3916" s="4" t="n">
        <v>300</v>
      </c>
      <c r="M3916" s="2" t="inlineStr">
        <is>
          <t>300 GB de franquia Você + 4 linhas adicionais Roaming Internacional com Vivo Travel Américas e Europa</t>
        </is>
      </c>
      <c r="N3916" s="2" t="inlineStr"/>
      <c r="O3916" s="2" t="inlineStr"/>
      <c r="P3916" s="2" t="inlineStr"/>
      <c r="Q3916" s="2" t="inlineStr"/>
      <c r="R3916" s="2" t="inlineStr"/>
      <c r="S3916" s="2" t="inlineStr"/>
      <c r="T3916" s="2" t="inlineStr">
        <is>
          <t>12 meses grátis de Gemini com AI Plus</t>
        </is>
      </c>
      <c r="U3916" s="2" t="inlineStr">
        <is>
          <t>https://vivo.com.br/para-voce/produtos-e-servicos/para-o-celular/planos-pos-pago</t>
        </is>
      </c>
      <c r="V3916" s="2" t="inlineStr">
        <is>
          <t>data/raw/vivo_postpaid_SP.html</t>
        </is>
      </c>
    </row>
    <row r="3917">
      <c r="A3917" s="5" t="inlineStr">
        <is>
          <t>2026-08-30</t>
        </is>
      </c>
      <c r="B3917" s="5" t="inlineStr">
        <is>
          <t>2026-08-30T20:06:52</t>
        </is>
      </c>
      <c r="C3917" s="5" t="inlineStr">
        <is>
          <t>vivo</t>
        </is>
      </c>
      <c r="D3917" s="5" t="inlineStr">
        <is>
          <t>postpaid</t>
        </is>
      </c>
      <c r="E3917" s="5" t="inlineStr">
        <is>
          <t>SP</t>
        </is>
      </c>
      <c r="F3917" s="5" t="inlineStr">
        <is>
          <t>Vivo Pós com Amazon</t>
        </is>
      </c>
      <c r="G3917" s="5" t="inlineStr">
        <is>
          <t>vivo:VIV202600034554</t>
        </is>
      </c>
      <c r="H3917" s="6" t="n">
        <v>150</v>
      </c>
      <c r="I3917" s="6" t="inlineStr"/>
      <c r="J3917" s="5" t="inlineStr"/>
      <c r="K3917" s="5" t="inlineStr"/>
      <c r="L3917" s="7" t="n">
        <v>60</v>
      </c>
      <c r="M3917" s="5" t="inlineStr">
        <is>
          <t>50 GB de franquia 10 GB de bônus</t>
        </is>
      </c>
      <c r="N3917" s="5" t="inlineStr"/>
      <c r="O3917" s="5" t="inlineStr"/>
      <c r="P3917" s="5" t="inlineStr"/>
      <c r="Q3917" s="5" t="inlineStr"/>
      <c r="R3917" s="5" t="inlineStr"/>
      <c r="S3917" s="5" t="inlineStr"/>
      <c r="T3917" s="5" t="inlineStr">
        <is>
          <t>Assinatura Amazon Prime inclusa</t>
        </is>
      </c>
      <c r="U3917" s="5" t="inlineStr">
        <is>
          <t>https://vivo.com.br/para-voce/produtos-e-servicos/para-o-celular/planos-pos-pago</t>
        </is>
      </c>
      <c r="V3917" s="5" t="inlineStr">
        <is>
          <t>data/raw/vivo_postpaid_SP.html</t>
        </is>
      </c>
    </row>
    <row r="3918">
      <c r="A3918" s="2" t="inlineStr">
        <is>
          <t>2026-08-30</t>
        </is>
      </c>
      <c r="B3918" s="2" t="inlineStr">
        <is>
          <t>2026-08-30T20:06:52</t>
        </is>
      </c>
      <c r="C3918" s="2" t="inlineStr">
        <is>
          <t>vivo</t>
        </is>
      </c>
      <c r="D3918" s="2" t="inlineStr">
        <is>
          <t>postpaid</t>
        </is>
      </c>
      <c r="E3918" s="2" t="inlineStr">
        <is>
          <t>SP</t>
        </is>
      </c>
      <c r="F3918" s="2" t="inlineStr">
        <is>
          <t>Vivo Pós com Disney+</t>
        </is>
      </c>
      <c r="G3918" s="2" t="inlineStr">
        <is>
          <t>vivo:VIV202600034532</t>
        </is>
      </c>
      <c r="H3918" s="3" t="n">
        <v>180</v>
      </c>
      <c r="I3918" s="3" t="inlineStr"/>
      <c r="J3918" s="2" t="inlineStr"/>
      <c r="K3918" s="2" t="inlineStr"/>
      <c r="L3918" s="4" t="n">
        <v>60</v>
      </c>
      <c r="M3918" s="2" t="inlineStr">
        <is>
          <t>50 GB de franquia 10 GB de bônus</t>
        </is>
      </c>
      <c r="N3918" s="2" t="inlineStr"/>
      <c r="O3918" s="2" t="inlineStr"/>
      <c r="P3918" s="2" t="inlineStr"/>
      <c r="Q3918" s="2" t="inlineStr"/>
      <c r="R3918" s="2" t="inlineStr">
        <is>
          <t>Disney+</t>
        </is>
      </c>
      <c r="S3918" s="2" t="inlineStr"/>
      <c r="T3918" s="2" t="inlineStr">
        <is>
          <t>Assinatura Disney+ Padrão inclusa</t>
        </is>
      </c>
      <c r="U3918" s="2" t="inlineStr">
        <is>
          <t>https://vivo.com.br/para-voce/produtos-e-servicos/para-o-celular/planos-pos-pago</t>
        </is>
      </c>
      <c r="V3918" s="2" t="inlineStr">
        <is>
          <t>data/raw/vivo_postpaid_SP.html</t>
        </is>
      </c>
    </row>
    <row r="3919">
      <c r="A3919" s="5" t="inlineStr">
        <is>
          <t>2026-08-30</t>
        </is>
      </c>
      <c r="B3919" s="5" t="inlineStr">
        <is>
          <t>2026-08-30T20:06:52</t>
        </is>
      </c>
      <c r="C3919" s="5" t="inlineStr">
        <is>
          <t>vivo</t>
        </is>
      </c>
      <c r="D3919" s="5" t="inlineStr">
        <is>
          <t>postpaid</t>
        </is>
      </c>
      <c r="E3919" s="5" t="inlineStr">
        <is>
          <t>SP</t>
        </is>
      </c>
      <c r="F3919" s="5" t="inlineStr">
        <is>
          <t>Vivo Pós com Globoplay</t>
        </is>
      </c>
      <c r="G3919" s="5" t="inlineStr">
        <is>
          <t>vivo:VIV202600034575</t>
        </is>
      </c>
      <c r="H3919" s="6" t="n">
        <v>165</v>
      </c>
      <c r="I3919" s="6" t="inlineStr"/>
      <c r="J3919" s="5" t="inlineStr"/>
      <c r="K3919" s="5" t="inlineStr"/>
      <c r="L3919" s="7" t="n">
        <v>60</v>
      </c>
      <c r="M3919" s="5" t="inlineStr">
        <is>
          <t>50 GB de franquia 10 GB de bônus</t>
        </is>
      </c>
      <c r="N3919" s="5" t="inlineStr"/>
      <c r="O3919" s="5" t="inlineStr"/>
      <c r="P3919" s="5" t="inlineStr"/>
      <c r="Q3919" s="5" t="inlineStr"/>
      <c r="R3919" s="5" t="inlineStr">
        <is>
          <t>Globoplay</t>
        </is>
      </c>
      <c r="S3919" s="5" t="inlineStr"/>
      <c r="T3919" s="5" t="inlineStr">
        <is>
          <t>Assinatura Globoplay inclusa</t>
        </is>
      </c>
      <c r="U3919" s="5" t="inlineStr">
        <is>
          <t>https://vivo.com.br/para-voce/produtos-e-servicos/para-o-celular/planos-pos-pago</t>
        </is>
      </c>
      <c r="V3919" s="5" t="inlineStr">
        <is>
          <t>data/raw/vivo_postpaid_SP.html</t>
        </is>
      </c>
    </row>
    <row r="3920">
      <c r="A3920" s="2" t="inlineStr">
        <is>
          <t>2026-08-30</t>
        </is>
      </c>
      <c r="B3920" s="2" t="inlineStr">
        <is>
          <t>2026-08-30T20:06:52</t>
        </is>
      </c>
      <c r="C3920" s="2" t="inlineStr">
        <is>
          <t>vivo</t>
        </is>
      </c>
      <c r="D3920" s="2" t="inlineStr">
        <is>
          <t>postpaid</t>
        </is>
      </c>
      <c r="E3920" s="2" t="inlineStr">
        <is>
          <t>SP</t>
        </is>
      </c>
      <c r="F3920" s="2" t="inlineStr">
        <is>
          <t>Vivo Pós com Netflix</t>
        </is>
      </c>
      <c r="G3920" s="2" t="inlineStr">
        <is>
          <t>vivo:VIV202600034562</t>
        </is>
      </c>
      <c r="H3920" s="3" t="n">
        <v>180</v>
      </c>
      <c r="I3920" s="3" t="inlineStr"/>
      <c r="J3920" s="2" t="inlineStr"/>
      <c r="K3920" s="2" t="inlineStr"/>
      <c r="L3920" s="4" t="n">
        <v>60</v>
      </c>
      <c r="M3920" s="2" t="inlineStr">
        <is>
          <t>50 GB de franquia 10 GB de bônus</t>
        </is>
      </c>
      <c r="N3920" s="2" t="inlineStr"/>
      <c r="O3920" s="2" t="inlineStr"/>
      <c r="P3920" s="2" t="inlineStr"/>
      <c r="Q3920" s="2" t="inlineStr"/>
      <c r="R3920" s="2" t="inlineStr">
        <is>
          <t>Netflix</t>
        </is>
      </c>
      <c r="S3920" s="2" t="inlineStr"/>
      <c r="T3920" s="2" t="inlineStr">
        <is>
          <t>Assinatura Netflix Padrão inclusa</t>
        </is>
      </c>
      <c r="U3920" s="2" t="inlineStr">
        <is>
          <t>https://vivo.com.br/para-voce/produtos-e-servicos/para-o-celular/planos-pos-pago</t>
        </is>
      </c>
      <c r="V3920" s="2" t="inlineStr">
        <is>
          <t>data/raw/vivo_postpaid_SP.html</t>
        </is>
      </c>
    </row>
    <row r="3921">
      <c r="A3921" s="5" t="inlineStr">
        <is>
          <t>2026-08-30</t>
        </is>
      </c>
      <c r="B3921" s="5" t="inlineStr">
        <is>
          <t>2026-08-30T20:06:52</t>
        </is>
      </c>
      <c r="C3921" s="5" t="inlineStr">
        <is>
          <t>vivo</t>
        </is>
      </c>
      <c r="D3921" s="5" t="inlineStr">
        <is>
          <t>postpaid</t>
        </is>
      </c>
      <c r="E3921" s="5" t="inlineStr">
        <is>
          <t>SP</t>
        </is>
      </c>
      <c r="F3921" s="5" t="inlineStr">
        <is>
          <t>Vivo Pós com Premiere</t>
        </is>
      </c>
      <c r="G3921" s="5" t="inlineStr">
        <is>
          <t>vivo:VIV202600034579</t>
        </is>
      </c>
      <c r="H3921" s="6" t="n">
        <v>180</v>
      </c>
      <c r="I3921" s="6" t="inlineStr"/>
      <c r="J3921" s="5" t="inlineStr"/>
      <c r="K3921" s="5" t="inlineStr"/>
      <c r="L3921" s="7" t="n">
        <v>60</v>
      </c>
      <c r="M3921" s="5" t="inlineStr">
        <is>
          <t>50 GB de franquia 10 GB de bônus</t>
        </is>
      </c>
      <c r="N3921" s="5" t="inlineStr"/>
      <c r="O3921" s="5" t="inlineStr"/>
      <c r="P3921" s="5" t="inlineStr"/>
      <c r="Q3921" s="5" t="inlineStr"/>
      <c r="R3921" s="5" t="inlineStr">
        <is>
          <t>Premiere</t>
        </is>
      </c>
      <c r="S3921" s="5" t="inlineStr"/>
      <c r="T3921" s="5" t="inlineStr">
        <is>
          <t>Assinatura Premiere inclusa</t>
        </is>
      </c>
      <c r="U3921" s="5" t="inlineStr">
        <is>
          <t>https://vivo.com.br/para-voce/produtos-e-servicos/para-o-celular/planos-pos-pago</t>
        </is>
      </c>
      <c r="V3921" s="5" t="inlineStr">
        <is>
          <t>data/raw/vivo_postpaid_SP.html</t>
        </is>
      </c>
    </row>
    <row r="3922">
      <c r="A3922" s="2" t="inlineStr">
        <is>
          <t>2026-08-30</t>
        </is>
      </c>
      <c r="B3922" s="2" t="inlineStr">
        <is>
          <t>2026-08-30T20:06:52</t>
        </is>
      </c>
      <c r="C3922" s="2" t="inlineStr">
        <is>
          <t>vivo</t>
        </is>
      </c>
      <c r="D3922" s="2" t="inlineStr">
        <is>
          <t>postpaid</t>
        </is>
      </c>
      <c r="E3922" s="2" t="inlineStr">
        <is>
          <t>SP</t>
        </is>
      </c>
      <c r="F3922" s="2" t="inlineStr">
        <is>
          <t>Vivo Pós com Spotify</t>
        </is>
      </c>
      <c r="G3922" s="2" t="inlineStr">
        <is>
          <t>vivo:VIV202600034556</t>
        </is>
      </c>
      <c r="H3922" s="3" t="n">
        <v>165</v>
      </c>
      <c r="I3922" s="3" t="inlineStr"/>
      <c r="J3922" s="2" t="inlineStr"/>
      <c r="K3922" s="2" t="inlineStr"/>
      <c r="L3922" s="4" t="n">
        <v>60</v>
      </c>
      <c r="M3922" s="2" t="inlineStr">
        <is>
          <t>50 GB de franquia 10 GB de bônus</t>
        </is>
      </c>
      <c r="N3922" s="2" t="inlineStr"/>
      <c r="O3922" s="2" t="inlineStr"/>
      <c r="P3922" s="2" t="inlineStr"/>
      <c r="Q3922" s="2" t="inlineStr"/>
      <c r="R3922" s="2" t="inlineStr">
        <is>
          <t>Spotify</t>
        </is>
      </c>
      <c r="S3922" s="2" t="inlineStr"/>
      <c r="T3922" s="2" t="inlineStr">
        <is>
          <t>Assinatura Spotify Premium inclusa</t>
        </is>
      </c>
      <c r="U3922" s="2" t="inlineStr">
        <is>
          <t>https://vivo.com.br/para-voce/produtos-e-servicos/para-o-celular/planos-pos-pago</t>
        </is>
      </c>
      <c r="V3922" s="2" t="inlineStr">
        <is>
          <t>data/raw/vivo_postpaid_SP.html</t>
        </is>
      </c>
    </row>
    <row r="3923">
      <c r="A3923" s="5" t="inlineStr">
        <is>
          <t>2026-08-30</t>
        </is>
      </c>
      <c r="B3923" s="5" t="inlineStr">
        <is>
          <t>2026-08-30T20:06:52</t>
        </is>
      </c>
      <c r="C3923" s="5" t="inlineStr">
        <is>
          <t>vivo</t>
        </is>
      </c>
      <c r="D3923" s="5" t="inlineStr">
        <is>
          <t>postpaid</t>
        </is>
      </c>
      <c r="E3923" s="5" t="inlineStr">
        <is>
          <t>SP</t>
        </is>
      </c>
      <c r="F3923" s="5" t="inlineStr">
        <is>
          <t>Vivo Pós com Travel</t>
        </is>
      </c>
      <c r="G3923" s="5" t="inlineStr">
        <is>
          <t>vivo:VIV202600034573</t>
        </is>
      </c>
      <c r="H3923" s="6" t="n">
        <v>215</v>
      </c>
      <c r="I3923" s="6" t="inlineStr"/>
      <c r="J3923" s="5" t="inlineStr"/>
      <c r="K3923" s="5" t="inlineStr"/>
      <c r="L3923" s="7" t="n">
        <v>70</v>
      </c>
      <c r="M3923" s="5" t="inlineStr">
        <is>
          <t>60 GB de franquia 10 GB de bônus</t>
        </is>
      </c>
      <c r="N3923" s="5" t="inlineStr"/>
      <c r="O3923" s="5" t="inlineStr"/>
      <c r="P3923" s="5" t="inlineStr"/>
      <c r="Q3923" s="5" t="inlineStr"/>
      <c r="R3923" s="5" t="inlineStr"/>
      <c r="S3923" s="5" t="inlineStr"/>
      <c r="T3923" s="5" t="inlineStr">
        <is>
          <t>6 meses grátis de Gemini com AI Plus</t>
        </is>
      </c>
      <c r="U3923" s="5" t="inlineStr">
        <is>
          <t>https://vivo.com.br/para-voce/produtos-e-servicos/para-o-celular/planos-pos-pago</t>
        </is>
      </c>
      <c r="V3923" s="5" t="inlineStr">
        <is>
          <t>data/raw/vivo_postpaid_SP.html</t>
        </is>
      </c>
    </row>
    <row r="3924">
      <c r="A3924" s="2" t="inlineStr">
        <is>
          <t>2026-08-30</t>
        </is>
      </c>
      <c r="B3924" s="2" t="inlineStr">
        <is>
          <t>2026-08-30T20:06:52</t>
        </is>
      </c>
      <c r="C3924" s="2" t="inlineStr">
        <is>
          <t>vivo</t>
        </is>
      </c>
      <c r="D3924" s="2" t="inlineStr">
        <is>
          <t>prepaid</t>
        </is>
      </c>
      <c r="E3924" s="2" t="inlineStr">
        <is>
          <t>SP</t>
        </is>
      </c>
      <c r="F3924" s="2" t="inlineStr">
        <is>
          <t>Vivo Pré</t>
        </is>
      </c>
      <c r="G3924" s="2" t="inlineStr">
        <is>
          <t>vivo:VIV202600029370-30d</t>
        </is>
      </c>
      <c r="H3924" s="3" t="n">
        <v>30</v>
      </c>
      <c r="I3924" s="3" t="inlineStr"/>
      <c r="J3924" s="2" t="inlineStr"/>
      <c r="K3924" s="2" t="inlineStr"/>
      <c r="L3924" s="4" t="n">
        <v>25</v>
      </c>
      <c r="M3924" s="2" t="inlineStr">
        <is>
          <t>15 GB para navegar como quiser 5 GB de bônus 5 GB para navegar no Youtube</t>
        </is>
      </c>
      <c r="N3924" s="2" t="n">
        <v>30</v>
      </c>
      <c r="O3924" s="2" t="inlineStr"/>
      <c r="P3924" s="2" t="inlineStr"/>
      <c r="Q3924" s="2" t="inlineStr"/>
      <c r="R3924" s="2" t="inlineStr"/>
      <c r="S3924" s="2" t="inlineStr"/>
      <c r="T3924" s="2" t="inlineStr"/>
      <c r="U3924" s="2" t="inlineStr">
        <is>
          <t>https://vivo.com.br/para-voce/produtos-e-servicos/para-o-celular/pre-pago/vivo-pre</t>
        </is>
      </c>
      <c r="V3924" s="2" t="inlineStr">
        <is>
          <t>data/raw/vivo_prepaid_SP.html</t>
        </is>
      </c>
    </row>
    <row r="3925">
      <c r="A3925" s="5" t="inlineStr">
        <is>
          <t>2026-08-30</t>
        </is>
      </c>
      <c r="B3925" s="5" t="inlineStr">
        <is>
          <t>2026-08-30T20:06:52</t>
        </is>
      </c>
      <c r="C3925" s="5" t="inlineStr">
        <is>
          <t>vivo</t>
        </is>
      </c>
      <c r="D3925" s="5" t="inlineStr">
        <is>
          <t>prepaid</t>
        </is>
      </c>
      <c r="E3925" s="5" t="inlineStr">
        <is>
          <t>SP</t>
        </is>
      </c>
      <c r="F3925" s="5" t="inlineStr">
        <is>
          <t>Vivo Pré</t>
        </is>
      </c>
      <c r="G3925" s="5" t="inlineStr">
        <is>
          <t>vivo:VIV202600029370-22d</t>
        </is>
      </c>
      <c r="H3925" s="6" t="n">
        <v>25</v>
      </c>
      <c r="I3925" s="6" t="inlineStr"/>
      <c r="J3925" s="5" t="inlineStr"/>
      <c r="K3925" s="5" t="inlineStr"/>
      <c r="L3925" s="7" t="n">
        <v>9</v>
      </c>
      <c r="M3925" s="5" t="inlineStr">
        <is>
          <t>6 GB para navegar como quiser 3 GB para navegar no YouTube</t>
        </is>
      </c>
      <c r="N3925" s="5" t="n">
        <v>22</v>
      </c>
      <c r="O3925" s="5" t="inlineStr"/>
      <c r="P3925" s="5" t="inlineStr"/>
      <c r="Q3925" s="5" t="inlineStr"/>
      <c r="R3925" s="5" t="inlineStr"/>
      <c r="S3925" s="5" t="inlineStr"/>
      <c r="T3925" s="5" t="inlineStr"/>
      <c r="U3925" s="5" t="inlineStr">
        <is>
          <t>https://vivo.com.br/para-voce/produtos-e-servicos/para-o-celular/pre-pago/vivo-pre</t>
        </is>
      </c>
      <c r="V3925" s="5" t="inlineStr">
        <is>
          <t>data/raw/vivo_prepaid_SP.html</t>
        </is>
      </c>
    </row>
    <row r="3926">
      <c r="A3926" s="2" t="inlineStr">
        <is>
          <t>2026-08-30</t>
        </is>
      </c>
      <c r="B3926" s="2" t="inlineStr">
        <is>
          <t>2026-08-30T20:06:52</t>
        </is>
      </c>
      <c r="C3926" s="2" t="inlineStr">
        <is>
          <t>vivo</t>
        </is>
      </c>
      <c r="D3926" s="2" t="inlineStr">
        <is>
          <t>prepaid</t>
        </is>
      </c>
      <c r="E3926" s="2" t="inlineStr">
        <is>
          <t>SP</t>
        </is>
      </c>
      <c r="F3926" s="2" t="inlineStr">
        <is>
          <t>Vivo Pré</t>
        </is>
      </c>
      <c r="G3926" s="2" t="inlineStr">
        <is>
          <t>vivo:VIV202600029370-17d</t>
        </is>
      </c>
      <c r="H3926" s="3" t="n">
        <v>20</v>
      </c>
      <c r="I3926" s="3" t="inlineStr"/>
      <c r="J3926" s="2" t="inlineStr"/>
      <c r="K3926" s="2" t="inlineStr"/>
      <c r="L3926" s="4" t="n">
        <v>5</v>
      </c>
      <c r="M3926" s="2" t="inlineStr">
        <is>
          <t>5 GB para navegar como quiser</t>
        </is>
      </c>
      <c r="N3926" s="2" t="n">
        <v>17</v>
      </c>
      <c r="O3926" s="2" t="inlineStr"/>
      <c r="P3926" s="2" t="inlineStr"/>
      <c r="Q3926" s="2" t="inlineStr"/>
      <c r="R3926" s="2" t="inlineStr"/>
      <c r="S3926" s="2" t="inlineStr"/>
      <c r="T3926" s="2" t="inlineStr"/>
      <c r="U3926" s="2" t="inlineStr">
        <is>
          <t>https://vivo.com.br/para-voce/produtos-e-servicos/para-o-celular/pre-pago/vivo-pre</t>
        </is>
      </c>
      <c r="V3926" s="2" t="inlineStr">
        <is>
          <t>data/raw/vivo_prepaid_SP.html</t>
        </is>
      </c>
    </row>
    <row r="3927">
      <c r="A3927" s="5" t="inlineStr">
        <is>
          <t>2026-08-30</t>
        </is>
      </c>
      <c r="B3927" s="5" t="inlineStr">
        <is>
          <t>2026-08-30T20:06:52</t>
        </is>
      </c>
      <c r="C3927" s="5" t="inlineStr">
        <is>
          <t>vivo</t>
        </is>
      </c>
      <c r="D3927" s="5" t="inlineStr">
        <is>
          <t>prepaid</t>
        </is>
      </c>
      <c r="E3927" s="5" t="inlineStr">
        <is>
          <t>SP</t>
        </is>
      </c>
      <c r="F3927" s="5" t="inlineStr">
        <is>
          <t>Vivo Pré</t>
        </is>
      </c>
      <c r="G3927" s="5" t="inlineStr">
        <is>
          <t>vivo:VIV202600029370-15d</t>
        </is>
      </c>
      <c r="H3927" s="6" t="n">
        <v>17</v>
      </c>
      <c r="I3927" s="6" t="inlineStr"/>
      <c r="J3927" s="5" t="inlineStr"/>
      <c r="K3927" s="5" t="inlineStr"/>
      <c r="L3927" s="7" t="n">
        <v>4</v>
      </c>
      <c r="M3927" s="5" t="inlineStr">
        <is>
          <t>4 GB para navegar como quiser</t>
        </is>
      </c>
      <c r="N3927" s="5" t="n">
        <v>15</v>
      </c>
      <c r="O3927" s="5" t="inlineStr"/>
      <c r="P3927" s="5" t="inlineStr"/>
      <c r="Q3927" s="5" t="inlineStr"/>
      <c r="R3927" s="5" t="inlineStr"/>
      <c r="S3927" s="5" t="inlineStr"/>
      <c r="T3927" s="5" t="inlineStr"/>
      <c r="U3927" s="5" t="inlineStr">
        <is>
          <t>https://vivo.com.br/para-voce/produtos-e-servicos/para-o-celular/pre-pago/vivo-pre</t>
        </is>
      </c>
      <c r="V3927" s="5" t="inlineStr">
        <is>
          <t>data/raw/vivo_prepaid_SP.html</t>
        </is>
      </c>
    </row>
    <row r="3928">
      <c r="A3928" s="2" t="inlineStr">
        <is>
          <t>2026-08-31</t>
        </is>
      </c>
      <c r="B3928" s="2" t="inlineStr">
        <is>
          <t>2026-08-31T21:21:16</t>
        </is>
      </c>
      <c r="C3928" s="2" t="inlineStr">
        <is>
          <t>claro</t>
        </is>
      </c>
      <c r="D3928" s="2" t="inlineStr">
        <is>
          <t>control</t>
        </is>
      </c>
      <c r="E3928" s="2" t="inlineStr">
        <is>
          <t>SP</t>
        </is>
      </c>
      <c r="F3928" s="2" t="inlineStr">
        <is>
          <t>Controle 25GB</t>
        </is>
      </c>
      <c r="G3928" s="2" t="inlineStr">
        <is>
          <t>claro:plano-controle-25gb</t>
        </is>
      </c>
      <c r="H3928" s="3" t="n">
        <v>59.9</v>
      </c>
      <c r="I3928" s="3" t="n">
        <v>54.9</v>
      </c>
      <c r="J3928" s="2" t="inlineStr">
        <is>
          <t>De R$ 59,90 Por:</t>
        </is>
      </c>
      <c r="K3928" s="2" t="inlineStr"/>
      <c r="L3928" s="4" t="n">
        <v>25</v>
      </c>
      <c r="M3928" s="2" t="inlineStr"/>
      <c r="N3928" s="2" t="inlineStr"/>
      <c r="O3928" s="2" t="inlineStr">
        <is>
          <t>WhatsApp</t>
        </is>
      </c>
      <c r="P3928" s="2" t="inlineStr"/>
      <c r="Q3928" s="2" t="inlineStr"/>
      <c r="R3928" s="2" t="inlineStr"/>
      <c r="S3928" s="2" t="inlineStr"/>
      <c r="T3928" s="2" t="inlineStr">
        <is>
          <t>Para uso livre; Para redes sociais e vídeos; Bônus exclusivo; Aproveite na sua franquia; WhatsApp e ligações ilimitadas</t>
        </is>
      </c>
      <c r="U3928" s="2" t="inlineStr">
        <is>
          <t>https://www.claro.com.br/celular/controle</t>
        </is>
      </c>
      <c r="V3928" s="2" t="inlineStr">
        <is>
          <t>data/raw/claro_control_SP.json</t>
        </is>
      </c>
    </row>
    <row r="3929">
      <c r="A3929" s="5" t="inlineStr">
        <is>
          <t>2026-08-31</t>
        </is>
      </c>
      <c r="B3929" s="5" t="inlineStr">
        <is>
          <t>2026-08-31T21:21:16</t>
        </is>
      </c>
      <c r="C3929" s="5" t="inlineStr">
        <is>
          <t>claro</t>
        </is>
      </c>
      <c r="D3929" s="5" t="inlineStr">
        <is>
          <t>control</t>
        </is>
      </c>
      <c r="E3929" s="5" t="inlineStr">
        <is>
          <t>SP</t>
        </is>
      </c>
      <c r="F3929" s="5" t="inlineStr">
        <is>
          <t>Controle 30GB</t>
        </is>
      </c>
      <c r="G3929" s="5" t="inlineStr">
        <is>
          <t>claro:plano-controle-30gb</t>
        </is>
      </c>
      <c r="H3929" s="6" t="n">
        <v>69.90000000000001</v>
      </c>
      <c r="I3929" s="6" t="inlineStr"/>
      <c r="J3929" s="5" t="inlineStr"/>
      <c r="K3929" s="5" t="inlineStr"/>
      <c r="L3929" s="7" t="n">
        <v>30</v>
      </c>
      <c r="M3929" s="5" t="inlineStr"/>
      <c r="N3929" s="5" t="inlineStr"/>
      <c r="O3929" s="5" t="inlineStr">
        <is>
          <t>WhatsApp</t>
        </is>
      </c>
      <c r="P3929" s="5" t="inlineStr"/>
      <c r="Q3929" s="5" t="inlineStr"/>
      <c r="R3929" s="5" t="inlineStr"/>
      <c r="S3929" s="5" t="inlineStr"/>
      <c r="T3929" s="5" t="inlineStr">
        <is>
          <t>Para uso livre; Bônus para uso livre; Bônus para redes sociais e apps; Assinatura Amazon Prime por 3 meses; Redes sociais e apps; WhatsApp ilimitado</t>
        </is>
      </c>
      <c r="U3929" s="5" t="inlineStr">
        <is>
          <t>https://www.claro.com.br/celular/controle</t>
        </is>
      </c>
      <c r="V3929" s="5" t="inlineStr">
        <is>
          <t>data/raw/claro_control_SP.json</t>
        </is>
      </c>
    </row>
    <row r="3930">
      <c r="A3930" s="2" t="inlineStr">
        <is>
          <t>2026-08-31</t>
        </is>
      </c>
      <c r="B3930" s="2" t="inlineStr">
        <is>
          <t>2026-08-31T21:21:16</t>
        </is>
      </c>
      <c r="C3930" s="2" t="inlineStr">
        <is>
          <t>claro</t>
        </is>
      </c>
      <c r="D3930" s="2" t="inlineStr">
        <is>
          <t>control</t>
        </is>
      </c>
      <c r="E3930" s="2" t="inlineStr">
        <is>
          <t>SP</t>
        </is>
      </c>
      <c r="F3930" s="2" t="inlineStr">
        <is>
          <t>Controle 30GB</t>
        </is>
      </c>
      <c r="G3930" s="2" t="inlineStr">
        <is>
          <t>claro:plano-controle-30gb-gaming</t>
        </is>
      </c>
      <c r="H3930" s="3" t="n">
        <v>99.90000000000001</v>
      </c>
      <c r="I3930" s="3" t="inlineStr"/>
      <c r="J3930" s="2" t="inlineStr"/>
      <c r="K3930" s="2" t="inlineStr"/>
      <c r="L3930" s="4" t="n">
        <v>30</v>
      </c>
      <c r="M3930" s="2" t="inlineStr"/>
      <c r="N3930" s="2" t="inlineStr"/>
      <c r="O3930" s="2" t="inlineStr">
        <is>
          <t>WhatsApp</t>
        </is>
      </c>
      <c r="P3930" s="2" t="inlineStr"/>
      <c r="Q3930" s="2" t="inlineStr"/>
      <c r="R3930" s="2" t="inlineStr"/>
      <c r="S3930" s="2" t="inlineStr"/>
      <c r="T3930" s="2" t="inlineStr">
        <is>
          <t>Para uso livre; Bônus para redes sociais e apps; Bônus uso livre; Assinatura Amazon Prime por 3 meses; Redes sociais e apps; WhatsApp ilimitado</t>
        </is>
      </c>
      <c r="U3930" s="2" t="inlineStr">
        <is>
          <t>https://www.claro.com.br/celular/controle</t>
        </is>
      </c>
      <c r="V3930" s="2" t="inlineStr">
        <is>
          <t>data/raw/claro_control_SP.json</t>
        </is>
      </c>
    </row>
    <row r="3931">
      <c r="A3931" s="5" t="inlineStr">
        <is>
          <t>2026-08-31</t>
        </is>
      </c>
      <c r="B3931" s="5" t="inlineStr">
        <is>
          <t>2026-08-31T21:21:16</t>
        </is>
      </c>
      <c r="C3931" s="5" t="inlineStr">
        <is>
          <t>claro</t>
        </is>
      </c>
      <c r="D3931" s="5" t="inlineStr">
        <is>
          <t>flex</t>
        </is>
      </c>
      <c r="E3931" s="5" t="inlineStr">
        <is>
          <t>SP</t>
        </is>
      </c>
      <c r="F3931" s="5" t="inlineStr">
        <is>
          <t>Flex 15GB</t>
        </is>
      </c>
      <c r="G3931" s="5" t="inlineStr">
        <is>
          <t>claro:plano-flex-15gb</t>
        </is>
      </c>
      <c r="H3931" s="6" t="n">
        <v>44.9</v>
      </c>
      <c r="I3931" s="6" t="inlineStr"/>
      <c r="J3931" s="5" t="inlineStr"/>
      <c r="K3931" s="5" t="inlineStr"/>
      <c r="L3931" s="7" t="n">
        <v>15</v>
      </c>
      <c r="M3931" s="5" t="inlineStr"/>
      <c r="N3931" s="5" t="inlineStr"/>
      <c r="O3931" s="5" t="inlineStr">
        <is>
          <t>WhatsApp</t>
        </is>
      </c>
      <c r="P3931" s="5" t="inlineStr"/>
      <c r="Q3931" s="5" t="inlineStr"/>
      <c r="R3931" s="5" t="inlineStr"/>
      <c r="S3931" s="5" t="inlineStr"/>
      <c r="T3931" s="5" t="inlineStr">
        <is>
          <t>Para uso livre; Bônus Pais para uso livre; Para redes sociais e apps; Bônus extra nos apps; WhatsApp ilimitado</t>
        </is>
      </c>
      <c r="U3931" s="5" t="inlineStr">
        <is>
          <t>https://www.claro.com.br/celular/flex</t>
        </is>
      </c>
      <c r="V3931" s="5" t="inlineStr">
        <is>
          <t>data/raw/claro_flex_SP.json</t>
        </is>
      </c>
    </row>
    <row r="3932">
      <c r="A3932" s="2" t="inlineStr">
        <is>
          <t>2026-08-31</t>
        </is>
      </c>
      <c r="B3932" s="2" t="inlineStr">
        <is>
          <t>2026-08-31T21:21:16</t>
        </is>
      </c>
      <c r="C3932" s="2" t="inlineStr">
        <is>
          <t>claro</t>
        </is>
      </c>
      <c r="D3932" s="2" t="inlineStr">
        <is>
          <t>flex</t>
        </is>
      </c>
      <c r="E3932" s="2" t="inlineStr">
        <is>
          <t>SP</t>
        </is>
      </c>
      <c r="F3932" s="2" t="inlineStr">
        <is>
          <t>Flex 20GB</t>
        </is>
      </c>
      <c r="G3932" s="2" t="inlineStr">
        <is>
          <t>claro:plano-flex-20gb</t>
        </is>
      </c>
      <c r="H3932" s="3" t="n">
        <v>59.9</v>
      </c>
      <c r="I3932" s="3" t="inlineStr"/>
      <c r="J3932" s="2" t="inlineStr"/>
      <c r="K3932" s="2" t="inlineStr"/>
      <c r="L3932" s="4" t="n">
        <v>20</v>
      </c>
      <c r="M3932" s="2" t="inlineStr"/>
      <c r="N3932" s="2" t="inlineStr"/>
      <c r="O3932" s="2" t="inlineStr">
        <is>
          <t>WhatsApp</t>
        </is>
      </c>
      <c r="P3932" s="2" t="inlineStr"/>
      <c r="Q3932" s="2" t="inlineStr"/>
      <c r="R3932" s="2" t="inlineStr"/>
      <c r="S3932" s="2" t="inlineStr"/>
      <c r="T3932" s="2" t="inlineStr">
        <is>
          <t>Para uso livre; Bônus Pais para uso livre; Para redes sociais e apps; Bônus extra nos apps; WhatsApp ilimitado</t>
        </is>
      </c>
      <c r="U3932" s="2" t="inlineStr">
        <is>
          <t>https://www.claro.com.br/celular/flex</t>
        </is>
      </c>
      <c r="V3932" s="2" t="inlineStr">
        <is>
          <t>data/raw/claro_flex_SP.json</t>
        </is>
      </c>
    </row>
    <row r="3933">
      <c r="A3933" s="5" t="inlineStr">
        <is>
          <t>2026-08-31</t>
        </is>
      </c>
      <c r="B3933" s="5" t="inlineStr">
        <is>
          <t>2026-08-31T21:21:16</t>
        </is>
      </c>
      <c r="C3933" s="5" t="inlineStr">
        <is>
          <t>claro</t>
        </is>
      </c>
      <c r="D3933" s="5" t="inlineStr">
        <is>
          <t>flex</t>
        </is>
      </c>
      <c r="E3933" s="5" t="inlineStr">
        <is>
          <t>SP</t>
        </is>
      </c>
      <c r="F3933" s="5" t="inlineStr">
        <is>
          <t>Flex 30GB</t>
        </is>
      </c>
      <c r="G3933" s="5" t="inlineStr">
        <is>
          <t>claro:plano-flex-30gb</t>
        </is>
      </c>
      <c r="H3933" s="6" t="n">
        <v>69.90000000000001</v>
      </c>
      <c r="I3933" s="6" t="inlineStr"/>
      <c r="J3933" s="5" t="inlineStr"/>
      <c r="K3933" s="5" t="inlineStr"/>
      <c r="L3933" s="7" t="n">
        <v>30</v>
      </c>
      <c r="M3933" s="5" t="inlineStr"/>
      <c r="N3933" s="5" t="inlineStr"/>
      <c r="O3933" s="5" t="inlineStr">
        <is>
          <t>WhatsApp</t>
        </is>
      </c>
      <c r="P3933" s="5" t="inlineStr"/>
      <c r="Q3933" s="5" t="inlineStr"/>
      <c r="R3933" s="5" t="inlineStr"/>
      <c r="S3933" s="5" t="inlineStr"/>
      <c r="T3933" s="5" t="inlineStr">
        <is>
          <t>Para uso livre; Bônus Pais para uso livre; Para redes sociais e apps; Bônus extra nos apps; WhatsApp ilimitado; Assinatura Claro musica inclusa</t>
        </is>
      </c>
      <c r="U3933" s="5" t="inlineStr">
        <is>
          <t>https://www.claro.com.br/celular/flex</t>
        </is>
      </c>
      <c r="V3933" s="5" t="inlineStr">
        <is>
          <t>data/raw/claro_flex_SP.json</t>
        </is>
      </c>
    </row>
    <row r="3934">
      <c r="A3934" s="2" t="inlineStr">
        <is>
          <t>2026-08-31</t>
        </is>
      </c>
      <c r="B3934" s="2" t="inlineStr">
        <is>
          <t>2026-08-31T21:21:16</t>
        </is>
      </c>
      <c r="C3934" s="2" t="inlineStr">
        <is>
          <t>claro</t>
        </is>
      </c>
      <c r="D3934" s="2" t="inlineStr">
        <is>
          <t>flex</t>
        </is>
      </c>
      <c r="E3934" s="2" t="inlineStr">
        <is>
          <t>SP</t>
        </is>
      </c>
      <c r="F3934" s="2" t="inlineStr">
        <is>
          <t>Flex 40GB</t>
        </is>
      </c>
      <c r="G3934" s="2" t="inlineStr">
        <is>
          <t>claro:plano-flex-40gb</t>
        </is>
      </c>
      <c r="H3934" s="3" t="n">
        <v>119.9</v>
      </c>
      <c r="I3934" s="3" t="inlineStr"/>
      <c r="J3934" s="2" t="inlineStr"/>
      <c r="K3934" s="2" t="inlineStr"/>
      <c r="L3934" s="4" t="n">
        <v>40</v>
      </c>
      <c r="M3934" s="2" t="inlineStr"/>
      <c r="N3934" s="2" t="inlineStr"/>
      <c r="O3934" s="2" t="inlineStr">
        <is>
          <t>WhatsApp</t>
        </is>
      </c>
      <c r="P3934" s="2" t="inlineStr"/>
      <c r="Q3934" s="2" t="inlineStr"/>
      <c r="R3934" s="2" t="inlineStr"/>
      <c r="S3934" s="2" t="inlineStr"/>
      <c r="T3934" s="2" t="inlineStr">
        <is>
          <t>Para uso livre; Para redes sociais e apps; Bônus extra nos apps; WhatsApp ilimitado; Assinatura Claro musica inclusa</t>
        </is>
      </c>
      <c r="U3934" s="2" t="inlineStr">
        <is>
          <t>https://www.claro.com.br/celular/flex</t>
        </is>
      </c>
      <c r="V3934" s="2" t="inlineStr">
        <is>
          <t>data/raw/claro_flex_SP.json</t>
        </is>
      </c>
    </row>
    <row r="3935">
      <c r="A3935" s="5" t="inlineStr">
        <is>
          <t>2026-08-31</t>
        </is>
      </c>
      <c r="B3935" s="5" t="inlineStr">
        <is>
          <t>2026-08-31T21:21:16</t>
        </is>
      </c>
      <c r="C3935" s="5" t="inlineStr">
        <is>
          <t>claro</t>
        </is>
      </c>
      <c r="D3935" s="5" t="inlineStr">
        <is>
          <t>postpaid</t>
        </is>
      </c>
      <c r="E3935" s="5" t="inlineStr">
        <is>
          <t>SP</t>
        </is>
      </c>
      <c r="F3935" s="5" t="inlineStr">
        <is>
          <t>Pós 100GB</t>
        </is>
      </c>
      <c r="G3935" s="5" t="inlineStr">
        <is>
          <t>claro:plano-pos-100gb</t>
        </is>
      </c>
      <c r="H3935" s="6" t="n">
        <v>179.9</v>
      </c>
      <c r="I3935" s="6" t="inlineStr"/>
      <c r="J3935" s="5" t="inlineStr"/>
      <c r="K3935" s="5" t="inlineStr"/>
      <c r="L3935" s="7" t="n">
        <v>100</v>
      </c>
      <c r="M3935" s="5" t="inlineStr"/>
      <c r="N3935" s="5" t="inlineStr"/>
      <c r="O3935" s="5" t="inlineStr">
        <is>
          <t>WhatsApp</t>
        </is>
      </c>
      <c r="P3935" s="5" t="inlineStr"/>
      <c r="Q3935" s="5" t="inlineStr"/>
      <c r="R3935" s="5" t="inlineStr"/>
      <c r="S3935" s="5" t="inlineStr"/>
      <c r="T3935" s="5" t="inlineStr">
        <is>
          <t>Armazenamento na nuvem:; Google One ou iCloud+; WhatsApp ilimitado; Assinatura Amazon Prime por 3 meses; Roaming: Passaporte Américas; Claro Sync: Smartwatch conectado</t>
        </is>
      </c>
      <c r="U3935" s="5" t="inlineStr">
        <is>
          <t>https://www.claro.com.br/celular/pos</t>
        </is>
      </c>
      <c r="V3935" s="5" t="inlineStr">
        <is>
          <t>data/raw/claro_postpaid_SP.json</t>
        </is>
      </c>
    </row>
    <row r="3936">
      <c r="A3936" s="2" t="inlineStr">
        <is>
          <t>2026-08-31</t>
        </is>
      </c>
      <c r="B3936" s="2" t="inlineStr">
        <is>
          <t>2026-08-31T21:21:16</t>
        </is>
      </c>
      <c r="C3936" s="2" t="inlineStr">
        <is>
          <t>claro</t>
        </is>
      </c>
      <c r="D3936" s="2" t="inlineStr">
        <is>
          <t>postpaid</t>
        </is>
      </c>
      <c r="E3936" s="2" t="inlineStr">
        <is>
          <t>SP</t>
        </is>
      </c>
      <c r="F3936" s="2" t="inlineStr">
        <is>
          <t>Pós 150GB</t>
        </is>
      </c>
      <c r="G3936" s="2" t="inlineStr">
        <is>
          <t>claro:plano-pos-150gb</t>
        </is>
      </c>
      <c r="H3936" s="3" t="n">
        <v>239.9</v>
      </c>
      <c r="I3936" s="3" t="inlineStr"/>
      <c r="J3936" s="2" t="inlineStr"/>
      <c r="K3936" s="2" t="inlineStr"/>
      <c r="L3936" s="4" t="n">
        <v>150</v>
      </c>
      <c r="M3936" s="2" t="inlineStr"/>
      <c r="N3936" s="2" t="inlineStr"/>
      <c r="O3936" s="2" t="inlineStr">
        <is>
          <t>WhatsApp</t>
        </is>
      </c>
      <c r="P3936" s="2" t="inlineStr"/>
      <c r="Q3936" s="2" t="inlineStr"/>
      <c r="R3936" s="2" t="inlineStr"/>
      <c r="S3936" s="2" t="inlineStr"/>
      <c r="T39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36" s="2" t="inlineStr">
        <is>
          <t>https://www.claro.com.br/celular/pos</t>
        </is>
      </c>
      <c r="V3936" s="2" t="inlineStr">
        <is>
          <t>data/raw/claro_postpaid_SP.json</t>
        </is>
      </c>
    </row>
    <row r="3937">
      <c r="A3937" s="5" t="inlineStr">
        <is>
          <t>2026-08-31</t>
        </is>
      </c>
      <c r="B3937" s="5" t="inlineStr">
        <is>
          <t>2026-08-31T21:21:16</t>
        </is>
      </c>
      <c r="C3937" s="5" t="inlineStr">
        <is>
          <t>claro</t>
        </is>
      </c>
      <c r="D3937" s="5" t="inlineStr">
        <is>
          <t>postpaid</t>
        </is>
      </c>
      <c r="E3937" s="5" t="inlineStr">
        <is>
          <t>SP</t>
        </is>
      </c>
      <c r="F3937" s="5" t="inlineStr">
        <is>
          <t>Pós 200GB</t>
        </is>
      </c>
      <c r="G3937" s="5" t="inlineStr">
        <is>
          <t>claro:plano-pos-200gb</t>
        </is>
      </c>
      <c r="H3937" s="6" t="n">
        <v>339.9</v>
      </c>
      <c r="I3937" s="6" t="inlineStr"/>
      <c r="J3937" s="5" t="inlineStr"/>
      <c r="K3937" s="5" t="inlineStr"/>
      <c r="L3937" s="7" t="n">
        <v>200</v>
      </c>
      <c r="M3937" s="5" t="inlineStr"/>
      <c r="N3937" s="5" t="inlineStr"/>
      <c r="O3937" s="5" t="inlineStr">
        <is>
          <t>WhatsApp</t>
        </is>
      </c>
      <c r="P3937" s="5" t="inlineStr"/>
      <c r="Q3937" s="5" t="inlineStr"/>
      <c r="R3937" s="5" t="inlineStr"/>
      <c r="S3937" s="5" t="inlineStr"/>
      <c r="T3937" s="5" t="inlineStr">
        <is>
          <t>Armazenamento na nuvem:; Google One (AI Plus) ou iCloud+; WhatsApp ilimitado; Assinatura Amazon Prime por 3 meses; Roaming: Passaporte Mundo; Claro Sync: Smartwatch conectado</t>
        </is>
      </c>
      <c r="U3937" s="5" t="inlineStr">
        <is>
          <t>https://www.claro.com.br/celular/pos</t>
        </is>
      </c>
      <c r="V3937" s="5" t="inlineStr">
        <is>
          <t>data/raw/claro_postpaid_SP.json</t>
        </is>
      </c>
    </row>
    <row r="3938">
      <c r="A3938" s="2" t="inlineStr">
        <is>
          <t>2026-08-31</t>
        </is>
      </c>
      <c r="B3938" s="2" t="inlineStr">
        <is>
          <t>2026-08-31T21:21:16</t>
        </is>
      </c>
      <c r="C3938" s="2" t="inlineStr">
        <is>
          <t>claro</t>
        </is>
      </c>
      <c r="D3938" s="2" t="inlineStr">
        <is>
          <t>postpaid</t>
        </is>
      </c>
      <c r="E3938" s="2" t="inlineStr">
        <is>
          <t>SP</t>
        </is>
      </c>
      <c r="F3938" s="2" t="inlineStr">
        <is>
          <t>Pós 50GB com GeForce NOW</t>
        </is>
      </c>
      <c r="G3938" s="2" t="inlineStr">
        <is>
          <t>claro:plano-pos-60gb-geforce</t>
        </is>
      </c>
      <c r="H3938" s="3" t="n">
        <v>164.9</v>
      </c>
      <c r="I3938" s="3" t="inlineStr"/>
      <c r="J3938" s="2" t="inlineStr"/>
      <c r="K3938" s="2" t="inlineStr"/>
      <c r="L3938" s="4" t="n">
        <v>50</v>
      </c>
      <c r="M3938" s="2" t="inlineStr"/>
      <c r="N3938" s="2" t="inlineStr"/>
      <c r="O3938" s="2" t="inlineStr">
        <is>
          <t>WhatsApp</t>
        </is>
      </c>
      <c r="P3938" s="2" t="inlineStr"/>
      <c r="Q3938" s="2" t="inlineStr"/>
      <c r="R3938" s="2" t="inlineStr"/>
      <c r="S3938" s="2" t="inlineStr"/>
      <c r="T39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938" s="2" t="inlineStr">
        <is>
          <t>https://www.claro.com.br/celular/pos</t>
        </is>
      </c>
      <c r="V3938" s="2" t="inlineStr">
        <is>
          <t>data/raw/claro_postpaid_SP.json</t>
        </is>
      </c>
    </row>
    <row r="3939">
      <c r="A3939" s="5" t="inlineStr">
        <is>
          <t>2026-08-31</t>
        </is>
      </c>
      <c r="B3939" s="5" t="inlineStr">
        <is>
          <t>2026-08-31T21:21:16</t>
        </is>
      </c>
      <c r="C3939" s="5" t="inlineStr">
        <is>
          <t>claro</t>
        </is>
      </c>
      <c r="D3939" s="5" t="inlineStr">
        <is>
          <t>postpaid</t>
        </is>
      </c>
      <c r="E3939" s="5" t="inlineStr">
        <is>
          <t>SP</t>
        </is>
      </c>
      <c r="F3939" s="5" t="inlineStr">
        <is>
          <t>Pós 60GB</t>
        </is>
      </c>
      <c r="G3939" s="5" t="inlineStr">
        <is>
          <t>claro:plano-pos-60gb</t>
        </is>
      </c>
      <c r="H3939" s="6" t="n">
        <v>124.9</v>
      </c>
      <c r="I3939" s="6" t="inlineStr"/>
      <c r="J3939" s="5" t="inlineStr"/>
      <c r="K3939" s="5" t="inlineStr"/>
      <c r="L3939" s="7" t="n">
        <v>60</v>
      </c>
      <c r="M3939" s="5" t="inlineStr"/>
      <c r="N3939" s="5" t="inlineStr"/>
      <c r="O3939" s="5" t="inlineStr">
        <is>
          <t>WhatsApp</t>
        </is>
      </c>
      <c r="P3939" s="5" t="inlineStr"/>
      <c r="Q3939" s="5" t="inlineStr"/>
      <c r="R3939" s="5" t="inlineStr"/>
      <c r="S3939" s="5" t="inlineStr"/>
      <c r="T3939" s="5" t="inlineStr">
        <is>
          <t>Armazenamento na nuvem:; Google One ou iCloud+; WhatsApp ilimitado; Assinatura Amazon Prime por 3 meses; Roaming: Passaporte Américas; Claro Sync: Smartwatch conectado</t>
        </is>
      </c>
      <c r="U3939" s="5" t="inlineStr">
        <is>
          <t>https://www.claro.com.br/celular/pos</t>
        </is>
      </c>
      <c r="V3939" s="5" t="inlineStr">
        <is>
          <t>data/raw/claro_postpaid_SP.json</t>
        </is>
      </c>
    </row>
    <row r="3940">
      <c r="A3940" s="2" t="inlineStr">
        <is>
          <t>2026-08-31</t>
        </is>
      </c>
      <c r="B3940" s="2" t="inlineStr">
        <is>
          <t>2026-08-31T21:21:16</t>
        </is>
      </c>
      <c r="C3940" s="2" t="inlineStr">
        <is>
          <t>claro</t>
        </is>
      </c>
      <c r="D3940" s="2" t="inlineStr">
        <is>
          <t>prepaid</t>
        </is>
      </c>
      <c r="E3940" s="2" t="inlineStr">
        <is>
          <t>SP</t>
        </is>
      </c>
      <c r="F3940" s="2" t="inlineStr">
        <is>
          <t>Prezão 10GB (25 dias)</t>
        </is>
      </c>
      <c r="G3940" s="2" t="inlineStr">
        <is>
          <t>claro:prezao-25d-10gb</t>
        </is>
      </c>
      <c r="H3940" s="3" t="n">
        <v>25</v>
      </c>
      <c r="I3940" s="3" t="inlineStr"/>
      <c r="J3940" s="2" t="inlineStr">
        <is>
          <t>recarga Prezão R$25 — validade 25 dias</t>
        </is>
      </c>
      <c r="K3940" s="2" t="inlineStr"/>
      <c r="L3940" s="4" t="n">
        <v>10</v>
      </c>
      <c r="M3940" s="2" t="inlineStr"/>
      <c r="N3940" s="2" t="n">
        <v>25</v>
      </c>
      <c r="O3940" s="2" t="inlineStr"/>
      <c r="P3940" s="2" t="inlineStr"/>
      <c r="Q3940" s="2" t="inlineStr"/>
      <c r="R3940" s="2" t="inlineStr"/>
      <c r="S3940" s="2" t="inlineStr"/>
      <c r="T3940" s="2" t="inlineStr"/>
      <c r="U3940" s="2" t="inlineStr">
        <is>
          <t>https://www.claro.com.br/celular/planos-pre/prezao</t>
        </is>
      </c>
      <c r="V3940" s="2" t="inlineStr">
        <is>
          <t>data/raw/claro_prepaid_SP.json</t>
        </is>
      </c>
    </row>
    <row r="3941">
      <c r="A3941" s="5" t="inlineStr">
        <is>
          <t>2026-08-31</t>
        </is>
      </c>
      <c r="B3941" s="5" t="inlineStr">
        <is>
          <t>2026-08-31T21:21:16</t>
        </is>
      </c>
      <c r="C3941" s="5" t="inlineStr">
        <is>
          <t>claro</t>
        </is>
      </c>
      <c r="D3941" s="5" t="inlineStr">
        <is>
          <t>prepaid</t>
        </is>
      </c>
      <c r="E3941" s="5" t="inlineStr">
        <is>
          <t>SP</t>
        </is>
      </c>
      <c r="F3941" s="5" t="inlineStr">
        <is>
          <t>Prezão 12GB (30 dias)</t>
        </is>
      </c>
      <c r="G3941" s="5" t="inlineStr">
        <is>
          <t>claro:prezao-30d-12gb</t>
        </is>
      </c>
      <c r="H3941" s="6" t="n">
        <v>30</v>
      </c>
      <c r="I3941" s="6" t="inlineStr"/>
      <c r="J3941" s="5" t="inlineStr">
        <is>
          <t>recarga Prezão R$30 — validade 30 dias</t>
        </is>
      </c>
      <c r="K3941" s="5" t="inlineStr"/>
      <c r="L3941" s="7" t="n">
        <v>12</v>
      </c>
      <c r="M3941" s="5" t="inlineStr"/>
      <c r="N3941" s="5" t="n">
        <v>30</v>
      </c>
      <c r="O3941" s="5" t="inlineStr"/>
      <c r="P3941" s="5" t="inlineStr"/>
      <c r="Q3941" s="5" t="inlineStr"/>
      <c r="R3941" s="5" t="inlineStr"/>
      <c r="S3941" s="5" t="inlineStr"/>
      <c r="T3941" s="5" t="inlineStr"/>
      <c r="U3941" s="5" t="inlineStr">
        <is>
          <t>https://www.claro.com.br/celular/planos-pre/prezao</t>
        </is>
      </c>
      <c r="V3941" s="5" t="inlineStr">
        <is>
          <t>data/raw/claro_prepaid_SP.json</t>
        </is>
      </c>
    </row>
    <row r="3942">
      <c r="A3942" s="2" t="inlineStr">
        <is>
          <t>2026-08-31</t>
        </is>
      </c>
      <c r="B3942" s="2" t="inlineStr">
        <is>
          <t>2026-08-31T21:21:16</t>
        </is>
      </c>
      <c r="C3942" s="2" t="inlineStr">
        <is>
          <t>claro</t>
        </is>
      </c>
      <c r="D3942" s="2" t="inlineStr">
        <is>
          <t>prepaid</t>
        </is>
      </c>
      <c r="E3942" s="2" t="inlineStr">
        <is>
          <t>SP</t>
        </is>
      </c>
      <c r="F3942" s="2" t="inlineStr">
        <is>
          <t>Prezão 4GB (12 dias)</t>
        </is>
      </c>
      <c r="G3942" s="2" t="inlineStr">
        <is>
          <t>claro:prezao-12d-4gb</t>
        </is>
      </c>
      <c r="H3942" s="3" t="n">
        <v>15</v>
      </c>
      <c r="I3942" s="3" t="inlineStr"/>
      <c r="J3942" s="2" t="inlineStr">
        <is>
          <t>recarga Prezão R$15 — validade 12 dias</t>
        </is>
      </c>
      <c r="K3942" s="2" t="inlineStr"/>
      <c r="L3942" s="4" t="n">
        <v>4</v>
      </c>
      <c r="M3942" s="2" t="inlineStr"/>
      <c r="N3942" s="2" t="n">
        <v>12</v>
      </c>
      <c r="O3942" s="2" t="inlineStr"/>
      <c r="P3942" s="2" t="inlineStr"/>
      <c r="Q3942" s="2" t="inlineStr"/>
      <c r="R3942" s="2" t="inlineStr"/>
      <c r="S3942" s="2" t="inlineStr"/>
      <c r="T3942" s="2" t="inlineStr"/>
      <c r="U3942" s="2" t="inlineStr">
        <is>
          <t>https://www.claro.com.br/celular/planos-pre/prezao</t>
        </is>
      </c>
      <c r="V3942" s="2" t="inlineStr">
        <is>
          <t>data/raw/claro_prepaid_SP.json</t>
        </is>
      </c>
    </row>
    <row r="3943">
      <c r="A3943" s="5" t="inlineStr">
        <is>
          <t>2026-08-31</t>
        </is>
      </c>
      <c r="B3943" s="5" t="inlineStr">
        <is>
          <t>2026-08-31T21:21:16</t>
        </is>
      </c>
      <c r="C3943" s="5" t="inlineStr">
        <is>
          <t>claro</t>
        </is>
      </c>
      <c r="D3943" s="5" t="inlineStr">
        <is>
          <t>prepaid</t>
        </is>
      </c>
      <c r="E3943" s="5" t="inlineStr">
        <is>
          <t>SP</t>
        </is>
      </c>
      <c r="F3943" s="5" t="inlineStr">
        <is>
          <t>Prezão 5GB (15 dias)</t>
        </is>
      </c>
      <c r="G3943" s="5" t="inlineStr">
        <is>
          <t>claro:prezao-15d-5gb</t>
        </is>
      </c>
      <c r="H3943" s="6" t="n">
        <v>15</v>
      </c>
      <c r="I3943" s="6" t="inlineStr"/>
      <c r="J3943" s="5" t="inlineStr">
        <is>
          <t>recarga Prezão R$15 — validade 15 dias</t>
        </is>
      </c>
      <c r="K3943" s="5" t="inlineStr"/>
      <c r="L3943" s="7" t="n">
        <v>5</v>
      </c>
      <c r="M3943" s="5" t="inlineStr"/>
      <c r="N3943" s="5" t="n">
        <v>15</v>
      </c>
      <c r="O3943" s="5" t="inlineStr"/>
      <c r="P3943" s="5" t="inlineStr"/>
      <c r="Q3943" s="5" t="inlineStr"/>
      <c r="R3943" s="5" t="inlineStr"/>
      <c r="S3943" s="5" t="inlineStr"/>
      <c r="T3943" s="5" t="inlineStr"/>
      <c r="U3943" s="5" t="inlineStr">
        <is>
          <t>https://www.claro.com.br/celular/planos-pre/prezao</t>
        </is>
      </c>
      <c r="V3943" s="5" t="inlineStr">
        <is>
          <t>data/raw/claro_prepaid_SP.json</t>
        </is>
      </c>
    </row>
    <row r="3944">
      <c r="A3944" s="2" t="inlineStr">
        <is>
          <t>2026-08-31</t>
        </is>
      </c>
      <c r="B3944" s="2" t="inlineStr">
        <is>
          <t>2026-08-31T21:21:16</t>
        </is>
      </c>
      <c r="C3944" s="2" t="inlineStr">
        <is>
          <t>claro</t>
        </is>
      </c>
      <c r="D3944" s="2" t="inlineStr">
        <is>
          <t>prepaid</t>
        </is>
      </c>
      <c r="E3944" s="2" t="inlineStr">
        <is>
          <t>SP</t>
        </is>
      </c>
      <c r="F3944" s="2" t="inlineStr">
        <is>
          <t>Prezão 6GB (20 dias)</t>
        </is>
      </c>
      <c r="G3944" s="2" t="inlineStr">
        <is>
          <t>claro:prezao-20d-6gb</t>
        </is>
      </c>
      <c r="H3944" s="3" t="n">
        <v>20</v>
      </c>
      <c r="I3944" s="3" t="inlineStr"/>
      <c r="J3944" s="2" t="inlineStr">
        <is>
          <t>recarga Prezão R$20 — validade 20 dias</t>
        </is>
      </c>
      <c r="K3944" s="2" t="inlineStr"/>
      <c r="L3944" s="4" t="n">
        <v>6</v>
      </c>
      <c r="M3944" s="2" t="inlineStr"/>
      <c r="N3944" s="2" t="n">
        <v>20</v>
      </c>
      <c r="O3944" s="2" t="inlineStr"/>
      <c r="P3944" s="2" t="inlineStr"/>
      <c r="Q3944" s="2" t="inlineStr"/>
      <c r="R3944" s="2" t="inlineStr"/>
      <c r="S3944" s="2" t="inlineStr"/>
      <c r="T3944" s="2" t="inlineStr"/>
      <c r="U3944" s="2" t="inlineStr">
        <is>
          <t>https://www.claro.com.br/celular/planos-pre/prezao</t>
        </is>
      </c>
      <c r="V3944" s="2" t="inlineStr">
        <is>
          <t>data/raw/claro_prepaid_SP.json</t>
        </is>
      </c>
    </row>
    <row r="3945">
      <c r="A3945" s="5" t="inlineStr">
        <is>
          <t>2026-08-31</t>
        </is>
      </c>
      <c r="B3945" s="5" t="inlineStr">
        <is>
          <t>2026-08-31T21:21:16</t>
        </is>
      </c>
      <c r="C3945" s="5" t="inlineStr">
        <is>
          <t>claro</t>
        </is>
      </c>
      <c r="D3945" s="5" t="inlineStr">
        <is>
          <t>prepaid</t>
        </is>
      </c>
      <c r="E3945" s="5" t="inlineStr">
        <is>
          <t>SP</t>
        </is>
      </c>
      <c r="F3945" s="5" t="inlineStr">
        <is>
          <t>Prezão 8GB (20 dias)</t>
        </is>
      </c>
      <c r="G3945" s="5" t="inlineStr">
        <is>
          <t>claro:prezao-20d-8gb</t>
        </is>
      </c>
      <c r="H3945" s="6" t="n">
        <v>20</v>
      </c>
      <c r="I3945" s="6" t="inlineStr"/>
      <c r="J3945" s="5" t="inlineStr">
        <is>
          <t>recarga Prezão R$20 — validade 20 dias</t>
        </is>
      </c>
      <c r="K3945" s="5" t="inlineStr"/>
      <c r="L3945" s="7" t="n">
        <v>8</v>
      </c>
      <c r="M3945" s="5" t="inlineStr"/>
      <c r="N3945" s="5" t="n">
        <v>20</v>
      </c>
      <c r="O3945" s="5" t="inlineStr"/>
      <c r="P3945" s="5" t="inlineStr"/>
      <c r="Q3945" s="5" t="inlineStr"/>
      <c r="R3945" s="5" t="inlineStr"/>
      <c r="S3945" s="5" t="inlineStr"/>
      <c r="T3945" s="5" t="inlineStr"/>
      <c r="U3945" s="5" t="inlineStr">
        <is>
          <t>https://www.claro.com.br/celular/planos-pre/prezao</t>
        </is>
      </c>
      <c r="V3945" s="5" t="inlineStr">
        <is>
          <t>data/raw/claro_prepaid_SP.json</t>
        </is>
      </c>
    </row>
    <row r="3946">
      <c r="A3946" s="2" t="inlineStr">
        <is>
          <t>2026-08-31</t>
        </is>
      </c>
      <c r="B3946" s="2" t="inlineStr">
        <is>
          <t>2026-08-31T21:21:16</t>
        </is>
      </c>
      <c r="C3946" s="2" t="inlineStr">
        <is>
          <t>claro</t>
        </is>
      </c>
      <c r="D3946" s="2" t="inlineStr">
        <is>
          <t>prepaid</t>
        </is>
      </c>
      <c r="E3946" s="2" t="inlineStr">
        <is>
          <t>SP</t>
        </is>
      </c>
      <c r="F3946" s="2" t="inlineStr">
        <is>
          <t>Prezão 9GB (25 dias)</t>
        </is>
      </c>
      <c r="G3946" s="2" t="inlineStr">
        <is>
          <t>claro:prezao-25d-9gb</t>
        </is>
      </c>
      <c r="H3946" s="3" t="n">
        <v>25</v>
      </c>
      <c r="I3946" s="3" t="inlineStr"/>
      <c r="J3946" s="2" t="inlineStr">
        <is>
          <t>recarga Prezão R$25 — validade 25 dias</t>
        </is>
      </c>
      <c r="K3946" s="2" t="inlineStr"/>
      <c r="L3946" s="4" t="n">
        <v>9</v>
      </c>
      <c r="M3946" s="2" t="inlineStr"/>
      <c r="N3946" s="2" t="n">
        <v>25</v>
      </c>
      <c r="O3946" s="2" t="inlineStr"/>
      <c r="P3946" s="2" t="inlineStr"/>
      <c r="Q3946" s="2" t="inlineStr"/>
      <c r="R3946" s="2" t="inlineStr"/>
      <c r="S3946" s="2" t="inlineStr"/>
      <c r="T3946" s="2" t="inlineStr"/>
      <c r="U3946" s="2" t="inlineStr">
        <is>
          <t>https://www.claro.com.br/celular/planos-pre/prezao</t>
        </is>
      </c>
      <c r="V3946" s="2" t="inlineStr">
        <is>
          <t>data/raw/claro_prepaid_SP.json</t>
        </is>
      </c>
    </row>
    <row r="3947">
      <c r="A3947" s="5" t="inlineStr">
        <is>
          <t>2026-08-31</t>
        </is>
      </c>
      <c r="B3947" s="5" t="inlineStr">
        <is>
          <t>2026-08-31T21:21:16</t>
        </is>
      </c>
      <c r="C3947" s="5" t="inlineStr">
        <is>
          <t>tim</t>
        </is>
      </c>
      <c r="D3947" s="5" t="inlineStr">
        <is>
          <t>control</t>
        </is>
      </c>
      <c r="E3947" s="5" t="inlineStr">
        <is>
          <t>SP</t>
        </is>
      </c>
      <c r="F3947" s="5" t="inlineStr">
        <is>
          <t>TIM Controle 45GB</t>
        </is>
      </c>
      <c r="G3947" s="5" t="inlineStr">
        <is>
          <t>tim:182766</t>
        </is>
      </c>
      <c r="H3947" s="6" t="n">
        <v>49.99</v>
      </c>
      <c r="I3947" s="6" t="inlineStr"/>
      <c r="J3947" s="5" t="inlineStr"/>
      <c r="K3947" s="5" t="inlineStr"/>
      <c r="L3947" s="7" t="n">
        <v>45</v>
      </c>
      <c r="M3947" s="5" t="inlineStr"/>
      <c r="N3947" s="5" t="inlineStr"/>
      <c r="O3947" s="5" t="inlineStr"/>
      <c r="P3947" s="5" t="inlineStr"/>
      <c r="Q3947" s="5" t="inlineStr"/>
      <c r="R3947" s="5" t="inlineStr"/>
      <c r="S3947" s="5" t="inlineStr"/>
      <c r="T3947" s="5" t="inlineStr"/>
      <c r="U3947" s="5" t="inlineStr">
        <is>
          <t>https://www.tim.com.br/sp/para-voce/planos/controle</t>
        </is>
      </c>
      <c r="V3947" s="5" t="inlineStr">
        <is>
          <t>data/raw/tim_control_SP.html</t>
        </is>
      </c>
    </row>
    <row r="3948">
      <c r="A3948" s="2" t="inlineStr">
        <is>
          <t>2026-08-31</t>
        </is>
      </c>
      <c r="B3948" s="2" t="inlineStr">
        <is>
          <t>2026-08-31T21:21:16</t>
        </is>
      </c>
      <c r="C3948" s="2" t="inlineStr">
        <is>
          <t>tim</t>
        </is>
      </c>
      <c r="D3948" s="2" t="inlineStr">
        <is>
          <t>control</t>
        </is>
      </c>
      <c r="E3948" s="2" t="inlineStr">
        <is>
          <t>SP</t>
        </is>
      </c>
      <c r="F3948" s="2" t="inlineStr">
        <is>
          <t>TIM Controle Light Express 45GB</t>
        </is>
      </c>
      <c r="G3948" s="2" t="inlineStr">
        <is>
          <t>tim:167726</t>
        </is>
      </c>
      <c r="H3948" s="3" t="n">
        <v>60.99</v>
      </c>
      <c r="I3948" s="3" t="inlineStr"/>
      <c r="J3948" s="2" t="inlineStr"/>
      <c r="K3948" s="2" t="inlineStr"/>
      <c r="L3948" s="4" t="n">
        <v>45</v>
      </c>
      <c r="M3948" s="2" t="inlineStr"/>
      <c r="N3948" s="2" t="inlineStr"/>
      <c r="O3948" s="2" t="inlineStr"/>
      <c r="P3948" s="2" t="inlineStr"/>
      <c r="Q3948" s="2" t="inlineStr"/>
      <c r="R3948" s="2" t="inlineStr"/>
      <c r="S3948" s="2" t="inlineStr"/>
      <c r="T3948" s="2" t="inlineStr"/>
      <c r="U3948" s="2" t="inlineStr">
        <is>
          <t>https://www.tim.com.br/sp/para-voce/planos/controle</t>
        </is>
      </c>
      <c r="V3948" s="2" t="inlineStr">
        <is>
          <t>data/raw/tim_control_SP.html</t>
        </is>
      </c>
    </row>
    <row r="3949">
      <c r="A3949" s="5" t="inlineStr">
        <is>
          <t>2026-08-31</t>
        </is>
      </c>
      <c r="B3949" s="5" t="inlineStr">
        <is>
          <t>2026-08-31T21:21:16</t>
        </is>
      </c>
      <c r="C3949" s="5" t="inlineStr">
        <is>
          <t>tim</t>
        </is>
      </c>
      <c r="D3949" s="5" t="inlineStr">
        <is>
          <t>control</t>
        </is>
      </c>
      <c r="E3949" s="5" t="inlineStr">
        <is>
          <t>SP</t>
        </is>
      </c>
      <c r="F3949" s="5" t="inlineStr">
        <is>
          <t>TIM Controle Premium 55GB</t>
        </is>
      </c>
      <c r="G3949" s="5" t="inlineStr">
        <is>
          <t>tim:180756</t>
        </is>
      </c>
      <c r="H3949" s="6" t="n">
        <v>69.98999999999999</v>
      </c>
      <c r="I3949" s="6" t="inlineStr"/>
      <c r="J3949" s="5" t="inlineStr"/>
      <c r="K3949" s="5" t="inlineStr"/>
      <c r="L3949" s="7" t="n">
        <v>55</v>
      </c>
      <c r="M3949" s="5" t="inlineStr"/>
      <c r="N3949" s="5" t="inlineStr"/>
      <c r="O3949" s="5" t="inlineStr"/>
      <c r="P3949" s="5" t="inlineStr"/>
      <c r="Q3949" s="5" t="inlineStr"/>
      <c r="R3949" s="5" t="inlineStr"/>
      <c r="S3949" s="5" t="inlineStr"/>
      <c r="T3949" s="5" t="inlineStr"/>
      <c r="U3949" s="5" t="inlineStr">
        <is>
          <t>https://www.tim.com.br/sp/para-voce/planos/controle</t>
        </is>
      </c>
      <c r="V3949" s="5" t="inlineStr">
        <is>
          <t>data/raw/tim_control_SP.html</t>
        </is>
      </c>
    </row>
    <row r="3950">
      <c r="A3950" s="2" t="inlineStr">
        <is>
          <t>2026-08-31</t>
        </is>
      </c>
      <c r="B3950" s="2" t="inlineStr">
        <is>
          <t>2026-08-31T21:21:16</t>
        </is>
      </c>
      <c r="C3950" s="2" t="inlineStr">
        <is>
          <t>tim</t>
        </is>
      </c>
      <c r="D3950" s="2" t="inlineStr">
        <is>
          <t>control</t>
        </is>
      </c>
      <c r="E3950" s="2" t="inlineStr">
        <is>
          <t>SP</t>
        </is>
      </c>
      <c r="F3950" s="2" t="inlineStr">
        <is>
          <t>TIM Controle Pro Express 46GB</t>
        </is>
      </c>
      <c r="G3950" s="2" t="inlineStr">
        <is>
          <t>tim:167731</t>
        </is>
      </c>
      <c r="H3950" s="3" t="n">
        <v>64.98999999999999</v>
      </c>
      <c r="I3950" s="3" t="inlineStr"/>
      <c r="J3950" s="2" t="inlineStr"/>
      <c r="K3950" s="2" t="inlineStr"/>
      <c r="L3950" s="4" t="n">
        <v>46</v>
      </c>
      <c r="M3950" s="2" t="inlineStr"/>
      <c r="N3950" s="2" t="inlineStr"/>
      <c r="O3950" s="2" t="inlineStr"/>
      <c r="P3950" s="2" t="inlineStr"/>
      <c r="Q3950" s="2" t="inlineStr"/>
      <c r="R3950" s="2" t="inlineStr"/>
      <c r="S3950" s="2" t="inlineStr"/>
      <c r="T3950" s="2" t="inlineStr"/>
      <c r="U3950" s="2" t="inlineStr">
        <is>
          <t>https://www.tim.com.br/sp/para-voce/planos/controle</t>
        </is>
      </c>
      <c r="V3950" s="2" t="inlineStr">
        <is>
          <t>data/raw/tim_control_SP.html</t>
        </is>
      </c>
    </row>
    <row r="3951">
      <c r="A3951" s="5" t="inlineStr">
        <is>
          <t>2026-08-31</t>
        </is>
      </c>
      <c r="B3951" s="5" t="inlineStr">
        <is>
          <t>2026-08-31T21:21:16</t>
        </is>
      </c>
      <c r="C3951" s="5" t="inlineStr">
        <is>
          <t>tim</t>
        </is>
      </c>
      <c r="D3951" s="5" t="inlineStr">
        <is>
          <t>control</t>
        </is>
      </c>
      <c r="E3951" s="5" t="inlineStr">
        <is>
          <t>SP</t>
        </is>
      </c>
      <c r="F3951" s="5" t="inlineStr">
        <is>
          <t>TIM Controle Redes Sociais 46GB</t>
        </is>
      </c>
      <c r="G3951" s="5" t="inlineStr">
        <is>
          <t>tim:167031</t>
        </is>
      </c>
      <c r="H3951" s="6" t="n">
        <v>59.99</v>
      </c>
      <c r="I3951" s="6" t="inlineStr"/>
      <c r="J3951" s="5" t="inlineStr"/>
      <c r="K3951" s="5" t="inlineStr"/>
      <c r="L3951" s="7" t="n">
        <v>46</v>
      </c>
      <c r="M3951" s="5" t="inlineStr"/>
      <c r="N3951" s="5" t="inlineStr"/>
      <c r="O3951" s="5" t="inlineStr"/>
      <c r="P3951" s="5" t="inlineStr"/>
      <c r="Q3951" s="5" t="inlineStr"/>
      <c r="R3951" s="5" t="inlineStr"/>
      <c r="S3951" s="5" t="inlineStr"/>
      <c r="T3951" s="5" t="inlineStr"/>
      <c r="U3951" s="5" t="inlineStr">
        <is>
          <t>https://www.tim.com.br/sp/para-voce/planos/controle</t>
        </is>
      </c>
      <c r="V3951" s="5" t="inlineStr">
        <is>
          <t>data/raw/tim_control_SP.html</t>
        </is>
      </c>
    </row>
    <row r="3952">
      <c r="A3952" s="2" t="inlineStr">
        <is>
          <t>2026-08-31</t>
        </is>
      </c>
      <c r="B3952" s="2" t="inlineStr">
        <is>
          <t>2026-08-31T21:21:16</t>
        </is>
      </c>
      <c r="C3952" s="2" t="inlineStr">
        <is>
          <t>tim</t>
        </is>
      </c>
      <c r="D3952" s="2" t="inlineStr">
        <is>
          <t>fit</t>
        </is>
      </c>
      <c r="E3952" s="2" t="inlineStr">
        <is>
          <t>SP</t>
        </is>
      </c>
      <c r="F3952" s="2" t="inlineStr">
        <is>
          <t>TIM Controle Fit Anual 1.0</t>
        </is>
      </c>
      <c r="G3952" s="2" t="inlineStr">
        <is>
          <t>tim:TIM202600000306</t>
        </is>
      </c>
      <c r="H3952" s="3" t="n">
        <v>20</v>
      </c>
      <c r="I3952" s="3" t="inlineStr"/>
      <c r="J3952" s="2" t="inlineStr">
        <is>
          <t>plano anual 12x no cartão de crédito; a etiqueta TIM informa 'sem prazo de permanência'</t>
        </is>
      </c>
      <c r="K3952" s="2" t="inlineStr">
        <is>
          <t>credit_card</t>
        </is>
      </c>
      <c r="L3952" s="4" t="n">
        <v>25</v>
      </c>
      <c r="M3952" s="2" t="inlineStr"/>
      <c r="N3952" s="2" t="inlineStr"/>
      <c r="O3952" s="2" t="inlineStr"/>
      <c r="P3952" s="2" t="inlineStr"/>
      <c r="Q3952" s="2" t="inlineStr"/>
      <c r="R3952" s="2" t="inlineStr"/>
      <c r="S3952" s="2" t="n">
        <v>12</v>
      </c>
      <c r="T3952" s="2" t="inlineStr"/>
      <c r="U3952" s="2" t="inlineStr">
        <is>
          <t>https://www.tim.com.br/sp/para-voce/planos/controle</t>
        </is>
      </c>
      <c r="V3952" s="2" t="inlineStr">
        <is>
          <t>data/raw/tim_fit_SP.html</t>
        </is>
      </c>
    </row>
    <row r="3953">
      <c r="A3953" s="5" t="inlineStr">
        <is>
          <t>2026-08-31</t>
        </is>
      </c>
      <c r="B3953" s="5" t="inlineStr">
        <is>
          <t>2026-08-31T21:21:16</t>
        </is>
      </c>
      <c r="C3953" s="5" t="inlineStr">
        <is>
          <t>tim</t>
        </is>
      </c>
      <c r="D3953" s="5" t="inlineStr">
        <is>
          <t>fit</t>
        </is>
      </c>
      <c r="E3953" s="5" t="inlineStr">
        <is>
          <t>SP</t>
        </is>
      </c>
      <c r="F3953" s="5" t="inlineStr">
        <is>
          <t>TIM Controle Fit Anual 2.0</t>
        </is>
      </c>
      <c r="G3953" s="5" t="inlineStr">
        <is>
          <t>tim:TIM202600000271</t>
        </is>
      </c>
      <c r="H3953" s="6" t="n">
        <v>30</v>
      </c>
      <c r="I3953" s="6" t="inlineStr"/>
      <c r="J3953" s="5" t="inlineStr">
        <is>
          <t>plano anual 12x no cartão de crédito; a etiqueta TIM informa 'sem prazo de permanência'</t>
        </is>
      </c>
      <c r="K3953" s="5" t="inlineStr">
        <is>
          <t>credit_card</t>
        </is>
      </c>
      <c r="L3953" s="7" t="n">
        <v>35</v>
      </c>
      <c r="M3953" s="5" t="inlineStr"/>
      <c r="N3953" s="5" t="inlineStr"/>
      <c r="O3953" s="5" t="inlineStr"/>
      <c r="P3953" s="5" t="inlineStr"/>
      <c r="Q3953" s="5" t="inlineStr"/>
      <c r="R3953" s="5" t="inlineStr"/>
      <c r="S3953" s="5" t="n">
        <v>12</v>
      </c>
      <c r="T3953" s="5" t="inlineStr"/>
      <c r="U3953" s="5" t="inlineStr">
        <is>
          <t>https://www.tim.com.br/sp/para-voce/planos/controle</t>
        </is>
      </c>
      <c r="V3953" s="5" t="inlineStr">
        <is>
          <t>data/raw/tim_fit_SP.html</t>
        </is>
      </c>
    </row>
    <row r="3954">
      <c r="A3954" s="2" t="inlineStr">
        <is>
          <t>2026-08-31</t>
        </is>
      </c>
      <c r="B3954" s="2" t="inlineStr">
        <is>
          <t>2026-08-31T21:21:16</t>
        </is>
      </c>
      <c r="C3954" s="2" t="inlineStr">
        <is>
          <t>tim</t>
        </is>
      </c>
      <c r="D3954" s="2" t="inlineStr">
        <is>
          <t>fit</t>
        </is>
      </c>
      <c r="E3954" s="2" t="inlineStr">
        <is>
          <t>SP</t>
        </is>
      </c>
      <c r="F3954" s="2" t="inlineStr">
        <is>
          <t>TIM Controle Fit Mensal 1.0</t>
        </is>
      </c>
      <c r="G3954" s="2" t="inlineStr">
        <is>
          <t>tim:TIM202600000270</t>
        </is>
      </c>
      <c r="H3954" s="3" t="n">
        <v>20</v>
      </c>
      <c r="I3954" s="3" t="inlineStr"/>
      <c r="J39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954" s="2" t="inlineStr"/>
      <c r="L3954" s="4" t="n">
        <v>20</v>
      </c>
      <c r="M3954" s="2" t="inlineStr"/>
      <c r="N3954" s="2" t="inlineStr"/>
      <c r="O3954" s="2" t="inlineStr"/>
      <c r="P3954" s="2" t="inlineStr"/>
      <c r="Q3954" s="2" t="inlineStr"/>
      <c r="R3954" s="2" t="inlineStr"/>
      <c r="S3954" s="2" t="inlineStr"/>
      <c r="T3954" s="2" t="inlineStr"/>
      <c r="U3954" s="2" t="inlineStr">
        <is>
          <t>https://www.tim.com.br/sp/para-voce/planos/controle</t>
        </is>
      </c>
      <c r="V3954" s="2" t="inlineStr">
        <is>
          <t>data/raw/tim_fit_SP.html</t>
        </is>
      </c>
    </row>
    <row r="3955">
      <c r="A3955" s="5" t="inlineStr">
        <is>
          <t>2026-08-31</t>
        </is>
      </c>
      <c r="B3955" s="5" t="inlineStr">
        <is>
          <t>2026-08-31T21:21:16</t>
        </is>
      </c>
      <c r="C3955" s="5" t="inlineStr">
        <is>
          <t>tim</t>
        </is>
      </c>
      <c r="D3955" s="5" t="inlineStr">
        <is>
          <t>fit</t>
        </is>
      </c>
      <c r="E3955" s="5" t="inlineStr">
        <is>
          <t>SP</t>
        </is>
      </c>
      <c r="F3955" s="5" t="inlineStr">
        <is>
          <t>TIM Controle Fit Mensal 2.0</t>
        </is>
      </c>
      <c r="G3955" s="5" t="inlineStr">
        <is>
          <t>tim:TIM202600000305</t>
        </is>
      </c>
      <c r="H3955" s="6" t="n">
        <v>45</v>
      </c>
      <c r="I3955" s="6" t="inlineStr"/>
      <c r="J3955" s="5" t="inlineStr">
        <is>
          <t>plano mensal, sem prazo de permanência; a etiqueta TIM informa 'sem prazo de permanência'</t>
        </is>
      </c>
      <c r="K3955" s="5" t="inlineStr"/>
      <c r="L3955" s="7" t="n">
        <v>35</v>
      </c>
      <c r="M3955" s="5" t="inlineStr"/>
      <c r="N3955" s="5" t="inlineStr"/>
      <c r="O3955" s="5" t="inlineStr"/>
      <c r="P3955" s="5" t="inlineStr"/>
      <c r="Q3955" s="5" t="inlineStr"/>
      <c r="R3955" s="5" t="inlineStr"/>
      <c r="S3955" s="5" t="inlineStr"/>
      <c r="T3955" s="5" t="inlineStr"/>
      <c r="U3955" s="5" t="inlineStr">
        <is>
          <t>https://www.tim.com.br/sp/para-voce/planos/controle</t>
        </is>
      </c>
      <c r="V3955" s="5" t="inlineStr">
        <is>
          <t>data/raw/tim_fit_SP.html</t>
        </is>
      </c>
    </row>
    <row r="3956">
      <c r="A3956" s="2" t="inlineStr">
        <is>
          <t>2026-08-31</t>
        </is>
      </c>
      <c r="B3956" s="2" t="inlineStr">
        <is>
          <t>2026-08-31T21:21:16</t>
        </is>
      </c>
      <c r="C3956" s="2" t="inlineStr">
        <is>
          <t>tim</t>
        </is>
      </c>
      <c r="D3956" s="2" t="inlineStr">
        <is>
          <t>postpaid</t>
        </is>
      </c>
      <c r="E3956" s="2" t="inlineStr">
        <is>
          <t>SP</t>
        </is>
      </c>
      <c r="F3956" s="2" t="inlineStr">
        <is>
          <t>TIM Black 70GB</t>
        </is>
      </c>
      <c r="G3956" s="2" t="inlineStr">
        <is>
          <t>tim:54206</t>
        </is>
      </c>
      <c r="H3956" s="3" t="n">
        <v>129.99</v>
      </c>
      <c r="I3956" s="3" t="inlineStr"/>
      <c r="J3956" s="2" t="inlineStr"/>
      <c r="K3956" s="2" t="inlineStr">
        <is>
          <t>bill</t>
        </is>
      </c>
      <c r="L3956" s="4" t="n">
        <v>70</v>
      </c>
      <c r="M3956" s="2" t="inlineStr"/>
      <c r="N3956" s="2" t="inlineStr"/>
      <c r="O3956" s="2" t="inlineStr"/>
      <c r="P3956" s="2" t="inlineStr"/>
      <c r="Q3956" s="2" t="inlineStr"/>
      <c r="R3956" s="2" t="inlineStr"/>
      <c r="S3956" s="2" t="inlineStr"/>
      <c r="T3956" s="2" t="inlineStr"/>
      <c r="U3956" s="2" t="inlineStr">
        <is>
          <t>https://www.tim.com.br/sp/para-voce/planos/pos-pago/tim-black</t>
        </is>
      </c>
      <c r="V3956" s="2" t="inlineStr">
        <is>
          <t>data/raw/tim_postpaid_SP.html</t>
        </is>
      </c>
    </row>
    <row r="3957">
      <c r="A3957" s="5" t="inlineStr">
        <is>
          <t>2026-08-31</t>
        </is>
      </c>
      <c r="B3957" s="5" t="inlineStr">
        <is>
          <t>2026-08-31T21:21:16</t>
        </is>
      </c>
      <c r="C3957" s="5" t="inlineStr">
        <is>
          <t>tim</t>
        </is>
      </c>
      <c r="D3957" s="5" t="inlineStr">
        <is>
          <t>postpaid</t>
        </is>
      </c>
      <c r="E3957" s="5" t="inlineStr">
        <is>
          <t>SP</t>
        </is>
      </c>
      <c r="F3957" s="5" t="inlineStr">
        <is>
          <t>TIM Black B Express 82GB</t>
        </is>
      </c>
      <c r="G3957" s="5" t="inlineStr">
        <is>
          <t>tim:52146</t>
        </is>
      </c>
      <c r="H3957" s="6" t="n">
        <v>144.99</v>
      </c>
      <c r="I3957" s="6" t="inlineStr"/>
      <c r="J3957" s="5" t="inlineStr"/>
      <c r="K3957" s="5" t="inlineStr">
        <is>
          <t>credit_card</t>
        </is>
      </c>
      <c r="L3957" s="7" t="n">
        <v>82</v>
      </c>
      <c r="M3957" s="5" t="inlineStr"/>
      <c r="N3957" s="5" t="inlineStr"/>
      <c r="O3957" s="5" t="inlineStr"/>
      <c r="P3957" s="5" t="inlineStr"/>
      <c r="Q3957" s="5" t="inlineStr"/>
      <c r="R3957" s="5" t="inlineStr"/>
      <c r="S3957" s="5" t="inlineStr"/>
      <c r="T3957" s="5" t="inlineStr"/>
      <c r="U3957" s="5" t="inlineStr">
        <is>
          <t>https://www.tim.com.br/sp/para-voce/planos/pos-pago/tim-black</t>
        </is>
      </c>
      <c r="V3957" s="5" t="inlineStr">
        <is>
          <t>data/raw/tim_postpaid_SP.html</t>
        </is>
      </c>
    </row>
    <row r="3958">
      <c r="A3958" s="2" t="inlineStr">
        <is>
          <t>2026-08-31</t>
        </is>
      </c>
      <c r="B3958" s="2" t="inlineStr">
        <is>
          <t>2026-08-31T21:21:16</t>
        </is>
      </c>
      <c r="C3958" s="2" t="inlineStr">
        <is>
          <t>tim</t>
        </is>
      </c>
      <c r="D3958" s="2" t="inlineStr">
        <is>
          <t>postpaid</t>
        </is>
      </c>
      <c r="E3958" s="2" t="inlineStr">
        <is>
          <t>SP</t>
        </is>
      </c>
      <c r="F3958" s="2" t="inlineStr">
        <is>
          <t>TIM Black C Express 107GB</t>
        </is>
      </c>
      <c r="G3958" s="2" t="inlineStr">
        <is>
          <t>tim:52151</t>
        </is>
      </c>
      <c r="H3958" s="3" t="n">
        <v>164.99</v>
      </c>
      <c r="I3958" s="3" t="inlineStr"/>
      <c r="J3958" s="2" t="inlineStr"/>
      <c r="K3958" s="2" t="inlineStr">
        <is>
          <t>credit_card</t>
        </is>
      </c>
      <c r="L3958" s="4" t="n">
        <v>107</v>
      </c>
      <c r="M3958" s="2" t="inlineStr"/>
      <c r="N3958" s="2" t="inlineStr"/>
      <c r="O3958" s="2" t="inlineStr"/>
      <c r="P3958" s="2" t="inlineStr"/>
      <c r="Q3958" s="2" t="inlineStr"/>
      <c r="R3958" s="2" t="inlineStr"/>
      <c r="S3958" s="2" t="inlineStr"/>
      <c r="T3958" s="2" t="inlineStr"/>
      <c r="U3958" s="2" t="inlineStr">
        <is>
          <t>https://www.tim.com.br/sp/para-voce/planos/pos-pago/tim-black</t>
        </is>
      </c>
      <c r="V3958" s="2" t="inlineStr">
        <is>
          <t>data/raw/tim_postpaid_SP.html</t>
        </is>
      </c>
    </row>
    <row r="3959">
      <c r="A3959" s="5" t="inlineStr">
        <is>
          <t>2026-08-31</t>
        </is>
      </c>
      <c r="B3959" s="5" t="inlineStr">
        <is>
          <t>2026-08-31T21:21:16</t>
        </is>
      </c>
      <c r="C3959" s="5" t="inlineStr">
        <is>
          <t>tim</t>
        </is>
      </c>
      <c r="D3959" s="5" t="inlineStr">
        <is>
          <t>postpaid</t>
        </is>
      </c>
      <c r="E3959" s="5" t="inlineStr">
        <is>
          <t>SP</t>
        </is>
      </c>
      <c r="F3959" s="5" t="inlineStr">
        <is>
          <t>TIM Black Plus 80GB</t>
        </is>
      </c>
      <c r="G3959" s="5" t="inlineStr">
        <is>
          <t>tim:54256</t>
        </is>
      </c>
      <c r="H3959" s="6" t="n">
        <v>149.99</v>
      </c>
      <c r="I3959" s="6" t="inlineStr"/>
      <c r="J3959" s="5" t="inlineStr"/>
      <c r="K3959" s="5" t="inlineStr">
        <is>
          <t>bill</t>
        </is>
      </c>
      <c r="L3959" s="7" t="n">
        <v>80</v>
      </c>
      <c r="M3959" s="5" t="inlineStr"/>
      <c r="N3959" s="5" t="inlineStr"/>
      <c r="O3959" s="5" t="inlineStr"/>
      <c r="P3959" s="5" t="inlineStr"/>
      <c r="Q3959" s="5" t="inlineStr"/>
      <c r="R3959" s="5" t="inlineStr"/>
      <c r="S3959" s="5" t="inlineStr"/>
      <c r="T3959" s="5" t="inlineStr"/>
      <c r="U3959" s="5" t="inlineStr">
        <is>
          <t>https://www.tim.com.br/sp/para-voce/planos/pos-pago/tim-black</t>
        </is>
      </c>
      <c r="V3959" s="5" t="inlineStr">
        <is>
          <t>data/raw/tim_postpaid_SP.html</t>
        </is>
      </c>
    </row>
    <row r="3960">
      <c r="A3960" s="2" t="inlineStr">
        <is>
          <t>2026-08-31</t>
        </is>
      </c>
      <c r="B3960" s="2" t="inlineStr">
        <is>
          <t>2026-08-31T21:21:16</t>
        </is>
      </c>
      <c r="C3960" s="2" t="inlineStr">
        <is>
          <t>tim</t>
        </is>
      </c>
      <c r="D3960" s="2" t="inlineStr">
        <is>
          <t>postpaid</t>
        </is>
      </c>
      <c r="E3960" s="2" t="inlineStr">
        <is>
          <t>SP</t>
        </is>
      </c>
      <c r="F3960" s="2" t="inlineStr">
        <is>
          <t>TIM Black Premium 110GB</t>
        </is>
      </c>
      <c r="G3960" s="2" t="inlineStr">
        <is>
          <t>tim:54261</t>
        </is>
      </c>
      <c r="H3960" s="3" t="n">
        <v>159.99</v>
      </c>
      <c r="I3960" s="3" t="inlineStr"/>
      <c r="J3960" s="2" t="inlineStr"/>
      <c r="K3960" s="2" t="inlineStr">
        <is>
          <t>bill</t>
        </is>
      </c>
      <c r="L3960" s="4" t="n">
        <v>110</v>
      </c>
      <c r="M3960" s="2" t="inlineStr"/>
      <c r="N3960" s="2" t="inlineStr"/>
      <c r="O3960" s="2" t="inlineStr"/>
      <c r="P3960" s="2" t="inlineStr"/>
      <c r="Q3960" s="2" t="inlineStr"/>
      <c r="R3960" s="2" t="inlineStr"/>
      <c r="S3960" s="2" t="inlineStr"/>
      <c r="T3960" s="2" t="inlineStr"/>
      <c r="U3960" s="2" t="inlineStr">
        <is>
          <t>https://www.tim.com.br/sp/para-voce/planos/pos-pago/tim-black</t>
        </is>
      </c>
      <c r="V3960" s="2" t="inlineStr">
        <is>
          <t>data/raw/tim_postpaid_SP.html</t>
        </is>
      </c>
    </row>
    <row r="3961">
      <c r="A3961" s="5" t="inlineStr">
        <is>
          <t>2026-08-31</t>
        </is>
      </c>
      <c r="B3961" s="5" t="inlineStr">
        <is>
          <t>2026-08-31T21:21:16</t>
        </is>
      </c>
      <c r="C3961" s="5" t="inlineStr">
        <is>
          <t>tim</t>
        </is>
      </c>
      <c r="D3961" s="5" t="inlineStr">
        <is>
          <t>prepaid</t>
        </is>
      </c>
      <c r="E3961" s="5" t="inlineStr">
        <is>
          <t>SP</t>
        </is>
      </c>
      <c r="F3961" s="5" t="inlineStr">
        <is>
          <t>TIM Pré XIP Plus 16GB</t>
        </is>
      </c>
      <c r="G3961" s="5" t="inlineStr">
        <is>
          <t>tim:106306</t>
        </is>
      </c>
      <c r="H3961" s="6" t="n">
        <v>30</v>
      </c>
      <c r="I3961" s="6" t="inlineStr"/>
      <c r="J3961" s="5" t="inlineStr"/>
      <c r="K3961" s="5" t="inlineStr"/>
      <c r="L3961" s="7" t="n">
        <v>16</v>
      </c>
      <c r="M3961" s="5" t="inlineStr"/>
      <c r="N3961" s="5" t="n">
        <v>30</v>
      </c>
      <c r="O3961" s="5" t="inlineStr"/>
      <c r="P3961" s="5" t="inlineStr"/>
      <c r="Q3961" s="5" t="inlineStr"/>
      <c r="R3961" s="5" t="inlineStr"/>
      <c r="S3961" s="5" t="inlineStr"/>
      <c r="T3961" s="5" t="inlineStr"/>
      <c r="U3961" s="5" t="inlineStr">
        <is>
          <t>https://www.tim.com.br/sp/para-voce/planos/pre-pago</t>
        </is>
      </c>
      <c r="V3961" s="5" t="inlineStr">
        <is>
          <t>data/raw/tim_prepaid_SP.html</t>
        </is>
      </c>
    </row>
    <row r="3962">
      <c r="A3962" s="2" t="inlineStr">
        <is>
          <t>2026-08-31</t>
        </is>
      </c>
      <c r="B3962" s="2" t="inlineStr">
        <is>
          <t>2026-08-31T21:21:16</t>
        </is>
      </c>
      <c r="C3962" s="2" t="inlineStr">
        <is>
          <t>tim</t>
        </is>
      </c>
      <c r="D3962" s="2" t="inlineStr">
        <is>
          <t>prepaid</t>
        </is>
      </c>
      <c r="E3962" s="2" t="inlineStr">
        <is>
          <t>SP</t>
        </is>
      </c>
      <c r="F3962" s="2" t="inlineStr">
        <is>
          <t>TIM Pré XIP Plus 6GB</t>
        </is>
      </c>
      <c r="G3962" s="2" t="inlineStr">
        <is>
          <t>tim:59906</t>
        </is>
      </c>
      <c r="H3962" s="3" t="n">
        <v>20</v>
      </c>
      <c r="I3962" s="3" t="inlineStr"/>
      <c r="J3962" s="2" t="inlineStr"/>
      <c r="K3962" s="2" t="inlineStr"/>
      <c r="L3962" s="4" t="n">
        <v>6</v>
      </c>
      <c r="M3962" s="2" t="inlineStr"/>
      <c r="N3962" s="2" t="n">
        <v>17</v>
      </c>
      <c r="O3962" s="2" t="inlineStr"/>
      <c r="P3962" s="2" t="inlineStr"/>
      <c r="Q3962" s="2" t="inlineStr"/>
      <c r="R3962" s="2" t="inlineStr"/>
      <c r="S3962" s="2" t="inlineStr"/>
      <c r="T3962" s="2" t="inlineStr"/>
      <c r="U3962" s="2" t="inlineStr">
        <is>
          <t>https://www.tim.com.br/sp/para-voce/planos/pre-pago</t>
        </is>
      </c>
      <c r="V3962" s="2" t="inlineStr">
        <is>
          <t>data/raw/tim_prepaid_SP.html</t>
        </is>
      </c>
    </row>
    <row r="3963">
      <c r="A3963" s="5" t="inlineStr">
        <is>
          <t>2026-08-31</t>
        </is>
      </c>
      <c r="B3963" s="5" t="inlineStr">
        <is>
          <t>2026-08-31T21:21:16</t>
        </is>
      </c>
      <c r="C3963" s="5" t="inlineStr">
        <is>
          <t>tim</t>
        </is>
      </c>
      <c r="D3963" s="5" t="inlineStr">
        <is>
          <t>prepaid</t>
        </is>
      </c>
      <c r="E3963" s="5" t="inlineStr">
        <is>
          <t>SP</t>
        </is>
      </c>
      <c r="F3963" s="5" t="inlineStr">
        <is>
          <t>TIM Pré XIP Plus 8GB</t>
        </is>
      </c>
      <c r="G3963" s="5" t="inlineStr">
        <is>
          <t>tim:59901</t>
        </is>
      </c>
      <c r="H3963" s="6" t="n">
        <v>25</v>
      </c>
      <c r="I3963" s="6" t="inlineStr"/>
      <c r="J3963" s="5" t="inlineStr"/>
      <c r="K3963" s="5" t="inlineStr"/>
      <c r="L3963" s="7" t="n">
        <v>8</v>
      </c>
      <c r="M3963" s="5" t="inlineStr"/>
      <c r="N3963" s="5" t="n">
        <v>22</v>
      </c>
      <c r="O3963" s="5" t="inlineStr"/>
      <c r="P3963" s="5" t="inlineStr"/>
      <c r="Q3963" s="5" t="inlineStr"/>
      <c r="R3963" s="5" t="inlineStr"/>
      <c r="S3963" s="5" t="inlineStr"/>
      <c r="T3963" s="5" t="inlineStr"/>
      <c r="U3963" s="5" t="inlineStr">
        <is>
          <t>https://www.tim.com.br/sp/para-voce/planos/pre-pago</t>
        </is>
      </c>
      <c r="V3963" s="5" t="inlineStr">
        <is>
          <t>data/raw/tim_prepaid_SP.html</t>
        </is>
      </c>
    </row>
    <row r="3964">
      <c r="A3964" s="2" t="inlineStr">
        <is>
          <t>2026-08-31</t>
        </is>
      </c>
      <c r="B3964" s="2" t="inlineStr">
        <is>
          <t>2026-08-31T21:21:16</t>
        </is>
      </c>
      <c r="C3964" s="2" t="inlineStr">
        <is>
          <t>vivo</t>
        </is>
      </c>
      <c r="D3964" s="2" t="inlineStr">
        <is>
          <t>control</t>
        </is>
      </c>
      <c r="E3964" s="2" t="inlineStr">
        <is>
          <t>SP</t>
        </is>
      </c>
      <c r="F3964" s="2" t="inlineStr">
        <is>
          <t>Vivo Controle</t>
        </is>
      </c>
      <c r="G3964" s="2" t="inlineStr">
        <is>
          <t>vivo:VIV202600034591</t>
        </is>
      </c>
      <c r="H3964" s="3" t="n">
        <v>59</v>
      </c>
      <c r="I3964" s="3" t="inlineStr"/>
      <c r="J3964" s="2" t="inlineStr"/>
      <c r="K3964" s="2" t="inlineStr"/>
      <c r="L3964" s="4" t="n">
        <v>45</v>
      </c>
      <c r="M3964" s="2" t="inlineStr">
        <is>
          <t>15 GB de franquia 30 GB de bônus</t>
        </is>
      </c>
      <c r="N3964" s="2" t="inlineStr"/>
      <c r="O3964" s="2" t="inlineStr"/>
      <c r="P3964" s="2" t="inlineStr"/>
      <c r="Q3964" s="2" t="inlineStr"/>
      <c r="R3964" s="2" t="inlineStr"/>
      <c r="S3964" s="2" t="inlineStr"/>
      <c r="T3964" s="2" t="inlineStr">
        <is>
          <t>6 meses grátis de Gemini com AI Plus</t>
        </is>
      </c>
      <c r="U3964" s="2" t="inlineStr">
        <is>
          <t>https://vivo.com.br/para-voce/produtos-e-servicos/para-o-celular/planos-controle</t>
        </is>
      </c>
      <c r="V3964" s="2" t="inlineStr">
        <is>
          <t>data/raw/vivo_control_SP.html</t>
        </is>
      </c>
    </row>
    <row r="3965">
      <c r="A3965" s="5" t="inlineStr">
        <is>
          <t>2026-08-31</t>
        </is>
      </c>
      <c r="B3965" s="5" t="inlineStr">
        <is>
          <t>2026-08-31T21:21:16</t>
        </is>
      </c>
      <c r="C3965" s="5" t="inlineStr">
        <is>
          <t>vivo</t>
        </is>
      </c>
      <c r="D3965" s="5" t="inlineStr">
        <is>
          <t>control</t>
        </is>
      </c>
      <c r="E3965" s="5" t="inlineStr">
        <is>
          <t>SP</t>
        </is>
      </c>
      <c r="F3965" s="5" t="inlineStr">
        <is>
          <t>Vivo Controle</t>
        </is>
      </c>
      <c r="G3965" s="5" t="inlineStr">
        <is>
          <t>vivo:VIV202600034599</t>
        </is>
      </c>
      <c r="H3965" s="6" t="n">
        <v>75</v>
      </c>
      <c r="I3965" s="6" t="inlineStr"/>
      <c r="J3965" s="5" t="inlineStr">
        <is>
          <t>preço-base do plano; a tela exibia R$ 80 com o adicional pré-selecionado (+R$ 5/mês, opcional); 60 GB na tela incluem +10 GB do adicional</t>
        </is>
      </c>
      <c r="K3965" s="5" t="inlineStr"/>
      <c r="L3965" s="7" t="n">
        <v>50</v>
      </c>
      <c r="M3965" s="5" t="inlineStr">
        <is>
          <t>20 GB de franquia 30 GB de bônus</t>
        </is>
      </c>
      <c r="N3965" s="5" t="inlineStr"/>
      <c r="O3965" s="5" t="inlineStr"/>
      <c r="P3965" s="5" t="inlineStr"/>
      <c r="Q3965" s="5" t="inlineStr"/>
      <c r="R3965" s="5" t="inlineStr"/>
      <c r="S3965" s="5" t="inlineStr"/>
      <c r="T3965" s="5" t="inlineStr">
        <is>
          <t>6 meses grátis de Gemini com AI Plus</t>
        </is>
      </c>
      <c r="U3965" s="5" t="inlineStr">
        <is>
          <t>https://vivo.com.br/para-voce/produtos-e-servicos/para-o-celular/planos-controle</t>
        </is>
      </c>
      <c r="V3965" s="5" t="inlineStr">
        <is>
          <t>data/raw/vivo_control_SP.html</t>
        </is>
      </c>
    </row>
    <row r="3966">
      <c r="A3966" s="2" t="inlineStr">
        <is>
          <t>2026-08-31</t>
        </is>
      </c>
      <c r="B3966" s="2" t="inlineStr">
        <is>
          <t>2026-08-31T21:21:16</t>
        </is>
      </c>
      <c r="C3966" s="2" t="inlineStr">
        <is>
          <t>vivo</t>
        </is>
      </c>
      <c r="D3966" s="2" t="inlineStr">
        <is>
          <t>control</t>
        </is>
      </c>
      <c r="E3966" s="2" t="inlineStr">
        <is>
          <t>SP</t>
        </is>
      </c>
      <c r="F3966" s="2" t="inlineStr">
        <is>
          <t>Vivo Controle Educação</t>
        </is>
      </c>
      <c r="G3966" s="2" t="inlineStr">
        <is>
          <t>vivo:VIV202600034616</t>
        </is>
      </c>
      <c r="H3966" s="3" t="n">
        <v>85</v>
      </c>
      <c r="I3966" s="3" t="inlineStr"/>
      <c r="J3966" s="2" t="inlineStr">
        <is>
          <t>preço-base do plano; a tela exibia R$ 90 com o adicional pré-selecionado (+R$ 5/mês, opcional); 60 GB na tela incluem +10 GB do adicional</t>
        </is>
      </c>
      <c r="K3966" s="2" t="inlineStr"/>
      <c r="L3966" s="4" t="n">
        <v>50</v>
      </c>
      <c r="M3966" s="2" t="inlineStr">
        <is>
          <t>20 GB de franquia 30 GB de bônus</t>
        </is>
      </c>
      <c r="N3966" s="2" t="inlineStr"/>
      <c r="O3966" s="2" t="inlineStr"/>
      <c r="P3966" s="2" t="inlineStr"/>
      <c r="Q3966" s="2" t="inlineStr"/>
      <c r="R3966" s="2" t="inlineStr"/>
      <c r="S3966" s="2" t="inlineStr"/>
      <c r="T3966" s="2" t="inlineStr">
        <is>
          <t>Assinatura Vivae inclusa</t>
        </is>
      </c>
      <c r="U3966" s="2" t="inlineStr">
        <is>
          <t>https://vivo.com.br/para-voce/produtos-e-servicos/para-o-celular/planos-controle</t>
        </is>
      </c>
      <c r="V3966" s="2" t="inlineStr">
        <is>
          <t>data/raw/vivo_control_SP.html</t>
        </is>
      </c>
    </row>
    <row r="3967">
      <c r="A3967" s="5" t="inlineStr">
        <is>
          <t>2026-08-31</t>
        </is>
      </c>
      <c r="B3967" s="5" t="inlineStr">
        <is>
          <t>2026-08-31T21:21:16</t>
        </is>
      </c>
      <c r="C3967" s="5" t="inlineStr">
        <is>
          <t>vivo</t>
        </is>
      </c>
      <c r="D3967" s="5" t="inlineStr">
        <is>
          <t>control</t>
        </is>
      </c>
      <c r="E3967" s="5" t="inlineStr">
        <is>
          <t>SP</t>
        </is>
      </c>
      <c r="F3967" s="5" t="inlineStr">
        <is>
          <t>Vivo Controle Entretenimento</t>
        </is>
      </c>
      <c r="G3967" s="5" t="inlineStr">
        <is>
          <t>vivo:VIV202600034619</t>
        </is>
      </c>
      <c r="H3967" s="6" t="n">
        <v>105</v>
      </c>
      <c r="I3967" s="6" t="inlineStr"/>
      <c r="J3967" s="5" t="inlineStr">
        <is>
          <t>preço-base do plano; a tela exibia R$ 110 com o adicional pré-selecionado (+R$ 5/mês, opcional); 60 GB na tela incluem +10 GB do adicional</t>
        </is>
      </c>
      <c r="K3967" s="5" t="inlineStr"/>
      <c r="L3967" s="7" t="n">
        <v>50</v>
      </c>
      <c r="M3967" s="5" t="inlineStr">
        <is>
          <t>20 GB de franquia 30 GB de bônus</t>
        </is>
      </c>
      <c r="N3967" s="5" t="inlineStr"/>
      <c r="O3967" s="5" t="inlineStr"/>
      <c r="P3967" s="5" t="inlineStr"/>
      <c r="Q3967" s="5" t="inlineStr"/>
      <c r="R3967" s="5" t="inlineStr"/>
      <c r="S3967" s="5" t="inlineStr"/>
      <c r="T3967" s="5" t="inlineStr">
        <is>
          <t>Assinatura Vivo TV Inicial inclusa</t>
        </is>
      </c>
      <c r="U3967" s="5" t="inlineStr">
        <is>
          <t>https://vivo.com.br/para-voce/produtos-e-servicos/para-o-celular/planos-controle</t>
        </is>
      </c>
      <c r="V3967" s="5" t="inlineStr">
        <is>
          <t>data/raw/vivo_control_SP.html</t>
        </is>
      </c>
    </row>
    <row r="3968">
      <c r="A3968" s="2" t="inlineStr">
        <is>
          <t>2026-08-31</t>
        </is>
      </c>
      <c r="B3968" s="2" t="inlineStr">
        <is>
          <t>2026-08-31T21:21:16</t>
        </is>
      </c>
      <c r="C3968" s="2" t="inlineStr">
        <is>
          <t>vivo</t>
        </is>
      </c>
      <c r="D3968" s="2" t="inlineStr">
        <is>
          <t>control</t>
        </is>
      </c>
      <c r="E3968" s="2" t="inlineStr">
        <is>
          <t>SP</t>
        </is>
      </c>
      <c r="F3968" s="2" t="inlineStr">
        <is>
          <t>Vivo Controle Música</t>
        </is>
      </c>
      <c r="G3968" s="2" t="inlineStr">
        <is>
          <t>vivo:VIV202600034620</t>
        </is>
      </c>
      <c r="H3968" s="3" t="n">
        <v>85</v>
      </c>
      <c r="I3968" s="3" t="inlineStr"/>
      <c r="J3968" s="2" t="inlineStr">
        <is>
          <t>preço-base do plano; a tela exibia R$ 90 com o adicional pré-selecionado (+R$ 5/mês, opcional); 60 GB na tela incluem +10 GB do adicional</t>
        </is>
      </c>
      <c r="K3968" s="2" t="inlineStr"/>
      <c r="L3968" s="4" t="n">
        <v>50</v>
      </c>
      <c r="M3968" s="2" t="inlineStr">
        <is>
          <t>20 GB de franquia 30 GB de bônus</t>
        </is>
      </c>
      <c r="N3968" s="2" t="inlineStr"/>
      <c r="O3968" s="2" t="inlineStr"/>
      <c r="P3968" s="2" t="inlineStr"/>
      <c r="Q3968" s="2" t="inlineStr"/>
      <c r="R3968" s="2" t="inlineStr"/>
      <c r="S3968" s="2" t="inlineStr"/>
      <c r="T3968" s="2" t="inlineStr">
        <is>
          <t>Apple Music Individual</t>
        </is>
      </c>
      <c r="U3968" s="2" t="inlineStr">
        <is>
          <t>https://vivo.com.br/para-voce/produtos-e-servicos/para-o-celular/planos-controle</t>
        </is>
      </c>
      <c r="V3968" s="2" t="inlineStr">
        <is>
          <t>data/raw/vivo_control_SP.html</t>
        </is>
      </c>
    </row>
    <row r="3969">
      <c r="A3969" s="5" t="inlineStr">
        <is>
          <t>2026-08-31</t>
        </is>
      </c>
      <c r="B3969" s="5" t="inlineStr">
        <is>
          <t>2026-08-31T21:21:16</t>
        </is>
      </c>
      <c r="C3969" s="5" t="inlineStr">
        <is>
          <t>vivo</t>
        </is>
      </c>
      <c r="D3969" s="5" t="inlineStr">
        <is>
          <t>control</t>
        </is>
      </c>
      <c r="E3969" s="5" t="inlineStr">
        <is>
          <t>SP</t>
        </is>
      </c>
      <c r="F3969" s="5" t="inlineStr">
        <is>
          <t>Vivo Controle Netflix</t>
        </is>
      </c>
      <c r="G3969" s="5" t="inlineStr">
        <is>
          <t>vivo:VIV202600034623</t>
        </is>
      </c>
      <c r="H3969" s="6" t="n">
        <v>90</v>
      </c>
      <c r="I3969" s="6" t="inlineStr"/>
      <c r="J3969" s="5" t="inlineStr">
        <is>
          <t>preço-base do plano; a tela exibia R$ 95 com o adicional pré-selecionado (+R$ 5/mês, opcional); 60 GB na tela incluem +10 GB do adicional</t>
        </is>
      </c>
      <c r="K3969" s="5" t="inlineStr"/>
      <c r="L3969" s="7" t="n">
        <v>50</v>
      </c>
      <c r="M3969" s="5" t="inlineStr">
        <is>
          <t>20 GB de franquia 30 GB de bônus</t>
        </is>
      </c>
      <c r="N3969" s="5" t="inlineStr"/>
      <c r="O3969" s="5" t="inlineStr"/>
      <c r="P3969" s="5" t="inlineStr"/>
      <c r="Q3969" s="5" t="inlineStr"/>
      <c r="R3969" s="5" t="inlineStr"/>
      <c r="S3969" s="5" t="inlineStr"/>
      <c r="T3969" s="5" t="inlineStr">
        <is>
          <t>Assinatura Netflix Padrão com anúncios</t>
        </is>
      </c>
      <c r="U3969" s="5" t="inlineStr">
        <is>
          <t>https://vivo.com.br/para-voce/produtos-e-servicos/para-o-celular/planos-controle</t>
        </is>
      </c>
      <c r="V3969" s="5" t="inlineStr">
        <is>
          <t>data/raw/vivo_control_SP.html</t>
        </is>
      </c>
    </row>
    <row r="3970">
      <c r="A3970" s="2" t="inlineStr">
        <is>
          <t>2026-08-31</t>
        </is>
      </c>
      <c r="B3970" s="2" t="inlineStr">
        <is>
          <t>2026-08-31T21:21:16</t>
        </is>
      </c>
      <c r="C3970" s="2" t="inlineStr">
        <is>
          <t>vivo</t>
        </is>
      </c>
      <c r="D3970" s="2" t="inlineStr">
        <is>
          <t>control</t>
        </is>
      </c>
      <c r="E3970" s="2" t="inlineStr">
        <is>
          <t>SP</t>
        </is>
      </c>
      <c r="F3970" s="2" t="inlineStr">
        <is>
          <t>Vivo Controle Saúde</t>
        </is>
      </c>
      <c r="G3970" s="2" t="inlineStr">
        <is>
          <t>vivo:VIV202600034625</t>
        </is>
      </c>
      <c r="H3970" s="3" t="n">
        <v>85</v>
      </c>
      <c r="I3970" s="3" t="inlineStr"/>
      <c r="J3970" s="2" t="inlineStr">
        <is>
          <t>preço-base do plano; a tela exibia R$ 90 com o adicional pré-selecionado (+R$ 5/mês, opcional); 60 GB na tela incluem +10 GB do adicional</t>
        </is>
      </c>
      <c r="K3970" s="2" t="inlineStr"/>
      <c r="L3970" s="4" t="n">
        <v>50</v>
      </c>
      <c r="M3970" s="2" t="inlineStr">
        <is>
          <t>20 GB de franquia 30 GB de bônus</t>
        </is>
      </c>
      <c r="N3970" s="2" t="inlineStr"/>
      <c r="O3970" s="2" t="inlineStr"/>
      <c r="P3970" s="2" t="inlineStr"/>
      <c r="Q3970" s="2" t="inlineStr"/>
      <c r="R3970" s="2" t="inlineStr"/>
      <c r="S3970" s="2" t="inlineStr"/>
      <c r="T3970" s="2" t="inlineStr">
        <is>
          <t>Assinatura Vale Saúde Sempre inclusa</t>
        </is>
      </c>
      <c r="U3970" s="2" t="inlineStr">
        <is>
          <t>https://vivo.com.br/para-voce/produtos-e-servicos/para-o-celular/planos-controle</t>
        </is>
      </c>
      <c r="V3970" s="2" t="inlineStr">
        <is>
          <t>data/raw/vivo_control_SP.html</t>
        </is>
      </c>
    </row>
    <row r="3971">
      <c r="A3971" s="5" t="inlineStr">
        <is>
          <t>2026-08-31</t>
        </is>
      </c>
      <c r="B3971" s="5" t="inlineStr">
        <is>
          <t>2026-08-31T21:21:16</t>
        </is>
      </c>
      <c r="C3971" s="5" t="inlineStr">
        <is>
          <t>vivo</t>
        </is>
      </c>
      <c r="D3971" s="5" t="inlineStr">
        <is>
          <t>control</t>
        </is>
      </c>
      <c r="E3971" s="5" t="inlineStr">
        <is>
          <t>SP</t>
        </is>
      </c>
      <c r="F3971" s="5" t="inlineStr">
        <is>
          <t>Vivo Controle Youtube Lite</t>
        </is>
      </c>
      <c r="G3971" s="5" t="inlineStr">
        <is>
          <t>vivo:VIV202600034626</t>
        </is>
      </c>
      <c r="H3971" s="6" t="n">
        <v>85</v>
      </c>
      <c r="I3971" s="6" t="inlineStr"/>
      <c r="J3971" s="5" t="inlineStr">
        <is>
          <t>preço-base do plano; a tela exibia R$ 90 com o adicional pré-selecionado (+R$ 5/mês, opcional); 60 GB na tela incluem +10 GB do adicional</t>
        </is>
      </c>
      <c r="K3971" s="5" t="inlineStr"/>
      <c r="L3971" s="7" t="n">
        <v>50</v>
      </c>
      <c r="M3971" s="5" t="inlineStr">
        <is>
          <t>20 GB de franquia 30 GB de bônus</t>
        </is>
      </c>
      <c r="N3971" s="5" t="inlineStr"/>
      <c r="O3971" s="5" t="inlineStr"/>
      <c r="P3971" s="5" t="inlineStr"/>
      <c r="Q3971" s="5" t="inlineStr"/>
      <c r="R3971" s="5" t="inlineStr"/>
      <c r="S3971" s="5" t="inlineStr"/>
      <c r="T3971" s="5" t="inlineStr">
        <is>
          <t>Assinatura Youtube Premium Lite Inclusa</t>
        </is>
      </c>
      <c r="U3971" s="5" t="inlineStr">
        <is>
          <t>https://vivo.com.br/para-voce/produtos-e-servicos/para-o-celular/planos-controle</t>
        </is>
      </c>
      <c r="V3971" s="5" t="inlineStr">
        <is>
          <t>data/raw/vivo_control_SP.html</t>
        </is>
      </c>
    </row>
    <row r="3972">
      <c r="A3972" s="2" t="inlineStr">
        <is>
          <t>2026-08-31</t>
        </is>
      </c>
      <c r="B3972" s="2" t="inlineStr">
        <is>
          <t>2026-08-31T21:21:16</t>
        </is>
      </c>
      <c r="C3972" s="2" t="inlineStr">
        <is>
          <t>vivo</t>
        </is>
      </c>
      <c r="D3972" s="2" t="inlineStr">
        <is>
          <t>lite</t>
        </is>
      </c>
      <c r="E3972" s="2" t="inlineStr">
        <is>
          <t>SP</t>
        </is>
      </c>
      <c r="F3972" s="2" t="inlineStr">
        <is>
          <t>Vivo Lite</t>
        </is>
      </c>
      <c r="G3972" s="2" t="inlineStr">
        <is>
          <t>vivo:VIV202600033987</t>
        </is>
      </c>
      <c r="H3972" s="3" t="n">
        <v>45</v>
      </c>
      <c r="I3972" s="3" t="n">
        <v>30</v>
      </c>
      <c r="J3972" s="2" t="inlineStr">
        <is>
          <t>preço sem fidelidade; fidelidade 12m no promo</t>
        </is>
      </c>
      <c r="K3972" s="2" t="inlineStr"/>
      <c r="L3972" s="4" t="n">
        <v>30</v>
      </c>
      <c r="M3972" s="2" t="inlineStr">
        <is>
          <t>30 GB de franquia</t>
        </is>
      </c>
      <c r="N3972" s="2" t="inlineStr"/>
      <c r="O3972" s="2" t="inlineStr"/>
      <c r="P3972" s="2" t="inlineStr"/>
      <c r="Q3972" s="2" t="inlineStr"/>
      <c r="R3972" s="2" t="inlineStr"/>
      <c r="S3972" s="2" t="n">
        <v>12</v>
      </c>
      <c r="T3972" s="2" t="inlineStr"/>
      <c r="U3972" s="2" t="inlineStr">
        <is>
          <t>https://vivo.com.br/para-voce/produtos-e-servicos/para-o-celular/easy-lite</t>
        </is>
      </c>
      <c r="V3972" s="2" t="inlineStr">
        <is>
          <t>data/raw/vivo_lite_SP.html</t>
        </is>
      </c>
    </row>
    <row r="3973">
      <c r="A3973" s="5" t="inlineStr">
        <is>
          <t>2026-08-31</t>
        </is>
      </c>
      <c r="B3973" s="5" t="inlineStr">
        <is>
          <t>2026-08-31T21:21:16</t>
        </is>
      </c>
      <c r="C3973" s="5" t="inlineStr">
        <is>
          <t>vivo</t>
        </is>
      </c>
      <c r="D3973" s="5" t="inlineStr">
        <is>
          <t>lite</t>
        </is>
      </c>
      <c r="E3973" s="5" t="inlineStr">
        <is>
          <t>SP</t>
        </is>
      </c>
      <c r="F3973" s="5" t="inlineStr">
        <is>
          <t>Vivo Lite</t>
        </is>
      </c>
      <c r="G3973" s="5" t="inlineStr">
        <is>
          <t>vivo:VIV202600033989</t>
        </is>
      </c>
      <c r="H3973" s="6" t="n">
        <v>55</v>
      </c>
      <c r="I3973" s="6" t="n">
        <v>40</v>
      </c>
      <c r="J3973" s="5" t="inlineStr">
        <is>
          <t>preço sem fidelidade; fidelidade 12m no promo</t>
        </is>
      </c>
      <c r="K3973" s="5" t="inlineStr"/>
      <c r="L3973" s="7" t="n">
        <v>40</v>
      </c>
      <c r="M3973" s="5" t="inlineStr">
        <is>
          <t>40 GB de franquia</t>
        </is>
      </c>
      <c r="N3973" s="5" t="inlineStr"/>
      <c r="O3973" s="5" t="inlineStr"/>
      <c r="P3973" s="5" t="inlineStr"/>
      <c r="Q3973" s="5" t="inlineStr"/>
      <c r="R3973" s="5" t="inlineStr"/>
      <c r="S3973" s="5" t="n">
        <v>12</v>
      </c>
      <c r="T3973" s="5" t="inlineStr"/>
      <c r="U3973" s="5" t="inlineStr">
        <is>
          <t>https://vivo.com.br/para-voce/produtos-e-servicos/para-o-celular/easy-lite</t>
        </is>
      </c>
      <c r="V3973" s="5" t="inlineStr">
        <is>
          <t>data/raw/vivo_lite_SP.html</t>
        </is>
      </c>
    </row>
    <row r="3974">
      <c r="A3974" s="2" t="inlineStr">
        <is>
          <t>2026-08-31</t>
        </is>
      </c>
      <c r="B3974" s="2" t="inlineStr">
        <is>
          <t>2026-08-31T21:21:16</t>
        </is>
      </c>
      <c r="C3974" s="2" t="inlineStr">
        <is>
          <t>vivo</t>
        </is>
      </c>
      <c r="D3974" s="2" t="inlineStr">
        <is>
          <t>lite</t>
        </is>
      </c>
      <c r="E3974" s="2" t="inlineStr">
        <is>
          <t>SP</t>
        </is>
      </c>
      <c r="F3974" s="2" t="inlineStr">
        <is>
          <t>Vivo Lite</t>
        </is>
      </c>
      <c r="G3974" s="2" t="inlineStr">
        <is>
          <t>vivo:VIV202600033992</t>
        </is>
      </c>
      <c r="H3974" s="3" t="n">
        <v>35</v>
      </c>
      <c r="I3974" s="3" t="inlineStr"/>
      <c r="J3974" s="2" t="inlineStr"/>
      <c r="K3974" s="2" t="inlineStr"/>
      <c r="L3974" s="4" t="n">
        <v>20</v>
      </c>
      <c r="M3974" s="2" t="inlineStr">
        <is>
          <t>20 GB de franquia</t>
        </is>
      </c>
      <c r="N3974" s="2" t="inlineStr"/>
      <c r="O3974" s="2" t="inlineStr"/>
      <c r="P3974" s="2" t="inlineStr"/>
      <c r="Q3974" s="2" t="inlineStr"/>
      <c r="R3974" s="2" t="inlineStr"/>
      <c r="S3974" s="2" t="inlineStr"/>
      <c r="T3974" s="2" t="inlineStr"/>
      <c r="U3974" s="2" t="inlineStr">
        <is>
          <t>https://vivo.com.br/para-voce/produtos-e-servicos/para-o-celular/easy-lite</t>
        </is>
      </c>
      <c r="V3974" s="2" t="inlineStr">
        <is>
          <t>data/raw/vivo_lite_SP.html</t>
        </is>
      </c>
    </row>
    <row r="3975">
      <c r="A3975" s="5" t="inlineStr">
        <is>
          <t>2026-08-31</t>
        </is>
      </c>
      <c r="B3975" s="5" t="inlineStr">
        <is>
          <t>2026-08-31T21:21:16</t>
        </is>
      </c>
      <c r="C3975" s="5" t="inlineStr">
        <is>
          <t>vivo</t>
        </is>
      </c>
      <c r="D3975" s="5" t="inlineStr">
        <is>
          <t>postpaid</t>
        </is>
      </c>
      <c r="E3975" s="5" t="inlineStr">
        <is>
          <t>SP</t>
        </is>
      </c>
      <c r="F3975" s="5" t="inlineStr">
        <is>
          <t>Vivo Família 2</t>
        </is>
      </c>
      <c r="G3975" s="5" t="inlineStr">
        <is>
          <t>vivo:VIV202600034547</t>
        </is>
      </c>
      <c r="H3975" s="6" t="n">
        <v>270</v>
      </c>
      <c r="I3975" s="6" t="inlineStr"/>
      <c r="J3975" s="5" t="inlineStr"/>
      <c r="K3975" s="5" t="inlineStr"/>
      <c r="L3975" s="7" t="n">
        <v>120</v>
      </c>
      <c r="M3975" s="5" t="inlineStr">
        <is>
          <t>120 GB de franquia Você + 1 linha adicional Roaming Internacional com Vivo Travel Américas e Europa</t>
        </is>
      </c>
      <c r="N3975" s="5" t="inlineStr"/>
      <c r="O3975" s="5" t="inlineStr"/>
      <c r="P3975" s="5" t="inlineStr"/>
      <c r="Q3975" s="5" t="inlineStr"/>
      <c r="R3975" s="5" t="inlineStr"/>
      <c r="S3975" s="5" t="inlineStr"/>
      <c r="T3975" s="5" t="inlineStr">
        <is>
          <t>12 meses grátis de Gemini com AI Plus</t>
        </is>
      </c>
      <c r="U3975" s="5" t="inlineStr">
        <is>
          <t>https://vivo.com.br/para-voce/produtos-e-servicos/para-o-celular/planos-pos-pago</t>
        </is>
      </c>
      <c r="V3975" s="5" t="inlineStr">
        <is>
          <t>data/raw/vivo_postpaid_SP.html</t>
        </is>
      </c>
    </row>
    <row r="3976">
      <c r="A3976" s="2" t="inlineStr">
        <is>
          <t>2026-08-31</t>
        </is>
      </c>
      <c r="B3976" s="2" t="inlineStr">
        <is>
          <t>2026-08-31T21:21:16</t>
        </is>
      </c>
      <c r="C3976" s="2" t="inlineStr">
        <is>
          <t>vivo</t>
        </is>
      </c>
      <c r="D3976" s="2" t="inlineStr">
        <is>
          <t>postpaid</t>
        </is>
      </c>
      <c r="E3976" s="2" t="inlineStr">
        <is>
          <t>SP</t>
        </is>
      </c>
      <c r="F3976" s="2" t="inlineStr">
        <is>
          <t>Vivo Família 3</t>
        </is>
      </c>
      <c r="G3976" s="2" t="inlineStr">
        <is>
          <t>vivo:VIV202600034540</t>
        </is>
      </c>
      <c r="H3976" s="3" t="n">
        <v>340</v>
      </c>
      <c r="I3976" s="3" t="inlineStr"/>
      <c r="J3976" s="2" t="inlineStr"/>
      <c r="K3976" s="2" t="inlineStr"/>
      <c r="L3976" s="4" t="n">
        <v>180</v>
      </c>
      <c r="M3976" s="2" t="inlineStr">
        <is>
          <t>180 GB de franquia Você + 2 linhas adicionais Roaming Internacional com Vivo Travel Américas e Europa</t>
        </is>
      </c>
      <c r="N3976" s="2" t="inlineStr"/>
      <c r="O3976" s="2" t="inlineStr"/>
      <c r="P3976" s="2" t="inlineStr"/>
      <c r="Q3976" s="2" t="inlineStr"/>
      <c r="R3976" s="2" t="inlineStr"/>
      <c r="S3976" s="2" t="inlineStr"/>
      <c r="T3976" s="2" t="inlineStr">
        <is>
          <t>12 meses grátis de Gemini com AI Plus</t>
        </is>
      </c>
      <c r="U3976" s="2" t="inlineStr">
        <is>
          <t>https://vivo.com.br/para-voce/produtos-e-servicos/para-o-celular/planos-pos-pago</t>
        </is>
      </c>
      <c r="V3976" s="2" t="inlineStr">
        <is>
          <t>data/raw/vivo_postpaid_SP.html</t>
        </is>
      </c>
    </row>
    <row r="3977">
      <c r="A3977" s="5" t="inlineStr">
        <is>
          <t>2026-08-31</t>
        </is>
      </c>
      <c r="B3977" s="5" t="inlineStr">
        <is>
          <t>2026-08-31T21:21:16</t>
        </is>
      </c>
      <c r="C3977" s="5" t="inlineStr">
        <is>
          <t>vivo</t>
        </is>
      </c>
      <c r="D3977" s="5" t="inlineStr">
        <is>
          <t>postpaid</t>
        </is>
      </c>
      <c r="E3977" s="5" t="inlineStr">
        <is>
          <t>SP</t>
        </is>
      </c>
      <c r="F3977" s="5" t="inlineStr">
        <is>
          <t>Vivo Família 4</t>
        </is>
      </c>
      <c r="G3977" s="5" t="inlineStr">
        <is>
          <t>vivo:VIV202600034531</t>
        </is>
      </c>
      <c r="H3977" s="6" t="n">
        <v>430</v>
      </c>
      <c r="I3977" s="6" t="inlineStr"/>
      <c r="J3977" s="5" t="inlineStr"/>
      <c r="K3977" s="5" t="inlineStr"/>
      <c r="L3977" s="7" t="n">
        <v>240</v>
      </c>
      <c r="M3977" s="5" t="inlineStr">
        <is>
          <t>240 GB de franquia Você + 3 linhas adicionais Roaming Internacional com Vivo Travel Américas e Europa</t>
        </is>
      </c>
      <c r="N3977" s="5" t="inlineStr"/>
      <c r="O3977" s="5" t="inlineStr"/>
      <c r="P3977" s="5" t="inlineStr"/>
      <c r="Q3977" s="5" t="inlineStr"/>
      <c r="R3977" s="5" t="inlineStr"/>
      <c r="S3977" s="5" t="inlineStr"/>
      <c r="T3977" s="5" t="inlineStr">
        <is>
          <t>12 meses grátis de Gemini com AI Plus</t>
        </is>
      </c>
      <c r="U3977" s="5" t="inlineStr">
        <is>
          <t>https://vivo.com.br/para-voce/produtos-e-servicos/para-o-celular/planos-pos-pago</t>
        </is>
      </c>
      <c r="V3977" s="5" t="inlineStr">
        <is>
          <t>data/raw/vivo_postpaid_SP.html</t>
        </is>
      </c>
    </row>
    <row r="3978">
      <c r="A3978" s="2" t="inlineStr">
        <is>
          <t>2026-08-31</t>
        </is>
      </c>
      <c r="B3978" s="2" t="inlineStr">
        <is>
          <t>2026-08-31T21:21:16</t>
        </is>
      </c>
      <c r="C3978" s="2" t="inlineStr">
        <is>
          <t>vivo</t>
        </is>
      </c>
      <c r="D3978" s="2" t="inlineStr">
        <is>
          <t>postpaid</t>
        </is>
      </c>
      <c r="E3978" s="2" t="inlineStr">
        <is>
          <t>SP</t>
        </is>
      </c>
      <c r="F3978" s="2" t="inlineStr">
        <is>
          <t>Vivo Família 5</t>
        </is>
      </c>
      <c r="G3978" s="2" t="inlineStr">
        <is>
          <t>vivo:VIV202600034526</t>
        </is>
      </c>
      <c r="H3978" s="3" t="n">
        <v>530</v>
      </c>
      <c r="I3978" s="3" t="inlineStr"/>
      <c r="J3978" s="2" t="inlineStr"/>
      <c r="K3978" s="2" t="inlineStr"/>
      <c r="L3978" s="4" t="n">
        <v>300</v>
      </c>
      <c r="M3978" s="2" t="inlineStr">
        <is>
          <t>300 GB de franquia Você + 4 linhas adicionais Roaming Internacional com Vivo Travel Américas e Europa</t>
        </is>
      </c>
      <c r="N3978" s="2" t="inlineStr"/>
      <c r="O3978" s="2" t="inlineStr"/>
      <c r="P3978" s="2" t="inlineStr"/>
      <c r="Q3978" s="2" t="inlineStr"/>
      <c r="R3978" s="2" t="inlineStr"/>
      <c r="S3978" s="2" t="inlineStr"/>
      <c r="T3978" s="2" t="inlineStr">
        <is>
          <t>12 meses grátis de Gemini com AI Plus</t>
        </is>
      </c>
      <c r="U3978" s="2" t="inlineStr">
        <is>
          <t>https://vivo.com.br/para-voce/produtos-e-servicos/para-o-celular/planos-pos-pago</t>
        </is>
      </c>
      <c r="V3978" s="2" t="inlineStr">
        <is>
          <t>data/raw/vivo_postpaid_SP.html</t>
        </is>
      </c>
    </row>
    <row r="3979">
      <c r="A3979" s="5" t="inlineStr">
        <is>
          <t>2026-08-31</t>
        </is>
      </c>
      <c r="B3979" s="5" t="inlineStr">
        <is>
          <t>2026-08-31T21:21:16</t>
        </is>
      </c>
      <c r="C3979" s="5" t="inlineStr">
        <is>
          <t>vivo</t>
        </is>
      </c>
      <c r="D3979" s="5" t="inlineStr">
        <is>
          <t>postpaid</t>
        </is>
      </c>
      <c r="E3979" s="5" t="inlineStr">
        <is>
          <t>SP</t>
        </is>
      </c>
      <c r="F3979" s="5" t="inlineStr">
        <is>
          <t>Vivo Pós com Amazon</t>
        </is>
      </c>
      <c r="G3979" s="5" t="inlineStr">
        <is>
          <t>vivo:VIV202600034554</t>
        </is>
      </c>
      <c r="H3979" s="6" t="n">
        <v>150</v>
      </c>
      <c r="I3979" s="6" t="inlineStr"/>
      <c r="J3979" s="5" t="inlineStr"/>
      <c r="K3979" s="5" t="inlineStr"/>
      <c r="L3979" s="7" t="n">
        <v>60</v>
      </c>
      <c r="M3979" s="5" t="inlineStr">
        <is>
          <t>50 GB de franquia 10 GB de bônus</t>
        </is>
      </c>
      <c r="N3979" s="5" t="inlineStr"/>
      <c r="O3979" s="5" t="inlineStr"/>
      <c r="P3979" s="5" t="inlineStr"/>
      <c r="Q3979" s="5" t="inlineStr"/>
      <c r="R3979" s="5" t="inlineStr"/>
      <c r="S3979" s="5" t="inlineStr"/>
      <c r="T3979" s="5" t="inlineStr">
        <is>
          <t>Assinatura Amazon Prime inclusa</t>
        </is>
      </c>
      <c r="U3979" s="5" t="inlineStr">
        <is>
          <t>https://vivo.com.br/para-voce/produtos-e-servicos/para-o-celular/planos-pos-pago</t>
        </is>
      </c>
      <c r="V3979" s="5" t="inlineStr">
        <is>
          <t>data/raw/vivo_postpaid_SP.html</t>
        </is>
      </c>
    </row>
    <row r="3980">
      <c r="A3980" s="2" t="inlineStr">
        <is>
          <t>2026-08-31</t>
        </is>
      </c>
      <c r="B3980" s="2" t="inlineStr">
        <is>
          <t>2026-08-31T21:21:16</t>
        </is>
      </c>
      <c r="C3980" s="2" t="inlineStr">
        <is>
          <t>vivo</t>
        </is>
      </c>
      <c r="D3980" s="2" t="inlineStr">
        <is>
          <t>postpaid</t>
        </is>
      </c>
      <c r="E3980" s="2" t="inlineStr">
        <is>
          <t>SP</t>
        </is>
      </c>
      <c r="F3980" s="2" t="inlineStr">
        <is>
          <t>Vivo Pós com Disney+</t>
        </is>
      </c>
      <c r="G3980" s="2" t="inlineStr">
        <is>
          <t>vivo:VIV202600034532</t>
        </is>
      </c>
      <c r="H3980" s="3" t="n">
        <v>180</v>
      </c>
      <c r="I3980" s="3" t="inlineStr"/>
      <c r="J3980" s="2" t="inlineStr"/>
      <c r="K3980" s="2" t="inlineStr"/>
      <c r="L3980" s="4" t="n">
        <v>60</v>
      </c>
      <c r="M3980" s="2" t="inlineStr">
        <is>
          <t>50 GB de franquia 10 GB de bônus</t>
        </is>
      </c>
      <c r="N3980" s="2" t="inlineStr"/>
      <c r="O3980" s="2" t="inlineStr"/>
      <c r="P3980" s="2" t="inlineStr"/>
      <c r="Q3980" s="2" t="inlineStr"/>
      <c r="R3980" s="2" t="inlineStr">
        <is>
          <t>Disney+</t>
        </is>
      </c>
      <c r="S3980" s="2" t="inlineStr"/>
      <c r="T3980" s="2" t="inlineStr">
        <is>
          <t>Assinatura Disney+ Padrão inclusa</t>
        </is>
      </c>
      <c r="U3980" s="2" t="inlineStr">
        <is>
          <t>https://vivo.com.br/para-voce/produtos-e-servicos/para-o-celular/planos-pos-pago</t>
        </is>
      </c>
      <c r="V3980" s="2" t="inlineStr">
        <is>
          <t>data/raw/vivo_postpaid_SP.html</t>
        </is>
      </c>
    </row>
    <row r="3981">
      <c r="A3981" s="5" t="inlineStr">
        <is>
          <t>2026-08-31</t>
        </is>
      </c>
      <c r="B3981" s="5" t="inlineStr">
        <is>
          <t>2026-08-31T21:21:16</t>
        </is>
      </c>
      <c r="C3981" s="5" t="inlineStr">
        <is>
          <t>vivo</t>
        </is>
      </c>
      <c r="D3981" s="5" t="inlineStr">
        <is>
          <t>postpaid</t>
        </is>
      </c>
      <c r="E3981" s="5" t="inlineStr">
        <is>
          <t>SP</t>
        </is>
      </c>
      <c r="F3981" s="5" t="inlineStr">
        <is>
          <t>Vivo Pós com Globoplay</t>
        </is>
      </c>
      <c r="G3981" s="5" t="inlineStr">
        <is>
          <t>vivo:VIV202600034575</t>
        </is>
      </c>
      <c r="H3981" s="6" t="n">
        <v>165</v>
      </c>
      <c r="I3981" s="6" t="inlineStr"/>
      <c r="J3981" s="5" t="inlineStr"/>
      <c r="K3981" s="5" t="inlineStr"/>
      <c r="L3981" s="7" t="n">
        <v>60</v>
      </c>
      <c r="M3981" s="5" t="inlineStr">
        <is>
          <t>50 GB de franquia 10 GB de bônus</t>
        </is>
      </c>
      <c r="N3981" s="5" t="inlineStr"/>
      <c r="O3981" s="5" t="inlineStr"/>
      <c r="P3981" s="5" t="inlineStr"/>
      <c r="Q3981" s="5" t="inlineStr"/>
      <c r="R3981" s="5" t="inlineStr">
        <is>
          <t>Globoplay</t>
        </is>
      </c>
      <c r="S3981" s="5" t="inlineStr"/>
      <c r="T3981" s="5" t="inlineStr">
        <is>
          <t>Assinatura Globoplay inclusa</t>
        </is>
      </c>
      <c r="U3981" s="5" t="inlineStr">
        <is>
          <t>https://vivo.com.br/para-voce/produtos-e-servicos/para-o-celular/planos-pos-pago</t>
        </is>
      </c>
      <c r="V3981" s="5" t="inlineStr">
        <is>
          <t>data/raw/vivo_postpaid_SP.html</t>
        </is>
      </c>
    </row>
    <row r="3982">
      <c r="A3982" s="2" t="inlineStr">
        <is>
          <t>2026-08-31</t>
        </is>
      </c>
      <c r="B3982" s="2" t="inlineStr">
        <is>
          <t>2026-08-31T21:21:16</t>
        </is>
      </c>
      <c r="C3982" s="2" t="inlineStr">
        <is>
          <t>vivo</t>
        </is>
      </c>
      <c r="D3982" s="2" t="inlineStr">
        <is>
          <t>postpaid</t>
        </is>
      </c>
      <c r="E3982" s="2" t="inlineStr">
        <is>
          <t>SP</t>
        </is>
      </c>
      <c r="F3982" s="2" t="inlineStr">
        <is>
          <t>Vivo Pós com Netflix</t>
        </is>
      </c>
      <c r="G3982" s="2" t="inlineStr">
        <is>
          <t>vivo:VIV202600034562</t>
        </is>
      </c>
      <c r="H3982" s="3" t="n">
        <v>180</v>
      </c>
      <c r="I3982" s="3" t="inlineStr"/>
      <c r="J3982" s="2" t="inlineStr"/>
      <c r="K3982" s="2" t="inlineStr"/>
      <c r="L3982" s="4" t="n">
        <v>60</v>
      </c>
      <c r="M3982" s="2" t="inlineStr">
        <is>
          <t>50 GB de franquia 10 GB de bônus</t>
        </is>
      </c>
      <c r="N3982" s="2" t="inlineStr"/>
      <c r="O3982" s="2" t="inlineStr"/>
      <c r="P3982" s="2" t="inlineStr"/>
      <c r="Q3982" s="2" t="inlineStr"/>
      <c r="R3982" s="2" t="inlineStr">
        <is>
          <t>Netflix</t>
        </is>
      </c>
      <c r="S3982" s="2" t="inlineStr"/>
      <c r="T3982" s="2" t="inlineStr">
        <is>
          <t>Assinatura Netflix Padrão inclusa</t>
        </is>
      </c>
      <c r="U3982" s="2" t="inlineStr">
        <is>
          <t>https://vivo.com.br/para-voce/produtos-e-servicos/para-o-celular/planos-pos-pago</t>
        </is>
      </c>
      <c r="V3982" s="2" t="inlineStr">
        <is>
          <t>data/raw/vivo_postpaid_SP.html</t>
        </is>
      </c>
    </row>
    <row r="3983">
      <c r="A3983" s="5" t="inlineStr">
        <is>
          <t>2026-08-31</t>
        </is>
      </c>
      <c r="B3983" s="5" t="inlineStr">
        <is>
          <t>2026-08-31T21:21:16</t>
        </is>
      </c>
      <c r="C3983" s="5" t="inlineStr">
        <is>
          <t>vivo</t>
        </is>
      </c>
      <c r="D3983" s="5" t="inlineStr">
        <is>
          <t>postpaid</t>
        </is>
      </c>
      <c r="E3983" s="5" t="inlineStr">
        <is>
          <t>SP</t>
        </is>
      </c>
      <c r="F3983" s="5" t="inlineStr">
        <is>
          <t>Vivo Pós com Premiere</t>
        </is>
      </c>
      <c r="G3983" s="5" t="inlineStr">
        <is>
          <t>vivo:VIV202600034579</t>
        </is>
      </c>
      <c r="H3983" s="6" t="n">
        <v>180</v>
      </c>
      <c r="I3983" s="6" t="inlineStr"/>
      <c r="J3983" s="5" t="inlineStr"/>
      <c r="K3983" s="5" t="inlineStr"/>
      <c r="L3983" s="7" t="n">
        <v>60</v>
      </c>
      <c r="M3983" s="5" t="inlineStr">
        <is>
          <t>50 GB de franquia 10 GB de bônus</t>
        </is>
      </c>
      <c r="N3983" s="5" t="inlineStr"/>
      <c r="O3983" s="5" t="inlineStr"/>
      <c r="P3983" s="5" t="inlineStr"/>
      <c r="Q3983" s="5" t="inlineStr"/>
      <c r="R3983" s="5" t="inlineStr">
        <is>
          <t>Premiere</t>
        </is>
      </c>
      <c r="S3983" s="5" t="inlineStr"/>
      <c r="T3983" s="5" t="inlineStr">
        <is>
          <t>Assinatura Premiere inclusa</t>
        </is>
      </c>
      <c r="U3983" s="5" t="inlineStr">
        <is>
          <t>https://vivo.com.br/para-voce/produtos-e-servicos/para-o-celular/planos-pos-pago</t>
        </is>
      </c>
      <c r="V3983" s="5" t="inlineStr">
        <is>
          <t>data/raw/vivo_postpaid_SP.html</t>
        </is>
      </c>
    </row>
    <row r="3984">
      <c r="A3984" s="2" t="inlineStr">
        <is>
          <t>2026-08-31</t>
        </is>
      </c>
      <c r="B3984" s="2" t="inlineStr">
        <is>
          <t>2026-08-31T21:21:16</t>
        </is>
      </c>
      <c r="C3984" s="2" t="inlineStr">
        <is>
          <t>vivo</t>
        </is>
      </c>
      <c r="D3984" s="2" t="inlineStr">
        <is>
          <t>postpaid</t>
        </is>
      </c>
      <c r="E3984" s="2" t="inlineStr">
        <is>
          <t>SP</t>
        </is>
      </c>
      <c r="F3984" s="2" t="inlineStr">
        <is>
          <t>Vivo Pós com Spotify</t>
        </is>
      </c>
      <c r="G3984" s="2" t="inlineStr">
        <is>
          <t>vivo:VIV202600034556</t>
        </is>
      </c>
      <c r="H3984" s="3" t="n">
        <v>165</v>
      </c>
      <c r="I3984" s="3" t="inlineStr"/>
      <c r="J3984" s="2" t="inlineStr"/>
      <c r="K3984" s="2" t="inlineStr"/>
      <c r="L3984" s="4" t="n">
        <v>60</v>
      </c>
      <c r="M3984" s="2" t="inlineStr">
        <is>
          <t>50 GB de franquia 10 GB de bônus</t>
        </is>
      </c>
      <c r="N3984" s="2" t="inlineStr"/>
      <c r="O3984" s="2" t="inlineStr"/>
      <c r="P3984" s="2" t="inlineStr"/>
      <c r="Q3984" s="2" t="inlineStr"/>
      <c r="R3984" s="2" t="inlineStr">
        <is>
          <t>Spotify</t>
        </is>
      </c>
      <c r="S3984" s="2" t="inlineStr"/>
      <c r="T3984" s="2" t="inlineStr">
        <is>
          <t>Assinatura Spotify Premium inclusa</t>
        </is>
      </c>
      <c r="U3984" s="2" t="inlineStr">
        <is>
          <t>https://vivo.com.br/para-voce/produtos-e-servicos/para-o-celular/planos-pos-pago</t>
        </is>
      </c>
      <c r="V3984" s="2" t="inlineStr">
        <is>
          <t>data/raw/vivo_postpaid_SP.html</t>
        </is>
      </c>
    </row>
    <row r="3985">
      <c r="A3985" s="5" t="inlineStr">
        <is>
          <t>2026-08-31</t>
        </is>
      </c>
      <c r="B3985" s="5" t="inlineStr">
        <is>
          <t>2026-08-31T21:21:16</t>
        </is>
      </c>
      <c r="C3985" s="5" t="inlineStr">
        <is>
          <t>vivo</t>
        </is>
      </c>
      <c r="D3985" s="5" t="inlineStr">
        <is>
          <t>postpaid</t>
        </is>
      </c>
      <c r="E3985" s="5" t="inlineStr">
        <is>
          <t>SP</t>
        </is>
      </c>
      <c r="F3985" s="5" t="inlineStr">
        <is>
          <t>Vivo Pós com Travel</t>
        </is>
      </c>
      <c r="G3985" s="5" t="inlineStr">
        <is>
          <t>vivo:VIV202600034573</t>
        </is>
      </c>
      <c r="H3985" s="6" t="n">
        <v>215</v>
      </c>
      <c r="I3985" s="6" t="inlineStr"/>
      <c r="J3985" s="5" t="inlineStr"/>
      <c r="K3985" s="5" t="inlineStr"/>
      <c r="L3985" s="7" t="n">
        <v>70</v>
      </c>
      <c r="M3985" s="5" t="inlineStr">
        <is>
          <t>60 GB de franquia 10 GB de bônus</t>
        </is>
      </c>
      <c r="N3985" s="5" t="inlineStr"/>
      <c r="O3985" s="5" t="inlineStr"/>
      <c r="P3985" s="5" t="inlineStr"/>
      <c r="Q3985" s="5" t="inlineStr"/>
      <c r="R3985" s="5" t="inlineStr"/>
      <c r="S3985" s="5" t="inlineStr"/>
      <c r="T3985" s="5" t="inlineStr">
        <is>
          <t>6 meses grátis de Gemini com AI Plus</t>
        </is>
      </c>
      <c r="U3985" s="5" t="inlineStr">
        <is>
          <t>https://vivo.com.br/para-voce/produtos-e-servicos/para-o-celular/planos-pos-pago</t>
        </is>
      </c>
      <c r="V3985" s="5" t="inlineStr">
        <is>
          <t>data/raw/vivo_postpaid_SP.html</t>
        </is>
      </c>
    </row>
    <row r="3986">
      <c r="A3986" s="2" t="inlineStr">
        <is>
          <t>2026-08-31</t>
        </is>
      </c>
      <c r="B3986" s="2" t="inlineStr">
        <is>
          <t>2026-08-31T21:21:16</t>
        </is>
      </c>
      <c r="C3986" s="2" t="inlineStr">
        <is>
          <t>vivo</t>
        </is>
      </c>
      <c r="D3986" s="2" t="inlineStr">
        <is>
          <t>prepaid</t>
        </is>
      </c>
      <c r="E3986" s="2" t="inlineStr">
        <is>
          <t>SP</t>
        </is>
      </c>
      <c r="F3986" s="2" t="inlineStr">
        <is>
          <t>Vivo Pré</t>
        </is>
      </c>
      <c r="G3986" s="2" t="inlineStr">
        <is>
          <t>vivo:VIV202600029370-30d</t>
        </is>
      </c>
      <c r="H3986" s="3" t="n">
        <v>30</v>
      </c>
      <c r="I3986" s="3" t="inlineStr"/>
      <c r="J3986" s="2" t="inlineStr"/>
      <c r="K3986" s="2" t="inlineStr"/>
      <c r="L3986" s="4" t="n">
        <v>25</v>
      </c>
      <c r="M3986" s="2" t="inlineStr">
        <is>
          <t>15 GB para navegar como quiser 5 GB de bônus 5 GB para navegar no Youtube</t>
        </is>
      </c>
      <c r="N3986" s="2" t="n">
        <v>30</v>
      </c>
      <c r="O3986" s="2" t="inlineStr"/>
      <c r="P3986" s="2" t="inlineStr"/>
      <c r="Q3986" s="2" t="inlineStr"/>
      <c r="R3986" s="2" t="inlineStr"/>
      <c r="S3986" s="2" t="inlineStr"/>
      <c r="T3986" s="2" t="inlineStr"/>
      <c r="U3986" s="2" t="inlineStr">
        <is>
          <t>https://vivo.com.br/para-voce/produtos-e-servicos/para-o-celular/pre-pago/vivo-pre</t>
        </is>
      </c>
      <c r="V3986" s="2" t="inlineStr">
        <is>
          <t>data/raw/vivo_prepaid_SP.html</t>
        </is>
      </c>
    </row>
    <row r="3987">
      <c r="A3987" s="5" t="inlineStr">
        <is>
          <t>2026-08-31</t>
        </is>
      </c>
      <c r="B3987" s="5" t="inlineStr">
        <is>
          <t>2026-08-31T21:21:16</t>
        </is>
      </c>
      <c r="C3987" s="5" t="inlineStr">
        <is>
          <t>vivo</t>
        </is>
      </c>
      <c r="D3987" s="5" t="inlineStr">
        <is>
          <t>prepaid</t>
        </is>
      </c>
      <c r="E3987" s="5" t="inlineStr">
        <is>
          <t>SP</t>
        </is>
      </c>
      <c r="F3987" s="5" t="inlineStr">
        <is>
          <t>Vivo Pré</t>
        </is>
      </c>
      <c r="G3987" s="5" t="inlineStr">
        <is>
          <t>vivo:VIV202600029370-22d</t>
        </is>
      </c>
      <c r="H3987" s="6" t="n">
        <v>25</v>
      </c>
      <c r="I3987" s="6" t="inlineStr"/>
      <c r="J3987" s="5" t="inlineStr"/>
      <c r="K3987" s="5" t="inlineStr"/>
      <c r="L3987" s="7" t="n">
        <v>9</v>
      </c>
      <c r="M3987" s="5" t="inlineStr">
        <is>
          <t>6 GB para navegar como quiser 3 GB para navegar no YouTube</t>
        </is>
      </c>
      <c r="N3987" s="5" t="n">
        <v>22</v>
      </c>
      <c r="O3987" s="5" t="inlineStr"/>
      <c r="P3987" s="5" t="inlineStr"/>
      <c r="Q3987" s="5" t="inlineStr"/>
      <c r="R3987" s="5" t="inlineStr"/>
      <c r="S3987" s="5" t="inlineStr"/>
      <c r="T3987" s="5" t="inlineStr"/>
      <c r="U3987" s="5" t="inlineStr">
        <is>
          <t>https://vivo.com.br/para-voce/produtos-e-servicos/para-o-celular/pre-pago/vivo-pre</t>
        </is>
      </c>
      <c r="V3987" s="5" t="inlineStr">
        <is>
          <t>data/raw/vivo_prepaid_SP.html</t>
        </is>
      </c>
    </row>
    <row r="3988">
      <c r="A3988" s="2" t="inlineStr">
        <is>
          <t>2026-08-31</t>
        </is>
      </c>
      <c r="B3988" s="2" t="inlineStr">
        <is>
          <t>2026-08-31T21:21:16</t>
        </is>
      </c>
      <c r="C3988" s="2" t="inlineStr">
        <is>
          <t>vivo</t>
        </is>
      </c>
      <c r="D3988" s="2" t="inlineStr">
        <is>
          <t>prepaid</t>
        </is>
      </c>
      <c r="E3988" s="2" t="inlineStr">
        <is>
          <t>SP</t>
        </is>
      </c>
      <c r="F3988" s="2" t="inlineStr">
        <is>
          <t>Vivo Pré</t>
        </is>
      </c>
      <c r="G3988" s="2" t="inlineStr">
        <is>
          <t>vivo:VIV202600029370-17d</t>
        </is>
      </c>
      <c r="H3988" s="3" t="n">
        <v>20</v>
      </c>
      <c r="I3988" s="3" t="inlineStr"/>
      <c r="J3988" s="2" t="inlineStr"/>
      <c r="K3988" s="2" t="inlineStr"/>
      <c r="L3988" s="4" t="n">
        <v>5</v>
      </c>
      <c r="M3988" s="2" t="inlineStr">
        <is>
          <t>5 GB para navegar como quiser</t>
        </is>
      </c>
      <c r="N3988" s="2" t="n">
        <v>17</v>
      </c>
      <c r="O3988" s="2" t="inlineStr"/>
      <c r="P3988" s="2" t="inlineStr"/>
      <c r="Q3988" s="2" t="inlineStr"/>
      <c r="R3988" s="2" t="inlineStr"/>
      <c r="S3988" s="2" t="inlineStr"/>
      <c r="T3988" s="2" t="inlineStr"/>
      <c r="U3988" s="2" t="inlineStr">
        <is>
          <t>https://vivo.com.br/para-voce/produtos-e-servicos/para-o-celular/pre-pago/vivo-pre</t>
        </is>
      </c>
      <c r="V3988" s="2" t="inlineStr">
        <is>
          <t>data/raw/vivo_prepaid_SP.html</t>
        </is>
      </c>
    </row>
    <row r="3989">
      <c r="A3989" s="5" t="inlineStr">
        <is>
          <t>2026-08-31</t>
        </is>
      </c>
      <c r="B3989" s="5" t="inlineStr">
        <is>
          <t>2026-08-31T21:21:16</t>
        </is>
      </c>
      <c r="C3989" s="5" t="inlineStr">
        <is>
          <t>vivo</t>
        </is>
      </c>
      <c r="D3989" s="5" t="inlineStr">
        <is>
          <t>prepaid</t>
        </is>
      </c>
      <c r="E3989" s="5" t="inlineStr">
        <is>
          <t>SP</t>
        </is>
      </c>
      <c r="F3989" s="5" t="inlineStr">
        <is>
          <t>Vivo Pré</t>
        </is>
      </c>
      <c r="G3989" s="5" t="inlineStr">
        <is>
          <t>vivo:VIV202600029370-15d</t>
        </is>
      </c>
      <c r="H3989" s="6" t="n">
        <v>17</v>
      </c>
      <c r="I3989" s="6" t="inlineStr"/>
      <c r="J3989" s="5" t="inlineStr"/>
      <c r="K3989" s="5" t="inlineStr"/>
      <c r="L3989" s="7" t="n">
        <v>4</v>
      </c>
      <c r="M3989" s="5" t="inlineStr">
        <is>
          <t>4 GB para navegar como quiser</t>
        </is>
      </c>
      <c r="N3989" s="5" t="n">
        <v>15</v>
      </c>
      <c r="O3989" s="5" t="inlineStr"/>
      <c r="P3989" s="5" t="inlineStr"/>
      <c r="Q3989" s="5" t="inlineStr"/>
      <c r="R3989" s="5" t="inlineStr"/>
      <c r="S3989" s="5" t="inlineStr"/>
      <c r="T3989" s="5" t="inlineStr"/>
      <c r="U3989" s="5" t="inlineStr">
        <is>
          <t>https://vivo.com.br/para-voce/produtos-e-servicos/para-o-celular/pre-pago/vivo-pre</t>
        </is>
      </c>
      <c r="V3989" s="5" t="inlineStr">
        <is>
          <t>data/raw/vivo_prepaid_SP.html</t>
        </is>
      </c>
    </row>
    <row r="3990">
      <c r="A3990" s="2" t="inlineStr">
        <is>
          <t>2026-09-01</t>
        </is>
      </c>
      <c r="B3990" s="2" t="inlineStr">
        <is>
          <t>2026-09-01T19:58:06</t>
        </is>
      </c>
      <c r="C3990" s="2" t="inlineStr">
        <is>
          <t>claro</t>
        </is>
      </c>
      <c r="D3990" s="2" t="inlineStr">
        <is>
          <t>control</t>
        </is>
      </c>
      <c r="E3990" s="2" t="inlineStr">
        <is>
          <t>SP</t>
        </is>
      </c>
      <c r="F3990" s="2" t="inlineStr">
        <is>
          <t>Controle 25GB</t>
        </is>
      </c>
      <c r="G3990" s="2" t="inlineStr">
        <is>
          <t>claro:plano-controle-25gb</t>
        </is>
      </c>
      <c r="H3990" s="3" t="n">
        <v>59.9</v>
      </c>
      <c r="I3990" s="3" t="n">
        <v>54.9</v>
      </c>
      <c r="J3990" s="2" t="inlineStr">
        <is>
          <t>De R$ 59,90 Por:</t>
        </is>
      </c>
      <c r="K3990" s="2" t="inlineStr"/>
      <c r="L3990" s="4" t="n">
        <v>25</v>
      </c>
      <c r="M3990" s="2" t="inlineStr"/>
      <c r="N3990" s="2" t="inlineStr"/>
      <c r="O3990" s="2" t="inlineStr">
        <is>
          <t>WhatsApp</t>
        </is>
      </c>
      <c r="P3990" s="2" t="inlineStr"/>
      <c r="Q3990" s="2" t="inlineStr"/>
      <c r="R3990" s="2" t="inlineStr"/>
      <c r="S3990" s="2" t="inlineStr"/>
      <c r="T3990" s="2" t="inlineStr">
        <is>
          <t>Para uso livre; Para redes sociais e vídeos; Bônus exclusivo; Aproveite na sua franquia; WhatsApp e ligações ilimitadas</t>
        </is>
      </c>
      <c r="U3990" s="2" t="inlineStr">
        <is>
          <t>https://www.claro.com.br/celular/controle</t>
        </is>
      </c>
      <c r="V3990" s="2" t="inlineStr">
        <is>
          <t>data/raw/claro_control_SP.json</t>
        </is>
      </c>
    </row>
    <row r="3991">
      <c r="A3991" s="5" t="inlineStr">
        <is>
          <t>2026-09-01</t>
        </is>
      </c>
      <c r="B3991" s="5" t="inlineStr">
        <is>
          <t>2026-09-01T19:58:06</t>
        </is>
      </c>
      <c r="C3991" s="5" t="inlineStr">
        <is>
          <t>claro</t>
        </is>
      </c>
      <c r="D3991" s="5" t="inlineStr">
        <is>
          <t>control</t>
        </is>
      </c>
      <c r="E3991" s="5" t="inlineStr">
        <is>
          <t>SP</t>
        </is>
      </c>
      <c r="F3991" s="5" t="inlineStr">
        <is>
          <t>Controle 30GB</t>
        </is>
      </c>
      <c r="G3991" s="5" t="inlineStr">
        <is>
          <t>claro:plano-controle-30gb</t>
        </is>
      </c>
      <c r="H3991" s="6" t="n">
        <v>69.90000000000001</v>
      </c>
      <c r="I3991" s="6" t="inlineStr"/>
      <c r="J3991" s="5" t="inlineStr"/>
      <c r="K3991" s="5" t="inlineStr"/>
      <c r="L3991" s="7" t="n">
        <v>30</v>
      </c>
      <c r="M3991" s="5" t="inlineStr"/>
      <c r="N3991" s="5" t="inlineStr"/>
      <c r="O3991" s="5" t="inlineStr">
        <is>
          <t>WhatsApp</t>
        </is>
      </c>
      <c r="P3991" s="5" t="inlineStr"/>
      <c r="Q3991" s="5" t="inlineStr"/>
      <c r="R3991" s="5" t="inlineStr"/>
      <c r="S3991" s="5" t="inlineStr"/>
      <c r="T3991" s="5" t="inlineStr">
        <is>
          <t>Para uso livre; Bônus para uso livre; Bônus para redes sociais e apps; Assinatura Amazon Prime por 3 meses; Redes sociais e apps; WhatsApp ilimitado</t>
        </is>
      </c>
      <c r="U3991" s="5" t="inlineStr">
        <is>
          <t>https://www.claro.com.br/celular/controle</t>
        </is>
      </c>
      <c r="V3991" s="5" t="inlineStr">
        <is>
          <t>data/raw/claro_control_SP.json</t>
        </is>
      </c>
    </row>
    <row r="3992">
      <c r="A3992" s="2" t="inlineStr">
        <is>
          <t>2026-09-01</t>
        </is>
      </c>
      <c r="B3992" s="2" t="inlineStr">
        <is>
          <t>2026-09-01T19:58:06</t>
        </is>
      </c>
      <c r="C3992" s="2" t="inlineStr">
        <is>
          <t>claro</t>
        </is>
      </c>
      <c r="D3992" s="2" t="inlineStr">
        <is>
          <t>control</t>
        </is>
      </c>
      <c r="E3992" s="2" t="inlineStr">
        <is>
          <t>SP</t>
        </is>
      </c>
      <c r="F3992" s="2" t="inlineStr">
        <is>
          <t>Controle 30GB</t>
        </is>
      </c>
      <c r="G3992" s="2" t="inlineStr">
        <is>
          <t>claro:plano-controle-30gb-gaming</t>
        </is>
      </c>
      <c r="H3992" s="3" t="n">
        <v>99.90000000000001</v>
      </c>
      <c r="I3992" s="3" t="inlineStr"/>
      <c r="J3992" s="2" t="inlineStr"/>
      <c r="K3992" s="2" t="inlineStr"/>
      <c r="L3992" s="4" t="n">
        <v>30</v>
      </c>
      <c r="M3992" s="2" t="inlineStr"/>
      <c r="N3992" s="2" t="inlineStr"/>
      <c r="O3992" s="2" t="inlineStr">
        <is>
          <t>WhatsApp</t>
        </is>
      </c>
      <c r="P3992" s="2" t="inlineStr"/>
      <c r="Q3992" s="2" t="inlineStr"/>
      <c r="R3992" s="2" t="inlineStr"/>
      <c r="S3992" s="2" t="inlineStr"/>
      <c r="T3992" s="2" t="inlineStr">
        <is>
          <t>Para uso livre; Bônus para redes sociais e apps; Bônus uso livre; Assinatura Amazon Prime por 3 meses; Redes sociais e apps; WhatsApp ilimitado</t>
        </is>
      </c>
      <c r="U3992" s="2" t="inlineStr">
        <is>
          <t>https://www.claro.com.br/celular/controle</t>
        </is>
      </c>
      <c r="V3992" s="2" t="inlineStr">
        <is>
          <t>data/raw/claro_control_SP.json</t>
        </is>
      </c>
    </row>
    <row r="3993">
      <c r="A3993" s="5" t="inlineStr">
        <is>
          <t>2026-09-01</t>
        </is>
      </c>
      <c r="B3993" s="5" t="inlineStr">
        <is>
          <t>2026-09-01T19:58:06</t>
        </is>
      </c>
      <c r="C3993" s="5" t="inlineStr">
        <is>
          <t>claro</t>
        </is>
      </c>
      <c r="D3993" s="5" t="inlineStr">
        <is>
          <t>flex</t>
        </is>
      </c>
      <c r="E3993" s="5" t="inlineStr">
        <is>
          <t>SP</t>
        </is>
      </c>
      <c r="F3993" s="5" t="inlineStr">
        <is>
          <t>Flex 15GB</t>
        </is>
      </c>
      <c r="G3993" s="5" t="inlineStr">
        <is>
          <t>claro:plano-flex-15gb</t>
        </is>
      </c>
      <c r="H3993" s="6" t="n">
        <v>44.9</v>
      </c>
      <c r="I3993" s="6" t="inlineStr"/>
      <c r="J3993" s="5" t="inlineStr"/>
      <c r="K3993" s="5" t="inlineStr"/>
      <c r="L3993" s="7" t="n">
        <v>15</v>
      </c>
      <c r="M3993" s="5" t="inlineStr"/>
      <c r="N3993" s="5" t="inlineStr"/>
      <c r="O3993" s="5" t="inlineStr">
        <is>
          <t>WhatsApp</t>
        </is>
      </c>
      <c r="P3993" s="5" t="inlineStr"/>
      <c r="Q3993" s="5" t="inlineStr"/>
      <c r="R3993" s="5" t="inlineStr"/>
      <c r="S3993" s="5" t="inlineStr"/>
      <c r="T3993" s="5" t="inlineStr">
        <is>
          <t>Para uso livre; Para redes sociais e apps; Bônus extra nos apps; WhatsApp ilimitado</t>
        </is>
      </c>
      <c r="U3993" s="5" t="inlineStr">
        <is>
          <t>https://www.claro.com.br/celular/flex</t>
        </is>
      </c>
      <c r="V3993" s="5" t="inlineStr">
        <is>
          <t>data/raw/claro_flex_SP.json</t>
        </is>
      </c>
    </row>
    <row r="3994">
      <c r="A3994" s="2" t="inlineStr">
        <is>
          <t>2026-09-01</t>
        </is>
      </c>
      <c r="B3994" s="2" t="inlineStr">
        <is>
          <t>2026-09-01T19:58:06</t>
        </is>
      </c>
      <c r="C3994" s="2" t="inlineStr">
        <is>
          <t>claro</t>
        </is>
      </c>
      <c r="D3994" s="2" t="inlineStr">
        <is>
          <t>flex</t>
        </is>
      </c>
      <c r="E3994" s="2" t="inlineStr">
        <is>
          <t>SP</t>
        </is>
      </c>
      <c r="F3994" s="2" t="inlineStr">
        <is>
          <t>Flex 20GB</t>
        </is>
      </c>
      <c r="G3994" s="2" t="inlineStr">
        <is>
          <t>claro:plano-flex-20gb</t>
        </is>
      </c>
      <c r="H3994" s="3" t="n">
        <v>59.9</v>
      </c>
      <c r="I3994" s="3" t="inlineStr"/>
      <c r="J3994" s="2" t="inlineStr"/>
      <c r="K3994" s="2" t="inlineStr"/>
      <c r="L3994" s="4" t="n">
        <v>20</v>
      </c>
      <c r="M3994" s="2" t="inlineStr"/>
      <c r="N3994" s="2" t="inlineStr"/>
      <c r="O3994" s="2" t="inlineStr">
        <is>
          <t>WhatsApp</t>
        </is>
      </c>
      <c r="P3994" s="2" t="inlineStr"/>
      <c r="Q3994" s="2" t="inlineStr"/>
      <c r="R3994" s="2" t="inlineStr"/>
      <c r="S3994" s="2" t="inlineStr"/>
      <c r="T3994" s="2" t="inlineStr">
        <is>
          <t>Para uso livre; Para redes sociais e apps; Bônus extra nos apps; WhatsApp ilimitado</t>
        </is>
      </c>
      <c r="U3994" s="2" t="inlineStr">
        <is>
          <t>https://www.claro.com.br/celular/flex</t>
        </is>
      </c>
      <c r="V3994" s="2" t="inlineStr">
        <is>
          <t>data/raw/claro_flex_SP.json</t>
        </is>
      </c>
    </row>
    <row r="3995">
      <c r="A3995" s="5" t="inlineStr">
        <is>
          <t>2026-09-01</t>
        </is>
      </c>
      <c r="B3995" s="5" t="inlineStr">
        <is>
          <t>2026-09-01T19:58:06</t>
        </is>
      </c>
      <c r="C3995" s="5" t="inlineStr">
        <is>
          <t>claro</t>
        </is>
      </c>
      <c r="D3995" s="5" t="inlineStr">
        <is>
          <t>flex</t>
        </is>
      </c>
      <c r="E3995" s="5" t="inlineStr">
        <is>
          <t>SP</t>
        </is>
      </c>
      <c r="F3995" s="5" t="inlineStr">
        <is>
          <t>Flex 30GB</t>
        </is>
      </c>
      <c r="G3995" s="5" t="inlineStr">
        <is>
          <t>claro:plano-flex-30gb</t>
        </is>
      </c>
      <c r="H3995" s="6" t="n">
        <v>69.90000000000001</v>
      </c>
      <c r="I3995" s="6" t="inlineStr"/>
      <c r="J3995" s="5" t="inlineStr"/>
      <c r="K3995" s="5" t="inlineStr"/>
      <c r="L3995" s="7" t="n">
        <v>30</v>
      </c>
      <c r="M3995" s="5" t="inlineStr"/>
      <c r="N3995" s="5" t="inlineStr"/>
      <c r="O3995" s="5" t="inlineStr">
        <is>
          <t>WhatsApp</t>
        </is>
      </c>
      <c r="P3995" s="5" t="inlineStr"/>
      <c r="Q3995" s="5" t="inlineStr"/>
      <c r="R3995" s="5" t="inlineStr"/>
      <c r="S3995" s="5" t="inlineStr"/>
      <c r="T3995" s="5" t="inlineStr">
        <is>
          <t>Para uso livre; Para redes sociais e apps; Bônus extra nos apps; WhatsApp ilimitado; Assinatura Claro musica inclusa</t>
        </is>
      </c>
      <c r="U3995" s="5" t="inlineStr">
        <is>
          <t>https://www.claro.com.br/celular/flex</t>
        </is>
      </c>
      <c r="V3995" s="5" t="inlineStr">
        <is>
          <t>data/raw/claro_flex_SP.json</t>
        </is>
      </c>
    </row>
    <row r="3996">
      <c r="A3996" s="2" t="inlineStr">
        <is>
          <t>2026-09-01</t>
        </is>
      </c>
      <c r="B3996" s="2" t="inlineStr">
        <is>
          <t>2026-09-01T19:58:06</t>
        </is>
      </c>
      <c r="C3996" s="2" t="inlineStr">
        <is>
          <t>claro</t>
        </is>
      </c>
      <c r="D3996" s="2" t="inlineStr">
        <is>
          <t>flex</t>
        </is>
      </c>
      <c r="E3996" s="2" t="inlineStr">
        <is>
          <t>SP</t>
        </is>
      </c>
      <c r="F3996" s="2" t="inlineStr">
        <is>
          <t>Flex 40GB</t>
        </is>
      </c>
      <c r="G3996" s="2" t="inlineStr">
        <is>
          <t>claro:plano-flex-40gb</t>
        </is>
      </c>
      <c r="H3996" s="3" t="n">
        <v>119.9</v>
      </c>
      <c r="I3996" s="3" t="inlineStr"/>
      <c r="J3996" s="2" t="inlineStr"/>
      <c r="K3996" s="2" t="inlineStr"/>
      <c r="L3996" s="4" t="n">
        <v>40</v>
      </c>
      <c r="M3996" s="2" t="inlineStr"/>
      <c r="N3996" s="2" t="inlineStr"/>
      <c r="O3996" s="2" t="inlineStr">
        <is>
          <t>WhatsApp</t>
        </is>
      </c>
      <c r="P3996" s="2" t="inlineStr"/>
      <c r="Q3996" s="2" t="inlineStr"/>
      <c r="R3996" s="2" t="inlineStr"/>
      <c r="S3996" s="2" t="inlineStr"/>
      <c r="T3996" s="2" t="inlineStr">
        <is>
          <t>Para uso livre; WhatsApp ilimitado; Assinatura Claro musica inclusa; Roaming: Passaporte Américas</t>
        </is>
      </c>
      <c r="U3996" s="2" t="inlineStr">
        <is>
          <t>https://www.claro.com.br/celular/flex</t>
        </is>
      </c>
      <c r="V3996" s="2" t="inlineStr">
        <is>
          <t>data/raw/claro_flex_SP.json</t>
        </is>
      </c>
    </row>
    <row r="3997">
      <c r="A3997" s="5" t="inlineStr">
        <is>
          <t>2026-09-01</t>
        </is>
      </c>
      <c r="B3997" s="5" t="inlineStr">
        <is>
          <t>2026-09-01T19:58:06</t>
        </is>
      </c>
      <c r="C3997" s="5" t="inlineStr">
        <is>
          <t>claro</t>
        </is>
      </c>
      <c r="D3997" s="5" t="inlineStr">
        <is>
          <t>postpaid</t>
        </is>
      </c>
      <c r="E3997" s="5" t="inlineStr">
        <is>
          <t>SP</t>
        </is>
      </c>
      <c r="F3997" s="5" t="inlineStr">
        <is>
          <t>Pós 100GB</t>
        </is>
      </c>
      <c r="G3997" s="5" t="inlineStr">
        <is>
          <t>claro:plano-pos-100gb</t>
        </is>
      </c>
      <c r="H3997" s="6" t="n">
        <v>179.9</v>
      </c>
      <c r="I3997" s="6" t="inlineStr"/>
      <c r="J3997" s="5" t="inlineStr"/>
      <c r="K3997" s="5" t="inlineStr"/>
      <c r="L3997" s="7" t="n">
        <v>100</v>
      </c>
      <c r="M3997" s="5" t="inlineStr"/>
      <c r="N3997" s="5" t="inlineStr"/>
      <c r="O3997" s="5" t="inlineStr">
        <is>
          <t>WhatsApp</t>
        </is>
      </c>
      <c r="P3997" s="5" t="inlineStr"/>
      <c r="Q3997" s="5" t="inlineStr"/>
      <c r="R3997" s="5" t="inlineStr"/>
      <c r="S3997" s="5" t="inlineStr"/>
      <c r="T3997" s="5" t="inlineStr">
        <is>
          <t>Armazenamento na nuvem:; Google One ou iCloud+; WhatsApp ilimitado; Assinatura Amazon Prime por 3 meses; Roaming: Passaporte Américas; Claro Sync: Smartwatch conectado</t>
        </is>
      </c>
      <c r="U3997" s="5" t="inlineStr">
        <is>
          <t>https://www.claro.com.br/celular/pos</t>
        </is>
      </c>
      <c r="V3997" s="5" t="inlineStr">
        <is>
          <t>data/raw/claro_postpaid_SP.json</t>
        </is>
      </c>
    </row>
    <row r="3998">
      <c r="A3998" s="2" t="inlineStr">
        <is>
          <t>2026-09-01</t>
        </is>
      </c>
      <c r="B3998" s="2" t="inlineStr">
        <is>
          <t>2026-09-01T19:58:06</t>
        </is>
      </c>
      <c r="C3998" s="2" t="inlineStr">
        <is>
          <t>claro</t>
        </is>
      </c>
      <c r="D3998" s="2" t="inlineStr">
        <is>
          <t>postpaid</t>
        </is>
      </c>
      <c r="E3998" s="2" t="inlineStr">
        <is>
          <t>SP</t>
        </is>
      </c>
      <c r="F3998" s="2" t="inlineStr">
        <is>
          <t>Pós 150GB</t>
        </is>
      </c>
      <c r="G3998" s="2" t="inlineStr">
        <is>
          <t>claro:plano-pos-150gb</t>
        </is>
      </c>
      <c r="H3998" s="3" t="n">
        <v>239.9</v>
      </c>
      <c r="I3998" s="3" t="inlineStr"/>
      <c r="J3998" s="2" t="inlineStr"/>
      <c r="K3998" s="2" t="inlineStr"/>
      <c r="L3998" s="4" t="n">
        <v>150</v>
      </c>
      <c r="M3998" s="2" t="inlineStr"/>
      <c r="N3998" s="2" t="inlineStr"/>
      <c r="O3998" s="2" t="inlineStr">
        <is>
          <t>WhatsApp</t>
        </is>
      </c>
      <c r="P3998" s="2" t="inlineStr"/>
      <c r="Q3998" s="2" t="inlineStr"/>
      <c r="R3998" s="2" t="inlineStr"/>
      <c r="S3998" s="2" t="inlineStr"/>
      <c r="T399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98" s="2" t="inlineStr">
        <is>
          <t>https://www.claro.com.br/celular/pos</t>
        </is>
      </c>
      <c r="V3998" s="2" t="inlineStr">
        <is>
          <t>data/raw/claro_postpaid_SP.json</t>
        </is>
      </c>
    </row>
    <row r="3999">
      <c r="A3999" s="5" t="inlineStr">
        <is>
          <t>2026-09-01</t>
        </is>
      </c>
      <c r="B3999" s="5" t="inlineStr">
        <is>
          <t>2026-09-01T19:58:06</t>
        </is>
      </c>
      <c r="C3999" s="5" t="inlineStr">
        <is>
          <t>claro</t>
        </is>
      </c>
      <c r="D3999" s="5" t="inlineStr">
        <is>
          <t>postpaid</t>
        </is>
      </c>
      <c r="E3999" s="5" t="inlineStr">
        <is>
          <t>SP</t>
        </is>
      </c>
      <c r="F3999" s="5" t="inlineStr">
        <is>
          <t>Pós 200GB</t>
        </is>
      </c>
      <c r="G3999" s="5" t="inlineStr">
        <is>
          <t>claro:plano-pos-200gb</t>
        </is>
      </c>
      <c r="H3999" s="6" t="n">
        <v>339.9</v>
      </c>
      <c r="I3999" s="6" t="inlineStr"/>
      <c r="J3999" s="5" t="inlineStr"/>
      <c r="K3999" s="5" t="inlineStr"/>
      <c r="L3999" s="7" t="n">
        <v>200</v>
      </c>
      <c r="M3999" s="5" t="inlineStr"/>
      <c r="N3999" s="5" t="inlineStr"/>
      <c r="O3999" s="5" t="inlineStr">
        <is>
          <t>WhatsApp</t>
        </is>
      </c>
      <c r="P3999" s="5" t="inlineStr"/>
      <c r="Q3999" s="5" t="inlineStr"/>
      <c r="R3999" s="5" t="inlineStr"/>
      <c r="S3999" s="5" t="inlineStr"/>
      <c r="T3999" s="5" t="inlineStr">
        <is>
          <t>Armazenamento na nuvem:; Google One (AI Plus) ou iCloud+; WhatsApp ilimitado; Assinatura Amazon Prime por 3 meses; Roaming: Passaporte Mundo; Claro Sync: Smartwatch conectado</t>
        </is>
      </c>
      <c r="U3999" s="5" t="inlineStr">
        <is>
          <t>https://www.claro.com.br/celular/pos</t>
        </is>
      </c>
      <c r="V3999" s="5" t="inlineStr">
        <is>
          <t>data/raw/claro_postpaid_SP.json</t>
        </is>
      </c>
    </row>
    <row r="4000">
      <c r="A4000" s="2" t="inlineStr">
        <is>
          <t>2026-09-01</t>
        </is>
      </c>
      <c r="B4000" s="2" t="inlineStr">
        <is>
          <t>2026-09-01T19:58:06</t>
        </is>
      </c>
      <c r="C4000" s="2" t="inlineStr">
        <is>
          <t>claro</t>
        </is>
      </c>
      <c r="D4000" s="2" t="inlineStr">
        <is>
          <t>postpaid</t>
        </is>
      </c>
      <c r="E4000" s="2" t="inlineStr">
        <is>
          <t>SP</t>
        </is>
      </c>
      <c r="F4000" s="2" t="inlineStr">
        <is>
          <t>Pós 50GB com GeForce NOW</t>
        </is>
      </c>
      <c r="G4000" s="2" t="inlineStr">
        <is>
          <t>claro:plano-pos-60gb-geforce</t>
        </is>
      </c>
      <c r="H4000" s="3" t="n">
        <v>164.9</v>
      </c>
      <c r="I4000" s="3" t="inlineStr"/>
      <c r="J4000" s="2" t="inlineStr"/>
      <c r="K4000" s="2" t="inlineStr"/>
      <c r="L4000" s="4" t="n">
        <v>50</v>
      </c>
      <c r="M4000" s="2" t="inlineStr"/>
      <c r="N4000" s="2" t="inlineStr"/>
      <c r="O4000" s="2" t="inlineStr">
        <is>
          <t>WhatsApp</t>
        </is>
      </c>
      <c r="P4000" s="2" t="inlineStr"/>
      <c r="Q4000" s="2" t="inlineStr"/>
      <c r="R4000" s="2" t="inlineStr"/>
      <c r="S4000" s="2" t="inlineStr"/>
      <c r="T400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000" s="2" t="inlineStr">
        <is>
          <t>https://www.claro.com.br/celular/pos</t>
        </is>
      </c>
      <c r="V4000" s="2" t="inlineStr">
        <is>
          <t>data/raw/claro_postpaid_SP.json</t>
        </is>
      </c>
    </row>
    <row r="4001">
      <c r="A4001" s="5" t="inlineStr">
        <is>
          <t>2026-09-01</t>
        </is>
      </c>
      <c r="B4001" s="5" t="inlineStr">
        <is>
          <t>2026-09-01T19:58:06</t>
        </is>
      </c>
      <c r="C4001" s="5" t="inlineStr">
        <is>
          <t>claro</t>
        </is>
      </c>
      <c r="D4001" s="5" t="inlineStr">
        <is>
          <t>postpaid</t>
        </is>
      </c>
      <c r="E4001" s="5" t="inlineStr">
        <is>
          <t>SP</t>
        </is>
      </c>
      <c r="F4001" s="5" t="inlineStr">
        <is>
          <t>Pós 60GB</t>
        </is>
      </c>
      <c r="G4001" s="5" t="inlineStr">
        <is>
          <t>claro:plano-pos-60gb</t>
        </is>
      </c>
      <c r="H4001" s="6" t="n">
        <v>124.9</v>
      </c>
      <c r="I4001" s="6" t="inlineStr"/>
      <c r="J4001" s="5" t="inlineStr"/>
      <c r="K4001" s="5" t="inlineStr"/>
      <c r="L4001" s="7" t="n">
        <v>60</v>
      </c>
      <c r="M4001" s="5" t="inlineStr"/>
      <c r="N4001" s="5" t="inlineStr"/>
      <c r="O4001" s="5" t="inlineStr">
        <is>
          <t>WhatsApp</t>
        </is>
      </c>
      <c r="P4001" s="5" t="inlineStr"/>
      <c r="Q4001" s="5" t="inlineStr"/>
      <c r="R4001" s="5" t="inlineStr"/>
      <c r="S4001" s="5" t="inlineStr"/>
      <c r="T4001" s="5" t="inlineStr">
        <is>
          <t>Armazenamento na nuvem:; Google One ou iCloud+; WhatsApp ilimitado; Assinatura Amazon Prime por 3 meses; Roaming: Passaporte Américas; Claro Sync: Smartwatch conectado</t>
        </is>
      </c>
      <c r="U4001" s="5" t="inlineStr">
        <is>
          <t>https://www.claro.com.br/celular/pos</t>
        </is>
      </c>
      <c r="V4001" s="5" t="inlineStr">
        <is>
          <t>data/raw/claro_postpaid_SP.json</t>
        </is>
      </c>
    </row>
    <row r="4002">
      <c r="A4002" s="2" t="inlineStr">
        <is>
          <t>2026-09-01</t>
        </is>
      </c>
      <c r="B4002" s="2" t="inlineStr">
        <is>
          <t>2026-09-01T19:58:06</t>
        </is>
      </c>
      <c r="C4002" s="2" t="inlineStr">
        <is>
          <t>claro</t>
        </is>
      </c>
      <c r="D4002" s="2" t="inlineStr">
        <is>
          <t>prepaid</t>
        </is>
      </c>
      <c r="E4002" s="2" t="inlineStr">
        <is>
          <t>SP</t>
        </is>
      </c>
      <c r="F4002" s="2" t="inlineStr">
        <is>
          <t>Prezão 10GB (25 dias)</t>
        </is>
      </c>
      <c r="G4002" s="2" t="inlineStr">
        <is>
          <t>claro:prezao-25d-10gb</t>
        </is>
      </c>
      <c r="H4002" s="3" t="n">
        <v>25</v>
      </c>
      <c r="I4002" s="3" t="inlineStr"/>
      <c r="J4002" s="2" t="inlineStr">
        <is>
          <t>recarga Prezão R$25 — validade 25 dias</t>
        </is>
      </c>
      <c r="K4002" s="2" t="inlineStr"/>
      <c r="L4002" s="4" t="n">
        <v>10</v>
      </c>
      <c r="M4002" s="2" t="inlineStr"/>
      <c r="N4002" s="2" t="n">
        <v>25</v>
      </c>
      <c r="O4002" s="2" t="inlineStr"/>
      <c r="P4002" s="2" t="inlineStr"/>
      <c r="Q4002" s="2" t="inlineStr"/>
      <c r="R4002" s="2" t="inlineStr"/>
      <c r="S4002" s="2" t="inlineStr"/>
      <c r="T4002" s="2" t="inlineStr"/>
      <c r="U4002" s="2" t="inlineStr">
        <is>
          <t>https://www.claro.com.br/celular/planos-pre/prezao</t>
        </is>
      </c>
      <c r="V4002" s="2" t="inlineStr">
        <is>
          <t>data/raw/claro_prepaid_SP.json</t>
        </is>
      </c>
    </row>
    <row r="4003">
      <c r="A4003" s="5" t="inlineStr">
        <is>
          <t>2026-09-01</t>
        </is>
      </c>
      <c r="B4003" s="5" t="inlineStr">
        <is>
          <t>2026-09-01T19:58:06</t>
        </is>
      </c>
      <c r="C4003" s="5" t="inlineStr">
        <is>
          <t>claro</t>
        </is>
      </c>
      <c r="D4003" s="5" t="inlineStr">
        <is>
          <t>prepaid</t>
        </is>
      </c>
      <c r="E4003" s="5" t="inlineStr">
        <is>
          <t>SP</t>
        </is>
      </c>
      <c r="F4003" s="5" t="inlineStr">
        <is>
          <t>Prezão 12GB (30 dias)</t>
        </is>
      </c>
      <c r="G4003" s="5" t="inlineStr">
        <is>
          <t>claro:prezao-30d-12gb</t>
        </is>
      </c>
      <c r="H4003" s="6" t="n">
        <v>30</v>
      </c>
      <c r="I4003" s="6" t="inlineStr"/>
      <c r="J4003" s="5" t="inlineStr">
        <is>
          <t>recarga Prezão R$30 — validade 30 dias</t>
        </is>
      </c>
      <c r="K4003" s="5" t="inlineStr"/>
      <c r="L4003" s="7" t="n">
        <v>12</v>
      </c>
      <c r="M4003" s="5" t="inlineStr"/>
      <c r="N4003" s="5" t="n">
        <v>30</v>
      </c>
      <c r="O4003" s="5" t="inlineStr"/>
      <c r="P4003" s="5" t="inlineStr"/>
      <c r="Q4003" s="5" t="inlineStr"/>
      <c r="R4003" s="5" t="inlineStr"/>
      <c r="S4003" s="5" t="inlineStr"/>
      <c r="T4003" s="5" t="inlineStr"/>
      <c r="U4003" s="5" t="inlineStr">
        <is>
          <t>https://www.claro.com.br/celular/planos-pre/prezao</t>
        </is>
      </c>
      <c r="V4003" s="5" t="inlineStr">
        <is>
          <t>data/raw/claro_prepaid_SP.json</t>
        </is>
      </c>
    </row>
    <row r="4004">
      <c r="A4004" s="2" t="inlineStr">
        <is>
          <t>2026-09-01</t>
        </is>
      </c>
      <c r="B4004" s="2" t="inlineStr">
        <is>
          <t>2026-09-01T19:58:06</t>
        </is>
      </c>
      <c r="C4004" s="2" t="inlineStr">
        <is>
          <t>claro</t>
        </is>
      </c>
      <c r="D4004" s="2" t="inlineStr">
        <is>
          <t>prepaid</t>
        </is>
      </c>
      <c r="E4004" s="2" t="inlineStr">
        <is>
          <t>SP</t>
        </is>
      </c>
      <c r="F4004" s="2" t="inlineStr">
        <is>
          <t>Prezão 4GB (12 dias)</t>
        </is>
      </c>
      <c r="G4004" s="2" t="inlineStr">
        <is>
          <t>claro:prezao-12d-4gb</t>
        </is>
      </c>
      <c r="H4004" s="3" t="n">
        <v>15</v>
      </c>
      <c r="I4004" s="3" t="inlineStr"/>
      <c r="J4004" s="2" t="inlineStr">
        <is>
          <t>recarga Prezão R$15 — validade 12 dias</t>
        </is>
      </c>
      <c r="K4004" s="2" t="inlineStr"/>
      <c r="L4004" s="4" t="n">
        <v>4</v>
      </c>
      <c r="M4004" s="2" t="inlineStr"/>
      <c r="N4004" s="2" t="n">
        <v>12</v>
      </c>
      <c r="O4004" s="2" t="inlineStr"/>
      <c r="P4004" s="2" t="inlineStr"/>
      <c r="Q4004" s="2" t="inlineStr"/>
      <c r="R4004" s="2" t="inlineStr"/>
      <c r="S4004" s="2" t="inlineStr"/>
      <c r="T4004" s="2" t="inlineStr"/>
      <c r="U4004" s="2" t="inlineStr">
        <is>
          <t>https://www.claro.com.br/celular/planos-pre/prezao</t>
        </is>
      </c>
      <c r="V4004" s="2" t="inlineStr">
        <is>
          <t>data/raw/claro_prepaid_SP.json</t>
        </is>
      </c>
    </row>
    <row r="4005">
      <c r="A4005" s="5" t="inlineStr">
        <is>
          <t>2026-09-01</t>
        </is>
      </c>
      <c r="B4005" s="5" t="inlineStr">
        <is>
          <t>2026-09-01T19:58:06</t>
        </is>
      </c>
      <c r="C4005" s="5" t="inlineStr">
        <is>
          <t>claro</t>
        </is>
      </c>
      <c r="D4005" s="5" t="inlineStr">
        <is>
          <t>prepaid</t>
        </is>
      </c>
      <c r="E4005" s="5" t="inlineStr">
        <is>
          <t>SP</t>
        </is>
      </c>
      <c r="F4005" s="5" t="inlineStr">
        <is>
          <t>Prezão 5GB (15 dias)</t>
        </is>
      </c>
      <c r="G4005" s="5" t="inlineStr">
        <is>
          <t>claro:prezao-15d-5gb</t>
        </is>
      </c>
      <c r="H4005" s="6" t="n">
        <v>15</v>
      </c>
      <c r="I4005" s="6" t="inlineStr"/>
      <c r="J4005" s="5" t="inlineStr">
        <is>
          <t>recarga Prezão R$15 — validade 15 dias</t>
        </is>
      </c>
      <c r="K4005" s="5" t="inlineStr"/>
      <c r="L4005" s="7" t="n">
        <v>5</v>
      </c>
      <c r="M4005" s="5" t="inlineStr"/>
      <c r="N4005" s="5" t="n">
        <v>15</v>
      </c>
      <c r="O4005" s="5" t="inlineStr"/>
      <c r="P4005" s="5" t="inlineStr"/>
      <c r="Q4005" s="5" t="inlineStr"/>
      <c r="R4005" s="5" t="inlineStr"/>
      <c r="S4005" s="5" t="inlineStr"/>
      <c r="T4005" s="5" t="inlineStr"/>
      <c r="U4005" s="5" t="inlineStr">
        <is>
          <t>https://www.claro.com.br/celular/planos-pre/prezao</t>
        </is>
      </c>
      <c r="V4005" s="5" t="inlineStr">
        <is>
          <t>data/raw/claro_prepaid_SP.json</t>
        </is>
      </c>
    </row>
    <row r="4006">
      <c r="A4006" s="2" t="inlineStr">
        <is>
          <t>2026-09-01</t>
        </is>
      </c>
      <c r="B4006" s="2" t="inlineStr">
        <is>
          <t>2026-09-01T19:58:06</t>
        </is>
      </c>
      <c r="C4006" s="2" t="inlineStr">
        <is>
          <t>claro</t>
        </is>
      </c>
      <c r="D4006" s="2" t="inlineStr">
        <is>
          <t>prepaid</t>
        </is>
      </c>
      <c r="E4006" s="2" t="inlineStr">
        <is>
          <t>SP</t>
        </is>
      </c>
      <c r="F4006" s="2" t="inlineStr">
        <is>
          <t>Prezão 6GB (20 dias)</t>
        </is>
      </c>
      <c r="G4006" s="2" t="inlineStr">
        <is>
          <t>claro:prezao-20d-6gb</t>
        </is>
      </c>
      <c r="H4006" s="3" t="n">
        <v>20</v>
      </c>
      <c r="I4006" s="3" t="inlineStr"/>
      <c r="J4006" s="2" t="inlineStr">
        <is>
          <t>recarga Prezão R$20 — validade 20 dias</t>
        </is>
      </c>
      <c r="K4006" s="2" t="inlineStr"/>
      <c r="L4006" s="4" t="n">
        <v>6</v>
      </c>
      <c r="M4006" s="2" t="inlineStr"/>
      <c r="N4006" s="2" t="n">
        <v>20</v>
      </c>
      <c r="O4006" s="2" t="inlineStr"/>
      <c r="P4006" s="2" t="inlineStr"/>
      <c r="Q4006" s="2" t="inlineStr"/>
      <c r="R4006" s="2" t="inlineStr"/>
      <c r="S4006" s="2" t="inlineStr"/>
      <c r="T4006" s="2" t="inlineStr"/>
      <c r="U4006" s="2" t="inlineStr">
        <is>
          <t>https://www.claro.com.br/celular/planos-pre/prezao</t>
        </is>
      </c>
      <c r="V4006" s="2" t="inlineStr">
        <is>
          <t>data/raw/claro_prepaid_SP.json</t>
        </is>
      </c>
    </row>
    <row r="4007">
      <c r="A4007" s="5" t="inlineStr">
        <is>
          <t>2026-09-01</t>
        </is>
      </c>
      <c r="B4007" s="5" t="inlineStr">
        <is>
          <t>2026-09-01T19:58:06</t>
        </is>
      </c>
      <c r="C4007" s="5" t="inlineStr">
        <is>
          <t>claro</t>
        </is>
      </c>
      <c r="D4007" s="5" t="inlineStr">
        <is>
          <t>prepaid</t>
        </is>
      </c>
      <c r="E4007" s="5" t="inlineStr">
        <is>
          <t>SP</t>
        </is>
      </c>
      <c r="F4007" s="5" t="inlineStr">
        <is>
          <t>Prezão 8GB (20 dias)</t>
        </is>
      </c>
      <c r="G4007" s="5" t="inlineStr">
        <is>
          <t>claro:prezao-20d-8gb</t>
        </is>
      </c>
      <c r="H4007" s="6" t="n">
        <v>20</v>
      </c>
      <c r="I4007" s="6" t="inlineStr"/>
      <c r="J4007" s="5" t="inlineStr">
        <is>
          <t>recarga Prezão R$20 — validade 20 dias</t>
        </is>
      </c>
      <c r="K4007" s="5" t="inlineStr"/>
      <c r="L4007" s="7" t="n">
        <v>8</v>
      </c>
      <c r="M4007" s="5" t="inlineStr"/>
      <c r="N4007" s="5" t="n">
        <v>20</v>
      </c>
      <c r="O4007" s="5" t="inlineStr"/>
      <c r="P4007" s="5" t="inlineStr"/>
      <c r="Q4007" s="5" t="inlineStr"/>
      <c r="R4007" s="5" t="inlineStr"/>
      <c r="S4007" s="5" t="inlineStr"/>
      <c r="T4007" s="5" t="inlineStr"/>
      <c r="U4007" s="5" t="inlineStr">
        <is>
          <t>https://www.claro.com.br/celular/planos-pre/prezao</t>
        </is>
      </c>
      <c r="V4007" s="5" t="inlineStr">
        <is>
          <t>data/raw/claro_prepaid_SP.json</t>
        </is>
      </c>
    </row>
    <row r="4008">
      <c r="A4008" s="2" t="inlineStr">
        <is>
          <t>2026-09-01</t>
        </is>
      </c>
      <c r="B4008" s="2" t="inlineStr">
        <is>
          <t>2026-09-01T19:58:06</t>
        </is>
      </c>
      <c r="C4008" s="2" t="inlineStr">
        <is>
          <t>claro</t>
        </is>
      </c>
      <c r="D4008" s="2" t="inlineStr">
        <is>
          <t>prepaid</t>
        </is>
      </c>
      <c r="E4008" s="2" t="inlineStr">
        <is>
          <t>SP</t>
        </is>
      </c>
      <c r="F4008" s="2" t="inlineStr">
        <is>
          <t>Prezão 9GB (25 dias)</t>
        </is>
      </c>
      <c r="G4008" s="2" t="inlineStr">
        <is>
          <t>claro:prezao-25d-9gb</t>
        </is>
      </c>
      <c r="H4008" s="3" t="n">
        <v>25</v>
      </c>
      <c r="I4008" s="3" t="inlineStr"/>
      <c r="J4008" s="2" t="inlineStr">
        <is>
          <t>recarga Prezão R$25 — validade 25 dias</t>
        </is>
      </c>
      <c r="K4008" s="2" t="inlineStr"/>
      <c r="L4008" s="4" t="n">
        <v>9</v>
      </c>
      <c r="M4008" s="2" t="inlineStr"/>
      <c r="N4008" s="2" t="n">
        <v>25</v>
      </c>
      <c r="O4008" s="2" t="inlineStr"/>
      <c r="P4008" s="2" t="inlineStr"/>
      <c r="Q4008" s="2" t="inlineStr"/>
      <c r="R4008" s="2" t="inlineStr"/>
      <c r="S4008" s="2" t="inlineStr"/>
      <c r="T4008" s="2" t="inlineStr"/>
      <c r="U4008" s="2" t="inlineStr">
        <is>
          <t>https://www.claro.com.br/celular/planos-pre/prezao</t>
        </is>
      </c>
      <c r="V4008" s="2" t="inlineStr">
        <is>
          <t>data/raw/claro_prepaid_SP.json</t>
        </is>
      </c>
    </row>
    <row r="4009">
      <c r="A4009" s="5" t="inlineStr">
        <is>
          <t>2026-09-01</t>
        </is>
      </c>
      <c r="B4009" s="5" t="inlineStr">
        <is>
          <t>2026-09-01T19:58:06</t>
        </is>
      </c>
      <c r="C4009" s="5" t="inlineStr">
        <is>
          <t>tim</t>
        </is>
      </c>
      <c r="D4009" s="5" t="inlineStr">
        <is>
          <t>control</t>
        </is>
      </c>
      <c r="E4009" s="5" t="inlineStr">
        <is>
          <t>SP</t>
        </is>
      </c>
      <c r="F4009" s="5" t="inlineStr">
        <is>
          <t>TIM Controle 45GB</t>
        </is>
      </c>
      <c r="G4009" s="5" t="inlineStr">
        <is>
          <t>tim:182766</t>
        </is>
      </c>
      <c r="H4009" s="6" t="n">
        <v>49.99</v>
      </c>
      <c r="I4009" s="6" t="inlineStr"/>
      <c r="J4009" s="5" t="inlineStr"/>
      <c r="K4009" s="5" t="inlineStr"/>
      <c r="L4009" s="7" t="n">
        <v>45</v>
      </c>
      <c r="M4009" s="5" t="inlineStr"/>
      <c r="N4009" s="5" t="inlineStr"/>
      <c r="O4009" s="5" t="inlineStr"/>
      <c r="P4009" s="5" t="inlineStr"/>
      <c r="Q4009" s="5" t="inlineStr"/>
      <c r="R4009" s="5" t="inlineStr"/>
      <c r="S4009" s="5" t="inlineStr"/>
      <c r="T4009" s="5" t="inlineStr"/>
      <c r="U4009" s="5" t="inlineStr">
        <is>
          <t>https://www.tim.com.br/sp/para-voce/planos/controle</t>
        </is>
      </c>
      <c r="V4009" s="5" t="inlineStr">
        <is>
          <t>data/raw/tim_control_SP.html</t>
        </is>
      </c>
    </row>
    <row r="4010">
      <c r="A4010" s="2" t="inlineStr">
        <is>
          <t>2026-09-01</t>
        </is>
      </c>
      <c r="B4010" s="2" t="inlineStr">
        <is>
          <t>2026-09-01T19:58:06</t>
        </is>
      </c>
      <c r="C4010" s="2" t="inlineStr">
        <is>
          <t>tim</t>
        </is>
      </c>
      <c r="D4010" s="2" t="inlineStr">
        <is>
          <t>control</t>
        </is>
      </c>
      <c r="E4010" s="2" t="inlineStr">
        <is>
          <t>SP</t>
        </is>
      </c>
      <c r="F4010" s="2" t="inlineStr">
        <is>
          <t>TIM Controle Light Express 45GB</t>
        </is>
      </c>
      <c r="G4010" s="2" t="inlineStr">
        <is>
          <t>tim:167726</t>
        </is>
      </c>
      <c r="H4010" s="3" t="n">
        <v>60.99</v>
      </c>
      <c r="I4010" s="3" t="inlineStr"/>
      <c r="J4010" s="2" t="inlineStr"/>
      <c r="K4010" s="2" t="inlineStr"/>
      <c r="L4010" s="4" t="n">
        <v>45</v>
      </c>
      <c r="M4010" s="2" t="inlineStr"/>
      <c r="N4010" s="2" t="inlineStr"/>
      <c r="O4010" s="2" t="inlineStr"/>
      <c r="P4010" s="2" t="inlineStr"/>
      <c r="Q4010" s="2" t="inlineStr"/>
      <c r="R4010" s="2" t="inlineStr"/>
      <c r="S4010" s="2" t="inlineStr"/>
      <c r="T4010" s="2" t="inlineStr"/>
      <c r="U4010" s="2" t="inlineStr">
        <is>
          <t>https://www.tim.com.br/sp/para-voce/planos/controle</t>
        </is>
      </c>
      <c r="V4010" s="2" t="inlineStr">
        <is>
          <t>data/raw/tim_control_SP.html</t>
        </is>
      </c>
    </row>
    <row r="4011">
      <c r="A4011" s="5" t="inlineStr">
        <is>
          <t>2026-09-01</t>
        </is>
      </c>
      <c r="B4011" s="5" t="inlineStr">
        <is>
          <t>2026-09-01T19:58:06</t>
        </is>
      </c>
      <c r="C4011" s="5" t="inlineStr">
        <is>
          <t>tim</t>
        </is>
      </c>
      <c r="D4011" s="5" t="inlineStr">
        <is>
          <t>control</t>
        </is>
      </c>
      <c r="E4011" s="5" t="inlineStr">
        <is>
          <t>SP</t>
        </is>
      </c>
      <c r="F4011" s="5" t="inlineStr">
        <is>
          <t>TIM Controle Premium 55GB</t>
        </is>
      </c>
      <c r="G4011" s="5" t="inlineStr">
        <is>
          <t>tim:180756</t>
        </is>
      </c>
      <c r="H4011" s="6" t="n">
        <v>69.98999999999999</v>
      </c>
      <c r="I4011" s="6" t="inlineStr"/>
      <c r="J4011" s="5" t="inlineStr"/>
      <c r="K4011" s="5" t="inlineStr"/>
      <c r="L4011" s="7" t="n">
        <v>55</v>
      </c>
      <c r="M4011" s="5" t="inlineStr"/>
      <c r="N4011" s="5" t="inlineStr"/>
      <c r="O4011" s="5" t="inlineStr"/>
      <c r="P4011" s="5" t="inlineStr"/>
      <c r="Q4011" s="5" t="inlineStr"/>
      <c r="R4011" s="5" t="inlineStr"/>
      <c r="S4011" s="5" t="inlineStr"/>
      <c r="T4011" s="5" t="inlineStr"/>
      <c r="U4011" s="5" t="inlineStr">
        <is>
          <t>https://www.tim.com.br/sp/para-voce/planos/controle</t>
        </is>
      </c>
      <c r="V4011" s="5" t="inlineStr">
        <is>
          <t>data/raw/tim_control_SP.html</t>
        </is>
      </c>
    </row>
    <row r="4012">
      <c r="A4012" s="2" t="inlineStr">
        <is>
          <t>2026-09-01</t>
        </is>
      </c>
      <c r="B4012" s="2" t="inlineStr">
        <is>
          <t>2026-09-01T19:58:06</t>
        </is>
      </c>
      <c r="C4012" s="2" t="inlineStr">
        <is>
          <t>tim</t>
        </is>
      </c>
      <c r="D4012" s="2" t="inlineStr">
        <is>
          <t>control</t>
        </is>
      </c>
      <c r="E4012" s="2" t="inlineStr">
        <is>
          <t>SP</t>
        </is>
      </c>
      <c r="F4012" s="2" t="inlineStr">
        <is>
          <t>TIM Controle Pro Express 46GB</t>
        </is>
      </c>
      <c r="G4012" s="2" t="inlineStr">
        <is>
          <t>tim:167731</t>
        </is>
      </c>
      <c r="H4012" s="3" t="n">
        <v>64.98999999999999</v>
      </c>
      <c r="I4012" s="3" t="inlineStr"/>
      <c r="J4012" s="2" t="inlineStr"/>
      <c r="K4012" s="2" t="inlineStr"/>
      <c r="L4012" s="4" t="n">
        <v>46</v>
      </c>
      <c r="M4012" s="2" t="inlineStr"/>
      <c r="N4012" s="2" t="inlineStr"/>
      <c r="O4012" s="2" t="inlineStr"/>
      <c r="P4012" s="2" t="inlineStr"/>
      <c r="Q4012" s="2" t="inlineStr"/>
      <c r="R4012" s="2" t="inlineStr"/>
      <c r="S4012" s="2" t="inlineStr"/>
      <c r="T4012" s="2" t="inlineStr"/>
      <c r="U4012" s="2" t="inlineStr">
        <is>
          <t>https://www.tim.com.br/sp/para-voce/planos/controle</t>
        </is>
      </c>
      <c r="V4012" s="2" t="inlineStr">
        <is>
          <t>data/raw/tim_control_SP.html</t>
        </is>
      </c>
    </row>
    <row r="4013">
      <c r="A4013" s="5" t="inlineStr">
        <is>
          <t>2026-09-01</t>
        </is>
      </c>
      <c r="B4013" s="5" t="inlineStr">
        <is>
          <t>2026-09-01T19:58:06</t>
        </is>
      </c>
      <c r="C4013" s="5" t="inlineStr">
        <is>
          <t>tim</t>
        </is>
      </c>
      <c r="D4013" s="5" t="inlineStr">
        <is>
          <t>control</t>
        </is>
      </c>
      <c r="E4013" s="5" t="inlineStr">
        <is>
          <t>SP</t>
        </is>
      </c>
      <c r="F4013" s="5" t="inlineStr">
        <is>
          <t>TIM Controle Redes Sociais 46GB</t>
        </is>
      </c>
      <c r="G4013" s="5" t="inlineStr">
        <is>
          <t>tim:167031</t>
        </is>
      </c>
      <c r="H4013" s="6" t="n">
        <v>59.99</v>
      </c>
      <c r="I4013" s="6" t="inlineStr"/>
      <c r="J4013" s="5" t="inlineStr"/>
      <c r="K4013" s="5" t="inlineStr"/>
      <c r="L4013" s="7" t="n">
        <v>46</v>
      </c>
      <c r="M4013" s="5" t="inlineStr"/>
      <c r="N4013" s="5" t="inlineStr"/>
      <c r="O4013" s="5" t="inlineStr"/>
      <c r="P4013" s="5" t="inlineStr"/>
      <c r="Q4013" s="5" t="inlineStr"/>
      <c r="R4013" s="5" t="inlineStr"/>
      <c r="S4013" s="5" t="inlineStr"/>
      <c r="T4013" s="5" t="inlineStr"/>
      <c r="U4013" s="5" t="inlineStr">
        <is>
          <t>https://www.tim.com.br/sp/para-voce/planos/controle</t>
        </is>
      </c>
      <c r="V4013" s="5" t="inlineStr">
        <is>
          <t>data/raw/tim_control_SP.html</t>
        </is>
      </c>
    </row>
    <row r="4014">
      <c r="A4014" s="2" t="inlineStr">
        <is>
          <t>2026-09-01</t>
        </is>
      </c>
      <c r="B4014" s="2" t="inlineStr">
        <is>
          <t>2026-09-01T19:58:06</t>
        </is>
      </c>
      <c r="C4014" s="2" t="inlineStr">
        <is>
          <t>tim</t>
        </is>
      </c>
      <c r="D4014" s="2" t="inlineStr">
        <is>
          <t>fit</t>
        </is>
      </c>
      <c r="E4014" s="2" t="inlineStr">
        <is>
          <t>SP</t>
        </is>
      </c>
      <c r="F4014" s="2" t="inlineStr">
        <is>
          <t>TIM Controle Fit Anual 1.0</t>
        </is>
      </c>
      <c r="G4014" s="2" t="inlineStr">
        <is>
          <t>tim:TIM202600000306</t>
        </is>
      </c>
      <c r="H4014" s="3" t="n">
        <v>20</v>
      </c>
      <c r="I4014" s="3" t="inlineStr"/>
      <c r="J4014" s="2" t="inlineStr">
        <is>
          <t>plano anual 12x no cartão de crédito; a etiqueta TIM informa 'sem prazo de permanência'</t>
        </is>
      </c>
      <c r="K4014" s="2" t="inlineStr">
        <is>
          <t>credit_card</t>
        </is>
      </c>
      <c r="L4014" s="4" t="n">
        <v>25</v>
      </c>
      <c r="M4014" s="2" t="inlineStr"/>
      <c r="N4014" s="2" t="inlineStr"/>
      <c r="O4014" s="2" t="inlineStr"/>
      <c r="P4014" s="2" t="inlineStr"/>
      <c r="Q4014" s="2" t="inlineStr"/>
      <c r="R4014" s="2" t="inlineStr"/>
      <c r="S4014" s="2" t="n">
        <v>12</v>
      </c>
      <c r="T4014" s="2" t="inlineStr"/>
      <c r="U4014" s="2" t="inlineStr">
        <is>
          <t>https://www.tim.com.br/sp/para-voce/planos/controle</t>
        </is>
      </c>
      <c r="V4014" s="2" t="inlineStr">
        <is>
          <t>data/raw/tim_fit_SP.html</t>
        </is>
      </c>
    </row>
    <row r="4015">
      <c r="A4015" s="5" t="inlineStr">
        <is>
          <t>2026-09-01</t>
        </is>
      </c>
      <c r="B4015" s="5" t="inlineStr">
        <is>
          <t>2026-09-01T19:58:06</t>
        </is>
      </c>
      <c r="C4015" s="5" t="inlineStr">
        <is>
          <t>tim</t>
        </is>
      </c>
      <c r="D4015" s="5" t="inlineStr">
        <is>
          <t>fit</t>
        </is>
      </c>
      <c r="E4015" s="5" t="inlineStr">
        <is>
          <t>SP</t>
        </is>
      </c>
      <c r="F4015" s="5" t="inlineStr">
        <is>
          <t>TIM Controle Fit Anual 2.0</t>
        </is>
      </c>
      <c r="G4015" s="5" t="inlineStr">
        <is>
          <t>tim:TIM202600000271</t>
        </is>
      </c>
      <c r="H4015" s="6" t="n">
        <v>30</v>
      </c>
      <c r="I4015" s="6" t="inlineStr"/>
      <c r="J4015" s="5" t="inlineStr">
        <is>
          <t>plano anual 12x no cartão de crédito; a etiqueta TIM informa 'sem prazo de permanência'</t>
        </is>
      </c>
      <c r="K4015" s="5" t="inlineStr">
        <is>
          <t>credit_card</t>
        </is>
      </c>
      <c r="L4015" s="7" t="n">
        <v>35</v>
      </c>
      <c r="M4015" s="5" t="inlineStr"/>
      <c r="N4015" s="5" t="inlineStr"/>
      <c r="O4015" s="5" t="inlineStr"/>
      <c r="P4015" s="5" t="inlineStr"/>
      <c r="Q4015" s="5" t="inlineStr"/>
      <c r="R4015" s="5" t="inlineStr"/>
      <c r="S4015" s="5" t="n">
        <v>12</v>
      </c>
      <c r="T4015" s="5" t="inlineStr"/>
      <c r="U4015" s="5" t="inlineStr">
        <is>
          <t>https://www.tim.com.br/sp/para-voce/planos/controle</t>
        </is>
      </c>
      <c r="V4015" s="5" t="inlineStr">
        <is>
          <t>data/raw/tim_fit_SP.html</t>
        </is>
      </c>
    </row>
    <row r="4016">
      <c r="A4016" s="2" t="inlineStr">
        <is>
          <t>2026-09-01</t>
        </is>
      </c>
      <c r="B4016" s="2" t="inlineStr">
        <is>
          <t>2026-09-01T19:58:06</t>
        </is>
      </c>
      <c r="C4016" s="2" t="inlineStr">
        <is>
          <t>tim</t>
        </is>
      </c>
      <c r="D4016" s="2" t="inlineStr">
        <is>
          <t>fit</t>
        </is>
      </c>
      <c r="E4016" s="2" t="inlineStr">
        <is>
          <t>SP</t>
        </is>
      </c>
      <c r="F4016" s="2" t="inlineStr">
        <is>
          <t>TIM Controle Fit Mensal 1.0</t>
        </is>
      </c>
      <c r="G4016" s="2" t="inlineStr">
        <is>
          <t>tim:TIM202600000270</t>
        </is>
      </c>
      <c r="H4016" s="3" t="n">
        <v>20</v>
      </c>
      <c r="I4016" s="3" t="inlineStr"/>
      <c r="J401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4016" s="2" t="inlineStr"/>
      <c r="L4016" s="4" t="n">
        <v>20</v>
      </c>
      <c r="M4016" s="2" t="inlineStr"/>
      <c r="N4016" s="2" t="inlineStr"/>
      <c r="O4016" s="2" t="inlineStr"/>
      <c r="P4016" s="2" t="inlineStr"/>
      <c r="Q4016" s="2" t="inlineStr"/>
      <c r="R4016" s="2" t="inlineStr"/>
      <c r="S4016" s="2" t="inlineStr"/>
      <c r="T4016" s="2" t="inlineStr"/>
      <c r="U4016" s="2" t="inlineStr">
        <is>
          <t>https://www.tim.com.br/sp/para-voce/planos/controle</t>
        </is>
      </c>
      <c r="V4016" s="2" t="inlineStr">
        <is>
          <t>data/raw/tim_fit_SP.html</t>
        </is>
      </c>
    </row>
    <row r="4017">
      <c r="A4017" s="5" t="inlineStr">
        <is>
          <t>2026-09-01</t>
        </is>
      </c>
      <c r="B4017" s="5" t="inlineStr">
        <is>
          <t>2026-09-01T19:58:06</t>
        </is>
      </c>
      <c r="C4017" s="5" t="inlineStr">
        <is>
          <t>tim</t>
        </is>
      </c>
      <c r="D4017" s="5" t="inlineStr">
        <is>
          <t>fit</t>
        </is>
      </c>
      <c r="E4017" s="5" t="inlineStr">
        <is>
          <t>SP</t>
        </is>
      </c>
      <c r="F4017" s="5" t="inlineStr">
        <is>
          <t>TIM Controle Fit Mensal 2.0</t>
        </is>
      </c>
      <c r="G4017" s="5" t="inlineStr">
        <is>
          <t>tim:TIM202600000305</t>
        </is>
      </c>
      <c r="H4017" s="6" t="n">
        <v>45</v>
      </c>
      <c r="I4017" s="6" t="inlineStr"/>
      <c r="J4017" s="5" t="inlineStr">
        <is>
          <t>plano mensal, sem prazo de permanência; a etiqueta TIM informa 'sem prazo de permanência'</t>
        </is>
      </c>
      <c r="K4017" s="5" t="inlineStr"/>
      <c r="L4017" s="7" t="n">
        <v>35</v>
      </c>
      <c r="M4017" s="5" t="inlineStr"/>
      <c r="N4017" s="5" t="inlineStr"/>
      <c r="O4017" s="5" t="inlineStr"/>
      <c r="P4017" s="5" t="inlineStr"/>
      <c r="Q4017" s="5" t="inlineStr"/>
      <c r="R4017" s="5" t="inlineStr"/>
      <c r="S4017" s="5" t="inlineStr"/>
      <c r="T4017" s="5" t="inlineStr"/>
      <c r="U4017" s="5" t="inlineStr">
        <is>
          <t>https://www.tim.com.br/sp/para-voce/planos/controle</t>
        </is>
      </c>
      <c r="V4017" s="5" t="inlineStr">
        <is>
          <t>data/raw/tim_fit_SP.html</t>
        </is>
      </c>
    </row>
    <row r="4018">
      <c r="A4018" s="2" t="inlineStr">
        <is>
          <t>2026-09-01</t>
        </is>
      </c>
      <c r="B4018" s="2" t="inlineStr">
        <is>
          <t>2026-09-01T19:58:06</t>
        </is>
      </c>
      <c r="C4018" s="2" t="inlineStr">
        <is>
          <t>tim</t>
        </is>
      </c>
      <c r="D4018" s="2" t="inlineStr">
        <is>
          <t>postpaid</t>
        </is>
      </c>
      <c r="E4018" s="2" t="inlineStr">
        <is>
          <t>SP</t>
        </is>
      </c>
      <c r="F4018" s="2" t="inlineStr">
        <is>
          <t>TIM Black 70GB</t>
        </is>
      </c>
      <c r="G4018" s="2" t="inlineStr">
        <is>
          <t>tim:54206</t>
        </is>
      </c>
      <c r="H4018" s="3" t="n">
        <v>129.99</v>
      </c>
      <c r="I4018" s="3" t="inlineStr"/>
      <c r="J4018" s="2" t="inlineStr"/>
      <c r="K4018" s="2" t="inlineStr">
        <is>
          <t>bill</t>
        </is>
      </c>
      <c r="L4018" s="4" t="n">
        <v>70</v>
      </c>
      <c r="M4018" s="2" t="inlineStr"/>
      <c r="N4018" s="2" t="inlineStr"/>
      <c r="O4018" s="2" t="inlineStr"/>
      <c r="P4018" s="2" t="inlineStr"/>
      <c r="Q4018" s="2" t="inlineStr"/>
      <c r="R4018" s="2" t="inlineStr"/>
      <c r="S4018" s="2" t="inlineStr"/>
      <c r="T4018" s="2" t="inlineStr"/>
      <c r="U4018" s="2" t="inlineStr">
        <is>
          <t>https://www.tim.com.br/sp/para-voce/planos/pos-pago/tim-black</t>
        </is>
      </c>
      <c r="V4018" s="2" t="inlineStr">
        <is>
          <t>data/raw/tim_postpaid_SP.html</t>
        </is>
      </c>
    </row>
    <row r="4019">
      <c r="A4019" s="5" t="inlineStr">
        <is>
          <t>2026-09-01</t>
        </is>
      </c>
      <c r="B4019" s="5" t="inlineStr">
        <is>
          <t>2026-09-01T19:58:06</t>
        </is>
      </c>
      <c r="C4019" s="5" t="inlineStr">
        <is>
          <t>tim</t>
        </is>
      </c>
      <c r="D4019" s="5" t="inlineStr">
        <is>
          <t>postpaid</t>
        </is>
      </c>
      <c r="E4019" s="5" t="inlineStr">
        <is>
          <t>SP</t>
        </is>
      </c>
      <c r="F4019" s="5" t="inlineStr">
        <is>
          <t>TIM Black B Express 82GB</t>
        </is>
      </c>
      <c r="G4019" s="5" t="inlineStr">
        <is>
          <t>tim:52146</t>
        </is>
      </c>
      <c r="H4019" s="6" t="n">
        <v>144.99</v>
      </c>
      <c r="I4019" s="6" t="inlineStr"/>
      <c r="J4019" s="5" t="inlineStr"/>
      <c r="K4019" s="5" t="inlineStr">
        <is>
          <t>credit_card</t>
        </is>
      </c>
      <c r="L4019" s="7" t="n">
        <v>82</v>
      </c>
      <c r="M4019" s="5" t="inlineStr"/>
      <c r="N4019" s="5" t="inlineStr"/>
      <c r="O4019" s="5" t="inlineStr"/>
      <c r="P4019" s="5" t="inlineStr"/>
      <c r="Q4019" s="5" t="inlineStr"/>
      <c r="R4019" s="5" t="inlineStr"/>
      <c r="S4019" s="5" t="inlineStr"/>
      <c r="T4019" s="5" t="inlineStr"/>
      <c r="U4019" s="5" t="inlineStr">
        <is>
          <t>https://www.tim.com.br/sp/para-voce/planos/pos-pago/tim-black</t>
        </is>
      </c>
      <c r="V4019" s="5" t="inlineStr">
        <is>
          <t>data/raw/tim_postpaid_SP.html</t>
        </is>
      </c>
    </row>
    <row r="4020">
      <c r="A4020" s="2" t="inlineStr">
        <is>
          <t>2026-09-01</t>
        </is>
      </c>
      <c r="B4020" s="2" t="inlineStr">
        <is>
          <t>2026-09-01T19:58:06</t>
        </is>
      </c>
      <c r="C4020" s="2" t="inlineStr">
        <is>
          <t>tim</t>
        </is>
      </c>
      <c r="D4020" s="2" t="inlineStr">
        <is>
          <t>postpaid</t>
        </is>
      </c>
      <c r="E4020" s="2" t="inlineStr">
        <is>
          <t>SP</t>
        </is>
      </c>
      <c r="F4020" s="2" t="inlineStr">
        <is>
          <t>TIM Black C Express 107GB</t>
        </is>
      </c>
      <c r="G4020" s="2" t="inlineStr">
        <is>
          <t>tim:52151</t>
        </is>
      </c>
      <c r="H4020" s="3" t="n">
        <v>164.99</v>
      </c>
      <c r="I4020" s="3" t="inlineStr"/>
      <c r="J4020" s="2" t="inlineStr"/>
      <c r="K4020" s="2" t="inlineStr">
        <is>
          <t>credit_card</t>
        </is>
      </c>
      <c r="L4020" s="4" t="n">
        <v>107</v>
      </c>
      <c r="M4020" s="2" t="inlineStr"/>
      <c r="N4020" s="2" t="inlineStr"/>
      <c r="O4020" s="2" t="inlineStr"/>
      <c r="P4020" s="2" t="inlineStr"/>
      <c r="Q4020" s="2" t="inlineStr"/>
      <c r="R4020" s="2" t="inlineStr"/>
      <c r="S4020" s="2" t="inlineStr"/>
      <c r="T4020" s="2" t="inlineStr"/>
      <c r="U4020" s="2" t="inlineStr">
        <is>
          <t>https://www.tim.com.br/sp/para-voce/planos/pos-pago/tim-black</t>
        </is>
      </c>
      <c r="V4020" s="2" t="inlineStr">
        <is>
          <t>data/raw/tim_postpaid_SP.html</t>
        </is>
      </c>
    </row>
    <row r="4021">
      <c r="A4021" s="5" t="inlineStr">
        <is>
          <t>2026-09-01</t>
        </is>
      </c>
      <c r="B4021" s="5" t="inlineStr">
        <is>
          <t>2026-09-01T19:58:06</t>
        </is>
      </c>
      <c r="C4021" s="5" t="inlineStr">
        <is>
          <t>tim</t>
        </is>
      </c>
      <c r="D4021" s="5" t="inlineStr">
        <is>
          <t>postpaid</t>
        </is>
      </c>
      <c r="E4021" s="5" t="inlineStr">
        <is>
          <t>SP</t>
        </is>
      </c>
      <c r="F4021" s="5" t="inlineStr">
        <is>
          <t>TIM Black Plus 80GB</t>
        </is>
      </c>
      <c r="G4021" s="5" t="inlineStr">
        <is>
          <t>tim:54256</t>
        </is>
      </c>
      <c r="H4021" s="6" t="n">
        <v>149.99</v>
      </c>
      <c r="I4021" s="6" t="inlineStr"/>
      <c r="J4021" s="5" t="inlineStr"/>
      <c r="K4021" s="5" t="inlineStr">
        <is>
          <t>bill</t>
        </is>
      </c>
      <c r="L4021" s="7" t="n">
        <v>80</v>
      </c>
      <c r="M4021" s="5" t="inlineStr"/>
      <c r="N4021" s="5" t="inlineStr"/>
      <c r="O4021" s="5" t="inlineStr"/>
      <c r="P4021" s="5" t="inlineStr"/>
      <c r="Q4021" s="5" t="inlineStr"/>
      <c r="R4021" s="5" t="inlineStr"/>
      <c r="S4021" s="5" t="inlineStr"/>
      <c r="T4021" s="5" t="inlineStr"/>
      <c r="U4021" s="5" t="inlineStr">
        <is>
          <t>https://www.tim.com.br/sp/para-voce/planos/pos-pago/tim-black</t>
        </is>
      </c>
      <c r="V4021" s="5" t="inlineStr">
        <is>
          <t>data/raw/tim_postpaid_SP.html</t>
        </is>
      </c>
    </row>
    <row r="4022">
      <c r="A4022" s="2" t="inlineStr">
        <is>
          <t>2026-09-01</t>
        </is>
      </c>
      <c r="B4022" s="2" t="inlineStr">
        <is>
          <t>2026-09-01T19:58:06</t>
        </is>
      </c>
      <c r="C4022" s="2" t="inlineStr">
        <is>
          <t>tim</t>
        </is>
      </c>
      <c r="D4022" s="2" t="inlineStr">
        <is>
          <t>postpaid</t>
        </is>
      </c>
      <c r="E4022" s="2" t="inlineStr">
        <is>
          <t>SP</t>
        </is>
      </c>
      <c r="F4022" s="2" t="inlineStr">
        <is>
          <t>TIM Black Premium 110GB</t>
        </is>
      </c>
      <c r="G4022" s="2" t="inlineStr">
        <is>
          <t>tim:54261</t>
        </is>
      </c>
      <c r="H4022" s="3" t="n">
        <v>159.99</v>
      </c>
      <c r="I4022" s="3" t="inlineStr"/>
      <c r="J4022" s="2" t="inlineStr"/>
      <c r="K4022" s="2" t="inlineStr">
        <is>
          <t>bill</t>
        </is>
      </c>
      <c r="L4022" s="4" t="n">
        <v>110</v>
      </c>
      <c r="M4022" s="2" t="inlineStr"/>
      <c r="N4022" s="2" t="inlineStr"/>
      <c r="O4022" s="2" t="inlineStr"/>
      <c r="P4022" s="2" t="inlineStr"/>
      <c r="Q4022" s="2" t="inlineStr"/>
      <c r="R4022" s="2" t="inlineStr"/>
      <c r="S4022" s="2" t="inlineStr"/>
      <c r="T4022" s="2" t="inlineStr"/>
      <c r="U4022" s="2" t="inlineStr">
        <is>
          <t>https://www.tim.com.br/sp/para-voce/planos/pos-pago/tim-black</t>
        </is>
      </c>
      <c r="V4022" s="2" t="inlineStr">
        <is>
          <t>data/raw/tim_postpaid_SP.html</t>
        </is>
      </c>
    </row>
    <row r="4023">
      <c r="A4023" s="5" t="inlineStr">
        <is>
          <t>2026-09-01</t>
        </is>
      </c>
      <c r="B4023" s="5" t="inlineStr">
        <is>
          <t>2026-09-01T19:58:06</t>
        </is>
      </c>
      <c r="C4023" s="5" t="inlineStr">
        <is>
          <t>tim</t>
        </is>
      </c>
      <c r="D4023" s="5" t="inlineStr">
        <is>
          <t>prepaid</t>
        </is>
      </c>
      <c r="E4023" s="5" t="inlineStr">
        <is>
          <t>SP</t>
        </is>
      </c>
      <c r="F4023" s="5" t="inlineStr">
        <is>
          <t>TIM Pré XIP Plus 16GB</t>
        </is>
      </c>
      <c r="G4023" s="5" t="inlineStr">
        <is>
          <t>tim:106306</t>
        </is>
      </c>
      <c r="H4023" s="6" t="n">
        <v>30</v>
      </c>
      <c r="I4023" s="6" t="inlineStr"/>
      <c r="J4023" s="5" t="inlineStr"/>
      <c r="K4023" s="5" t="inlineStr"/>
      <c r="L4023" s="7" t="n">
        <v>16</v>
      </c>
      <c r="M4023" s="5" t="inlineStr"/>
      <c r="N4023" s="5" t="n">
        <v>30</v>
      </c>
      <c r="O4023" s="5" t="inlineStr"/>
      <c r="P4023" s="5" t="inlineStr"/>
      <c r="Q4023" s="5" t="inlineStr"/>
      <c r="R4023" s="5" t="inlineStr"/>
      <c r="S4023" s="5" t="inlineStr"/>
      <c r="T4023" s="5" t="inlineStr"/>
      <c r="U4023" s="5" t="inlineStr">
        <is>
          <t>https://www.tim.com.br/sp/para-voce/planos/pre-pago</t>
        </is>
      </c>
      <c r="V4023" s="5" t="inlineStr">
        <is>
          <t>data/raw/tim_prepaid_SP.html</t>
        </is>
      </c>
    </row>
    <row r="4024">
      <c r="A4024" s="2" t="inlineStr">
        <is>
          <t>2026-09-01</t>
        </is>
      </c>
      <c r="B4024" s="2" t="inlineStr">
        <is>
          <t>2026-09-01T19:58:06</t>
        </is>
      </c>
      <c r="C4024" s="2" t="inlineStr">
        <is>
          <t>tim</t>
        </is>
      </c>
      <c r="D4024" s="2" t="inlineStr">
        <is>
          <t>prepaid</t>
        </is>
      </c>
      <c r="E4024" s="2" t="inlineStr">
        <is>
          <t>SP</t>
        </is>
      </c>
      <c r="F4024" s="2" t="inlineStr">
        <is>
          <t>TIM Pré XIP Plus 6GB</t>
        </is>
      </c>
      <c r="G4024" s="2" t="inlineStr">
        <is>
          <t>tim:59906</t>
        </is>
      </c>
      <c r="H4024" s="3" t="n">
        <v>20</v>
      </c>
      <c r="I4024" s="3" t="inlineStr"/>
      <c r="J4024" s="2" t="inlineStr"/>
      <c r="K4024" s="2" t="inlineStr"/>
      <c r="L4024" s="4" t="n">
        <v>6</v>
      </c>
      <c r="M4024" s="2" t="inlineStr"/>
      <c r="N4024" s="2" t="n">
        <v>17</v>
      </c>
      <c r="O4024" s="2" t="inlineStr"/>
      <c r="P4024" s="2" t="inlineStr"/>
      <c r="Q4024" s="2" t="inlineStr"/>
      <c r="R4024" s="2" t="inlineStr"/>
      <c r="S4024" s="2" t="inlineStr"/>
      <c r="T4024" s="2" t="inlineStr"/>
      <c r="U4024" s="2" t="inlineStr">
        <is>
          <t>https://www.tim.com.br/sp/para-voce/planos/pre-pago</t>
        </is>
      </c>
      <c r="V4024" s="2" t="inlineStr">
        <is>
          <t>data/raw/tim_prepaid_SP.html</t>
        </is>
      </c>
    </row>
    <row r="4025">
      <c r="A4025" s="5" t="inlineStr">
        <is>
          <t>2026-09-01</t>
        </is>
      </c>
      <c r="B4025" s="5" t="inlineStr">
        <is>
          <t>2026-09-01T19:58:06</t>
        </is>
      </c>
      <c r="C4025" s="5" t="inlineStr">
        <is>
          <t>tim</t>
        </is>
      </c>
      <c r="D4025" s="5" t="inlineStr">
        <is>
          <t>prepaid</t>
        </is>
      </c>
      <c r="E4025" s="5" t="inlineStr">
        <is>
          <t>SP</t>
        </is>
      </c>
      <c r="F4025" s="5" t="inlineStr">
        <is>
          <t>TIM Pré XIP Plus 8GB</t>
        </is>
      </c>
      <c r="G4025" s="5" t="inlineStr">
        <is>
          <t>tim:59901</t>
        </is>
      </c>
      <c r="H4025" s="6" t="n">
        <v>25</v>
      </c>
      <c r="I4025" s="6" t="inlineStr"/>
      <c r="J4025" s="5" t="inlineStr"/>
      <c r="K4025" s="5" t="inlineStr"/>
      <c r="L4025" s="7" t="n">
        <v>8</v>
      </c>
      <c r="M4025" s="5" t="inlineStr"/>
      <c r="N4025" s="5" t="n">
        <v>22</v>
      </c>
      <c r="O4025" s="5" t="inlineStr"/>
      <c r="P4025" s="5" t="inlineStr"/>
      <c r="Q4025" s="5" t="inlineStr"/>
      <c r="R4025" s="5" t="inlineStr"/>
      <c r="S4025" s="5" t="inlineStr"/>
      <c r="T4025" s="5" t="inlineStr"/>
      <c r="U4025" s="5" t="inlineStr">
        <is>
          <t>https://www.tim.com.br/sp/para-voce/planos/pre-pago</t>
        </is>
      </c>
      <c r="V4025" s="5" t="inlineStr">
        <is>
          <t>data/raw/tim_prepaid_SP.html</t>
        </is>
      </c>
    </row>
    <row r="4026">
      <c r="A4026" s="2" t="inlineStr">
        <is>
          <t>2026-09-01</t>
        </is>
      </c>
      <c r="B4026" s="2" t="inlineStr">
        <is>
          <t>2026-09-01T19:58:06</t>
        </is>
      </c>
      <c r="C4026" s="2" t="inlineStr">
        <is>
          <t>vivo</t>
        </is>
      </c>
      <c r="D4026" s="2" t="inlineStr">
        <is>
          <t>control</t>
        </is>
      </c>
      <c r="E4026" s="2" t="inlineStr">
        <is>
          <t>SP</t>
        </is>
      </c>
      <c r="F4026" s="2" t="inlineStr">
        <is>
          <t>Vivo Controle</t>
        </is>
      </c>
      <c r="G4026" s="2" t="inlineStr">
        <is>
          <t>vivo:VIV202600034591</t>
        </is>
      </c>
      <c r="H4026" s="3" t="n">
        <v>59</v>
      </c>
      <c r="I4026" s="3" t="inlineStr"/>
      <c r="J4026" s="2" t="inlineStr"/>
      <c r="K4026" s="2" t="inlineStr"/>
      <c r="L4026" s="4" t="n">
        <v>45</v>
      </c>
      <c r="M4026" s="2" t="inlineStr">
        <is>
          <t>15 GB de franquia 30 GB de bônus</t>
        </is>
      </c>
      <c r="N4026" s="2" t="inlineStr"/>
      <c r="O4026" s="2" t="inlineStr"/>
      <c r="P4026" s="2" t="inlineStr"/>
      <c r="Q4026" s="2" t="inlineStr"/>
      <c r="R4026" s="2" t="inlineStr"/>
      <c r="S4026" s="2" t="inlineStr"/>
      <c r="T4026" s="2" t="inlineStr">
        <is>
          <t>6 meses grátis de Gemini com AI Plus</t>
        </is>
      </c>
      <c r="U4026" s="2" t="inlineStr">
        <is>
          <t>https://vivo.com.br/para-voce/produtos-e-servicos/para-o-celular/planos-controle</t>
        </is>
      </c>
      <c r="V4026" s="2" t="inlineStr">
        <is>
          <t>data/raw/vivo_control_SP.html</t>
        </is>
      </c>
    </row>
    <row r="4027">
      <c r="A4027" s="5" t="inlineStr">
        <is>
          <t>2026-09-01</t>
        </is>
      </c>
      <c r="B4027" s="5" t="inlineStr">
        <is>
          <t>2026-09-01T19:58:06</t>
        </is>
      </c>
      <c r="C4027" s="5" t="inlineStr">
        <is>
          <t>vivo</t>
        </is>
      </c>
      <c r="D4027" s="5" t="inlineStr">
        <is>
          <t>control</t>
        </is>
      </c>
      <c r="E4027" s="5" t="inlineStr">
        <is>
          <t>SP</t>
        </is>
      </c>
      <c r="F4027" s="5" t="inlineStr">
        <is>
          <t>Vivo Controle</t>
        </is>
      </c>
      <c r="G4027" s="5" t="inlineStr">
        <is>
          <t>vivo:VIV202600034599</t>
        </is>
      </c>
      <c r="H4027" s="6" t="n">
        <v>75</v>
      </c>
      <c r="I4027" s="6" t="inlineStr"/>
      <c r="J4027" s="5" t="inlineStr">
        <is>
          <t>preço-base do plano; a tela exibia R$ 80 com o adicional pré-selecionado (+R$ 5/mês, opcional); 60 GB na tela incluem +10 GB do adicional</t>
        </is>
      </c>
      <c r="K4027" s="5" t="inlineStr"/>
      <c r="L4027" s="7" t="n">
        <v>50</v>
      </c>
      <c r="M4027" s="5" t="inlineStr">
        <is>
          <t>20 GB de franquia 30 GB de bônus</t>
        </is>
      </c>
      <c r="N4027" s="5" t="inlineStr"/>
      <c r="O4027" s="5" t="inlineStr"/>
      <c r="P4027" s="5" t="inlineStr"/>
      <c r="Q4027" s="5" t="inlineStr"/>
      <c r="R4027" s="5" t="inlineStr"/>
      <c r="S4027" s="5" t="inlineStr"/>
      <c r="T4027" s="5" t="inlineStr">
        <is>
          <t>6 meses grátis de Gemini com AI Plus</t>
        </is>
      </c>
      <c r="U4027" s="5" t="inlineStr">
        <is>
          <t>https://vivo.com.br/para-voce/produtos-e-servicos/para-o-celular/planos-controle</t>
        </is>
      </c>
      <c r="V4027" s="5" t="inlineStr">
        <is>
          <t>data/raw/vivo_control_SP.html</t>
        </is>
      </c>
    </row>
    <row r="4028">
      <c r="A4028" s="2" t="inlineStr">
        <is>
          <t>2026-09-01</t>
        </is>
      </c>
      <c r="B4028" s="2" t="inlineStr">
        <is>
          <t>2026-09-01T19:58:06</t>
        </is>
      </c>
      <c r="C4028" s="2" t="inlineStr">
        <is>
          <t>vivo</t>
        </is>
      </c>
      <c r="D4028" s="2" t="inlineStr">
        <is>
          <t>control</t>
        </is>
      </c>
      <c r="E4028" s="2" t="inlineStr">
        <is>
          <t>SP</t>
        </is>
      </c>
      <c r="F4028" s="2" t="inlineStr">
        <is>
          <t>Vivo Controle Amazon</t>
        </is>
      </c>
      <c r="G4028" s="2" t="inlineStr">
        <is>
          <t>vivo:VIV202600038804</t>
        </is>
      </c>
      <c r="H4028" s="3" t="n">
        <v>70</v>
      </c>
      <c r="I4028" s="3" t="inlineStr"/>
      <c r="J4028" s="2" t="inlineStr">
        <is>
          <t>preço-base do plano; a tela exibia R$ 75 com o adicional pré-selecionado (+R$ 5/mês, opcional); 58 GB na tela incluem +10 GB do adicional</t>
        </is>
      </c>
      <c r="K4028" s="2" t="inlineStr"/>
      <c r="L4028" s="4" t="n">
        <v>48</v>
      </c>
      <c r="M4028" s="2" t="inlineStr">
        <is>
          <t>18 GB de franquia 30 GB de bônus</t>
        </is>
      </c>
      <c r="N4028" s="2" t="inlineStr"/>
      <c r="O4028" s="2" t="inlineStr"/>
      <c r="P4028" s="2" t="inlineStr"/>
      <c r="Q4028" s="2" t="inlineStr"/>
      <c r="R4028" s="2" t="inlineStr"/>
      <c r="S4028" s="2" t="inlineStr"/>
      <c r="T4028" s="2" t="inlineStr">
        <is>
          <t>Assinatura Amazon Prime inclusa</t>
        </is>
      </c>
      <c r="U4028" s="2" t="inlineStr">
        <is>
          <t>https://vivo.com.br/para-voce/produtos-e-servicos/para-o-celular/planos-controle</t>
        </is>
      </c>
      <c r="V4028" s="2" t="inlineStr">
        <is>
          <t>data/raw/vivo_control_SP.html</t>
        </is>
      </c>
    </row>
    <row r="4029">
      <c r="A4029" s="5" t="inlineStr">
        <is>
          <t>2026-09-01</t>
        </is>
      </c>
      <c r="B4029" s="5" t="inlineStr">
        <is>
          <t>2026-09-01T19:58:06</t>
        </is>
      </c>
      <c r="C4029" s="5" t="inlineStr">
        <is>
          <t>vivo</t>
        </is>
      </c>
      <c r="D4029" s="5" t="inlineStr">
        <is>
          <t>control</t>
        </is>
      </c>
      <c r="E4029" s="5" t="inlineStr">
        <is>
          <t>SP</t>
        </is>
      </c>
      <c r="F4029" s="5" t="inlineStr">
        <is>
          <t>Vivo Controle Educação</t>
        </is>
      </c>
      <c r="G4029" s="5" t="inlineStr">
        <is>
          <t>vivo:VIV202600034616</t>
        </is>
      </c>
      <c r="H4029" s="6" t="n">
        <v>85</v>
      </c>
      <c r="I4029" s="6" t="inlineStr"/>
      <c r="J4029" s="5" t="inlineStr">
        <is>
          <t>preço-base do plano; a tela exibia R$ 90 com o adicional pré-selecionado (+R$ 5/mês, opcional); 60 GB na tela incluem +10 GB do adicional</t>
        </is>
      </c>
      <c r="K4029" s="5" t="inlineStr"/>
      <c r="L4029" s="7" t="n">
        <v>50</v>
      </c>
      <c r="M4029" s="5" t="inlineStr">
        <is>
          <t>20 GB de franquia 30 GB de bônus</t>
        </is>
      </c>
      <c r="N4029" s="5" t="inlineStr"/>
      <c r="O4029" s="5" t="inlineStr"/>
      <c r="P4029" s="5" t="inlineStr"/>
      <c r="Q4029" s="5" t="inlineStr"/>
      <c r="R4029" s="5" t="inlineStr"/>
      <c r="S4029" s="5" t="inlineStr"/>
      <c r="T4029" s="5" t="inlineStr">
        <is>
          <t>Assinatura Vivae inclusa</t>
        </is>
      </c>
      <c r="U4029" s="5" t="inlineStr">
        <is>
          <t>https://vivo.com.br/para-voce/produtos-e-servicos/para-o-celular/planos-controle</t>
        </is>
      </c>
      <c r="V4029" s="5" t="inlineStr">
        <is>
          <t>data/raw/vivo_control_SP.html</t>
        </is>
      </c>
    </row>
    <row r="4030">
      <c r="A4030" s="2" t="inlineStr">
        <is>
          <t>2026-09-01</t>
        </is>
      </c>
      <c r="B4030" s="2" t="inlineStr">
        <is>
          <t>2026-09-01T19:58:06</t>
        </is>
      </c>
      <c r="C4030" s="2" t="inlineStr">
        <is>
          <t>vivo</t>
        </is>
      </c>
      <c r="D4030" s="2" t="inlineStr">
        <is>
          <t>control</t>
        </is>
      </c>
      <c r="E4030" s="2" t="inlineStr">
        <is>
          <t>SP</t>
        </is>
      </c>
      <c r="F4030" s="2" t="inlineStr">
        <is>
          <t>Vivo Controle Entretenimento</t>
        </is>
      </c>
      <c r="G4030" s="2" t="inlineStr">
        <is>
          <t>vivo:VIV202600034619</t>
        </is>
      </c>
      <c r="H4030" s="3" t="n">
        <v>105</v>
      </c>
      <c r="I4030" s="3" t="inlineStr"/>
      <c r="J4030" s="2" t="inlineStr">
        <is>
          <t>preço-base do plano; a tela exibia R$ 110 com o adicional pré-selecionado (+R$ 5/mês, opcional); 60 GB na tela incluem +10 GB do adicional</t>
        </is>
      </c>
      <c r="K4030" s="2" t="inlineStr"/>
      <c r="L4030" s="4" t="n">
        <v>50</v>
      </c>
      <c r="M4030" s="2" t="inlineStr">
        <is>
          <t>20 GB de franquia 30 GB de bônus</t>
        </is>
      </c>
      <c r="N4030" s="2" t="inlineStr"/>
      <c r="O4030" s="2" t="inlineStr"/>
      <c r="P4030" s="2" t="inlineStr"/>
      <c r="Q4030" s="2" t="inlineStr"/>
      <c r="R4030" s="2" t="inlineStr"/>
      <c r="S4030" s="2" t="inlineStr"/>
      <c r="T4030" s="2" t="inlineStr">
        <is>
          <t>Assinatura Vivo TV Inicial inclusa</t>
        </is>
      </c>
      <c r="U4030" s="2" t="inlineStr">
        <is>
          <t>https://vivo.com.br/para-voce/produtos-e-servicos/para-o-celular/planos-controle</t>
        </is>
      </c>
      <c r="V4030" s="2" t="inlineStr">
        <is>
          <t>data/raw/vivo_control_SP.html</t>
        </is>
      </c>
    </row>
    <row r="4031">
      <c r="A4031" s="5" t="inlineStr">
        <is>
          <t>2026-09-01</t>
        </is>
      </c>
      <c r="B4031" s="5" t="inlineStr">
        <is>
          <t>2026-09-01T19:58:06</t>
        </is>
      </c>
      <c r="C4031" s="5" t="inlineStr">
        <is>
          <t>vivo</t>
        </is>
      </c>
      <c r="D4031" s="5" t="inlineStr">
        <is>
          <t>control</t>
        </is>
      </c>
      <c r="E4031" s="5" t="inlineStr">
        <is>
          <t>SP</t>
        </is>
      </c>
      <c r="F4031" s="5" t="inlineStr">
        <is>
          <t>Vivo Controle Música</t>
        </is>
      </c>
      <c r="G4031" s="5" t="inlineStr">
        <is>
          <t>vivo:VIV202600034620</t>
        </is>
      </c>
      <c r="H4031" s="6" t="n">
        <v>85</v>
      </c>
      <c r="I4031" s="6" t="inlineStr"/>
      <c r="J4031" s="5" t="inlineStr">
        <is>
          <t>preço-base do plano; a tela exibia R$ 90 com o adicional pré-selecionado (+R$ 5/mês, opcional); 60 GB na tela incluem +10 GB do adicional</t>
        </is>
      </c>
      <c r="K4031" s="5" t="inlineStr"/>
      <c r="L4031" s="7" t="n">
        <v>50</v>
      </c>
      <c r="M4031" s="5" t="inlineStr">
        <is>
          <t>20 GB de franquia 30 GB de bônus</t>
        </is>
      </c>
      <c r="N4031" s="5" t="inlineStr"/>
      <c r="O4031" s="5" t="inlineStr"/>
      <c r="P4031" s="5" t="inlineStr"/>
      <c r="Q4031" s="5" t="inlineStr"/>
      <c r="R4031" s="5" t="inlineStr"/>
      <c r="S4031" s="5" t="inlineStr"/>
      <c r="T4031" s="5" t="inlineStr">
        <is>
          <t>Apple Music Individual</t>
        </is>
      </c>
      <c r="U4031" s="5" t="inlineStr">
        <is>
          <t>https://vivo.com.br/para-voce/produtos-e-servicos/para-o-celular/planos-controle</t>
        </is>
      </c>
      <c r="V4031" s="5" t="inlineStr">
        <is>
          <t>data/raw/vivo_control_SP.html</t>
        </is>
      </c>
    </row>
    <row r="4032">
      <c r="A4032" s="2" t="inlineStr">
        <is>
          <t>2026-09-01</t>
        </is>
      </c>
      <c r="B4032" s="2" t="inlineStr">
        <is>
          <t>2026-09-01T19:58:06</t>
        </is>
      </c>
      <c r="C4032" s="2" t="inlineStr">
        <is>
          <t>vivo</t>
        </is>
      </c>
      <c r="D4032" s="2" t="inlineStr">
        <is>
          <t>control</t>
        </is>
      </c>
      <c r="E4032" s="2" t="inlineStr">
        <is>
          <t>SP</t>
        </is>
      </c>
      <c r="F4032" s="2" t="inlineStr">
        <is>
          <t>Vivo Controle Netflix</t>
        </is>
      </c>
      <c r="G4032" s="2" t="inlineStr">
        <is>
          <t>vivo:VIV202600034623</t>
        </is>
      </c>
      <c r="H4032" s="3" t="n">
        <v>90</v>
      </c>
      <c r="I4032" s="3" t="inlineStr"/>
      <c r="J4032" s="2" t="inlineStr">
        <is>
          <t>preço-base do plano; a tela exibia R$ 95 com o adicional pré-selecionado (+R$ 5/mês, opcional); 60 GB na tela incluem +10 GB do adicional</t>
        </is>
      </c>
      <c r="K4032" s="2" t="inlineStr"/>
      <c r="L4032" s="4" t="n">
        <v>50</v>
      </c>
      <c r="M4032" s="2" t="inlineStr">
        <is>
          <t>20 GB de franquia 30 GB de bônus</t>
        </is>
      </c>
      <c r="N4032" s="2" t="inlineStr"/>
      <c r="O4032" s="2" t="inlineStr"/>
      <c r="P4032" s="2" t="inlineStr"/>
      <c r="Q4032" s="2" t="inlineStr"/>
      <c r="R4032" s="2" t="inlineStr"/>
      <c r="S4032" s="2" t="inlineStr"/>
      <c r="T4032" s="2" t="inlineStr">
        <is>
          <t>Assinatura Netflix Padrão com anúncios</t>
        </is>
      </c>
      <c r="U4032" s="2" t="inlineStr">
        <is>
          <t>https://vivo.com.br/para-voce/produtos-e-servicos/para-o-celular/planos-controle</t>
        </is>
      </c>
      <c r="V4032" s="2" t="inlineStr">
        <is>
          <t>data/raw/vivo_control_SP.html</t>
        </is>
      </c>
    </row>
    <row r="4033">
      <c r="A4033" s="5" t="inlineStr">
        <is>
          <t>2026-09-01</t>
        </is>
      </c>
      <c r="B4033" s="5" t="inlineStr">
        <is>
          <t>2026-09-01T19:58:06</t>
        </is>
      </c>
      <c r="C4033" s="5" t="inlineStr">
        <is>
          <t>vivo</t>
        </is>
      </c>
      <c r="D4033" s="5" t="inlineStr">
        <is>
          <t>control</t>
        </is>
      </c>
      <c r="E4033" s="5" t="inlineStr">
        <is>
          <t>SP</t>
        </is>
      </c>
      <c r="F4033" s="5" t="inlineStr">
        <is>
          <t>Vivo Controle Saúde</t>
        </is>
      </c>
      <c r="G4033" s="5" t="inlineStr">
        <is>
          <t>vivo:VIV202600034625</t>
        </is>
      </c>
      <c r="H4033" s="6" t="n">
        <v>85</v>
      </c>
      <c r="I4033" s="6" t="inlineStr"/>
      <c r="J4033" s="5" t="inlineStr">
        <is>
          <t>preço-base do plano; a tela exibia R$ 90 com o adicional pré-selecionado (+R$ 5/mês, opcional); 60 GB na tela incluem +10 GB do adicional</t>
        </is>
      </c>
      <c r="K4033" s="5" t="inlineStr"/>
      <c r="L4033" s="7" t="n">
        <v>50</v>
      </c>
      <c r="M4033" s="5" t="inlineStr">
        <is>
          <t>20 GB de franquia 30 GB de bônus</t>
        </is>
      </c>
      <c r="N4033" s="5" t="inlineStr"/>
      <c r="O4033" s="5" t="inlineStr"/>
      <c r="P4033" s="5" t="inlineStr"/>
      <c r="Q4033" s="5" t="inlineStr"/>
      <c r="R4033" s="5" t="inlineStr"/>
      <c r="S4033" s="5" t="inlineStr"/>
      <c r="T4033" s="5" t="inlineStr">
        <is>
          <t>Assinatura Vale Saúde Sempre inclusa</t>
        </is>
      </c>
      <c r="U4033" s="5" t="inlineStr">
        <is>
          <t>https://vivo.com.br/para-voce/produtos-e-servicos/para-o-celular/planos-controle</t>
        </is>
      </c>
      <c r="V4033" s="5" t="inlineStr">
        <is>
          <t>data/raw/vivo_control_SP.html</t>
        </is>
      </c>
    </row>
    <row r="4034">
      <c r="A4034" s="2" t="inlineStr">
        <is>
          <t>2026-09-01</t>
        </is>
      </c>
      <c r="B4034" s="2" t="inlineStr">
        <is>
          <t>2026-09-01T19:58:06</t>
        </is>
      </c>
      <c r="C4034" s="2" t="inlineStr">
        <is>
          <t>vivo</t>
        </is>
      </c>
      <c r="D4034" s="2" t="inlineStr">
        <is>
          <t>control</t>
        </is>
      </c>
      <c r="E4034" s="2" t="inlineStr">
        <is>
          <t>SP</t>
        </is>
      </c>
      <c r="F4034" s="2" t="inlineStr">
        <is>
          <t>Vivo Controle Youtube Lite</t>
        </is>
      </c>
      <c r="G4034" s="2" t="inlineStr">
        <is>
          <t>vivo:VIV202600034626</t>
        </is>
      </c>
      <c r="H4034" s="3" t="n">
        <v>85</v>
      </c>
      <c r="I4034" s="3" t="inlineStr"/>
      <c r="J4034" s="2" t="inlineStr">
        <is>
          <t>preço-base do plano; a tela exibia R$ 90 com o adicional pré-selecionado (+R$ 5/mês, opcional); 60 GB na tela incluem +10 GB do adicional</t>
        </is>
      </c>
      <c r="K4034" s="2" t="inlineStr"/>
      <c r="L4034" s="4" t="n">
        <v>50</v>
      </c>
      <c r="M4034" s="2" t="inlineStr">
        <is>
          <t>20 GB de franquia 30 GB de bônus</t>
        </is>
      </c>
      <c r="N4034" s="2" t="inlineStr"/>
      <c r="O4034" s="2" t="inlineStr"/>
      <c r="P4034" s="2" t="inlineStr"/>
      <c r="Q4034" s="2" t="inlineStr"/>
      <c r="R4034" s="2" t="inlineStr"/>
      <c r="S4034" s="2" t="inlineStr"/>
      <c r="T4034" s="2" t="inlineStr">
        <is>
          <t>Assinatura Youtube Premium Lite Inclusa</t>
        </is>
      </c>
      <c r="U4034" s="2" t="inlineStr">
        <is>
          <t>https://vivo.com.br/para-voce/produtos-e-servicos/para-o-celular/planos-controle</t>
        </is>
      </c>
      <c r="V4034" s="2" t="inlineStr">
        <is>
          <t>data/raw/vivo_control_SP.html</t>
        </is>
      </c>
    </row>
    <row r="4035">
      <c r="A4035" s="5" t="inlineStr">
        <is>
          <t>2026-09-01</t>
        </is>
      </c>
      <c r="B4035" s="5" t="inlineStr">
        <is>
          <t>2026-09-01T19:58:06</t>
        </is>
      </c>
      <c r="C4035" s="5" t="inlineStr">
        <is>
          <t>vivo</t>
        </is>
      </c>
      <c r="D4035" s="5" t="inlineStr">
        <is>
          <t>lite</t>
        </is>
      </c>
      <c r="E4035" s="5" t="inlineStr">
        <is>
          <t>SP</t>
        </is>
      </c>
      <c r="F4035" s="5" t="inlineStr">
        <is>
          <t>Vivo Lite</t>
        </is>
      </c>
      <c r="G4035" s="5" t="inlineStr">
        <is>
          <t>vivo:VIV202600038808</t>
        </is>
      </c>
      <c r="H4035" s="6" t="n">
        <v>45</v>
      </c>
      <c r="I4035" s="6" t="n">
        <v>30</v>
      </c>
      <c r="J4035" s="5" t="inlineStr">
        <is>
          <t>preço sem fidelidade; fidelidade 12m no promo</t>
        </is>
      </c>
      <c r="K4035" s="5" t="inlineStr"/>
      <c r="L4035" s="7" t="n">
        <v>30</v>
      </c>
      <c r="M4035" s="5" t="inlineStr">
        <is>
          <t>30 GB de franquia</t>
        </is>
      </c>
      <c r="N4035" s="5" t="inlineStr"/>
      <c r="O4035" s="5" t="inlineStr"/>
      <c r="P4035" s="5" t="inlineStr"/>
      <c r="Q4035" s="5" t="inlineStr"/>
      <c r="R4035" s="5" t="inlineStr"/>
      <c r="S4035" s="5" t="n">
        <v>12</v>
      </c>
      <c r="T4035" s="5" t="inlineStr"/>
      <c r="U4035" s="5" t="inlineStr">
        <is>
          <t>https://vivo.com.br/para-voce/produtos-e-servicos/para-o-celular/easy-lite</t>
        </is>
      </c>
      <c r="V4035" s="5" t="inlineStr">
        <is>
          <t>data/raw/vivo_lite_SP.html</t>
        </is>
      </c>
    </row>
    <row r="4036">
      <c r="A4036" s="2" t="inlineStr">
        <is>
          <t>2026-09-01</t>
        </is>
      </c>
      <c r="B4036" s="2" t="inlineStr">
        <is>
          <t>2026-09-01T19:58:06</t>
        </is>
      </c>
      <c r="C4036" s="2" t="inlineStr">
        <is>
          <t>vivo</t>
        </is>
      </c>
      <c r="D4036" s="2" t="inlineStr">
        <is>
          <t>lite</t>
        </is>
      </c>
      <c r="E4036" s="2" t="inlineStr">
        <is>
          <t>SP</t>
        </is>
      </c>
      <c r="F4036" s="2" t="inlineStr">
        <is>
          <t>Vivo Lite</t>
        </is>
      </c>
      <c r="G4036" s="2" t="inlineStr">
        <is>
          <t>vivo:VIV202600038810</t>
        </is>
      </c>
      <c r="H4036" s="3" t="n">
        <v>55</v>
      </c>
      <c r="I4036" s="3" t="n">
        <v>40</v>
      </c>
      <c r="J4036" s="2" t="inlineStr">
        <is>
          <t>preço sem fidelidade; fidelidade 12m no promo</t>
        </is>
      </c>
      <c r="K4036" s="2" t="inlineStr"/>
      <c r="L4036" s="4" t="n">
        <v>40</v>
      </c>
      <c r="M4036" s="2" t="inlineStr">
        <is>
          <t>40 GB de franquia</t>
        </is>
      </c>
      <c r="N4036" s="2" t="inlineStr"/>
      <c r="O4036" s="2" t="inlineStr"/>
      <c r="P4036" s="2" t="inlineStr"/>
      <c r="Q4036" s="2" t="inlineStr"/>
      <c r="R4036" s="2" t="inlineStr"/>
      <c r="S4036" s="2" t="n">
        <v>12</v>
      </c>
      <c r="T4036" s="2" t="inlineStr"/>
      <c r="U4036" s="2" t="inlineStr">
        <is>
          <t>https://vivo.com.br/para-voce/produtos-e-servicos/para-o-celular/easy-lite</t>
        </is>
      </c>
      <c r="V4036" s="2" t="inlineStr">
        <is>
          <t>data/raw/vivo_lite_SP.html</t>
        </is>
      </c>
    </row>
    <row r="4037">
      <c r="A4037" s="5" t="inlineStr">
        <is>
          <t>2026-09-01</t>
        </is>
      </c>
      <c r="B4037" s="5" t="inlineStr">
        <is>
          <t>2026-09-01T19:58:06</t>
        </is>
      </c>
      <c r="C4037" s="5" t="inlineStr">
        <is>
          <t>vivo</t>
        </is>
      </c>
      <c r="D4037" s="5" t="inlineStr">
        <is>
          <t>lite</t>
        </is>
      </c>
      <c r="E4037" s="5" t="inlineStr">
        <is>
          <t>SP</t>
        </is>
      </c>
      <c r="F4037" s="5" t="inlineStr">
        <is>
          <t>Vivo Lite</t>
        </is>
      </c>
      <c r="G4037" s="5" t="inlineStr">
        <is>
          <t>vivo:VIV202600038814</t>
        </is>
      </c>
      <c r="H4037" s="6" t="n">
        <v>35</v>
      </c>
      <c r="I4037" s="6" t="inlineStr"/>
      <c r="J4037" s="5" t="inlineStr"/>
      <c r="K4037" s="5" t="inlineStr"/>
      <c r="L4037" s="7" t="n">
        <v>20</v>
      </c>
      <c r="M4037" s="5" t="inlineStr">
        <is>
          <t>20 GB de franquia</t>
        </is>
      </c>
      <c r="N4037" s="5" t="inlineStr"/>
      <c r="O4037" s="5" t="inlineStr"/>
      <c r="P4037" s="5" t="inlineStr"/>
      <c r="Q4037" s="5" t="inlineStr"/>
      <c r="R4037" s="5" t="inlineStr"/>
      <c r="S4037" s="5" t="inlineStr"/>
      <c r="T4037" s="5" t="inlineStr"/>
      <c r="U4037" s="5" t="inlineStr">
        <is>
          <t>https://vivo.com.br/para-voce/produtos-e-servicos/para-o-celular/easy-lite</t>
        </is>
      </c>
      <c r="V4037" s="5" t="inlineStr">
        <is>
          <t>data/raw/vivo_lite_SP.html</t>
        </is>
      </c>
    </row>
    <row r="4038">
      <c r="A4038" s="2" t="inlineStr">
        <is>
          <t>2026-09-01</t>
        </is>
      </c>
      <c r="B4038" s="2" t="inlineStr">
        <is>
          <t>2026-09-01T19:58:06</t>
        </is>
      </c>
      <c r="C4038" s="2" t="inlineStr">
        <is>
          <t>vivo</t>
        </is>
      </c>
      <c r="D4038" s="2" t="inlineStr">
        <is>
          <t>postpaid</t>
        </is>
      </c>
      <c r="E4038" s="2" t="inlineStr">
        <is>
          <t>SP</t>
        </is>
      </c>
      <c r="F4038" s="2" t="inlineStr">
        <is>
          <t>Vivo Família 2</t>
        </is>
      </c>
      <c r="G4038" s="2" t="inlineStr">
        <is>
          <t>vivo:VIV202600034547</t>
        </is>
      </c>
      <c r="H4038" s="3" t="n">
        <v>270</v>
      </c>
      <c r="I4038" s="3" t="inlineStr"/>
      <c r="J4038" s="2" t="inlineStr"/>
      <c r="K4038" s="2" t="inlineStr"/>
      <c r="L4038" s="4" t="n">
        <v>120</v>
      </c>
      <c r="M4038" s="2" t="inlineStr">
        <is>
          <t>120 GB de franquia Você + 1 linha adicional Roaming Internacional com Vivo Travel Américas e Europa</t>
        </is>
      </c>
      <c r="N4038" s="2" t="inlineStr"/>
      <c r="O4038" s="2" t="inlineStr"/>
      <c r="P4038" s="2" t="inlineStr"/>
      <c r="Q4038" s="2" t="inlineStr"/>
      <c r="R4038" s="2" t="inlineStr"/>
      <c r="S4038" s="2" t="inlineStr"/>
      <c r="T4038" s="2" t="inlineStr">
        <is>
          <t>12 meses grátis de Gemini com AI Plus</t>
        </is>
      </c>
      <c r="U4038" s="2" t="inlineStr">
        <is>
          <t>https://vivo.com.br/para-voce/produtos-e-servicos/para-o-celular/planos-pos-pago</t>
        </is>
      </c>
      <c r="V4038" s="2" t="inlineStr">
        <is>
          <t>data/raw/vivo_postpaid_SP.html</t>
        </is>
      </c>
    </row>
    <row r="4039">
      <c r="A4039" s="5" t="inlineStr">
        <is>
          <t>2026-09-01</t>
        </is>
      </c>
      <c r="B4039" s="5" t="inlineStr">
        <is>
          <t>2026-09-01T19:58:06</t>
        </is>
      </c>
      <c r="C4039" s="5" t="inlineStr">
        <is>
          <t>vivo</t>
        </is>
      </c>
      <c r="D4039" s="5" t="inlineStr">
        <is>
          <t>postpaid</t>
        </is>
      </c>
      <c r="E4039" s="5" t="inlineStr">
        <is>
          <t>SP</t>
        </is>
      </c>
      <c r="F4039" s="5" t="inlineStr">
        <is>
          <t>Vivo Família 3</t>
        </is>
      </c>
      <c r="G4039" s="5" t="inlineStr">
        <is>
          <t>vivo:VIV202600034540</t>
        </is>
      </c>
      <c r="H4039" s="6" t="n">
        <v>340</v>
      </c>
      <c r="I4039" s="6" t="inlineStr"/>
      <c r="J4039" s="5" t="inlineStr"/>
      <c r="K4039" s="5" t="inlineStr"/>
      <c r="L4039" s="7" t="n">
        <v>180</v>
      </c>
      <c r="M4039" s="5" t="inlineStr">
        <is>
          <t>180 GB de franquia Você + 2 linhas adicionais Roaming Internacional com Vivo Travel Américas e Europa</t>
        </is>
      </c>
      <c r="N4039" s="5" t="inlineStr"/>
      <c r="O4039" s="5" t="inlineStr"/>
      <c r="P4039" s="5" t="inlineStr"/>
      <c r="Q4039" s="5" t="inlineStr"/>
      <c r="R4039" s="5" t="inlineStr"/>
      <c r="S4039" s="5" t="inlineStr"/>
      <c r="T4039" s="5" t="inlineStr">
        <is>
          <t>12 meses grátis de Gemini com AI Plus</t>
        </is>
      </c>
      <c r="U4039" s="5" t="inlineStr">
        <is>
          <t>https://vivo.com.br/para-voce/produtos-e-servicos/para-o-celular/planos-pos-pago</t>
        </is>
      </c>
      <c r="V4039" s="5" t="inlineStr">
        <is>
          <t>data/raw/vivo_postpaid_SP.html</t>
        </is>
      </c>
    </row>
    <row r="4040">
      <c r="A4040" s="2" t="inlineStr">
        <is>
          <t>2026-09-01</t>
        </is>
      </c>
      <c r="B4040" s="2" t="inlineStr">
        <is>
          <t>2026-09-01T19:58:06</t>
        </is>
      </c>
      <c r="C4040" s="2" t="inlineStr">
        <is>
          <t>vivo</t>
        </is>
      </c>
      <c r="D4040" s="2" t="inlineStr">
        <is>
          <t>postpaid</t>
        </is>
      </c>
      <c r="E4040" s="2" t="inlineStr">
        <is>
          <t>SP</t>
        </is>
      </c>
      <c r="F4040" s="2" t="inlineStr">
        <is>
          <t>Vivo Família 4</t>
        </is>
      </c>
      <c r="G4040" s="2" t="inlineStr">
        <is>
          <t>vivo:VIV202600034531</t>
        </is>
      </c>
      <c r="H4040" s="3" t="n">
        <v>430</v>
      </c>
      <c r="I4040" s="3" t="inlineStr"/>
      <c r="J4040" s="2" t="inlineStr"/>
      <c r="K4040" s="2" t="inlineStr"/>
      <c r="L4040" s="4" t="n">
        <v>240</v>
      </c>
      <c r="M4040" s="2" t="inlineStr">
        <is>
          <t>240 GB de franquia Você + 3 linhas adicionais Roaming Internacional com Vivo Travel Américas e Europa</t>
        </is>
      </c>
      <c r="N4040" s="2" t="inlineStr"/>
      <c r="O4040" s="2" t="inlineStr"/>
      <c r="P4040" s="2" t="inlineStr"/>
      <c r="Q4040" s="2" t="inlineStr"/>
      <c r="R4040" s="2" t="inlineStr"/>
      <c r="S4040" s="2" t="inlineStr"/>
      <c r="T4040" s="2" t="inlineStr">
        <is>
          <t>12 meses grátis de Gemini com AI Plus</t>
        </is>
      </c>
      <c r="U4040" s="2" t="inlineStr">
        <is>
          <t>https://vivo.com.br/para-voce/produtos-e-servicos/para-o-celular/planos-pos-pago</t>
        </is>
      </c>
      <c r="V4040" s="2" t="inlineStr">
        <is>
          <t>data/raw/vivo_postpaid_SP.html</t>
        </is>
      </c>
    </row>
    <row r="4041">
      <c r="A4041" s="5" t="inlineStr">
        <is>
          <t>2026-09-01</t>
        </is>
      </c>
      <c r="B4041" s="5" t="inlineStr">
        <is>
          <t>2026-09-01T19:58:06</t>
        </is>
      </c>
      <c r="C4041" s="5" t="inlineStr">
        <is>
          <t>vivo</t>
        </is>
      </c>
      <c r="D4041" s="5" t="inlineStr">
        <is>
          <t>postpaid</t>
        </is>
      </c>
      <c r="E4041" s="5" t="inlineStr">
        <is>
          <t>SP</t>
        </is>
      </c>
      <c r="F4041" s="5" t="inlineStr">
        <is>
          <t>Vivo Família 5</t>
        </is>
      </c>
      <c r="G4041" s="5" t="inlineStr">
        <is>
          <t>vivo:VIV202600034526</t>
        </is>
      </c>
      <c r="H4041" s="6" t="n">
        <v>530</v>
      </c>
      <c r="I4041" s="6" t="inlineStr"/>
      <c r="J4041" s="5" t="inlineStr"/>
      <c r="K4041" s="5" t="inlineStr"/>
      <c r="L4041" s="7" t="n">
        <v>300</v>
      </c>
      <c r="M4041" s="5" t="inlineStr">
        <is>
          <t>300 GB de franquia Você + 4 linhas adicionais Roaming Internacional com Vivo Travel Américas e Europa</t>
        </is>
      </c>
      <c r="N4041" s="5" t="inlineStr"/>
      <c r="O4041" s="5" t="inlineStr"/>
      <c r="P4041" s="5" t="inlineStr"/>
      <c r="Q4041" s="5" t="inlineStr"/>
      <c r="R4041" s="5" t="inlineStr"/>
      <c r="S4041" s="5" t="inlineStr"/>
      <c r="T4041" s="5" t="inlineStr">
        <is>
          <t>12 meses grátis de Gemini com AI Plus</t>
        </is>
      </c>
      <c r="U4041" s="5" t="inlineStr">
        <is>
          <t>https://vivo.com.br/para-voce/produtos-e-servicos/para-o-celular/planos-pos-pago</t>
        </is>
      </c>
      <c r="V4041" s="5" t="inlineStr">
        <is>
          <t>data/raw/vivo_postpaid_SP.html</t>
        </is>
      </c>
    </row>
    <row r="4042">
      <c r="A4042" s="2" t="inlineStr">
        <is>
          <t>2026-09-01</t>
        </is>
      </c>
      <c r="B4042" s="2" t="inlineStr">
        <is>
          <t>2026-09-01T19:58:06</t>
        </is>
      </c>
      <c r="C4042" s="2" t="inlineStr">
        <is>
          <t>vivo</t>
        </is>
      </c>
      <c r="D4042" s="2" t="inlineStr">
        <is>
          <t>postpaid</t>
        </is>
      </c>
      <c r="E4042" s="2" t="inlineStr">
        <is>
          <t>SP</t>
        </is>
      </c>
      <c r="F4042" s="2" t="inlineStr">
        <is>
          <t>Vivo Pós com Amazon</t>
        </is>
      </c>
      <c r="G4042" s="2" t="inlineStr">
        <is>
          <t>vivo:VIV202600034554</t>
        </is>
      </c>
      <c r="H4042" s="3" t="n">
        <v>150</v>
      </c>
      <c r="I4042" s="3" t="inlineStr"/>
      <c r="J4042" s="2" t="inlineStr"/>
      <c r="K4042" s="2" t="inlineStr"/>
      <c r="L4042" s="4" t="n">
        <v>60</v>
      </c>
      <c r="M4042" s="2" t="inlineStr">
        <is>
          <t>50 GB de franquia 10 GB de bônus</t>
        </is>
      </c>
      <c r="N4042" s="2" t="inlineStr"/>
      <c r="O4042" s="2" t="inlineStr"/>
      <c r="P4042" s="2" t="inlineStr"/>
      <c r="Q4042" s="2" t="inlineStr"/>
      <c r="R4042" s="2" t="inlineStr"/>
      <c r="S4042" s="2" t="inlineStr"/>
      <c r="T4042" s="2" t="inlineStr">
        <is>
          <t>Assinatura Amazon Prime inclusa</t>
        </is>
      </c>
      <c r="U4042" s="2" t="inlineStr">
        <is>
          <t>https://vivo.com.br/para-voce/produtos-e-servicos/para-o-celular/planos-pos-pago</t>
        </is>
      </c>
      <c r="V4042" s="2" t="inlineStr">
        <is>
          <t>data/raw/vivo_postpaid_SP.html</t>
        </is>
      </c>
    </row>
    <row r="4043">
      <c r="A4043" s="5" t="inlineStr">
        <is>
          <t>2026-09-01</t>
        </is>
      </c>
      <c r="B4043" s="5" t="inlineStr">
        <is>
          <t>2026-09-01T19:58:06</t>
        </is>
      </c>
      <c r="C4043" s="5" t="inlineStr">
        <is>
          <t>vivo</t>
        </is>
      </c>
      <c r="D4043" s="5" t="inlineStr">
        <is>
          <t>postpaid</t>
        </is>
      </c>
      <c r="E4043" s="5" t="inlineStr">
        <is>
          <t>SP</t>
        </is>
      </c>
      <c r="F4043" s="5" t="inlineStr">
        <is>
          <t>Vivo Pós com Disney+</t>
        </is>
      </c>
      <c r="G4043" s="5" t="inlineStr">
        <is>
          <t>vivo:VIV202600034532</t>
        </is>
      </c>
      <c r="H4043" s="6" t="n">
        <v>180</v>
      </c>
      <c r="I4043" s="6" t="inlineStr"/>
      <c r="J4043" s="5" t="inlineStr"/>
      <c r="K4043" s="5" t="inlineStr"/>
      <c r="L4043" s="7" t="n">
        <v>60</v>
      </c>
      <c r="M4043" s="5" t="inlineStr">
        <is>
          <t>50 GB de franquia 10 GB de bônus</t>
        </is>
      </c>
      <c r="N4043" s="5" t="inlineStr"/>
      <c r="O4043" s="5" t="inlineStr"/>
      <c r="P4043" s="5" t="inlineStr"/>
      <c r="Q4043" s="5" t="inlineStr"/>
      <c r="R4043" s="5" t="inlineStr">
        <is>
          <t>Disney+</t>
        </is>
      </c>
      <c r="S4043" s="5" t="inlineStr"/>
      <c r="T4043" s="5" t="inlineStr">
        <is>
          <t>Assinatura Disney+ Padrão inclusa</t>
        </is>
      </c>
      <c r="U4043" s="5" t="inlineStr">
        <is>
          <t>https://vivo.com.br/para-voce/produtos-e-servicos/para-o-celular/planos-pos-pago</t>
        </is>
      </c>
      <c r="V4043" s="5" t="inlineStr">
        <is>
          <t>data/raw/vivo_postpaid_SP.html</t>
        </is>
      </c>
    </row>
    <row r="4044">
      <c r="A4044" s="2" t="inlineStr">
        <is>
          <t>2026-09-01</t>
        </is>
      </c>
      <c r="B4044" s="2" t="inlineStr">
        <is>
          <t>2026-09-01T19:58:06</t>
        </is>
      </c>
      <c r="C4044" s="2" t="inlineStr">
        <is>
          <t>vivo</t>
        </is>
      </c>
      <c r="D4044" s="2" t="inlineStr">
        <is>
          <t>postpaid</t>
        </is>
      </c>
      <c r="E4044" s="2" t="inlineStr">
        <is>
          <t>SP</t>
        </is>
      </c>
      <c r="F4044" s="2" t="inlineStr">
        <is>
          <t>Vivo Pós com Globoplay</t>
        </is>
      </c>
      <c r="G4044" s="2" t="inlineStr">
        <is>
          <t>vivo:VIV202600034575</t>
        </is>
      </c>
      <c r="H4044" s="3" t="n">
        <v>165</v>
      </c>
      <c r="I4044" s="3" t="inlineStr"/>
      <c r="J4044" s="2" t="inlineStr"/>
      <c r="K4044" s="2" t="inlineStr"/>
      <c r="L4044" s="4" t="n">
        <v>60</v>
      </c>
      <c r="M4044" s="2" t="inlineStr">
        <is>
          <t>50 GB de franquia 10 GB de bônus</t>
        </is>
      </c>
      <c r="N4044" s="2" t="inlineStr"/>
      <c r="O4044" s="2" t="inlineStr"/>
      <c r="P4044" s="2" t="inlineStr"/>
      <c r="Q4044" s="2" t="inlineStr"/>
      <c r="R4044" s="2" t="inlineStr">
        <is>
          <t>Globoplay</t>
        </is>
      </c>
      <c r="S4044" s="2" t="inlineStr"/>
      <c r="T4044" s="2" t="inlineStr">
        <is>
          <t>Assinatura Globoplay inclusa</t>
        </is>
      </c>
      <c r="U4044" s="2" t="inlineStr">
        <is>
          <t>https://vivo.com.br/para-voce/produtos-e-servicos/para-o-celular/planos-pos-pago</t>
        </is>
      </c>
      <c r="V4044" s="2" t="inlineStr">
        <is>
          <t>data/raw/vivo_postpaid_SP.html</t>
        </is>
      </c>
    </row>
    <row r="4045">
      <c r="A4045" s="5" t="inlineStr">
        <is>
          <t>2026-09-01</t>
        </is>
      </c>
      <c r="B4045" s="5" t="inlineStr">
        <is>
          <t>2026-09-01T19:58:06</t>
        </is>
      </c>
      <c r="C4045" s="5" t="inlineStr">
        <is>
          <t>vivo</t>
        </is>
      </c>
      <c r="D4045" s="5" t="inlineStr">
        <is>
          <t>postpaid</t>
        </is>
      </c>
      <c r="E4045" s="5" t="inlineStr">
        <is>
          <t>SP</t>
        </is>
      </c>
      <c r="F4045" s="5" t="inlineStr">
        <is>
          <t>Vivo Pós com Netflix</t>
        </is>
      </c>
      <c r="G4045" s="5" t="inlineStr">
        <is>
          <t>vivo:VIV202600034562</t>
        </is>
      </c>
      <c r="H4045" s="6" t="n">
        <v>180</v>
      </c>
      <c r="I4045" s="6" t="inlineStr"/>
      <c r="J4045" s="5" t="inlineStr"/>
      <c r="K4045" s="5" t="inlineStr"/>
      <c r="L4045" s="7" t="n">
        <v>60</v>
      </c>
      <c r="M4045" s="5" t="inlineStr">
        <is>
          <t>50 GB de franquia 10 GB de bônus</t>
        </is>
      </c>
      <c r="N4045" s="5" t="inlineStr"/>
      <c r="O4045" s="5" t="inlineStr"/>
      <c r="P4045" s="5" t="inlineStr"/>
      <c r="Q4045" s="5" t="inlineStr"/>
      <c r="R4045" s="5" t="inlineStr">
        <is>
          <t>Netflix</t>
        </is>
      </c>
      <c r="S4045" s="5" t="inlineStr"/>
      <c r="T4045" s="5" t="inlineStr">
        <is>
          <t>Assinatura Netflix Padrão inclusa</t>
        </is>
      </c>
      <c r="U4045" s="5" t="inlineStr">
        <is>
          <t>https://vivo.com.br/para-voce/produtos-e-servicos/para-o-celular/planos-pos-pago</t>
        </is>
      </c>
      <c r="V4045" s="5" t="inlineStr">
        <is>
          <t>data/raw/vivo_postpaid_SP.html</t>
        </is>
      </c>
    </row>
    <row r="4046">
      <c r="A4046" s="2" t="inlineStr">
        <is>
          <t>2026-09-01</t>
        </is>
      </c>
      <c r="B4046" s="2" t="inlineStr">
        <is>
          <t>2026-09-01T19:58:06</t>
        </is>
      </c>
      <c r="C4046" s="2" t="inlineStr">
        <is>
          <t>vivo</t>
        </is>
      </c>
      <c r="D4046" s="2" t="inlineStr">
        <is>
          <t>postpaid</t>
        </is>
      </c>
      <c r="E4046" s="2" t="inlineStr">
        <is>
          <t>SP</t>
        </is>
      </c>
      <c r="F4046" s="2" t="inlineStr">
        <is>
          <t>Vivo Pós com Premiere</t>
        </is>
      </c>
      <c r="G4046" s="2" t="inlineStr">
        <is>
          <t>vivo:VIV202600034579</t>
        </is>
      </c>
      <c r="H4046" s="3" t="n">
        <v>180</v>
      </c>
      <c r="I4046" s="3" t="inlineStr"/>
      <c r="J4046" s="2" t="inlineStr"/>
      <c r="K4046" s="2" t="inlineStr"/>
      <c r="L4046" s="4" t="n">
        <v>60</v>
      </c>
      <c r="M4046" s="2" t="inlineStr">
        <is>
          <t>50 GB de franquia 10 GB de bônus</t>
        </is>
      </c>
      <c r="N4046" s="2" t="inlineStr"/>
      <c r="O4046" s="2" t="inlineStr"/>
      <c r="P4046" s="2" t="inlineStr"/>
      <c r="Q4046" s="2" t="inlineStr"/>
      <c r="R4046" s="2" t="inlineStr">
        <is>
          <t>Premiere</t>
        </is>
      </c>
      <c r="S4046" s="2" t="inlineStr"/>
      <c r="T4046" s="2" t="inlineStr">
        <is>
          <t>Assinatura Premiere inclusa</t>
        </is>
      </c>
      <c r="U4046" s="2" t="inlineStr">
        <is>
          <t>https://vivo.com.br/para-voce/produtos-e-servicos/para-o-celular/planos-pos-pago</t>
        </is>
      </c>
      <c r="V4046" s="2" t="inlineStr">
        <is>
          <t>data/raw/vivo_postpaid_SP.html</t>
        </is>
      </c>
    </row>
    <row r="4047">
      <c r="A4047" s="5" t="inlineStr">
        <is>
          <t>2026-09-01</t>
        </is>
      </c>
      <c r="B4047" s="5" t="inlineStr">
        <is>
          <t>2026-09-01T19:58:06</t>
        </is>
      </c>
      <c r="C4047" s="5" t="inlineStr">
        <is>
          <t>vivo</t>
        </is>
      </c>
      <c r="D4047" s="5" t="inlineStr">
        <is>
          <t>postpaid</t>
        </is>
      </c>
      <c r="E4047" s="5" t="inlineStr">
        <is>
          <t>SP</t>
        </is>
      </c>
      <c r="F4047" s="5" t="inlineStr">
        <is>
          <t>Vivo Pós com Spotify</t>
        </is>
      </c>
      <c r="G4047" s="5" t="inlineStr">
        <is>
          <t>vivo:VIV202600034556</t>
        </is>
      </c>
      <c r="H4047" s="6" t="n">
        <v>165</v>
      </c>
      <c r="I4047" s="6" t="inlineStr"/>
      <c r="J4047" s="5" t="inlineStr"/>
      <c r="K4047" s="5" t="inlineStr"/>
      <c r="L4047" s="7" t="n">
        <v>60</v>
      </c>
      <c r="M4047" s="5" t="inlineStr">
        <is>
          <t>50 GB de franquia 10 GB de bônus</t>
        </is>
      </c>
      <c r="N4047" s="5" t="inlineStr"/>
      <c r="O4047" s="5" t="inlineStr"/>
      <c r="P4047" s="5" t="inlineStr"/>
      <c r="Q4047" s="5" t="inlineStr"/>
      <c r="R4047" s="5" t="inlineStr">
        <is>
          <t>Spotify</t>
        </is>
      </c>
      <c r="S4047" s="5" t="inlineStr"/>
      <c r="T4047" s="5" t="inlineStr">
        <is>
          <t>Assinatura Spotify Premium inclusa</t>
        </is>
      </c>
      <c r="U4047" s="5" t="inlineStr">
        <is>
          <t>https://vivo.com.br/para-voce/produtos-e-servicos/para-o-celular/planos-pos-pago</t>
        </is>
      </c>
      <c r="V4047" s="5" t="inlineStr">
        <is>
          <t>data/raw/vivo_postpaid_SP.html</t>
        </is>
      </c>
    </row>
    <row r="4048">
      <c r="A4048" s="2" t="inlineStr">
        <is>
          <t>2026-09-01</t>
        </is>
      </c>
      <c r="B4048" s="2" t="inlineStr">
        <is>
          <t>2026-09-01T19:58:06</t>
        </is>
      </c>
      <c r="C4048" s="2" t="inlineStr">
        <is>
          <t>vivo</t>
        </is>
      </c>
      <c r="D4048" s="2" t="inlineStr">
        <is>
          <t>postpaid</t>
        </is>
      </c>
      <c r="E4048" s="2" t="inlineStr">
        <is>
          <t>SP</t>
        </is>
      </c>
      <c r="F4048" s="2" t="inlineStr">
        <is>
          <t>Vivo Pós com Travel</t>
        </is>
      </c>
      <c r="G4048" s="2" t="inlineStr">
        <is>
          <t>vivo:VIV202600034573</t>
        </is>
      </c>
      <c r="H4048" s="3" t="n">
        <v>215</v>
      </c>
      <c r="I4048" s="3" t="inlineStr"/>
      <c r="J4048" s="2" t="inlineStr"/>
      <c r="K4048" s="2" t="inlineStr"/>
      <c r="L4048" s="4" t="n">
        <v>70</v>
      </c>
      <c r="M4048" s="2" t="inlineStr">
        <is>
          <t>60 GB de franquia 10 GB de bônus</t>
        </is>
      </c>
      <c r="N4048" s="2" t="inlineStr"/>
      <c r="O4048" s="2" t="inlineStr"/>
      <c r="P4048" s="2" t="inlineStr"/>
      <c r="Q4048" s="2" t="inlineStr"/>
      <c r="R4048" s="2" t="inlineStr"/>
      <c r="S4048" s="2" t="inlineStr"/>
      <c r="T4048" s="2" t="inlineStr">
        <is>
          <t>6 meses grátis de Gemini com AI Plus</t>
        </is>
      </c>
      <c r="U4048" s="2" t="inlineStr">
        <is>
          <t>https://vivo.com.br/para-voce/produtos-e-servicos/para-o-celular/planos-pos-pago</t>
        </is>
      </c>
      <c r="V4048" s="2" t="inlineStr">
        <is>
          <t>data/raw/vivo_postpaid_SP.html</t>
        </is>
      </c>
    </row>
    <row r="4049">
      <c r="A4049" s="5" t="inlineStr">
        <is>
          <t>2026-09-01</t>
        </is>
      </c>
      <c r="B4049" s="5" t="inlineStr">
        <is>
          <t>2026-09-01T19:58:06</t>
        </is>
      </c>
      <c r="C4049" s="5" t="inlineStr">
        <is>
          <t>vivo</t>
        </is>
      </c>
      <c r="D4049" s="5" t="inlineStr">
        <is>
          <t>prepaid</t>
        </is>
      </c>
      <c r="E4049" s="5" t="inlineStr">
        <is>
          <t>SP</t>
        </is>
      </c>
      <c r="F4049" s="5" t="inlineStr">
        <is>
          <t>Vivo Pré</t>
        </is>
      </c>
      <c r="G4049" s="5" t="inlineStr">
        <is>
          <t>vivo:VIV202600029370-30d</t>
        </is>
      </c>
      <c r="H4049" s="6" t="n">
        <v>30</v>
      </c>
      <c r="I4049" s="6" t="inlineStr"/>
      <c r="J4049" s="5" t="inlineStr"/>
      <c r="K4049" s="5" t="inlineStr"/>
      <c r="L4049" s="7" t="n">
        <v>25</v>
      </c>
      <c r="M4049" s="5" t="inlineStr">
        <is>
          <t>15 GB para navegar como quiser 5 GB de bônus 5 GB para navegar no Youtube</t>
        </is>
      </c>
      <c r="N4049" s="5" t="n">
        <v>30</v>
      </c>
      <c r="O4049" s="5" t="inlineStr"/>
      <c r="P4049" s="5" t="inlineStr"/>
      <c r="Q4049" s="5" t="inlineStr"/>
      <c r="R4049" s="5" t="inlineStr"/>
      <c r="S4049" s="5" t="inlineStr"/>
      <c r="T4049" s="5" t="inlineStr"/>
      <c r="U4049" s="5" t="inlineStr">
        <is>
          <t>https://vivo.com.br/para-voce/produtos-e-servicos/para-o-celular/pre-pago/vivo-pre</t>
        </is>
      </c>
      <c r="V4049" s="5" t="inlineStr">
        <is>
          <t>data/raw/vivo_prepaid_SP.html</t>
        </is>
      </c>
    </row>
    <row r="4050">
      <c r="A4050" s="2" t="inlineStr">
        <is>
          <t>2026-09-01</t>
        </is>
      </c>
      <c r="B4050" s="2" t="inlineStr">
        <is>
          <t>2026-09-01T19:58:06</t>
        </is>
      </c>
      <c r="C4050" s="2" t="inlineStr">
        <is>
          <t>vivo</t>
        </is>
      </c>
      <c r="D4050" s="2" t="inlineStr">
        <is>
          <t>prepaid</t>
        </is>
      </c>
      <c r="E4050" s="2" t="inlineStr">
        <is>
          <t>SP</t>
        </is>
      </c>
      <c r="F4050" s="2" t="inlineStr">
        <is>
          <t>Vivo Pré</t>
        </is>
      </c>
      <c r="G4050" s="2" t="inlineStr">
        <is>
          <t>vivo:VIV202600029370-22d</t>
        </is>
      </c>
      <c r="H4050" s="3" t="n">
        <v>25</v>
      </c>
      <c r="I4050" s="3" t="inlineStr"/>
      <c r="J4050" s="2" t="inlineStr"/>
      <c r="K4050" s="2" t="inlineStr"/>
      <c r="L4050" s="4" t="n">
        <v>9</v>
      </c>
      <c r="M4050" s="2" t="inlineStr">
        <is>
          <t>6 GB para navegar como quiser 3 GB para navegar no YouTube</t>
        </is>
      </c>
      <c r="N4050" s="2" t="n">
        <v>22</v>
      </c>
      <c r="O4050" s="2" t="inlineStr"/>
      <c r="P4050" s="2" t="inlineStr"/>
      <c r="Q4050" s="2" t="inlineStr"/>
      <c r="R4050" s="2" t="inlineStr"/>
      <c r="S4050" s="2" t="inlineStr"/>
      <c r="T4050" s="2" t="inlineStr"/>
      <c r="U4050" s="2" t="inlineStr">
        <is>
          <t>https://vivo.com.br/para-voce/produtos-e-servicos/para-o-celular/pre-pago/vivo-pre</t>
        </is>
      </c>
      <c r="V4050" s="2" t="inlineStr">
        <is>
          <t>data/raw/vivo_prepaid_SP.html</t>
        </is>
      </c>
    </row>
    <row r="4051">
      <c r="A4051" s="5" t="inlineStr">
        <is>
          <t>2026-09-01</t>
        </is>
      </c>
      <c r="B4051" s="5" t="inlineStr">
        <is>
          <t>2026-09-01T19:58:06</t>
        </is>
      </c>
      <c r="C4051" s="5" t="inlineStr">
        <is>
          <t>vivo</t>
        </is>
      </c>
      <c r="D4051" s="5" t="inlineStr">
        <is>
          <t>prepaid</t>
        </is>
      </c>
      <c r="E4051" s="5" t="inlineStr">
        <is>
          <t>SP</t>
        </is>
      </c>
      <c r="F4051" s="5" t="inlineStr">
        <is>
          <t>Vivo Pré</t>
        </is>
      </c>
      <c r="G4051" s="5" t="inlineStr">
        <is>
          <t>vivo:VIV202600029370-17d</t>
        </is>
      </c>
      <c r="H4051" s="6" t="n">
        <v>20</v>
      </c>
      <c r="I4051" s="6" t="inlineStr"/>
      <c r="J4051" s="5" t="inlineStr"/>
      <c r="K4051" s="5" t="inlineStr"/>
      <c r="L4051" s="7" t="n">
        <v>5</v>
      </c>
      <c r="M4051" s="5" t="inlineStr">
        <is>
          <t>5 GB para navegar como quiser</t>
        </is>
      </c>
      <c r="N4051" s="5" t="n">
        <v>17</v>
      </c>
      <c r="O4051" s="5" t="inlineStr"/>
      <c r="P4051" s="5" t="inlineStr"/>
      <c r="Q4051" s="5" t="inlineStr"/>
      <c r="R4051" s="5" t="inlineStr"/>
      <c r="S4051" s="5" t="inlineStr"/>
      <c r="T4051" s="5" t="inlineStr"/>
      <c r="U4051" s="5" t="inlineStr">
        <is>
          <t>https://vivo.com.br/para-voce/produtos-e-servicos/para-o-celular/pre-pago/vivo-pre</t>
        </is>
      </c>
      <c r="V4051" s="5" t="inlineStr">
        <is>
          <t>data/raw/vivo_prepaid_SP.html</t>
        </is>
      </c>
    </row>
    <row r="4052">
      <c r="A4052" s="2" t="inlineStr">
        <is>
          <t>2026-09-01</t>
        </is>
      </c>
      <c r="B4052" s="2" t="inlineStr">
        <is>
          <t>2026-09-01T19:58:06</t>
        </is>
      </c>
      <c r="C4052" s="2" t="inlineStr">
        <is>
          <t>vivo</t>
        </is>
      </c>
      <c r="D4052" s="2" t="inlineStr">
        <is>
          <t>prepaid</t>
        </is>
      </c>
      <c r="E4052" s="2" t="inlineStr">
        <is>
          <t>SP</t>
        </is>
      </c>
      <c r="F4052" s="2" t="inlineStr">
        <is>
          <t>Vivo Pré</t>
        </is>
      </c>
      <c r="G4052" s="2" t="inlineStr">
        <is>
          <t>vivo:VIV202600029370-15d</t>
        </is>
      </c>
      <c r="H4052" s="3" t="n">
        <v>17</v>
      </c>
      <c r="I4052" s="3" t="inlineStr"/>
      <c r="J4052" s="2" t="inlineStr"/>
      <c r="K4052" s="2" t="inlineStr"/>
      <c r="L4052" s="4" t="n">
        <v>4</v>
      </c>
      <c r="M4052" s="2" t="inlineStr">
        <is>
          <t>4 GB para navegar como quiser</t>
        </is>
      </c>
      <c r="N4052" s="2" t="n">
        <v>15</v>
      </c>
      <c r="O4052" s="2" t="inlineStr"/>
      <c r="P4052" s="2" t="inlineStr"/>
      <c r="Q4052" s="2" t="inlineStr"/>
      <c r="R4052" s="2" t="inlineStr"/>
      <c r="S4052" s="2" t="inlineStr"/>
      <c r="T4052" s="2" t="inlineStr"/>
      <c r="U4052" s="2" t="inlineStr">
        <is>
          <t>https://vivo.com.br/para-voce/produtos-e-servicos/para-o-celular/pre-pago/vivo-pre</t>
        </is>
      </c>
      <c r="V4052" s="2" t="inlineStr">
        <is>
          <t>data/raw/vivo_prepaid_SP.html</t>
        </is>
      </c>
    </row>
    <row r="4053">
      <c r="A4053" s="5" t="inlineStr">
        <is>
          <t>2026-09-02</t>
        </is>
      </c>
      <c r="B4053" s="5" t="inlineStr">
        <is>
          <t>2026-09-02T19:57:51</t>
        </is>
      </c>
      <c r="C4053" s="5" t="inlineStr">
        <is>
          <t>claro</t>
        </is>
      </c>
      <c r="D4053" s="5" t="inlineStr">
        <is>
          <t>control</t>
        </is>
      </c>
      <c r="E4053" s="5" t="inlineStr">
        <is>
          <t>SP</t>
        </is>
      </c>
      <c r="F4053" s="5" t="inlineStr">
        <is>
          <t>Controle 25GB</t>
        </is>
      </c>
      <c r="G4053" s="5" t="inlineStr">
        <is>
          <t>claro:plano-controle-25gb</t>
        </is>
      </c>
      <c r="H4053" s="6" t="n">
        <v>59.9</v>
      </c>
      <c r="I4053" s="6" t="n">
        <v>54.9</v>
      </c>
      <c r="J4053" s="5" t="inlineStr">
        <is>
          <t>De R$ 59,90 Por:</t>
        </is>
      </c>
      <c r="K4053" s="5" t="inlineStr"/>
      <c r="L4053" s="7" t="n">
        <v>25</v>
      </c>
      <c r="M4053" s="5" t="inlineStr"/>
      <c r="N4053" s="5" t="inlineStr"/>
      <c r="O4053" s="5" t="inlineStr">
        <is>
          <t>WhatsApp</t>
        </is>
      </c>
      <c r="P4053" s="5" t="inlineStr"/>
      <c r="Q4053" s="5" t="inlineStr"/>
      <c r="R4053" s="5" t="inlineStr"/>
      <c r="S4053" s="5" t="inlineStr"/>
      <c r="T4053" s="5" t="inlineStr">
        <is>
          <t>Para uso livre; Para redes sociais e vídeos; Bônus exclusivo; Aproveite na sua franquia; WhatsApp e ligações ilimitadas</t>
        </is>
      </c>
      <c r="U4053" s="5" t="inlineStr">
        <is>
          <t>https://www.claro.com.br/celular/controle</t>
        </is>
      </c>
      <c r="V4053" s="5" t="inlineStr">
        <is>
          <t>data/raw/claro_control_SP.json</t>
        </is>
      </c>
    </row>
    <row r="4054">
      <c r="A4054" s="2" t="inlineStr">
        <is>
          <t>2026-09-02</t>
        </is>
      </c>
      <c r="B4054" s="2" t="inlineStr">
        <is>
          <t>2026-09-02T19:57:51</t>
        </is>
      </c>
      <c r="C4054" s="2" t="inlineStr">
        <is>
          <t>claro</t>
        </is>
      </c>
      <c r="D4054" s="2" t="inlineStr">
        <is>
          <t>control</t>
        </is>
      </c>
      <c r="E4054" s="2" t="inlineStr">
        <is>
          <t>SP</t>
        </is>
      </c>
      <c r="F4054" s="2" t="inlineStr">
        <is>
          <t>Controle 30GB</t>
        </is>
      </c>
      <c r="G4054" s="2" t="inlineStr">
        <is>
          <t>claro:plano-controle-30gb</t>
        </is>
      </c>
      <c r="H4054" s="3" t="n">
        <v>69.90000000000001</v>
      </c>
      <c r="I4054" s="3" t="inlineStr"/>
      <c r="J4054" s="2" t="inlineStr"/>
      <c r="K4054" s="2" t="inlineStr"/>
      <c r="L4054" s="4" t="n">
        <v>30</v>
      </c>
      <c r="M4054" s="2" t="inlineStr"/>
      <c r="N4054" s="2" t="inlineStr"/>
      <c r="O4054" s="2" t="inlineStr">
        <is>
          <t>WhatsApp</t>
        </is>
      </c>
      <c r="P4054" s="2" t="inlineStr"/>
      <c r="Q4054" s="2" t="inlineStr"/>
      <c r="R4054" s="2" t="inlineStr"/>
      <c r="S4054" s="2" t="inlineStr"/>
      <c r="T4054" s="2" t="inlineStr">
        <is>
          <t>Para uso livre; Bônus para uso livre; Bônus para redes sociais e apps; Assinatura Amazon Prime por 3 meses; Redes sociais e apps; WhatsApp ilimitado</t>
        </is>
      </c>
      <c r="U4054" s="2" t="inlineStr">
        <is>
          <t>https://www.claro.com.br/celular/controle</t>
        </is>
      </c>
      <c r="V4054" s="2" t="inlineStr">
        <is>
          <t>data/raw/claro_control_SP.json</t>
        </is>
      </c>
    </row>
    <row r="4055">
      <c r="A4055" s="5" t="inlineStr">
        <is>
          <t>2026-09-02</t>
        </is>
      </c>
      <c r="B4055" s="5" t="inlineStr">
        <is>
          <t>2026-09-02T19:57:51</t>
        </is>
      </c>
      <c r="C4055" s="5" t="inlineStr">
        <is>
          <t>claro</t>
        </is>
      </c>
      <c r="D4055" s="5" t="inlineStr">
        <is>
          <t>control</t>
        </is>
      </c>
      <c r="E4055" s="5" t="inlineStr">
        <is>
          <t>SP</t>
        </is>
      </c>
      <c r="F4055" s="5" t="inlineStr">
        <is>
          <t>Controle 30GB</t>
        </is>
      </c>
      <c r="G4055" s="5" t="inlineStr">
        <is>
          <t>claro:plano-controle-30gb-gaming</t>
        </is>
      </c>
      <c r="H4055" s="6" t="n">
        <v>99.90000000000001</v>
      </c>
      <c r="I4055" s="6" t="inlineStr"/>
      <c r="J4055" s="5" t="inlineStr"/>
      <c r="K4055" s="5" t="inlineStr"/>
      <c r="L4055" s="7" t="n">
        <v>30</v>
      </c>
      <c r="M4055" s="5" t="inlineStr"/>
      <c r="N4055" s="5" t="inlineStr"/>
      <c r="O4055" s="5" t="inlineStr">
        <is>
          <t>WhatsApp</t>
        </is>
      </c>
      <c r="P4055" s="5" t="inlineStr"/>
      <c r="Q4055" s="5" t="inlineStr"/>
      <c r="R4055" s="5" t="inlineStr"/>
      <c r="S4055" s="5" t="inlineStr"/>
      <c r="T4055" s="5" t="inlineStr">
        <is>
          <t>Para uso livre; Bônus para redes sociais e apps; Bônus uso livre; Assinatura Amazon Prime por 3 meses; Redes sociais e apps; WhatsApp ilimitado</t>
        </is>
      </c>
      <c r="U4055" s="5" t="inlineStr">
        <is>
          <t>https://www.claro.com.br/celular/controle</t>
        </is>
      </c>
      <c r="V4055" s="5" t="inlineStr">
        <is>
          <t>data/raw/claro_control_SP.json</t>
        </is>
      </c>
    </row>
    <row r="4056">
      <c r="A4056" s="2" t="inlineStr">
        <is>
          <t>2026-09-02</t>
        </is>
      </c>
      <c r="B4056" s="2" t="inlineStr">
        <is>
          <t>2026-09-02T19:57:51</t>
        </is>
      </c>
      <c r="C4056" s="2" t="inlineStr">
        <is>
          <t>claro</t>
        </is>
      </c>
      <c r="D4056" s="2" t="inlineStr">
        <is>
          <t>flex</t>
        </is>
      </c>
      <c r="E4056" s="2" t="inlineStr">
        <is>
          <t>SP</t>
        </is>
      </c>
      <c r="F4056" s="2" t="inlineStr">
        <is>
          <t>Flex 15GB</t>
        </is>
      </c>
      <c r="G4056" s="2" t="inlineStr">
        <is>
          <t>claro:plano-flex-15gb</t>
        </is>
      </c>
      <c r="H4056" s="3" t="n">
        <v>44.9</v>
      </c>
      <c r="I4056" s="3" t="inlineStr"/>
      <c r="J4056" s="2" t="inlineStr"/>
      <c r="K4056" s="2" t="inlineStr"/>
      <c r="L4056" s="4" t="n">
        <v>15</v>
      </c>
      <c r="M4056" s="2" t="inlineStr"/>
      <c r="N4056" s="2" t="inlineStr"/>
      <c r="O4056" s="2" t="inlineStr">
        <is>
          <t>WhatsApp</t>
        </is>
      </c>
      <c r="P4056" s="2" t="inlineStr"/>
      <c r="Q4056" s="2" t="inlineStr"/>
      <c r="R4056" s="2" t="inlineStr"/>
      <c r="S4056" s="2" t="inlineStr"/>
      <c r="T4056" s="2" t="inlineStr">
        <is>
          <t>Para uso livre; Para redes sociais e apps; Bônus extra nos apps; WhatsApp ilimitado</t>
        </is>
      </c>
      <c r="U4056" s="2" t="inlineStr">
        <is>
          <t>https://www.claro.com.br/celular/flex</t>
        </is>
      </c>
      <c r="V4056" s="2" t="inlineStr">
        <is>
          <t>data/raw/claro_flex_SP.json</t>
        </is>
      </c>
    </row>
    <row r="4057">
      <c r="A4057" s="5" t="inlineStr">
        <is>
          <t>2026-09-02</t>
        </is>
      </c>
      <c r="B4057" s="5" t="inlineStr">
        <is>
          <t>2026-09-02T19:57:51</t>
        </is>
      </c>
      <c r="C4057" s="5" t="inlineStr">
        <is>
          <t>claro</t>
        </is>
      </c>
      <c r="D4057" s="5" t="inlineStr">
        <is>
          <t>flex</t>
        </is>
      </c>
      <c r="E4057" s="5" t="inlineStr">
        <is>
          <t>SP</t>
        </is>
      </c>
      <c r="F4057" s="5" t="inlineStr">
        <is>
          <t>Flex 20GB</t>
        </is>
      </c>
      <c r="G4057" s="5" t="inlineStr">
        <is>
          <t>claro:plano-flex-20gb</t>
        </is>
      </c>
      <c r="H4057" s="6" t="n">
        <v>59.9</v>
      </c>
      <c r="I4057" s="6" t="inlineStr"/>
      <c r="J4057" s="5" t="inlineStr"/>
      <c r="K4057" s="5" t="inlineStr"/>
      <c r="L4057" s="7" t="n">
        <v>20</v>
      </c>
      <c r="M4057" s="5" t="inlineStr"/>
      <c r="N4057" s="5" t="inlineStr"/>
      <c r="O4057" s="5" t="inlineStr">
        <is>
          <t>WhatsApp</t>
        </is>
      </c>
      <c r="P4057" s="5" t="inlineStr"/>
      <c r="Q4057" s="5" t="inlineStr"/>
      <c r="R4057" s="5" t="inlineStr"/>
      <c r="S4057" s="5" t="inlineStr"/>
      <c r="T4057" s="5" t="inlineStr">
        <is>
          <t>Para uso livre; Para redes sociais e apps; Bônus extra nos apps; WhatsApp ilimitado</t>
        </is>
      </c>
      <c r="U4057" s="5" t="inlineStr">
        <is>
          <t>https://www.claro.com.br/celular/flex</t>
        </is>
      </c>
      <c r="V4057" s="5" t="inlineStr">
        <is>
          <t>data/raw/claro_flex_SP.json</t>
        </is>
      </c>
    </row>
    <row r="4058">
      <c r="A4058" s="2" t="inlineStr">
        <is>
          <t>2026-09-02</t>
        </is>
      </c>
      <c r="B4058" s="2" t="inlineStr">
        <is>
          <t>2026-09-02T19:57:51</t>
        </is>
      </c>
      <c r="C4058" s="2" t="inlineStr">
        <is>
          <t>claro</t>
        </is>
      </c>
      <c r="D4058" s="2" t="inlineStr">
        <is>
          <t>flex</t>
        </is>
      </c>
      <c r="E4058" s="2" t="inlineStr">
        <is>
          <t>SP</t>
        </is>
      </c>
      <c r="F4058" s="2" t="inlineStr">
        <is>
          <t>Flex 30GB</t>
        </is>
      </c>
      <c r="G4058" s="2" t="inlineStr">
        <is>
          <t>claro:plano-flex-30gb</t>
        </is>
      </c>
      <c r="H4058" s="3" t="n">
        <v>69.90000000000001</v>
      </c>
      <c r="I4058" s="3" t="inlineStr"/>
      <c r="J4058" s="2" t="inlineStr"/>
      <c r="K4058" s="2" t="inlineStr"/>
      <c r="L4058" s="4" t="n">
        <v>30</v>
      </c>
      <c r="M4058" s="2" t="inlineStr"/>
      <c r="N4058" s="2" t="inlineStr"/>
      <c r="O4058" s="2" t="inlineStr">
        <is>
          <t>WhatsApp</t>
        </is>
      </c>
      <c r="P4058" s="2" t="inlineStr"/>
      <c r="Q4058" s="2" t="inlineStr"/>
      <c r="R4058" s="2" t="inlineStr"/>
      <c r="S4058" s="2" t="inlineStr"/>
      <c r="T4058" s="2" t="inlineStr">
        <is>
          <t>Para uso livre; Para redes sociais e apps; Bônus extra nos apps; WhatsApp ilimitado; Assinatura Claro musica inclusa</t>
        </is>
      </c>
      <c r="U4058" s="2" t="inlineStr">
        <is>
          <t>https://www.claro.com.br/celular/flex</t>
        </is>
      </c>
      <c r="V4058" s="2" t="inlineStr">
        <is>
          <t>data/raw/claro_flex_SP.json</t>
        </is>
      </c>
    </row>
    <row r="4059">
      <c r="A4059" s="5" t="inlineStr">
        <is>
          <t>2026-09-02</t>
        </is>
      </c>
      <c r="B4059" s="5" t="inlineStr">
        <is>
          <t>2026-09-02T19:57:51</t>
        </is>
      </c>
      <c r="C4059" s="5" t="inlineStr">
        <is>
          <t>claro</t>
        </is>
      </c>
      <c r="D4059" s="5" t="inlineStr">
        <is>
          <t>flex</t>
        </is>
      </c>
      <c r="E4059" s="5" t="inlineStr">
        <is>
          <t>SP</t>
        </is>
      </c>
      <c r="F4059" s="5" t="inlineStr">
        <is>
          <t>Flex 40GB</t>
        </is>
      </c>
      <c r="G4059" s="5" t="inlineStr">
        <is>
          <t>claro:plano-flex-40gb</t>
        </is>
      </c>
      <c r="H4059" s="6" t="n">
        <v>119.9</v>
      </c>
      <c r="I4059" s="6" t="inlineStr"/>
      <c r="J4059" s="5" t="inlineStr"/>
      <c r="K4059" s="5" t="inlineStr"/>
      <c r="L4059" s="7" t="n">
        <v>40</v>
      </c>
      <c r="M4059" s="5" t="inlineStr"/>
      <c r="N4059" s="5" t="inlineStr"/>
      <c r="O4059" s="5" t="inlineStr">
        <is>
          <t>WhatsApp</t>
        </is>
      </c>
      <c r="P4059" s="5" t="inlineStr"/>
      <c r="Q4059" s="5" t="inlineStr"/>
      <c r="R4059" s="5" t="inlineStr"/>
      <c r="S4059" s="5" t="inlineStr"/>
      <c r="T4059" s="5" t="inlineStr">
        <is>
          <t>Para uso livre; WhatsApp ilimitado; Assinatura Claro musica inclusa; Roaming: Passaporte Américas</t>
        </is>
      </c>
      <c r="U4059" s="5" t="inlineStr">
        <is>
          <t>https://www.claro.com.br/celular/flex</t>
        </is>
      </c>
      <c r="V4059" s="5" t="inlineStr">
        <is>
          <t>data/raw/claro_flex_SP.json</t>
        </is>
      </c>
    </row>
    <row r="4060">
      <c r="A4060" s="2" t="inlineStr">
        <is>
          <t>2026-09-02</t>
        </is>
      </c>
      <c r="B4060" s="2" t="inlineStr">
        <is>
          <t>2026-09-02T19:57:51</t>
        </is>
      </c>
      <c r="C4060" s="2" t="inlineStr">
        <is>
          <t>claro</t>
        </is>
      </c>
      <c r="D4060" s="2" t="inlineStr">
        <is>
          <t>postpaid</t>
        </is>
      </c>
      <c r="E4060" s="2" t="inlineStr">
        <is>
          <t>SP</t>
        </is>
      </c>
      <c r="F4060" s="2" t="inlineStr">
        <is>
          <t>Pós 100GB</t>
        </is>
      </c>
      <c r="G4060" s="2" t="inlineStr">
        <is>
          <t>claro:plano-pos-100gb</t>
        </is>
      </c>
      <c r="H4060" s="3" t="n">
        <v>179.9</v>
      </c>
      <c r="I4060" s="3" t="inlineStr"/>
      <c r="J4060" s="2" t="inlineStr"/>
      <c r="K4060" s="2" t="inlineStr"/>
      <c r="L4060" s="4" t="n">
        <v>100</v>
      </c>
      <c r="M4060" s="2" t="inlineStr"/>
      <c r="N4060" s="2" t="inlineStr"/>
      <c r="O4060" s="2" t="inlineStr">
        <is>
          <t>WhatsApp</t>
        </is>
      </c>
      <c r="P4060" s="2" t="inlineStr"/>
      <c r="Q4060" s="2" t="inlineStr"/>
      <c r="R4060" s="2" t="inlineStr"/>
      <c r="S4060" s="2" t="inlineStr"/>
      <c r="T4060" s="2" t="inlineStr">
        <is>
          <t>Armazenamento na nuvem:; Google One ou iCloud+; WhatsApp ilimitado; Assinatura Amazon Prime por 3 meses; Roaming: Passaporte Américas; Claro Sync: Smartwatch conectado</t>
        </is>
      </c>
      <c r="U4060" s="2" t="inlineStr">
        <is>
          <t>https://www.claro.com.br/celular/pos</t>
        </is>
      </c>
      <c r="V4060" s="2" t="inlineStr">
        <is>
          <t>data/raw/claro_postpaid_SP.json</t>
        </is>
      </c>
    </row>
    <row r="4061">
      <c r="A4061" s="5" t="inlineStr">
        <is>
          <t>2026-09-02</t>
        </is>
      </c>
      <c r="B4061" s="5" t="inlineStr">
        <is>
          <t>2026-09-02T19:57:51</t>
        </is>
      </c>
      <c r="C4061" s="5" t="inlineStr">
        <is>
          <t>claro</t>
        </is>
      </c>
      <c r="D4061" s="5" t="inlineStr">
        <is>
          <t>postpaid</t>
        </is>
      </c>
      <c r="E4061" s="5" t="inlineStr">
        <is>
          <t>SP</t>
        </is>
      </c>
      <c r="F4061" s="5" t="inlineStr">
        <is>
          <t>Pós 150GB</t>
        </is>
      </c>
      <c r="G4061" s="5" t="inlineStr">
        <is>
          <t>claro:plano-pos-150gb</t>
        </is>
      </c>
      <c r="H4061" s="6" t="n">
        <v>239.9</v>
      </c>
      <c r="I4061" s="6" t="inlineStr"/>
      <c r="J4061" s="5" t="inlineStr"/>
      <c r="K4061" s="5" t="inlineStr"/>
      <c r="L4061" s="7" t="n">
        <v>150</v>
      </c>
      <c r="M4061" s="5" t="inlineStr"/>
      <c r="N4061" s="5" t="inlineStr"/>
      <c r="O4061" s="5" t="inlineStr">
        <is>
          <t>WhatsApp</t>
        </is>
      </c>
      <c r="P4061" s="5" t="inlineStr"/>
      <c r="Q4061" s="5" t="inlineStr"/>
      <c r="R4061" s="5" t="inlineStr"/>
      <c r="S4061" s="5" t="inlineStr"/>
      <c r="T4061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061" s="5" t="inlineStr">
        <is>
          <t>https://www.claro.com.br/celular/pos</t>
        </is>
      </c>
      <c r="V4061" s="5" t="inlineStr">
        <is>
          <t>data/raw/claro_postpaid_SP.json</t>
        </is>
      </c>
    </row>
    <row r="4062">
      <c r="A4062" s="2" t="inlineStr">
        <is>
          <t>2026-09-02</t>
        </is>
      </c>
      <c r="B4062" s="2" t="inlineStr">
        <is>
          <t>2026-09-02T19:57:51</t>
        </is>
      </c>
      <c r="C4062" s="2" t="inlineStr">
        <is>
          <t>claro</t>
        </is>
      </c>
      <c r="D4062" s="2" t="inlineStr">
        <is>
          <t>postpaid</t>
        </is>
      </c>
      <c r="E4062" s="2" t="inlineStr">
        <is>
          <t>SP</t>
        </is>
      </c>
      <c r="F4062" s="2" t="inlineStr">
        <is>
          <t>Pós 200GB</t>
        </is>
      </c>
      <c r="G4062" s="2" t="inlineStr">
        <is>
          <t>claro:plano-pos-200gb</t>
        </is>
      </c>
      <c r="H4062" s="3" t="n">
        <v>339.9</v>
      </c>
      <c r="I4062" s="3" t="inlineStr"/>
      <c r="J4062" s="2" t="inlineStr"/>
      <c r="K4062" s="2" t="inlineStr"/>
      <c r="L4062" s="4" t="n">
        <v>200</v>
      </c>
      <c r="M4062" s="2" t="inlineStr"/>
      <c r="N4062" s="2" t="inlineStr"/>
      <c r="O4062" s="2" t="inlineStr">
        <is>
          <t>WhatsApp</t>
        </is>
      </c>
      <c r="P4062" s="2" t="inlineStr"/>
      <c r="Q4062" s="2" t="inlineStr"/>
      <c r="R4062" s="2" t="inlineStr"/>
      <c r="S4062" s="2" t="inlineStr"/>
      <c r="T4062" s="2" t="inlineStr">
        <is>
          <t>Armazenamento na nuvem:; Google One (AI Plus) ou iCloud+; WhatsApp ilimitado; Assinatura Amazon Prime por 3 meses; Roaming: Passaporte Mundo; Claro Sync: Smartwatch conectado</t>
        </is>
      </c>
      <c r="U4062" s="2" t="inlineStr">
        <is>
          <t>https://www.claro.com.br/celular/pos</t>
        </is>
      </c>
      <c r="V4062" s="2" t="inlineStr">
        <is>
          <t>data/raw/claro_postpaid_SP.json</t>
        </is>
      </c>
    </row>
    <row r="4063">
      <c r="A4063" s="5" t="inlineStr">
        <is>
          <t>2026-09-02</t>
        </is>
      </c>
      <c r="B4063" s="5" t="inlineStr">
        <is>
          <t>2026-09-02T19:57:51</t>
        </is>
      </c>
      <c r="C4063" s="5" t="inlineStr">
        <is>
          <t>claro</t>
        </is>
      </c>
      <c r="D4063" s="5" t="inlineStr">
        <is>
          <t>postpaid</t>
        </is>
      </c>
      <c r="E4063" s="5" t="inlineStr">
        <is>
          <t>SP</t>
        </is>
      </c>
      <c r="F4063" s="5" t="inlineStr">
        <is>
          <t>Pós 50GB com GeForce NOW</t>
        </is>
      </c>
      <c r="G4063" s="5" t="inlineStr">
        <is>
          <t>claro:plano-pos-60gb-geforce</t>
        </is>
      </c>
      <c r="H4063" s="6" t="n">
        <v>164.9</v>
      </c>
      <c r="I4063" s="6" t="inlineStr"/>
      <c r="J4063" s="5" t="inlineStr"/>
      <c r="K4063" s="5" t="inlineStr"/>
      <c r="L4063" s="7" t="n">
        <v>50</v>
      </c>
      <c r="M4063" s="5" t="inlineStr"/>
      <c r="N4063" s="5" t="inlineStr"/>
      <c r="O4063" s="5" t="inlineStr">
        <is>
          <t>WhatsApp</t>
        </is>
      </c>
      <c r="P4063" s="5" t="inlineStr"/>
      <c r="Q4063" s="5" t="inlineStr"/>
      <c r="R4063" s="5" t="inlineStr"/>
      <c r="S4063" s="5" t="inlineStr"/>
      <c r="T4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063" s="5" t="inlineStr">
        <is>
          <t>https://www.claro.com.br/celular/pos</t>
        </is>
      </c>
      <c r="V4063" s="5" t="inlineStr">
        <is>
          <t>data/raw/claro_postpaid_SP.json</t>
        </is>
      </c>
    </row>
    <row r="4064">
      <c r="A4064" s="2" t="inlineStr">
        <is>
          <t>2026-09-02</t>
        </is>
      </c>
      <c r="B4064" s="2" t="inlineStr">
        <is>
          <t>2026-09-02T19:57:51</t>
        </is>
      </c>
      <c r="C4064" s="2" t="inlineStr">
        <is>
          <t>claro</t>
        </is>
      </c>
      <c r="D4064" s="2" t="inlineStr">
        <is>
          <t>postpaid</t>
        </is>
      </c>
      <c r="E4064" s="2" t="inlineStr">
        <is>
          <t>SP</t>
        </is>
      </c>
      <c r="F4064" s="2" t="inlineStr">
        <is>
          <t>Pós 60GB</t>
        </is>
      </c>
      <c r="G4064" s="2" t="inlineStr">
        <is>
          <t>claro:plano-pos-60gb</t>
        </is>
      </c>
      <c r="H4064" s="3" t="n">
        <v>124.9</v>
      </c>
      <c r="I4064" s="3" t="inlineStr"/>
      <c r="J4064" s="2" t="inlineStr"/>
      <c r="K4064" s="2" t="inlineStr"/>
      <c r="L4064" s="4" t="n">
        <v>60</v>
      </c>
      <c r="M4064" s="2" t="inlineStr"/>
      <c r="N4064" s="2" t="inlineStr"/>
      <c r="O4064" s="2" t="inlineStr">
        <is>
          <t>WhatsApp</t>
        </is>
      </c>
      <c r="P4064" s="2" t="inlineStr"/>
      <c r="Q4064" s="2" t="inlineStr"/>
      <c r="R4064" s="2" t="inlineStr"/>
      <c r="S4064" s="2" t="inlineStr"/>
      <c r="T4064" s="2" t="inlineStr">
        <is>
          <t>Armazenamento na nuvem:; Google One ou iCloud+; WhatsApp ilimitado; Assinatura Amazon Prime por 3 meses; Roaming: Passaporte Américas; Claro Sync: Smartwatch conectado</t>
        </is>
      </c>
      <c r="U4064" s="2" t="inlineStr">
        <is>
          <t>https://www.claro.com.br/celular/pos</t>
        </is>
      </c>
      <c r="V4064" s="2" t="inlineStr">
        <is>
          <t>data/raw/claro_postpaid_SP.json</t>
        </is>
      </c>
    </row>
    <row r="4065">
      <c r="A4065" s="5" t="inlineStr">
        <is>
          <t>2026-09-02</t>
        </is>
      </c>
      <c r="B4065" s="5" t="inlineStr">
        <is>
          <t>2026-09-02T19:57:51</t>
        </is>
      </c>
      <c r="C4065" s="5" t="inlineStr">
        <is>
          <t>claro</t>
        </is>
      </c>
      <c r="D4065" s="5" t="inlineStr">
        <is>
          <t>prepaid</t>
        </is>
      </c>
      <c r="E4065" s="5" t="inlineStr">
        <is>
          <t>SP</t>
        </is>
      </c>
      <c r="F4065" s="5" t="inlineStr">
        <is>
          <t>Prezão 10GB (25 dias)</t>
        </is>
      </c>
      <c r="G4065" s="5" t="inlineStr">
        <is>
          <t>claro:prezao-25d-10gb</t>
        </is>
      </c>
      <c r="H4065" s="6" t="n">
        <v>25</v>
      </c>
      <c r="I4065" s="6" t="inlineStr"/>
      <c r="J4065" s="5" t="inlineStr">
        <is>
          <t>recarga Prezão R$25 — validade 25 dias</t>
        </is>
      </c>
      <c r="K4065" s="5" t="inlineStr"/>
      <c r="L4065" s="7" t="n">
        <v>10</v>
      </c>
      <c r="M4065" s="5" t="inlineStr"/>
      <c r="N4065" s="5" t="n">
        <v>25</v>
      </c>
      <c r="O4065" s="5" t="inlineStr"/>
      <c r="P4065" s="5" t="inlineStr"/>
      <c r="Q4065" s="5" t="inlineStr"/>
      <c r="R4065" s="5" t="inlineStr"/>
      <c r="S4065" s="5" t="inlineStr"/>
      <c r="T4065" s="5" t="inlineStr"/>
      <c r="U4065" s="5" t="inlineStr">
        <is>
          <t>https://www.claro.com.br/celular/planos-pre/prezao</t>
        </is>
      </c>
      <c r="V4065" s="5" t="inlineStr">
        <is>
          <t>data/raw/claro_prepaid_SP.json</t>
        </is>
      </c>
    </row>
    <row r="4066">
      <c r="A4066" s="2" t="inlineStr">
        <is>
          <t>2026-09-02</t>
        </is>
      </c>
      <c r="B4066" s="2" t="inlineStr">
        <is>
          <t>2026-09-02T19:57:51</t>
        </is>
      </c>
      <c r="C4066" s="2" t="inlineStr">
        <is>
          <t>claro</t>
        </is>
      </c>
      <c r="D4066" s="2" t="inlineStr">
        <is>
          <t>prepaid</t>
        </is>
      </c>
      <c r="E4066" s="2" t="inlineStr">
        <is>
          <t>SP</t>
        </is>
      </c>
      <c r="F4066" s="2" t="inlineStr">
        <is>
          <t>Prezão 12GB (30 dias)</t>
        </is>
      </c>
      <c r="G4066" s="2" t="inlineStr">
        <is>
          <t>claro:prezao-30d-12gb</t>
        </is>
      </c>
      <c r="H4066" s="3" t="n">
        <v>30</v>
      </c>
      <c r="I4066" s="3" t="inlineStr"/>
      <c r="J4066" s="2" t="inlineStr">
        <is>
          <t>recarga Prezão R$30 — validade 30 dias</t>
        </is>
      </c>
      <c r="K4066" s="2" t="inlineStr"/>
      <c r="L4066" s="4" t="n">
        <v>12</v>
      </c>
      <c r="M4066" s="2" t="inlineStr"/>
      <c r="N4066" s="2" t="n">
        <v>30</v>
      </c>
      <c r="O4066" s="2" t="inlineStr"/>
      <c r="P4066" s="2" t="inlineStr"/>
      <c r="Q4066" s="2" t="inlineStr"/>
      <c r="R4066" s="2" t="inlineStr"/>
      <c r="S4066" s="2" t="inlineStr"/>
      <c r="T4066" s="2" t="inlineStr"/>
      <c r="U4066" s="2" t="inlineStr">
        <is>
          <t>https://www.claro.com.br/celular/planos-pre/prezao</t>
        </is>
      </c>
      <c r="V4066" s="2" t="inlineStr">
        <is>
          <t>data/raw/claro_prepaid_SP.json</t>
        </is>
      </c>
    </row>
    <row r="4067">
      <c r="A4067" s="5" t="inlineStr">
        <is>
          <t>2026-09-02</t>
        </is>
      </c>
      <c r="B4067" s="5" t="inlineStr">
        <is>
          <t>2026-09-02T19:57:51</t>
        </is>
      </c>
      <c r="C4067" s="5" t="inlineStr">
        <is>
          <t>claro</t>
        </is>
      </c>
      <c r="D4067" s="5" t="inlineStr">
        <is>
          <t>prepaid</t>
        </is>
      </c>
      <c r="E4067" s="5" t="inlineStr">
        <is>
          <t>SP</t>
        </is>
      </c>
      <c r="F4067" s="5" t="inlineStr">
        <is>
          <t>Prezão 4GB (12 dias)</t>
        </is>
      </c>
      <c r="G4067" s="5" t="inlineStr">
        <is>
          <t>claro:prezao-12d-4gb</t>
        </is>
      </c>
      <c r="H4067" s="6" t="n">
        <v>15</v>
      </c>
      <c r="I4067" s="6" t="inlineStr"/>
      <c r="J4067" s="5" t="inlineStr">
        <is>
          <t>recarga Prezão R$15 — validade 12 dias</t>
        </is>
      </c>
      <c r="K4067" s="5" t="inlineStr"/>
      <c r="L4067" s="7" t="n">
        <v>4</v>
      </c>
      <c r="M4067" s="5" t="inlineStr"/>
      <c r="N4067" s="5" t="n">
        <v>12</v>
      </c>
      <c r="O4067" s="5" t="inlineStr"/>
      <c r="P4067" s="5" t="inlineStr"/>
      <c r="Q4067" s="5" t="inlineStr"/>
      <c r="R4067" s="5" t="inlineStr"/>
      <c r="S4067" s="5" t="inlineStr"/>
      <c r="T4067" s="5" t="inlineStr"/>
      <c r="U4067" s="5" t="inlineStr">
        <is>
          <t>https://www.claro.com.br/celular/planos-pre/prezao</t>
        </is>
      </c>
      <c r="V4067" s="5" t="inlineStr">
        <is>
          <t>data/raw/claro_prepaid_SP.json</t>
        </is>
      </c>
    </row>
    <row r="4068">
      <c r="A4068" s="2" t="inlineStr">
        <is>
          <t>2026-09-02</t>
        </is>
      </c>
      <c r="B4068" s="2" t="inlineStr">
        <is>
          <t>2026-09-02T19:57:51</t>
        </is>
      </c>
      <c r="C4068" s="2" t="inlineStr">
        <is>
          <t>claro</t>
        </is>
      </c>
      <c r="D4068" s="2" t="inlineStr">
        <is>
          <t>prepaid</t>
        </is>
      </c>
      <c r="E4068" s="2" t="inlineStr">
        <is>
          <t>SP</t>
        </is>
      </c>
      <c r="F4068" s="2" t="inlineStr">
        <is>
          <t>Prezão 5GB (15 dias)</t>
        </is>
      </c>
      <c r="G4068" s="2" t="inlineStr">
        <is>
          <t>claro:prezao-15d-5gb</t>
        </is>
      </c>
      <c r="H4068" s="3" t="n">
        <v>15</v>
      </c>
      <c r="I4068" s="3" t="inlineStr"/>
      <c r="J4068" s="2" t="inlineStr">
        <is>
          <t>recarga Prezão R$15 — validade 15 dias</t>
        </is>
      </c>
      <c r="K4068" s="2" t="inlineStr"/>
      <c r="L4068" s="4" t="n">
        <v>5</v>
      </c>
      <c r="M4068" s="2" t="inlineStr"/>
      <c r="N4068" s="2" t="n">
        <v>15</v>
      </c>
      <c r="O4068" s="2" t="inlineStr"/>
      <c r="P4068" s="2" t="inlineStr"/>
      <c r="Q4068" s="2" t="inlineStr"/>
      <c r="R4068" s="2" t="inlineStr"/>
      <c r="S4068" s="2" t="inlineStr"/>
      <c r="T4068" s="2" t="inlineStr"/>
      <c r="U4068" s="2" t="inlineStr">
        <is>
          <t>https://www.claro.com.br/celular/planos-pre/prezao</t>
        </is>
      </c>
      <c r="V4068" s="2" t="inlineStr">
        <is>
          <t>data/raw/claro_prepaid_SP.json</t>
        </is>
      </c>
    </row>
    <row r="4069">
      <c r="A4069" s="5" t="inlineStr">
        <is>
          <t>2026-09-02</t>
        </is>
      </c>
      <c r="B4069" s="5" t="inlineStr">
        <is>
          <t>2026-09-02T19:57:51</t>
        </is>
      </c>
      <c r="C4069" s="5" t="inlineStr">
        <is>
          <t>claro</t>
        </is>
      </c>
      <c r="D4069" s="5" t="inlineStr">
        <is>
          <t>prepaid</t>
        </is>
      </c>
      <c r="E4069" s="5" t="inlineStr">
        <is>
          <t>SP</t>
        </is>
      </c>
      <c r="F4069" s="5" t="inlineStr">
        <is>
          <t>Prezão 6GB (20 dias)</t>
        </is>
      </c>
      <c r="G4069" s="5" t="inlineStr">
        <is>
          <t>claro:prezao-20d-6gb</t>
        </is>
      </c>
      <c r="H4069" s="6" t="n">
        <v>20</v>
      </c>
      <c r="I4069" s="6" t="inlineStr"/>
      <c r="J4069" s="5" t="inlineStr">
        <is>
          <t>recarga Prezão R$20 — validade 20 dias</t>
        </is>
      </c>
      <c r="K4069" s="5" t="inlineStr"/>
      <c r="L4069" s="7" t="n">
        <v>6</v>
      </c>
      <c r="M4069" s="5" t="inlineStr"/>
      <c r="N4069" s="5" t="n">
        <v>20</v>
      </c>
      <c r="O4069" s="5" t="inlineStr"/>
      <c r="P4069" s="5" t="inlineStr"/>
      <c r="Q4069" s="5" t="inlineStr"/>
      <c r="R4069" s="5" t="inlineStr"/>
      <c r="S4069" s="5" t="inlineStr"/>
      <c r="T4069" s="5" t="inlineStr"/>
      <c r="U4069" s="5" t="inlineStr">
        <is>
          <t>https://www.claro.com.br/celular/planos-pre/prezao</t>
        </is>
      </c>
      <c r="V4069" s="5" t="inlineStr">
        <is>
          <t>data/raw/claro_prepaid_SP.json</t>
        </is>
      </c>
    </row>
    <row r="4070">
      <c r="A4070" s="2" t="inlineStr">
        <is>
          <t>2026-09-02</t>
        </is>
      </c>
      <c r="B4070" s="2" t="inlineStr">
        <is>
          <t>2026-09-02T19:57:51</t>
        </is>
      </c>
      <c r="C4070" s="2" t="inlineStr">
        <is>
          <t>claro</t>
        </is>
      </c>
      <c r="D4070" s="2" t="inlineStr">
        <is>
          <t>prepaid</t>
        </is>
      </c>
      <c r="E4070" s="2" t="inlineStr">
        <is>
          <t>SP</t>
        </is>
      </c>
      <c r="F4070" s="2" t="inlineStr">
        <is>
          <t>Prezão 8GB (20 dias)</t>
        </is>
      </c>
      <c r="G4070" s="2" t="inlineStr">
        <is>
          <t>claro:prezao-20d-8gb</t>
        </is>
      </c>
      <c r="H4070" s="3" t="n">
        <v>20</v>
      </c>
      <c r="I4070" s="3" t="inlineStr"/>
      <c r="J4070" s="2" t="inlineStr">
        <is>
          <t>recarga Prezão R$20 — validade 20 dias</t>
        </is>
      </c>
      <c r="K4070" s="2" t="inlineStr"/>
      <c r="L4070" s="4" t="n">
        <v>8</v>
      </c>
      <c r="M4070" s="2" t="inlineStr"/>
      <c r="N4070" s="2" t="n">
        <v>20</v>
      </c>
      <c r="O4070" s="2" t="inlineStr"/>
      <c r="P4070" s="2" t="inlineStr"/>
      <c r="Q4070" s="2" t="inlineStr"/>
      <c r="R4070" s="2" t="inlineStr"/>
      <c r="S4070" s="2" t="inlineStr"/>
      <c r="T4070" s="2" t="inlineStr"/>
      <c r="U4070" s="2" t="inlineStr">
        <is>
          <t>https://www.claro.com.br/celular/planos-pre/prezao</t>
        </is>
      </c>
      <c r="V4070" s="2" t="inlineStr">
        <is>
          <t>data/raw/claro_prepaid_SP.json</t>
        </is>
      </c>
    </row>
    <row r="4071">
      <c r="A4071" s="5" t="inlineStr">
        <is>
          <t>2026-09-02</t>
        </is>
      </c>
      <c r="B4071" s="5" t="inlineStr">
        <is>
          <t>2026-09-02T19:57:51</t>
        </is>
      </c>
      <c r="C4071" s="5" t="inlineStr">
        <is>
          <t>claro</t>
        </is>
      </c>
      <c r="D4071" s="5" t="inlineStr">
        <is>
          <t>prepaid</t>
        </is>
      </c>
      <c r="E4071" s="5" t="inlineStr">
        <is>
          <t>SP</t>
        </is>
      </c>
      <c r="F4071" s="5" t="inlineStr">
        <is>
          <t>Prezão 9GB (25 dias)</t>
        </is>
      </c>
      <c r="G4071" s="5" t="inlineStr">
        <is>
          <t>claro:prezao-25d-9gb</t>
        </is>
      </c>
      <c r="H4071" s="6" t="n">
        <v>25</v>
      </c>
      <c r="I4071" s="6" t="inlineStr"/>
      <c r="J4071" s="5" t="inlineStr">
        <is>
          <t>recarga Prezão R$25 — validade 25 dias</t>
        </is>
      </c>
      <c r="K4071" s="5" t="inlineStr"/>
      <c r="L4071" s="7" t="n">
        <v>9</v>
      </c>
      <c r="M4071" s="5" t="inlineStr"/>
      <c r="N4071" s="5" t="n">
        <v>25</v>
      </c>
      <c r="O4071" s="5" t="inlineStr"/>
      <c r="P4071" s="5" t="inlineStr"/>
      <c r="Q4071" s="5" t="inlineStr"/>
      <c r="R4071" s="5" t="inlineStr"/>
      <c r="S4071" s="5" t="inlineStr"/>
      <c r="T4071" s="5" t="inlineStr"/>
      <c r="U4071" s="5" t="inlineStr">
        <is>
          <t>https://www.claro.com.br/celular/planos-pre/prezao</t>
        </is>
      </c>
      <c r="V4071" s="5" t="inlineStr">
        <is>
          <t>data/raw/claro_prepaid_SP.json</t>
        </is>
      </c>
    </row>
    <row r="4072">
      <c r="A4072" s="2" t="inlineStr">
        <is>
          <t>2026-09-02</t>
        </is>
      </c>
      <c r="B4072" s="2" t="inlineStr">
        <is>
          <t>2026-09-02T19:57:51</t>
        </is>
      </c>
      <c r="C4072" s="2" t="inlineStr">
        <is>
          <t>tim</t>
        </is>
      </c>
      <c r="D4072" s="2" t="inlineStr">
        <is>
          <t>control</t>
        </is>
      </c>
      <c r="E4072" s="2" t="inlineStr">
        <is>
          <t>SP</t>
        </is>
      </c>
      <c r="F4072" s="2" t="inlineStr">
        <is>
          <t>TIM Controle 45GB</t>
        </is>
      </c>
      <c r="G4072" s="2" t="inlineStr">
        <is>
          <t>tim:182766</t>
        </is>
      </c>
      <c r="H4072" s="3" t="n">
        <v>49.99</v>
      </c>
      <c r="I4072" s="3" t="inlineStr"/>
      <c r="J4072" s="2" t="inlineStr"/>
      <c r="K4072" s="2" t="inlineStr"/>
      <c r="L4072" s="4" t="n">
        <v>45</v>
      </c>
      <c r="M4072" s="2" t="inlineStr"/>
      <c r="N4072" s="2" t="inlineStr"/>
      <c r="O4072" s="2" t="inlineStr"/>
      <c r="P4072" s="2" t="inlineStr"/>
      <c r="Q4072" s="2" t="inlineStr"/>
      <c r="R4072" s="2" t="inlineStr"/>
      <c r="S4072" s="2" t="inlineStr"/>
      <c r="T4072" s="2" t="inlineStr"/>
      <c r="U4072" s="2" t="inlineStr">
        <is>
          <t>https://www.tim.com.br/sp/para-voce/planos/controle</t>
        </is>
      </c>
      <c r="V4072" s="2" t="inlineStr">
        <is>
          <t>data/raw/tim_control_SP.html</t>
        </is>
      </c>
    </row>
    <row r="4073">
      <c r="A4073" s="5" t="inlineStr">
        <is>
          <t>2026-09-02</t>
        </is>
      </c>
      <c r="B4073" s="5" t="inlineStr">
        <is>
          <t>2026-09-02T19:57:51</t>
        </is>
      </c>
      <c r="C4073" s="5" t="inlineStr">
        <is>
          <t>tim</t>
        </is>
      </c>
      <c r="D4073" s="5" t="inlineStr">
        <is>
          <t>control</t>
        </is>
      </c>
      <c r="E4073" s="5" t="inlineStr">
        <is>
          <t>SP</t>
        </is>
      </c>
      <c r="F4073" s="5" t="inlineStr">
        <is>
          <t>TIM Controle Light Express 45GB</t>
        </is>
      </c>
      <c r="G4073" s="5" t="inlineStr">
        <is>
          <t>tim:167726</t>
        </is>
      </c>
      <c r="H4073" s="6" t="n">
        <v>60.99</v>
      </c>
      <c r="I4073" s="6" t="inlineStr"/>
      <c r="J4073" s="5" t="inlineStr"/>
      <c r="K4073" s="5" t="inlineStr"/>
      <c r="L4073" s="7" t="n">
        <v>45</v>
      </c>
      <c r="M4073" s="5" t="inlineStr"/>
      <c r="N4073" s="5" t="inlineStr"/>
      <c r="O4073" s="5" t="inlineStr"/>
      <c r="P4073" s="5" t="inlineStr"/>
      <c r="Q4073" s="5" t="inlineStr"/>
      <c r="R4073" s="5" t="inlineStr"/>
      <c r="S4073" s="5" t="inlineStr"/>
      <c r="T4073" s="5" t="inlineStr"/>
      <c r="U4073" s="5" t="inlineStr">
        <is>
          <t>https://www.tim.com.br/sp/para-voce/planos/controle</t>
        </is>
      </c>
      <c r="V4073" s="5" t="inlineStr">
        <is>
          <t>data/raw/tim_control_SP.html</t>
        </is>
      </c>
    </row>
    <row r="4074">
      <c r="A4074" s="2" t="inlineStr">
        <is>
          <t>2026-09-02</t>
        </is>
      </c>
      <c r="B4074" s="2" t="inlineStr">
        <is>
          <t>2026-09-02T19:57:51</t>
        </is>
      </c>
      <c r="C4074" s="2" t="inlineStr">
        <is>
          <t>tim</t>
        </is>
      </c>
      <c r="D4074" s="2" t="inlineStr">
        <is>
          <t>control</t>
        </is>
      </c>
      <c r="E4074" s="2" t="inlineStr">
        <is>
          <t>SP</t>
        </is>
      </c>
      <c r="F4074" s="2" t="inlineStr">
        <is>
          <t>TIM Controle Premium 55GB</t>
        </is>
      </c>
      <c r="G4074" s="2" t="inlineStr">
        <is>
          <t>tim:180756</t>
        </is>
      </c>
      <c r="H4074" s="3" t="n">
        <v>69.98999999999999</v>
      </c>
      <c r="I4074" s="3" t="inlineStr"/>
      <c r="J4074" s="2" t="inlineStr"/>
      <c r="K4074" s="2" t="inlineStr"/>
      <c r="L4074" s="4" t="n">
        <v>55</v>
      </c>
      <c r="M4074" s="2" t="inlineStr"/>
      <c r="N4074" s="2" t="inlineStr"/>
      <c r="O4074" s="2" t="inlineStr"/>
      <c r="P4074" s="2" t="inlineStr"/>
      <c r="Q4074" s="2" t="inlineStr"/>
      <c r="R4074" s="2" t="inlineStr"/>
      <c r="S4074" s="2" t="inlineStr"/>
      <c r="T4074" s="2" t="inlineStr"/>
      <c r="U4074" s="2" t="inlineStr">
        <is>
          <t>https://www.tim.com.br/sp/para-voce/planos/controle</t>
        </is>
      </c>
      <c r="V4074" s="2" t="inlineStr">
        <is>
          <t>data/raw/tim_control_SP.html</t>
        </is>
      </c>
    </row>
    <row r="4075">
      <c r="A4075" s="5" t="inlineStr">
        <is>
          <t>2026-09-02</t>
        </is>
      </c>
      <c r="B4075" s="5" t="inlineStr">
        <is>
          <t>2026-09-02T19:57:51</t>
        </is>
      </c>
      <c r="C4075" s="5" t="inlineStr">
        <is>
          <t>tim</t>
        </is>
      </c>
      <c r="D4075" s="5" t="inlineStr">
        <is>
          <t>control</t>
        </is>
      </c>
      <c r="E4075" s="5" t="inlineStr">
        <is>
          <t>SP</t>
        </is>
      </c>
      <c r="F4075" s="5" t="inlineStr">
        <is>
          <t>TIM Controle Pro Express 46GB</t>
        </is>
      </c>
      <c r="G4075" s="5" t="inlineStr">
        <is>
          <t>tim:167731</t>
        </is>
      </c>
      <c r="H4075" s="6" t="n">
        <v>64.98999999999999</v>
      </c>
      <c r="I4075" s="6" t="inlineStr"/>
      <c r="J4075" s="5" t="inlineStr"/>
      <c r="K4075" s="5" t="inlineStr"/>
      <c r="L4075" s="7" t="n">
        <v>46</v>
      </c>
      <c r="M4075" s="5" t="inlineStr"/>
      <c r="N4075" s="5" t="inlineStr"/>
      <c r="O4075" s="5" t="inlineStr"/>
      <c r="P4075" s="5" t="inlineStr"/>
      <c r="Q4075" s="5" t="inlineStr"/>
      <c r="R4075" s="5" t="inlineStr"/>
      <c r="S4075" s="5" t="inlineStr"/>
      <c r="T4075" s="5" t="inlineStr"/>
      <c r="U4075" s="5" t="inlineStr">
        <is>
          <t>https://www.tim.com.br/sp/para-voce/planos/controle</t>
        </is>
      </c>
      <c r="V4075" s="5" t="inlineStr">
        <is>
          <t>data/raw/tim_control_SP.html</t>
        </is>
      </c>
    </row>
    <row r="4076">
      <c r="A4076" s="2" t="inlineStr">
        <is>
          <t>2026-09-02</t>
        </is>
      </c>
      <c r="B4076" s="2" t="inlineStr">
        <is>
          <t>2026-09-02T19:57:51</t>
        </is>
      </c>
      <c r="C4076" s="2" t="inlineStr">
        <is>
          <t>tim</t>
        </is>
      </c>
      <c r="D4076" s="2" t="inlineStr">
        <is>
          <t>control</t>
        </is>
      </c>
      <c r="E4076" s="2" t="inlineStr">
        <is>
          <t>SP</t>
        </is>
      </c>
      <c r="F4076" s="2" t="inlineStr">
        <is>
          <t>TIM Controle Redes Sociais 46GB</t>
        </is>
      </c>
      <c r="G4076" s="2" t="inlineStr">
        <is>
          <t>tim:167031</t>
        </is>
      </c>
      <c r="H4076" s="3" t="n">
        <v>59.99</v>
      </c>
      <c r="I4076" s="3" t="inlineStr"/>
      <c r="J4076" s="2" t="inlineStr"/>
      <c r="K4076" s="2" t="inlineStr"/>
      <c r="L4076" s="4" t="n">
        <v>46</v>
      </c>
      <c r="M4076" s="2" t="inlineStr"/>
      <c r="N4076" s="2" t="inlineStr"/>
      <c r="O4076" s="2" t="inlineStr"/>
      <c r="P4076" s="2" t="inlineStr"/>
      <c r="Q4076" s="2" t="inlineStr"/>
      <c r="R4076" s="2" t="inlineStr"/>
      <c r="S4076" s="2" t="inlineStr"/>
      <c r="T4076" s="2" t="inlineStr"/>
      <c r="U4076" s="2" t="inlineStr">
        <is>
          <t>https://www.tim.com.br/sp/para-voce/planos/controle</t>
        </is>
      </c>
      <c r="V4076" s="2" t="inlineStr">
        <is>
          <t>data/raw/tim_control_SP.html</t>
        </is>
      </c>
    </row>
    <row r="4077">
      <c r="A4077" s="5" t="inlineStr">
        <is>
          <t>2026-09-02</t>
        </is>
      </c>
      <c r="B4077" s="5" t="inlineStr">
        <is>
          <t>2026-09-02T19:57:51</t>
        </is>
      </c>
      <c r="C4077" s="5" t="inlineStr">
        <is>
          <t>tim</t>
        </is>
      </c>
      <c r="D4077" s="5" t="inlineStr">
        <is>
          <t>fit</t>
        </is>
      </c>
      <c r="E4077" s="5" t="inlineStr">
        <is>
          <t>SP</t>
        </is>
      </c>
      <c r="F4077" s="5" t="inlineStr">
        <is>
          <t>TIM Controle Fit Anual 1.0</t>
        </is>
      </c>
      <c r="G4077" s="5" t="inlineStr">
        <is>
          <t>tim:TIM202600000306</t>
        </is>
      </c>
      <c r="H4077" s="6" t="n">
        <v>20</v>
      </c>
      <c r="I4077" s="6" t="inlineStr"/>
      <c r="J4077" s="5" t="inlineStr">
        <is>
          <t>plano anual 12x no cartão de crédito; a etiqueta TIM informa 'sem prazo de permanência'</t>
        </is>
      </c>
      <c r="K4077" s="5" t="inlineStr">
        <is>
          <t>credit_card</t>
        </is>
      </c>
      <c r="L4077" s="7" t="n">
        <v>25</v>
      </c>
      <c r="M4077" s="5" t="inlineStr"/>
      <c r="N4077" s="5" t="inlineStr"/>
      <c r="O4077" s="5" t="inlineStr"/>
      <c r="P4077" s="5" t="inlineStr"/>
      <c r="Q4077" s="5" t="inlineStr"/>
      <c r="R4077" s="5" t="inlineStr"/>
      <c r="S4077" s="5" t="n">
        <v>12</v>
      </c>
      <c r="T4077" s="5" t="inlineStr"/>
      <c r="U4077" s="5" t="inlineStr">
        <is>
          <t>https://www.tim.com.br/sp/para-voce/planos/controle</t>
        </is>
      </c>
      <c r="V4077" s="5" t="inlineStr">
        <is>
          <t>data/raw/tim_fit_SP.html</t>
        </is>
      </c>
    </row>
    <row r="4078">
      <c r="A4078" s="2" t="inlineStr">
        <is>
          <t>2026-09-02</t>
        </is>
      </c>
      <c r="B4078" s="2" t="inlineStr">
        <is>
          <t>2026-09-02T19:57:51</t>
        </is>
      </c>
      <c r="C4078" s="2" t="inlineStr">
        <is>
          <t>tim</t>
        </is>
      </c>
      <c r="D4078" s="2" t="inlineStr">
        <is>
          <t>fit</t>
        </is>
      </c>
      <c r="E4078" s="2" t="inlineStr">
        <is>
          <t>SP</t>
        </is>
      </c>
      <c r="F4078" s="2" t="inlineStr">
        <is>
          <t>TIM Controle Fit Anual 2.0</t>
        </is>
      </c>
      <c r="G4078" s="2" t="inlineStr">
        <is>
          <t>tim:TIM202600000271</t>
        </is>
      </c>
      <c r="H4078" s="3" t="n">
        <v>30</v>
      </c>
      <c r="I4078" s="3" t="inlineStr"/>
      <c r="J4078" s="2" t="inlineStr">
        <is>
          <t>plano anual 12x no cartão de crédito; a etiqueta TIM informa 'sem prazo de permanência'</t>
        </is>
      </c>
      <c r="K4078" s="2" t="inlineStr">
        <is>
          <t>credit_card</t>
        </is>
      </c>
      <c r="L4078" s="4" t="n">
        <v>35</v>
      </c>
      <c r="M4078" s="2" t="inlineStr"/>
      <c r="N4078" s="2" t="inlineStr"/>
      <c r="O4078" s="2" t="inlineStr"/>
      <c r="P4078" s="2" t="inlineStr"/>
      <c r="Q4078" s="2" t="inlineStr"/>
      <c r="R4078" s="2" t="inlineStr"/>
      <c r="S4078" s="2" t="n">
        <v>12</v>
      </c>
      <c r="T4078" s="2" t="inlineStr"/>
      <c r="U4078" s="2" t="inlineStr">
        <is>
          <t>https://www.tim.com.br/sp/para-voce/planos/controle</t>
        </is>
      </c>
      <c r="V4078" s="2" t="inlineStr">
        <is>
          <t>data/raw/tim_fit_SP.html</t>
        </is>
      </c>
    </row>
    <row r="4079">
      <c r="A4079" s="5" t="inlineStr">
        <is>
          <t>2026-09-02</t>
        </is>
      </c>
      <c r="B4079" s="5" t="inlineStr">
        <is>
          <t>2026-09-02T19:57:51</t>
        </is>
      </c>
      <c r="C4079" s="5" t="inlineStr">
        <is>
          <t>tim</t>
        </is>
      </c>
      <c r="D4079" s="5" t="inlineStr">
        <is>
          <t>fit</t>
        </is>
      </c>
      <c r="E4079" s="5" t="inlineStr">
        <is>
          <t>SP</t>
        </is>
      </c>
      <c r="F4079" s="5" t="inlineStr">
        <is>
          <t>TIM Controle Fit Mensal 1.0</t>
        </is>
      </c>
      <c r="G4079" s="5" t="inlineStr">
        <is>
          <t>tim:TIM202600000270</t>
        </is>
      </c>
      <c r="H4079" s="6" t="n">
        <v>20</v>
      </c>
      <c r="I4079" s="6" t="inlineStr"/>
      <c r="J4079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079" s="5" t="inlineStr"/>
      <c r="L4079" s="7" t="n">
        <v>20</v>
      </c>
      <c r="M4079" s="5" t="inlineStr"/>
      <c r="N4079" s="5" t="inlineStr"/>
      <c r="O4079" s="5" t="inlineStr"/>
      <c r="P4079" s="5" t="inlineStr"/>
      <c r="Q4079" s="5" t="inlineStr"/>
      <c r="R4079" s="5" t="inlineStr"/>
      <c r="S4079" s="5" t="inlineStr"/>
      <c r="T4079" s="5" t="inlineStr"/>
      <c r="U4079" s="5" t="inlineStr">
        <is>
          <t>https://www.tim.com.br/sp/para-voce/planos/controle</t>
        </is>
      </c>
      <c r="V4079" s="5" t="inlineStr">
        <is>
          <t>data/raw/tim_fit_SP.html</t>
        </is>
      </c>
    </row>
    <row r="4080">
      <c r="A4080" s="2" t="inlineStr">
        <is>
          <t>2026-09-02</t>
        </is>
      </c>
      <c r="B4080" s="2" t="inlineStr">
        <is>
          <t>2026-09-02T19:57:51</t>
        </is>
      </c>
      <c r="C4080" s="2" t="inlineStr">
        <is>
          <t>tim</t>
        </is>
      </c>
      <c r="D4080" s="2" t="inlineStr">
        <is>
          <t>fit</t>
        </is>
      </c>
      <c r="E4080" s="2" t="inlineStr">
        <is>
          <t>SP</t>
        </is>
      </c>
      <c r="F4080" s="2" t="inlineStr">
        <is>
          <t>TIM Controle Fit Mensal 2.0</t>
        </is>
      </c>
      <c r="G4080" s="2" t="inlineStr">
        <is>
          <t>tim:TIM202600000305</t>
        </is>
      </c>
      <c r="H4080" s="3" t="n">
        <v>45</v>
      </c>
      <c r="I4080" s="3" t="inlineStr"/>
      <c r="J4080" s="2" t="inlineStr">
        <is>
          <t>plano mensal, sem prazo de permanência; a etiqueta TIM informa 'sem prazo de permanência'</t>
        </is>
      </c>
      <c r="K4080" s="2" t="inlineStr"/>
      <c r="L4080" s="4" t="n">
        <v>35</v>
      </c>
      <c r="M4080" s="2" t="inlineStr"/>
      <c r="N4080" s="2" t="inlineStr"/>
      <c r="O4080" s="2" t="inlineStr"/>
      <c r="P4080" s="2" t="inlineStr"/>
      <c r="Q4080" s="2" t="inlineStr"/>
      <c r="R4080" s="2" t="inlineStr"/>
      <c r="S4080" s="2" t="inlineStr"/>
      <c r="T4080" s="2" t="inlineStr"/>
      <c r="U4080" s="2" t="inlineStr">
        <is>
          <t>https://www.tim.com.br/sp/para-voce/planos/controle</t>
        </is>
      </c>
      <c r="V4080" s="2" t="inlineStr">
        <is>
          <t>data/raw/tim_fit_SP.html</t>
        </is>
      </c>
    </row>
    <row r="4081">
      <c r="A4081" s="5" t="inlineStr">
        <is>
          <t>2026-09-02</t>
        </is>
      </c>
      <c r="B4081" s="5" t="inlineStr">
        <is>
          <t>2026-09-02T19:57:51</t>
        </is>
      </c>
      <c r="C4081" s="5" t="inlineStr">
        <is>
          <t>tim</t>
        </is>
      </c>
      <c r="D4081" s="5" t="inlineStr">
        <is>
          <t>postpaid</t>
        </is>
      </c>
      <c r="E4081" s="5" t="inlineStr">
        <is>
          <t>SP</t>
        </is>
      </c>
      <c r="F4081" s="5" t="inlineStr">
        <is>
          <t>TIM Black 70GB</t>
        </is>
      </c>
      <c r="G4081" s="5" t="inlineStr">
        <is>
          <t>tim:54206</t>
        </is>
      </c>
      <c r="H4081" s="6" t="n">
        <v>129.99</v>
      </c>
      <c r="I4081" s="6" t="inlineStr"/>
      <c r="J4081" s="5" t="inlineStr"/>
      <c r="K4081" s="5" t="inlineStr">
        <is>
          <t>bill</t>
        </is>
      </c>
      <c r="L4081" s="7" t="n">
        <v>70</v>
      </c>
      <c r="M4081" s="5" t="inlineStr"/>
      <c r="N4081" s="5" t="inlineStr"/>
      <c r="O4081" s="5" t="inlineStr"/>
      <c r="P4081" s="5" t="inlineStr"/>
      <c r="Q4081" s="5" t="inlineStr"/>
      <c r="R4081" s="5" t="inlineStr"/>
      <c r="S4081" s="5" t="inlineStr"/>
      <c r="T4081" s="5" t="inlineStr"/>
      <c r="U4081" s="5" t="inlineStr">
        <is>
          <t>https://www.tim.com.br/sp/para-voce/planos/pos-pago/tim-black</t>
        </is>
      </c>
      <c r="V4081" s="5" t="inlineStr">
        <is>
          <t>data/raw/tim_postpaid_SP.html</t>
        </is>
      </c>
    </row>
    <row r="4082">
      <c r="A4082" s="2" t="inlineStr">
        <is>
          <t>2026-09-02</t>
        </is>
      </c>
      <c r="B4082" s="2" t="inlineStr">
        <is>
          <t>2026-09-02T19:57:51</t>
        </is>
      </c>
      <c r="C4082" s="2" t="inlineStr">
        <is>
          <t>tim</t>
        </is>
      </c>
      <c r="D4082" s="2" t="inlineStr">
        <is>
          <t>postpaid</t>
        </is>
      </c>
      <c r="E4082" s="2" t="inlineStr">
        <is>
          <t>SP</t>
        </is>
      </c>
      <c r="F4082" s="2" t="inlineStr">
        <is>
          <t>TIM Black B Express 82GB</t>
        </is>
      </c>
      <c r="G4082" s="2" t="inlineStr">
        <is>
          <t>tim:52146</t>
        </is>
      </c>
      <c r="H4082" s="3" t="n">
        <v>144.99</v>
      </c>
      <c r="I4082" s="3" t="inlineStr"/>
      <c r="J4082" s="2" t="inlineStr"/>
      <c r="K4082" s="2" t="inlineStr">
        <is>
          <t>credit_card</t>
        </is>
      </c>
      <c r="L4082" s="4" t="n">
        <v>82</v>
      </c>
      <c r="M4082" s="2" t="inlineStr"/>
      <c r="N4082" s="2" t="inlineStr"/>
      <c r="O4082" s="2" t="inlineStr"/>
      <c r="P4082" s="2" t="inlineStr"/>
      <c r="Q4082" s="2" t="inlineStr"/>
      <c r="R4082" s="2" t="inlineStr"/>
      <c r="S4082" s="2" t="inlineStr"/>
      <c r="T4082" s="2" t="inlineStr"/>
      <c r="U4082" s="2" t="inlineStr">
        <is>
          <t>https://www.tim.com.br/sp/para-voce/planos/pos-pago/tim-black</t>
        </is>
      </c>
      <c r="V4082" s="2" t="inlineStr">
        <is>
          <t>data/raw/tim_postpaid_SP.html</t>
        </is>
      </c>
    </row>
    <row r="4083">
      <c r="A4083" s="5" t="inlineStr">
        <is>
          <t>2026-09-02</t>
        </is>
      </c>
      <c r="B4083" s="5" t="inlineStr">
        <is>
          <t>2026-09-02T19:57:51</t>
        </is>
      </c>
      <c r="C4083" s="5" t="inlineStr">
        <is>
          <t>tim</t>
        </is>
      </c>
      <c r="D4083" s="5" t="inlineStr">
        <is>
          <t>postpaid</t>
        </is>
      </c>
      <c r="E4083" s="5" t="inlineStr">
        <is>
          <t>SP</t>
        </is>
      </c>
      <c r="F4083" s="5" t="inlineStr">
        <is>
          <t>TIM Black C Express 107GB</t>
        </is>
      </c>
      <c r="G4083" s="5" t="inlineStr">
        <is>
          <t>tim:52151</t>
        </is>
      </c>
      <c r="H4083" s="6" t="n">
        <v>164.99</v>
      </c>
      <c r="I4083" s="6" t="inlineStr"/>
      <c r="J4083" s="5" t="inlineStr"/>
      <c r="K4083" s="5" t="inlineStr">
        <is>
          <t>credit_card</t>
        </is>
      </c>
      <c r="L4083" s="7" t="n">
        <v>107</v>
      </c>
      <c r="M4083" s="5" t="inlineStr"/>
      <c r="N4083" s="5" t="inlineStr"/>
      <c r="O4083" s="5" t="inlineStr"/>
      <c r="P4083" s="5" t="inlineStr"/>
      <c r="Q4083" s="5" t="inlineStr"/>
      <c r="R4083" s="5" t="inlineStr"/>
      <c r="S4083" s="5" t="inlineStr"/>
      <c r="T4083" s="5" t="inlineStr"/>
      <c r="U4083" s="5" t="inlineStr">
        <is>
          <t>https://www.tim.com.br/sp/para-voce/planos/pos-pago/tim-black</t>
        </is>
      </c>
      <c r="V4083" s="5" t="inlineStr">
        <is>
          <t>data/raw/tim_postpaid_SP.html</t>
        </is>
      </c>
    </row>
    <row r="4084">
      <c r="A4084" s="2" t="inlineStr">
        <is>
          <t>2026-09-02</t>
        </is>
      </c>
      <c r="B4084" s="2" t="inlineStr">
        <is>
          <t>2026-09-02T19:57:51</t>
        </is>
      </c>
      <c r="C4084" s="2" t="inlineStr">
        <is>
          <t>tim</t>
        </is>
      </c>
      <c r="D4084" s="2" t="inlineStr">
        <is>
          <t>postpaid</t>
        </is>
      </c>
      <c r="E4084" s="2" t="inlineStr">
        <is>
          <t>SP</t>
        </is>
      </c>
      <c r="F4084" s="2" t="inlineStr">
        <is>
          <t>TIM Black Plus 80GB</t>
        </is>
      </c>
      <c r="G4084" s="2" t="inlineStr">
        <is>
          <t>tim:54256</t>
        </is>
      </c>
      <c r="H4084" s="3" t="n">
        <v>149.99</v>
      </c>
      <c r="I4084" s="3" t="inlineStr"/>
      <c r="J4084" s="2" t="inlineStr"/>
      <c r="K4084" s="2" t="inlineStr">
        <is>
          <t>bill</t>
        </is>
      </c>
      <c r="L4084" s="4" t="n">
        <v>80</v>
      </c>
      <c r="M4084" s="2" t="inlineStr"/>
      <c r="N4084" s="2" t="inlineStr"/>
      <c r="O4084" s="2" t="inlineStr"/>
      <c r="P4084" s="2" t="inlineStr"/>
      <c r="Q4084" s="2" t="inlineStr"/>
      <c r="R4084" s="2" t="inlineStr"/>
      <c r="S4084" s="2" t="inlineStr"/>
      <c r="T4084" s="2" t="inlineStr"/>
      <c r="U4084" s="2" t="inlineStr">
        <is>
          <t>https://www.tim.com.br/sp/para-voce/planos/pos-pago/tim-black</t>
        </is>
      </c>
      <c r="V4084" s="2" t="inlineStr">
        <is>
          <t>data/raw/tim_postpaid_SP.html</t>
        </is>
      </c>
    </row>
    <row r="4085">
      <c r="A4085" s="5" t="inlineStr">
        <is>
          <t>2026-09-02</t>
        </is>
      </c>
      <c r="B4085" s="5" t="inlineStr">
        <is>
          <t>2026-09-02T19:57:51</t>
        </is>
      </c>
      <c r="C4085" s="5" t="inlineStr">
        <is>
          <t>tim</t>
        </is>
      </c>
      <c r="D4085" s="5" t="inlineStr">
        <is>
          <t>postpaid</t>
        </is>
      </c>
      <c r="E4085" s="5" t="inlineStr">
        <is>
          <t>SP</t>
        </is>
      </c>
      <c r="F4085" s="5" t="inlineStr">
        <is>
          <t>TIM Black Premium 110GB</t>
        </is>
      </c>
      <c r="G4085" s="5" t="inlineStr">
        <is>
          <t>tim:54261</t>
        </is>
      </c>
      <c r="H4085" s="6" t="n">
        <v>159.99</v>
      </c>
      <c r="I4085" s="6" t="inlineStr"/>
      <c r="J4085" s="5" t="inlineStr"/>
      <c r="K4085" s="5" t="inlineStr">
        <is>
          <t>bill</t>
        </is>
      </c>
      <c r="L4085" s="7" t="n">
        <v>110</v>
      </c>
      <c r="M4085" s="5" t="inlineStr"/>
      <c r="N4085" s="5" t="inlineStr"/>
      <c r="O4085" s="5" t="inlineStr"/>
      <c r="P4085" s="5" t="inlineStr"/>
      <c r="Q4085" s="5" t="inlineStr"/>
      <c r="R4085" s="5" t="inlineStr"/>
      <c r="S4085" s="5" t="inlineStr"/>
      <c r="T4085" s="5" t="inlineStr"/>
      <c r="U4085" s="5" t="inlineStr">
        <is>
          <t>https://www.tim.com.br/sp/para-voce/planos/pos-pago/tim-black</t>
        </is>
      </c>
      <c r="V4085" s="5" t="inlineStr">
        <is>
          <t>data/raw/tim_postpaid_SP.html</t>
        </is>
      </c>
    </row>
    <row r="4086">
      <c r="A4086" s="2" t="inlineStr">
        <is>
          <t>2026-09-02</t>
        </is>
      </c>
      <c r="B4086" s="2" t="inlineStr">
        <is>
          <t>2026-09-02T19:57:51</t>
        </is>
      </c>
      <c r="C4086" s="2" t="inlineStr">
        <is>
          <t>tim</t>
        </is>
      </c>
      <c r="D4086" s="2" t="inlineStr">
        <is>
          <t>prepaid</t>
        </is>
      </c>
      <c r="E4086" s="2" t="inlineStr">
        <is>
          <t>SP</t>
        </is>
      </c>
      <c r="F4086" s="2" t="inlineStr">
        <is>
          <t>TIM Pré XIP Plus 16GB</t>
        </is>
      </c>
      <c r="G4086" s="2" t="inlineStr">
        <is>
          <t>tim:106306</t>
        </is>
      </c>
      <c r="H4086" s="3" t="n">
        <v>30</v>
      </c>
      <c r="I4086" s="3" t="inlineStr"/>
      <c r="J4086" s="2" t="inlineStr"/>
      <c r="K4086" s="2" t="inlineStr"/>
      <c r="L4086" s="4" t="n">
        <v>16</v>
      </c>
      <c r="M4086" s="2" t="inlineStr"/>
      <c r="N4086" s="2" t="n">
        <v>30</v>
      </c>
      <c r="O4086" s="2" t="inlineStr"/>
      <c r="P4086" s="2" t="inlineStr"/>
      <c r="Q4086" s="2" t="inlineStr"/>
      <c r="R4086" s="2" t="inlineStr"/>
      <c r="S4086" s="2" t="inlineStr"/>
      <c r="T4086" s="2" t="inlineStr"/>
      <c r="U4086" s="2" t="inlineStr">
        <is>
          <t>https://www.tim.com.br/sp/para-voce/planos/pre-pago</t>
        </is>
      </c>
      <c r="V4086" s="2" t="inlineStr">
        <is>
          <t>data/raw/tim_prepaid_SP.html</t>
        </is>
      </c>
    </row>
    <row r="4087">
      <c r="A4087" s="5" t="inlineStr">
        <is>
          <t>2026-09-02</t>
        </is>
      </c>
      <c r="B4087" s="5" t="inlineStr">
        <is>
          <t>2026-09-02T19:57:51</t>
        </is>
      </c>
      <c r="C4087" s="5" t="inlineStr">
        <is>
          <t>tim</t>
        </is>
      </c>
      <c r="D4087" s="5" t="inlineStr">
        <is>
          <t>prepaid</t>
        </is>
      </c>
      <c r="E4087" s="5" t="inlineStr">
        <is>
          <t>SP</t>
        </is>
      </c>
      <c r="F4087" s="5" t="inlineStr">
        <is>
          <t>TIM Pré XIP Plus 6GB</t>
        </is>
      </c>
      <c r="G4087" s="5" t="inlineStr">
        <is>
          <t>tim:59906</t>
        </is>
      </c>
      <c r="H4087" s="6" t="n">
        <v>20</v>
      </c>
      <c r="I4087" s="6" t="inlineStr"/>
      <c r="J4087" s="5" t="inlineStr"/>
      <c r="K4087" s="5" t="inlineStr"/>
      <c r="L4087" s="7" t="n">
        <v>6</v>
      </c>
      <c r="M4087" s="5" t="inlineStr"/>
      <c r="N4087" s="5" t="n">
        <v>17</v>
      </c>
      <c r="O4087" s="5" t="inlineStr"/>
      <c r="P4087" s="5" t="inlineStr"/>
      <c r="Q4087" s="5" t="inlineStr"/>
      <c r="R4087" s="5" t="inlineStr"/>
      <c r="S4087" s="5" t="inlineStr"/>
      <c r="T4087" s="5" t="inlineStr"/>
      <c r="U4087" s="5" t="inlineStr">
        <is>
          <t>https://www.tim.com.br/sp/para-voce/planos/pre-pago</t>
        </is>
      </c>
      <c r="V4087" s="5" t="inlineStr">
        <is>
          <t>data/raw/tim_prepaid_SP.html</t>
        </is>
      </c>
    </row>
    <row r="4088">
      <c r="A4088" s="2" t="inlineStr">
        <is>
          <t>2026-09-02</t>
        </is>
      </c>
      <c r="B4088" s="2" t="inlineStr">
        <is>
          <t>2026-09-02T19:57:51</t>
        </is>
      </c>
      <c r="C4088" s="2" t="inlineStr">
        <is>
          <t>tim</t>
        </is>
      </c>
      <c r="D4088" s="2" t="inlineStr">
        <is>
          <t>prepaid</t>
        </is>
      </c>
      <c r="E4088" s="2" t="inlineStr">
        <is>
          <t>SP</t>
        </is>
      </c>
      <c r="F4088" s="2" t="inlineStr">
        <is>
          <t>TIM Pré XIP Plus 8GB</t>
        </is>
      </c>
      <c r="G4088" s="2" t="inlineStr">
        <is>
          <t>tim:59901</t>
        </is>
      </c>
      <c r="H4088" s="3" t="n">
        <v>25</v>
      </c>
      <c r="I4088" s="3" t="inlineStr"/>
      <c r="J4088" s="2" t="inlineStr"/>
      <c r="K4088" s="2" t="inlineStr"/>
      <c r="L4088" s="4" t="n">
        <v>8</v>
      </c>
      <c r="M4088" s="2" t="inlineStr"/>
      <c r="N4088" s="2" t="n">
        <v>22</v>
      </c>
      <c r="O4088" s="2" t="inlineStr"/>
      <c r="P4088" s="2" t="inlineStr"/>
      <c r="Q4088" s="2" t="inlineStr"/>
      <c r="R4088" s="2" t="inlineStr"/>
      <c r="S4088" s="2" t="inlineStr"/>
      <c r="T4088" s="2" t="inlineStr"/>
      <c r="U4088" s="2" t="inlineStr">
        <is>
          <t>https://www.tim.com.br/sp/para-voce/planos/pre-pago</t>
        </is>
      </c>
      <c r="V4088" s="2" t="inlineStr">
        <is>
          <t>data/raw/tim_prepaid_SP.html</t>
        </is>
      </c>
    </row>
    <row r="4089">
      <c r="A4089" s="5" t="inlineStr">
        <is>
          <t>2026-09-02</t>
        </is>
      </c>
      <c r="B4089" s="5" t="inlineStr">
        <is>
          <t>2026-09-02T19:57:51</t>
        </is>
      </c>
      <c r="C4089" s="5" t="inlineStr">
        <is>
          <t>vivo</t>
        </is>
      </c>
      <c r="D4089" s="5" t="inlineStr">
        <is>
          <t>control</t>
        </is>
      </c>
      <c r="E4089" s="5" t="inlineStr">
        <is>
          <t>SP</t>
        </is>
      </c>
      <c r="F4089" s="5" t="inlineStr">
        <is>
          <t>Vivo Controle</t>
        </is>
      </c>
      <c r="G4089" s="5" t="inlineStr">
        <is>
          <t>vivo:VIV202600034591</t>
        </is>
      </c>
      <c r="H4089" s="6" t="n">
        <v>59</v>
      </c>
      <c r="I4089" s="6" t="inlineStr"/>
      <c r="J4089" s="5" t="inlineStr"/>
      <c r="K4089" s="5" t="inlineStr"/>
      <c r="L4089" s="7" t="n">
        <v>45</v>
      </c>
      <c r="M4089" s="5" t="inlineStr">
        <is>
          <t>15 GB de franquia 30 GB de bônus</t>
        </is>
      </c>
      <c r="N4089" s="5" t="inlineStr"/>
      <c r="O4089" s="5" t="inlineStr"/>
      <c r="P4089" s="5" t="inlineStr"/>
      <c r="Q4089" s="5" t="inlineStr"/>
      <c r="R4089" s="5" t="inlineStr"/>
      <c r="S4089" s="5" t="inlineStr"/>
      <c r="T4089" s="5" t="inlineStr">
        <is>
          <t>6 meses grátis de Gemini com AI Plus</t>
        </is>
      </c>
      <c r="U4089" s="5" t="inlineStr">
        <is>
          <t>https://vivo.com.br/para-voce/produtos-e-servicos/para-o-celular/planos-controle</t>
        </is>
      </c>
      <c r="V4089" s="5" t="inlineStr">
        <is>
          <t>data/raw/vivo_control_SP.html</t>
        </is>
      </c>
    </row>
    <row r="4090">
      <c r="A4090" s="2" t="inlineStr">
        <is>
          <t>2026-09-02</t>
        </is>
      </c>
      <c r="B4090" s="2" t="inlineStr">
        <is>
          <t>2026-09-02T19:57:51</t>
        </is>
      </c>
      <c r="C4090" s="2" t="inlineStr">
        <is>
          <t>vivo</t>
        </is>
      </c>
      <c r="D4090" s="2" t="inlineStr">
        <is>
          <t>control</t>
        </is>
      </c>
      <c r="E4090" s="2" t="inlineStr">
        <is>
          <t>SP</t>
        </is>
      </c>
      <c r="F4090" s="2" t="inlineStr">
        <is>
          <t>Vivo Controle</t>
        </is>
      </c>
      <c r="G4090" s="2" t="inlineStr">
        <is>
          <t>vivo:VIV202600034599</t>
        </is>
      </c>
      <c r="H4090" s="3" t="n">
        <v>75</v>
      </c>
      <c r="I4090" s="3" t="inlineStr"/>
      <c r="J4090" s="2" t="inlineStr">
        <is>
          <t>preço-base do plano; a tela exibia R$ 80 com o adicional pré-selecionado (+R$ 5/mês, opcional); 60 GB na tela incluem +10 GB do adicional</t>
        </is>
      </c>
      <c r="K4090" s="2" t="inlineStr"/>
      <c r="L4090" s="4" t="n">
        <v>50</v>
      </c>
      <c r="M4090" s="2" t="inlineStr">
        <is>
          <t>20 GB de franquia 30 GB de bônus</t>
        </is>
      </c>
      <c r="N4090" s="2" t="inlineStr"/>
      <c r="O4090" s="2" t="inlineStr"/>
      <c r="P4090" s="2" t="inlineStr"/>
      <c r="Q4090" s="2" t="inlineStr"/>
      <c r="R4090" s="2" t="inlineStr"/>
      <c r="S4090" s="2" t="inlineStr"/>
      <c r="T4090" s="2" t="inlineStr">
        <is>
          <t>6 meses grátis de Gemini com AI Plus</t>
        </is>
      </c>
      <c r="U4090" s="2" t="inlineStr">
        <is>
          <t>https://vivo.com.br/para-voce/produtos-e-servicos/para-o-celular/planos-controle</t>
        </is>
      </c>
      <c r="V4090" s="2" t="inlineStr">
        <is>
          <t>data/raw/vivo_control_SP.html</t>
        </is>
      </c>
    </row>
    <row r="4091">
      <c r="A4091" s="5" t="inlineStr">
        <is>
          <t>2026-09-02</t>
        </is>
      </c>
      <c r="B4091" s="5" t="inlineStr">
        <is>
          <t>2026-09-02T19:57:51</t>
        </is>
      </c>
      <c r="C4091" s="5" t="inlineStr">
        <is>
          <t>vivo</t>
        </is>
      </c>
      <c r="D4091" s="5" t="inlineStr">
        <is>
          <t>control</t>
        </is>
      </c>
      <c r="E4091" s="5" t="inlineStr">
        <is>
          <t>SP</t>
        </is>
      </c>
      <c r="F4091" s="5" t="inlineStr">
        <is>
          <t>Vivo Controle Amazon</t>
        </is>
      </c>
      <c r="G4091" s="5" t="inlineStr">
        <is>
          <t>vivo:VIV202600038804</t>
        </is>
      </c>
      <c r="H4091" s="6" t="n">
        <v>70</v>
      </c>
      <c r="I4091" s="6" t="inlineStr"/>
      <c r="J4091" s="5" t="inlineStr">
        <is>
          <t>preço-base do plano; a tela exibia R$ 75 com o adicional pré-selecionado (+R$ 5/mês, opcional); 58 GB na tela incluem +10 GB do adicional</t>
        </is>
      </c>
      <c r="K4091" s="5" t="inlineStr"/>
      <c r="L4091" s="7" t="n">
        <v>48</v>
      </c>
      <c r="M4091" s="5" t="inlineStr">
        <is>
          <t>18 GB de franquia 30 GB de bônus</t>
        </is>
      </c>
      <c r="N4091" s="5" t="inlineStr"/>
      <c r="O4091" s="5" t="inlineStr"/>
      <c r="P4091" s="5" t="inlineStr"/>
      <c r="Q4091" s="5" t="inlineStr"/>
      <c r="R4091" s="5" t="inlineStr"/>
      <c r="S4091" s="5" t="inlineStr"/>
      <c r="T4091" s="5" t="inlineStr">
        <is>
          <t>Assinatura Amazon Prime inclusa</t>
        </is>
      </c>
      <c r="U4091" s="5" t="inlineStr">
        <is>
          <t>https://vivo.com.br/para-voce/produtos-e-servicos/para-o-celular/planos-controle</t>
        </is>
      </c>
      <c r="V4091" s="5" t="inlineStr">
        <is>
          <t>data/raw/vivo_control_SP.html</t>
        </is>
      </c>
    </row>
    <row r="4092">
      <c r="A4092" s="2" t="inlineStr">
        <is>
          <t>2026-09-02</t>
        </is>
      </c>
      <c r="B4092" s="2" t="inlineStr">
        <is>
          <t>2026-09-02T19:57:51</t>
        </is>
      </c>
      <c r="C4092" s="2" t="inlineStr">
        <is>
          <t>vivo</t>
        </is>
      </c>
      <c r="D4092" s="2" t="inlineStr">
        <is>
          <t>control</t>
        </is>
      </c>
      <c r="E4092" s="2" t="inlineStr">
        <is>
          <t>SP</t>
        </is>
      </c>
      <c r="F4092" s="2" t="inlineStr">
        <is>
          <t>Vivo Controle Educação</t>
        </is>
      </c>
      <c r="G4092" s="2" t="inlineStr">
        <is>
          <t>vivo:VIV202600034616</t>
        </is>
      </c>
      <c r="H4092" s="3" t="n">
        <v>85</v>
      </c>
      <c r="I4092" s="3" t="inlineStr"/>
      <c r="J4092" s="2" t="inlineStr">
        <is>
          <t>preço-base do plano; a tela exibia R$ 90 com o adicional pré-selecionado (+R$ 5/mês, opcional); 60 GB na tela incluem +10 GB do adicional</t>
        </is>
      </c>
      <c r="K4092" s="2" t="inlineStr"/>
      <c r="L4092" s="4" t="n">
        <v>50</v>
      </c>
      <c r="M4092" s="2" t="inlineStr">
        <is>
          <t>20 GB de franquia 30 GB de bônus</t>
        </is>
      </c>
      <c r="N4092" s="2" t="inlineStr"/>
      <c r="O4092" s="2" t="inlineStr"/>
      <c r="P4092" s="2" t="inlineStr"/>
      <c r="Q4092" s="2" t="inlineStr"/>
      <c r="R4092" s="2" t="inlineStr"/>
      <c r="S4092" s="2" t="inlineStr"/>
      <c r="T4092" s="2" t="inlineStr">
        <is>
          <t>Assinatura Vivae inclusa</t>
        </is>
      </c>
      <c r="U4092" s="2" t="inlineStr">
        <is>
          <t>https://vivo.com.br/para-voce/produtos-e-servicos/para-o-celular/planos-controle</t>
        </is>
      </c>
      <c r="V4092" s="2" t="inlineStr">
        <is>
          <t>data/raw/vivo_control_SP.html</t>
        </is>
      </c>
    </row>
    <row r="4093">
      <c r="A4093" s="5" t="inlineStr">
        <is>
          <t>2026-09-02</t>
        </is>
      </c>
      <c r="B4093" s="5" t="inlineStr">
        <is>
          <t>2026-09-02T19:57:51</t>
        </is>
      </c>
      <c r="C4093" s="5" t="inlineStr">
        <is>
          <t>vivo</t>
        </is>
      </c>
      <c r="D4093" s="5" t="inlineStr">
        <is>
          <t>control</t>
        </is>
      </c>
      <c r="E4093" s="5" t="inlineStr">
        <is>
          <t>SP</t>
        </is>
      </c>
      <c r="F4093" s="5" t="inlineStr">
        <is>
          <t>Vivo Controle Entretenimento</t>
        </is>
      </c>
      <c r="G4093" s="5" t="inlineStr">
        <is>
          <t>vivo:VIV202600034619</t>
        </is>
      </c>
      <c r="H4093" s="6" t="n">
        <v>105</v>
      </c>
      <c r="I4093" s="6" t="inlineStr"/>
      <c r="J4093" s="5" t="inlineStr">
        <is>
          <t>preço-base do plano; a tela exibia R$ 110 com o adicional pré-selecionado (+R$ 5/mês, opcional); 60 GB na tela incluem +10 GB do adicional</t>
        </is>
      </c>
      <c r="K4093" s="5" t="inlineStr"/>
      <c r="L4093" s="7" t="n">
        <v>50</v>
      </c>
      <c r="M4093" s="5" t="inlineStr">
        <is>
          <t>20 GB de franquia 30 GB de bônus</t>
        </is>
      </c>
      <c r="N4093" s="5" t="inlineStr"/>
      <c r="O4093" s="5" t="inlineStr"/>
      <c r="P4093" s="5" t="inlineStr"/>
      <c r="Q4093" s="5" t="inlineStr"/>
      <c r="R4093" s="5" t="inlineStr"/>
      <c r="S4093" s="5" t="inlineStr"/>
      <c r="T4093" s="5" t="inlineStr">
        <is>
          <t>Assinatura Vivo TV Inicial inclusa</t>
        </is>
      </c>
      <c r="U4093" s="5" t="inlineStr">
        <is>
          <t>https://vivo.com.br/para-voce/produtos-e-servicos/para-o-celular/planos-controle</t>
        </is>
      </c>
      <c r="V4093" s="5" t="inlineStr">
        <is>
          <t>data/raw/vivo_control_SP.html</t>
        </is>
      </c>
    </row>
    <row r="4094">
      <c r="A4094" s="2" t="inlineStr">
        <is>
          <t>2026-09-02</t>
        </is>
      </c>
      <c r="B4094" s="2" t="inlineStr">
        <is>
          <t>2026-09-02T19:57:51</t>
        </is>
      </c>
      <c r="C4094" s="2" t="inlineStr">
        <is>
          <t>vivo</t>
        </is>
      </c>
      <c r="D4094" s="2" t="inlineStr">
        <is>
          <t>control</t>
        </is>
      </c>
      <c r="E4094" s="2" t="inlineStr">
        <is>
          <t>SP</t>
        </is>
      </c>
      <c r="F4094" s="2" t="inlineStr">
        <is>
          <t>Vivo Controle Música</t>
        </is>
      </c>
      <c r="G4094" s="2" t="inlineStr">
        <is>
          <t>vivo:VIV202600034620</t>
        </is>
      </c>
      <c r="H4094" s="3" t="n">
        <v>85</v>
      </c>
      <c r="I4094" s="3" t="inlineStr"/>
      <c r="J4094" s="2" t="inlineStr">
        <is>
          <t>preço-base do plano; a tela exibia R$ 90 com o adicional pré-selecionado (+R$ 5/mês, opcional); 60 GB na tela incluem +10 GB do adicional</t>
        </is>
      </c>
      <c r="K4094" s="2" t="inlineStr"/>
      <c r="L4094" s="4" t="n">
        <v>50</v>
      </c>
      <c r="M4094" s="2" t="inlineStr">
        <is>
          <t>20 GB de franquia 30 GB de bônus</t>
        </is>
      </c>
      <c r="N4094" s="2" t="inlineStr"/>
      <c r="O4094" s="2" t="inlineStr"/>
      <c r="P4094" s="2" t="inlineStr"/>
      <c r="Q4094" s="2" t="inlineStr"/>
      <c r="R4094" s="2" t="inlineStr"/>
      <c r="S4094" s="2" t="inlineStr"/>
      <c r="T4094" s="2" t="inlineStr">
        <is>
          <t>Apple Music Individual</t>
        </is>
      </c>
      <c r="U4094" s="2" t="inlineStr">
        <is>
          <t>https://vivo.com.br/para-voce/produtos-e-servicos/para-o-celular/planos-controle</t>
        </is>
      </c>
      <c r="V4094" s="2" t="inlineStr">
        <is>
          <t>data/raw/vivo_control_SP.html</t>
        </is>
      </c>
    </row>
    <row r="4095">
      <c r="A4095" s="5" t="inlineStr">
        <is>
          <t>2026-09-02</t>
        </is>
      </c>
      <c r="B4095" s="5" t="inlineStr">
        <is>
          <t>2026-09-02T19:57:51</t>
        </is>
      </c>
      <c r="C4095" s="5" t="inlineStr">
        <is>
          <t>vivo</t>
        </is>
      </c>
      <c r="D4095" s="5" t="inlineStr">
        <is>
          <t>control</t>
        </is>
      </c>
      <c r="E4095" s="5" t="inlineStr">
        <is>
          <t>SP</t>
        </is>
      </c>
      <c r="F4095" s="5" t="inlineStr">
        <is>
          <t>Vivo Controle Netflix</t>
        </is>
      </c>
      <c r="G4095" s="5" t="inlineStr">
        <is>
          <t>vivo:VIV202600034623</t>
        </is>
      </c>
      <c r="H4095" s="6" t="n">
        <v>90</v>
      </c>
      <c r="I4095" s="6" t="inlineStr"/>
      <c r="J4095" s="5" t="inlineStr">
        <is>
          <t>preço-base do plano; a tela exibia R$ 95 com o adicional pré-selecionado (+R$ 5/mês, opcional); 60 GB na tela incluem +10 GB do adicional</t>
        </is>
      </c>
      <c r="K4095" s="5" t="inlineStr"/>
      <c r="L4095" s="7" t="n">
        <v>50</v>
      </c>
      <c r="M4095" s="5" t="inlineStr">
        <is>
          <t>20 GB de franquia 30 GB de bônus</t>
        </is>
      </c>
      <c r="N4095" s="5" t="inlineStr"/>
      <c r="O4095" s="5" t="inlineStr"/>
      <c r="P4095" s="5" t="inlineStr"/>
      <c r="Q4095" s="5" t="inlineStr"/>
      <c r="R4095" s="5" t="inlineStr"/>
      <c r="S4095" s="5" t="inlineStr"/>
      <c r="T4095" s="5" t="inlineStr">
        <is>
          <t>Assinatura Netflix Padrão com anúncios</t>
        </is>
      </c>
      <c r="U4095" s="5" t="inlineStr">
        <is>
          <t>https://vivo.com.br/para-voce/produtos-e-servicos/para-o-celular/planos-controle</t>
        </is>
      </c>
      <c r="V4095" s="5" t="inlineStr">
        <is>
          <t>data/raw/vivo_control_SP.html</t>
        </is>
      </c>
    </row>
    <row r="4096">
      <c r="A4096" s="2" t="inlineStr">
        <is>
          <t>2026-09-02</t>
        </is>
      </c>
      <c r="B4096" s="2" t="inlineStr">
        <is>
          <t>2026-09-02T19:57:51</t>
        </is>
      </c>
      <c r="C4096" s="2" t="inlineStr">
        <is>
          <t>vivo</t>
        </is>
      </c>
      <c r="D4096" s="2" t="inlineStr">
        <is>
          <t>control</t>
        </is>
      </c>
      <c r="E4096" s="2" t="inlineStr">
        <is>
          <t>SP</t>
        </is>
      </c>
      <c r="F4096" s="2" t="inlineStr">
        <is>
          <t>Vivo Controle Saúde</t>
        </is>
      </c>
      <c r="G4096" s="2" t="inlineStr">
        <is>
          <t>vivo:VIV202600034625</t>
        </is>
      </c>
      <c r="H4096" s="3" t="n">
        <v>85</v>
      </c>
      <c r="I4096" s="3" t="inlineStr"/>
      <c r="J4096" s="2" t="inlineStr">
        <is>
          <t>preço-base do plano; a tela exibia R$ 90 com o adicional pré-selecionado (+R$ 5/mês, opcional); 60 GB na tela incluem +10 GB do adicional</t>
        </is>
      </c>
      <c r="K4096" s="2" t="inlineStr"/>
      <c r="L4096" s="4" t="n">
        <v>50</v>
      </c>
      <c r="M4096" s="2" t="inlineStr">
        <is>
          <t>20 GB de franquia 30 GB de bônus</t>
        </is>
      </c>
      <c r="N4096" s="2" t="inlineStr"/>
      <c r="O4096" s="2" t="inlineStr"/>
      <c r="P4096" s="2" t="inlineStr"/>
      <c r="Q4096" s="2" t="inlineStr"/>
      <c r="R4096" s="2" t="inlineStr"/>
      <c r="S4096" s="2" t="inlineStr"/>
      <c r="T4096" s="2" t="inlineStr">
        <is>
          <t>Assinatura Vale Saúde Sempre inclusa</t>
        </is>
      </c>
      <c r="U4096" s="2" t="inlineStr">
        <is>
          <t>https://vivo.com.br/para-voce/produtos-e-servicos/para-o-celular/planos-controle</t>
        </is>
      </c>
      <c r="V4096" s="2" t="inlineStr">
        <is>
          <t>data/raw/vivo_control_SP.html</t>
        </is>
      </c>
    </row>
    <row r="4097">
      <c r="A4097" s="5" t="inlineStr">
        <is>
          <t>2026-09-02</t>
        </is>
      </c>
      <c r="B4097" s="5" t="inlineStr">
        <is>
          <t>2026-09-02T19:57:51</t>
        </is>
      </c>
      <c r="C4097" s="5" t="inlineStr">
        <is>
          <t>vivo</t>
        </is>
      </c>
      <c r="D4097" s="5" t="inlineStr">
        <is>
          <t>control</t>
        </is>
      </c>
      <c r="E4097" s="5" t="inlineStr">
        <is>
          <t>SP</t>
        </is>
      </c>
      <c r="F4097" s="5" t="inlineStr">
        <is>
          <t>Vivo Controle Youtube Lite</t>
        </is>
      </c>
      <c r="G4097" s="5" t="inlineStr">
        <is>
          <t>vivo:VIV202600034626</t>
        </is>
      </c>
      <c r="H4097" s="6" t="n">
        <v>85</v>
      </c>
      <c r="I4097" s="6" t="inlineStr"/>
      <c r="J4097" s="5" t="inlineStr">
        <is>
          <t>preço-base do plano; a tela exibia R$ 90 com o adicional pré-selecionado (+R$ 5/mês, opcional); 60 GB na tela incluem +10 GB do adicional</t>
        </is>
      </c>
      <c r="K4097" s="5" t="inlineStr"/>
      <c r="L4097" s="7" t="n">
        <v>50</v>
      </c>
      <c r="M4097" s="5" t="inlineStr">
        <is>
          <t>20 GB de franquia 30 GB de bônus</t>
        </is>
      </c>
      <c r="N4097" s="5" t="inlineStr"/>
      <c r="O4097" s="5" t="inlineStr"/>
      <c r="P4097" s="5" t="inlineStr"/>
      <c r="Q4097" s="5" t="inlineStr"/>
      <c r="R4097" s="5" t="inlineStr"/>
      <c r="S4097" s="5" t="inlineStr"/>
      <c r="T4097" s="5" t="inlineStr">
        <is>
          <t>Assinatura Youtube Premium Lite Inclusa</t>
        </is>
      </c>
      <c r="U4097" s="5" t="inlineStr">
        <is>
          <t>https://vivo.com.br/para-voce/produtos-e-servicos/para-o-celular/planos-controle</t>
        </is>
      </c>
      <c r="V4097" s="5" t="inlineStr">
        <is>
          <t>data/raw/vivo_control_SP.html</t>
        </is>
      </c>
    </row>
    <row r="4098">
      <c r="A4098" s="2" t="inlineStr">
        <is>
          <t>2026-09-02</t>
        </is>
      </c>
      <c r="B4098" s="2" t="inlineStr">
        <is>
          <t>2026-09-02T19:57:51</t>
        </is>
      </c>
      <c r="C4098" s="2" t="inlineStr">
        <is>
          <t>vivo</t>
        </is>
      </c>
      <c r="D4098" s="2" t="inlineStr">
        <is>
          <t>lite</t>
        </is>
      </c>
      <c r="E4098" s="2" t="inlineStr">
        <is>
          <t>SP</t>
        </is>
      </c>
      <c r="F4098" s="2" t="inlineStr">
        <is>
          <t>Vivo Lite</t>
        </is>
      </c>
      <c r="G4098" s="2" t="inlineStr">
        <is>
          <t>vivo:VIV202600038808</t>
        </is>
      </c>
      <c r="H4098" s="3" t="n">
        <v>45</v>
      </c>
      <c r="I4098" s="3" t="n">
        <v>30</v>
      </c>
      <c r="J4098" s="2" t="inlineStr">
        <is>
          <t>preço sem fidelidade; fidelidade 12m no promo</t>
        </is>
      </c>
      <c r="K4098" s="2" t="inlineStr"/>
      <c r="L4098" s="4" t="n">
        <v>30</v>
      </c>
      <c r="M4098" s="2" t="inlineStr">
        <is>
          <t>30 GB de franquia</t>
        </is>
      </c>
      <c r="N4098" s="2" t="inlineStr"/>
      <c r="O4098" s="2" t="inlineStr"/>
      <c r="P4098" s="2" t="inlineStr"/>
      <c r="Q4098" s="2" t="inlineStr"/>
      <c r="R4098" s="2" t="inlineStr"/>
      <c r="S4098" s="2" t="n">
        <v>12</v>
      </c>
      <c r="T4098" s="2" t="inlineStr"/>
      <c r="U4098" s="2" t="inlineStr">
        <is>
          <t>https://vivo.com.br/para-voce/produtos-e-servicos/para-o-celular/easy-lite</t>
        </is>
      </c>
      <c r="V4098" s="2" t="inlineStr">
        <is>
          <t>data/raw/vivo_lite_SP.html</t>
        </is>
      </c>
    </row>
    <row r="4099">
      <c r="A4099" s="5" t="inlineStr">
        <is>
          <t>2026-09-02</t>
        </is>
      </c>
      <c r="B4099" s="5" t="inlineStr">
        <is>
          <t>2026-09-02T19:57:51</t>
        </is>
      </c>
      <c r="C4099" s="5" t="inlineStr">
        <is>
          <t>vivo</t>
        </is>
      </c>
      <c r="D4099" s="5" t="inlineStr">
        <is>
          <t>lite</t>
        </is>
      </c>
      <c r="E4099" s="5" t="inlineStr">
        <is>
          <t>SP</t>
        </is>
      </c>
      <c r="F4099" s="5" t="inlineStr">
        <is>
          <t>Vivo Lite</t>
        </is>
      </c>
      <c r="G4099" s="5" t="inlineStr">
        <is>
          <t>vivo:VIV202600038810</t>
        </is>
      </c>
      <c r="H4099" s="6" t="n">
        <v>55</v>
      </c>
      <c r="I4099" s="6" t="n">
        <v>40</v>
      </c>
      <c r="J4099" s="5" t="inlineStr">
        <is>
          <t>preço sem fidelidade; fidelidade 12m no promo</t>
        </is>
      </c>
      <c r="K4099" s="5" t="inlineStr"/>
      <c r="L4099" s="7" t="n">
        <v>40</v>
      </c>
      <c r="M4099" s="5" t="inlineStr">
        <is>
          <t>40 GB de franquia</t>
        </is>
      </c>
      <c r="N4099" s="5" t="inlineStr"/>
      <c r="O4099" s="5" t="inlineStr"/>
      <c r="P4099" s="5" t="inlineStr"/>
      <c r="Q4099" s="5" t="inlineStr"/>
      <c r="R4099" s="5" t="inlineStr"/>
      <c r="S4099" s="5" t="n">
        <v>12</v>
      </c>
      <c r="T4099" s="5" t="inlineStr"/>
      <c r="U4099" s="5" t="inlineStr">
        <is>
          <t>https://vivo.com.br/para-voce/produtos-e-servicos/para-o-celular/easy-lite</t>
        </is>
      </c>
      <c r="V4099" s="5" t="inlineStr">
        <is>
          <t>data/raw/vivo_lite_SP.html</t>
        </is>
      </c>
    </row>
    <row r="4100">
      <c r="A4100" s="2" t="inlineStr">
        <is>
          <t>2026-09-02</t>
        </is>
      </c>
      <c r="B4100" s="2" t="inlineStr">
        <is>
          <t>2026-09-02T19:57:51</t>
        </is>
      </c>
      <c r="C4100" s="2" t="inlineStr">
        <is>
          <t>vivo</t>
        </is>
      </c>
      <c r="D4100" s="2" t="inlineStr">
        <is>
          <t>lite</t>
        </is>
      </c>
      <c r="E4100" s="2" t="inlineStr">
        <is>
          <t>SP</t>
        </is>
      </c>
      <c r="F4100" s="2" t="inlineStr">
        <is>
          <t>Vivo Lite</t>
        </is>
      </c>
      <c r="G4100" s="2" t="inlineStr">
        <is>
          <t>vivo:VIV202600038814</t>
        </is>
      </c>
      <c r="H4100" s="3" t="n">
        <v>35</v>
      </c>
      <c r="I4100" s="3" t="inlineStr"/>
      <c r="J4100" s="2" t="inlineStr"/>
      <c r="K4100" s="2" t="inlineStr"/>
      <c r="L4100" s="4" t="n">
        <v>20</v>
      </c>
      <c r="M4100" s="2" t="inlineStr">
        <is>
          <t>20 GB de franquia</t>
        </is>
      </c>
      <c r="N4100" s="2" t="inlineStr"/>
      <c r="O4100" s="2" t="inlineStr"/>
      <c r="P4100" s="2" t="inlineStr"/>
      <c r="Q4100" s="2" t="inlineStr"/>
      <c r="R4100" s="2" t="inlineStr"/>
      <c r="S4100" s="2" t="inlineStr"/>
      <c r="T4100" s="2" t="inlineStr"/>
      <c r="U4100" s="2" t="inlineStr">
        <is>
          <t>https://vivo.com.br/para-voce/produtos-e-servicos/para-o-celular/easy-lite</t>
        </is>
      </c>
      <c r="V4100" s="2" t="inlineStr">
        <is>
          <t>data/raw/vivo_lite_SP.html</t>
        </is>
      </c>
    </row>
    <row r="4101">
      <c r="A4101" s="5" t="inlineStr">
        <is>
          <t>2026-09-02</t>
        </is>
      </c>
      <c r="B4101" s="5" t="inlineStr">
        <is>
          <t>2026-09-02T19:57:51</t>
        </is>
      </c>
      <c r="C4101" s="5" t="inlineStr">
        <is>
          <t>vivo</t>
        </is>
      </c>
      <c r="D4101" s="5" t="inlineStr">
        <is>
          <t>postpaid</t>
        </is>
      </c>
      <c r="E4101" s="5" t="inlineStr">
        <is>
          <t>SP</t>
        </is>
      </c>
      <c r="F4101" s="5" t="inlineStr">
        <is>
          <t>Vivo Família 2</t>
        </is>
      </c>
      <c r="G4101" s="5" t="inlineStr">
        <is>
          <t>vivo:VIV202600034547</t>
        </is>
      </c>
      <c r="H4101" s="6" t="n">
        <v>270</v>
      </c>
      <c r="I4101" s="6" t="inlineStr"/>
      <c r="J4101" s="5" t="inlineStr"/>
      <c r="K4101" s="5" t="inlineStr"/>
      <c r="L4101" s="7" t="n">
        <v>120</v>
      </c>
      <c r="M4101" s="5" t="inlineStr">
        <is>
          <t>120 GB de franquia Você + 1 linha adicional Roaming Internacional com Vivo Travel Américas e Europa</t>
        </is>
      </c>
      <c r="N4101" s="5" t="inlineStr"/>
      <c r="O4101" s="5" t="inlineStr"/>
      <c r="P4101" s="5" t="inlineStr"/>
      <c r="Q4101" s="5" t="inlineStr"/>
      <c r="R4101" s="5" t="inlineStr"/>
      <c r="S4101" s="5" t="inlineStr"/>
      <c r="T4101" s="5" t="inlineStr">
        <is>
          <t>12 meses grátis de Gemini com AI Plus</t>
        </is>
      </c>
      <c r="U4101" s="5" t="inlineStr">
        <is>
          <t>https://vivo.com.br/para-voce/produtos-e-servicos/para-o-celular/planos-pos-pago</t>
        </is>
      </c>
      <c r="V4101" s="5" t="inlineStr">
        <is>
          <t>data/raw/vivo_postpaid_SP.html</t>
        </is>
      </c>
    </row>
    <row r="4102">
      <c r="A4102" s="2" t="inlineStr">
        <is>
          <t>2026-09-02</t>
        </is>
      </c>
      <c r="B4102" s="2" t="inlineStr">
        <is>
          <t>2026-09-02T19:57:51</t>
        </is>
      </c>
      <c r="C4102" s="2" t="inlineStr">
        <is>
          <t>vivo</t>
        </is>
      </c>
      <c r="D4102" s="2" t="inlineStr">
        <is>
          <t>postpaid</t>
        </is>
      </c>
      <c r="E4102" s="2" t="inlineStr">
        <is>
          <t>SP</t>
        </is>
      </c>
      <c r="F4102" s="2" t="inlineStr">
        <is>
          <t>Vivo Família 3</t>
        </is>
      </c>
      <c r="G4102" s="2" t="inlineStr">
        <is>
          <t>vivo:VIV202600034540</t>
        </is>
      </c>
      <c r="H4102" s="3" t="n">
        <v>340</v>
      </c>
      <c r="I4102" s="3" t="inlineStr"/>
      <c r="J4102" s="2" t="inlineStr"/>
      <c r="K4102" s="2" t="inlineStr"/>
      <c r="L4102" s="4" t="n">
        <v>180</v>
      </c>
      <c r="M4102" s="2" t="inlineStr">
        <is>
          <t>180 GB de franquia Você + 2 linhas adicionais Roaming Internacional com Vivo Travel Américas e Europa</t>
        </is>
      </c>
      <c r="N4102" s="2" t="inlineStr"/>
      <c r="O4102" s="2" t="inlineStr"/>
      <c r="P4102" s="2" t="inlineStr"/>
      <c r="Q4102" s="2" t="inlineStr"/>
      <c r="R4102" s="2" t="inlineStr"/>
      <c r="S4102" s="2" t="inlineStr"/>
      <c r="T4102" s="2" t="inlineStr">
        <is>
          <t>12 meses grátis de Gemini com AI Plus</t>
        </is>
      </c>
      <c r="U4102" s="2" t="inlineStr">
        <is>
          <t>https://vivo.com.br/para-voce/produtos-e-servicos/para-o-celular/planos-pos-pago</t>
        </is>
      </c>
      <c r="V4102" s="2" t="inlineStr">
        <is>
          <t>data/raw/vivo_postpaid_SP.html</t>
        </is>
      </c>
    </row>
    <row r="4103">
      <c r="A4103" s="5" t="inlineStr">
        <is>
          <t>2026-09-02</t>
        </is>
      </c>
      <c r="B4103" s="5" t="inlineStr">
        <is>
          <t>2026-09-02T19:57:51</t>
        </is>
      </c>
      <c r="C4103" s="5" t="inlineStr">
        <is>
          <t>vivo</t>
        </is>
      </c>
      <c r="D4103" s="5" t="inlineStr">
        <is>
          <t>postpaid</t>
        </is>
      </c>
      <c r="E4103" s="5" t="inlineStr">
        <is>
          <t>SP</t>
        </is>
      </c>
      <c r="F4103" s="5" t="inlineStr">
        <is>
          <t>Vivo Família 4</t>
        </is>
      </c>
      <c r="G4103" s="5" t="inlineStr">
        <is>
          <t>vivo:VIV202600034531</t>
        </is>
      </c>
      <c r="H4103" s="6" t="n">
        <v>430</v>
      </c>
      <c r="I4103" s="6" t="inlineStr"/>
      <c r="J4103" s="5" t="inlineStr"/>
      <c r="K4103" s="5" t="inlineStr"/>
      <c r="L4103" s="7" t="n">
        <v>240</v>
      </c>
      <c r="M4103" s="5" t="inlineStr">
        <is>
          <t>240 GB de franquia Você + 3 linhas adicionais Roaming Internacional com Vivo Travel Américas e Europa</t>
        </is>
      </c>
      <c r="N4103" s="5" t="inlineStr"/>
      <c r="O4103" s="5" t="inlineStr"/>
      <c r="P4103" s="5" t="inlineStr"/>
      <c r="Q4103" s="5" t="inlineStr"/>
      <c r="R4103" s="5" t="inlineStr"/>
      <c r="S4103" s="5" t="inlineStr"/>
      <c r="T4103" s="5" t="inlineStr">
        <is>
          <t>12 meses grátis de Gemini com AI Plus</t>
        </is>
      </c>
      <c r="U4103" s="5" t="inlineStr">
        <is>
          <t>https://vivo.com.br/para-voce/produtos-e-servicos/para-o-celular/planos-pos-pago</t>
        </is>
      </c>
      <c r="V4103" s="5" t="inlineStr">
        <is>
          <t>data/raw/vivo_postpaid_SP.html</t>
        </is>
      </c>
    </row>
    <row r="4104">
      <c r="A4104" s="2" t="inlineStr">
        <is>
          <t>2026-09-02</t>
        </is>
      </c>
      <c r="B4104" s="2" t="inlineStr">
        <is>
          <t>2026-09-02T19:57:51</t>
        </is>
      </c>
      <c r="C4104" s="2" t="inlineStr">
        <is>
          <t>vivo</t>
        </is>
      </c>
      <c r="D4104" s="2" t="inlineStr">
        <is>
          <t>postpaid</t>
        </is>
      </c>
      <c r="E4104" s="2" t="inlineStr">
        <is>
          <t>SP</t>
        </is>
      </c>
      <c r="F4104" s="2" t="inlineStr">
        <is>
          <t>Vivo Família 5</t>
        </is>
      </c>
      <c r="G4104" s="2" t="inlineStr">
        <is>
          <t>vivo:VIV202600034526</t>
        </is>
      </c>
      <c r="H4104" s="3" t="n">
        <v>530</v>
      </c>
      <c r="I4104" s="3" t="inlineStr"/>
      <c r="J4104" s="2" t="inlineStr"/>
      <c r="K4104" s="2" t="inlineStr"/>
      <c r="L4104" s="4" t="n">
        <v>300</v>
      </c>
      <c r="M4104" s="2" t="inlineStr">
        <is>
          <t>300 GB de franquia Você + 4 linhas adicionais Roaming Internacional com Vivo Travel Américas e Europa</t>
        </is>
      </c>
      <c r="N4104" s="2" t="inlineStr"/>
      <c r="O4104" s="2" t="inlineStr"/>
      <c r="P4104" s="2" t="inlineStr"/>
      <c r="Q4104" s="2" t="inlineStr"/>
      <c r="R4104" s="2" t="inlineStr"/>
      <c r="S4104" s="2" t="inlineStr"/>
      <c r="T4104" s="2" t="inlineStr">
        <is>
          <t>12 meses grátis de Gemini com AI Plus</t>
        </is>
      </c>
      <c r="U4104" s="2" t="inlineStr">
        <is>
          <t>https://vivo.com.br/para-voce/produtos-e-servicos/para-o-celular/planos-pos-pago</t>
        </is>
      </c>
      <c r="V4104" s="2" t="inlineStr">
        <is>
          <t>data/raw/vivo_postpaid_SP.html</t>
        </is>
      </c>
    </row>
    <row r="4105">
      <c r="A4105" s="5" t="inlineStr">
        <is>
          <t>2026-09-02</t>
        </is>
      </c>
      <c r="B4105" s="5" t="inlineStr">
        <is>
          <t>2026-09-02T19:57:51</t>
        </is>
      </c>
      <c r="C4105" s="5" t="inlineStr">
        <is>
          <t>vivo</t>
        </is>
      </c>
      <c r="D4105" s="5" t="inlineStr">
        <is>
          <t>postpaid</t>
        </is>
      </c>
      <c r="E4105" s="5" t="inlineStr">
        <is>
          <t>SP</t>
        </is>
      </c>
      <c r="F4105" s="5" t="inlineStr">
        <is>
          <t>Vivo Pós com Amazon</t>
        </is>
      </c>
      <c r="G4105" s="5" t="inlineStr">
        <is>
          <t>vivo:VIV202600034554</t>
        </is>
      </c>
      <c r="H4105" s="6" t="n">
        <v>150</v>
      </c>
      <c r="I4105" s="6" t="inlineStr"/>
      <c r="J4105" s="5" t="inlineStr"/>
      <c r="K4105" s="5" t="inlineStr"/>
      <c r="L4105" s="7" t="n">
        <v>60</v>
      </c>
      <c r="M4105" s="5" t="inlineStr">
        <is>
          <t>50 GB de franquia 10 GB de bônus</t>
        </is>
      </c>
      <c r="N4105" s="5" t="inlineStr"/>
      <c r="O4105" s="5" t="inlineStr"/>
      <c r="P4105" s="5" t="inlineStr"/>
      <c r="Q4105" s="5" t="inlineStr"/>
      <c r="R4105" s="5" t="inlineStr"/>
      <c r="S4105" s="5" t="inlineStr"/>
      <c r="T4105" s="5" t="inlineStr">
        <is>
          <t>Assinatura Amazon Prime inclusa</t>
        </is>
      </c>
      <c r="U4105" s="5" t="inlineStr">
        <is>
          <t>https://vivo.com.br/para-voce/produtos-e-servicos/para-o-celular/planos-pos-pago</t>
        </is>
      </c>
      <c r="V4105" s="5" t="inlineStr">
        <is>
          <t>data/raw/vivo_postpaid_SP.html</t>
        </is>
      </c>
    </row>
    <row r="4106">
      <c r="A4106" s="2" t="inlineStr">
        <is>
          <t>2026-09-02</t>
        </is>
      </c>
      <c r="B4106" s="2" t="inlineStr">
        <is>
          <t>2026-09-02T19:57:51</t>
        </is>
      </c>
      <c r="C4106" s="2" t="inlineStr">
        <is>
          <t>vivo</t>
        </is>
      </c>
      <c r="D4106" s="2" t="inlineStr">
        <is>
          <t>postpaid</t>
        </is>
      </c>
      <c r="E4106" s="2" t="inlineStr">
        <is>
          <t>SP</t>
        </is>
      </c>
      <c r="F4106" s="2" t="inlineStr">
        <is>
          <t>Vivo Pós com Disney+</t>
        </is>
      </c>
      <c r="G4106" s="2" t="inlineStr">
        <is>
          <t>vivo:VIV202600034532</t>
        </is>
      </c>
      <c r="H4106" s="3" t="n">
        <v>180</v>
      </c>
      <c r="I4106" s="3" t="inlineStr"/>
      <c r="J4106" s="2" t="inlineStr"/>
      <c r="K4106" s="2" t="inlineStr"/>
      <c r="L4106" s="4" t="n">
        <v>60</v>
      </c>
      <c r="M4106" s="2" t="inlineStr">
        <is>
          <t>50 GB de franquia 10 GB de bônus</t>
        </is>
      </c>
      <c r="N4106" s="2" t="inlineStr"/>
      <c r="O4106" s="2" t="inlineStr"/>
      <c r="P4106" s="2" t="inlineStr"/>
      <c r="Q4106" s="2" t="inlineStr"/>
      <c r="R4106" s="2" t="inlineStr">
        <is>
          <t>Disney+</t>
        </is>
      </c>
      <c r="S4106" s="2" t="inlineStr"/>
      <c r="T4106" s="2" t="inlineStr">
        <is>
          <t>Assinatura Disney+ Padrão inclusa</t>
        </is>
      </c>
      <c r="U4106" s="2" t="inlineStr">
        <is>
          <t>https://vivo.com.br/para-voce/produtos-e-servicos/para-o-celular/planos-pos-pago</t>
        </is>
      </c>
      <c r="V4106" s="2" t="inlineStr">
        <is>
          <t>data/raw/vivo_postpaid_SP.html</t>
        </is>
      </c>
    </row>
    <row r="4107">
      <c r="A4107" s="5" t="inlineStr">
        <is>
          <t>2026-09-02</t>
        </is>
      </c>
      <c r="B4107" s="5" t="inlineStr">
        <is>
          <t>2026-09-02T19:57:51</t>
        </is>
      </c>
      <c r="C4107" s="5" t="inlineStr">
        <is>
          <t>vivo</t>
        </is>
      </c>
      <c r="D4107" s="5" t="inlineStr">
        <is>
          <t>postpaid</t>
        </is>
      </c>
      <c r="E4107" s="5" t="inlineStr">
        <is>
          <t>SP</t>
        </is>
      </c>
      <c r="F4107" s="5" t="inlineStr">
        <is>
          <t>Vivo Pós com Globoplay</t>
        </is>
      </c>
      <c r="G4107" s="5" t="inlineStr">
        <is>
          <t>vivo:VIV202600034575</t>
        </is>
      </c>
      <c r="H4107" s="6" t="n">
        <v>165</v>
      </c>
      <c r="I4107" s="6" t="inlineStr"/>
      <c r="J4107" s="5" t="inlineStr"/>
      <c r="K4107" s="5" t="inlineStr"/>
      <c r="L4107" s="7" t="n">
        <v>60</v>
      </c>
      <c r="M4107" s="5" t="inlineStr">
        <is>
          <t>50 GB de franquia 10 GB de bônus</t>
        </is>
      </c>
      <c r="N4107" s="5" t="inlineStr"/>
      <c r="O4107" s="5" t="inlineStr"/>
      <c r="P4107" s="5" t="inlineStr"/>
      <c r="Q4107" s="5" t="inlineStr"/>
      <c r="R4107" s="5" t="inlineStr">
        <is>
          <t>Globoplay</t>
        </is>
      </c>
      <c r="S4107" s="5" t="inlineStr"/>
      <c r="T4107" s="5" t="inlineStr">
        <is>
          <t>Assinatura Globoplay inclusa</t>
        </is>
      </c>
      <c r="U4107" s="5" t="inlineStr">
        <is>
          <t>https://vivo.com.br/para-voce/produtos-e-servicos/para-o-celular/planos-pos-pago</t>
        </is>
      </c>
      <c r="V4107" s="5" t="inlineStr">
        <is>
          <t>data/raw/vivo_postpaid_SP.html</t>
        </is>
      </c>
    </row>
    <row r="4108">
      <c r="A4108" s="2" t="inlineStr">
        <is>
          <t>2026-09-02</t>
        </is>
      </c>
      <c r="B4108" s="2" t="inlineStr">
        <is>
          <t>2026-09-02T19:57:51</t>
        </is>
      </c>
      <c r="C4108" s="2" t="inlineStr">
        <is>
          <t>vivo</t>
        </is>
      </c>
      <c r="D4108" s="2" t="inlineStr">
        <is>
          <t>postpaid</t>
        </is>
      </c>
      <c r="E4108" s="2" t="inlineStr">
        <is>
          <t>SP</t>
        </is>
      </c>
      <c r="F4108" s="2" t="inlineStr">
        <is>
          <t>Vivo Pós com Netflix</t>
        </is>
      </c>
      <c r="G4108" s="2" t="inlineStr">
        <is>
          <t>vivo:VIV202600034562</t>
        </is>
      </c>
      <c r="H4108" s="3" t="n">
        <v>180</v>
      </c>
      <c r="I4108" s="3" t="inlineStr"/>
      <c r="J4108" s="2" t="inlineStr"/>
      <c r="K4108" s="2" t="inlineStr"/>
      <c r="L4108" s="4" t="n">
        <v>60</v>
      </c>
      <c r="M4108" s="2" t="inlineStr">
        <is>
          <t>50 GB de franquia 10 GB de bônus</t>
        </is>
      </c>
      <c r="N4108" s="2" t="inlineStr"/>
      <c r="O4108" s="2" t="inlineStr"/>
      <c r="P4108" s="2" t="inlineStr"/>
      <c r="Q4108" s="2" t="inlineStr"/>
      <c r="R4108" s="2" t="inlineStr">
        <is>
          <t>Netflix</t>
        </is>
      </c>
      <c r="S4108" s="2" t="inlineStr"/>
      <c r="T4108" s="2" t="inlineStr">
        <is>
          <t>Assinatura Netflix Padrão inclusa</t>
        </is>
      </c>
      <c r="U4108" s="2" t="inlineStr">
        <is>
          <t>https://vivo.com.br/para-voce/produtos-e-servicos/para-o-celular/planos-pos-pago</t>
        </is>
      </c>
      <c r="V4108" s="2" t="inlineStr">
        <is>
          <t>data/raw/vivo_postpaid_SP.html</t>
        </is>
      </c>
    </row>
    <row r="4109">
      <c r="A4109" s="5" t="inlineStr">
        <is>
          <t>2026-09-02</t>
        </is>
      </c>
      <c r="B4109" s="5" t="inlineStr">
        <is>
          <t>2026-09-02T19:57:51</t>
        </is>
      </c>
      <c r="C4109" s="5" t="inlineStr">
        <is>
          <t>vivo</t>
        </is>
      </c>
      <c r="D4109" s="5" t="inlineStr">
        <is>
          <t>postpaid</t>
        </is>
      </c>
      <c r="E4109" s="5" t="inlineStr">
        <is>
          <t>SP</t>
        </is>
      </c>
      <c r="F4109" s="5" t="inlineStr">
        <is>
          <t>Vivo Pós com Premiere</t>
        </is>
      </c>
      <c r="G4109" s="5" t="inlineStr">
        <is>
          <t>vivo:VIV202600034579</t>
        </is>
      </c>
      <c r="H4109" s="6" t="n">
        <v>180</v>
      </c>
      <c r="I4109" s="6" t="inlineStr"/>
      <c r="J4109" s="5" t="inlineStr"/>
      <c r="K4109" s="5" t="inlineStr"/>
      <c r="L4109" s="7" t="n">
        <v>60</v>
      </c>
      <c r="M4109" s="5" t="inlineStr">
        <is>
          <t>50 GB de franquia 10 GB de bônus</t>
        </is>
      </c>
      <c r="N4109" s="5" t="inlineStr"/>
      <c r="O4109" s="5" t="inlineStr"/>
      <c r="P4109" s="5" t="inlineStr"/>
      <c r="Q4109" s="5" t="inlineStr"/>
      <c r="R4109" s="5" t="inlineStr">
        <is>
          <t>Premiere</t>
        </is>
      </c>
      <c r="S4109" s="5" t="inlineStr"/>
      <c r="T4109" s="5" t="inlineStr">
        <is>
          <t>Assinatura Premiere inclusa</t>
        </is>
      </c>
      <c r="U4109" s="5" t="inlineStr">
        <is>
          <t>https://vivo.com.br/para-voce/produtos-e-servicos/para-o-celular/planos-pos-pago</t>
        </is>
      </c>
      <c r="V4109" s="5" t="inlineStr">
        <is>
          <t>data/raw/vivo_postpaid_SP.html</t>
        </is>
      </c>
    </row>
    <row r="4110">
      <c r="A4110" s="2" t="inlineStr">
        <is>
          <t>2026-09-02</t>
        </is>
      </c>
      <c r="B4110" s="2" t="inlineStr">
        <is>
          <t>2026-09-02T19:57:51</t>
        </is>
      </c>
      <c r="C4110" s="2" t="inlineStr">
        <is>
          <t>vivo</t>
        </is>
      </c>
      <c r="D4110" s="2" t="inlineStr">
        <is>
          <t>postpaid</t>
        </is>
      </c>
      <c r="E4110" s="2" t="inlineStr">
        <is>
          <t>SP</t>
        </is>
      </c>
      <c r="F4110" s="2" t="inlineStr">
        <is>
          <t>Vivo Pós com Spotify</t>
        </is>
      </c>
      <c r="G4110" s="2" t="inlineStr">
        <is>
          <t>vivo:VIV202600034556</t>
        </is>
      </c>
      <c r="H4110" s="3" t="n">
        <v>165</v>
      </c>
      <c r="I4110" s="3" t="inlineStr"/>
      <c r="J4110" s="2" t="inlineStr"/>
      <c r="K4110" s="2" t="inlineStr"/>
      <c r="L4110" s="4" t="n">
        <v>60</v>
      </c>
      <c r="M4110" s="2" t="inlineStr">
        <is>
          <t>50 GB de franquia 10 GB de bônus</t>
        </is>
      </c>
      <c r="N4110" s="2" t="inlineStr"/>
      <c r="O4110" s="2" t="inlineStr"/>
      <c r="P4110" s="2" t="inlineStr"/>
      <c r="Q4110" s="2" t="inlineStr"/>
      <c r="R4110" s="2" t="inlineStr">
        <is>
          <t>Spotify</t>
        </is>
      </c>
      <c r="S4110" s="2" t="inlineStr"/>
      <c r="T4110" s="2" t="inlineStr">
        <is>
          <t>Assinatura Spotify Premium inclusa</t>
        </is>
      </c>
      <c r="U4110" s="2" t="inlineStr">
        <is>
          <t>https://vivo.com.br/para-voce/produtos-e-servicos/para-o-celular/planos-pos-pago</t>
        </is>
      </c>
      <c r="V4110" s="2" t="inlineStr">
        <is>
          <t>data/raw/vivo_postpaid_SP.html</t>
        </is>
      </c>
    </row>
    <row r="4111">
      <c r="A4111" s="5" t="inlineStr">
        <is>
          <t>2026-09-02</t>
        </is>
      </c>
      <c r="B4111" s="5" t="inlineStr">
        <is>
          <t>2026-09-02T19:57:51</t>
        </is>
      </c>
      <c r="C4111" s="5" t="inlineStr">
        <is>
          <t>vivo</t>
        </is>
      </c>
      <c r="D4111" s="5" t="inlineStr">
        <is>
          <t>postpaid</t>
        </is>
      </c>
      <c r="E4111" s="5" t="inlineStr">
        <is>
          <t>SP</t>
        </is>
      </c>
      <c r="F4111" s="5" t="inlineStr">
        <is>
          <t>Vivo Pós com Travel</t>
        </is>
      </c>
      <c r="G4111" s="5" t="inlineStr">
        <is>
          <t>vivo:VIV202600034573</t>
        </is>
      </c>
      <c r="H4111" s="6" t="n">
        <v>215</v>
      </c>
      <c r="I4111" s="6" t="inlineStr"/>
      <c r="J4111" s="5" t="inlineStr"/>
      <c r="K4111" s="5" t="inlineStr"/>
      <c r="L4111" s="7" t="n">
        <v>70</v>
      </c>
      <c r="M4111" s="5" t="inlineStr">
        <is>
          <t>60 GB de franquia 10 GB de bônus</t>
        </is>
      </c>
      <c r="N4111" s="5" t="inlineStr"/>
      <c r="O4111" s="5" t="inlineStr"/>
      <c r="P4111" s="5" t="inlineStr"/>
      <c r="Q4111" s="5" t="inlineStr"/>
      <c r="R4111" s="5" t="inlineStr"/>
      <c r="S4111" s="5" t="inlineStr"/>
      <c r="T4111" s="5" t="inlineStr">
        <is>
          <t>6 meses grátis de Gemini com AI Plus</t>
        </is>
      </c>
      <c r="U4111" s="5" t="inlineStr">
        <is>
          <t>https://vivo.com.br/para-voce/produtos-e-servicos/para-o-celular/planos-pos-pago</t>
        </is>
      </c>
      <c r="V4111" s="5" t="inlineStr">
        <is>
          <t>data/raw/vivo_postpaid_SP.html</t>
        </is>
      </c>
    </row>
    <row r="4112">
      <c r="A4112" s="2" t="inlineStr">
        <is>
          <t>2026-09-02</t>
        </is>
      </c>
      <c r="B4112" s="2" t="inlineStr">
        <is>
          <t>2026-09-02T19:57:51</t>
        </is>
      </c>
      <c r="C4112" s="2" t="inlineStr">
        <is>
          <t>vivo</t>
        </is>
      </c>
      <c r="D4112" s="2" t="inlineStr">
        <is>
          <t>prepaid</t>
        </is>
      </c>
      <c r="E4112" s="2" t="inlineStr">
        <is>
          <t>SP</t>
        </is>
      </c>
      <c r="F4112" s="2" t="inlineStr">
        <is>
          <t>Vivo Pré</t>
        </is>
      </c>
      <c r="G4112" s="2" t="inlineStr">
        <is>
          <t>vivo:VIV202600029370-30d</t>
        </is>
      </c>
      <c r="H4112" s="3" t="n">
        <v>30</v>
      </c>
      <c r="I4112" s="3" t="inlineStr"/>
      <c r="J4112" s="2" t="inlineStr"/>
      <c r="K4112" s="2" t="inlineStr"/>
      <c r="L4112" s="4" t="n">
        <v>25</v>
      </c>
      <c r="M4112" s="2" t="inlineStr">
        <is>
          <t>15 GB para navegar como quiser 5 GB de bônus 5 GB para navegar no Youtube</t>
        </is>
      </c>
      <c r="N4112" s="2" t="n">
        <v>30</v>
      </c>
      <c r="O4112" s="2" t="inlineStr"/>
      <c r="P4112" s="2" t="inlineStr"/>
      <c r="Q4112" s="2" t="inlineStr"/>
      <c r="R4112" s="2" t="inlineStr"/>
      <c r="S4112" s="2" t="inlineStr"/>
      <c r="T4112" s="2" t="inlineStr"/>
      <c r="U4112" s="2" t="inlineStr">
        <is>
          <t>https://vivo.com.br/para-voce/produtos-e-servicos/para-o-celular/pre-pago/vivo-pre</t>
        </is>
      </c>
      <c r="V4112" s="2" t="inlineStr">
        <is>
          <t>data/raw/vivo_prepaid_SP.html</t>
        </is>
      </c>
    </row>
    <row r="4113">
      <c r="A4113" s="5" t="inlineStr">
        <is>
          <t>2026-09-02</t>
        </is>
      </c>
      <c r="B4113" s="5" t="inlineStr">
        <is>
          <t>2026-09-02T19:57:51</t>
        </is>
      </c>
      <c r="C4113" s="5" t="inlineStr">
        <is>
          <t>vivo</t>
        </is>
      </c>
      <c r="D4113" s="5" t="inlineStr">
        <is>
          <t>prepaid</t>
        </is>
      </c>
      <c r="E4113" s="5" t="inlineStr">
        <is>
          <t>SP</t>
        </is>
      </c>
      <c r="F4113" s="5" t="inlineStr">
        <is>
          <t>Vivo Pré</t>
        </is>
      </c>
      <c r="G4113" s="5" t="inlineStr">
        <is>
          <t>vivo:VIV202600029370-22d</t>
        </is>
      </c>
      <c r="H4113" s="6" t="n">
        <v>25</v>
      </c>
      <c r="I4113" s="6" t="inlineStr"/>
      <c r="J4113" s="5" t="inlineStr"/>
      <c r="K4113" s="5" t="inlineStr"/>
      <c r="L4113" s="7" t="n">
        <v>9</v>
      </c>
      <c r="M4113" s="5" t="inlineStr">
        <is>
          <t>6 GB para navegar como quiser 3 GB para navegar no YouTube</t>
        </is>
      </c>
      <c r="N4113" s="5" t="n">
        <v>22</v>
      </c>
      <c r="O4113" s="5" t="inlineStr"/>
      <c r="P4113" s="5" t="inlineStr"/>
      <c r="Q4113" s="5" t="inlineStr"/>
      <c r="R4113" s="5" t="inlineStr"/>
      <c r="S4113" s="5" t="inlineStr"/>
      <c r="T4113" s="5" t="inlineStr"/>
      <c r="U4113" s="5" t="inlineStr">
        <is>
          <t>https://vivo.com.br/para-voce/produtos-e-servicos/para-o-celular/pre-pago/vivo-pre</t>
        </is>
      </c>
      <c r="V4113" s="5" t="inlineStr">
        <is>
          <t>data/raw/vivo_prepaid_SP.html</t>
        </is>
      </c>
    </row>
    <row r="4114">
      <c r="A4114" s="2" t="inlineStr">
        <is>
          <t>2026-09-02</t>
        </is>
      </c>
      <c r="B4114" s="2" t="inlineStr">
        <is>
          <t>2026-09-02T19:57:51</t>
        </is>
      </c>
      <c r="C4114" s="2" t="inlineStr">
        <is>
          <t>vivo</t>
        </is>
      </c>
      <c r="D4114" s="2" t="inlineStr">
        <is>
          <t>prepaid</t>
        </is>
      </c>
      <c r="E4114" s="2" t="inlineStr">
        <is>
          <t>SP</t>
        </is>
      </c>
      <c r="F4114" s="2" t="inlineStr">
        <is>
          <t>Vivo Pré</t>
        </is>
      </c>
      <c r="G4114" s="2" t="inlineStr">
        <is>
          <t>vivo:VIV202600029370-17d</t>
        </is>
      </c>
      <c r="H4114" s="3" t="n">
        <v>20</v>
      </c>
      <c r="I4114" s="3" t="inlineStr"/>
      <c r="J4114" s="2" t="inlineStr"/>
      <c r="K4114" s="2" t="inlineStr"/>
      <c r="L4114" s="4" t="n">
        <v>5</v>
      </c>
      <c r="M4114" s="2" t="inlineStr">
        <is>
          <t>5 GB para navegar como quiser</t>
        </is>
      </c>
      <c r="N4114" s="2" t="n">
        <v>17</v>
      </c>
      <c r="O4114" s="2" t="inlineStr"/>
      <c r="P4114" s="2" t="inlineStr"/>
      <c r="Q4114" s="2" t="inlineStr"/>
      <c r="R4114" s="2" t="inlineStr"/>
      <c r="S4114" s="2" t="inlineStr"/>
      <c r="T4114" s="2" t="inlineStr"/>
      <c r="U4114" s="2" t="inlineStr">
        <is>
          <t>https://vivo.com.br/para-voce/produtos-e-servicos/para-o-celular/pre-pago/vivo-pre</t>
        </is>
      </c>
      <c r="V4114" s="2" t="inlineStr">
        <is>
          <t>data/raw/vivo_prepaid_SP.html</t>
        </is>
      </c>
    </row>
    <row r="4115">
      <c r="A4115" s="5" t="inlineStr">
        <is>
          <t>2026-09-02</t>
        </is>
      </c>
      <c r="B4115" s="5" t="inlineStr">
        <is>
          <t>2026-09-02T19:57:51</t>
        </is>
      </c>
      <c r="C4115" s="5" t="inlineStr">
        <is>
          <t>vivo</t>
        </is>
      </c>
      <c r="D4115" s="5" t="inlineStr">
        <is>
          <t>prepaid</t>
        </is>
      </c>
      <c r="E4115" s="5" t="inlineStr">
        <is>
          <t>SP</t>
        </is>
      </c>
      <c r="F4115" s="5" t="inlineStr">
        <is>
          <t>Vivo Pré</t>
        </is>
      </c>
      <c r="G4115" s="5" t="inlineStr">
        <is>
          <t>vivo:VIV202600029370-15d</t>
        </is>
      </c>
      <c r="H4115" s="6" t="n">
        <v>17</v>
      </c>
      <c r="I4115" s="6" t="inlineStr"/>
      <c r="J4115" s="5" t="inlineStr"/>
      <c r="K4115" s="5" t="inlineStr"/>
      <c r="L4115" s="7" t="n">
        <v>4</v>
      </c>
      <c r="M4115" s="5" t="inlineStr">
        <is>
          <t>4 GB para navegar como quiser</t>
        </is>
      </c>
      <c r="N4115" s="5" t="n">
        <v>15</v>
      </c>
      <c r="O4115" s="5" t="inlineStr"/>
      <c r="P4115" s="5" t="inlineStr"/>
      <c r="Q4115" s="5" t="inlineStr"/>
      <c r="R4115" s="5" t="inlineStr"/>
      <c r="S4115" s="5" t="inlineStr"/>
      <c r="T4115" s="5" t="inlineStr"/>
      <c r="U4115" s="5" t="inlineStr">
        <is>
          <t>https://vivo.com.br/para-voce/produtos-e-servicos/para-o-celular/pre-pago/vivo-pre</t>
        </is>
      </c>
      <c r="V4115" s="5" t="inlineStr">
        <is>
          <t>data/raw/vivo_prepaid_SP.html</t>
        </is>
      </c>
    </row>
    <row r="4116">
      <c r="A4116" s="2" t="inlineStr">
        <is>
          <t>2026-09-03</t>
        </is>
      </c>
      <c r="B4116" s="2" t="inlineStr">
        <is>
          <t>2026-09-03T19:57:11</t>
        </is>
      </c>
      <c r="C4116" s="2" t="inlineStr">
        <is>
          <t>claro</t>
        </is>
      </c>
      <c r="D4116" s="2" t="inlineStr">
        <is>
          <t>control</t>
        </is>
      </c>
      <c r="E4116" s="2" t="inlineStr">
        <is>
          <t>SP</t>
        </is>
      </c>
      <c r="F4116" s="2" t="inlineStr">
        <is>
          <t>Controle 25GB</t>
        </is>
      </c>
      <c r="G4116" s="2" t="inlineStr">
        <is>
          <t>claro:plano-controle-25gb</t>
        </is>
      </c>
      <c r="H4116" s="3" t="n">
        <v>59.9</v>
      </c>
      <c r="I4116" s="3" t="n">
        <v>54.9</v>
      </c>
      <c r="J4116" s="2" t="inlineStr">
        <is>
          <t>De R$ 59,90 Por:</t>
        </is>
      </c>
      <c r="K4116" s="2" t="inlineStr"/>
      <c r="L4116" s="4" t="n">
        <v>25</v>
      </c>
      <c r="M4116" s="2" t="inlineStr"/>
      <c r="N4116" s="2" t="inlineStr"/>
      <c r="O4116" s="2" t="inlineStr">
        <is>
          <t>WhatsApp</t>
        </is>
      </c>
      <c r="P4116" s="2" t="inlineStr"/>
      <c r="Q4116" s="2" t="inlineStr"/>
      <c r="R4116" s="2" t="inlineStr"/>
      <c r="S4116" s="2" t="inlineStr"/>
      <c r="T4116" s="2" t="inlineStr">
        <is>
          <t>Para uso livre; Para redes sociais e vídeos; Bônus exclusivo; Aproveite na sua franquia; WhatsApp e ligações ilimitadas</t>
        </is>
      </c>
      <c r="U4116" s="2" t="inlineStr">
        <is>
          <t>https://www.claro.com.br/celular/controle</t>
        </is>
      </c>
      <c r="V4116" s="2" t="inlineStr">
        <is>
          <t>data/raw/claro_control_SP.json</t>
        </is>
      </c>
    </row>
    <row r="4117">
      <c r="A4117" s="5" t="inlineStr">
        <is>
          <t>2026-09-03</t>
        </is>
      </c>
      <c r="B4117" s="5" t="inlineStr">
        <is>
          <t>2026-09-03T19:57:11</t>
        </is>
      </c>
      <c r="C4117" s="5" t="inlineStr">
        <is>
          <t>claro</t>
        </is>
      </c>
      <c r="D4117" s="5" t="inlineStr">
        <is>
          <t>control</t>
        </is>
      </c>
      <c r="E4117" s="5" t="inlineStr">
        <is>
          <t>SP</t>
        </is>
      </c>
      <c r="F4117" s="5" t="inlineStr">
        <is>
          <t>Controle 30GB</t>
        </is>
      </c>
      <c r="G4117" s="5" t="inlineStr">
        <is>
          <t>claro:plano-controle-30gb</t>
        </is>
      </c>
      <c r="H4117" s="6" t="n">
        <v>69.90000000000001</v>
      </c>
      <c r="I4117" s="6" t="inlineStr"/>
      <c r="J4117" s="5" t="inlineStr"/>
      <c r="K4117" s="5" t="inlineStr"/>
      <c r="L4117" s="7" t="n">
        <v>30</v>
      </c>
      <c r="M4117" s="5" t="inlineStr"/>
      <c r="N4117" s="5" t="inlineStr"/>
      <c r="O4117" s="5" t="inlineStr">
        <is>
          <t>WhatsApp</t>
        </is>
      </c>
      <c r="P4117" s="5" t="inlineStr"/>
      <c r="Q4117" s="5" t="inlineStr"/>
      <c r="R4117" s="5" t="inlineStr"/>
      <c r="S4117" s="5" t="inlineStr"/>
      <c r="T4117" s="5" t="inlineStr">
        <is>
          <t>Para uso livre; Bônus para uso livre; Bônus para redes sociais e apps; Assinatura Amazon Prime por 3 meses; Redes sociais e apps; WhatsApp ilimitado</t>
        </is>
      </c>
      <c r="U4117" s="5" t="inlineStr">
        <is>
          <t>https://www.claro.com.br/celular/controle</t>
        </is>
      </c>
      <c r="V4117" s="5" t="inlineStr">
        <is>
          <t>data/raw/claro_control_SP.json</t>
        </is>
      </c>
    </row>
    <row r="4118">
      <c r="A4118" s="2" t="inlineStr">
        <is>
          <t>2026-09-03</t>
        </is>
      </c>
      <c r="B4118" s="2" t="inlineStr">
        <is>
          <t>2026-09-03T19:57:11</t>
        </is>
      </c>
      <c r="C4118" s="2" t="inlineStr">
        <is>
          <t>claro</t>
        </is>
      </c>
      <c r="D4118" s="2" t="inlineStr">
        <is>
          <t>control</t>
        </is>
      </c>
      <c r="E4118" s="2" t="inlineStr">
        <is>
          <t>SP</t>
        </is>
      </c>
      <c r="F4118" s="2" t="inlineStr">
        <is>
          <t>Controle 30GB</t>
        </is>
      </c>
      <c r="G4118" s="2" t="inlineStr">
        <is>
          <t>claro:plano-controle-30gb-gaming</t>
        </is>
      </c>
      <c r="H4118" s="3" t="n">
        <v>99.90000000000001</v>
      </c>
      <c r="I4118" s="3" t="inlineStr"/>
      <c r="J4118" s="2" t="inlineStr"/>
      <c r="K4118" s="2" t="inlineStr"/>
      <c r="L4118" s="4" t="n">
        <v>30</v>
      </c>
      <c r="M4118" s="2" t="inlineStr"/>
      <c r="N4118" s="2" t="inlineStr"/>
      <c r="O4118" s="2" t="inlineStr">
        <is>
          <t>WhatsApp</t>
        </is>
      </c>
      <c r="P4118" s="2" t="inlineStr"/>
      <c r="Q4118" s="2" t="inlineStr"/>
      <c r="R4118" s="2" t="inlineStr"/>
      <c r="S4118" s="2" t="inlineStr"/>
      <c r="T4118" s="2" t="inlineStr">
        <is>
          <t>Para uso livre; Bônus para redes sociais e apps; Bônus uso livre; Assinatura Amazon Prime por 3 meses; Redes sociais e apps; WhatsApp ilimitado</t>
        </is>
      </c>
      <c r="U4118" s="2" t="inlineStr">
        <is>
          <t>https://www.claro.com.br/celular/controle</t>
        </is>
      </c>
      <c r="V4118" s="2" t="inlineStr">
        <is>
          <t>data/raw/claro_control_SP.json</t>
        </is>
      </c>
    </row>
    <row r="4119">
      <c r="A4119" s="5" t="inlineStr">
        <is>
          <t>2026-09-03</t>
        </is>
      </c>
      <c r="B4119" s="5" t="inlineStr">
        <is>
          <t>2026-09-03T19:57:11</t>
        </is>
      </c>
      <c r="C4119" s="5" t="inlineStr">
        <is>
          <t>claro</t>
        </is>
      </c>
      <c r="D4119" s="5" t="inlineStr">
        <is>
          <t>flex</t>
        </is>
      </c>
      <c r="E4119" s="5" t="inlineStr">
        <is>
          <t>SP</t>
        </is>
      </c>
      <c r="F4119" s="5" t="inlineStr">
        <is>
          <t>Flex 15GB</t>
        </is>
      </c>
      <c r="G4119" s="5" t="inlineStr">
        <is>
          <t>claro:plano-flex-15gb</t>
        </is>
      </c>
      <c r="H4119" s="6" t="n">
        <v>44.9</v>
      </c>
      <c r="I4119" s="6" t="inlineStr"/>
      <c r="J4119" s="5" t="inlineStr"/>
      <c r="K4119" s="5" t="inlineStr"/>
      <c r="L4119" s="7" t="n">
        <v>15</v>
      </c>
      <c r="M4119" s="5" t="inlineStr"/>
      <c r="N4119" s="5" t="inlineStr"/>
      <c r="O4119" s="5" t="inlineStr">
        <is>
          <t>WhatsApp</t>
        </is>
      </c>
      <c r="P4119" s="5" t="inlineStr"/>
      <c r="Q4119" s="5" t="inlineStr"/>
      <c r="R4119" s="5" t="inlineStr"/>
      <c r="S4119" s="5" t="inlineStr"/>
      <c r="T4119" s="5" t="inlineStr">
        <is>
          <t>Para uso livre; Para redes sociais e apps; Bônus extra nos apps; WhatsApp ilimitado</t>
        </is>
      </c>
      <c r="U4119" s="5" t="inlineStr">
        <is>
          <t>https://www.claro.com.br/celular/flex</t>
        </is>
      </c>
      <c r="V4119" s="5" t="inlineStr">
        <is>
          <t>data/raw/claro_flex_SP.json</t>
        </is>
      </c>
    </row>
    <row r="4120">
      <c r="A4120" s="2" t="inlineStr">
        <is>
          <t>2026-09-03</t>
        </is>
      </c>
      <c r="B4120" s="2" t="inlineStr">
        <is>
          <t>2026-09-03T19:57:11</t>
        </is>
      </c>
      <c r="C4120" s="2" t="inlineStr">
        <is>
          <t>claro</t>
        </is>
      </c>
      <c r="D4120" s="2" t="inlineStr">
        <is>
          <t>flex</t>
        </is>
      </c>
      <c r="E4120" s="2" t="inlineStr">
        <is>
          <t>SP</t>
        </is>
      </c>
      <c r="F4120" s="2" t="inlineStr">
        <is>
          <t>Flex 20GB</t>
        </is>
      </c>
      <c r="G4120" s="2" t="inlineStr">
        <is>
          <t>claro:plano-flex-20gb</t>
        </is>
      </c>
      <c r="H4120" s="3" t="n">
        <v>59.9</v>
      </c>
      <c r="I4120" s="3" t="inlineStr"/>
      <c r="J4120" s="2" t="inlineStr"/>
      <c r="K4120" s="2" t="inlineStr"/>
      <c r="L4120" s="4" t="n">
        <v>20</v>
      </c>
      <c r="M4120" s="2" t="inlineStr"/>
      <c r="N4120" s="2" t="inlineStr"/>
      <c r="O4120" s="2" t="inlineStr">
        <is>
          <t>WhatsApp</t>
        </is>
      </c>
      <c r="P4120" s="2" t="inlineStr"/>
      <c r="Q4120" s="2" t="inlineStr"/>
      <c r="R4120" s="2" t="inlineStr"/>
      <c r="S4120" s="2" t="inlineStr"/>
      <c r="T4120" s="2" t="inlineStr">
        <is>
          <t>Para uso livre; Para redes sociais e apps; Bônus extra nos apps; WhatsApp ilimitado</t>
        </is>
      </c>
      <c r="U4120" s="2" t="inlineStr">
        <is>
          <t>https://www.claro.com.br/celular/flex</t>
        </is>
      </c>
      <c r="V4120" s="2" t="inlineStr">
        <is>
          <t>data/raw/claro_flex_SP.json</t>
        </is>
      </c>
    </row>
    <row r="4121">
      <c r="A4121" s="5" t="inlineStr">
        <is>
          <t>2026-09-03</t>
        </is>
      </c>
      <c r="B4121" s="5" t="inlineStr">
        <is>
          <t>2026-09-03T19:57:11</t>
        </is>
      </c>
      <c r="C4121" s="5" t="inlineStr">
        <is>
          <t>claro</t>
        </is>
      </c>
      <c r="D4121" s="5" t="inlineStr">
        <is>
          <t>flex</t>
        </is>
      </c>
      <c r="E4121" s="5" t="inlineStr">
        <is>
          <t>SP</t>
        </is>
      </c>
      <c r="F4121" s="5" t="inlineStr">
        <is>
          <t>Flex 30GB</t>
        </is>
      </c>
      <c r="G4121" s="5" t="inlineStr">
        <is>
          <t>claro:plano-flex-30gb</t>
        </is>
      </c>
      <c r="H4121" s="6" t="n">
        <v>69.90000000000001</v>
      </c>
      <c r="I4121" s="6" t="inlineStr"/>
      <c r="J4121" s="5" t="inlineStr"/>
      <c r="K4121" s="5" t="inlineStr"/>
      <c r="L4121" s="7" t="n">
        <v>30</v>
      </c>
      <c r="M4121" s="5" t="inlineStr"/>
      <c r="N4121" s="5" t="inlineStr"/>
      <c r="O4121" s="5" t="inlineStr">
        <is>
          <t>WhatsApp</t>
        </is>
      </c>
      <c r="P4121" s="5" t="inlineStr"/>
      <c r="Q4121" s="5" t="inlineStr"/>
      <c r="R4121" s="5" t="inlineStr"/>
      <c r="S4121" s="5" t="inlineStr"/>
      <c r="T4121" s="5" t="inlineStr">
        <is>
          <t>Para uso livre; Para redes sociais e apps; Bônus extra nos apps; WhatsApp ilimitado; Assinatura Claro musica inclusa</t>
        </is>
      </c>
      <c r="U4121" s="5" t="inlineStr">
        <is>
          <t>https://www.claro.com.br/celular/flex</t>
        </is>
      </c>
      <c r="V4121" s="5" t="inlineStr">
        <is>
          <t>data/raw/claro_flex_SP.json</t>
        </is>
      </c>
    </row>
    <row r="4122">
      <c r="A4122" s="2" t="inlineStr">
        <is>
          <t>2026-09-03</t>
        </is>
      </c>
      <c r="B4122" s="2" t="inlineStr">
        <is>
          <t>2026-09-03T19:57:11</t>
        </is>
      </c>
      <c r="C4122" s="2" t="inlineStr">
        <is>
          <t>claro</t>
        </is>
      </c>
      <c r="D4122" s="2" t="inlineStr">
        <is>
          <t>flex</t>
        </is>
      </c>
      <c r="E4122" s="2" t="inlineStr">
        <is>
          <t>SP</t>
        </is>
      </c>
      <c r="F4122" s="2" t="inlineStr">
        <is>
          <t>Flex 40GB</t>
        </is>
      </c>
      <c r="G4122" s="2" t="inlineStr">
        <is>
          <t>claro:plano-flex-40gb</t>
        </is>
      </c>
      <c r="H4122" s="3" t="n">
        <v>119.9</v>
      </c>
      <c r="I4122" s="3" t="inlineStr"/>
      <c r="J4122" s="2" t="inlineStr"/>
      <c r="K4122" s="2" t="inlineStr"/>
      <c r="L4122" s="4" t="n">
        <v>40</v>
      </c>
      <c r="M4122" s="2" t="inlineStr"/>
      <c r="N4122" s="2" t="inlineStr"/>
      <c r="O4122" s="2" t="inlineStr">
        <is>
          <t>WhatsApp</t>
        </is>
      </c>
      <c r="P4122" s="2" t="inlineStr"/>
      <c r="Q4122" s="2" t="inlineStr"/>
      <c r="R4122" s="2" t="inlineStr"/>
      <c r="S4122" s="2" t="inlineStr"/>
      <c r="T4122" s="2" t="inlineStr">
        <is>
          <t>Para uso livre; WhatsApp ilimitado; Assinatura Claro musica inclusa; Roaming: Passaporte Américas</t>
        </is>
      </c>
      <c r="U4122" s="2" t="inlineStr">
        <is>
          <t>https://www.claro.com.br/celular/flex</t>
        </is>
      </c>
      <c r="V4122" s="2" t="inlineStr">
        <is>
          <t>data/raw/claro_flex_SP.json</t>
        </is>
      </c>
    </row>
    <row r="4123">
      <c r="A4123" s="5" t="inlineStr">
        <is>
          <t>2026-09-03</t>
        </is>
      </c>
      <c r="B4123" s="5" t="inlineStr">
        <is>
          <t>2026-09-03T19:57:11</t>
        </is>
      </c>
      <c r="C4123" s="5" t="inlineStr">
        <is>
          <t>claro</t>
        </is>
      </c>
      <c r="D4123" s="5" t="inlineStr">
        <is>
          <t>postpaid</t>
        </is>
      </c>
      <c r="E4123" s="5" t="inlineStr">
        <is>
          <t>SP</t>
        </is>
      </c>
      <c r="F4123" s="5" t="inlineStr">
        <is>
          <t>Pós 100GB</t>
        </is>
      </c>
      <c r="G4123" s="5" t="inlineStr">
        <is>
          <t>claro:plano-pos-100gb</t>
        </is>
      </c>
      <c r="H4123" s="6" t="n">
        <v>179.9</v>
      </c>
      <c r="I4123" s="6" t="inlineStr"/>
      <c r="J4123" s="5" t="inlineStr"/>
      <c r="K4123" s="5" t="inlineStr"/>
      <c r="L4123" s="7" t="n">
        <v>100</v>
      </c>
      <c r="M4123" s="5" t="inlineStr"/>
      <c r="N4123" s="5" t="inlineStr"/>
      <c r="O4123" s="5" t="inlineStr">
        <is>
          <t>WhatsApp</t>
        </is>
      </c>
      <c r="P4123" s="5" t="inlineStr"/>
      <c r="Q4123" s="5" t="inlineStr"/>
      <c r="R4123" s="5" t="inlineStr"/>
      <c r="S4123" s="5" t="inlineStr"/>
      <c r="T4123" s="5" t="inlineStr">
        <is>
          <t>Armazenamento na nuvem:; Google One ou iCloud+; WhatsApp ilimitado; Assinatura Amazon Prime por 3 meses; Roaming: Passaporte Américas; Claro Sync: Smartwatch conectado</t>
        </is>
      </c>
      <c r="U4123" s="5" t="inlineStr">
        <is>
          <t>https://www.claro.com.br/celular/pos</t>
        </is>
      </c>
      <c r="V4123" s="5" t="inlineStr">
        <is>
          <t>data/raw/claro_postpaid_SP.json</t>
        </is>
      </c>
    </row>
    <row r="4124">
      <c r="A4124" s="2" t="inlineStr">
        <is>
          <t>2026-09-03</t>
        </is>
      </c>
      <c r="B4124" s="2" t="inlineStr">
        <is>
          <t>2026-09-03T19:57:11</t>
        </is>
      </c>
      <c r="C4124" s="2" t="inlineStr">
        <is>
          <t>claro</t>
        </is>
      </c>
      <c r="D4124" s="2" t="inlineStr">
        <is>
          <t>postpaid</t>
        </is>
      </c>
      <c r="E4124" s="2" t="inlineStr">
        <is>
          <t>SP</t>
        </is>
      </c>
      <c r="F4124" s="2" t="inlineStr">
        <is>
          <t>Pós 150GB</t>
        </is>
      </c>
      <c r="G4124" s="2" t="inlineStr">
        <is>
          <t>claro:plano-pos-150gb</t>
        </is>
      </c>
      <c r="H4124" s="3" t="n">
        <v>239.9</v>
      </c>
      <c r="I4124" s="3" t="inlineStr"/>
      <c r="J4124" s="2" t="inlineStr"/>
      <c r="K4124" s="2" t="inlineStr"/>
      <c r="L4124" s="4" t="n">
        <v>150</v>
      </c>
      <c r="M4124" s="2" t="inlineStr"/>
      <c r="N4124" s="2" t="inlineStr"/>
      <c r="O4124" s="2" t="inlineStr">
        <is>
          <t>WhatsApp</t>
        </is>
      </c>
      <c r="P4124" s="2" t="inlineStr"/>
      <c r="Q4124" s="2" t="inlineStr"/>
      <c r="R4124" s="2" t="inlineStr"/>
      <c r="S4124" s="2" t="inlineStr"/>
      <c r="T412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4124" s="2" t="inlineStr">
        <is>
          <t>https://www.claro.com.br/celular/pos</t>
        </is>
      </c>
      <c r="V4124" s="2" t="inlineStr">
        <is>
          <t>data/raw/claro_postpaid_SP.json</t>
        </is>
      </c>
    </row>
    <row r="4125">
      <c r="A4125" s="5" t="inlineStr">
        <is>
          <t>2026-09-03</t>
        </is>
      </c>
      <c r="B4125" s="5" t="inlineStr">
        <is>
          <t>2026-09-03T19:57:11</t>
        </is>
      </c>
      <c r="C4125" s="5" t="inlineStr">
        <is>
          <t>claro</t>
        </is>
      </c>
      <c r="D4125" s="5" t="inlineStr">
        <is>
          <t>postpaid</t>
        </is>
      </c>
      <c r="E4125" s="5" t="inlineStr">
        <is>
          <t>SP</t>
        </is>
      </c>
      <c r="F4125" s="5" t="inlineStr">
        <is>
          <t>Pós 200GB</t>
        </is>
      </c>
      <c r="G4125" s="5" t="inlineStr">
        <is>
          <t>claro:plano-pos-200gb</t>
        </is>
      </c>
      <c r="H4125" s="6" t="n">
        <v>339.9</v>
      </c>
      <c r="I4125" s="6" t="inlineStr"/>
      <c r="J4125" s="5" t="inlineStr"/>
      <c r="K4125" s="5" t="inlineStr"/>
      <c r="L4125" s="7" t="n">
        <v>200</v>
      </c>
      <c r="M4125" s="5" t="inlineStr"/>
      <c r="N4125" s="5" t="inlineStr"/>
      <c r="O4125" s="5" t="inlineStr">
        <is>
          <t>WhatsApp</t>
        </is>
      </c>
      <c r="P4125" s="5" t="inlineStr"/>
      <c r="Q4125" s="5" t="inlineStr"/>
      <c r="R4125" s="5" t="inlineStr"/>
      <c r="S4125" s="5" t="inlineStr"/>
      <c r="T4125" s="5" t="inlineStr">
        <is>
          <t>Armazenamento na nuvem:; Google One (AI Plus) ou iCloud+; WhatsApp ilimitado; Assinatura Amazon Prime por 3 meses; Roaming: Passaporte Mundo; Claro Sync: Smartwatch conectado</t>
        </is>
      </c>
      <c r="U4125" s="5" t="inlineStr">
        <is>
          <t>https://www.claro.com.br/celular/pos</t>
        </is>
      </c>
      <c r="V4125" s="5" t="inlineStr">
        <is>
          <t>data/raw/claro_postpaid_SP.json</t>
        </is>
      </c>
    </row>
    <row r="4126">
      <c r="A4126" s="2" t="inlineStr">
        <is>
          <t>2026-09-03</t>
        </is>
      </c>
      <c r="B4126" s="2" t="inlineStr">
        <is>
          <t>2026-09-03T19:57:11</t>
        </is>
      </c>
      <c r="C4126" s="2" t="inlineStr">
        <is>
          <t>claro</t>
        </is>
      </c>
      <c r="D4126" s="2" t="inlineStr">
        <is>
          <t>postpaid</t>
        </is>
      </c>
      <c r="E4126" s="2" t="inlineStr">
        <is>
          <t>SP</t>
        </is>
      </c>
      <c r="F4126" s="2" t="inlineStr">
        <is>
          <t>Pós 50GB com GeForce NOW</t>
        </is>
      </c>
      <c r="G4126" s="2" t="inlineStr">
        <is>
          <t>claro:plano-pos-60gb-geforce</t>
        </is>
      </c>
      <c r="H4126" s="3" t="n">
        <v>164.9</v>
      </c>
      <c r="I4126" s="3" t="inlineStr"/>
      <c r="J4126" s="2" t="inlineStr"/>
      <c r="K4126" s="2" t="inlineStr"/>
      <c r="L4126" s="4" t="n">
        <v>50</v>
      </c>
      <c r="M4126" s="2" t="inlineStr"/>
      <c r="N4126" s="2" t="inlineStr"/>
      <c r="O4126" s="2" t="inlineStr">
        <is>
          <t>WhatsApp</t>
        </is>
      </c>
      <c r="P4126" s="2" t="inlineStr"/>
      <c r="Q4126" s="2" t="inlineStr"/>
      <c r="R4126" s="2" t="inlineStr"/>
      <c r="S4126" s="2" t="inlineStr"/>
      <c r="T41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126" s="2" t="inlineStr">
        <is>
          <t>https://www.claro.com.br/celular/pos</t>
        </is>
      </c>
      <c r="V4126" s="2" t="inlineStr">
        <is>
          <t>data/raw/claro_postpaid_SP.json</t>
        </is>
      </c>
    </row>
    <row r="4127">
      <c r="A4127" s="5" t="inlineStr">
        <is>
          <t>2026-09-03</t>
        </is>
      </c>
      <c r="B4127" s="5" t="inlineStr">
        <is>
          <t>2026-09-03T19:57:11</t>
        </is>
      </c>
      <c r="C4127" s="5" t="inlineStr">
        <is>
          <t>claro</t>
        </is>
      </c>
      <c r="D4127" s="5" t="inlineStr">
        <is>
          <t>postpaid</t>
        </is>
      </c>
      <c r="E4127" s="5" t="inlineStr">
        <is>
          <t>SP</t>
        </is>
      </c>
      <c r="F4127" s="5" t="inlineStr">
        <is>
          <t>Pós 60GB</t>
        </is>
      </c>
      <c r="G4127" s="5" t="inlineStr">
        <is>
          <t>claro:plano-pos-60gb</t>
        </is>
      </c>
      <c r="H4127" s="6" t="n">
        <v>124.9</v>
      </c>
      <c r="I4127" s="6" t="inlineStr"/>
      <c r="J4127" s="5" t="inlineStr"/>
      <c r="K4127" s="5" t="inlineStr"/>
      <c r="L4127" s="7" t="n">
        <v>60</v>
      </c>
      <c r="M4127" s="5" t="inlineStr"/>
      <c r="N4127" s="5" t="inlineStr"/>
      <c r="O4127" s="5" t="inlineStr">
        <is>
          <t>WhatsApp</t>
        </is>
      </c>
      <c r="P4127" s="5" t="inlineStr"/>
      <c r="Q4127" s="5" t="inlineStr"/>
      <c r="R4127" s="5" t="inlineStr"/>
      <c r="S4127" s="5" t="inlineStr"/>
      <c r="T4127" s="5" t="inlineStr">
        <is>
          <t>Armazenamento na nuvem:; Google One ou iCloud+; WhatsApp ilimitado; Assinatura Amazon Prime por 3 meses; Roaming: Passaporte Américas; Claro Sync: Smartwatch conectado</t>
        </is>
      </c>
      <c r="U4127" s="5" t="inlineStr">
        <is>
          <t>https://www.claro.com.br/celular/pos</t>
        </is>
      </c>
      <c r="V4127" s="5" t="inlineStr">
        <is>
          <t>data/raw/claro_postpaid_SP.json</t>
        </is>
      </c>
    </row>
    <row r="4128">
      <c r="A4128" s="2" t="inlineStr">
        <is>
          <t>2026-09-03</t>
        </is>
      </c>
      <c r="B4128" s="2" t="inlineStr">
        <is>
          <t>2026-09-03T19:57:11</t>
        </is>
      </c>
      <c r="C4128" s="2" t="inlineStr">
        <is>
          <t>claro</t>
        </is>
      </c>
      <c r="D4128" s="2" t="inlineStr">
        <is>
          <t>prepaid</t>
        </is>
      </c>
      <c r="E4128" s="2" t="inlineStr">
        <is>
          <t>SP</t>
        </is>
      </c>
      <c r="F4128" s="2" t="inlineStr">
        <is>
          <t>Prezão 10GB (25 dias)</t>
        </is>
      </c>
      <c r="G4128" s="2" t="inlineStr">
        <is>
          <t>claro:prezao-25d-10gb</t>
        </is>
      </c>
      <c r="H4128" s="3" t="n">
        <v>25</v>
      </c>
      <c r="I4128" s="3" t="inlineStr"/>
      <c r="J4128" s="2" t="inlineStr">
        <is>
          <t>recarga Prezão R$25 — validade 25 dias</t>
        </is>
      </c>
      <c r="K4128" s="2" t="inlineStr"/>
      <c r="L4128" s="4" t="n">
        <v>10</v>
      </c>
      <c r="M4128" s="2" t="inlineStr"/>
      <c r="N4128" s="2" t="n">
        <v>25</v>
      </c>
      <c r="O4128" s="2" t="inlineStr"/>
      <c r="P4128" s="2" t="inlineStr"/>
      <c r="Q4128" s="2" t="inlineStr"/>
      <c r="R4128" s="2" t="inlineStr"/>
      <c r="S4128" s="2" t="inlineStr"/>
      <c r="T4128" s="2" t="inlineStr"/>
      <c r="U4128" s="2" t="inlineStr">
        <is>
          <t>https://www.claro.com.br/celular/planos-pre/prezao</t>
        </is>
      </c>
      <c r="V4128" s="2" t="inlineStr">
        <is>
          <t>data/raw/claro_prepaid_SP.json</t>
        </is>
      </c>
    </row>
    <row r="4129">
      <c r="A4129" s="5" t="inlineStr">
        <is>
          <t>2026-09-03</t>
        </is>
      </c>
      <c r="B4129" s="5" t="inlineStr">
        <is>
          <t>2026-09-03T19:57:11</t>
        </is>
      </c>
      <c r="C4129" s="5" t="inlineStr">
        <is>
          <t>claro</t>
        </is>
      </c>
      <c r="D4129" s="5" t="inlineStr">
        <is>
          <t>prepaid</t>
        </is>
      </c>
      <c r="E4129" s="5" t="inlineStr">
        <is>
          <t>SP</t>
        </is>
      </c>
      <c r="F4129" s="5" t="inlineStr">
        <is>
          <t>Prezão 12GB (30 dias)</t>
        </is>
      </c>
      <c r="G4129" s="5" t="inlineStr">
        <is>
          <t>claro:prezao-30d-12gb</t>
        </is>
      </c>
      <c r="H4129" s="6" t="n">
        <v>30</v>
      </c>
      <c r="I4129" s="6" t="inlineStr"/>
      <c r="J4129" s="5" t="inlineStr">
        <is>
          <t>recarga Prezão R$30 — validade 30 dias</t>
        </is>
      </c>
      <c r="K4129" s="5" t="inlineStr"/>
      <c r="L4129" s="7" t="n">
        <v>12</v>
      </c>
      <c r="M4129" s="5" t="inlineStr"/>
      <c r="N4129" s="5" t="n">
        <v>30</v>
      </c>
      <c r="O4129" s="5" t="inlineStr"/>
      <c r="P4129" s="5" t="inlineStr"/>
      <c r="Q4129" s="5" t="inlineStr"/>
      <c r="R4129" s="5" t="inlineStr"/>
      <c r="S4129" s="5" t="inlineStr"/>
      <c r="T4129" s="5" t="inlineStr"/>
      <c r="U4129" s="5" t="inlineStr">
        <is>
          <t>https://www.claro.com.br/celular/planos-pre/prezao</t>
        </is>
      </c>
      <c r="V4129" s="5" t="inlineStr">
        <is>
          <t>data/raw/claro_prepaid_SP.json</t>
        </is>
      </c>
    </row>
    <row r="4130">
      <c r="A4130" s="2" t="inlineStr">
        <is>
          <t>2026-09-03</t>
        </is>
      </c>
      <c r="B4130" s="2" t="inlineStr">
        <is>
          <t>2026-09-03T19:57:11</t>
        </is>
      </c>
      <c r="C4130" s="2" t="inlineStr">
        <is>
          <t>claro</t>
        </is>
      </c>
      <c r="D4130" s="2" t="inlineStr">
        <is>
          <t>prepaid</t>
        </is>
      </c>
      <c r="E4130" s="2" t="inlineStr">
        <is>
          <t>SP</t>
        </is>
      </c>
      <c r="F4130" s="2" t="inlineStr">
        <is>
          <t>Prezão 4GB (12 dias)</t>
        </is>
      </c>
      <c r="G4130" s="2" t="inlineStr">
        <is>
          <t>claro:prezao-12d-4gb</t>
        </is>
      </c>
      <c r="H4130" s="3" t="n">
        <v>15</v>
      </c>
      <c r="I4130" s="3" t="inlineStr"/>
      <c r="J4130" s="2" t="inlineStr">
        <is>
          <t>recarga Prezão R$15 — validade 12 dias</t>
        </is>
      </c>
      <c r="K4130" s="2" t="inlineStr"/>
      <c r="L4130" s="4" t="n">
        <v>4</v>
      </c>
      <c r="M4130" s="2" t="inlineStr"/>
      <c r="N4130" s="2" t="n">
        <v>12</v>
      </c>
      <c r="O4130" s="2" t="inlineStr"/>
      <c r="P4130" s="2" t="inlineStr"/>
      <c r="Q4130" s="2" t="inlineStr"/>
      <c r="R4130" s="2" t="inlineStr"/>
      <c r="S4130" s="2" t="inlineStr"/>
      <c r="T4130" s="2" t="inlineStr"/>
      <c r="U4130" s="2" t="inlineStr">
        <is>
          <t>https://www.claro.com.br/celular/planos-pre/prezao</t>
        </is>
      </c>
      <c r="V4130" s="2" t="inlineStr">
        <is>
          <t>data/raw/claro_prepaid_SP.json</t>
        </is>
      </c>
    </row>
    <row r="4131">
      <c r="A4131" s="5" t="inlineStr">
        <is>
          <t>2026-09-03</t>
        </is>
      </c>
      <c r="B4131" s="5" t="inlineStr">
        <is>
          <t>2026-09-03T19:57:11</t>
        </is>
      </c>
      <c r="C4131" s="5" t="inlineStr">
        <is>
          <t>claro</t>
        </is>
      </c>
      <c r="D4131" s="5" t="inlineStr">
        <is>
          <t>prepaid</t>
        </is>
      </c>
      <c r="E4131" s="5" t="inlineStr">
        <is>
          <t>SP</t>
        </is>
      </c>
      <c r="F4131" s="5" t="inlineStr">
        <is>
          <t>Prezão 5GB (15 dias)</t>
        </is>
      </c>
      <c r="G4131" s="5" t="inlineStr">
        <is>
          <t>claro:prezao-15d-5gb</t>
        </is>
      </c>
      <c r="H4131" s="6" t="n">
        <v>15</v>
      </c>
      <c r="I4131" s="6" t="inlineStr"/>
      <c r="J4131" s="5" t="inlineStr">
        <is>
          <t>recarga Prezão R$15 — validade 15 dias</t>
        </is>
      </c>
      <c r="K4131" s="5" t="inlineStr"/>
      <c r="L4131" s="7" t="n">
        <v>5</v>
      </c>
      <c r="M4131" s="5" t="inlineStr"/>
      <c r="N4131" s="5" t="n">
        <v>15</v>
      </c>
      <c r="O4131" s="5" t="inlineStr"/>
      <c r="P4131" s="5" t="inlineStr"/>
      <c r="Q4131" s="5" t="inlineStr"/>
      <c r="R4131" s="5" t="inlineStr"/>
      <c r="S4131" s="5" t="inlineStr"/>
      <c r="T4131" s="5" t="inlineStr"/>
      <c r="U4131" s="5" t="inlineStr">
        <is>
          <t>https://www.claro.com.br/celular/planos-pre/prezao</t>
        </is>
      </c>
      <c r="V4131" s="5" t="inlineStr">
        <is>
          <t>data/raw/claro_prepaid_SP.json</t>
        </is>
      </c>
    </row>
    <row r="4132">
      <c r="A4132" s="2" t="inlineStr">
        <is>
          <t>2026-09-03</t>
        </is>
      </c>
      <c r="B4132" s="2" t="inlineStr">
        <is>
          <t>2026-09-03T19:57:11</t>
        </is>
      </c>
      <c r="C4132" s="2" t="inlineStr">
        <is>
          <t>claro</t>
        </is>
      </c>
      <c r="D4132" s="2" t="inlineStr">
        <is>
          <t>prepaid</t>
        </is>
      </c>
      <c r="E4132" s="2" t="inlineStr">
        <is>
          <t>SP</t>
        </is>
      </c>
      <c r="F4132" s="2" t="inlineStr">
        <is>
          <t>Prezão 6GB (20 dias)</t>
        </is>
      </c>
      <c r="G4132" s="2" t="inlineStr">
        <is>
          <t>claro:prezao-20d-6gb</t>
        </is>
      </c>
      <c r="H4132" s="3" t="n">
        <v>20</v>
      </c>
      <c r="I4132" s="3" t="inlineStr"/>
      <c r="J4132" s="2" t="inlineStr">
        <is>
          <t>recarga Prezão R$20 — validade 20 dias</t>
        </is>
      </c>
      <c r="K4132" s="2" t="inlineStr"/>
      <c r="L4132" s="4" t="n">
        <v>6</v>
      </c>
      <c r="M4132" s="2" t="inlineStr"/>
      <c r="N4132" s="2" t="n">
        <v>20</v>
      </c>
      <c r="O4132" s="2" t="inlineStr"/>
      <c r="P4132" s="2" t="inlineStr"/>
      <c r="Q4132" s="2" t="inlineStr"/>
      <c r="R4132" s="2" t="inlineStr"/>
      <c r="S4132" s="2" t="inlineStr"/>
      <c r="T4132" s="2" t="inlineStr"/>
      <c r="U4132" s="2" t="inlineStr">
        <is>
          <t>https://www.claro.com.br/celular/planos-pre/prezao</t>
        </is>
      </c>
      <c r="V4132" s="2" t="inlineStr">
        <is>
          <t>data/raw/claro_prepaid_SP.json</t>
        </is>
      </c>
    </row>
    <row r="4133">
      <c r="A4133" s="5" t="inlineStr">
        <is>
          <t>2026-09-03</t>
        </is>
      </c>
      <c r="B4133" s="5" t="inlineStr">
        <is>
          <t>2026-09-03T19:57:11</t>
        </is>
      </c>
      <c r="C4133" s="5" t="inlineStr">
        <is>
          <t>claro</t>
        </is>
      </c>
      <c r="D4133" s="5" t="inlineStr">
        <is>
          <t>prepaid</t>
        </is>
      </c>
      <c r="E4133" s="5" t="inlineStr">
        <is>
          <t>SP</t>
        </is>
      </c>
      <c r="F4133" s="5" t="inlineStr">
        <is>
          <t>Prezão 8GB (20 dias)</t>
        </is>
      </c>
      <c r="G4133" s="5" t="inlineStr">
        <is>
          <t>claro:prezao-20d-8gb</t>
        </is>
      </c>
      <c r="H4133" s="6" t="n">
        <v>20</v>
      </c>
      <c r="I4133" s="6" t="inlineStr"/>
      <c r="J4133" s="5" t="inlineStr">
        <is>
          <t>recarga Prezão R$20 — validade 20 dias</t>
        </is>
      </c>
      <c r="K4133" s="5" t="inlineStr"/>
      <c r="L4133" s="7" t="n">
        <v>8</v>
      </c>
      <c r="M4133" s="5" t="inlineStr"/>
      <c r="N4133" s="5" t="n">
        <v>20</v>
      </c>
      <c r="O4133" s="5" t="inlineStr"/>
      <c r="P4133" s="5" t="inlineStr"/>
      <c r="Q4133" s="5" t="inlineStr"/>
      <c r="R4133" s="5" t="inlineStr"/>
      <c r="S4133" s="5" t="inlineStr"/>
      <c r="T4133" s="5" t="inlineStr"/>
      <c r="U4133" s="5" t="inlineStr">
        <is>
          <t>https://www.claro.com.br/celular/planos-pre/prezao</t>
        </is>
      </c>
      <c r="V4133" s="5" t="inlineStr">
        <is>
          <t>data/raw/claro_prepaid_SP.json</t>
        </is>
      </c>
    </row>
    <row r="4134">
      <c r="A4134" s="2" t="inlineStr">
        <is>
          <t>2026-09-03</t>
        </is>
      </c>
      <c r="B4134" s="2" t="inlineStr">
        <is>
          <t>2026-09-03T19:57:11</t>
        </is>
      </c>
      <c r="C4134" s="2" t="inlineStr">
        <is>
          <t>claro</t>
        </is>
      </c>
      <c r="D4134" s="2" t="inlineStr">
        <is>
          <t>prepaid</t>
        </is>
      </c>
      <c r="E4134" s="2" t="inlineStr">
        <is>
          <t>SP</t>
        </is>
      </c>
      <c r="F4134" s="2" t="inlineStr">
        <is>
          <t>Prezão 9GB (25 dias)</t>
        </is>
      </c>
      <c r="G4134" s="2" t="inlineStr">
        <is>
          <t>claro:prezao-25d-9gb</t>
        </is>
      </c>
      <c r="H4134" s="3" t="n">
        <v>25</v>
      </c>
      <c r="I4134" s="3" t="inlineStr"/>
      <c r="J4134" s="2" t="inlineStr">
        <is>
          <t>recarga Prezão R$25 — validade 25 dias</t>
        </is>
      </c>
      <c r="K4134" s="2" t="inlineStr"/>
      <c r="L4134" s="4" t="n">
        <v>9</v>
      </c>
      <c r="M4134" s="2" t="inlineStr"/>
      <c r="N4134" s="2" t="n">
        <v>25</v>
      </c>
      <c r="O4134" s="2" t="inlineStr"/>
      <c r="P4134" s="2" t="inlineStr"/>
      <c r="Q4134" s="2" t="inlineStr"/>
      <c r="R4134" s="2" t="inlineStr"/>
      <c r="S4134" s="2" t="inlineStr"/>
      <c r="T4134" s="2" t="inlineStr"/>
      <c r="U4134" s="2" t="inlineStr">
        <is>
          <t>https://www.claro.com.br/celular/planos-pre/prezao</t>
        </is>
      </c>
      <c r="V4134" s="2" t="inlineStr">
        <is>
          <t>data/raw/claro_prepaid_SP.json</t>
        </is>
      </c>
    </row>
    <row r="4135">
      <c r="A4135" s="5" t="inlineStr">
        <is>
          <t>2026-09-03</t>
        </is>
      </c>
      <c r="B4135" s="5" t="inlineStr">
        <is>
          <t>2026-09-03T19:57:11</t>
        </is>
      </c>
      <c r="C4135" s="5" t="inlineStr">
        <is>
          <t>tim</t>
        </is>
      </c>
      <c r="D4135" s="5" t="inlineStr">
        <is>
          <t>control</t>
        </is>
      </c>
      <c r="E4135" s="5" t="inlineStr">
        <is>
          <t>SP</t>
        </is>
      </c>
      <c r="F4135" s="5" t="inlineStr">
        <is>
          <t>TIM Controle 45GB</t>
        </is>
      </c>
      <c r="G4135" s="5" t="inlineStr">
        <is>
          <t>tim:182766</t>
        </is>
      </c>
      <c r="H4135" s="6" t="n">
        <v>49.99</v>
      </c>
      <c r="I4135" s="6" t="inlineStr"/>
      <c r="J4135" s="5" t="inlineStr"/>
      <c r="K4135" s="5" t="inlineStr"/>
      <c r="L4135" s="7" t="n">
        <v>45</v>
      </c>
      <c r="M4135" s="5" t="inlineStr"/>
      <c r="N4135" s="5" t="inlineStr"/>
      <c r="O4135" s="5" t="inlineStr"/>
      <c r="P4135" s="5" t="inlineStr"/>
      <c r="Q4135" s="5" t="inlineStr"/>
      <c r="R4135" s="5" t="inlineStr"/>
      <c r="S4135" s="5" t="inlineStr"/>
      <c r="T4135" s="5" t="inlineStr"/>
      <c r="U4135" s="5" t="inlineStr">
        <is>
          <t>https://www.tim.com.br/sp/para-voce/planos/controle</t>
        </is>
      </c>
      <c r="V4135" s="5" t="inlineStr">
        <is>
          <t>data/raw/tim_control_SP.html</t>
        </is>
      </c>
    </row>
    <row r="4136">
      <c r="A4136" s="2" t="inlineStr">
        <is>
          <t>2026-09-03</t>
        </is>
      </c>
      <c r="B4136" s="2" t="inlineStr">
        <is>
          <t>2026-09-03T19:57:11</t>
        </is>
      </c>
      <c r="C4136" s="2" t="inlineStr">
        <is>
          <t>tim</t>
        </is>
      </c>
      <c r="D4136" s="2" t="inlineStr">
        <is>
          <t>control</t>
        </is>
      </c>
      <c r="E4136" s="2" t="inlineStr">
        <is>
          <t>SP</t>
        </is>
      </c>
      <c r="F4136" s="2" t="inlineStr">
        <is>
          <t>TIM Controle Light Express 45GB</t>
        </is>
      </c>
      <c r="G4136" s="2" t="inlineStr">
        <is>
          <t>tim:167726</t>
        </is>
      </c>
      <c r="H4136" s="3" t="n">
        <v>60.99</v>
      </c>
      <c r="I4136" s="3" t="inlineStr"/>
      <c r="J4136" s="2" t="inlineStr"/>
      <c r="K4136" s="2" t="inlineStr"/>
      <c r="L4136" s="4" t="n">
        <v>45</v>
      </c>
      <c r="M4136" s="2" t="inlineStr"/>
      <c r="N4136" s="2" t="inlineStr"/>
      <c r="O4136" s="2" t="inlineStr"/>
      <c r="P4136" s="2" t="inlineStr"/>
      <c r="Q4136" s="2" t="inlineStr"/>
      <c r="R4136" s="2" t="inlineStr"/>
      <c r="S4136" s="2" t="inlineStr"/>
      <c r="T4136" s="2" t="inlineStr"/>
      <c r="U4136" s="2" t="inlineStr">
        <is>
          <t>https://www.tim.com.br/sp/para-voce/planos/controle</t>
        </is>
      </c>
      <c r="V4136" s="2" t="inlineStr">
        <is>
          <t>data/raw/tim_control_SP.html</t>
        </is>
      </c>
    </row>
    <row r="4137">
      <c r="A4137" s="5" t="inlineStr">
        <is>
          <t>2026-09-03</t>
        </is>
      </c>
      <c r="B4137" s="5" t="inlineStr">
        <is>
          <t>2026-09-03T19:57:11</t>
        </is>
      </c>
      <c r="C4137" s="5" t="inlineStr">
        <is>
          <t>tim</t>
        </is>
      </c>
      <c r="D4137" s="5" t="inlineStr">
        <is>
          <t>control</t>
        </is>
      </c>
      <c r="E4137" s="5" t="inlineStr">
        <is>
          <t>SP</t>
        </is>
      </c>
      <c r="F4137" s="5" t="inlineStr">
        <is>
          <t>TIM Controle Premium 55GB</t>
        </is>
      </c>
      <c r="G4137" s="5" t="inlineStr">
        <is>
          <t>tim:180756</t>
        </is>
      </c>
      <c r="H4137" s="6" t="n">
        <v>69.98999999999999</v>
      </c>
      <c r="I4137" s="6" t="inlineStr"/>
      <c r="J4137" s="5" t="inlineStr"/>
      <c r="K4137" s="5" t="inlineStr"/>
      <c r="L4137" s="7" t="n">
        <v>55</v>
      </c>
      <c r="M4137" s="5" t="inlineStr"/>
      <c r="N4137" s="5" t="inlineStr"/>
      <c r="O4137" s="5" t="inlineStr"/>
      <c r="P4137" s="5" t="inlineStr"/>
      <c r="Q4137" s="5" t="inlineStr"/>
      <c r="R4137" s="5" t="inlineStr"/>
      <c r="S4137" s="5" t="inlineStr"/>
      <c r="T4137" s="5" t="inlineStr"/>
      <c r="U4137" s="5" t="inlineStr">
        <is>
          <t>https://www.tim.com.br/sp/para-voce/planos/controle</t>
        </is>
      </c>
      <c r="V4137" s="5" t="inlineStr">
        <is>
          <t>data/raw/tim_control_SP.html</t>
        </is>
      </c>
    </row>
    <row r="4138">
      <c r="A4138" s="2" t="inlineStr">
        <is>
          <t>2026-09-03</t>
        </is>
      </c>
      <c r="B4138" s="2" t="inlineStr">
        <is>
          <t>2026-09-03T19:57:11</t>
        </is>
      </c>
      <c r="C4138" s="2" t="inlineStr">
        <is>
          <t>tim</t>
        </is>
      </c>
      <c r="D4138" s="2" t="inlineStr">
        <is>
          <t>control</t>
        </is>
      </c>
      <c r="E4138" s="2" t="inlineStr">
        <is>
          <t>SP</t>
        </is>
      </c>
      <c r="F4138" s="2" t="inlineStr">
        <is>
          <t>TIM Controle Pro Express 46GB</t>
        </is>
      </c>
      <c r="G4138" s="2" t="inlineStr">
        <is>
          <t>tim:167731</t>
        </is>
      </c>
      <c r="H4138" s="3" t="n">
        <v>64.98999999999999</v>
      </c>
      <c r="I4138" s="3" t="inlineStr"/>
      <c r="J4138" s="2" t="inlineStr"/>
      <c r="K4138" s="2" t="inlineStr"/>
      <c r="L4138" s="4" t="n">
        <v>46</v>
      </c>
      <c r="M4138" s="2" t="inlineStr"/>
      <c r="N4138" s="2" t="inlineStr"/>
      <c r="O4138" s="2" t="inlineStr"/>
      <c r="P4138" s="2" t="inlineStr"/>
      <c r="Q4138" s="2" t="inlineStr"/>
      <c r="R4138" s="2" t="inlineStr"/>
      <c r="S4138" s="2" t="inlineStr"/>
      <c r="T4138" s="2" t="inlineStr"/>
      <c r="U4138" s="2" t="inlineStr">
        <is>
          <t>https://www.tim.com.br/sp/para-voce/planos/controle</t>
        </is>
      </c>
      <c r="V4138" s="2" t="inlineStr">
        <is>
          <t>data/raw/tim_control_SP.html</t>
        </is>
      </c>
    </row>
    <row r="4139">
      <c r="A4139" s="5" t="inlineStr">
        <is>
          <t>2026-09-03</t>
        </is>
      </c>
      <c r="B4139" s="5" t="inlineStr">
        <is>
          <t>2026-09-03T19:57:11</t>
        </is>
      </c>
      <c r="C4139" s="5" t="inlineStr">
        <is>
          <t>tim</t>
        </is>
      </c>
      <c r="D4139" s="5" t="inlineStr">
        <is>
          <t>control</t>
        </is>
      </c>
      <c r="E4139" s="5" t="inlineStr">
        <is>
          <t>SP</t>
        </is>
      </c>
      <c r="F4139" s="5" t="inlineStr">
        <is>
          <t>TIM Controle Redes Sociais 46GB</t>
        </is>
      </c>
      <c r="G4139" s="5" t="inlineStr">
        <is>
          <t>tim:167031</t>
        </is>
      </c>
      <c r="H4139" s="6" t="n">
        <v>59.99</v>
      </c>
      <c r="I4139" s="6" t="inlineStr"/>
      <c r="J4139" s="5" t="inlineStr"/>
      <c r="K4139" s="5" t="inlineStr"/>
      <c r="L4139" s="7" t="n">
        <v>46</v>
      </c>
      <c r="M4139" s="5" t="inlineStr"/>
      <c r="N4139" s="5" t="inlineStr"/>
      <c r="O4139" s="5" t="inlineStr"/>
      <c r="P4139" s="5" t="inlineStr"/>
      <c r="Q4139" s="5" t="inlineStr"/>
      <c r="R4139" s="5" t="inlineStr"/>
      <c r="S4139" s="5" t="inlineStr"/>
      <c r="T4139" s="5" t="inlineStr"/>
      <c r="U4139" s="5" t="inlineStr">
        <is>
          <t>https://www.tim.com.br/sp/para-voce/planos/controle</t>
        </is>
      </c>
      <c r="V4139" s="5" t="inlineStr">
        <is>
          <t>data/raw/tim_control_SP.html</t>
        </is>
      </c>
    </row>
    <row r="4140">
      <c r="A4140" s="2" t="inlineStr">
        <is>
          <t>2026-09-03</t>
        </is>
      </c>
      <c r="B4140" s="2" t="inlineStr">
        <is>
          <t>2026-09-03T19:57:11</t>
        </is>
      </c>
      <c r="C4140" s="2" t="inlineStr">
        <is>
          <t>tim</t>
        </is>
      </c>
      <c r="D4140" s="2" t="inlineStr">
        <is>
          <t>fit</t>
        </is>
      </c>
      <c r="E4140" s="2" t="inlineStr">
        <is>
          <t>SP</t>
        </is>
      </c>
      <c r="F4140" s="2" t="inlineStr">
        <is>
          <t>TIM Controle Fit Anual 1.0</t>
        </is>
      </c>
      <c r="G4140" s="2" t="inlineStr">
        <is>
          <t>tim:TIM202600000306</t>
        </is>
      </c>
      <c r="H4140" s="3" t="n">
        <v>20</v>
      </c>
      <c r="I4140" s="3" t="inlineStr"/>
      <c r="J4140" s="2" t="inlineStr">
        <is>
          <t>plano anual 12x no cartão de crédito; a etiqueta TIM informa 'sem prazo de permanência'</t>
        </is>
      </c>
      <c r="K4140" s="2" t="inlineStr">
        <is>
          <t>credit_card</t>
        </is>
      </c>
      <c r="L4140" s="4" t="n">
        <v>25</v>
      </c>
      <c r="M4140" s="2" t="inlineStr"/>
      <c r="N4140" s="2" t="inlineStr"/>
      <c r="O4140" s="2" t="inlineStr"/>
      <c r="P4140" s="2" t="inlineStr"/>
      <c r="Q4140" s="2" t="inlineStr"/>
      <c r="R4140" s="2" t="inlineStr"/>
      <c r="S4140" s="2" t="n">
        <v>12</v>
      </c>
      <c r="T4140" s="2" t="inlineStr"/>
      <c r="U4140" s="2" t="inlineStr">
        <is>
          <t>https://www.tim.com.br/sp/para-voce/planos/controle</t>
        </is>
      </c>
      <c r="V4140" s="2" t="inlineStr">
        <is>
          <t>data/raw/tim_fit_SP.html</t>
        </is>
      </c>
    </row>
    <row r="4141">
      <c r="A4141" s="5" t="inlineStr">
        <is>
          <t>2026-09-03</t>
        </is>
      </c>
      <c r="B4141" s="5" t="inlineStr">
        <is>
          <t>2026-09-03T19:57:11</t>
        </is>
      </c>
      <c r="C4141" s="5" t="inlineStr">
        <is>
          <t>tim</t>
        </is>
      </c>
      <c r="D4141" s="5" t="inlineStr">
        <is>
          <t>fit</t>
        </is>
      </c>
      <c r="E4141" s="5" t="inlineStr">
        <is>
          <t>SP</t>
        </is>
      </c>
      <c r="F4141" s="5" t="inlineStr">
        <is>
          <t>TIM Controle Fit Anual 2.0</t>
        </is>
      </c>
      <c r="G4141" s="5" t="inlineStr">
        <is>
          <t>tim:TIM202600000271</t>
        </is>
      </c>
      <c r="H4141" s="6" t="n">
        <v>30</v>
      </c>
      <c r="I4141" s="6" t="inlineStr"/>
      <c r="J4141" s="5" t="inlineStr">
        <is>
          <t>plano anual 12x no cartão de crédito; a etiqueta TIM informa 'sem prazo de permanência'</t>
        </is>
      </c>
      <c r="K4141" s="5" t="inlineStr">
        <is>
          <t>credit_card</t>
        </is>
      </c>
      <c r="L4141" s="7" t="n">
        <v>35</v>
      </c>
      <c r="M4141" s="5" t="inlineStr"/>
      <c r="N4141" s="5" t="inlineStr"/>
      <c r="O4141" s="5" t="inlineStr"/>
      <c r="P4141" s="5" t="inlineStr"/>
      <c r="Q4141" s="5" t="inlineStr"/>
      <c r="R4141" s="5" t="inlineStr"/>
      <c r="S4141" s="5" t="n">
        <v>12</v>
      </c>
      <c r="T4141" s="5" t="inlineStr"/>
      <c r="U4141" s="5" t="inlineStr">
        <is>
          <t>https://www.tim.com.br/sp/para-voce/planos/controle</t>
        </is>
      </c>
      <c r="V4141" s="5" t="inlineStr">
        <is>
          <t>data/raw/tim_fit_SP.html</t>
        </is>
      </c>
    </row>
    <row r="4142">
      <c r="A4142" s="2" t="inlineStr">
        <is>
          <t>2026-09-03</t>
        </is>
      </c>
      <c r="B4142" s="2" t="inlineStr">
        <is>
          <t>2026-09-03T19:57:11</t>
        </is>
      </c>
      <c r="C4142" s="2" t="inlineStr">
        <is>
          <t>tim</t>
        </is>
      </c>
      <c r="D4142" s="2" t="inlineStr">
        <is>
          <t>fit</t>
        </is>
      </c>
      <c r="E4142" s="2" t="inlineStr">
        <is>
          <t>SP</t>
        </is>
      </c>
      <c r="F4142" s="2" t="inlineStr">
        <is>
          <t>TIM Controle Fit Mensal 1.0</t>
        </is>
      </c>
      <c r="G4142" s="2" t="inlineStr">
        <is>
          <t>tim:TIM202600000270</t>
        </is>
      </c>
      <c r="H4142" s="3" t="n">
        <v>20</v>
      </c>
      <c r="I4142" s="3" t="inlineStr"/>
      <c r="J41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4142" s="2" t="inlineStr"/>
      <c r="L4142" s="4" t="n">
        <v>20</v>
      </c>
      <c r="M4142" s="2" t="inlineStr"/>
      <c r="N4142" s="2" t="inlineStr"/>
      <c r="O4142" s="2" t="inlineStr"/>
      <c r="P4142" s="2" t="inlineStr"/>
      <c r="Q4142" s="2" t="inlineStr"/>
      <c r="R4142" s="2" t="inlineStr"/>
      <c r="S4142" s="2" t="inlineStr"/>
      <c r="T4142" s="2" t="inlineStr"/>
      <c r="U4142" s="2" t="inlineStr">
        <is>
          <t>https://www.tim.com.br/sp/para-voce/planos/controle</t>
        </is>
      </c>
      <c r="V4142" s="2" t="inlineStr">
        <is>
          <t>data/raw/tim_fit_SP.html</t>
        </is>
      </c>
    </row>
    <row r="4143">
      <c r="A4143" s="5" t="inlineStr">
        <is>
          <t>2026-09-03</t>
        </is>
      </c>
      <c r="B4143" s="5" t="inlineStr">
        <is>
          <t>2026-09-03T19:57:11</t>
        </is>
      </c>
      <c r="C4143" s="5" t="inlineStr">
        <is>
          <t>tim</t>
        </is>
      </c>
      <c r="D4143" s="5" t="inlineStr">
        <is>
          <t>fit</t>
        </is>
      </c>
      <c r="E4143" s="5" t="inlineStr">
        <is>
          <t>SP</t>
        </is>
      </c>
      <c r="F4143" s="5" t="inlineStr">
        <is>
          <t>TIM Controle Fit Mensal 2.0</t>
        </is>
      </c>
      <c r="G4143" s="5" t="inlineStr">
        <is>
          <t>tim:TIM202600000305</t>
        </is>
      </c>
      <c r="H4143" s="6" t="n">
        <v>45</v>
      </c>
      <c r="I4143" s="6" t="inlineStr"/>
      <c r="J4143" s="5" t="inlineStr">
        <is>
          <t>plano mensal, sem prazo de permanência; a etiqueta TIM informa 'sem prazo de permanência'</t>
        </is>
      </c>
      <c r="K4143" s="5" t="inlineStr"/>
      <c r="L4143" s="7" t="n">
        <v>35</v>
      </c>
      <c r="M4143" s="5" t="inlineStr"/>
      <c r="N4143" s="5" t="inlineStr"/>
      <c r="O4143" s="5" t="inlineStr"/>
      <c r="P4143" s="5" t="inlineStr"/>
      <c r="Q4143" s="5" t="inlineStr"/>
      <c r="R4143" s="5" t="inlineStr"/>
      <c r="S4143" s="5" t="inlineStr"/>
      <c r="T4143" s="5" t="inlineStr"/>
      <c r="U4143" s="5" t="inlineStr">
        <is>
          <t>https://www.tim.com.br/sp/para-voce/planos/controle</t>
        </is>
      </c>
      <c r="V4143" s="5" t="inlineStr">
        <is>
          <t>data/raw/tim_fit_SP.html</t>
        </is>
      </c>
    </row>
    <row r="4144">
      <c r="A4144" s="2" t="inlineStr">
        <is>
          <t>2026-09-03</t>
        </is>
      </c>
      <c r="B4144" s="2" t="inlineStr">
        <is>
          <t>2026-09-03T19:57:11</t>
        </is>
      </c>
      <c r="C4144" s="2" t="inlineStr">
        <is>
          <t>tim</t>
        </is>
      </c>
      <c r="D4144" s="2" t="inlineStr">
        <is>
          <t>postpaid</t>
        </is>
      </c>
      <c r="E4144" s="2" t="inlineStr">
        <is>
          <t>SP</t>
        </is>
      </c>
      <c r="F4144" s="2" t="inlineStr">
        <is>
          <t>TIM Black 70GB</t>
        </is>
      </c>
      <c r="G4144" s="2" t="inlineStr">
        <is>
          <t>tim:54206</t>
        </is>
      </c>
      <c r="H4144" s="3" t="n">
        <v>129.99</v>
      </c>
      <c r="I4144" s="3" t="inlineStr"/>
      <c r="J4144" s="2" t="inlineStr"/>
      <c r="K4144" s="2" t="inlineStr">
        <is>
          <t>bill</t>
        </is>
      </c>
      <c r="L4144" s="4" t="n">
        <v>70</v>
      </c>
      <c r="M4144" s="2" t="inlineStr"/>
      <c r="N4144" s="2" t="inlineStr"/>
      <c r="O4144" s="2" t="inlineStr"/>
      <c r="P4144" s="2" t="inlineStr"/>
      <c r="Q4144" s="2" t="inlineStr"/>
      <c r="R4144" s="2" t="inlineStr"/>
      <c r="S4144" s="2" t="inlineStr"/>
      <c r="T4144" s="2" t="inlineStr"/>
      <c r="U4144" s="2" t="inlineStr">
        <is>
          <t>https://www.tim.com.br/sp/para-voce/planos/pos-pago/tim-black</t>
        </is>
      </c>
      <c r="V4144" s="2" t="inlineStr">
        <is>
          <t>data/raw/tim_postpaid_SP.html</t>
        </is>
      </c>
    </row>
    <row r="4145">
      <c r="A4145" s="5" t="inlineStr">
        <is>
          <t>2026-09-03</t>
        </is>
      </c>
      <c r="B4145" s="5" t="inlineStr">
        <is>
          <t>2026-09-03T19:57:11</t>
        </is>
      </c>
      <c r="C4145" s="5" t="inlineStr">
        <is>
          <t>tim</t>
        </is>
      </c>
      <c r="D4145" s="5" t="inlineStr">
        <is>
          <t>postpaid</t>
        </is>
      </c>
      <c r="E4145" s="5" t="inlineStr">
        <is>
          <t>SP</t>
        </is>
      </c>
      <c r="F4145" s="5" t="inlineStr">
        <is>
          <t>TIM Black B Express 82GB</t>
        </is>
      </c>
      <c r="G4145" s="5" t="inlineStr">
        <is>
          <t>tim:52146</t>
        </is>
      </c>
      <c r="H4145" s="6" t="n">
        <v>144.99</v>
      </c>
      <c r="I4145" s="6" t="inlineStr"/>
      <c r="J4145" s="5" t="inlineStr"/>
      <c r="K4145" s="5" t="inlineStr">
        <is>
          <t>credit_card</t>
        </is>
      </c>
      <c r="L4145" s="7" t="n">
        <v>82</v>
      </c>
      <c r="M4145" s="5" t="inlineStr"/>
      <c r="N4145" s="5" t="inlineStr"/>
      <c r="O4145" s="5" t="inlineStr"/>
      <c r="P4145" s="5" t="inlineStr"/>
      <c r="Q4145" s="5" t="inlineStr"/>
      <c r="R4145" s="5" t="inlineStr"/>
      <c r="S4145" s="5" t="inlineStr"/>
      <c r="T4145" s="5" t="inlineStr"/>
      <c r="U4145" s="5" t="inlineStr">
        <is>
          <t>https://www.tim.com.br/sp/para-voce/planos/pos-pago/tim-black</t>
        </is>
      </c>
      <c r="V4145" s="5" t="inlineStr">
        <is>
          <t>data/raw/tim_postpaid_SP.html</t>
        </is>
      </c>
    </row>
    <row r="4146">
      <c r="A4146" s="2" t="inlineStr">
        <is>
          <t>2026-09-03</t>
        </is>
      </c>
      <c r="B4146" s="2" t="inlineStr">
        <is>
          <t>2026-09-03T19:57:11</t>
        </is>
      </c>
      <c r="C4146" s="2" t="inlineStr">
        <is>
          <t>tim</t>
        </is>
      </c>
      <c r="D4146" s="2" t="inlineStr">
        <is>
          <t>postpaid</t>
        </is>
      </c>
      <c r="E4146" s="2" t="inlineStr">
        <is>
          <t>SP</t>
        </is>
      </c>
      <c r="F4146" s="2" t="inlineStr">
        <is>
          <t>TIM Black C Express 107GB</t>
        </is>
      </c>
      <c r="G4146" s="2" t="inlineStr">
        <is>
          <t>tim:52151</t>
        </is>
      </c>
      <c r="H4146" s="3" t="n">
        <v>164.99</v>
      </c>
      <c r="I4146" s="3" t="inlineStr"/>
      <c r="J4146" s="2" t="inlineStr"/>
      <c r="K4146" s="2" t="inlineStr">
        <is>
          <t>credit_card</t>
        </is>
      </c>
      <c r="L4146" s="4" t="n">
        <v>107</v>
      </c>
      <c r="M4146" s="2" t="inlineStr"/>
      <c r="N4146" s="2" t="inlineStr"/>
      <c r="O4146" s="2" t="inlineStr"/>
      <c r="P4146" s="2" t="inlineStr"/>
      <c r="Q4146" s="2" t="inlineStr"/>
      <c r="R4146" s="2" t="inlineStr"/>
      <c r="S4146" s="2" t="inlineStr"/>
      <c r="T4146" s="2" t="inlineStr"/>
      <c r="U4146" s="2" t="inlineStr">
        <is>
          <t>https://www.tim.com.br/sp/para-voce/planos/pos-pago/tim-black</t>
        </is>
      </c>
      <c r="V4146" s="2" t="inlineStr">
        <is>
          <t>data/raw/tim_postpaid_SP.html</t>
        </is>
      </c>
    </row>
    <row r="4147">
      <c r="A4147" s="5" t="inlineStr">
        <is>
          <t>2026-09-03</t>
        </is>
      </c>
      <c r="B4147" s="5" t="inlineStr">
        <is>
          <t>2026-09-03T19:57:11</t>
        </is>
      </c>
      <c r="C4147" s="5" t="inlineStr">
        <is>
          <t>tim</t>
        </is>
      </c>
      <c r="D4147" s="5" t="inlineStr">
        <is>
          <t>postpaid</t>
        </is>
      </c>
      <c r="E4147" s="5" t="inlineStr">
        <is>
          <t>SP</t>
        </is>
      </c>
      <c r="F4147" s="5" t="inlineStr">
        <is>
          <t>TIM Black Plus 80GB</t>
        </is>
      </c>
      <c r="G4147" s="5" t="inlineStr">
        <is>
          <t>tim:54256</t>
        </is>
      </c>
      <c r="H4147" s="6" t="n">
        <v>149.99</v>
      </c>
      <c r="I4147" s="6" t="inlineStr"/>
      <c r="J4147" s="5" t="inlineStr"/>
      <c r="K4147" s="5" t="inlineStr">
        <is>
          <t>bill</t>
        </is>
      </c>
      <c r="L4147" s="7" t="n">
        <v>80</v>
      </c>
      <c r="M4147" s="5" t="inlineStr"/>
      <c r="N4147" s="5" t="inlineStr"/>
      <c r="O4147" s="5" t="inlineStr"/>
      <c r="P4147" s="5" t="inlineStr"/>
      <c r="Q4147" s="5" t="inlineStr"/>
      <c r="R4147" s="5" t="inlineStr"/>
      <c r="S4147" s="5" t="inlineStr"/>
      <c r="T4147" s="5" t="inlineStr"/>
      <c r="U4147" s="5" t="inlineStr">
        <is>
          <t>https://www.tim.com.br/sp/para-voce/planos/pos-pago/tim-black</t>
        </is>
      </c>
      <c r="V4147" s="5" t="inlineStr">
        <is>
          <t>data/raw/tim_postpaid_SP.html</t>
        </is>
      </c>
    </row>
    <row r="4148">
      <c r="A4148" s="2" t="inlineStr">
        <is>
          <t>2026-09-03</t>
        </is>
      </c>
      <c r="B4148" s="2" t="inlineStr">
        <is>
          <t>2026-09-03T19:57:11</t>
        </is>
      </c>
      <c r="C4148" s="2" t="inlineStr">
        <is>
          <t>tim</t>
        </is>
      </c>
      <c r="D4148" s="2" t="inlineStr">
        <is>
          <t>postpaid</t>
        </is>
      </c>
      <c r="E4148" s="2" t="inlineStr">
        <is>
          <t>SP</t>
        </is>
      </c>
      <c r="F4148" s="2" t="inlineStr">
        <is>
          <t>TIM Black Premium 110GB</t>
        </is>
      </c>
      <c r="G4148" s="2" t="inlineStr">
        <is>
          <t>tim:54261</t>
        </is>
      </c>
      <c r="H4148" s="3" t="n">
        <v>159.99</v>
      </c>
      <c r="I4148" s="3" t="inlineStr"/>
      <c r="J4148" s="2" t="inlineStr"/>
      <c r="K4148" s="2" t="inlineStr">
        <is>
          <t>bill</t>
        </is>
      </c>
      <c r="L4148" s="4" t="n">
        <v>110</v>
      </c>
      <c r="M4148" s="2" t="inlineStr"/>
      <c r="N4148" s="2" t="inlineStr"/>
      <c r="O4148" s="2" t="inlineStr"/>
      <c r="P4148" s="2" t="inlineStr"/>
      <c r="Q4148" s="2" t="inlineStr"/>
      <c r="R4148" s="2" t="inlineStr"/>
      <c r="S4148" s="2" t="inlineStr"/>
      <c r="T4148" s="2" t="inlineStr"/>
      <c r="U4148" s="2" t="inlineStr">
        <is>
          <t>https://www.tim.com.br/sp/para-voce/planos/pos-pago/tim-black</t>
        </is>
      </c>
      <c r="V4148" s="2" t="inlineStr">
        <is>
          <t>data/raw/tim_postpaid_SP.html</t>
        </is>
      </c>
    </row>
    <row r="4149">
      <c r="A4149" s="5" t="inlineStr">
        <is>
          <t>2026-09-03</t>
        </is>
      </c>
      <c r="B4149" s="5" t="inlineStr">
        <is>
          <t>2026-09-03T19:57:11</t>
        </is>
      </c>
      <c r="C4149" s="5" t="inlineStr">
        <is>
          <t>tim</t>
        </is>
      </c>
      <c r="D4149" s="5" t="inlineStr">
        <is>
          <t>prepaid</t>
        </is>
      </c>
      <c r="E4149" s="5" t="inlineStr">
        <is>
          <t>SP</t>
        </is>
      </c>
      <c r="F4149" s="5" t="inlineStr">
        <is>
          <t>TIM Pré XIP Plus 16GB</t>
        </is>
      </c>
      <c r="G4149" s="5" t="inlineStr">
        <is>
          <t>tim:106306</t>
        </is>
      </c>
      <c r="H4149" s="6" t="n">
        <v>30</v>
      </c>
      <c r="I4149" s="6" t="inlineStr"/>
      <c r="J4149" s="5" t="inlineStr"/>
      <c r="K4149" s="5" t="inlineStr"/>
      <c r="L4149" s="7" t="n">
        <v>16</v>
      </c>
      <c r="M4149" s="5" t="inlineStr"/>
      <c r="N4149" s="5" t="n">
        <v>30</v>
      </c>
      <c r="O4149" s="5" t="inlineStr"/>
      <c r="P4149" s="5" t="inlineStr"/>
      <c r="Q4149" s="5" t="inlineStr"/>
      <c r="R4149" s="5" t="inlineStr"/>
      <c r="S4149" s="5" t="inlineStr"/>
      <c r="T4149" s="5" t="inlineStr"/>
      <c r="U4149" s="5" t="inlineStr">
        <is>
          <t>https://www.tim.com.br/sp/para-voce/planos/pre-pago</t>
        </is>
      </c>
      <c r="V4149" s="5" t="inlineStr">
        <is>
          <t>data/raw/tim_prepaid_SP.html</t>
        </is>
      </c>
    </row>
    <row r="4150">
      <c r="A4150" s="2" t="inlineStr">
        <is>
          <t>2026-09-03</t>
        </is>
      </c>
      <c r="B4150" s="2" t="inlineStr">
        <is>
          <t>2026-09-03T19:57:11</t>
        </is>
      </c>
      <c r="C4150" s="2" t="inlineStr">
        <is>
          <t>tim</t>
        </is>
      </c>
      <c r="D4150" s="2" t="inlineStr">
        <is>
          <t>prepaid</t>
        </is>
      </c>
      <c r="E4150" s="2" t="inlineStr">
        <is>
          <t>SP</t>
        </is>
      </c>
      <c r="F4150" s="2" t="inlineStr">
        <is>
          <t>TIM Pré XIP Plus 6GB</t>
        </is>
      </c>
      <c r="G4150" s="2" t="inlineStr">
        <is>
          <t>tim:59906</t>
        </is>
      </c>
      <c r="H4150" s="3" t="n">
        <v>20</v>
      </c>
      <c r="I4150" s="3" t="inlineStr"/>
      <c r="J4150" s="2" t="inlineStr"/>
      <c r="K4150" s="2" t="inlineStr"/>
      <c r="L4150" s="4" t="n">
        <v>6</v>
      </c>
      <c r="M4150" s="2" t="inlineStr"/>
      <c r="N4150" s="2" t="n">
        <v>17</v>
      </c>
      <c r="O4150" s="2" t="inlineStr"/>
      <c r="P4150" s="2" t="inlineStr"/>
      <c r="Q4150" s="2" t="inlineStr"/>
      <c r="R4150" s="2" t="inlineStr"/>
      <c r="S4150" s="2" t="inlineStr"/>
      <c r="T4150" s="2" t="inlineStr"/>
      <c r="U4150" s="2" t="inlineStr">
        <is>
          <t>https://www.tim.com.br/sp/para-voce/planos/pre-pago</t>
        </is>
      </c>
      <c r="V4150" s="2" t="inlineStr">
        <is>
          <t>data/raw/tim_prepaid_SP.html</t>
        </is>
      </c>
    </row>
    <row r="4151">
      <c r="A4151" s="5" t="inlineStr">
        <is>
          <t>2026-09-03</t>
        </is>
      </c>
      <c r="B4151" s="5" t="inlineStr">
        <is>
          <t>2026-09-03T19:57:11</t>
        </is>
      </c>
      <c r="C4151" s="5" t="inlineStr">
        <is>
          <t>tim</t>
        </is>
      </c>
      <c r="D4151" s="5" t="inlineStr">
        <is>
          <t>prepaid</t>
        </is>
      </c>
      <c r="E4151" s="5" t="inlineStr">
        <is>
          <t>SP</t>
        </is>
      </c>
      <c r="F4151" s="5" t="inlineStr">
        <is>
          <t>TIM Pré XIP Plus 8GB</t>
        </is>
      </c>
      <c r="G4151" s="5" t="inlineStr">
        <is>
          <t>tim:59901</t>
        </is>
      </c>
      <c r="H4151" s="6" t="n">
        <v>25</v>
      </c>
      <c r="I4151" s="6" t="inlineStr"/>
      <c r="J4151" s="5" t="inlineStr"/>
      <c r="K4151" s="5" t="inlineStr"/>
      <c r="L4151" s="7" t="n">
        <v>8</v>
      </c>
      <c r="M4151" s="5" t="inlineStr"/>
      <c r="N4151" s="5" t="n">
        <v>22</v>
      </c>
      <c r="O4151" s="5" t="inlineStr"/>
      <c r="P4151" s="5" t="inlineStr"/>
      <c r="Q4151" s="5" t="inlineStr"/>
      <c r="R4151" s="5" t="inlineStr"/>
      <c r="S4151" s="5" t="inlineStr"/>
      <c r="T4151" s="5" t="inlineStr"/>
      <c r="U4151" s="5" t="inlineStr">
        <is>
          <t>https://www.tim.com.br/sp/para-voce/planos/pre-pago</t>
        </is>
      </c>
      <c r="V4151" s="5" t="inlineStr">
        <is>
          <t>data/raw/tim_prepaid_SP.html</t>
        </is>
      </c>
    </row>
    <row r="4152">
      <c r="A4152" s="2" t="inlineStr">
        <is>
          <t>2026-09-03</t>
        </is>
      </c>
      <c r="B4152" s="2" t="inlineStr">
        <is>
          <t>2026-09-03T19:57:11</t>
        </is>
      </c>
      <c r="C4152" s="2" t="inlineStr">
        <is>
          <t>vivo</t>
        </is>
      </c>
      <c r="D4152" s="2" t="inlineStr">
        <is>
          <t>control</t>
        </is>
      </c>
      <c r="E4152" s="2" t="inlineStr">
        <is>
          <t>SP</t>
        </is>
      </c>
      <c r="F4152" s="2" t="inlineStr">
        <is>
          <t>Vivo Controle</t>
        </is>
      </c>
      <c r="G4152" s="2" t="inlineStr">
        <is>
          <t>vivo:VIV202600034591</t>
        </is>
      </c>
      <c r="H4152" s="3" t="n">
        <v>59</v>
      </c>
      <c r="I4152" s="3" t="inlineStr"/>
      <c r="J4152" s="2" t="inlineStr"/>
      <c r="K4152" s="2" t="inlineStr"/>
      <c r="L4152" s="4" t="n">
        <v>45</v>
      </c>
      <c r="M4152" s="2" t="inlineStr">
        <is>
          <t>15 GB de franquia 30 GB de bônus</t>
        </is>
      </c>
      <c r="N4152" s="2" t="inlineStr"/>
      <c r="O4152" s="2" t="inlineStr"/>
      <c r="P4152" s="2" t="inlineStr"/>
      <c r="Q4152" s="2" t="inlineStr"/>
      <c r="R4152" s="2" t="inlineStr"/>
      <c r="S4152" s="2" t="inlineStr"/>
      <c r="T4152" s="2" t="inlineStr">
        <is>
          <t>6 meses grátis de Gemini com AI Plus</t>
        </is>
      </c>
      <c r="U4152" s="2" t="inlineStr">
        <is>
          <t>https://vivo.com.br/para-voce/produtos-e-servicos/para-o-celular/planos-controle</t>
        </is>
      </c>
      <c r="V4152" s="2" t="inlineStr">
        <is>
          <t>data/raw/vivo_control_SP.html</t>
        </is>
      </c>
    </row>
    <row r="4153">
      <c r="A4153" s="5" t="inlineStr">
        <is>
          <t>2026-09-03</t>
        </is>
      </c>
      <c r="B4153" s="5" t="inlineStr">
        <is>
          <t>2026-09-03T19:57:11</t>
        </is>
      </c>
      <c r="C4153" s="5" t="inlineStr">
        <is>
          <t>vivo</t>
        </is>
      </c>
      <c r="D4153" s="5" t="inlineStr">
        <is>
          <t>control</t>
        </is>
      </c>
      <c r="E4153" s="5" t="inlineStr">
        <is>
          <t>SP</t>
        </is>
      </c>
      <c r="F4153" s="5" t="inlineStr">
        <is>
          <t>Vivo Controle</t>
        </is>
      </c>
      <c r="G4153" s="5" t="inlineStr">
        <is>
          <t>vivo:VIV202600034599</t>
        </is>
      </c>
      <c r="H4153" s="6" t="n">
        <v>75</v>
      </c>
      <c r="I4153" s="6" t="inlineStr"/>
      <c r="J4153" s="5" t="inlineStr">
        <is>
          <t>preço-base do plano; a tela exibia R$ 80 com o adicional pré-selecionado (+R$ 5/mês, opcional); 60 GB na tela incluem +10 GB do adicional</t>
        </is>
      </c>
      <c r="K4153" s="5" t="inlineStr"/>
      <c r="L4153" s="7" t="n">
        <v>50</v>
      </c>
      <c r="M4153" s="5" t="inlineStr">
        <is>
          <t>20 GB de franquia 30 GB de bônus</t>
        </is>
      </c>
      <c r="N4153" s="5" t="inlineStr"/>
      <c r="O4153" s="5" t="inlineStr"/>
      <c r="P4153" s="5" t="inlineStr"/>
      <c r="Q4153" s="5" t="inlineStr"/>
      <c r="R4153" s="5" t="inlineStr"/>
      <c r="S4153" s="5" t="inlineStr"/>
      <c r="T4153" s="5" t="inlineStr">
        <is>
          <t>6 meses grátis de Gemini com AI Plus</t>
        </is>
      </c>
      <c r="U4153" s="5" t="inlineStr">
        <is>
          <t>https://vivo.com.br/para-voce/produtos-e-servicos/para-o-celular/planos-controle</t>
        </is>
      </c>
      <c r="V4153" s="5" t="inlineStr">
        <is>
          <t>data/raw/vivo_control_SP.html</t>
        </is>
      </c>
    </row>
    <row r="4154">
      <c r="A4154" s="2" t="inlineStr">
        <is>
          <t>2026-09-03</t>
        </is>
      </c>
      <c r="B4154" s="2" t="inlineStr">
        <is>
          <t>2026-09-03T19:57:11</t>
        </is>
      </c>
      <c r="C4154" s="2" t="inlineStr">
        <is>
          <t>vivo</t>
        </is>
      </c>
      <c r="D4154" s="2" t="inlineStr">
        <is>
          <t>control</t>
        </is>
      </c>
      <c r="E4154" s="2" t="inlineStr">
        <is>
          <t>SP</t>
        </is>
      </c>
      <c r="F4154" s="2" t="inlineStr">
        <is>
          <t>Vivo Controle Amazon</t>
        </is>
      </c>
      <c r="G4154" s="2" t="inlineStr">
        <is>
          <t>vivo:VIV202600038804</t>
        </is>
      </c>
      <c r="H4154" s="3" t="n">
        <v>70</v>
      </c>
      <c r="I4154" s="3" t="inlineStr"/>
      <c r="J4154" s="2" t="inlineStr">
        <is>
          <t>preço-base do plano; a tela exibia R$ 75 com o adicional pré-selecionado (+R$ 5/mês, opcional); 58 GB na tela incluem +10 GB do adicional</t>
        </is>
      </c>
      <c r="K4154" s="2" t="inlineStr"/>
      <c r="L4154" s="4" t="n">
        <v>48</v>
      </c>
      <c r="M4154" s="2" t="inlineStr">
        <is>
          <t>18 GB de franquia 30 GB de bônus</t>
        </is>
      </c>
      <c r="N4154" s="2" t="inlineStr"/>
      <c r="O4154" s="2" t="inlineStr"/>
      <c r="P4154" s="2" t="inlineStr"/>
      <c r="Q4154" s="2" t="inlineStr"/>
      <c r="R4154" s="2" t="inlineStr"/>
      <c r="S4154" s="2" t="inlineStr"/>
      <c r="T4154" s="2" t="inlineStr">
        <is>
          <t>Assinatura Amazon Prime inclusa</t>
        </is>
      </c>
      <c r="U4154" s="2" t="inlineStr">
        <is>
          <t>https://vivo.com.br/para-voce/produtos-e-servicos/para-o-celular/planos-controle</t>
        </is>
      </c>
      <c r="V4154" s="2" t="inlineStr">
        <is>
          <t>data/raw/vivo_control_SP.html</t>
        </is>
      </c>
    </row>
    <row r="4155">
      <c r="A4155" s="5" t="inlineStr">
        <is>
          <t>2026-09-03</t>
        </is>
      </c>
      <c r="B4155" s="5" t="inlineStr">
        <is>
          <t>2026-09-03T19:57:11</t>
        </is>
      </c>
      <c r="C4155" s="5" t="inlineStr">
        <is>
          <t>vivo</t>
        </is>
      </c>
      <c r="D4155" s="5" t="inlineStr">
        <is>
          <t>control</t>
        </is>
      </c>
      <c r="E4155" s="5" t="inlineStr">
        <is>
          <t>SP</t>
        </is>
      </c>
      <c r="F4155" s="5" t="inlineStr">
        <is>
          <t>Vivo Controle Educação</t>
        </is>
      </c>
      <c r="G4155" s="5" t="inlineStr">
        <is>
          <t>vivo:VIV202600034616</t>
        </is>
      </c>
      <c r="H4155" s="6" t="n">
        <v>85</v>
      </c>
      <c r="I4155" s="6" t="inlineStr"/>
      <c r="J4155" s="5" t="inlineStr">
        <is>
          <t>preço-base do plano; a tela exibia R$ 90 com o adicional pré-selecionado (+R$ 5/mês, opcional); 60 GB na tela incluem +10 GB do adicional</t>
        </is>
      </c>
      <c r="K4155" s="5" t="inlineStr"/>
      <c r="L4155" s="7" t="n">
        <v>50</v>
      </c>
      <c r="M4155" s="5" t="inlineStr">
        <is>
          <t>20 GB de franquia 30 GB de bônus</t>
        </is>
      </c>
      <c r="N4155" s="5" t="inlineStr"/>
      <c r="O4155" s="5" t="inlineStr"/>
      <c r="P4155" s="5" t="inlineStr"/>
      <c r="Q4155" s="5" t="inlineStr"/>
      <c r="R4155" s="5" t="inlineStr"/>
      <c r="S4155" s="5" t="inlineStr"/>
      <c r="T4155" s="5" t="inlineStr">
        <is>
          <t>Assinatura Vivae inclusa</t>
        </is>
      </c>
      <c r="U4155" s="5" t="inlineStr">
        <is>
          <t>https://vivo.com.br/para-voce/produtos-e-servicos/para-o-celular/planos-controle</t>
        </is>
      </c>
      <c r="V4155" s="5" t="inlineStr">
        <is>
          <t>data/raw/vivo_control_SP.html</t>
        </is>
      </c>
    </row>
    <row r="4156">
      <c r="A4156" s="2" t="inlineStr">
        <is>
          <t>2026-09-03</t>
        </is>
      </c>
      <c r="B4156" s="2" t="inlineStr">
        <is>
          <t>2026-09-03T19:57:11</t>
        </is>
      </c>
      <c r="C4156" s="2" t="inlineStr">
        <is>
          <t>vivo</t>
        </is>
      </c>
      <c r="D4156" s="2" t="inlineStr">
        <is>
          <t>control</t>
        </is>
      </c>
      <c r="E4156" s="2" t="inlineStr">
        <is>
          <t>SP</t>
        </is>
      </c>
      <c r="F4156" s="2" t="inlineStr">
        <is>
          <t>Vivo Controle Entretenimento</t>
        </is>
      </c>
      <c r="G4156" s="2" t="inlineStr">
        <is>
          <t>vivo:VIV202600034619</t>
        </is>
      </c>
      <c r="H4156" s="3" t="n">
        <v>105</v>
      </c>
      <c r="I4156" s="3" t="inlineStr"/>
      <c r="J4156" s="2" t="inlineStr">
        <is>
          <t>preço-base do plano; a tela exibia R$ 110 com o adicional pré-selecionado (+R$ 5/mês, opcional); 60 GB na tela incluem +10 GB do adicional</t>
        </is>
      </c>
      <c r="K4156" s="2" t="inlineStr"/>
      <c r="L4156" s="4" t="n">
        <v>50</v>
      </c>
      <c r="M4156" s="2" t="inlineStr">
        <is>
          <t>20 GB de franquia 30 GB de bônus</t>
        </is>
      </c>
      <c r="N4156" s="2" t="inlineStr"/>
      <c r="O4156" s="2" t="inlineStr"/>
      <c r="P4156" s="2" t="inlineStr"/>
      <c r="Q4156" s="2" t="inlineStr"/>
      <c r="R4156" s="2" t="inlineStr"/>
      <c r="S4156" s="2" t="inlineStr"/>
      <c r="T4156" s="2" t="inlineStr">
        <is>
          <t>Assinatura Vivo TV Inicial inclusa</t>
        </is>
      </c>
      <c r="U4156" s="2" t="inlineStr">
        <is>
          <t>https://vivo.com.br/para-voce/produtos-e-servicos/para-o-celular/planos-controle</t>
        </is>
      </c>
      <c r="V4156" s="2" t="inlineStr">
        <is>
          <t>data/raw/vivo_control_SP.html</t>
        </is>
      </c>
    </row>
    <row r="4157">
      <c r="A4157" s="5" t="inlineStr">
        <is>
          <t>2026-09-03</t>
        </is>
      </c>
      <c r="B4157" s="5" t="inlineStr">
        <is>
          <t>2026-09-03T19:57:11</t>
        </is>
      </c>
      <c r="C4157" s="5" t="inlineStr">
        <is>
          <t>vivo</t>
        </is>
      </c>
      <c r="D4157" s="5" t="inlineStr">
        <is>
          <t>control</t>
        </is>
      </c>
      <c r="E4157" s="5" t="inlineStr">
        <is>
          <t>SP</t>
        </is>
      </c>
      <c r="F4157" s="5" t="inlineStr">
        <is>
          <t>Vivo Controle Música</t>
        </is>
      </c>
      <c r="G4157" s="5" t="inlineStr">
        <is>
          <t>vivo:VIV202600034620</t>
        </is>
      </c>
      <c r="H4157" s="6" t="n">
        <v>85</v>
      </c>
      <c r="I4157" s="6" t="inlineStr"/>
      <c r="J4157" s="5" t="inlineStr">
        <is>
          <t>preço-base do plano; a tela exibia R$ 90 com o adicional pré-selecionado (+R$ 5/mês, opcional); 60 GB na tela incluem +10 GB do adicional</t>
        </is>
      </c>
      <c r="K4157" s="5" t="inlineStr"/>
      <c r="L4157" s="7" t="n">
        <v>50</v>
      </c>
      <c r="M4157" s="5" t="inlineStr">
        <is>
          <t>20 GB de franquia 30 GB de bônus</t>
        </is>
      </c>
      <c r="N4157" s="5" t="inlineStr"/>
      <c r="O4157" s="5" t="inlineStr"/>
      <c r="P4157" s="5" t="inlineStr"/>
      <c r="Q4157" s="5" t="inlineStr"/>
      <c r="R4157" s="5" t="inlineStr"/>
      <c r="S4157" s="5" t="inlineStr"/>
      <c r="T4157" s="5" t="inlineStr">
        <is>
          <t>Apple Music Individual</t>
        </is>
      </c>
      <c r="U4157" s="5" t="inlineStr">
        <is>
          <t>https://vivo.com.br/para-voce/produtos-e-servicos/para-o-celular/planos-controle</t>
        </is>
      </c>
      <c r="V4157" s="5" t="inlineStr">
        <is>
          <t>data/raw/vivo_control_SP.html</t>
        </is>
      </c>
    </row>
    <row r="4158">
      <c r="A4158" s="2" t="inlineStr">
        <is>
          <t>2026-09-03</t>
        </is>
      </c>
      <c r="B4158" s="2" t="inlineStr">
        <is>
          <t>2026-09-03T19:57:11</t>
        </is>
      </c>
      <c r="C4158" s="2" t="inlineStr">
        <is>
          <t>vivo</t>
        </is>
      </c>
      <c r="D4158" s="2" t="inlineStr">
        <is>
          <t>control</t>
        </is>
      </c>
      <c r="E4158" s="2" t="inlineStr">
        <is>
          <t>SP</t>
        </is>
      </c>
      <c r="F4158" s="2" t="inlineStr">
        <is>
          <t>Vivo Controle Netflix</t>
        </is>
      </c>
      <c r="G4158" s="2" t="inlineStr">
        <is>
          <t>vivo:VIV202600034623</t>
        </is>
      </c>
      <c r="H4158" s="3" t="n">
        <v>90</v>
      </c>
      <c r="I4158" s="3" t="inlineStr"/>
      <c r="J4158" s="2" t="inlineStr">
        <is>
          <t>preço-base do plano; a tela exibia R$ 95 com o adicional pré-selecionado (+R$ 5/mês, opcional); 60 GB na tela incluem +10 GB do adicional</t>
        </is>
      </c>
      <c r="K4158" s="2" t="inlineStr"/>
      <c r="L4158" s="4" t="n">
        <v>50</v>
      </c>
      <c r="M4158" s="2" t="inlineStr">
        <is>
          <t>20 GB de franquia 30 GB de bônus</t>
        </is>
      </c>
      <c r="N4158" s="2" t="inlineStr"/>
      <c r="O4158" s="2" t="inlineStr"/>
      <c r="P4158" s="2" t="inlineStr"/>
      <c r="Q4158" s="2" t="inlineStr"/>
      <c r="R4158" s="2" t="inlineStr"/>
      <c r="S4158" s="2" t="inlineStr"/>
      <c r="T4158" s="2" t="inlineStr">
        <is>
          <t>Assinatura Netflix Padrão com anúncios</t>
        </is>
      </c>
      <c r="U4158" s="2" t="inlineStr">
        <is>
          <t>https://vivo.com.br/para-voce/produtos-e-servicos/para-o-celular/planos-controle</t>
        </is>
      </c>
      <c r="V4158" s="2" t="inlineStr">
        <is>
          <t>data/raw/vivo_control_SP.html</t>
        </is>
      </c>
    </row>
    <row r="4159">
      <c r="A4159" s="5" t="inlineStr">
        <is>
          <t>2026-09-03</t>
        </is>
      </c>
      <c r="B4159" s="5" t="inlineStr">
        <is>
          <t>2026-09-03T19:57:11</t>
        </is>
      </c>
      <c r="C4159" s="5" t="inlineStr">
        <is>
          <t>vivo</t>
        </is>
      </c>
      <c r="D4159" s="5" t="inlineStr">
        <is>
          <t>control</t>
        </is>
      </c>
      <c r="E4159" s="5" t="inlineStr">
        <is>
          <t>SP</t>
        </is>
      </c>
      <c r="F4159" s="5" t="inlineStr">
        <is>
          <t>Vivo Controle Saúde</t>
        </is>
      </c>
      <c r="G4159" s="5" t="inlineStr">
        <is>
          <t>vivo:VIV202600034625</t>
        </is>
      </c>
      <c r="H4159" s="6" t="n">
        <v>85</v>
      </c>
      <c r="I4159" s="6" t="inlineStr"/>
      <c r="J4159" s="5" t="inlineStr">
        <is>
          <t>preço-base do plano; a tela exibia R$ 90 com o adicional pré-selecionado (+R$ 5/mês, opcional); 60 GB na tela incluem +10 GB do adicional</t>
        </is>
      </c>
      <c r="K4159" s="5" t="inlineStr"/>
      <c r="L4159" s="7" t="n">
        <v>50</v>
      </c>
      <c r="M4159" s="5" t="inlineStr">
        <is>
          <t>20 GB de franquia 30 GB de bônus</t>
        </is>
      </c>
      <c r="N4159" s="5" t="inlineStr"/>
      <c r="O4159" s="5" t="inlineStr"/>
      <c r="P4159" s="5" t="inlineStr"/>
      <c r="Q4159" s="5" t="inlineStr"/>
      <c r="R4159" s="5" t="inlineStr"/>
      <c r="S4159" s="5" t="inlineStr"/>
      <c r="T4159" s="5" t="inlineStr">
        <is>
          <t>Assinatura Vale Saúde Sempre inclusa</t>
        </is>
      </c>
      <c r="U4159" s="5" t="inlineStr">
        <is>
          <t>https://vivo.com.br/para-voce/produtos-e-servicos/para-o-celular/planos-controle</t>
        </is>
      </c>
      <c r="V4159" s="5" t="inlineStr">
        <is>
          <t>data/raw/vivo_control_SP.html</t>
        </is>
      </c>
    </row>
    <row r="4160">
      <c r="A4160" s="2" t="inlineStr">
        <is>
          <t>2026-09-03</t>
        </is>
      </c>
      <c r="B4160" s="2" t="inlineStr">
        <is>
          <t>2026-09-03T19:57:11</t>
        </is>
      </c>
      <c r="C4160" s="2" t="inlineStr">
        <is>
          <t>vivo</t>
        </is>
      </c>
      <c r="D4160" s="2" t="inlineStr">
        <is>
          <t>control</t>
        </is>
      </c>
      <c r="E4160" s="2" t="inlineStr">
        <is>
          <t>SP</t>
        </is>
      </c>
      <c r="F4160" s="2" t="inlineStr">
        <is>
          <t>Vivo Controle Youtube Lite</t>
        </is>
      </c>
      <c r="G4160" s="2" t="inlineStr">
        <is>
          <t>vivo:VIV202600034626</t>
        </is>
      </c>
      <c r="H4160" s="3" t="n">
        <v>85</v>
      </c>
      <c r="I4160" s="3" t="inlineStr"/>
      <c r="J4160" s="2" t="inlineStr">
        <is>
          <t>preço-base do plano; a tela exibia R$ 90 com o adicional pré-selecionado (+R$ 5/mês, opcional); 60 GB na tela incluem +10 GB do adicional</t>
        </is>
      </c>
      <c r="K4160" s="2" t="inlineStr"/>
      <c r="L4160" s="4" t="n">
        <v>50</v>
      </c>
      <c r="M4160" s="2" t="inlineStr">
        <is>
          <t>20 GB de franquia 30 GB de bônus</t>
        </is>
      </c>
      <c r="N4160" s="2" t="inlineStr"/>
      <c r="O4160" s="2" t="inlineStr"/>
      <c r="P4160" s="2" t="inlineStr"/>
      <c r="Q4160" s="2" t="inlineStr"/>
      <c r="R4160" s="2" t="inlineStr"/>
      <c r="S4160" s="2" t="inlineStr"/>
      <c r="T4160" s="2" t="inlineStr">
        <is>
          <t>Assinatura Youtube Premium Lite Inclusa</t>
        </is>
      </c>
      <c r="U4160" s="2" t="inlineStr">
        <is>
          <t>https://vivo.com.br/para-voce/produtos-e-servicos/para-o-celular/planos-controle</t>
        </is>
      </c>
      <c r="V4160" s="2" t="inlineStr">
        <is>
          <t>data/raw/vivo_control_SP.html</t>
        </is>
      </c>
    </row>
    <row r="4161">
      <c r="A4161" s="5" t="inlineStr">
        <is>
          <t>2026-09-03</t>
        </is>
      </c>
      <c r="B4161" s="5" t="inlineStr">
        <is>
          <t>2026-09-03T19:57:11</t>
        </is>
      </c>
      <c r="C4161" s="5" t="inlineStr">
        <is>
          <t>vivo</t>
        </is>
      </c>
      <c r="D4161" s="5" t="inlineStr">
        <is>
          <t>lite</t>
        </is>
      </c>
      <c r="E4161" s="5" t="inlineStr">
        <is>
          <t>SP</t>
        </is>
      </c>
      <c r="F4161" s="5" t="inlineStr">
        <is>
          <t>Vivo Lite</t>
        </is>
      </c>
      <c r="G4161" s="5" t="inlineStr">
        <is>
          <t>vivo:VIV202600038808</t>
        </is>
      </c>
      <c r="H4161" s="6" t="n">
        <v>45</v>
      </c>
      <c r="I4161" s="6" t="n">
        <v>30</v>
      </c>
      <c r="J4161" s="5" t="inlineStr">
        <is>
          <t>preço sem fidelidade; fidelidade 12m no promo</t>
        </is>
      </c>
      <c r="K4161" s="5" t="inlineStr"/>
      <c r="L4161" s="7" t="n">
        <v>30</v>
      </c>
      <c r="M4161" s="5" t="inlineStr">
        <is>
          <t>30 GB de franquia</t>
        </is>
      </c>
      <c r="N4161" s="5" t="inlineStr"/>
      <c r="O4161" s="5" t="inlineStr"/>
      <c r="P4161" s="5" t="inlineStr"/>
      <c r="Q4161" s="5" t="inlineStr"/>
      <c r="R4161" s="5" t="inlineStr"/>
      <c r="S4161" s="5" t="n">
        <v>12</v>
      </c>
      <c r="T4161" s="5" t="inlineStr"/>
      <c r="U4161" s="5" t="inlineStr">
        <is>
          <t>https://vivo.com.br/para-voce/produtos-e-servicos/para-o-celular/easy-lite</t>
        </is>
      </c>
      <c r="V4161" s="5" t="inlineStr">
        <is>
          <t>data/raw/vivo_lite_SP.html</t>
        </is>
      </c>
    </row>
    <row r="4162">
      <c r="A4162" s="2" t="inlineStr">
        <is>
          <t>2026-09-03</t>
        </is>
      </c>
      <c r="B4162" s="2" t="inlineStr">
        <is>
          <t>2026-09-03T19:57:11</t>
        </is>
      </c>
      <c r="C4162" s="2" t="inlineStr">
        <is>
          <t>vivo</t>
        </is>
      </c>
      <c r="D4162" s="2" t="inlineStr">
        <is>
          <t>lite</t>
        </is>
      </c>
      <c r="E4162" s="2" t="inlineStr">
        <is>
          <t>SP</t>
        </is>
      </c>
      <c r="F4162" s="2" t="inlineStr">
        <is>
          <t>Vivo Lite</t>
        </is>
      </c>
      <c r="G4162" s="2" t="inlineStr">
        <is>
          <t>vivo:VIV202600038810</t>
        </is>
      </c>
      <c r="H4162" s="3" t="n">
        <v>55</v>
      </c>
      <c r="I4162" s="3" t="n">
        <v>40</v>
      </c>
      <c r="J4162" s="2" t="inlineStr">
        <is>
          <t>preço sem fidelidade; fidelidade 12m no promo</t>
        </is>
      </c>
      <c r="K4162" s="2" t="inlineStr"/>
      <c r="L4162" s="4" t="n">
        <v>40</v>
      </c>
      <c r="M4162" s="2" t="inlineStr">
        <is>
          <t>40 GB de franquia</t>
        </is>
      </c>
      <c r="N4162" s="2" t="inlineStr"/>
      <c r="O4162" s="2" t="inlineStr"/>
      <c r="P4162" s="2" t="inlineStr"/>
      <c r="Q4162" s="2" t="inlineStr"/>
      <c r="R4162" s="2" t="inlineStr"/>
      <c r="S4162" s="2" t="n">
        <v>12</v>
      </c>
      <c r="T4162" s="2" t="inlineStr"/>
      <c r="U4162" s="2" t="inlineStr">
        <is>
          <t>https://vivo.com.br/para-voce/produtos-e-servicos/para-o-celular/easy-lite</t>
        </is>
      </c>
      <c r="V4162" s="2" t="inlineStr">
        <is>
          <t>data/raw/vivo_lite_SP.html</t>
        </is>
      </c>
    </row>
    <row r="4163">
      <c r="A4163" s="5" t="inlineStr">
        <is>
          <t>2026-09-03</t>
        </is>
      </c>
      <c r="B4163" s="5" t="inlineStr">
        <is>
          <t>2026-09-03T19:57:11</t>
        </is>
      </c>
      <c r="C4163" s="5" t="inlineStr">
        <is>
          <t>vivo</t>
        </is>
      </c>
      <c r="D4163" s="5" t="inlineStr">
        <is>
          <t>lite</t>
        </is>
      </c>
      <c r="E4163" s="5" t="inlineStr">
        <is>
          <t>SP</t>
        </is>
      </c>
      <c r="F4163" s="5" t="inlineStr">
        <is>
          <t>Vivo Lite</t>
        </is>
      </c>
      <c r="G4163" s="5" t="inlineStr">
        <is>
          <t>vivo:VIV202600038814</t>
        </is>
      </c>
      <c r="H4163" s="6" t="n">
        <v>35</v>
      </c>
      <c r="I4163" s="6" t="inlineStr"/>
      <c r="J4163" s="5" t="inlineStr"/>
      <c r="K4163" s="5" t="inlineStr"/>
      <c r="L4163" s="7" t="n">
        <v>20</v>
      </c>
      <c r="M4163" s="5" t="inlineStr">
        <is>
          <t>20 GB de franquia</t>
        </is>
      </c>
      <c r="N4163" s="5" t="inlineStr"/>
      <c r="O4163" s="5" t="inlineStr"/>
      <c r="P4163" s="5" t="inlineStr"/>
      <c r="Q4163" s="5" t="inlineStr"/>
      <c r="R4163" s="5" t="inlineStr"/>
      <c r="S4163" s="5" t="inlineStr"/>
      <c r="T4163" s="5" t="inlineStr"/>
      <c r="U4163" s="5" t="inlineStr">
        <is>
          <t>https://vivo.com.br/para-voce/produtos-e-servicos/para-o-celular/easy-lite</t>
        </is>
      </c>
      <c r="V4163" s="5" t="inlineStr">
        <is>
          <t>data/raw/vivo_lite_SP.html</t>
        </is>
      </c>
    </row>
    <row r="4164">
      <c r="A4164" s="2" t="inlineStr">
        <is>
          <t>2026-09-03</t>
        </is>
      </c>
      <c r="B4164" s="2" t="inlineStr">
        <is>
          <t>2026-09-03T19:57:11</t>
        </is>
      </c>
      <c r="C4164" s="2" t="inlineStr">
        <is>
          <t>vivo</t>
        </is>
      </c>
      <c r="D4164" s="2" t="inlineStr">
        <is>
          <t>postpaid</t>
        </is>
      </c>
      <c r="E4164" s="2" t="inlineStr">
        <is>
          <t>SP</t>
        </is>
      </c>
      <c r="F4164" s="2" t="inlineStr">
        <is>
          <t>Vivo Família 2</t>
        </is>
      </c>
      <c r="G4164" s="2" t="inlineStr">
        <is>
          <t>vivo:VIV202600034547</t>
        </is>
      </c>
      <c r="H4164" s="3" t="n">
        <v>270</v>
      </c>
      <c r="I4164" s="3" t="inlineStr"/>
      <c r="J4164" s="2" t="inlineStr"/>
      <c r="K4164" s="2" t="inlineStr"/>
      <c r="L4164" s="4" t="n">
        <v>120</v>
      </c>
      <c r="M4164" s="2" t="inlineStr">
        <is>
          <t>120 GB de franquia Você + 1 linha adicional Roaming Internacional com Vivo Travel Américas e Europa</t>
        </is>
      </c>
      <c r="N4164" s="2" t="inlineStr"/>
      <c r="O4164" s="2" t="inlineStr"/>
      <c r="P4164" s="2" t="inlineStr"/>
      <c r="Q4164" s="2" t="inlineStr"/>
      <c r="R4164" s="2" t="inlineStr"/>
      <c r="S4164" s="2" t="inlineStr"/>
      <c r="T4164" s="2" t="inlineStr">
        <is>
          <t>12 meses grátis de Gemini com AI Plus</t>
        </is>
      </c>
      <c r="U4164" s="2" t="inlineStr">
        <is>
          <t>https://vivo.com.br/para-voce/produtos-e-servicos/para-o-celular/planos-pos-pago</t>
        </is>
      </c>
      <c r="V4164" s="2" t="inlineStr">
        <is>
          <t>data/raw/vivo_postpaid_SP.html</t>
        </is>
      </c>
    </row>
    <row r="4165">
      <c r="A4165" s="5" t="inlineStr">
        <is>
          <t>2026-09-03</t>
        </is>
      </c>
      <c r="B4165" s="5" t="inlineStr">
        <is>
          <t>2026-09-03T19:57:11</t>
        </is>
      </c>
      <c r="C4165" s="5" t="inlineStr">
        <is>
          <t>vivo</t>
        </is>
      </c>
      <c r="D4165" s="5" t="inlineStr">
        <is>
          <t>postpaid</t>
        </is>
      </c>
      <c r="E4165" s="5" t="inlineStr">
        <is>
          <t>SP</t>
        </is>
      </c>
      <c r="F4165" s="5" t="inlineStr">
        <is>
          <t>Vivo Família 3</t>
        </is>
      </c>
      <c r="G4165" s="5" t="inlineStr">
        <is>
          <t>vivo:VIV202600034540</t>
        </is>
      </c>
      <c r="H4165" s="6" t="n">
        <v>340</v>
      </c>
      <c r="I4165" s="6" t="inlineStr"/>
      <c r="J4165" s="5" t="inlineStr"/>
      <c r="K4165" s="5" t="inlineStr"/>
      <c r="L4165" s="7" t="n">
        <v>180</v>
      </c>
      <c r="M4165" s="5" t="inlineStr">
        <is>
          <t>180 GB de franquia Você + 2 linhas adicionais Roaming Internacional com Vivo Travel Américas e Europa</t>
        </is>
      </c>
      <c r="N4165" s="5" t="inlineStr"/>
      <c r="O4165" s="5" t="inlineStr"/>
      <c r="P4165" s="5" t="inlineStr"/>
      <c r="Q4165" s="5" t="inlineStr"/>
      <c r="R4165" s="5" t="inlineStr"/>
      <c r="S4165" s="5" t="inlineStr"/>
      <c r="T4165" s="5" t="inlineStr">
        <is>
          <t>12 meses grátis de Gemini com AI Plus</t>
        </is>
      </c>
      <c r="U4165" s="5" t="inlineStr">
        <is>
          <t>https://vivo.com.br/para-voce/produtos-e-servicos/para-o-celular/planos-pos-pago</t>
        </is>
      </c>
      <c r="V4165" s="5" t="inlineStr">
        <is>
          <t>data/raw/vivo_postpaid_SP.html</t>
        </is>
      </c>
    </row>
    <row r="4166">
      <c r="A4166" s="2" t="inlineStr">
        <is>
          <t>2026-09-03</t>
        </is>
      </c>
      <c r="B4166" s="2" t="inlineStr">
        <is>
          <t>2026-09-03T19:57:11</t>
        </is>
      </c>
      <c r="C4166" s="2" t="inlineStr">
        <is>
          <t>vivo</t>
        </is>
      </c>
      <c r="D4166" s="2" t="inlineStr">
        <is>
          <t>postpaid</t>
        </is>
      </c>
      <c r="E4166" s="2" t="inlineStr">
        <is>
          <t>SP</t>
        </is>
      </c>
      <c r="F4166" s="2" t="inlineStr">
        <is>
          <t>Vivo Família 4</t>
        </is>
      </c>
      <c r="G4166" s="2" t="inlineStr">
        <is>
          <t>vivo:VIV202600034531</t>
        </is>
      </c>
      <c r="H4166" s="3" t="n">
        <v>430</v>
      </c>
      <c r="I4166" s="3" t="inlineStr"/>
      <c r="J4166" s="2" t="inlineStr"/>
      <c r="K4166" s="2" t="inlineStr"/>
      <c r="L4166" s="4" t="n">
        <v>240</v>
      </c>
      <c r="M4166" s="2" t="inlineStr">
        <is>
          <t>240 GB de franquia Você + 3 linhas adicionais Roaming Internacional com Vivo Travel Américas e Europa</t>
        </is>
      </c>
      <c r="N4166" s="2" t="inlineStr"/>
      <c r="O4166" s="2" t="inlineStr"/>
      <c r="P4166" s="2" t="inlineStr"/>
      <c r="Q4166" s="2" t="inlineStr"/>
      <c r="R4166" s="2" t="inlineStr"/>
      <c r="S4166" s="2" t="inlineStr"/>
      <c r="T4166" s="2" t="inlineStr">
        <is>
          <t>12 meses grátis de Gemini com AI Plus</t>
        </is>
      </c>
      <c r="U4166" s="2" t="inlineStr">
        <is>
          <t>https://vivo.com.br/para-voce/produtos-e-servicos/para-o-celular/planos-pos-pago</t>
        </is>
      </c>
      <c r="V4166" s="2" t="inlineStr">
        <is>
          <t>data/raw/vivo_postpaid_SP.html</t>
        </is>
      </c>
    </row>
    <row r="4167">
      <c r="A4167" s="5" t="inlineStr">
        <is>
          <t>2026-09-03</t>
        </is>
      </c>
      <c r="B4167" s="5" t="inlineStr">
        <is>
          <t>2026-09-03T19:57:11</t>
        </is>
      </c>
      <c r="C4167" s="5" t="inlineStr">
        <is>
          <t>vivo</t>
        </is>
      </c>
      <c r="D4167" s="5" t="inlineStr">
        <is>
          <t>postpaid</t>
        </is>
      </c>
      <c r="E4167" s="5" t="inlineStr">
        <is>
          <t>SP</t>
        </is>
      </c>
      <c r="F4167" s="5" t="inlineStr">
        <is>
          <t>Vivo Família 5</t>
        </is>
      </c>
      <c r="G4167" s="5" t="inlineStr">
        <is>
          <t>vivo:VIV202600034526</t>
        </is>
      </c>
      <c r="H4167" s="6" t="n">
        <v>530</v>
      </c>
      <c r="I4167" s="6" t="inlineStr"/>
      <c r="J4167" s="5" t="inlineStr"/>
      <c r="K4167" s="5" t="inlineStr"/>
      <c r="L4167" s="7" t="n">
        <v>300</v>
      </c>
      <c r="M4167" s="5" t="inlineStr">
        <is>
          <t>300 GB de franquia Você + 4 linhas adicionais Roaming Internacional com Vivo Travel Américas e Europa</t>
        </is>
      </c>
      <c r="N4167" s="5" t="inlineStr"/>
      <c r="O4167" s="5" t="inlineStr"/>
      <c r="P4167" s="5" t="inlineStr"/>
      <c r="Q4167" s="5" t="inlineStr"/>
      <c r="R4167" s="5" t="inlineStr"/>
      <c r="S4167" s="5" t="inlineStr"/>
      <c r="T4167" s="5" t="inlineStr">
        <is>
          <t>12 meses grátis de Gemini com AI Plus</t>
        </is>
      </c>
      <c r="U4167" s="5" t="inlineStr">
        <is>
          <t>https://vivo.com.br/para-voce/produtos-e-servicos/para-o-celular/planos-pos-pago</t>
        </is>
      </c>
      <c r="V4167" s="5" t="inlineStr">
        <is>
          <t>data/raw/vivo_postpaid_SP.html</t>
        </is>
      </c>
    </row>
    <row r="4168">
      <c r="A4168" s="2" t="inlineStr">
        <is>
          <t>2026-09-03</t>
        </is>
      </c>
      <c r="B4168" s="2" t="inlineStr">
        <is>
          <t>2026-09-03T19:57:11</t>
        </is>
      </c>
      <c r="C4168" s="2" t="inlineStr">
        <is>
          <t>vivo</t>
        </is>
      </c>
      <c r="D4168" s="2" t="inlineStr">
        <is>
          <t>postpaid</t>
        </is>
      </c>
      <c r="E4168" s="2" t="inlineStr">
        <is>
          <t>SP</t>
        </is>
      </c>
      <c r="F4168" s="2" t="inlineStr">
        <is>
          <t>Vivo Pós com Amazon</t>
        </is>
      </c>
      <c r="G4168" s="2" t="inlineStr">
        <is>
          <t>vivo:VIV202600034554</t>
        </is>
      </c>
      <c r="H4168" s="3" t="n">
        <v>150</v>
      </c>
      <c r="I4168" s="3" t="inlineStr"/>
      <c r="J4168" s="2" t="inlineStr"/>
      <c r="K4168" s="2" t="inlineStr"/>
      <c r="L4168" s="4" t="n">
        <v>60</v>
      </c>
      <c r="M4168" s="2" t="inlineStr">
        <is>
          <t>50 GB de franquia 10 GB de bônus</t>
        </is>
      </c>
      <c r="N4168" s="2" t="inlineStr"/>
      <c r="O4168" s="2" t="inlineStr"/>
      <c r="P4168" s="2" t="inlineStr"/>
      <c r="Q4168" s="2" t="inlineStr"/>
      <c r="R4168" s="2" t="inlineStr"/>
      <c r="S4168" s="2" t="inlineStr"/>
      <c r="T4168" s="2" t="inlineStr">
        <is>
          <t>Assinatura Amazon Prime inclusa</t>
        </is>
      </c>
      <c r="U4168" s="2" t="inlineStr">
        <is>
          <t>https://vivo.com.br/para-voce/produtos-e-servicos/para-o-celular/planos-pos-pago</t>
        </is>
      </c>
      <c r="V4168" s="2" t="inlineStr">
        <is>
          <t>data/raw/vivo_postpaid_SP.html</t>
        </is>
      </c>
    </row>
    <row r="4169">
      <c r="A4169" s="5" t="inlineStr">
        <is>
          <t>2026-09-03</t>
        </is>
      </c>
      <c r="B4169" s="5" t="inlineStr">
        <is>
          <t>2026-09-03T19:57:11</t>
        </is>
      </c>
      <c r="C4169" s="5" t="inlineStr">
        <is>
          <t>vivo</t>
        </is>
      </c>
      <c r="D4169" s="5" t="inlineStr">
        <is>
          <t>postpaid</t>
        </is>
      </c>
      <c r="E4169" s="5" t="inlineStr">
        <is>
          <t>SP</t>
        </is>
      </c>
      <c r="F4169" s="5" t="inlineStr">
        <is>
          <t>Vivo Pós com Disney+</t>
        </is>
      </c>
      <c r="G4169" s="5" t="inlineStr">
        <is>
          <t>vivo:VIV202600034532</t>
        </is>
      </c>
      <c r="H4169" s="6" t="n">
        <v>180</v>
      </c>
      <c r="I4169" s="6" t="inlineStr"/>
      <c r="J4169" s="5" t="inlineStr"/>
      <c r="K4169" s="5" t="inlineStr"/>
      <c r="L4169" s="7" t="n">
        <v>60</v>
      </c>
      <c r="M4169" s="5" t="inlineStr">
        <is>
          <t>50 GB de franquia 10 GB de bônus</t>
        </is>
      </c>
      <c r="N4169" s="5" t="inlineStr"/>
      <c r="O4169" s="5" t="inlineStr"/>
      <c r="P4169" s="5" t="inlineStr"/>
      <c r="Q4169" s="5" t="inlineStr"/>
      <c r="R4169" s="5" t="inlineStr">
        <is>
          <t>Disney+</t>
        </is>
      </c>
      <c r="S4169" s="5" t="inlineStr"/>
      <c r="T4169" s="5" t="inlineStr">
        <is>
          <t>Assinatura Disney+ Padrão inclusa</t>
        </is>
      </c>
      <c r="U4169" s="5" t="inlineStr">
        <is>
          <t>https://vivo.com.br/para-voce/produtos-e-servicos/para-o-celular/planos-pos-pago</t>
        </is>
      </c>
      <c r="V4169" s="5" t="inlineStr">
        <is>
          <t>data/raw/vivo_postpaid_SP.html</t>
        </is>
      </c>
    </row>
    <row r="4170">
      <c r="A4170" s="2" t="inlineStr">
        <is>
          <t>2026-09-03</t>
        </is>
      </c>
      <c r="B4170" s="2" t="inlineStr">
        <is>
          <t>2026-09-03T19:57:11</t>
        </is>
      </c>
      <c r="C4170" s="2" t="inlineStr">
        <is>
          <t>vivo</t>
        </is>
      </c>
      <c r="D4170" s="2" t="inlineStr">
        <is>
          <t>postpaid</t>
        </is>
      </c>
      <c r="E4170" s="2" t="inlineStr">
        <is>
          <t>SP</t>
        </is>
      </c>
      <c r="F4170" s="2" t="inlineStr">
        <is>
          <t>Vivo Pós com Globoplay</t>
        </is>
      </c>
      <c r="G4170" s="2" t="inlineStr">
        <is>
          <t>vivo:VIV202600034575</t>
        </is>
      </c>
      <c r="H4170" s="3" t="n">
        <v>165</v>
      </c>
      <c r="I4170" s="3" t="inlineStr"/>
      <c r="J4170" s="2" t="inlineStr"/>
      <c r="K4170" s="2" t="inlineStr"/>
      <c r="L4170" s="4" t="n">
        <v>60</v>
      </c>
      <c r="M4170" s="2" t="inlineStr">
        <is>
          <t>50 GB de franquia 10 GB de bônus</t>
        </is>
      </c>
      <c r="N4170" s="2" t="inlineStr"/>
      <c r="O4170" s="2" t="inlineStr"/>
      <c r="P4170" s="2" t="inlineStr"/>
      <c r="Q4170" s="2" t="inlineStr"/>
      <c r="R4170" s="2" t="inlineStr">
        <is>
          <t>Globoplay</t>
        </is>
      </c>
      <c r="S4170" s="2" t="inlineStr"/>
      <c r="T4170" s="2" t="inlineStr">
        <is>
          <t>Assinatura Globoplay inclusa</t>
        </is>
      </c>
      <c r="U4170" s="2" t="inlineStr">
        <is>
          <t>https://vivo.com.br/para-voce/produtos-e-servicos/para-o-celular/planos-pos-pago</t>
        </is>
      </c>
      <c r="V4170" s="2" t="inlineStr">
        <is>
          <t>data/raw/vivo_postpaid_SP.html</t>
        </is>
      </c>
    </row>
    <row r="4171">
      <c r="A4171" s="5" t="inlineStr">
        <is>
          <t>2026-09-03</t>
        </is>
      </c>
      <c r="B4171" s="5" t="inlineStr">
        <is>
          <t>2026-09-03T19:57:11</t>
        </is>
      </c>
      <c r="C4171" s="5" t="inlineStr">
        <is>
          <t>vivo</t>
        </is>
      </c>
      <c r="D4171" s="5" t="inlineStr">
        <is>
          <t>postpaid</t>
        </is>
      </c>
      <c r="E4171" s="5" t="inlineStr">
        <is>
          <t>SP</t>
        </is>
      </c>
      <c r="F4171" s="5" t="inlineStr">
        <is>
          <t>Vivo Pós com Netflix</t>
        </is>
      </c>
      <c r="G4171" s="5" t="inlineStr">
        <is>
          <t>vivo:VIV202600034562</t>
        </is>
      </c>
      <c r="H4171" s="6" t="n">
        <v>180</v>
      </c>
      <c r="I4171" s="6" t="inlineStr"/>
      <c r="J4171" s="5" t="inlineStr"/>
      <c r="K4171" s="5" t="inlineStr"/>
      <c r="L4171" s="7" t="n">
        <v>60</v>
      </c>
      <c r="M4171" s="5" t="inlineStr">
        <is>
          <t>50 GB de franquia 10 GB de bônus</t>
        </is>
      </c>
      <c r="N4171" s="5" t="inlineStr"/>
      <c r="O4171" s="5" t="inlineStr"/>
      <c r="P4171" s="5" t="inlineStr"/>
      <c r="Q4171" s="5" t="inlineStr"/>
      <c r="R4171" s="5" t="inlineStr">
        <is>
          <t>Netflix</t>
        </is>
      </c>
      <c r="S4171" s="5" t="inlineStr"/>
      <c r="T4171" s="5" t="inlineStr">
        <is>
          <t>Assinatura Netflix Padrão inclusa</t>
        </is>
      </c>
      <c r="U4171" s="5" t="inlineStr">
        <is>
          <t>https://vivo.com.br/para-voce/produtos-e-servicos/para-o-celular/planos-pos-pago</t>
        </is>
      </c>
      <c r="V4171" s="5" t="inlineStr">
        <is>
          <t>data/raw/vivo_postpaid_SP.html</t>
        </is>
      </c>
    </row>
    <row r="4172">
      <c r="A4172" s="2" t="inlineStr">
        <is>
          <t>2026-09-03</t>
        </is>
      </c>
      <c r="B4172" s="2" t="inlineStr">
        <is>
          <t>2026-09-03T19:57:11</t>
        </is>
      </c>
      <c r="C4172" s="2" t="inlineStr">
        <is>
          <t>vivo</t>
        </is>
      </c>
      <c r="D4172" s="2" t="inlineStr">
        <is>
          <t>postpaid</t>
        </is>
      </c>
      <c r="E4172" s="2" t="inlineStr">
        <is>
          <t>SP</t>
        </is>
      </c>
      <c r="F4172" s="2" t="inlineStr">
        <is>
          <t>Vivo Pós com Premiere</t>
        </is>
      </c>
      <c r="G4172" s="2" t="inlineStr">
        <is>
          <t>vivo:VIV202600034579</t>
        </is>
      </c>
      <c r="H4172" s="3" t="n">
        <v>180</v>
      </c>
      <c r="I4172" s="3" t="inlineStr"/>
      <c r="J4172" s="2" t="inlineStr"/>
      <c r="K4172" s="2" t="inlineStr"/>
      <c r="L4172" s="4" t="n">
        <v>60</v>
      </c>
      <c r="M4172" s="2" t="inlineStr">
        <is>
          <t>50 GB de franquia 10 GB de bônus</t>
        </is>
      </c>
      <c r="N4172" s="2" t="inlineStr"/>
      <c r="O4172" s="2" t="inlineStr"/>
      <c r="P4172" s="2" t="inlineStr"/>
      <c r="Q4172" s="2" t="inlineStr"/>
      <c r="R4172" s="2" t="inlineStr">
        <is>
          <t>Premiere</t>
        </is>
      </c>
      <c r="S4172" s="2" t="inlineStr"/>
      <c r="T4172" s="2" t="inlineStr">
        <is>
          <t>Assinatura Premiere inclusa</t>
        </is>
      </c>
      <c r="U4172" s="2" t="inlineStr">
        <is>
          <t>https://vivo.com.br/para-voce/produtos-e-servicos/para-o-celular/planos-pos-pago</t>
        </is>
      </c>
      <c r="V4172" s="2" t="inlineStr">
        <is>
          <t>data/raw/vivo_postpaid_SP.html</t>
        </is>
      </c>
    </row>
    <row r="4173">
      <c r="A4173" s="5" t="inlineStr">
        <is>
          <t>2026-09-03</t>
        </is>
      </c>
      <c r="B4173" s="5" t="inlineStr">
        <is>
          <t>2026-09-03T19:57:11</t>
        </is>
      </c>
      <c r="C4173" s="5" t="inlineStr">
        <is>
          <t>vivo</t>
        </is>
      </c>
      <c r="D4173" s="5" t="inlineStr">
        <is>
          <t>postpaid</t>
        </is>
      </c>
      <c r="E4173" s="5" t="inlineStr">
        <is>
          <t>SP</t>
        </is>
      </c>
      <c r="F4173" s="5" t="inlineStr">
        <is>
          <t>Vivo Pós com Spotify</t>
        </is>
      </c>
      <c r="G4173" s="5" t="inlineStr">
        <is>
          <t>vivo:VIV202600034556</t>
        </is>
      </c>
      <c r="H4173" s="6" t="n">
        <v>165</v>
      </c>
      <c r="I4173" s="6" t="inlineStr"/>
      <c r="J4173" s="5" t="inlineStr"/>
      <c r="K4173" s="5" t="inlineStr"/>
      <c r="L4173" s="7" t="n">
        <v>60</v>
      </c>
      <c r="M4173" s="5" t="inlineStr">
        <is>
          <t>50 GB de franquia 10 GB de bônus</t>
        </is>
      </c>
      <c r="N4173" s="5" t="inlineStr"/>
      <c r="O4173" s="5" t="inlineStr"/>
      <c r="P4173" s="5" t="inlineStr"/>
      <c r="Q4173" s="5" t="inlineStr"/>
      <c r="R4173" s="5" t="inlineStr">
        <is>
          <t>Spotify</t>
        </is>
      </c>
      <c r="S4173" s="5" t="inlineStr"/>
      <c r="T4173" s="5" t="inlineStr">
        <is>
          <t>Assinatura Spotify Premium inclusa</t>
        </is>
      </c>
      <c r="U4173" s="5" t="inlineStr">
        <is>
          <t>https://vivo.com.br/para-voce/produtos-e-servicos/para-o-celular/planos-pos-pago</t>
        </is>
      </c>
      <c r="V4173" s="5" t="inlineStr">
        <is>
          <t>data/raw/vivo_postpaid_SP.html</t>
        </is>
      </c>
    </row>
    <row r="4174">
      <c r="A4174" s="2" t="inlineStr">
        <is>
          <t>2026-09-03</t>
        </is>
      </c>
      <c r="B4174" s="2" t="inlineStr">
        <is>
          <t>2026-09-03T19:57:11</t>
        </is>
      </c>
      <c r="C4174" s="2" t="inlineStr">
        <is>
          <t>vivo</t>
        </is>
      </c>
      <c r="D4174" s="2" t="inlineStr">
        <is>
          <t>postpaid</t>
        </is>
      </c>
      <c r="E4174" s="2" t="inlineStr">
        <is>
          <t>SP</t>
        </is>
      </c>
      <c r="F4174" s="2" t="inlineStr">
        <is>
          <t>Vivo Pós com Travel</t>
        </is>
      </c>
      <c r="G4174" s="2" t="inlineStr">
        <is>
          <t>vivo:VIV202600034573</t>
        </is>
      </c>
      <c r="H4174" s="3" t="n">
        <v>215</v>
      </c>
      <c r="I4174" s="3" t="inlineStr"/>
      <c r="J4174" s="2" t="inlineStr"/>
      <c r="K4174" s="2" t="inlineStr"/>
      <c r="L4174" s="4" t="n">
        <v>70</v>
      </c>
      <c r="M4174" s="2" t="inlineStr">
        <is>
          <t>60 GB de franquia 10 GB de bônus</t>
        </is>
      </c>
      <c r="N4174" s="2" t="inlineStr"/>
      <c r="O4174" s="2" t="inlineStr"/>
      <c r="P4174" s="2" t="inlineStr"/>
      <c r="Q4174" s="2" t="inlineStr"/>
      <c r="R4174" s="2" t="inlineStr"/>
      <c r="S4174" s="2" t="inlineStr"/>
      <c r="T4174" s="2" t="inlineStr">
        <is>
          <t>6 meses grátis de Gemini com AI Plus</t>
        </is>
      </c>
      <c r="U4174" s="2" t="inlineStr">
        <is>
          <t>https://vivo.com.br/para-voce/produtos-e-servicos/para-o-celular/planos-pos-pago</t>
        </is>
      </c>
      <c r="V4174" s="2" t="inlineStr">
        <is>
          <t>data/raw/vivo_postpaid_SP.html</t>
        </is>
      </c>
    </row>
    <row r="4175">
      <c r="A4175" s="5" t="inlineStr">
        <is>
          <t>2026-09-03</t>
        </is>
      </c>
      <c r="B4175" s="5" t="inlineStr">
        <is>
          <t>2026-09-03T19:57:11</t>
        </is>
      </c>
      <c r="C4175" s="5" t="inlineStr">
        <is>
          <t>vivo</t>
        </is>
      </c>
      <c r="D4175" s="5" t="inlineStr">
        <is>
          <t>prepaid</t>
        </is>
      </c>
      <c r="E4175" s="5" t="inlineStr">
        <is>
          <t>SP</t>
        </is>
      </c>
      <c r="F4175" s="5" t="inlineStr">
        <is>
          <t>Vivo Pré</t>
        </is>
      </c>
      <c r="G4175" s="5" t="inlineStr">
        <is>
          <t>vivo:VIV202600029370-30d</t>
        </is>
      </c>
      <c r="H4175" s="6" t="n">
        <v>30</v>
      </c>
      <c r="I4175" s="6" t="inlineStr"/>
      <c r="J4175" s="5" t="inlineStr"/>
      <c r="K4175" s="5" t="inlineStr"/>
      <c r="L4175" s="7" t="n">
        <v>25</v>
      </c>
      <c r="M4175" s="5" t="inlineStr">
        <is>
          <t>15 GB para navegar como quiser 5 GB de bônus 5 GB para navegar no Youtube</t>
        </is>
      </c>
      <c r="N4175" s="5" t="n">
        <v>30</v>
      </c>
      <c r="O4175" s="5" t="inlineStr"/>
      <c r="P4175" s="5" t="inlineStr"/>
      <c r="Q4175" s="5" t="inlineStr"/>
      <c r="R4175" s="5" t="inlineStr"/>
      <c r="S4175" s="5" t="inlineStr"/>
      <c r="T4175" s="5" t="inlineStr"/>
      <c r="U4175" s="5" t="inlineStr">
        <is>
          <t>https://vivo.com.br/para-voce/produtos-e-servicos/para-o-celular/pre-pago/vivo-pre</t>
        </is>
      </c>
      <c r="V4175" s="5" t="inlineStr">
        <is>
          <t>data/raw/vivo_prepaid_SP.html</t>
        </is>
      </c>
    </row>
    <row r="4176">
      <c r="A4176" s="2" t="inlineStr">
        <is>
          <t>2026-09-03</t>
        </is>
      </c>
      <c r="B4176" s="2" t="inlineStr">
        <is>
          <t>2026-09-03T19:57:11</t>
        </is>
      </c>
      <c r="C4176" s="2" t="inlineStr">
        <is>
          <t>vivo</t>
        </is>
      </c>
      <c r="D4176" s="2" t="inlineStr">
        <is>
          <t>prepaid</t>
        </is>
      </c>
      <c r="E4176" s="2" t="inlineStr">
        <is>
          <t>SP</t>
        </is>
      </c>
      <c r="F4176" s="2" t="inlineStr">
        <is>
          <t>Vivo Pré</t>
        </is>
      </c>
      <c r="G4176" s="2" t="inlineStr">
        <is>
          <t>vivo:VIV202600029370-22d</t>
        </is>
      </c>
      <c r="H4176" s="3" t="n">
        <v>25</v>
      </c>
      <c r="I4176" s="3" t="inlineStr"/>
      <c r="J4176" s="2" t="inlineStr"/>
      <c r="K4176" s="2" t="inlineStr"/>
      <c r="L4176" s="4" t="n">
        <v>9</v>
      </c>
      <c r="M4176" s="2" t="inlineStr">
        <is>
          <t>6 GB para navegar como quiser 3 GB para navegar no YouTube</t>
        </is>
      </c>
      <c r="N4176" s="2" t="n">
        <v>22</v>
      </c>
      <c r="O4176" s="2" t="inlineStr"/>
      <c r="P4176" s="2" t="inlineStr"/>
      <c r="Q4176" s="2" t="inlineStr"/>
      <c r="R4176" s="2" t="inlineStr"/>
      <c r="S4176" s="2" t="inlineStr"/>
      <c r="T4176" s="2" t="inlineStr"/>
      <c r="U4176" s="2" t="inlineStr">
        <is>
          <t>https://vivo.com.br/para-voce/produtos-e-servicos/para-o-celular/pre-pago/vivo-pre</t>
        </is>
      </c>
      <c r="V4176" s="2" t="inlineStr">
        <is>
          <t>data/raw/vivo_prepaid_SP.html</t>
        </is>
      </c>
    </row>
    <row r="4177">
      <c r="A4177" s="5" t="inlineStr">
        <is>
          <t>2026-09-03</t>
        </is>
      </c>
      <c r="B4177" s="5" t="inlineStr">
        <is>
          <t>2026-09-03T19:57:11</t>
        </is>
      </c>
      <c r="C4177" s="5" t="inlineStr">
        <is>
          <t>vivo</t>
        </is>
      </c>
      <c r="D4177" s="5" t="inlineStr">
        <is>
          <t>prepaid</t>
        </is>
      </c>
      <c r="E4177" s="5" t="inlineStr">
        <is>
          <t>SP</t>
        </is>
      </c>
      <c r="F4177" s="5" t="inlineStr">
        <is>
          <t>Vivo Pré</t>
        </is>
      </c>
      <c r="G4177" s="5" t="inlineStr">
        <is>
          <t>vivo:VIV202600029370-17d</t>
        </is>
      </c>
      <c r="H4177" s="6" t="n">
        <v>20</v>
      </c>
      <c r="I4177" s="6" t="inlineStr"/>
      <c r="J4177" s="5" t="inlineStr"/>
      <c r="K4177" s="5" t="inlineStr"/>
      <c r="L4177" s="7" t="n">
        <v>5</v>
      </c>
      <c r="M4177" s="5" t="inlineStr">
        <is>
          <t>5 GB para navegar como quiser</t>
        </is>
      </c>
      <c r="N4177" s="5" t="n">
        <v>17</v>
      </c>
      <c r="O4177" s="5" t="inlineStr"/>
      <c r="P4177" s="5" t="inlineStr"/>
      <c r="Q4177" s="5" t="inlineStr"/>
      <c r="R4177" s="5" t="inlineStr"/>
      <c r="S4177" s="5" t="inlineStr"/>
      <c r="T4177" s="5" t="inlineStr"/>
      <c r="U4177" s="5" t="inlineStr">
        <is>
          <t>https://vivo.com.br/para-voce/produtos-e-servicos/para-o-celular/pre-pago/vivo-pre</t>
        </is>
      </c>
      <c r="V4177" s="5" t="inlineStr">
        <is>
          <t>data/raw/vivo_prepaid_SP.html</t>
        </is>
      </c>
    </row>
    <row r="4178">
      <c r="A4178" s="2" t="inlineStr">
        <is>
          <t>2026-09-03</t>
        </is>
      </c>
      <c r="B4178" s="2" t="inlineStr">
        <is>
          <t>2026-09-03T19:57:11</t>
        </is>
      </c>
      <c r="C4178" s="2" t="inlineStr">
        <is>
          <t>vivo</t>
        </is>
      </c>
      <c r="D4178" s="2" t="inlineStr">
        <is>
          <t>prepaid</t>
        </is>
      </c>
      <c r="E4178" s="2" t="inlineStr">
        <is>
          <t>SP</t>
        </is>
      </c>
      <c r="F4178" s="2" t="inlineStr">
        <is>
          <t>Vivo Pré</t>
        </is>
      </c>
      <c r="G4178" s="2" t="inlineStr">
        <is>
          <t>vivo:VIV202600029370-15d</t>
        </is>
      </c>
      <c r="H4178" s="3" t="n">
        <v>17</v>
      </c>
      <c r="I4178" s="3" t="inlineStr"/>
      <c r="J4178" s="2" t="inlineStr"/>
      <c r="K4178" s="2" t="inlineStr"/>
      <c r="L4178" s="4" t="n">
        <v>4</v>
      </c>
      <c r="M4178" s="2" t="inlineStr">
        <is>
          <t>4 GB para navegar como quiser</t>
        </is>
      </c>
      <c r="N4178" s="2" t="n">
        <v>15</v>
      </c>
      <c r="O4178" s="2" t="inlineStr"/>
      <c r="P4178" s="2" t="inlineStr"/>
      <c r="Q4178" s="2" t="inlineStr"/>
      <c r="R4178" s="2" t="inlineStr"/>
      <c r="S4178" s="2" t="inlineStr"/>
      <c r="T4178" s="2" t="inlineStr"/>
      <c r="U4178" s="2" t="inlineStr">
        <is>
          <t>https://vivo.com.br/para-voce/produtos-e-servicos/para-o-celular/pre-pago/vivo-pre</t>
        </is>
      </c>
      <c r="V4178" s="2" t="inlineStr">
        <is>
          <t>data/raw/vivo_prepaid_SP.html</t>
        </is>
      </c>
    </row>
    <row r="4179">
      <c r="A4179" s="5" t="inlineStr">
        <is>
          <t>2026-09-04</t>
        </is>
      </c>
      <c r="B4179" s="5" t="inlineStr">
        <is>
          <t>2026-09-04T19:45:10</t>
        </is>
      </c>
      <c r="C4179" s="5" t="inlineStr">
        <is>
          <t>claro</t>
        </is>
      </c>
      <c r="D4179" s="5" t="inlineStr">
        <is>
          <t>control</t>
        </is>
      </c>
      <c r="E4179" s="5" t="inlineStr">
        <is>
          <t>SP</t>
        </is>
      </c>
      <c r="F4179" s="5" t="inlineStr">
        <is>
          <t>Controle 25GB</t>
        </is>
      </c>
      <c r="G4179" s="5" t="inlineStr">
        <is>
          <t>claro:plano-controle-25gb</t>
        </is>
      </c>
      <c r="H4179" s="6" t="n">
        <v>59.9</v>
      </c>
      <c r="I4179" s="6" t="n">
        <v>54.9</v>
      </c>
      <c r="J4179" s="5" t="inlineStr">
        <is>
          <t>De R$ 59,90 Por:</t>
        </is>
      </c>
      <c r="K4179" s="5" t="inlineStr"/>
      <c r="L4179" s="7" t="n">
        <v>25</v>
      </c>
      <c r="M4179" s="5" t="inlineStr"/>
      <c r="N4179" s="5" t="inlineStr"/>
      <c r="O4179" s="5" t="inlineStr">
        <is>
          <t>WhatsApp</t>
        </is>
      </c>
      <c r="P4179" s="5" t="inlineStr"/>
      <c r="Q4179" s="5" t="inlineStr"/>
      <c r="R4179" s="5" t="inlineStr"/>
      <c r="S4179" s="5" t="inlineStr"/>
      <c r="T4179" s="5" t="inlineStr">
        <is>
          <t>Para uso livre; Para redes sociais e vídeos; Bônus exclusivo; Aproveite na sua franquia; WhatsApp e ligações ilimitadas</t>
        </is>
      </c>
      <c r="U4179" s="5" t="inlineStr">
        <is>
          <t>https://www.claro.com.br/celular/controle</t>
        </is>
      </c>
      <c r="V4179" s="5" t="inlineStr">
        <is>
          <t>data/raw/claro_control_SP.json</t>
        </is>
      </c>
    </row>
    <row r="4180">
      <c r="A4180" s="2" t="inlineStr">
        <is>
          <t>2026-09-04</t>
        </is>
      </c>
      <c r="B4180" s="2" t="inlineStr">
        <is>
          <t>2026-09-04T19:45:10</t>
        </is>
      </c>
      <c r="C4180" s="2" t="inlineStr">
        <is>
          <t>claro</t>
        </is>
      </c>
      <c r="D4180" s="2" t="inlineStr">
        <is>
          <t>control</t>
        </is>
      </c>
      <c r="E4180" s="2" t="inlineStr">
        <is>
          <t>SP</t>
        </is>
      </c>
      <c r="F4180" s="2" t="inlineStr">
        <is>
          <t>Controle 30GB</t>
        </is>
      </c>
      <c r="G4180" s="2" t="inlineStr">
        <is>
          <t>claro:plano-controle-30gb</t>
        </is>
      </c>
      <c r="H4180" s="3" t="n">
        <v>69.90000000000001</v>
      </c>
      <c r="I4180" s="3" t="inlineStr"/>
      <c r="J4180" s="2" t="inlineStr"/>
      <c r="K4180" s="2" t="inlineStr"/>
      <c r="L4180" s="4" t="n">
        <v>30</v>
      </c>
      <c r="M4180" s="2" t="inlineStr"/>
      <c r="N4180" s="2" t="inlineStr"/>
      <c r="O4180" s="2" t="inlineStr">
        <is>
          <t>WhatsApp</t>
        </is>
      </c>
      <c r="P4180" s="2" t="inlineStr"/>
      <c r="Q4180" s="2" t="inlineStr"/>
      <c r="R4180" s="2" t="inlineStr"/>
      <c r="S4180" s="2" t="inlineStr"/>
      <c r="T4180" s="2" t="inlineStr">
        <is>
          <t>Para uso livre; Bônus para uso livre; Bônus para redes sociais e apps; Assinatura Amazon Prime por 3 meses; Redes sociais e apps; WhatsApp ilimitado</t>
        </is>
      </c>
      <c r="U4180" s="2" t="inlineStr">
        <is>
          <t>https://www.claro.com.br/celular/controle</t>
        </is>
      </c>
      <c r="V4180" s="2" t="inlineStr">
        <is>
          <t>data/raw/claro_control_SP.json</t>
        </is>
      </c>
    </row>
    <row r="4181">
      <c r="A4181" s="5" t="inlineStr">
        <is>
          <t>2026-09-04</t>
        </is>
      </c>
      <c r="B4181" s="5" t="inlineStr">
        <is>
          <t>2026-09-04T19:45:10</t>
        </is>
      </c>
      <c r="C4181" s="5" t="inlineStr">
        <is>
          <t>claro</t>
        </is>
      </c>
      <c r="D4181" s="5" t="inlineStr">
        <is>
          <t>control</t>
        </is>
      </c>
      <c r="E4181" s="5" t="inlineStr">
        <is>
          <t>SP</t>
        </is>
      </c>
      <c r="F4181" s="5" t="inlineStr">
        <is>
          <t>Controle 30GB</t>
        </is>
      </c>
      <c r="G4181" s="5" t="inlineStr">
        <is>
          <t>claro:plano-controle-30gb-gaming</t>
        </is>
      </c>
      <c r="H4181" s="6" t="n">
        <v>99.90000000000001</v>
      </c>
      <c r="I4181" s="6" t="inlineStr"/>
      <c r="J4181" s="5" t="inlineStr"/>
      <c r="K4181" s="5" t="inlineStr"/>
      <c r="L4181" s="7" t="n">
        <v>30</v>
      </c>
      <c r="M4181" s="5" t="inlineStr"/>
      <c r="N4181" s="5" t="inlineStr"/>
      <c r="O4181" s="5" t="inlineStr">
        <is>
          <t>WhatsApp</t>
        </is>
      </c>
      <c r="P4181" s="5" t="inlineStr"/>
      <c r="Q4181" s="5" t="inlineStr"/>
      <c r="R4181" s="5" t="inlineStr"/>
      <c r="S4181" s="5" t="inlineStr"/>
      <c r="T4181" s="5" t="inlineStr">
        <is>
          <t>Para uso livre; Bônus para redes sociais e apps; Bônus uso livre; Assinatura Amazon Prime por 3 meses; Redes sociais e apps; WhatsApp ilimitado</t>
        </is>
      </c>
      <c r="U4181" s="5" t="inlineStr">
        <is>
          <t>https://www.claro.com.br/celular/controle</t>
        </is>
      </c>
      <c r="V4181" s="5" t="inlineStr">
        <is>
          <t>data/raw/claro_control_SP.json</t>
        </is>
      </c>
    </row>
    <row r="4182">
      <c r="A4182" s="2" t="inlineStr">
        <is>
          <t>2026-09-04</t>
        </is>
      </c>
      <c r="B4182" s="2" t="inlineStr">
        <is>
          <t>2026-09-04T19:45:10</t>
        </is>
      </c>
      <c r="C4182" s="2" t="inlineStr">
        <is>
          <t>claro</t>
        </is>
      </c>
      <c r="D4182" s="2" t="inlineStr">
        <is>
          <t>flex</t>
        </is>
      </c>
      <c r="E4182" s="2" t="inlineStr">
        <is>
          <t>SP</t>
        </is>
      </c>
      <c r="F4182" s="2" t="inlineStr">
        <is>
          <t>Flex 15GB</t>
        </is>
      </c>
      <c r="G4182" s="2" t="inlineStr">
        <is>
          <t>claro:plano-flex-15gb</t>
        </is>
      </c>
      <c r="H4182" s="3" t="n">
        <v>44.9</v>
      </c>
      <c r="I4182" s="3" t="inlineStr"/>
      <c r="J4182" s="2" t="inlineStr"/>
      <c r="K4182" s="2" t="inlineStr"/>
      <c r="L4182" s="4" t="n">
        <v>15</v>
      </c>
      <c r="M4182" s="2" t="inlineStr"/>
      <c r="N4182" s="2" t="inlineStr"/>
      <c r="O4182" s="2" t="inlineStr">
        <is>
          <t>WhatsApp</t>
        </is>
      </c>
      <c r="P4182" s="2" t="inlineStr"/>
      <c r="Q4182" s="2" t="inlineStr"/>
      <c r="R4182" s="2" t="inlineStr"/>
      <c r="S4182" s="2" t="inlineStr"/>
      <c r="T4182" s="2" t="inlineStr">
        <is>
          <t>Para uso livre; Para redes sociais e apps; Bônus extra nos apps; WhatsApp ilimitado</t>
        </is>
      </c>
      <c r="U4182" s="2" t="inlineStr">
        <is>
          <t>https://www.claro.com.br/celular/flex</t>
        </is>
      </c>
      <c r="V4182" s="2" t="inlineStr">
        <is>
          <t>data/raw/claro_flex_SP.json</t>
        </is>
      </c>
    </row>
    <row r="4183">
      <c r="A4183" s="5" t="inlineStr">
        <is>
          <t>2026-09-04</t>
        </is>
      </c>
      <c r="B4183" s="5" t="inlineStr">
        <is>
          <t>2026-09-04T19:45:10</t>
        </is>
      </c>
      <c r="C4183" s="5" t="inlineStr">
        <is>
          <t>claro</t>
        </is>
      </c>
      <c r="D4183" s="5" t="inlineStr">
        <is>
          <t>flex</t>
        </is>
      </c>
      <c r="E4183" s="5" t="inlineStr">
        <is>
          <t>SP</t>
        </is>
      </c>
      <c r="F4183" s="5" t="inlineStr">
        <is>
          <t>Flex 20GB</t>
        </is>
      </c>
      <c r="G4183" s="5" t="inlineStr">
        <is>
          <t>claro:plano-flex-20gb</t>
        </is>
      </c>
      <c r="H4183" s="6" t="n">
        <v>59.9</v>
      </c>
      <c r="I4183" s="6" t="inlineStr"/>
      <c r="J4183" s="5" t="inlineStr"/>
      <c r="K4183" s="5" t="inlineStr"/>
      <c r="L4183" s="7" t="n">
        <v>20</v>
      </c>
      <c r="M4183" s="5" t="inlineStr"/>
      <c r="N4183" s="5" t="inlineStr"/>
      <c r="O4183" s="5" t="inlineStr">
        <is>
          <t>WhatsApp</t>
        </is>
      </c>
      <c r="P4183" s="5" t="inlineStr"/>
      <c r="Q4183" s="5" t="inlineStr"/>
      <c r="R4183" s="5" t="inlineStr"/>
      <c r="S4183" s="5" t="inlineStr"/>
      <c r="T4183" s="5" t="inlineStr">
        <is>
          <t>Para uso livre; Para redes sociais e apps; Bônus extra nos apps; WhatsApp ilimitado</t>
        </is>
      </c>
      <c r="U4183" s="5" t="inlineStr">
        <is>
          <t>https://www.claro.com.br/celular/flex</t>
        </is>
      </c>
      <c r="V4183" s="5" t="inlineStr">
        <is>
          <t>data/raw/claro_flex_SP.json</t>
        </is>
      </c>
    </row>
    <row r="4184">
      <c r="A4184" s="2" t="inlineStr">
        <is>
          <t>2026-09-04</t>
        </is>
      </c>
      <c r="B4184" s="2" t="inlineStr">
        <is>
          <t>2026-09-04T19:45:10</t>
        </is>
      </c>
      <c r="C4184" s="2" t="inlineStr">
        <is>
          <t>claro</t>
        </is>
      </c>
      <c r="D4184" s="2" t="inlineStr">
        <is>
          <t>flex</t>
        </is>
      </c>
      <c r="E4184" s="2" t="inlineStr">
        <is>
          <t>SP</t>
        </is>
      </c>
      <c r="F4184" s="2" t="inlineStr">
        <is>
          <t>Flex 30GB</t>
        </is>
      </c>
      <c r="G4184" s="2" t="inlineStr">
        <is>
          <t>claro:plano-flex-30gb</t>
        </is>
      </c>
      <c r="H4184" s="3" t="n">
        <v>69.90000000000001</v>
      </c>
      <c r="I4184" s="3" t="inlineStr"/>
      <c r="J4184" s="2" t="inlineStr"/>
      <c r="K4184" s="2" t="inlineStr"/>
      <c r="L4184" s="4" t="n">
        <v>30</v>
      </c>
      <c r="M4184" s="2" t="inlineStr"/>
      <c r="N4184" s="2" t="inlineStr"/>
      <c r="O4184" s="2" t="inlineStr">
        <is>
          <t>WhatsApp</t>
        </is>
      </c>
      <c r="P4184" s="2" t="inlineStr"/>
      <c r="Q4184" s="2" t="inlineStr"/>
      <c r="R4184" s="2" t="inlineStr"/>
      <c r="S4184" s="2" t="inlineStr"/>
      <c r="T4184" s="2" t="inlineStr">
        <is>
          <t>Para uso livre; Para redes sociais e apps; Bônus extra nos apps; WhatsApp ilimitado; Assinatura Claro musica inclusa</t>
        </is>
      </c>
      <c r="U4184" s="2" t="inlineStr">
        <is>
          <t>https://www.claro.com.br/celular/flex</t>
        </is>
      </c>
      <c r="V4184" s="2" t="inlineStr">
        <is>
          <t>data/raw/claro_flex_SP.json</t>
        </is>
      </c>
    </row>
    <row r="4185">
      <c r="A4185" s="5" t="inlineStr">
        <is>
          <t>2026-09-04</t>
        </is>
      </c>
      <c r="B4185" s="5" t="inlineStr">
        <is>
          <t>2026-09-04T19:45:10</t>
        </is>
      </c>
      <c r="C4185" s="5" t="inlineStr">
        <is>
          <t>claro</t>
        </is>
      </c>
      <c r="D4185" s="5" t="inlineStr">
        <is>
          <t>flex</t>
        </is>
      </c>
      <c r="E4185" s="5" t="inlineStr">
        <is>
          <t>SP</t>
        </is>
      </c>
      <c r="F4185" s="5" t="inlineStr">
        <is>
          <t>Flex 40GB</t>
        </is>
      </c>
      <c r="G4185" s="5" t="inlineStr">
        <is>
          <t>claro:plano-flex-40gb</t>
        </is>
      </c>
      <c r="H4185" s="6" t="n">
        <v>119.9</v>
      </c>
      <c r="I4185" s="6" t="inlineStr"/>
      <c r="J4185" s="5" t="inlineStr"/>
      <c r="K4185" s="5" t="inlineStr"/>
      <c r="L4185" s="7" t="n">
        <v>40</v>
      </c>
      <c r="M4185" s="5" t="inlineStr"/>
      <c r="N4185" s="5" t="inlineStr"/>
      <c r="O4185" s="5" t="inlineStr">
        <is>
          <t>WhatsApp</t>
        </is>
      </c>
      <c r="P4185" s="5" t="inlineStr"/>
      <c r="Q4185" s="5" t="inlineStr"/>
      <c r="R4185" s="5" t="inlineStr"/>
      <c r="S4185" s="5" t="inlineStr"/>
      <c r="T4185" s="5" t="inlineStr">
        <is>
          <t>Para uso livre; WhatsApp ilimitado; Assinatura Claro musica inclusa; Roaming: Passaporte Américas</t>
        </is>
      </c>
      <c r="U4185" s="5" t="inlineStr">
        <is>
          <t>https://www.claro.com.br/celular/flex</t>
        </is>
      </c>
      <c r="V4185" s="5" t="inlineStr">
        <is>
          <t>data/raw/claro_flex_SP.json</t>
        </is>
      </c>
    </row>
    <row r="4186">
      <c r="A4186" s="2" t="inlineStr">
        <is>
          <t>2026-09-04</t>
        </is>
      </c>
      <c r="B4186" s="2" t="inlineStr">
        <is>
          <t>2026-09-04T19:45:10</t>
        </is>
      </c>
      <c r="C4186" s="2" t="inlineStr">
        <is>
          <t>claro</t>
        </is>
      </c>
      <c r="D4186" s="2" t="inlineStr">
        <is>
          <t>postpaid</t>
        </is>
      </c>
      <c r="E4186" s="2" t="inlineStr">
        <is>
          <t>SP</t>
        </is>
      </c>
      <c r="F4186" s="2" t="inlineStr">
        <is>
          <t>Pós 100GB</t>
        </is>
      </c>
      <c r="G4186" s="2" t="inlineStr">
        <is>
          <t>claro:plano-pos-100gb</t>
        </is>
      </c>
      <c r="H4186" s="3" t="n">
        <v>179.9</v>
      </c>
      <c r="I4186" s="3" t="inlineStr"/>
      <c r="J4186" s="2" t="inlineStr"/>
      <c r="K4186" s="2" t="inlineStr"/>
      <c r="L4186" s="4" t="n">
        <v>100</v>
      </c>
      <c r="M4186" s="2" t="inlineStr"/>
      <c r="N4186" s="2" t="inlineStr"/>
      <c r="O4186" s="2" t="inlineStr">
        <is>
          <t>WhatsApp</t>
        </is>
      </c>
      <c r="P4186" s="2" t="inlineStr"/>
      <c r="Q4186" s="2" t="inlineStr"/>
      <c r="R4186" s="2" t="inlineStr"/>
      <c r="S4186" s="2" t="inlineStr"/>
      <c r="T4186" s="2" t="inlineStr">
        <is>
          <t>Armazenamento na nuvem:; Google One ou iCloud+; WhatsApp ilimitado; Assinatura Amazon Prime por 3 meses; Roaming: Passaporte Américas; Claro Sync: Smartwatch conectado</t>
        </is>
      </c>
      <c r="U4186" s="2" t="inlineStr">
        <is>
          <t>https://www.claro.com.br/celular/pos</t>
        </is>
      </c>
      <c r="V4186" s="2" t="inlineStr">
        <is>
          <t>data/raw/claro_postpaid_SP.json</t>
        </is>
      </c>
    </row>
    <row r="4187">
      <c r="A4187" s="5" t="inlineStr">
        <is>
          <t>2026-09-04</t>
        </is>
      </c>
      <c r="B4187" s="5" t="inlineStr">
        <is>
          <t>2026-09-04T19:45:10</t>
        </is>
      </c>
      <c r="C4187" s="5" t="inlineStr">
        <is>
          <t>claro</t>
        </is>
      </c>
      <c r="D4187" s="5" t="inlineStr">
        <is>
          <t>postpaid</t>
        </is>
      </c>
      <c r="E4187" s="5" t="inlineStr">
        <is>
          <t>SP</t>
        </is>
      </c>
      <c r="F4187" s="5" t="inlineStr">
        <is>
          <t>Pós 150GB</t>
        </is>
      </c>
      <c r="G4187" s="5" t="inlineStr">
        <is>
          <t>claro:plano-pos-150gb</t>
        </is>
      </c>
      <c r="H4187" s="6" t="n">
        <v>239.9</v>
      </c>
      <c r="I4187" s="6" t="inlineStr"/>
      <c r="J4187" s="5" t="inlineStr"/>
      <c r="K4187" s="5" t="inlineStr"/>
      <c r="L4187" s="7" t="n">
        <v>150</v>
      </c>
      <c r="M4187" s="5" t="inlineStr"/>
      <c r="N4187" s="5" t="inlineStr"/>
      <c r="O4187" s="5" t="inlineStr">
        <is>
          <t>WhatsApp</t>
        </is>
      </c>
      <c r="P4187" s="5" t="inlineStr"/>
      <c r="Q4187" s="5" t="inlineStr"/>
      <c r="R4187" s="5" t="inlineStr"/>
      <c r="S4187" s="5" t="inlineStr"/>
      <c r="T4187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187" s="5" t="inlineStr">
        <is>
          <t>https://www.claro.com.br/celular/pos</t>
        </is>
      </c>
      <c r="V4187" s="5" t="inlineStr">
        <is>
          <t>data/raw/claro_postpaid_SP.json</t>
        </is>
      </c>
    </row>
    <row r="4188">
      <c r="A4188" s="2" t="inlineStr">
        <is>
          <t>2026-09-04</t>
        </is>
      </c>
      <c r="B4188" s="2" t="inlineStr">
        <is>
          <t>2026-09-04T19:45:10</t>
        </is>
      </c>
      <c r="C4188" s="2" t="inlineStr">
        <is>
          <t>claro</t>
        </is>
      </c>
      <c r="D4188" s="2" t="inlineStr">
        <is>
          <t>postpaid</t>
        </is>
      </c>
      <c r="E4188" s="2" t="inlineStr">
        <is>
          <t>SP</t>
        </is>
      </c>
      <c r="F4188" s="2" t="inlineStr">
        <is>
          <t>Pós 200GB</t>
        </is>
      </c>
      <c r="G4188" s="2" t="inlineStr">
        <is>
          <t>claro:plano-pos-200gb</t>
        </is>
      </c>
      <c r="H4188" s="3" t="n">
        <v>339.9</v>
      </c>
      <c r="I4188" s="3" t="inlineStr"/>
      <c r="J4188" s="2" t="inlineStr"/>
      <c r="K4188" s="2" t="inlineStr"/>
      <c r="L4188" s="4" t="n">
        <v>200</v>
      </c>
      <c r="M4188" s="2" t="inlineStr"/>
      <c r="N4188" s="2" t="inlineStr"/>
      <c r="O4188" s="2" t="inlineStr">
        <is>
          <t>WhatsApp</t>
        </is>
      </c>
      <c r="P4188" s="2" t="inlineStr"/>
      <c r="Q4188" s="2" t="inlineStr"/>
      <c r="R4188" s="2" t="inlineStr"/>
      <c r="S4188" s="2" t="inlineStr"/>
      <c r="T4188" s="2" t="inlineStr">
        <is>
          <t>Armazenamento na nuvem:; Google One (AI Plus) ou iCloud+; WhatsApp ilimitado; Assinatura Amazon Prime por 3 meses; Roaming: Passaporte Mundo; Claro Sync: Smartwatch conectado</t>
        </is>
      </c>
      <c r="U4188" s="2" t="inlineStr">
        <is>
          <t>https://www.claro.com.br/celular/pos</t>
        </is>
      </c>
      <c r="V4188" s="2" t="inlineStr">
        <is>
          <t>data/raw/claro_postpaid_SP.json</t>
        </is>
      </c>
    </row>
    <row r="4189">
      <c r="A4189" s="5" t="inlineStr">
        <is>
          <t>2026-09-04</t>
        </is>
      </c>
      <c r="B4189" s="5" t="inlineStr">
        <is>
          <t>2026-09-04T19:45:10</t>
        </is>
      </c>
      <c r="C4189" s="5" t="inlineStr">
        <is>
          <t>claro</t>
        </is>
      </c>
      <c r="D4189" s="5" t="inlineStr">
        <is>
          <t>postpaid</t>
        </is>
      </c>
      <c r="E4189" s="5" t="inlineStr">
        <is>
          <t>SP</t>
        </is>
      </c>
      <c r="F4189" s="5" t="inlineStr">
        <is>
          <t>Pós 50GB com GeForce NOW</t>
        </is>
      </c>
      <c r="G4189" s="5" t="inlineStr">
        <is>
          <t>claro:plano-pos-60gb-geforce</t>
        </is>
      </c>
      <c r="H4189" s="6" t="n">
        <v>164.9</v>
      </c>
      <c r="I4189" s="6" t="inlineStr"/>
      <c r="J4189" s="5" t="inlineStr"/>
      <c r="K4189" s="5" t="inlineStr"/>
      <c r="L4189" s="7" t="n">
        <v>50</v>
      </c>
      <c r="M4189" s="5" t="inlineStr"/>
      <c r="N4189" s="5" t="inlineStr"/>
      <c r="O4189" s="5" t="inlineStr">
        <is>
          <t>WhatsApp</t>
        </is>
      </c>
      <c r="P4189" s="5" t="inlineStr"/>
      <c r="Q4189" s="5" t="inlineStr"/>
      <c r="R4189" s="5" t="inlineStr"/>
      <c r="S4189" s="5" t="inlineStr"/>
      <c r="T418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189" s="5" t="inlineStr">
        <is>
          <t>https://www.claro.com.br/celular/pos</t>
        </is>
      </c>
      <c r="V4189" s="5" t="inlineStr">
        <is>
          <t>data/raw/claro_postpaid_SP.json</t>
        </is>
      </c>
    </row>
    <row r="4190">
      <c r="A4190" s="2" t="inlineStr">
        <is>
          <t>2026-09-04</t>
        </is>
      </c>
      <c r="B4190" s="2" t="inlineStr">
        <is>
          <t>2026-09-04T19:45:10</t>
        </is>
      </c>
      <c r="C4190" s="2" t="inlineStr">
        <is>
          <t>claro</t>
        </is>
      </c>
      <c r="D4190" s="2" t="inlineStr">
        <is>
          <t>postpaid</t>
        </is>
      </c>
      <c r="E4190" s="2" t="inlineStr">
        <is>
          <t>SP</t>
        </is>
      </c>
      <c r="F4190" s="2" t="inlineStr">
        <is>
          <t>Pós 60GB</t>
        </is>
      </c>
      <c r="G4190" s="2" t="inlineStr">
        <is>
          <t>claro:plano-pos-60gb</t>
        </is>
      </c>
      <c r="H4190" s="3" t="n">
        <v>124.9</v>
      </c>
      <c r="I4190" s="3" t="inlineStr"/>
      <c r="J4190" s="2" t="inlineStr"/>
      <c r="K4190" s="2" t="inlineStr"/>
      <c r="L4190" s="4" t="n">
        <v>60</v>
      </c>
      <c r="M4190" s="2" t="inlineStr"/>
      <c r="N4190" s="2" t="inlineStr"/>
      <c r="O4190" s="2" t="inlineStr">
        <is>
          <t>WhatsApp</t>
        </is>
      </c>
      <c r="P4190" s="2" t="inlineStr"/>
      <c r="Q4190" s="2" t="inlineStr"/>
      <c r="R4190" s="2" t="inlineStr"/>
      <c r="S4190" s="2" t="inlineStr"/>
      <c r="T4190" s="2" t="inlineStr">
        <is>
          <t>Armazenamento na nuvem:; Google One ou iCloud+; WhatsApp ilimitado; Assinatura Amazon Prime por 3 meses; Roaming: Passaporte Américas; Claro Sync: Smartwatch conectado</t>
        </is>
      </c>
      <c r="U4190" s="2" t="inlineStr">
        <is>
          <t>https://www.claro.com.br/celular/pos</t>
        </is>
      </c>
      <c r="V4190" s="2" t="inlineStr">
        <is>
          <t>data/raw/claro_postpaid_SP.json</t>
        </is>
      </c>
    </row>
    <row r="4191">
      <c r="A4191" s="5" t="inlineStr">
        <is>
          <t>2026-09-04</t>
        </is>
      </c>
      <c r="B4191" s="5" t="inlineStr">
        <is>
          <t>2026-09-04T19:45:10</t>
        </is>
      </c>
      <c r="C4191" s="5" t="inlineStr">
        <is>
          <t>claro</t>
        </is>
      </c>
      <c r="D4191" s="5" t="inlineStr">
        <is>
          <t>prepaid</t>
        </is>
      </c>
      <c r="E4191" s="5" t="inlineStr">
        <is>
          <t>SP</t>
        </is>
      </c>
      <c r="F4191" s="5" t="inlineStr">
        <is>
          <t>Prezão 10GB (25 dias)</t>
        </is>
      </c>
      <c r="G4191" s="5" t="inlineStr">
        <is>
          <t>claro:prezao-25d-10gb</t>
        </is>
      </c>
      <c r="H4191" s="6" t="n">
        <v>25</v>
      </c>
      <c r="I4191" s="6" t="inlineStr"/>
      <c r="J4191" s="5" t="inlineStr">
        <is>
          <t>recarga Prezão R$25 — validade 25 dias</t>
        </is>
      </c>
      <c r="K4191" s="5" t="inlineStr"/>
      <c r="L4191" s="7" t="n">
        <v>10</v>
      </c>
      <c r="M4191" s="5" t="inlineStr"/>
      <c r="N4191" s="5" t="n">
        <v>25</v>
      </c>
      <c r="O4191" s="5" t="inlineStr"/>
      <c r="P4191" s="5" t="inlineStr"/>
      <c r="Q4191" s="5" t="inlineStr"/>
      <c r="R4191" s="5" t="inlineStr"/>
      <c r="S4191" s="5" t="inlineStr"/>
      <c r="T4191" s="5" t="inlineStr"/>
      <c r="U4191" s="5" t="inlineStr">
        <is>
          <t>https://www.claro.com.br/celular/planos-pre/prezao</t>
        </is>
      </c>
      <c r="V4191" s="5" t="inlineStr">
        <is>
          <t>data/raw/claro_prepaid_SP.json</t>
        </is>
      </c>
    </row>
    <row r="4192">
      <c r="A4192" s="2" t="inlineStr">
        <is>
          <t>2026-09-04</t>
        </is>
      </c>
      <c r="B4192" s="2" t="inlineStr">
        <is>
          <t>2026-09-04T19:45:10</t>
        </is>
      </c>
      <c r="C4192" s="2" t="inlineStr">
        <is>
          <t>claro</t>
        </is>
      </c>
      <c r="D4192" s="2" t="inlineStr">
        <is>
          <t>prepaid</t>
        </is>
      </c>
      <c r="E4192" s="2" t="inlineStr">
        <is>
          <t>SP</t>
        </is>
      </c>
      <c r="F4192" s="2" t="inlineStr">
        <is>
          <t>Prezão 12GB (30 dias)</t>
        </is>
      </c>
      <c r="G4192" s="2" t="inlineStr">
        <is>
          <t>claro:prezao-30d-12gb</t>
        </is>
      </c>
      <c r="H4192" s="3" t="n">
        <v>30</v>
      </c>
      <c r="I4192" s="3" t="inlineStr"/>
      <c r="J4192" s="2" t="inlineStr">
        <is>
          <t>recarga Prezão R$30 — validade 30 dias</t>
        </is>
      </c>
      <c r="K4192" s="2" t="inlineStr"/>
      <c r="L4192" s="4" t="n">
        <v>12</v>
      </c>
      <c r="M4192" s="2" t="inlineStr"/>
      <c r="N4192" s="2" t="n">
        <v>30</v>
      </c>
      <c r="O4192" s="2" t="inlineStr"/>
      <c r="P4192" s="2" t="inlineStr"/>
      <c r="Q4192" s="2" t="inlineStr"/>
      <c r="R4192" s="2" t="inlineStr"/>
      <c r="S4192" s="2" t="inlineStr"/>
      <c r="T4192" s="2" t="inlineStr"/>
      <c r="U4192" s="2" t="inlineStr">
        <is>
          <t>https://www.claro.com.br/celular/planos-pre/prezao</t>
        </is>
      </c>
      <c r="V4192" s="2" t="inlineStr">
        <is>
          <t>data/raw/claro_prepaid_SP.json</t>
        </is>
      </c>
    </row>
    <row r="4193">
      <c r="A4193" s="5" t="inlineStr">
        <is>
          <t>2026-09-04</t>
        </is>
      </c>
      <c r="B4193" s="5" t="inlineStr">
        <is>
          <t>2026-09-04T19:45:10</t>
        </is>
      </c>
      <c r="C4193" s="5" t="inlineStr">
        <is>
          <t>claro</t>
        </is>
      </c>
      <c r="D4193" s="5" t="inlineStr">
        <is>
          <t>prepaid</t>
        </is>
      </c>
      <c r="E4193" s="5" t="inlineStr">
        <is>
          <t>SP</t>
        </is>
      </c>
      <c r="F4193" s="5" t="inlineStr">
        <is>
          <t>Prezão 4GB (12 dias)</t>
        </is>
      </c>
      <c r="G4193" s="5" t="inlineStr">
        <is>
          <t>claro:prezao-12d-4gb</t>
        </is>
      </c>
      <c r="H4193" s="6" t="n">
        <v>15</v>
      </c>
      <c r="I4193" s="6" t="inlineStr"/>
      <c r="J4193" s="5" t="inlineStr">
        <is>
          <t>recarga Prezão R$15 — validade 12 dias</t>
        </is>
      </c>
      <c r="K4193" s="5" t="inlineStr"/>
      <c r="L4193" s="7" t="n">
        <v>4</v>
      </c>
      <c r="M4193" s="5" t="inlineStr"/>
      <c r="N4193" s="5" t="n">
        <v>12</v>
      </c>
      <c r="O4193" s="5" t="inlineStr"/>
      <c r="P4193" s="5" t="inlineStr"/>
      <c r="Q4193" s="5" t="inlineStr"/>
      <c r="R4193" s="5" t="inlineStr"/>
      <c r="S4193" s="5" t="inlineStr"/>
      <c r="T4193" s="5" t="inlineStr"/>
      <c r="U4193" s="5" t="inlineStr">
        <is>
          <t>https://www.claro.com.br/celular/planos-pre/prezao</t>
        </is>
      </c>
      <c r="V4193" s="5" t="inlineStr">
        <is>
          <t>data/raw/claro_prepaid_SP.json</t>
        </is>
      </c>
    </row>
    <row r="4194">
      <c r="A4194" s="2" t="inlineStr">
        <is>
          <t>2026-09-04</t>
        </is>
      </c>
      <c r="B4194" s="2" t="inlineStr">
        <is>
          <t>2026-09-04T19:45:10</t>
        </is>
      </c>
      <c r="C4194" s="2" t="inlineStr">
        <is>
          <t>claro</t>
        </is>
      </c>
      <c r="D4194" s="2" t="inlineStr">
        <is>
          <t>prepaid</t>
        </is>
      </c>
      <c r="E4194" s="2" t="inlineStr">
        <is>
          <t>SP</t>
        </is>
      </c>
      <c r="F4194" s="2" t="inlineStr">
        <is>
          <t>Prezão 5GB (15 dias)</t>
        </is>
      </c>
      <c r="G4194" s="2" t="inlineStr">
        <is>
          <t>claro:prezao-15d-5gb</t>
        </is>
      </c>
      <c r="H4194" s="3" t="n">
        <v>15</v>
      </c>
      <c r="I4194" s="3" t="inlineStr"/>
      <c r="J4194" s="2" t="inlineStr">
        <is>
          <t>recarga Prezão R$15 — validade 15 dias</t>
        </is>
      </c>
      <c r="K4194" s="2" t="inlineStr"/>
      <c r="L4194" s="4" t="n">
        <v>5</v>
      </c>
      <c r="M4194" s="2" t="inlineStr"/>
      <c r="N4194" s="2" t="n">
        <v>15</v>
      </c>
      <c r="O4194" s="2" t="inlineStr"/>
      <c r="P4194" s="2" t="inlineStr"/>
      <c r="Q4194" s="2" t="inlineStr"/>
      <c r="R4194" s="2" t="inlineStr"/>
      <c r="S4194" s="2" t="inlineStr"/>
      <c r="T4194" s="2" t="inlineStr"/>
      <c r="U4194" s="2" t="inlineStr">
        <is>
          <t>https://www.claro.com.br/celular/planos-pre/prezao</t>
        </is>
      </c>
      <c r="V4194" s="2" t="inlineStr">
        <is>
          <t>data/raw/claro_prepaid_SP.json</t>
        </is>
      </c>
    </row>
    <row r="4195">
      <c r="A4195" s="5" t="inlineStr">
        <is>
          <t>2026-09-04</t>
        </is>
      </c>
      <c r="B4195" s="5" t="inlineStr">
        <is>
          <t>2026-09-04T19:45:10</t>
        </is>
      </c>
      <c r="C4195" s="5" t="inlineStr">
        <is>
          <t>claro</t>
        </is>
      </c>
      <c r="D4195" s="5" t="inlineStr">
        <is>
          <t>prepaid</t>
        </is>
      </c>
      <c r="E4195" s="5" t="inlineStr">
        <is>
          <t>SP</t>
        </is>
      </c>
      <c r="F4195" s="5" t="inlineStr">
        <is>
          <t>Prezão 6GB (20 dias)</t>
        </is>
      </c>
      <c r="G4195" s="5" t="inlineStr">
        <is>
          <t>claro:prezao-20d-6gb</t>
        </is>
      </c>
      <c r="H4195" s="6" t="n">
        <v>20</v>
      </c>
      <c r="I4195" s="6" t="inlineStr"/>
      <c r="J4195" s="5" t="inlineStr">
        <is>
          <t>recarga Prezão R$20 — validade 20 dias</t>
        </is>
      </c>
      <c r="K4195" s="5" t="inlineStr"/>
      <c r="L4195" s="7" t="n">
        <v>6</v>
      </c>
      <c r="M4195" s="5" t="inlineStr"/>
      <c r="N4195" s="5" t="n">
        <v>20</v>
      </c>
      <c r="O4195" s="5" t="inlineStr"/>
      <c r="P4195" s="5" t="inlineStr"/>
      <c r="Q4195" s="5" t="inlineStr"/>
      <c r="R4195" s="5" t="inlineStr"/>
      <c r="S4195" s="5" t="inlineStr"/>
      <c r="T4195" s="5" t="inlineStr"/>
      <c r="U4195" s="5" t="inlineStr">
        <is>
          <t>https://www.claro.com.br/celular/planos-pre/prezao</t>
        </is>
      </c>
      <c r="V4195" s="5" t="inlineStr">
        <is>
          <t>data/raw/claro_prepaid_SP.json</t>
        </is>
      </c>
    </row>
    <row r="4196">
      <c r="A4196" s="2" t="inlineStr">
        <is>
          <t>2026-09-04</t>
        </is>
      </c>
      <c r="B4196" s="2" t="inlineStr">
        <is>
          <t>2026-09-04T19:45:10</t>
        </is>
      </c>
      <c r="C4196" s="2" t="inlineStr">
        <is>
          <t>claro</t>
        </is>
      </c>
      <c r="D4196" s="2" t="inlineStr">
        <is>
          <t>prepaid</t>
        </is>
      </c>
      <c r="E4196" s="2" t="inlineStr">
        <is>
          <t>SP</t>
        </is>
      </c>
      <c r="F4196" s="2" t="inlineStr">
        <is>
          <t>Prezão 8GB (20 dias)</t>
        </is>
      </c>
      <c r="G4196" s="2" t="inlineStr">
        <is>
          <t>claro:prezao-20d-8gb</t>
        </is>
      </c>
      <c r="H4196" s="3" t="n">
        <v>20</v>
      </c>
      <c r="I4196" s="3" t="inlineStr"/>
      <c r="J4196" s="2" t="inlineStr">
        <is>
          <t>recarga Prezão R$20 — validade 20 dias</t>
        </is>
      </c>
      <c r="K4196" s="2" t="inlineStr"/>
      <c r="L4196" s="4" t="n">
        <v>8</v>
      </c>
      <c r="M4196" s="2" t="inlineStr"/>
      <c r="N4196" s="2" t="n">
        <v>20</v>
      </c>
      <c r="O4196" s="2" t="inlineStr"/>
      <c r="P4196" s="2" t="inlineStr"/>
      <c r="Q4196" s="2" t="inlineStr"/>
      <c r="R4196" s="2" t="inlineStr"/>
      <c r="S4196" s="2" t="inlineStr"/>
      <c r="T4196" s="2" t="inlineStr"/>
      <c r="U4196" s="2" t="inlineStr">
        <is>
          <t>https://www.claro.com.br/celular/planos-pre/prezao</t>
        </is>
      </c>
      <c r="V4196" s="2" t="inlineStr">
        <is>
          <t>data/raw/claro_prepaid_SP.json</t>
        </is>
      </c>
    </row>
    <row r="4197">
      <c r="A4197" s="5" t="inlineStr">
        <is>
          <t>2026-09-04</t>
        </is>
      </c>
      <c r="B4197" s="5" t="inlineStr">
        <is>
          <t>2026-09-04T19:45:10</t>
        </is>
      </c>
      <c r="C4197" s="5" t="inlineStr">
        <is>
          <t>claro</t>
        </is>
      </c>
      <c r="D4197" s="5" t="inlineStr">
        <is>
          <t>prepaid</t>
        </is>
      </c>
      <c r="E4197" s="5" t="inlineStr">
        <is>
          <t>SP</t>
        </is>
      </c>
      <c r="F4197" s="5" t="inlineStr">
        <is>
          <t>Prezão 9GB (25 dias)</t>
        </is>
      </c>
      <c r="G4197" s="5" t="inlineStr">
        <is>
          <t>claro:prezao-25d-9gb</t>
        </is>
      </c>
      <c r="H4197" s="6" t="n">
        <v>25</v>
      </c>
      <c r="I4197" s="6" t="inlineStr"/>
      <c r="J4197" s="5" t="inlineStr">
        <is>
          <t>recarga Prezão R$25 — validade 25 dias</t>
        </is>
      </c>
      <c r="K4197" s="5" t="inlineStr"/>
      <c r="L4197" s="7" t="n">
        <v>9</v>
      </c>
      <c r="M4197" s="5" t="inlineStr"/>
      <c r="N4197" s="5" t="n">
        <v>25</v>
      </c>
      <c r="O4197" s="5" t="inlineStr"/>
      <c r="P4197" s="5" t="inlineStr"/>
      <c r="Q4197" s="5" t="inlineStr"/>
      <c r="R4197" s="5" t="inlineStr"/>
      <c r="S4197" s="5" t="inlineStr"/>
      <c r="T4197" s="5" t="inlineStr"/>
      <c r="U4197" s="5" t="inlineStr">
        <is>
          <t>https://www.claro.com.br/celular/planos-pre/prezao</t>
        </is>
      </c>
      <c r="V4197" s="5" t="inlineStr">
        <is>
          <t>data/raw/claro_prepaid_SP.json</t>
        </is>
      </c>
    </row>
    <row r="4198">
      <c r="A4198" s="2" t="inlineStr">
        <is>
          <t>2026-09-04</t>
        </is>
      </c>
      <c r="B4198" s="2" t="inlineStr">
        <is>
          <t>2026-09-04T19:45:10</t>
        </is>
      </c>
      <c r="C4198" s="2" t="inlineStr">
        <is>
          <t>tim</t>
        </is>
      </c>
      <c r="D4198" s="2" t="inlineStr">
        <is>
          <t>control</t>
        </is>
      </c>
      <c r="E4198" s="2" t="inlineStr">
        <is>
          <t>SP</t>
        </is>
      </c>
      <c r="F4198" s="2" t="inlineStr">
        <is>
          <t>TIM Controle 45GB</t>
        </is>
      </c>
      <c r="G4198" s="2" t="inlineStr">
        <is>
          <t>tim:182766</t>
        </is>
      </c>
      <c r="H4198" s="3" t="n">
        <v>49.99</v>
      </c>
      <c r="I4198" s="3" t="inlineStr"/>
      <c r="J4198" s="2" t="inlineStr"/>
      <c r="K4198" s="2" t="inlineStr"/>
      <c r="L4198" s="4" t="n">
        <v>45</v>
      </c>
      <c r="M4198" s="2" t="inlineStr"/>
      <c r="N4198" s="2" t="inlineStr"/>
      <c r="O4198" s="2" t="inlineStr"/>
      <c r="P4198" s="2" t="inlineStr"/>
      <c r="Q4198" s="2" t="inlineStr"/>
      <c r="R4198" s="2" t="inlineStr"/>
      <c r="S4198" s="2" t="inlineStr"/>
      <c r="T4198" s="2" t="inlineStr"/>
      <c r="U4198" s="2" t="inlineStr">
        <is>
          <t>https://www.tim.com.br/sp/para-voce/planos/controle</t>
        </is>
      </c>
      <c r="V4198" s="2" t="inlineStr">
        <is>
          <t>data/raw/tim_control_SP.html</t>
        </is>
      </c>
    </row>
    <row r="4199">
      <c r="A4199" s="5" t="inlineStr">
        <is>
          <t>2026-09-04</t>
        </is>
      </c>
      <c r="B4199" s="5" t="inlineStr">
        <is>
          <t>2026-09-04T19:45:10</t>
        </is>
      </c>
      <c r="C4199" s="5" t="inlineStr">
        <is>
          <t>tim</t>
        </is>
      </c>
      <c r="D4199" s="5" t="inlineStr">
        <is>
          <t>control</t>
        </is>
      </c>
      <c r="E4199" s="5" t="inlineStr">
        <is>
          <t>SP</t>
        </is>
      </c>
      <c r="F4199" s="5" t="inlineStr">
        <is>
          <t>TIM Controle Light Express 45GB</t>
        </is>
      </c>
      <c r="G4199" s="5" t="inlineStr">
        <is>
          <t>tim:167726</t>
        </is>
      </c>
      <c r="H4199" s="6" t="n">
        <v>60.99</v>
      </c>
      <c r="I4199" s="6" t="inlineStr"/>
      <c r="J4199" s="5" t="inlineStr"/>
      <c r="K4199" s="5" t="inlineStr"/>
      <c r="L4199" s="7" t="n">
        <v>45</v>
      </c>
      <c r="M4199" s="5" t="inlineStr"/>
      <c r="N4199" s="5" t="inlineStr"/>
      <c r="O4199" s="5" t="inlineStr"/>
      <c r="P4199" s="5" t="inlineStr"/>
      <c r="Q4199" s="5" t="inlineStr"/>
      <c r="R4199" s="5" t="inlineStr"/>
      <c r="S4199" s="5" t="inlineStr"/>
      <c r="T4199" s="5" t="inlineStr"/>
      <c r="U4199" s="5" t="inlineStr">
        <is>
          <t>https://www.tim.com.br/sp/para-voce/planos/controle</t>
        </is>
      </c>
      <c r="V4199" s="5" t="inlineStr">
        <is>
          <t>data/raw/tim_control_SP.html</t>
        </is>
      </c>
    </row>
    <row r="4200">
      <c r="A4200" s="2" t="inlineStr">
        <is>
          <t>2026-09-04</t>
        </is>
      </c>
      <c r="B4200" s="2" t="inlineStr">
        <is>
          <t>2026-09-04T19:45:10</t>
        </is>
      </c>
      <c r="C4200" s="2" t="inlineStr">
        <is>
          <t>tim</t>
        </is>
      </c>
      <c r="D4200" s="2" t="inlineStr">
        <is>
          <t>control</t>
        </is>
      </c>
      <c r="E4200" s="2" t="inlineStr">
        <is>
          <t>SP</t>
        </is>
      </c>
      <c r="F4200" s="2" t="inlineStr">
        <is>
          <t>TIM Controle Premium 55GB</t>
        </is>
      </c>
      <c r="G4200" s="2" t="inlineStr">
        <is>
          <t>tim:180756</t>
        </is>
      </c>
      <c r="H4200" s="3" t="n">
        <v>69.98999999999999</v>
      </c>
      <c r="I4200" s="3" t="inlineStr"/>
      <c r="J4200" s="2" t="inlineStr"/>
      <c r="K4200" s="2" t="inlineStr"/>
      <c r="L4200" s="4" t="n">
        <v>55</v>
      </c>
      <c r="M4200" s="2" t="inlineStr"/>
      <c r="N4200" s="2" t="inlineStr"/>
      <c r="O4200" s="2" t="inlineStr"/>
      <c r="P4200" s="2" t="inlineStr"/>
      <c r="Q4200" s="2" t="inlineStr"/>
      <c r="R4200" s="2" t="inlineStr"/>
      <c r="S4200" s="2" t="inlineStr"/>
      <c r="T4200" s="2" t="inlineStr"/>
      <c r="U4200" s="2" t="inlineStr">
        <is>
          <t>https://www.tim.com.br/sp/para-voce/planos/controle</t>
        </is>
      </c>
      <c r="V4200" s="2" t="inlineStr">
        <is>
          <t>data/raw/tim_control_SP.html</t>
        </is>
      </c>
    </row>
    <row r="4201">
      <c r="A4201" s="5" t="inlineStr">
        <is>
          <t>2026-09-04</t>
        </is>
      </c>
      <c r="B4201" s="5" t="inlineStr">
        <is>
          <t>2026-09-04T19:45:10</t>
        </is>
      </c>
      <c r="C4201" s="5" t="inlineStr">
        <is>
          <t>tim</t>
        </is>
      </c>
      <c r="D4201" s="5" t="inlineStr">
        <is>
          <t>control</t>
        </is>
      </c>
      <c r="E4201" s="5" t="inlineStr">
        <is>
          <t>SP</t>
        </is>
      </c>
      <c r="F4201" s="5" t="inlineStr">
        <is>
          <t>TIM Controle Pro Express 46GB</t>
        </is>
      </c>
      <c r="G4201" s="5" t="inlineStr">
        <is>
          <t>tim:167731</t>
        </is>
      </c>
      <c r="H4201" s="6" t="n">
        <v>64.98999999999999</v>
      </c>
      <c r="I4201" s="6" t="inlineStr"/>
      <c r="J4201" s="5" t="inlineStr"/>
      <c r="K4201" s="5" t="inlineStr"/>
      <c r="L4201" s="7" t="n">
        <v>46</v>
      </c>
      <c r="M4201" s="5" t="inlineStr"/>
      <c r="N4201" s="5" t="inlineStr"/>
      <c r="O4201" s="5" t="inlineStr"/>
      <c r="P4201" s="5" t="inlineStr"/>
      <c r="Q4201" s="5" t="inlineStr"/>
      <c r="R4201" s="5" t="inlineStr"/>
      <c r="S4201" s="5" t="inlineStr"/>
      <c r="T4201" s="5" t="inlineStr"/>
      <c r="U4201" s="5" t="inlineStr">
        <is>
          <t>https://www.tim.com.br/sp/para-voce/planos/controle</t>
        </is>
      </c>
      <c r="V4201" s="5" t="inlineStr">
        <is>
          <t>data/raw/tim_control_SP.html</t>
        </is>
      </c>
    </row>
    <row r="4202">
      <c r="A4202" s="2" t="inlineStr">
        <is>
          <t>2026-09-04</t>
        </is>
      </c>
      <c r="B4202" s="2" t="inlineStr">
        <is>
          <t>2026-09-04T19:45:10</t>
        </is>
      </c>
      <c r="C4202" s="2" t="inlineStr">
        <is>
          <t>tim</t>
        </is>
      </c>
      <c r="D4202" s="2" t="inlineStr">
        <is>
          <t>control</t>
        </is>
      </c>
      <c r="E4202" s="2" t="inlineStr">
        <is>
          <t>SP</t>
        </is>
      </c>
      <c r="F4202" s="2" t="inlineStr">
        <is>
          <t>TIM Controle Redes Sociais 46GB</t>
        </is>
      </c>
      <c r="G4202" s="2" t="inlineStr">
        <is>
          <t>tim:167031</t>
        </is>
      </c>
      <c r="H4202" s="3" t="n">
        <v>59.99</v>
      </c>
      <c r="I4202" s="3" t="inlineStr"/>
      <c r="J4202" s="2" t="inlineStr"/>
      <c r="K4202" s="2" t="inlineStr"/>
      <c r="L4202" s="4" t="n">
        <v>46</v>
      </c>
      <c r="M4202" s="2" t="inlineStr"/>
      <c r="N4202" s="2" t="inlineStr"/>
      <c r="O4202" s="2" t="inlineStr"/>
      <c r="P4202" s="2" t="inlineStr"/>
      <c r="Q4202" s="2" t="inlineStr"/>
      <c r="R4202" s="2" t="inlineStr"/>
      <c r="S4202" s="2" t="inlineStr"/>
      <c r="T4202" s="2" t="inlineStr"/>
      <c r="U4202" s="2" t="inlineStr">
        <is>
          <t>https://www.tim.com.br/sp/para-voce/planos/controle</t>
        </is>
      </c>
      <c r="V4202" s="2" t="inlineStr">
        <is>
          <t>data/raw/tim_control_SP.html</t>
        </is>
      </c>
    </row>
    <row r="4203">
      <c r="A4203" s="5" t="inlineStr">
        <is>
          <t>2026-09-04</t>
        </is>
      </c>
      <c r="B4203" s="5" t="inlineStr">
        <is>
          <t>2026-09-04T19:45:10</t>
        </is>
      </c>
      <c r="C4203" s="5" t="inlineStr">
        <is>
          <t>tim</t>
        </is>
      </c>
      <c r="D4203" s="5" t="inlineStr">
        <is>
          <t>fit</t>
        </is>
      </c>
      <c r="E4203" s="5" t="inlineStr">
        <is>
          <t>SP</t>
        </is>
      </c>
      <c r="F4203" s="5" t="inlineStr">
        <is>
          <t>TIM Controle Fit Anual 1.0</t>
        </is>
      </c>
      <c r="G4203" s="5" t="inlineStr">
        <is>
          <t>tim:TIM202600000306</t>
        </is>
      </c>
      <c r="H4203" s="6" t="n">
        <v>20</v>
      </c>
      <c r="I4203" s="6" t="inlineStr"/>
      <c r="J4203" s="5" t="inlineStr">
        <is>
          <t>plano anual 12x no cartão de crédito; a etiqueta TIM informa 'sem prazo de permanência'</t>
        </is>
      </c>
      <c r="K4203" s="5" t="inlineStr">
        <is>
          <t>credit_card</t>
        </is>
      </c>
      <c r="L4203" s="7" t="n">
        <v>25</v>
      </c>
      <c r="M4203" s="5" t="inlineStr"/>
      <c r="N4203" s="5" t="inlineStr"/>
      <c r="O4203" s="5" t="inlineStr"/>
      <c r="P4203" s="5" t="inlineStr"/>
      <c r="Q4203" s="5" t="inlineStr"/>
      <c r="R4203" s="5" t="inlineStr"/>
      <c r="S4203" s="5" t="n">
        <v>12</v>
      </c>
      <c r="T4203" s="5" t="inlineStr"/>
      <c r="U4203" s="5" t="inlineStr">
        <is>
          <t>https://www.tim.com.br/sp/para-voce/planos/controle</t>
        </is>
      </c>
      <c r="V4203" s="5" t="inlineStr">
        <is>
          <t>data/raw/tim_fit_SP.html</t>
        </is>
      </c>
    </row>
    <row r="4204">
      <c r="A4204" s="2" t="inlineStr">
        <is>
          <t>2026-09-04</t>
        </is>
      </c>
      <c r="B4204" s="2" t="inlineStr">
        <is>
          <t>2026-09-04T19:45:10</t>
        </is>
      </c>
      <c r="C4204" s="2" t="inlineStr">
        <is>
          <t>tim</t>
        </is>
      </c>
      <c r="D4204" s="2" t="inlineStr">
        <is>
          <t>fit</t>
        </is>
      </c>
      <c r="E4204" s="2" t="inlineStr">
        <is>
          <t>SP</t>
        </is>
      </c>
      <c r="F4204" s="2" t="inlineStr">
        <is>
          <t>TIM Controle Fit Anual 2.0</t>
        </is>
      </c>
      <c r="G4204" s="2" t="inlineStr">
        <is>
          <t>tim:TIM202600000271</t>
        </is>
      </c>
      <c r="H4204" s="3" t="n">
        <v>30</v>
      </c>
      <c r="I4204" s="3" t="inlineStr"/>
      <c r="J4204" s="2" t="inlineStr">
        <is>
          <t>plano anual 12x no cartão de crédito; a etiqueta TIM informa 'sem prazo de permanência'</t>
        </is>
      </c>
      <c r="K4204" s="2" t="inlineStr">
        <is>
          <t>credit_card</t>
        </is>
      </c>
      <c r="L4204" s="4" t="n">
        <v>35</v>
      </c>
      <c r="M4204" s="2" t="inlineStr"/>
      <c r="N4204" s="2" t="inlineStr"/>
      <c r="O4204" s="2" t="inlineStr"/>
      <c r="P4204" s="2" t="inlineStr"/>
      <c r="Q4204" s="2" t="inlineStr"/>
      <c r="R4204" s="2" t="inlineStr"/>
      <c r="S4204" s="2" t="n">
        <v>12</v>
      </c>
      <c r="T4204" s="2" t="inlineStr"/>
      <c r="U4204" s="2" t="inlineStr">
        <is>
          <t>https://www.tim.com.br/sp/para-voce/planos/controle</t>
        </is>
      </c>
      <c r="V4204" s="2" t="inlineStr">
        <is>
          <t>data/raw/tim_fit_SP.html</t>
        </is>
      </c>
    </row>
    <row r="4205">
      <c r="A4205" s="5" t="inlineStr">
        <is>
          <t>2026-09-04</t>
        </is>
      </c>
      <c r="B4205" s="5" t="inlineStr">
        <is>
          <t>2026-09-04T19:45:10</t>
        </is>
      </c>
      <c r="C4205" s="5" t="inlineStr">
        <is>
          <t>tim</t>
        </is>
      </c>
      <c r="D4205" s="5" t="inlineStr">
        <is>
          <t>fit</t>
        </is>
      </c>
      <c r="E4205" s="5" t="inlineStr">
        <is>
          <t>SP</t>
        </is>
      </c>
      <c r="F4205" s="5" t="inlineStr">
        <is>
          <t>TIM Controle Fit Mensal 1.0</t>
        </is>
      </c>
      <c r="G4205" s="5" t="inlineStr">
        <is>
          <t>tim:TIM202600000270</t>
        </is>
      </c>
      <c r="H4205" s="6" t="n">
        <v>20</v>
      </c>
      <c r="I4205" s="6" t="inlineStr"/>
      <c r="J4205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205" s="5" t="inlineStr"/>
      <c r="L4205" s="7" t="n">
        <v>20</v>
      </c>
      <c r="M4205" s="5" t="inlineStr"/>
      <c r="N4205" s="5" t="inlineStr"/>
      <c r="O4205" s="5" t="inlineStr"/>
      <c r="P4205" s="5" t="inlineStr"/>
      <c r="Q4205" s="5" t="inlineStr"/>
      <c r="R4205" s="5" t="inlineStr"/>
      <c r="S4205" s="5" t="inlineStr"/>
      <c r="T4205" s="5" t="inlineStr"/>
      <c r="U4205" s="5" t="inlineStr">
        <is>
          <t>https://www.tim.com.br/sp/para-voce/planos/controle</t>
        </is>
      </c>
      <c r="V4205" s="5" t="inlineStr">
        <is>
          <t>data/raw/tim_fit_SP.html</t>
        </is>
      </c>
    </row>
    <row r="4206">
      <c r="A4206" s="2" t="inlineStr">
        <is>
          <t>2026-09-04</t>
        </is>
      </c>
      <c r="B4206" s="2" t="inlineStr">
        <is>
          <t>2026-09-04T19:45:10</t>
        </is>
      </c>
      <c r="C4206" s="2" t="inlineStr">
        <is>
          <t>tim</t>
        </is>
      </c>
      <c r="D4206" s="2" t="inlineStr">
        <is>
          <t>fit</t>
        </is>
      </c>
      <c r="E4206" s="2" t="inlineStr">
        <is>
          <t>SP</t>
        </is>
      </c>
      <c r="F4206" s="2" t="inlineStr">
        <is>
          <t>TIM Controle Fit Mensal 2.0</t>
        </is>
      </c>
      <c r="G4206" s="2" t="inlineStr">
        <is>
          <t>tim:TIM202600000305</t>
        </is>
      </c>
      <c r="H4206" s="3" t="n">
        <v>45</v>
      </c>
      <c r="I4206" s="3" t="inlineStr"/>
      <c r="J4206" s="2" t="inlineStr">
        <is>
          <t>plano mensal, sem prazo de permanência; a etiqueta TIM informa 'sem prazo de permanência'</t>
        </is>
      </c>
      <c r="K4206" s="2" t="inlineStr"/>
      <c r="L4206" s="4" t="n">
        <v>35</v>
      </c>
      <c r="M4206" s="2" t="inlineStr"/>
      <c r="N4206" s="2" t="inlineStr"/>
      <c r="O4206" s="2" t="inlineStr"/>
      <c r="P4206" s="2" t="inlineStr"/>
      <c r="Q4206" s="2" t="inlineStr"/>
      <c r="R4206" s="2" t="inlineStr"/>
      <c r="S4206" s="2" t="inlineStr"/>
      <c r="T4206" s="2" t="inlineStr"/>
      <c r="U4206" s="2" t="inlineStr">
        <is>
          <t>https://www.tim.com.br/sp/para-voce/planos/controle</t>
        </is>
      </c>
      <c r="V4206" s="2" t="inlineStr">
        <is>
          <t>data/raw/tim_fit_SP.html</t>
        </is>
      </c>
    </row>
    <row r="4207">
      <c r="A4207" s="5" t="inlineStr">
        <is>
          <t>2026-09-04</t>
        </is>
      </c>
      <c r="B4207" s="5" t="inlineStr">
        <is>
          <t>2026-09-04T19:45:10</t>
        </is>
      </c>
      <c r="C4207" s="5" t="inlineStr">
        <is>
          <t>tim</t>
        </is>
      </c>
      <c r="D4207" s="5" t="inlineStr">
        <is>
          <t>postpaid</t>
        </is>
      </c>
      <c r="E4207" s="5" t="inlineStr">
        <is>
          <t>SP</t>
        </is>
      </c>
      <c r="F4207" s="5" t="inlineStr">
        <is>
          <t>TIM Black 70GB</t>
        </is>
      </c>
      <c r="G4207" s="5" t="inlineStr">
        <is>
          <t>tim:54206</t>
        </is>
      </c>
      <c r="H4207" s="6" t="n">
        <v>129.99</v>
      </c>
      <c r="I4207" s="6" t="inlineStr"/>
      <c r="J4207" s="5" t="inlineStr"/>
      <c r="K4207" s="5" t="inlineStr">
        <is>
          <t>bill</t>
        </is>
      </c>
      <c r="L4207" s="7" t="n">
        <v>70</v>
      </c>
      <c r="M4207" s="5" t="inlineStr"/>
      <c r="N4207" s="5" t="inlineStr"/>
      <c r="O4207" s="5" t="inlineStr"/>
      <c r="P4207" s="5" t="inlineStr"/>
      <c r="Q4207" s="5" t="inlineStr"/>
      <c r="R4207" s="5" t="inlineStr"/>
      <c r="S4207" s="5" t="inlineStr"/>
      <c r="T4207" s="5" t="inlineStr"/>
      <c r="U4207" s="5" t="inlineStr">
        <is>
          <t>https://www.tim.com.br/sp/para-voce/planos/pos-pago/tim-black</t>
        </is>
      </c>
      <c r="V4207" s="5" t="inlineStr">
        <is>
          <t>data/raw/tim_postpaid_SP.html</t>
        </is>
      </c>
    </row>
    <row r="4208">
      <c r="A4208" s="2" t="inlineStr">
        <is>
          <t>2026-09-04</t>
        </is>
      </c>
      <c r="B4208" s="2" t="inlineStr">
        <is>
          <t>2026-09-04T19:45:10</t>
        </is>
      </c>
      <c r="C4208" s="2" t="inlineStr">
        <is>
          <t>tim</t>
        </is>
      </c>
      <c r="D4208" s="2" t="inlineStr">
        <is>
          <t>postpaid</t>
        </is>
      </c>
      <c r="E4208" s="2" t="inlineStr">
        <is>
          <t>SP</t>
        </is>
      </c>
      <c r="F4208" s="2" t="inlineStr">
        <is>
          <t>TIM Black A Express 67GB</t>
        </is>
      </c>
      <c r="G4208" s="2" t="inlineStr">
        <is>
          <t>tim:55121</t>
        </is>
      </c>
      <c r="H4208" s="3" t="n">
        <v>119.99</v>
      </c>
      <c r="I4208" s="3" t="inlineStr"/>
      <c r="J4208" s="2" t="inlineStr"/>
      <c r="K4208" s="2" t="inlineStr">
        <is>
          <t>credit_card</t>
        </is>
      </c>
      <c r="L4208" s="4" t="n">
        <v>67</v>
      </c>
      <c r="M4208" s="2" t="inlineStr"/>
      <c r="N4208" s="2" t="inlineStr"/>
      <c r="O4208" s="2" t="inlineStr"/>
      <c r="P4208" s="2" t="inlineStr"/>
      <c r="Q4208" s="2" t="inlineStr"/>
      <c r="R4208" s="2" t="inlineStr"/>
      <c r="S4208" s="2" t="inlineStr"/>
      <c r="T4208" s="2" t="inlineStr"/>
      <c r="U4208" s="2" t="inlineStr">
        <is>
          <t>https://www.tim.com.br/sp/para-voce/planos/pos-pago/tim-black</t>
        </is>
      </c>
      <c r="V4208" s="2" t="inlineStr">
        <is>
          <t>data/raw/tim_postpaid_SP.html</t>
        </is>
      </c>
    </row>
    <row r="4209">
      <c r="A4209" s="5" t="inlineStr">
        <is>
          <t>2026-09-04</t>
        </is>
      </c>
      <c r="B4209" s="5" t="inlineStr">
        <is>
          <t>2026-09-04T19:45:10</t>
        </is>
      </c>
      <c r="C4209" s="5" t="inlineStr">
        <is>
          <t>tim</t>
        </is>
      </c>
      <c r="D4209" s="5" t="inlineStr">
        <is>
          <t>postpaid</t>
        </is>
      </c>
      <c r="E4209" s="5" t="inlineStr">
        <is>
          <t>SP</t>
        </is>
      </c>
      <c r="F4209" s="5" t="inlineStr">
        <is>
          <t>TIM Black B Express 82GB</t>
        </is>
      </c>
      <c r="G4209" s="5" t="inlineStr">
        <is>
          <t>tim:52146</t>
        </is>
      </c>
      <c r="H4209" s="6" t="n">
        <v>144.99</v>
      </c>
      <c r="I4209" s="6" t="inlineStr"/>
      <c r="J4209" s="5" t="inlineStr"/>
      <c r="K4209" s="5" t="inlineStr">
        <is>
          <t>credit_card</t>
        </is>
      </c>
      <c r="L4209" s="7" t="n">
        <v>82</v>
      </c>
      <c r="M4209" s="5" t="inlineStr"/>
      <c r="N4209" s="5" t="inlineStr"/>
      <c r="O4209" s="5" t="inlineStr"/>
      <c r="P4209" s="5" t="inlineStr"/>
      <c r="Q4209" s="5" t="inlineStr"/>
      <c r="R4209" s="5" t="inlineStr"/>
      <c r="S4209" s="5" t="inlineStr"/>
      <c r="T4209" s="5" t="inlineStr"/>
      <c r="U4209" s="5" t="inlineStr">
        <is>
          <t>https://www.tim.com.br/sp/para-voce/planos/pos-pago/tim-black</t>
        </is>
      </c>
      <c r="V4209" s="5" t="inlineStr">
        <is>
          <t>data/raw/tim_postpaid_SP.html</t>
        </is>
      </c>
    </row>
    <row r="4210">
      <c r="A4210" s="2" t="inlineStr">
        <is>
          <t>2026-09-04</t>
        </is>
      </c>
      <c r="B4210" s="2" t="inlineStr">
        <is>
          <t>2026-09-04T19:45:10</t>
        </is>
      </c>
      <c r="C4210" s="2" t="inlineStr">
        <is>
          <t>tim</t>
        </is>
      </c>
      <c r="D4210" s="2" t="inlineStr">
        <is>
          <t>postpaid</t>
        </is>
      </c>
      <c r="E4210" s="2" t="inlineStr">
        <is>
          <t>SP</t>
        </is>
      </c>
      <c r="F4210" s="2" t="inlineStr">
        <is>
          <t>TIM Black C Express 107GB</t>
        </is>
      </c>
      <c r="G4210" s="2" t="inlineStr">
        <is>
          <t>tim:52151</t>
        </is>
      </c>
      <c r="H4210" s="3" t="n">
        <v>164.99</v>
      </c>
      <c r="I4210" s="3" t="inlineStr"/>
      <c r="J4210" s="2" t="inlineStr"/>
      <c r="K4210" s="2" t="inlineStr">
        <is>
          <t>credit_card</t>
        </is>
      </c>
      <c r="L4210" s="4" t="n">
        <v>107</v>
      </c>
      <c r="M4210" s="2" t="inlineStr"/>
      <c r="N4210" s="2" t="inlineStr"/>
      <c r="O4210" s="2" t="inlineStr"/>
      <c r="P4210" s="2" t="inlineStr"/>
      <c r="Q4210" s="2" t="inlineStr"/>
      <c r="R4210" s="2" t="inlineStr"/>
      <c r="S4210" s="2" t="inlineStr"/>
      <c r="T4210" s="2" t="inlineStr"/>
      <c r="U4210" s="2" t="inlineStr">
        <is>
          <t>https://www.tim.com.br/sp/para-voce/planos/pos-pago/tim-black</t>
        </is>
      </c>
      <c r="V4210" s="2" t="inlineStr">
        <is>
          <t>data/raw/tim_postpaid_SP.html</t>
        </is>
      </c>
    </row>
    <row r="4211">
      <c r="A4211" s="5" t="inlineStr">
        <is>
          <t>2026-09-04</t>
        </is>
      </c>
      <c r="B4211" s="5" t="inlineStr">
        <is>
          <t>2026-09-04T19:45:10</t>
        </is>
      </c>
      <c r="C4211" s="5" t="inlineStr">
        <is>
          <t>tim</t>
        </is>
      </c>
      <c r="D4211" s="5" t="inlineStr">
        <is>
          <t>postpaid</t>
        </is>
      </c>
      <c r="E4211" s="5" t="inlineStr">
        <is>
          <t>SP</t>
        </is>
      </c>
      <c r="F4211" s="5" t="inlineStr">
        <is>
          <t>TIM Black Plus 80GB</t>
        </is>
      </c>
      <c r="G4211" s="5" t="inlineStr">
        <is>
          <t>tim:54256</t>
        </is>
      </c>
      <c r="H4211" s="6" t="n">
        <v>149.99</v>
      </c>
      <c r="I4211" s="6" t="inlineStr"/>
      <c r="J4211" s="5" t="inlineStr"/>
      <c r="K4211" s="5" t="inlineStr">
        <is>
          <t>bill</t>
        </is>
      </c>
      <c r="L4211" s="7" t="n">
        <v>80</v>
      </c>
      <c r="M4211" s="5" t="inlineStr"/>
      <c r="N4211" s="5" t="inlineStr"/>
      <c r="O4211" s="5" t="inlineStr"/>
      <c r="P4211" s="5" t="inlineStr"/>
      <c r="Q4211" s="5" t="inlineStr"/>
      <c r="R4211" s="5" t="inlineStr"/>
      <c r="S4211" s="5" t="inlineStr"/>
      <c r="T4211" s="5" t="inlineStr"/>
      <c r="U4211" s="5" t="inlineStr">
        <is>
          <t>https://www.tim.com.br/sp/para-voce/planos/pos-pago/tim-black</t>
        </is>
      </c>
      <c r="V4211" s="5" t="inlineStr">
        <is>
          <t>data/raw/tim_postpaid_SP.html</t>
        </is>
      </c>
    </row>
    <row r="4212">
      <c r="A4212" s="2" t="inlineStr">
        <is>
          <t>2026-09-04</t>
        </is>
      </c>
      <c r="B4212" s="2" t="inlineStr">
        <is>
          <t>2026-09-04T19:45:10</t>
        </is>
      </c>
      <c r="C4212" s="2" t="inlineStr">
        <is>
          <t>tim</t>
        </is>
      </c>
      <c r="D4212" s="2" t="inlineStr">
        <is>
          <t>postpaid</t>
        </is>
      </c>
      <c r="E4212" s="2" t="inlineStr">
        <is>
          <t>SP</t>
        </is>
      </c>
      <c r="F4212" s="2" t="inlineStr">
        <is>
          <t>TIM Black Premium 110GB</t>
        </is>
      </c>
      <c r="G4212" s="2" t="inlineStr">
        <is>
          <t>tim:54261</t>
        </is>
      </c>
      <c r="H4212" s="3" t="n">
        <v>159.99</v>
      </c>
      <c r="I4212" s="3" t="inlineStr"/>
      <c r="J4212" s="2" t="inlineStr"/>
      <c r="K4212" s="2" t="inlineStr">
        <is>
          <t>bill</t>
        </is>
      </c>
      <c r="L4212" s="4" t="n">
        <v>110</v>
      </c>
      <c r="M4212" s="2" t="inlineStr"/>
      <c r="N4212" s="2" t="inlineStr"/>
      <c r="O4212" s="2" t="inlineStr"/>
      <c r="P4212" s="2" t="inlineStr"/>
      <c r="Q4212" s="2" t="inlineStr"/>
      <c r="R4212" s="2" t="inlineStr"/>
      <c r="S4212" s="2" t="inlineStr"/>
      <c r="T4212" s="2" t="inlineStr"/>
      <c r="U4212" s="2" t="inlineStr">
        <is>
          <t>https://www.tim.com.br/sp/para-voce/planos/pos-pago/tim-black</t>
        </is>
      </c>
      <c r="V4212" s="2" t="inlineStr">
        <is>
          <t>data/raw/tim_postpaid_SP.html</t>
        </is>
      </c>
    </row>
    <row r="4213">
      <c r="A4213" s="5" t="inlineStr">
        <is>
          <t>2026-09-04</t>
        </is>
      </c>
      <c r="B4213" s="5" t="inlineStr">
        <is>
          <t>2026-09-04T19:45:10</t>
        </is>
      </c>
      <c r="C4213" s="5" t="inlineStr">
        <is>
          <t>tim</t>
        </is>
      </c>
      <c r="D4213" s="5" t="inlineStr">
        <is>
          <t>prepaid</t>
        </is>
      </c>
      <c r="E4213" s="5" t="inlineStr">
        <is>
          <t>SP</t>
        </is>
      </c>
      <c r="F4213" s="5" t="inlineStr">
        <is>
          <t>TIM Pré XIP Plus 16GB</t>
        </is>
      </c>
      <c r="G4213" s="5" t="inlineStr">
        <is>
          <t>tim:106306</t>
        </is>
      </c>
      <c r="H4213" s="6" t="n">
        <v>30</v>
      </c>
      <c r="I4213" s="6" t="inlineStr"/>
      <c r="J4213" s="5" t="inlineStr"/>
      <c r="K4213" s="5" t="inlineStr"/>
      <c r="L4213" s="7" t="n">
        <v>16</v>
      </c>
      <c r="M4213" s="5" t="inlineStr"/>
      <c r="N4213" s="5" t="n">
        <v>30</v>
      </c>
      <c r="O4213" s="5" t="inlineStr"/>
      <c r="P4213" s="5" t="inlineStr"/>
      <c r="Q4213" s="5" t="inlineStr"/>
      <c r="R4213" s="5" t="inlineStr"/>
      <c r="S4213" s="5" t="inlineStr"/>
      <c r="T4213" s="5" t="inlineStr"/>
      <c r="U4213" s="5" t="inlineStr">
        <is>
          <t>https://www.tim.com.br/sp/para-voce/planos/pre-pago</t>
        </is>
      </c>
      <c r="V4213" s="5" t="inlineStr">
        <is>
          <t>data/raw/tim_prepaid_SP.html</t>
        </is>
      </c>
    </row>
    <row r="4214">
      <c r="A4214" s="2" t="inlineStr">
        <is>
          <t>2026-09-04</t>
        </is>
      </c>
      <c r="B4214" s="2" t="inlineStr">
        <is>
          <t>2026-09-04T19:45:10</t>
        </is>
      </c>
      <c r="C4214" s="2" t="inlineStr">
        <is>
          <t>tim</t>
        </is>
      </c>
      <c r="D4214" s="2" t="inlineStr">
        <is>
          <t>prepaid</t>
        </is>
      </c>
      <c r="E4214" s="2" t="inlineStr">
        <is>
          <t>SP</t>
        </is>
      </c>
      <c r="F4214" s="2" t="inlineStr">
        <is>
          <t>TIM Pré XIP Plus 6GB</t>
        </is>
      </c>
      <c r="G4214" s="2" t="inlineStr">
        <is>
          <t>tim:59906</t>
        </is>
      </c>
      <c r="H4214" s="3" t="n">
        <v>20</v>
      </c>
      <c r="I4214" s="3" t="inlineStr"/>
      <c r="J4214" s="2" t="inlineStr"/>
      <c r="K4214" s="2" t="inlineStr"/>
      <c r="L4214" s="4" t="n">
        <v>6</v>
      </c>
      <c r="M4214" s="2" t="inlineStr"/>
      <c r="N4214" s="2" t="n">
        <v>17</v>
      </c>
      <c r="O4214" s="2" t="inlineStr"/>
      <c r="P4214" s="2" t="inlineStr"/>
      <c r="Q4214" s="2" t="inlineStr"/>
      <c r="R4214" s="2" t="inlineStr"/>
      <c r="S4214" s="2" t="inlineStr"/>
      <c r="T4214" s="2" t="inlineStr"/>
      <c r="U4214" s="2" t="inlineStr">
        <is>
          <t>https://www.tim.com.br/sp/para-voce/planos/pre-pago</t>
        </is>
      </c>
      <c r="V4214" s="2" t="inlineStr">
        <is>
          <t>data/raw/tim_prepaid_SP.html</t>
        </is>
      </c>
    </row>
    <row r="4215">
      <c r="A4215" s="5" t="inlineStr">
        <is>
          <t>2026-09-04</t>
        </is>
      </c>
      <c r="B4215" s="5" t="inlineStr">
        <is>
          <t>2026-09-04T19:45:10</t>
        </is>
      </c>
      <c r="C4215" s="5" t="inlineStr">
        <is>
          <t>tim</t>
        </is>
      </c>
      <c r="D4215" s="5" t="inlineStr">
        <is>
          <t>prepaid</t>
        </is>
      </c>
      <c r="E4215" s="5" t="inlineStr">
        <is>
          <t>SP</t>
        </is>
      </c>
      <c r="F4215" s="5" t="inlineStr">
        <is>
          <t>TIM Pré XIP Plus 8GB</t>
        </is>
      </c>
      <c r="G4215" s="5" t="inlineStr">
        <is>
          <t>tim:59901</t>
        </is>
      </c>
      <c r="H4215" s="6" t="n">
        <v>25</v>
      </c>
      <c r="I4215" s="6" t="inlineStr"/>
      <c r="J4215" s="5" t="inlineStr"/>
      <c r="K4215" s="5" t="inlineStr"/>
      <c r="L4215" s="7" t="n">
        <v>8</v>
      </c>
      <c r="M4215" s="5" t="inlineStr"/>
      <c r="N4215" s="5" t="n">
        <v>22</v>
      </c>
      <c r="O4215" s="5" t="inlineStr"/>
      <c r="P4215" s="5" t="inlineStr"/>
      <c r="Q4215" s="5" t="inlineStr"/>
      <c r="R4215" s="5" t="inlineStr"/>
      <c r="S4215" s="5" t="inlineStr"/>
      <c r="T4215" s="5" t="inlineStr"/>
      <c r="U4215" s="5" t="inlineStr">
        <is>
          <t>https://www.tim.com.br/sp/para-voce/planos/pre-pago</t>
        </is>
      </c>
      <c r="V4215" s="5" t="inlineStr">
        <is>
          <t>data/raw/tim_prepaid_SP.html</t>
        </is>
      </c>
    </row>
    <row r="4216">
      <c r="A4216" s="2" t="inlineStr">
        <is>
          <t>2026-09-04</t>
        </is>
      </c>
      <c r="B4216" s="2" t="inlineStr">
        <is>
          <t>2026-09-04T19:45:10</t>
        </is>
      </c>
      <c r="C4216" s="2" t="inlineStr">
        <is>
          <t>vivo</t>
        </is>
      </c>
      <c r="D4216" s="2" t="inlineStr">
        <is>
          <t>control</t>
        </is>
      </c>
      <c r="E4216" s="2" t="inlineStr">
        <is>
          <t>SP</t>
        </is>
      </c>
      <c r="F4216" s="2" t="inlineStr">
        <is>
          <t>Vivo Controle</t>
        </is>
      </c>
      <c r="G4216" s="2" t="inlineStr">
        <is>
          <t>vivo:VIV202600034591</t>
        </is>
      </c>
      <c r="H4216" s="3" t="n">
        <v>59</v>
      </c>
      <c r="I4216" s="3" t="inlineStr"/>
      <c r="J4216" s="2" t="inlineStr"/>
      <c r="K4216" s="2" t="inlineStr"/>
      <c r="L4216" s="4" t="n">
        <v>45</v>
      </c>
      <c r="M4216" s="2" t="inlineStr">
        <is>
          <t>15 GB de franquia 30 GB de bônus</t>
        </is>
      </c>
      <c r="N4216" s="2" t="inlineStr"/>
      <c r="O4216" s="2" t="inlineStr"/>
      <c r="P4216" s="2" t="inlineStr"/>
      <c r="Q4216" s="2" t="inlineStr"/>
      <c r="R4216" s="2" t="inlineStr"/>
      <c r="S4216" s="2" t="inlineStr"/>
      <c r="T4216" s="2" t="inlineStr">
        <is>
          <t>6 meses grátis de Gemini com AI Plus</t>
        </is>
      </c>
      <c r="U4216" s="2" t="inlineStr">
        <is>
          <t>https://vivo.com.br/para-voce/produtos-e-servicos/para-o-celular/planos-controle</t>
        </is>
      </c>
      <c r="V4216" s="2" t="inlineStr">
        <is>
          <t>data/raw/vivo_control_SP.html</t>
        </is>
      </c>
    </row>
    <row r="4217">
      <c r="A4217" s="5" t="inlineStr">
        <is>
          <t>2026-09-04</t>
        </is>
      </c>
      <c r="B4217" s="5" t="inlineStr">
        <is>
          <t>2026-09-04T19:45:10</t>
        </is>
      </c>
      <c r="C4217" s="5" t="inlineStr">
        <is>
          <t>vivo</t>
        </is>
      </c>
      <c r="D4217" s="5" t="inlineStr">
        <is>
          <t>control</t>
        </is>
      </c>
      <c r="E4217" s="5" t="inlineStr">
        <is>
          <t>SP</t>
        </is>
      </c>
      <c r="F4217" s="5" t="inlineStr">
        <is>
          <t>Vivo Controle</t>
        </is>
      </c>
      <c r="G4217" s="5" t="inlineStr">
        <is>
          <t>vivo:VIV202600034599</t>
        </is>
      </c>
      <c r="H4217" s="6" t="n">
        <v>75</v>
      </c>
      <c r="I4217" s="6" t="inlineStr"/>
      <c r="J4217" s="5" t="inlineStr">
        <is>
          <t>preço-base do plano; a tela exibia R$ 80 com o adicional pré-selecionado (+R$ 5/mês, opcional); 60 GB na tela incluem +10 GB do adicional</t>
        </is>
      </c>
      <c r="K4217" s="5" t="inlineStr"/>
      <c r="L4217" s="7" t="n">
        <v>50</v>
      </c>
      <c r="M4217" s="5" t="inlineStr">
        <is>
          <t>20 GB de franquia 30 GB de bônus</t>
        </is>
      </c>
      <c r="N4217" s="5" t="inlineStr"/>
      <c r="O4217" s="5" t="inlineStr"/>
      <c r="P4217" s="5" t="inlineStr"/>
      <c r="Q4217" s="5" t="inlineStr"/>
      <c r="R4217" s="5" t="inlineStr"/>
      <c r="S4217" s="5" t="inlineStr"/>
      <c r="T4217" s="5" t="inlineStr">
        <is>
          <t>6 meses grátis de Gemini com AI Plus</t>
        </is>
      </c>
      <c r="U4217" s="5" t="inlineStr">
        <is>
          <t>https://vivo.com.br/para-voce/produtos-e-servicos/para-o-celular/planos-controle</t>
        </is>
      </c>
      <c r="V4217" s="5" t="inlineStr">
        <is>
          <t>data/raw/vivo_control_SP.html</t>
        </is>
      </c>
    </row>
    <row r="4218">
      <c r="A4218" s="2" t="inlineStr">
        <is>
          <t>2026-09-04</t>
        </is>
      </c>
      <c r="B4218" s="2" t="inlineStr">
        <is>
          <t>2026-09-04T19:45:10</t>
        </is>
      </c>
      <c r="C4218" s="2" t="inlineStr">
        <is>
          <t>vivo</t>
        </is>
      </c>
      <c r="D4218" s="2" t="inlineStr">
        <is>
          <t>control</t>
        </is>
      </c>
      <c r="E4218" s="2" t="inlineStr">
        <is>
          <t>SP</t>
        </is>
      </c>
      <c r="F4218" s="2" t="inlineStr">
        <is>
          <t>Vivo Controle Amazon</t>
        </is>
      </c>
      <c r="G4218" s="2" t="inlineStr">
        <is>
          <t>vivo:VIV202600038804</t>
        </is>
      </c>
      <c r="H4218" s="3" t="n">
        <v>70</v>
      </c>
      <c r="I4218" s="3" t="inlineStr"/>
      <c r="J4218" s="2" t="inlineStr">
        <is>
          <t>preço-base do plano; a tela exibia R$ 75 com o adicional pré-selecionado (+R$ 5/mês, opcional); 58 GB na tela incluem +10 GB do adicional</t>
        </is>
      </c>
      <c r="K4218" s="2" t="inlineStr"/>
      <c r="L4218" s="4" t="n">
        <v>48</v>
      </c>
      <c r="M4218" s="2" t="inlineStr">
        <is>
          <t>18 GB de franquia 30 GB de bônus</t>
        </is>
      </c>
      <c r="N4218" s="2" t="inlineStr"/>
      <c r="O4218" s="2" t="inlineStr"/>
      <c r="P4218" s="2" t="inlineStr"/>
      <c r="Q4218" s="2" t="inlineStr"/>
      <c r="R4218" s="2" t="inlineStr"/>
      <c r="S4218" s="2" t="inlineStr"/>
      <c r="T4218" s="2" t="inlineStr">
        <is>
          <t>Assinatura Amazon Prime inclusa</t>
        </is>
      </c>
      <c r="U4218" s="2" t="inlineStr">
        <is>
          <t>https://vivo.com.br/para-voce/produtos-e-servicos/para-o-celular/planos-controle</t>
        </is>
      </c>
      <c r="V4218" s="2" t="inlineStr">
        <is>
          <t>data/raw/vivo_control_SP.html</t>
        </is>
      </c>
    </row>
    <row r="4219">
      <c r="A4219" s="5" t="inlineStr">
        <is>
          <t>2026-09-04</t>
        </is>
      </c>
      <c r="B4219" s="5" t="inlineStr">
        <is>
          <t>2026-09-04T19:45:10</t>
        </is>
      </c>
      <c r="C4219" s="5" t="inlineStr">
        <is>
          <t>vivo</t>
        </is>
      </c>
      <c r="D4219" s="5" t="inlineStr">
        <is>
          <t>control</t>
        </is>
      </c>
      <c r="E4219" s="5" t="inlineStr">
        <is>
          <t>SP</t>
        </is>
      </c>
      <c r="F4219" s="5" t="inlineStr">
        <is>
          <t>Vivo Controle Educação</t>
        </is>
      </c>
      <c r="G4219" s="5" t="inlineStr">
        <is>
          <t>vivo:VIV202600034616</t>
        </is>
      </c>
      <c r="H4219" s="6" t="n">
        <v>85</v>
      </c>
      <c r="I4219" s="6" t="inlineStr"/>
      <c r="J4219" s="5" t="inlineStr">
        <is>
          <t>preço-base do plano; a tela exibia R$ 90 com o adicional pré-selecionado (+R$ 5/mês, opcional); 60 GB na tela incluem +10 GB do adicional</t>
        </is>
      </c>
      <c r="K4219" s="5" t="inlineStr"/>
      <c r="L4219" s="7" t="n">
        <v>50</v>
      </c>
      <c r="M4219" s="5" t="inlineStr">
        <is>
          <t>20 GB de franquia 30 GB de bônus</t>
        </is>
      </c>
      <c r="N4219" s="5" t="inlineStr"/>
      <c r="O4219" s="5" t="inlineStr"/>
      <c r="P4219" s="5" t="inlineStr"/>
      <c r="Q4219" s="5" t="inlineStr"/>
      <c r="R4219" s="5" t="inlineStr"/>
      <c r="S4219" s="5" t="inlineStr"/>
      <c r="T4219" s="5" t="inlineStr">
        <is>
          <t>Assinatura Vivae inclusa</t>
        </is>
      </c>
      <c r="U4219" s="5" t="inlineStr">
        <is>
          <t>https://vivo.com.br/para-voce/produtos-e-servicos/para-o-celular/planos-controle</t>
        </is>
      </c>
      <c r="V4219" s="5" t="inlineStr">
        <is>
          <t>data/raw/vivo_control_SP.html</t>
        </is>
      </c>
    </row>
    <row r="4220">
      <c r="A4220" s="2" t="inlineStr">
        <is>
          <t>2026-09-04</t>
        </is>
      </c>
      <c r="B4220" s="2" t="inlineStr">
        <is>
          <t>2026-09-04T19:45:10</t>
        </is>
      </c>
      <c r="C4220" s="2" t="inlineStr">
        <is>
          <t>vivo</t>
        </is>
      </c>
      <c r="D4220" s="2" t="inlineStr">
        <is>
          <t>control</t>
        </is>
      </c>
      <c r="E4220" s="2" t="inlineStr">
        <is>
          <t>SP</t>
        </is>
      </c>
      <c r="F4220" s="2" t="inlineStr">
        <is>
          <t>Vivo Controle Entretenimento</t>
        </is>
      </c>
      <c r="G4220" s="2" t="inlineStr">
        <is>
          <t>vivo:VIV202600034619</t>
        </is>
      </c>
      <c r="H4220" s="3" t="n">
        <v>105</v>
      </c>
      <c r="I4220" s="3" t="inlineStr"/>
      <c r="J4220" s="2" t="inlineStr">
        <is>
          <t>preço-base do plano; a tela exibia R$ 110 com o adicional pré-selecionado (+R$ 5/mês, opcional); 60 GB na tela incluem +10 GB do adicional</t>
        </is>
      </c>
      <c r="K4220" s="2" t="inlineStr"/>
      <c r="L4220" s="4" t="n">
        <v>50</v>
      </c>
      <c r="M4220" s="2" t="inlineStr">
        <is>
          <t>20 GB de franquia 30 GB de bônus</t>
        </is>
      </c>
      <c r="N4220" s="2" t="inlineStr"/>
      <c r="O4220" s="2" t="inlineStr"/>
      <c r="P4220" s="2" t="inlineStr"/>
      <c r="Q4220" s="2" t="inlineStr"/>
      <c r="R4220" s="2" t="inlineStr"/>
      <c r="S4220" s="2" t="inlineStr"/>
      <c r="T4220" s="2" t="inlineStr">
        <is>
          <t>Assinatura Vivo TV Inicial inclusa</t>
        </is>
      </c>
      <c r="U4220" s="2" t="inlineStr">
        <is>
          <t>https://vivo.com.br/para-voce/produtos-e-servicos/para-o-celular/planos-controle</t>
        </is>
      </c>
      <c r="V4220" s="2" t="inlineStr">
        <is>
          <t>data/raw/vivo_control_SP.html</t>
        </is>
      </c>
    </row>
    <row r="4221">
      <c r="A4221" s="5" t="inlineStr">
        <is>
          <t>2026-09-04</t>
        </is>
      </c>
      <c r="B4221" s="5" t="inlineStr">
        <is>
          <t>2026-09-04T19:45:10</t>
        </is>
      </c>
      <c r="C4221" s="5" t="inlineStr">
        <is>
          <t>vivo</t>
        </is>
      </c>
      <c r="D4221" s="5" t="inlineStr">
        <is>
          <t>control</t>
        </is>
      </c>
      <c r="E4221" s="5" t="inlineStr">
        <is>
          <t>SP</t>
        </is>
      </c>
      <c r="F4221" s="5" t="inlineStr">
        <is>
          <t>Vivo Controle Música</t>
        </is>
      </c>
      <c r="G4221" s="5" t="inlineStr">
        <is>
          <t>vivo:VIV202600034620</t>
        </is>
      </c>
      <c r="H4221" s="6" t="n">
        <v>85</v>
      </c>
      <c r="I4221" s="6" t="inlineStr"/>
      <c r="J4221" s="5" t="inlineStr">
        <is>
          <t>preço-base do plano; a tela exibia R$ 90 com o adicional pré-selecionado (+R$ 5/mês, opcional); 60 GB na tela incluem +10 GB do adicional</t>
        </is>
      </c>
      <c r="K4221" s="5" t="inlineStr"/>
      <c r="L4221" s="7" t="n">
        <v>50</v>
      </c>
      <c r="M4221" s="5" t="inlineStr">
        <is>
          <t>20 GB de franquia 30 GB de bônus</t>
        </is>
      </c>
      <c r="N4221" s="5" t="inlineStr"/>
      <c r="O4221" s="5" t="inlineStr"/>
      <c r="P4221" s="5" t="inlineStr"/>
      <c r="Q4221" s="5" t="inlineStr"/>
      <c r="R4221" s="5" t="inlineStr"/>
      <c r="S4221" s="5" t="inlineStr"/>
      <c r="T4221" s="5" t="inlineStr">
        <is>
          <t>Apple Music Individual</t>
        </is>
      </c>
      <c r="U4221" s="5" t="inlineStr">
        <is>
          <t>https://vivo.com.br/para-voce/produtos-e-servicos/para-o-celular/planos-controle</t>
        </is>
      </c>
      <c r="V4221" s="5" t="inlineStr">
        <is>
          <t>data/raw/vivo_control_SP.html</t>
        </is>
      </c>
    </row>
    <row r="4222">
      <c r="A4222" s="2" t="inlineStr">
        <is>
          <t>2026-09-04</t>
        </is>
      </c>
      <c r="B4222" s="2" t="inlineStr">
        <is>
          <t>2026-09-04T19:45:10</t>
        </is>
      </c>
      <c r="C4222" s="2" t="inlineStr">
        <is>
          <t>vivo</t>
        </is>
      </c>
      <c r="D4222" s="2" t="inlineStr">
        <is>
          <t>control</t>
        </is>
      </c>
      <c r="E4222" s="2" t="inlineStr">
        <is>
          <t>SP</t>
        </is>
      </c>
      <c r="F4222" s="2" t="inlineStr">
        <is>
          <t>Vivo Controle Netflix</t>
        </is>
      </c>
      <c r="G4222" s="2" t="inlineStr">
        <is>
          <t>vivo:VIV202600034623</t>
        </is>
      </c>
      <c r="H4222" s="3" t="n">
        <v>90</v>
      </c>
      <c r="I4222" s="3" t="inlineStr"/>
      <c r="J4222" s="2" t="inlineStr">
        <is>
          <t>preço-base do plano; a tela exibia R$ 95 com o adicional pré-selecionado (+R$ 5/mês, opcional); 60 GB na tela incluem +10 GB do adicional</t>
        </is>
      </c>
      <c r="K4222" s="2" t="inlineStr"/>
      <c r="L4222" s="4" t="n">
        <v>50</v>
      </c>
      <c r="M4222" s="2" t="inlineStr">
        <is>
          <t>20 GB de franquia 30 GB de bônus</t>
        </is>
      </c>
      <c r="N4222" s="2" t="inlineStr"/>
      <c r="O4222" s="2" t="inlineStr"/>
      <c r="P4222" s="2" t="inlineStr"/>
      <c r="Q4222" s="2" t="inlineStr"/>
      <c r="R4222" s="2" t="inlineStr"/>
      <c r="S4222" s="2" t="inlineStr"/>
      <c r="T4222" s="2" t="inlineStr">
        <is>
          <t>Assinatura Netflix Padrão com anúncios</t>
        </is>
      </c>
      <c r="U4222" s="2" t="inlineStr">
        <is>
          <t>https://vivo.com.br/para-voce/produtos-e-servicos/para-o-celular/planos-controle</t>
        </is>
      </c>
      <c r="V4222" s="2" t="inlineStr">
        <is>
          <t>data/raw/vivo_control_SP.html</t>
        </is>
      </c>
    </row>
    <row r="4223">
      <c r="A4223" s="5" t="inlineStr">
        <is>
          <t>2026-09-04</t>
        </is>
      </c>
      <c r="B4223" s="5" t="inlineStr">
        <is>
          <t>2026-09-04T19:45:10</t>
        </is>
      </c>
      <c r="C4223" s="5" t="inlineStr">
        <is>
          <t>vivo</t>
        </is>
      </c>
      <c r="D4223" s="5" t="inlineStr">
        <is>
          <t>control</t>
        </is>
      </c>
      <c r="E4223" s="5" t="inlineStr">
        <is>
          <t>SP</t>
        </is>
      </c>
      <c r="F4223" s="5" t="inlineStr">
        <is>
          <t>Vivo Controle Saúde</t>
        </is>
      </c>
      <c r="G4223" s="5" t="inlineStr">
        <is>
          <t>vivo:VIV202600034625</t>
        </is>
      </c>
      <c r="H4223" s="6" t="n">
        <v>85</v>
      </c>
      <c r="I4223" s="6" t="inlineStr"/>
      <c r="J4223" s="5" t="inlineStr">
        <is>
          <t>preço-base do plano; a tela exibia R$ 90 com o adicional pré-selecionado (+R$ 5/mês, opcional); 60 GB na tela incluem +10 GB do adicional</t>
        </is>
      </c>
      <c r="K4223" s="5" t="inlineStr"/>
      <c r="L4223" s="7" t="n">
        <v>50</v>
      </c>
      <c r="M4223" s="5" t="inlineStr">
        <is>
          <t>20 GB de franquia 30 GB de bônus</t>
        </is>
      </c>
      <c r="N4223" s="5" t="inlineStr"/>
      <c r="O4223" s="5" t="inlineStr"/>
      <c r="P4223" s="5" t="inlineStr"/>
      <c r="Q4223" s="5" t="inlineStr"/>
      <c r="R4223" s="5" t="inlineStr"/>
      <c r="S4223" s="5" t="inlineStr"/>
      <c r="T4223" s="5" t="inlineStr">
        <is>
          <t>Assinatura Vale Saúde Sempre inclusa</t>
        </is>
      </c>
      <c r="U4223" s="5" t="inlineStr">
        <is>
          <t>https://vivo.com.br/para-voce/produtos-e-servicos/para-o-celular/planos-controle</t>
        </is>
      </c>
      <c r="V4223" s="5" t="inlineStr">
        <is>
          <t>data/raw/vivo_control_SP.html</t>
        </is>
      </c>
    </row>
    <row r="4224">
      <c r="A4224" s="2" t="inlineStr">
        <is>
          <t>2026-09-04</t>
        </is>
      </c>
      <c r="B4224" s="2" t="inlineStr">
        <is>
          <t>2026-09-04T19:45:10</t>
        </is>
      </c>
      <c r="C4224" s="2" t="inlineStr">
        <is>
          <t>vivo</t>
        </is>
      </c>
      <c r="D4224" s="2" t="inlineStr">
        <is>
          <t>control</t>
        </is>
      </c>
      <c r="E4224" s="2" t="inlineStr">
        <is>
          <t>SP</t>
        </is>
      </c>
      <c r="F4224" s="2" t="inlineStr">
        <is>
          <t>Vivo Controle Youtube Lite</t>
        </is>
      </c>
      <c r="G4224" s="2" t="inlineStr">
        <is>
          <t>vivo:VIV202600034626</t>
        </is>
      </c>
      <c r="H4224" s="3" t="n">
        <v>85</v>
      </c>
      <c r="I4224" s="3" t="inlineStr"/>
      <c r="J4224" s="2" t="inlineStr">
        <is>
          <t>preço-base do plano; a tela exibia R$ 90 com o adicional pré-selecionado (+R$ 5/mês, opcional); 60 GB na tela incluem +10 GB do adicional</t>
        </is>
      </c>
      <c r="K4224" s="2" t="inlineStr"/>
      <c r="L4224" s="4" t="n">
        <v>50</v>
      </c>
      <c r="M4224" s="2" t="inlineStr">
        <is>
          <t>20 GB de franquia 30 GB de bônus</t>
        </is>
      </c>
      <c r="N4224" s="2" t="inlineStr"/>
      <c r="O4224" s="2" t="inlineStr"/>
      <c r="P4224" s="2" t="inlineStr"/>
      <c r="Q4224" s="2" t="inlineStr"/>
      <c r="R4224" s="2" t="inlineStr"/>
      <c r="S4224" s="2" t="inlineStr"/>
      <c r="T4224" s="2" t="inlineStr">
        <is>
          <t>Assinatura Youtube Premium Lite Inclusa</t>
        </is>
      </c>
      <c r="U4224" s="2" t="inlineStr">
        <is>
          <t>https://vivo.com.br/para-voce/produtos-e-servicos/para-o-celular/planos-controle</t>
        </is>
      </c>
      <c r="V4224" s="2" t="inlineStr">
        <is>
          <t>data/raw/vivo_control_SP.html</t>
        </is>
      </c>
    </row>
    <row r="4225">
      <c r="A4225" s="5" t="inlineStr">
        <is>
          <t>2026-09-04</t>
        </is>
      </c>
      <c r="B4225" s="5" t="inlineStr">
        <is>
          <t>2026-09-04T19:45:10</t>
        </is>
      </c>
      <c r="C4225" s="5" t="inlineStr">
        <is>
          <t>vivo</t>
        </is>
      </c>
      <c r="D4225" s="5" t="inlineStr">
        <is>
          <t>lite</t>
        </is>
      </c>
      <c r="E4225" s="5" t="inlineStr">
        <is>
          <t>SP</t>
        </is>
      </c>
      <c r="F4225" s="5" t="inlineStr">
        <is>
          <t>Vivo Lite</t>
        </is>
      </c>
      <c r="G4225" s="5" t="inlineStr">
        <is>
          <t>vivo:VIV202600038808</t>
        </is>
      </c>
      <c r="H4225" s="6" t="n">
        <v>45</v>
      </c>
      <c r="I4225" s="6" t="n">
        <v>30</v>
      </c>
      <c r="J4225" s="5" t="inlineStr">
        <is>
          <t>preço sem fidelidade; fidelidade 12m no promo</t>
        </is>
      </c>
      <c r="K4225" s="5" t="inlineStr"/>
      <c r="L4225" s="7" t="n">
        <v>30</v>
      </c>
      <c r="M4225" s="5" t="inlineStr">
        <is>
          <t>30 GB de franquia</t>
        </is>
      </c>
      <c r="N4225" s="5" t="inlineStr"/>
      <c r="O4225" s="5" t="inlineStr"/>
      <c r="P4225" s="5" t="inlineStr"/>
      <c r="Q4225" s="5" t="inlineStr"/>
      <c r="R4225" s="5" t="inlineStr"/>
      <c r="S4225" s="5" t="n">
        <v>12</v>
      </c>
      <c r="T4225" s="5" t="inlineStr"/>
      <c r="U4225" s="5" t="inlineStr">
        <is>
          <t>https://vivo.com.br/para-voce/produtos-e-servicos/para-o-celular/easy-lite</t>
        </is>
      </c>
      <c r="V4225" s="5" t="inlineStr">
        <is>
          <t>data/raw/vivo_lite_SP.html</t>
        </is>
      </c>
    </row>
    <row r="4226">
      <c r="A4226" s="2" t="inlineStr">
        <is>
          <t>2026-09-04</t>
        </is>
      </c>
      <c r="B4226" s="2" t="inlineStr">
        <is>
          <t>2026-09-04T19:45:10</t>
        </is>
      </c>
      <c r="C4226" s="2" t="inlineStr">
        <is>
          <t>vivo</t>
        </is>
      </c>
      <c r="D4226" s="2" t="inlineStr">
        <is>
          <t>lite</t>
        </is>
      </c>
      <c r="E4226" s="2" t="inlineStr">
        <is>
          <t>SP</t>
        </is>
      </c>
      <c r="F4226" s="2" t="inlineStr">
        <is>
          <t>Vivo Lite</t>
        </is>
      </c>
      <c r="G4226" s="2" t="inlineStr">
        <is>
          <t>vivo:VIV202600038810</t>
        </is>
      </c>
      <c r="H4226" s="3" t="n">
        <v>55</v>
      </c>
      <c r="I4226" s="3" t="n">
        <v>40</v>
      </c>
      <c r="J4226" s="2" t="inlineStr">
        <is>
          <t>preço sem fidelidade; fidelidade 12m no promo</t>
        </is>
      </c>
      <c r="K4226" s="2" t="inlineStr"/>
      <c r="L4226" s="4" t="n">
        <v>40</v>
      </c>
      <c r="M4226" s="2" t="inlineStr">
        <is>
          <t>40 GB de franquia</t>
        </is>
      </c>
      <c r="N4226" s="2" t="inlineStr"/>
      <c r="O4226" s="2" t="inlineStr"/>
      <c r="P4226" s="2" t="inlineStr"/>
      <c r="Q4226" s="2" t="inlineStr"/>
      <c r="R4226" s="2" t="inlineStr"/>
      <c r="S4226" s="2" t="n">
        <v>12</v>
      </c>
      <c r="T4226" s="2" t="inlineStr"/>
      <c r="U4226" s="2" t="inlineStr">
        <is>
          <t>https://vivo.com.br/para-voce/produtos-e-servicos/para-o-celular/easy-lite</t>
        </is>
      </c>
      <c r="V4226" s="2" t="inlineStr">
        <is>
          <t>data/raw/vivo_lite_SP.html</t>
        </is>
      </c>
    </row>
    <row r="4227">
      <c r="A4227" s="5" t="inlineStr">
        <is>
          <t>2026-09-04</t>
        </is>
      </c>
      <c r="B4227" s="5" t="inlineStr">
        <is>
          <t>2026-09-04T19:45:10</t>
        </is>
      </c>
      <c r="C4227" s="5" t="inlineStr">
        <is>
          <t>vivo</t>
        </is>
      </c>
      <c r="D4227" s="5" t="inlineStr">
        <is>
          <t>lite</t>
        </is>
      </c>
      <c r="E4227" s="5" t="inlineStr">
        <is>
          <t>SP</t>
        </is>
      </c>
      <c r="F4227" s="5" t="inlineStr">
        <is>
          <t>Vivo Lite</t>
        </is>
      </c>
      <c r="G4227" s="5" t="inlineStr">
        <is>
          <t>vivo:VIV202600038814</t>
        </is>
      </c>
      <c r="H4227" s="6" t="n">
        <v>35</v>
      </c>
      <c r="I4227" s="6" t="inlineStr"/>
      <c r="J4227" s="5" t="inlineStr"/>
      <c r="K4227" s="5" t="inlineStr"/>
      <c r="L4227" s="7" t="n">
        <v>20</v>
      </c>
      <c r="M4227" s="5" t="inlineStr">
        <is>
          <t>20 GB de franquia</t>
        </is>
      </c>
      <c r="N4227" s="5" t="inlineStr"/>
      <c r="O4227" s="5" t="inlineStr"/>
      <c r="P4227" s="5" t="inlineStr"/>
      <c r="Q4227" s="5" t="inlineStr"/>
      <c r="R4227" s="5" t="inlineStr"/>
      <c r="S4227" s="5" t="inlineStr"/>
      <c r="T4227" s="5" t="inlineStr"/>
      <c r="U4227" s="5" t="inlineStr">
        <is>
          <t>https://vivo.com.br/para-voce/produtos-e-servicos/para-o-celular/easy-lite</t>
        </is>
      </c>
      <c r="V4227" s="5" t="inlineStr">
        <is>
          <t>data/raw/vivo_lite_SP.html</t>
        </is>
      </c>
    </row>
    <row r="4228">
      <c r="A4228" s="2" t="inlineStr">
        <is>
          <t>2026-09-04</t>
        </is>
      </c>
      <c r="B4228" s="2" t="inlineStr">
        <is>
          <t>2026-09-04T19:45:10</t>
        </is>
      </c>
      <c r="C4228" s="2" t="inlineStr">
        <is>
          <t>vivo</t>
        </is>
      </c>
      <c r="D4228" s="2" t="inlineStr">
        <is>
          <t>postpaid</t>
        </is>
      </c>
      <c r="E4228" s="2" t="inlineStr">
        <is>
          <t>SP</t>
        </is>
      </c>
      <c r="F4228" s="2" t="inlineStr">
        <is>
          <t>Vivo Família 2</t>
        </is>
      </c>
      <c r="G4228" s="2" t="inlineStr">
        <is>
          <t>vivo:VIV202600034547</t>
        </is>
      </c>
      <c r="H4228" s="3" t="n">
        <v>270</v>
      </c>
      <c r="I4228" s="3" t="inlineStr"/>
      <c r="J4228" s="2" t="inlineStr"/>
      <c r="K4228" s="2" t="inlineStr"/>
      <c r="L4228" s="4" t="n">
        <v>120</v>
      </c>
      <c r="M4228" s="2" t="inlineStr">
        <is>
          <t>120 GB de franquia Você + 1 linha adicional Roaming Internacional com Vivo Travel Américas e Europa</t>
        </is>
      </c>
      <c r="N4228" s="2" t="inlineStr"/>
      <c r="O4228" s="2" t="inlineStr"/>
      <c r="P4228" s="2" t="inlineStr"/>
      <c r="Q4228" s="2" t="inlineStr"/>
      <c r="R4228" s="2" t="inlineStr"/>
      <c r="S4228" s="2" t="inlineStr"/>
      <c r="T4228" s="2" t="inlineStr">
        <is>
          <t>12 meses grátis de Gemini com AI Plus</t>
        </is>
      </c>
      <c r="U4228" s="2" t="inlineStr">
        <is>
          <t>https://vivo.com.br/para-voce/produtos-e-servicos/para-o-celular/planos-pos-pago</t>
        </is>
      </c>
      <c r="V4228" s="2" t="inlineStr">
        <is>
          <t>data/raw/vivo_postpaid_SP.html</t>
        </is>
      </c>
    </row>
    <row r="4229">
      <c r="A4229" s="5" t="inlineStr">
        <is>
          <t>2026-09-04</t>
        </is>
      </c>
      <c r="B4229" s="5" t="inlineStr">
        <is>
          <t>2026-09-04T19:45:10</t>
        </is>
      </c>
      <c r="C4229" s="5" t="inlineStr">
        <is>
          <t>vivo</t>
        </is>
      </c>
      <c r="D4229" s="5" t="inlineStr">
        <is>
          <t>postpaid</t>
        </is>
      </c>
      <c r="E4229" s="5" t="inlineStr">
        <is>
          <t>SP</t>
        </is>
      </c>
      <c r="F4229" s="5" t="inlineStr">
        <is>
          <t>Vivo Família 3</t>
        </is>
      </c>
      <c r="G4229" s="5" t="inlineStr">
        <is>
          <t>vivo:VIV202600034540</t>
        </is>
      </c>
      <c r="H4229" s="6" t="n">
        <v>340</v>
      </c>
      <c r="I4229" s="6" t="inlineStr"/>
      <c r="J4229" s="5" t="inlineStr"/>
      <c r="K4229" s="5" t="inlineStr"/>
      <c r="L4229" s="7" t="n">
        <v>180</v>
      </c>
      <c r="M4229" s="5" t="inlineStr">
        <is>
          <t>180 GB de franquia Você + 2 linhas adicionais Roaming Internacional com Vivo Travel Américas e Europa</t>
        </is>
      </c>
      <c r="N4229" s="5" t="inlineStr"/>
      <c r="O4229" s="5" t="inlineStr"/>
      <c r="P4229" s="5" t="inlineStr"/>
      <c r="Q4229" s="5" t="inlineStr"/>
      <c r="R4229" s="5" t="inlineStr"/>
      <c r="S4229" s="5" t="inlineStr"/>
      <c r="T4229" s="5" t="inlineStr">
        <is>
          <t>12 meses grátis de Gemini com AI Plus</t>
        </is>
      </c>
      <c r="U4229" s="5" t="inlineStr">
        <is>
          <t>https://vivo.com.br/para-voce/produtos-e-servicos/para-o-celular/planos-pos-pago</t>
        </is>
      </c>
      <c r="V4229" s="5" t="inlineStr">
        <is>
          <t>data/raw/vivo_postpaid_SP.html</t>
        </is>
      </c>
    </row>
    <row r="4230">
      <c r="A4230" s="2" t="inlineStr">
        <is>
          <t>2026-09-04</t>
        </is>
      </c>
      <c r="B4230" s="2" t="inlineStr">
        <is>
          <t>2026-09-04T19:45:10</t>
        </is>
      </c>
      <c r="C4230" s="2" t="inlineStr">
        <is>
          <t>vivo</t>
        </is>
      </c>
      <c r="D4230" s="2" t="inlineStr">
        <is>
          <t>postpaid</t>
        </is>
      </c>
      <c r="E4230" s="2" t="inlineStr">
        <is>
          <t>SP</t>
        </is>
      </c>
      <c r="F4230" s="2" t="inlineStr">
        <is>
          <t>Vivo Família 4</t>
        </is>
      </c>
      <c r="G4230" s="2" t="inlineStr">
        <is>
          <t>vivo:VIV202600034531</t>
        </is>
      </c>
      <c r="H4230" s="3" t="n">
        <v>430</v>
      </c>
      <c r="I4230" s="3" t="inlineStr"/>
      <c r="J4230" s="2" t="inlineStr"/>
      <c r="K4230" s="2" t="inlineStr"/>
      <c r="L4230" s="4" t="n">
        <v>240</v>
      </c>
      <c r="M4230" s="2" t="inlineStr">
        <is>
          <t>240 GB de franquia Você + 3 linhas adicionais Roaming Internacional com Vivo Travel Américas e Europa</t>
        </is>
      </c>
      <c r="N4230" s="2" t="inlineStr"/>
      <c r="O4230" s="2" t="inlineStr"/>
      <c r="P4230" s="2" t="inlineStr"/>
      <c r="Q4230" s="2" t="inlineStr"/>
      <c r="R4230" s="2" t="inlineStr"/>
      <c r="S4230" s="2" t="inlineStr"/>
      <c r="T4230" s="2" t="inlineStr">
        <is>
          <t>12 meses grátis de Gemini com AI Plus</t>
        </is>
      </c>
      <c r="U4230" s="2" t="inlineStr">
        <is>
          <t>https://vivo.com.br/para-voce/produtos-e-servicos/para-o-celular/planos-pos-pago</t>
        </is>
      </c>
      <c r="V4230" s="2" t="inlineStr">
        <is>
          <t>data/raw/vivo_postpaid_SP.html</t>
        </is>
      </c>
    </row>
    <row r="4231">
      <c r="A4231" s="5" t="inlineStr">
        <is>
          <t>2026-09-04</t>
        </is>
      </c>
      <c r="B4231" s="5" t="inlineStr">
        <is>
          <t>2026-09-04T19:45:10</t>
        </is>
      </c>
      <c r="C4231" s="5" t="inlineStr">
        <is>
          <t>vivo</t>
        </is>
      </c>
      <c r="D4231" s="5" t="inlineStr">
        <is>
          <t>postpaid</t>
        </is>
      </c>
      <c r="E4231" s="5" t="inlineStr">
        <is>
          <t>SP</t>
        </is>
      </c>
      <c r="F4231" s="5" t="inlineStr">
        <is>
          <t>Vivo Família 5</t>
        </is>
      </c>
      <c r="G4231" s="5" t="inlineStr">
        <is>
          <t>vivo:VIV202600034526</t>
        </is>
      </c>
      <c r="H4231" s="6" t="n">
        <v>530</v>
      </c>
      <c r="I4231" s="6" t="inlineStr"/>
      <c r="J4231" s="5" t="inlineStr"/>
      <c r="K4231" s="5" t="inlineStr"/>
      <c r="L4231" s="7" t="n">
        <v>300</v>
      </c>
      <c r="M4231" s="5" t="inlineStr">
        <is>
          <t>300 GB de franquia Você + 4 linhas adicionais Roaming Internacional com Vivo Travel Américas e Europa</t>
        </is>
      </c>
      <c r="N4231" s="5" t="inlineStr"/>
      <c r="O4231" s="5" t="inlineStr"/>
      <c r="P4231" s="5" t="inlineStr"/>
      <c r="Q4231" s="5" t="inlineStr"/>
      <c r="R4231" s="5" t="inlineStr"/>
      <c r="S4231" s="5" t="inlineStr"/>
      <c r="T4231" s="5" t="inlineStr">
        <is>
          <t>12 meses grátis de Gemini com AI Plus</t>
        </is>
      </c>
      <c r="U4231" s="5" t="inlineStr">
        <is>
          <t>https://vivo.com.br/para-voce/produtos-e-servicos/para-o-celular/planos-pos-pago</t>
        </is>
      </c>
      <c r="V4231" s="5" t="inlineStr">
        <is>
          <t>data/raw/vivo_postpaid_SP.html</t>
        </is>
      </c>
    </row>
    <row r="4232">
      <c r="A4232" s="2" t="inlineStr">
        <is>
          <t>2026-09-04</t>
        </is>
      </c>
      <c r="B4232" s="2" t="inlineStr">
        <is>
          <t>2026-09-04T19:45:10</t>
        </is>
      </c>
      <c r="C4232" s="2" t="inlineStr">
        <is>
          <t>vivo</t>
        </is>
      </c>
      <c r="D4232" s="2" t="inlineStr">
        <is>
          <t>postpaid</t>
        </is>
      </c>
      <c r="E4232" s="2" t="inlineStr">
        <is>
          <t>SP</t>
        </is>
      </c>
      <c r="F4232" s="2" t="inlineStr">
        <is>
          <t>Vivo Pós com Amazon</t>
        </is>
      </c>
      <c r="G4232" s="2" t="inlineStr">
        <is>
          <t>vivo:VIV202600034554</t>
        </is>
      </c>
      <c r="H4232" s="3" t="n">
        <v>150</v>
      </c>
      <c r="I4232" s="3" t="inlineStr"/>
      <c r="J4232" s="2" t="inlineStr"/>
      <c r="K4232" s="2" t="inlineStr"/>
      <c r="L4232" s="4" t="n">
        <v>60</v>
      </c>
      <c r="M4232" s="2" t="inlineStr">
        <is>
          <t>50 GB de franquia 10 GB de bônus</t>
        </is>
      </c>
      <c r="N4232" s="2" t="inlineStr"/>
      <c r="O4232" s="2" t="inlineStr"/>
      <c r="P4232" s="2" t="inlineStr"/>
      <c r="Q4232" s="2" t="inlineStr"/>
      <c r="R4232" s="2" t="inlineStr"/>
      <c r="S4232" s="2" t="inlineStr"/>
      <c r="T4232" s="2" t="inlineStr">
        <is>
          <t>Assinatura Amazon Prime inclusa</t>
        </is>
      </c>
      <c r="U4232" s="2" t="inlineStr">
        <is>
          <t>https://vivo.com.br/para-voce/produtos-e-servicos/para-o-celular/planos-pos-pago</t>
        </is>
      </c>
      <c r="V4232" s="2" t="inlineStr">
        <is>
          <t>data/raw/vivo_postpaid_SP.html</t>
        </is>
      </c>
    </row>
    <row r="4233">
      <c r="A4233" s="5" t="inlineStr">
        <is>
          <t>2026-09-04</t>
        </is>
      </c>
      <c r="B4233" s="5" t="inlineStr">
        <is>
          <t>2026-09-04T19:45:10</t>
        </is>
      </c>
      <c r="C4233" s="5" t="inlineStr">
        <is>
          <t>vivo</t>
        </is>
      </c>
      <c r="D4233" s="5" t="inlineStr">
        <is>
          <t>postpaid</t>
        </is>
      </c>
      <c r="E4233" s="5" t="inlineStr">
        <is>
          <t>SP</t>
        </is>
      </c>
      <c r="F4233" s="5" t="inlineStr">
        <is>
          <t>Vivo Pós com Disney+</t>
        </is>
      </c>
      <c r="G4233" s="5" t="inlineStr">
        <is>
          <t>vivo:VIV202600034532</t>
        </is>
      </c>
      <c r="H4233" s="6" t="n">
        <v>180</v>
      </c>
      <c r="I4233" s="6" t="inlineStr"/>
      <c r="J4233" s="5" t="inlineStr"/>
      <c r="K4233" s="5" t="inlineStr"/>
      <c r="L4233" s="7" t="n">
        <v>60</v>
      </c>
      <c r="M4233" s="5" t="inlineStr">
        <is>
          <t>50 GB de franquia 10 GB de bônus</t>
        </is>
      </c>
      <c r="N4233" s="5" t="inlineStr"/>
      <c r="O4233" s="5" t="inlineStr"/>
      <c r="P4233" s="5" t="inlineStr"/>
      <c r="Q4233" s="5" t="inlineStr"/>
      <c r="R4233" s="5" t="inlineStr">
        <is>
          <t>Disney+</t>
        </is>
      </c>
      <c r="S4233" s="5" t="inlineStr"/>
      <c r="T4233" s="5" t="inlineStr">
        <is>
          <t>Assinatura Disney+ Padrão inclusa</t>
        </is>
      </c>
      <c r="U4233" s="5" t="inlineStr">
        <is>
          <t>https://vivo.com.br/para-voce/produtos-e-servicos/para-o-celular/planos-pos-pago</t>
        </is>
      </c>
      <c r="V4233" s="5" t="inlineStr">
        <is>
          <t>data/raw/vivo_postpaid_SP.html</t>
        </is>
      </c>
    </row>
    <row r="4234">
      <c r="A4234" s="2" t="inlineStr">
        <is>
          <t>2026-09-04</t>
        </is>
      </c>
      <c r="B4234" s="2" t="inlineStr">
        <is>
          <t>2026-09-04T19:45:10</t>
        </is>
      </c>
      <c r="C4234" s="2" t="inlineStr">
        <is>
          <t>vivo</t>
        </is>
      </c>
      <c r="D4234" s="2" t="inlineStr">
        <is>
          <t>postpaid</t>
        </is>
      </c>
      <c r="E4234" s="2" t="inlineStr">
        <is>
          <t>SP</t>
        </is>
      </c>
      <c r="F4234" s="2" t="inlineStr">
        <is>
          <t>Vivo Pós com Globoplay</t>
        </is>
      </c>
      <c r="G4234" s="2" t="inlineStr">
        <is>
          <t>vivo:VIV202600034575</t>
        </is>
      </c>
      <c r="H4234" s="3" t="n">
        <v>165</v>
      </c>
      <c r="I4234" s="3" t="inlineStr"/>
      <c r="J4234" s="2" t="inlineStr"/>
      <c r="K4234" s="2" t="inlineStr"/>
      <c r="L4234" s="4" t="n">
        <v>60</v>
      </c>
      <c r="M4234" s="2" t="inlineStr">
        <is>
          <t>50 GB de franquia 10 GB de bônus</t>
        </is>
      </c>
      <c r="N4234" s="2" t="inlineStr"/>
      <c r="O4234" s="2" t="inlineStr"/>
      <c r="P4234" s="2" t="inlineStr"/>
      <c r="Q4234" s="2" t="inlineStr"/>
      <c r="R4234" s="2" t="inlineStr">
        <is>
          <t>Globoplay</t>
        </is>
      </c>
      <c r="S4234" s="2" t="inlineStr"/>
      <c r="T4234" s="2" t="inlineStr">
        <is>
          <t>Assinatura Globoplay inclusa</t>
        </is>
      </c>
      <c r="U4234" s="2" t="inlineStr">
        <is>
          <t>https://vivo.com.br/para-voce/produtos-e-servicos/para-o-celular/planos-pos-pago</t>
        </is>
      </c>
      <c r="V4234" s="2" t="inlineStr">
        <is>
          <t>data/raw/vivo_postpaid_SP.html</t>
        </is>
      </c>
    </row>
    <row r="4235">
      <c r="A4235" s="5" t="inlineStr">
        <is>
          <t>2026-09-04</t>
        </is>
      </c>
      <c r="B4235" s="5" t="inlineStr">
        <is>
          <t>2026-09-04T19:45:10</t>
        </is>
      </c>
      <c r="C4235" s="5" t="inlineStr">
        <is>
          <t>vivo</t>
        </is>
      </c>
      <c r="D4235" s="5" t="inlineStr">
        <is>
          <t>postpaid</t>
        </is>
      </c>
      <c r="E4235" s="5" t="inlineStr">
        <is>
          <t>SP</t>
        </is>
      </c>
      <c r="F4235" s="5" t="inlineStr">
        <is>
          <t>Vivo Pós com Netflix</t>
        </is>
      </c>
      <c r="G4235" s="5" t="inlineStr">
        <is>
          <t>vivo:VIV202600034562</t>
        </is>
      </c>
      <c r="H4235" s="6" t="n">
        <v>180</v>
      </c>
      <c r="I4235" s="6" t="inlineStr"/>
      <c r="J4235" s="5" t="inlineStr"/>
      <c r="K4235" s="5" t="inlineStr"/>
      <c r="L4235" s="7" t="n">
        <v>60</v>
      </c>
      <c r="M4235" s="5" t="inlineStr">
        <is>
          <t>50 GB de franquia 10 GB de bônus</t>
        </is>
      </c>
      <c r="N4235" s="5" t="inlineStr"/>
      <c r="O4235" s="5" t="inlineStr"/>
      <c r="P4235" s="5" t="inlineStr"/>
      <c r="Q4235" s="5" t="inlineStr"/>
      <c r="R4235" s="5" t="inlineStr">
        <is>
          <t>Netflix</t>
        </is>
      </c>
      <c r="S4235" s="5" t="inlineStr"/>
      <c r="T4235" s="5" t="inlineStr">
        <is>
          <t>Assinatura Netflix Padrão inclusa</t>
        </is>
      </c>
      <c r="U4235" s="5" t="inlineStr">
        <is>
          <t>https://vivo.com.br/para-voce/produtos-e-servicos/para-o-celular/planos-pos-pago</t>
        </is>
      </c>
      <c r="V4235" s="5" t="inlineStr">
        <is>
          <t>data/raw/vivo_postpaid_SP.html</t>
        </is>
      </c>
    </row>
    <row r="4236">
      <c r="A4236" s="2" t="inlineStr">
        <is>
          <t>2026-09-04</t>
        </is>
      </c>
      <c r="B4236" s="2" t="inlineStr">
        <is>
          <t>2026-09-04T19:45:10</t>
        </is>
      </c>
      <c r="C4236" s="2" t="inlineStr">
        <is>
          <t>vivo</t>
        </is>
      </c>
      <c r="D4236" s="2" t="inlineStr">
        <is>
          <t>postpaid</t>
        </is>
      </c>
      <c r="E4236" s="2" t="inlineStr">
        <is>
          <t>SP</t>
        </is>
      </c>
      <c r="F4236" s="2" t="inlineStr">
        <is>
          <t>Vivo Pós com Premiere</t>
        </is>
      </c>
      <c r="G4236" s="2" t="inlineStr">
        <is>
          <t>vivo:VIV202600034579</t>
        </is>
      </c>
      <c r="H4236" s="3" t="n">
        <v>180</v>
      </c>
      <c r="I4236" s="3" t="inlineStr"/>
      <c r="J4236" s="2" t="inlineStr"/>
      <c r="K4236" s="2" t="inlineStr"/>
      <c r="L4236" s="4" t="n">
        <v>60</v>
      </c>
      <c r="M4236" s="2" t="inlineStr">
        <is>
          <t>50 GB de franquia 10 GB de bônus</t>
        </is>
      </c>
      <c r="N4236" s="2" t="inlineStr"/>
      <c r="O4236" s="2" t="inlineStr"/>
      <c r="P4236" s="2" t="inlineStr"/>
      <c r="Q4236" s="2" t="inlineStr"/>
      <c r="R4236" s="2" t="inlineStr">
        <is>
          <t>Premiere</t>
        </is>
      </c>
      <c r="S4236" s="2" t="inlineStr"/>
      <c r="T4236" s="2" t="inlineStr">
        <is>
          <t>Assinatura Premiere inclusa</t>
        </is>
      </c>
      <c r="U4236" s="2" t="inlineStr">
        <is>
          <t>https://vivo.com.br/para-voce/produtos-e-servicos/para-o-celular/planos-pos-pago</t>
        </is>
      </c>
      <c r="V4236" s="2" t="inlineStr">
        <is>
          <t>data/raw/vivo_postpaid_SP.html</t>
        </is>
      </c>
    </row>
    <row r="4237">
      <c r="A4237" s="5" t="inlineStr">
        <is>
          <t>2026-09-04</t>
        </is>
      </c>
      <c r="B4237" s="5" t="inlineStr">
        <is>
          <t>2026-09-04T19:45:10</t>
        </is>
      </c>
      <c r="C4237" s="5" t="inlineStr">
        <is>
          <t>vivo</t>
        </is>
      </c>
      <c r="D4237" s="5" t="inlineStr">
        <is>
          <t>postpaid</t>
        </is>
      </c>
      <c r="E4237" s="5" t="inlineStr">
        <is>
          <t>SP</t>
        </is>
      </c>
      <c r="F4237" s="5" t="inlineStr">
        <is>
          <t>Vivo Pós com Spotify</t>
        </is>
      </c>
      <c r="G4237" s="5" t="inlineStr">
        <is>
          <t>vivo:VIV202600034556</t>
        </is>
      </c>
      <c r="H4237" s="6" t="n">
        <v>165</v>
      </c>
      <c r="I4237" s="6" t="inlineStr"/>
      <c r="J4237" s="5" t="inlineStr"/>
      <c r="K4237" s="5" t="inlineStr"/>
      <c r="L4237" s="7" t="n">
        <v>60</v>
      </c>
      <c r="M4237" s="5" t="inlineStr">
        <is>
          <t>50 GB de franquia 10 GB de bônus</t>
        </is>
      </c>
      <c r="N4237" s="5" t="inlineStr"/>
      <c r="O4237" s="5" t="inlineStr"/>
      <c r="P4237" s="5" t="inlineStr"/>
      <c r="Q4237" s="5" t="inlineStr"/>
      <c r="R4237" s="5" t="inlineStr">
        <is>
          <t>Spotify</t>
        </is>
      </c>
      <c r="S4237" s="5" t="inlineStr"/>
      <c r="T4237" s="5" t="inlineStr">
        <is>
          <t>Assinatura Spotify Premium inclusa</t>
        </is>
      </c>
      <c r="U4237" s="5" t="inlineStr">
        <is>
          <t>https://vivo.com.br/para-voce/produtos-e-servicos/para-o-celular/planos-pos-pago</t>
        </is>
      </c>
      <c r="V4237" s="5" t="inlineStr">
        <is>
          <t>data/raw/vivo_postpaid_SP.html</t>
        </is>
      </c>
    </row>
    <row r="4238">
      <c r="A4238" s="2" t="inlineStr">
        <is>
          <t>2026-09-04</t>
        </is>
      </c>
      <c r="B4238" s="2" t="inlineStr">
        <is>
          <t>2026-09-04T19:45:10</t>
        </is>
      </c>
      <c r="C4238" s="2" t="inlineStr">
        <is>
          <t>vivo</t>
        </is>
      </c>
      <c r="D4238" s="2" t="inlineStr">
        <is>
          <t>postpaid</t>
        </is>
      </c>
      <c r="E4238" s="2" t="inlineStr">
        <is>
          <t>SP</t>
        </is>
      </c>
      <c r="F4238" s="2" t="inlineStr">
        <is>
          <t>Vivo Pós com Travel</t>
        </is>
      </c>
      <c r="G4238" s="2" t="inlineStr">
        <is>
          <t>vivo:VIV202600034573</t>
        </is>
      </c>
      <c r="H4238" s="3" t="n">
        <v>215</v>
      </c>
      <c r="I4238" s="3" t="inlineStr"/>
      <c r="J4238" s="2" t="inlineStr"/>
      <c r="K4238" s="2" t="inlineStr"/>
      <c r="L4238" s="4" t="n">
        <v>70</v>
      </c>
      <c r="M4238" s="2" t="inlineStr">
        <is>
          <t>60 GB de franquia 10 GB de bônus</t>
        </is>
      </c>
      <c r="N4238" s="2" t="inlineStr"/>
      <c r="O4238" s="2" t="inlineStr"/>
      <c r="P4238" s="2" t="inlineStr"/>
      <c r="Q4238" s="2" t="inlineStr"/>
      <c r="R4238" s="2" t="inlineStr"/>
      <c r="S4238" s="2" t="inlineStr"/>
      <c r="T4238" s="2" t="inlineStr">
        <is>
          <t>6 meses grátis de Gemini com AI Plus</t>
        </is>
      </c>
      <c r="U4238" s="2" t="inlineStr">
        <is>
          <t>https://vivo.com.br/para-voce/produtos-e-servicos/para-o-celular/planos-pos-pago</t>
        </is>
      </c>
      <c r="V4238" s="2" t="inlineStr">
        <is>
          <t>data/raw/vivo_postpaid_SP.html</t>
        </is>
      </c>
    </row>
    <row r="4239">
      <c r="A4239" s="5" t="inlineStr">
        <is>
          <t>2026-09-04</t>
        </is>
      </c>
      <c r="B4239" s="5" t="inlineStr">
        <is>
          <t>2026-09-04T19:45:10</t>
        </is>
      </c>
      <c r="C4239" s="5" t="inlineStr">
        <is>
          <t>vivo</t>
        </is>
      </c>
      <c r="D4239" s="5" t="inlineStr">
        <is>
          <t>prepaid</t>
        </is>
      </c>
      <c r="E4239" s="5" t="inlineStr">
        <is>
          <t>SP</t>
        </is>
      </c>
      <c r="F4239" s="5" t="inlineStr">
        <is>
          <t>Vivo Pré</t>
        </is>
      </c>
      <c r="G4239" s="5" t="inlineStr">
        <is>
          <t>vivo:VIV202600029370-30d</t>
        </is>
      </c>
      <c r="H4239" s="6" t="n">
        <v>30</v>
      </c>
      <c r="I4239" s="6" t="inlineStr"/>
      <c r="J4239" s="5" t="inlineStr"/>
      <c r="K4239" s="5" t="inlineStr"/>
      <c r="L4239" s="7" t="n">
        <v>25</v>
      </c>
      <c r="M4239" s="5" t="inlineStr">
        <is>
          <t>15 GB para navegar como quiser 5 GB de bônus 5 GB para navegar no Youtube</t>
        </is>
      </c>
      <c r="N4239" s="5" t="n">
        <v>30</v>
      </c>
      <c r="O4239" s="5" t="inlineStr"/>
      <c r="P4239" s="5" t="inlineStr"/>
      <c r="Q4239" s="5" t="inlineStr"/>
      <c r="R4239" s="5" t="inlineStr"/>
      <c r="S4239" s="5" t="inlineStr"/>
      <c r="T4239" s="5" t="inlineStr"/>
      <c r="U4239" s="5" t="inlineStr">
        <is>
          <t>https://vivo.com.br/para-voce/produtos-e-servicos/para-o-celular/pre-pago/vivo-pre</t>
        </is>
      </c>
      <c r="V4239" s="5" t="inlineStr">
        <is>
          <t>data/raw/vivo_prepaid_SP.html</t>
        </is>
      </c>
    </row>
    <row r="4240">
      <c r="A4240" s="2" t="inlineStr">
        <is>
          <t>2026-09-04</t>
        </is>
      </c>
      <c r="B4240" s="2" t="inlineStr">
        <is>
          <t>2026-09-04T19:45:10</t>
        </is>
      </c>
      <c r="C4240" s="2" t="inlineStr">
        <is>
          <t>vivo</t>
        </is>
      </c>
      <c r="D4240" s="2" t="inlineStr">
        <is>
          <t>prepaid</t>
        </is>
      </c>
      <c r="E4240" s="2" t="inlineStr">
        <is>
          <t>SP</t>
        </is>
      </c>
      <c r="F4240" s="2" t="inlineStr">
        <is>
          <t>Vivo Pré</t>
        </is>
      </c>
      <c r="G4240" s="2" t="inlineStr">
        <is>
          <t>vivo:VIV202600029370-22d</t>
        </is>
      </c>
      <c r="H4240" s="3" t="n">
        <v>25</v>
      </c>
      <c r="I4240" s="3" t="inlineStr"/>
      <c r="J4240" s="2" t="inlineStr"/>
      <c r="K4240" s="2" t="inlineStr"/>
      <c r="L4240" s="4" t="n">
        <v>9</v>
      </c>
      <c r="M4240" s="2" t="inlineStr">
        <is>
          <t>6 GB para navegar como quiser 3 GB para navegar no YouTube</t>
        </is>
      </c>
      <c r="N4240" s="2" t="n">
        <v>22</v>
      </c>
      <c r="O4240" s="2" t="inlineStr"/>
      <c r="P4240" s="2" t="inlineStr"/>
      <c r="Q4240" s="2" t="inlineStr"/>
      <c r="R4240" s="2" t="inlineStr"/>
      <c r="S4240" s="2" t="inlineStr"/>
      <c r="T4240" s="2" t="inlineStr"/>
      <c r="U4240" s="2" t="inlineStr">
        <is>
          <t>https://vivo.com.br/para-voce/produtos-e-servicos/para-o-celular/pre-pago/vivo-pre</t>
        </is>
      </c>
      <c r="V4240" s="2" t="inlineStr">
        <is>
          <t>data/raw/vivo_prepaid_SP.html</t>
        </is>
      </c>
    </row>
    <row r="4241">
      <c r="A4241" s="5" t="inlineStr">
        <is>
          <t>2026-09-04</t>
        </is>
      </c>
      <c r="B4241" s="5" t="inlineStr">
        <is>
          <t>2026-09-04T19:45:10</t>
        </is>
      </c>
      <c r="C4241" s="5" t="inlineStr">
        <is>
          <t>vivo</t>
        </is>
      </c>
      <c r="D4241" s="5" t="inlineStr">
        <is>
          <t>prepaid</t>
        </is>
      </c>
      <c r="E4241" s="5" t="inlineStr">
        <is>
          <t>SP</t>
        </is>
      </c>
      <c r="F4241" s="5" t="inlineStr">
        <is>
          <t>Vivo Pré</t>
        </is>
      </c>
      <c r="G4241" s="5" t="inlineStr">
        <is>
          <t>vivo:VIV202600029370-17d</t>
        </is>
      </c>
      <c r="H4241" s="6" t="n">
        <v>20</v>
      </c>
      <c r="I4241" s="6" t="inlineStr"/>
      <c r="J4241" s="5" t="inlineStr"/>
      <c r="K4241" s="5" t="inlineStr"/>
      <c r="L4241" s="7" t="n">
        <v>5</v>
      </c>
      <c r="M4241" s="5" t="inlineStr">
        <is>
          <t>5 GB para navegar como quiser</t>
        </is>
      </c>
      <c r="N4241" s="5" t="n">
        <v>17</v>
      </c>
      <c r="O4241" s="5" t="inlineStr"/>
      <c r="P4241" s="5" t="inlineStr"/>
      <c r="Q4241" s="5" t="inlineStr"/>
      <c r="R4241" s="5" t="inlineStr"/>
      <c r="S4241" s="5" t="inlineStr"/>
      <c r="T4241" s="5" t="inlineStr"/>
      <c r="U4241" s="5" t="inlineStr">
        <is>
          <t>https://vivo.com.br/para-voce/produtos-e-servicos/para-o-celular/pre-pago/vivo-pre</t>
        </is>
      </c>
      <c r="V4241" s="5" t="inlineStr">
        <is>
          <t>data/raw/vivo_prepaid_SP.html</t>
        </is>
      </c>
    </row>
    <row r="4242">
      <c r="A4242" s="2" t="inlineStr">
        <is>
          <t>2026-09-04</t>
        </is>
      </c>
      <c r="B4242" s="2" t="inlineStr">
        <is>
          <t>2026-09-04T19:45:10</t>
        </is>
      </c>
      <c r="C4242" s="2" t="inlineStr">
        <is>
          <t>vivo</t>
        </is>
      </c>
      <c r="D4242" s="2" t="inlineStr">
        <is>
          <t>prepaid</t>
        </is>
      </c>
      <c r="E4242" s="2" t="inlineStr">
        <is>
          <t>SP</t>
        </is>
      </c>
      <c r="F4242" s="2" t="inlineStr">
        <is>
          <t>Vivo Pré</t>
        </is>
      </c>
      <c r="G4242" s="2" t="inlineStr">
        <is>
          <t>vivo:VIV202600029370-15d</t>
        </is>
      </c>
      <c r="H4242" s="3" t="n">
        <v>17</v>
      </c>
      <c r="I4242" s="3" t="inlineStr"/>
      <c r="J4242" s="2" t="inlineStr"/>
      <c r="K4242" s="2" t="inlineStr"/>
      <c r="L4242" s="4" t="n">
        <v>4</v>
      </c>
      <c r="M4242" s="2" t="inlineStr">
        <is>
          <t>4 GB para navegar como quiser</t>
        </is>
      </c>
      <c r="N4242" s="2" t="n">
        <v>15</v>
      </c>
      <c r="O4242" s="2" t="inlineStr"/>
      <c r="P4242" s="2" t="inlineStr"/>
      <c r="Q4242" s="2" t="inlineStr"/>
      <c r="R4242" s="2" t="inlineStr"/>
      <c r="S4242" s="2" t="inlineStr"/>
      <c r="T4242" s="2" t="inlineStr"/>
      <c r="U4242" s="2" t="inlineStr">
        <is>
          <t>https://vivo.com.br/para-voce/produtos-e-servicos/para-o-celular/pre-pago/vivo-pre</t>
        </is>
      </c>
      <c r="V4242" s="2" t="inlineStr">
        <is>
          <t>data/raw/vivo_prepaid_SP.html</t>
        </is>
      </c>
    </row>
    <row r="4243">
      <c r="A4243" s="5" t="inlineStr">
        <is>
          <t>2026-09-05</t>
        </is>
      </c>
      <c r="B4243" s="5" t="inlineStr">
        <is>
          <t>2026-09-05T19:37:33</t>
        </is>
      </c>
      <c r="C4243" s="5" t="inlineStr">
        <is>
          <t>claro</t>
        </is>
      </c>
      <c r="D4243" s="5" t="inlineStr">
        <is>
          <t>control</t>
        </is>
      </c>
      <c r="E4243" s="5" t="inlineStr">
        <is>
          <t>SP</t>
        </is>
      </c>
      <c r="F4243" s="5" t="inlineStr">
        <is>
          <t>Controle 25GB</t>
        </is>
      </c>
      <c r="G4243" s="5" t="inlineStr">
        <is>
          <t>claro:plano-controle-25gb</t>
        </is>
      </c>
      <c r="H4243" s="6" t="n">
        <v>59.9</v>
      </c>
      <c r="I4243" s="6" t="n">
        <v>54.9</v>
      </c>
      <c r="J4243" s="5" t="inlineStr">
        <is>
          <t>De R$ 59,90 Por:</t>
        </is>
      </c>
      <c r="K4243" s="5" t="inlineStr"/>
      <c r="L4243" s="7" t="n">
        <v>25</v>
      </c>
      <c r="M4243" s="5" t="inlineStr"/>
      <c r="N4243" s="5" t="inlineStr"/>
      <c r="O4243" s="5" t="inlineStr">
        <is>
          <t>WhatsApp</t>
        </is>
      </c>
      <c r="P4243" s="5" t="inlineStr"/>
      <c r="Q4243" s="5" t="inlineStr"/>
      <c r="R4243" s="5" t="inlineStr"/>
      <c r="S4243" s="5" t="inlineStr"/>
      <c r="T4243" s="5" t="inlineStr">
        <is>
          <t>Para uso livre; Para redes sociais e vídeos; Bônus exclusivo; Aproveite na sua franquia; WhatsApp e ligações ilimitadas</t>
        </is>
      </c>
      <c r="U4243" s="5" t="inlineStr">
        <is>
          <t>https://www.claro.com.br/celular/controle</t>
        </is>
      </c>
      <c r="V4243" s="5" t="inlineStr">
        <is>
          <t>data/raw/claro_control_SP.json</t>
        </is>
      </c>
    </row>
    <row r="4244">
      <c r="A4244" s="2" t="inlineStr">
        <is>
          <t>2026-09-05</t>
        </is>
      </c>
      <c r="B4244" s="2" t="inlineStr">
        <is>
          <t>2026-09-05T19:37:33</t>
        </is>
      </c>
      <c r="C4244" s="2" t="inlineStr">
        <is>
          <t>claro</t>
        </is>
      </c>
      <c r="D4244" s="2" t="inlineStr">
        <is>
          <t>control</t>
        </is>
      </c>
      <c r="E4244" s="2" t="inlineStr">
        <is>
          <t>SP</t>
        </is>
      </c>
      <c r="F4244" s="2" t="inlineStr">
        <is>
          <t>Controle 30GB</t>
        </is>
      </c>
      <c r="G4244" s="2" t="inlineStr">
        <is>
          <t>claro:plano-controle-30gb</t>
        </is>
      </c>
      <c r="H4244" s="3" t="n">
        <v>69.90000000000001</v>
      </c>
      <c r="I4244" s="3" t="inlineStr"/>
      <c r="J4244" s="2" t="inlineStr"/>
      <c r="K4244" s="2" t="inlineStr"/>
      <c r="L4244" s="4" t="n">
        <v>30</v>
      </c>
      <c r="M4244" s="2" t="inlineStr"/>
      <c r="N4244" s="2" t="inlineStr"/>
      <c r="O4244" s="2" t="inlineStr">
        <is>
          <t>WhatsApp</t>
        </is>
      </c>
      <c r="P4244" s="2" t="inlineStr"/>
      <c r="Q4244" s="2" t="inlineStr"/>
      <c r="R4244" s="2" t="inlineStr"/>
      <c r="S4244" s="2" t="inlineStr"/>
      <c r="T4244" s="2" t="inlineStr">
        <is>
          <t>Para uso livre; Bônus para uso livre; Bônus para redes sociais e apps; Assinatura Amazon Prime por 3 meses; Redes sociais e apps; WhatsApp ilimitado</t>
        </is>
      </c>
      <c r="U4244" s="2" t="inlineStr">
        <is>
          <t>https://www.claro.com.br/celular/controle</t>
        </is>
      </c>
      <c r="V4244" s="2" t="inlineStr">
        <is>
          <t>data/raw/claro_control_SP.json</t>
        </is>
      </c>
    </row>
    <row r="4245">
      <c r="A4245" s="5" t="inlineStr">
        <is>
          <t>2026-09-05</t>
        </is>
      </c>
      <c r="B4245" s="5" t="inlineStr">
        <is>
          <t>2026-09-05T19:37:33</t>
        </is>
      </c>
      <c r="C4245" s="5" t="inlineStr">
        <is>
          <t>claro</t>
        </is>
      </c>
      <c r="D4245" s="5" t="inlineStr">
        <is>
          <t>control</t>
        </is>
      </c>
      <c r="E4245" s="5" t="inlineStr">
        <is>
          <t>SP</t>
        </is>
      </c>
      <c r="F4245" s="5" t="inlineStr">
        <is>
          <t>Controle 30GB</t>
        </is>
      </c>
      <c r="G4245" s="5" t="inlineStr">
        <is>
          <t>claro:plano-controle-30gb-gaming</t>
        </is>
      </c>
      <c r="H4245" s="6" t="n">
        <v>99.90000000000001</v>
      </c>
      <c r="I4245" s="6" t="inlineStr"/>
      <c r="J4245" s="5" t="inlineStr"/>
      <c r="K4245" s="5" t="inlineStr"/>
      <c r="L4245" s="7" t="n">
        <v>30</v>
      </c>
      <c r="M4245" s="5" t="inlineStr"/>
      <c r="N4245" s="5" t="inlineStr"/>
      <c r="O4245" s="5" t="inlineStr">
        <is>
          <t>WhatsApp</t>
        </is>
      </c>
      <c r="P4245" s="5" t="inlineStr"/>
      <c r="Q4245" s="5" t="inlineStr"/>
      <c r="R4245" s="5" t="inlineStr"/>
      <c r="S4245" s="5" t="inlineStr"/>
      <c r="T4245" s="5" t="inlineStr">
        <is>
          <t>Para uso livre; Bônus para redes sociais e apps; Bônus uso livre; Assinatura Amazon Prime por 3 meses; Redes sociais e apps; WhatsApp ilimitado</t>
        </is>
      </c>
      <c r="U4245" s="5" t="inlineStr">
        <is>
          <t>https://www.claro.com.br/celular/controle</t>
        </is>
      </c>
      <c r="V4245" s="5" t="inlineStr">
        <is>
          <t>data/raw/claro_control_SP.json</t>
        </is>
      </c>
    </row>
    <row r="4246">
      <c r="A4246" s="2" t="inlineStr">
        <is>
          <t>2026-09-05</t>
        </is>
      </c>
      <c r="B4246" s="2" t="inlineStr">
        <is>
          <t>2026-09-05T19:37:33</t>
        </is>
      </c>
      <c r="C4246" s="2" t="inlineStr">
        <is>
          <t>claro</t>
        </is>
      </c>
      <c r="D4246" s="2" t="inlineStr">
        <is>
          <t>flex</t>
        </is>
      </c>
      <c r="E4246" s="2" t="inlineStr">
        <is>
          <t>SP</t>
        </is>
      </c>
      <c r="F4246" s="2" t="inlineStr">
        <is>
          <t>Flex 15GB</t>
        </is>
      </c>
      <c r="G4246" s="2" t="inlineStr">
        <is>
          <t>claro:plano-flex-15gb</t>
        </is>
      </c>
      <c r="H4246" s="3" t="n">
        <v>44.9</v>
      </c>
      <c r="I4246" s="3" t="inlineStr"/>
      <c r="J4246" s="2" t="inlineStr"/>
      <c r="K4246" s="2" t="inlineStr"/>
      <c r="L4246" s="4" t="n">
        <v>15</v>
      </c>
      <c r="M4246" s="2" t="inlineStr"/>
      <c r="N4246" s="2" t="inlineStr"/>
      <c r="O4246" s="2" t="inlineStr">
        <is>
          <t>WhatsApp</t>
        </is>
      </c>
      <c r="P4246" s="2" t="inlineStr"/>
      <c r="Q4246" s="2" t="inlineStr"/>
      <c r="R4246" s="2" t="inlineStr"/>
      <c r="S4246" s="2" t="inlineStr"/>
      <c r="T4246" s="2" t="inlineStr">
        <is>
          <t>Para uso livre; Para redes sociais e apps; Bônus extra nos apps; WhatsApp ilimitado</t>
        </is>
      </c>
      <c r="U4246" s="2" t="inlineStr">
        <is>
          <t>https://www.claro.com.br/celular/flex</t>
        </is>
      </c>
      <c r="V4246" s="2" t="inlineStr">
        <is>
          <t>data/raw/claro_flex_SP.json</t>
        </is>
      </c>
    </row>
    <row r="4247">
      <c r="A4247" s="5" t="inlineStr">
        <is>
          <t>2026-09-05</t>
        </is>
      </c>
      <c r="B4247" s="5" t="inlineStr">
        <is>
          <t>2026-09-05T19:37:33</t>
        </is>
      </c>
      <c r="C4247" s="5" t="inlineStr">
        <is>
          <t>claro</t>
        </is>
      </c>
      <c r="D4247" s="5" t="inlineStr">
        <is>
          <t>flex</t>
        </is>
      </c>
      <c r="E4247" s="5" t="inlineStr">
        <is>
          <t>SP</t>
        </is>
      </c>
      <c r="F4247" s="5" t="inlineStr">
        <is>
          <t>Flex 20GB</t>
        </is>
      </c>
      <c r="G4247" s="5" t="inlineStr">
        <is>
          <t>claro:plano-flex-20gb</t>
        </is>
      </c>
      <c r="H4247" s="6" t="n">
        <v>59.9</v>
      </c>
      <c r="I4247" s="6" t="inlineStr"/>
      <c r="J4247" s="5" t="inlineStr"/>
      <c r="K4247" s="5" t="inlineStr"/>
      <c r="L4247" s="7" t="n">
        <v>20</v>
      </c>
      <c r="M4247" s="5" t="inlineStr"/>
      <c r="N4247" s="5" t="inlineStr"/>
      <c r="O4247" s="5" t="inlineStr">
        <is>
          <t>WhatsApp</t>
        </is>
      </c>
      <c r="P4247" s="5" t="inlineStr"/>
      <c r="Q4247" s="5" t="inlineStr"/>
      <c r="R4247" s="5" t="inlineStr"/>
      <c r="S4247" s="5" t="inlineStr"/>
      <c r="T4247" s="5" t="inlineStr">
        <is>
          <t>Para uso livre; Para redes sociais e apps; Bônus extra nos apps; WhatsApp ilimitado</t>
        </is>
      </c>
      <c r="U4247" s="5" t="inlineStr">
        <is>
          <t>https://www.claro.com.br/celular/flex</t>
        </is>
      </c>
      <c r="V4247" s="5" t="inlineStr">
        <is>
          <t>data/raw/claro_flex_SP.json</t>
        </is>
      </c>
    </row>
    <row r="4248">
      <c r="A4248" s="2" t="inlineStr">
        <is>
          <t>2026-09-05</t>
        </is>
      </c>
      <c r="B4248" s="2" t="inlineStr">
        <is>
          <t>2026-09-05T19:37:33</t>
        </is>
      </c>
      <c r="C4248" s="2" t="inlineStr">
        <is>
          <t>claro</t>
        </is>
      </c>
      <c r="D4248" s="2" t="inlineStr">
        <is>
          <t>flex</t>
        </is>
      </c>
      <c r="E4248" s="2" t="inlineStr">
        <is>
          <t>SP</t>
        </is>
      </c>
      <c r="F4248" s="2" t="inlineStr">
        <is>
          <t>Flex 30GB</t>
        </is>
      </c>
      <c r="G4248" s="2" t="inlineStr">
        <is>
          <t>claro:plano-flex-30gb</t>
        </is>
      </c>
      <c r="H4248" s="3" t="n">
        <v>69.90000000000001</v>
      </c>
      <c r="I4248" s="3" t="inlineStr"/>
      <c r="J4248" s="2" t="inlineStr"/>
      <c r="K4248" s="2" t="inlineStr"/>
      <c r="L4248" s="4" t="n">
        <v>30</v>
      </c>
      <c r="M4248" s="2" t="inlineStr"/>
      <c r="N4248" s="2" t="inlineStr"/>
      <c r="O4248" s="2" t="inlineStr">
        <is>
          <t>WhatsApp</t>
        </is>
      </c>
      <c r="P4248" s="2" t="inlineStr"/>
      <c r="Q4248" s="2" t="inlineStr"/>
      <c r="R4248" s="2" t="inlineStr"/>
      <c r="S4248" s="2" t="inlineStr"/>
      <c r="T4248" s="2" t="inlineStr">
        <is>
          <t>Para uso livre; Para redes sociais e apps; Bônus extra nos apps; WhatsApp ilimitado; Assinatura Claro musica inclusa</t>
        </is>
      </c>
      <c r="U4248" s="2" t="inlineStr">
        <is>
          <t>https://www.claro.com.br/celular/flex</t>
        </is>
      </c>
      <c r="V4248" s="2" t="inlineStr">
        <is>
          <t>data/raw/claro_flex_SP.json</t>
        </is>
      </c>
    </row>
    <row r="4249">
      <c r="A4249" s="5" t="inlineStr">
        <is>
          <t>2026-09-05</t>
        </is>
      </c>
      <c r="B4249" s="5" t="inlineStr">
        <is>
          <t>2026-09-05T19:37:33</t>
        </is>
      </c>
      <c r="C4249" s="5" t="inlineStr">
        <is>
          <t>claro</t>
        </is>
      </c>
      <c r="D4249" s="5" t="inlineStr">
        <is>
          <t>flex</t>
        </is>
      </c>
      <c r="E4249" s="5" t="inlineStr">
        <is>
          <t>SP</t>
        </is>
      </c>
      <c r="F4249" s="5" t="inlineStr">
        <is>
          <t>Flex 40GB</t>
        </is>
      </c>
      <c r="G4249" s="5" t="inlineStr">
        <is>
          <t>claro:plano-flex-40gb</t>
        </is>
      </c>
      <c r="H4249" s="6" t="n">
        <v>119.9</v>
      </c>
      <c r="I4249" s="6" t="inlineStr"/>
      <c r="J4249" s="5" t="inlineStr"/>
      <c r="K4249" s="5" t="inlineStr"/>
      <c r="L4249" s="7" t="n">
        <v>40</v>
      </c>
      <c r="M4249" s="5" t="inlineStr"/>
      <c r="N4249" s="5" t="inlineStr"/>
      <c r="O4249" s="5" t="inlineStr">
        <is>
          <t>WhatsApp</t>
        </is>
      </c>
      <c r="P4249" s="5" t="inlineStr"/>
      <c r="Q4249" s="5" t="inlineStr"/>
      <c r="R4249" s="5" t="inlineStr"/>
      <c r="S4249" s="5" t="inlineStr"/>
      <c r="T4249" s="5" t="inlineStr">
        <is>
          <t>Para uso livre; WhatsApp ilimitado; Assinatura Claro musica inclusa; Roaming: Passaporte Américas</t>
        </is>
      </c>
      <c r="U4249" s="5" t="inlineStr">
        <is>
          <t>https://www.claro.com.br/celular/flex</t>
        </is>
      </c>
      <c r="V4249" s="5" t="inlineStr">
        <is>
          <t>data/raw/claro_flex_SP.json</t>
        </is>
      </c>
    </row>
    <row r="4250">
      <c r="A4250" s="2" t="inlineStr">
        <is>
          <t>2026-09-05</t>
        </is>
      </c>
      <c r="B4250" s="2" t="inlineStr">
        <is>
          <t>2026-09-05T19:37:33</t>
        </is>
      </c>
      <c r="C4250" s="2" t="inlineStr">
        <is>
          <t>claro</t>
        </is>
      </c>
      <c r="D4250" s="2" t="inlineStr">
        <is>
          <t>postpaid</t>
        </is>
      </c>
      <c r="E4250" s="2" t="inlineStr">
        <is>
          <t>SP</t>
        </is>
      </c>
      <c r="F4250" s="2" t="inlineStr">
        <is>
          <t>Pós 100GB</t>
        </is>
      </c>
      <c r="G4250" s="2" t="inlineStr">
        <is>
          <t>claro:plano-pos-100gb</t>
        </is>
      </c>
      <c r="H4250" s="3" t="n">
        <v>179.9</v>
      </c>
      <c r="I4250" s="3" t="inlineStr"/>
      <c r="J4250" s="2" t="inlineStr"/>
      <c r="K4250" s="2" t="inlineStr"/>
      <c r="L4250" s="4" t="n">
        <v>100</v>
      </c>
      <c r="M4250" s="2" t="inlineStr"/>
      <c r="N4250" s="2" t="inlineStr"/>
      <c r="O4250" s="2" t="inlineStr">
        <is>
          <t>WhatsApp</t>
        </is>
      </c>
      <c r="P4250" s="2" t="inlineStr"/>
      <c r="Q4250" s="2" t="inlineStr"/>
      <c r="R4250" s="2" t="inlineStr"/>
      <c r="S4250" s="2" t="inlineStr"/>
      <c r="T4250" s="2" t="inlineStr">
        <is>
          <t>Armazenamento na nuvem:; Google One ou iCloud+; WhatsApp ilimitado; Assinatura Amazon Prime por 3 meses; Roaming: Passaporte Américas; Claro Sync: Smartwatch conectado</t>
        </is>
      </c>
      <c r="U4250" s="2" t="inlineStr">
        <is>
          <t>https://www.claro.com.br/celular/pos</t>
        </is>
      </c>
      <c r="V4250" s="2" t="inlineStr">
        <is>
          <t>data/raw/claro_postpaid_SP.json</t>
        </is>
      </c>
    </row>
    <row r="4251">
      <c r="A4251" s="5" t="inlineStr">
        <is>
          <t>2026-09-05</t>
        </is>
      </c>
      <c r="B4251" s="5" t="inlineStr">
        <is>
          <t>2026-09-05T19:37:33</t>
        </is>
      </c>
      <c r="C4251" s="5" t="inlineStr">
        <is>
          <t>claro</t>
        </is>
      </c>
      <c r="D4251" s="5" t="inlineStr">
        <is>
          <t>postpaid</t>
        </is>
      </c>
      <c r="E4251" s="5" t="inlineStr">
        <is>
          <t>SP</t>
        </is>
      </c>
      <c r="F4251" s="5" t="inlineStr">
        <is>
          <t>Pós 150GB</t>
        </is>
      </c>
      <c r="G4251" s="5" t="inlineStr">
        <is>
          <t>claro:plano-pos-150gb</t>
        </is>
      </c>
      <c r="H4251" s="6" t="n">
        <v>239.9</v>
      </c>
      <c r="I4251" s="6" t="inlineStr"/>
      <c r="J4251" s="5" t="inlineStr"/>
      <c r="K4251" s="5" t="inlineStr"/>
      <c r="L4251" s="7" t="n">
        <v>150</v>
      </c>
      <c r="M4251" s="5" t="inlineStr"/>
      <c r="N4251" s="5" t="inlineStr"/>
      <c r="O4251" s="5" t="inlineStr">
        <is>
          <t>WhatsApp</t>
        </is>
      </c>
      <c r="P4251" s="5" t="inlineStr"/>
      <c r="Q4251" s="5" t="inlineStr"/>
      <c r="R4251" s="5" t="inlineStr"/>
      <c r="S4251" s="5" t="inlineStr"/>
      <c r="T4251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251" s="5" t="inlineStr">
        <is>
          <t>https://www.claro.com.br/celular/pos</t>
        </is>
      </c>
      <c r="V4251" s="5" t="inlineStr">
        <is>
          <t>data/raw/claro_postpaid_SP.json</t>
        </is>
      </c>
    </row>
    <row r="4252">
      <c r="A4252" s="2" t="inlineStr">
        <is>
          <t>2026-09-05</t>
        </is>
      </c>
      <c r="B4252" s="2" t="inlineStr">
        <is>
          <t>2026-09-05T19:37:33</t>
        </is>
      </c>
      <c r="C4252" s="2" t="inlineStr">
        <is>
          <t>claro</t>
        </is>
      </c>
      <c r="D4252" s="2" t="inlineStr">
        <is>
          <t>postpaid</t>
        </is>
      </c>
      <c r="E4252" s="2" t="inlineStr">
        <is>
          <t>SP</t>
        </is>
      </c>
      <c r="F4252" s="2" t="inlineStr">
        <is>
          <t>Pós 200GB</t>
        </is>
      </c>
      <c r="G4252" s="2" t="inlineStr">
        <is>
          <t>claro:plano-pos-200gb</t>
        </is>
      </c>
      <c r="H4252" s="3" t="n">
        <v>339.9</v>
      </c>
      <c r="I4252" s="3" t="inlineStr"/>
      <c r="J4252" s="2" t="inlineStr"/>
      <c r="K4252" s="2" t="inlineStr"/>
      <c r="L4252" s="4" t="n">
        <v>200</v>
      </c>
      <c r="M4252" s="2" t="inlineStr"/>
      <c r="N4252" s="2" t="inlineStr"/>
      <c r="O4252" s="2" t="inlineStr">
        <is>
          <t>WhatsApp</t>
        </is>
      </c>
      <c r="P4252" s="2" t="inlineStr"/>
      <c r="Q4252" s="2" t="inlineStr"/>
      <c r="R4252" s="2" t="inlineStr"/>
      <c r="S4252" s="2" t="inlineStr"/>
      <c r="T4252" s="2" t="inlineStr">
        <is>
          <t>Armazenamento na nuvem:; Google One (AI Plus) ou iCloud+; WhatsApp ilimitado; Assinatura Amazon Prime por 3 meses; Roaming: Passaporte Mundo; Claro Sync: Smartwatch conectado</t>
        </is>
      </c>
      <c r="U4252" s="2" t="inlineStr">
        <is>
          <t>https://www.claro.com.br/celular/pos</t>
        </is>
      </c>
      <c r="V4252" s="2" t="inlineStr">
        <is>
          <t>data/raw/claro_postpaid_SP.json</t>
        </is>
      </c>
    </row>
    <row r="4253">
      <c r="A4253" s="5" t="inlineStr">
        <is>
          <t>2026-09-05</t>
        </is>
      </c>
      <c r="B4253" s="5" t="inlineStr">
        <is>
          <t>2026-09-05T19:37:33</t>
        </is>
      </c>
      <c r="C4253" s="5" t="inlineStr">
        <is>
          <t>claro</t>
        </is>
      </c>
      <c r="D4253" s="5" t="inlineStr">
        <is>
          <t>postpaid</t>
        </is>
      </c>
      <c r="E4253" s="5" t="inlineStr">
        <is>
          <t>SP</t>
        </is>
      </c>
      <c r="F4253" s="5" t="inlineStr">
        <is>
          <t>Pós 50GB com GeForce NOW</t>
        </is>
      </c>
      <c r="G4253" s="5" t="inlineStr">
        <is>
          <t>claro:plano-pos-60gb-geforce</t>
        </is>
      </c>
      <c r="H4253" s="6" t="n">
        <v>164.9</v>
      </c>
      <c r="I4253" s="6" t="inlineStr"/>
      <c r="J4253" s="5" t="inlineStr"/>
      <c r="K4253" s="5" t="inlineStr"/>
      <c r="L4253" s="7" t="n">
        <v>50</v>
      </c>
      <c r="M4253" s="5" t="inlineStr"/>
      <c r="N4253" s="5" t="inlineStr"/>
      <c r="O4253" s="5" t="inlineStr">
        <is>
          <t>WhatsApp</t>
        </is>
      </c>
      <c r="P4253" s="5" t="inlineStr"/>
      <c r="Q4253" s="5" t="inlineStr"/>
      <c r="R4253" s="5" t="inlineStr"/>
      <c r="S4253" s="5" t="inlineStr"/>
      <c r="T425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253" s="5" t="inlineStr">
        <is>
          <t>https://www.claro.com.br/celular/pos</t>
        </is>
      </c>
      <c r="V4253" s="5" t="inlineStr">
        <is>
          <t>data/raw/claro_postpaid_SP.json</t>
        </is>
      </c>
    </row>
    <row r="4254">
      <c r="A4254" s="2" t="inlineStr">
        <is>
          <t>2026-09-05</t>
        </is>
      </c>
      <c r="B4254" s="2" t="inlineStr">
        <is>
          <t>2026-09-05T19:37:33</t>
        </is>
      </c>
      <c r="C4254" s="2" t="inlineStr">
        <is>
          <t>claro</t>
        </is>
      </c>
      <c r="D4254" s="2" t="inlineStr">
        <is>
          <t>postpaid</t>
        </is>
      </c>
      <c r="E4254" s="2" t="inlineStr">
        <is>
          <t>SP</t>
        </is>
      </c>
      <c r="F4254" s="2" t="inlineStr">
        <is>
          <t>Pós 60GB</t>
        </is>
      </c>
      <c r="G4254" s="2" t="inlineStr">
        <is>
          <t>claro:plano-pos-60gb</t>
        </is>
      </c>
      <c r="H4254" s="3" t="n">
        <v>124.9</v>
      </c>
      <c r="I4254" s="3" t="inlineStr"/>
      <c r="J4254" s="2" t="inlineStr"/>
      <c r="K4254" s="2" t="inlineStr"/>
      <c r="L4254" s="4" t="n">
        <v>60</v>
      </c>
      <c r="M4254" s="2" t="inlineStr"/>
      <c r="N4254" s="2" t="inlineStr"/>
      <c r="O4254" s="2" t="inlineStr">
        <is>
          <t>WhatsApp</t>
        </is>
      </c>
      <c r="P4254" s="2" t="inlineStr"/>
      <c r="Q4254" s="2" t="inlineStr"/>
      <c r="R4254" s="2" t="inlineStr"/>
      <c r="S4254" s="2" t="inlineStr"/>
      <c r="T4254" s="2" t="inlineStr">
        <is>
          <t>Armazenamento na nuvem:; Google One ou iCloud+; WhatsApp ilimitado; Assinatura Amazon Prime por 3 meses; Roaming: Passaporte Américas; Claro Sync: Smartwatch conectado</t>
        </is>
      </c>
      <c r="U4254" s="2" t="inlineStr">
        <is>
          <t>https://www.claro.com.br/celular/pos</t>
        </is>
      </c>
      <c r="V4254" s="2" t="inlineStr">
        <is>
          <t>data/raw/claro_postpaid_SP.json</t>
        </is>
      </c>
    </row>
    <row r="4255">
      <c r="A4255" s="5" t="inlineStr">
        <is>
          <t>2026-09-05</t>
        </is>
      </c>
      <c r="B4255" s="5" t="inlineStr">
        <is>
          <t>2026-09-05T19:37:33</t>
        </is>
      </c>
      <c r="C4255" s="5" t="inlineStr">
        <is>
          <t>claro</t>
        </is>
      </c>
      <c r="D4255" s="5" t="inlineStr">
        <is>
          <t>prepaid</t>
        </is>
      </c>
      <c r="E4255" s="5" t="inlineStr">
        <is>
          <t>SP</t>
        </is>
      </c>
      <c r="F4255" s="5" t="inlineStr">
        <is>
          <t>Prezão 10GB (25 dias)</t>
        </is>
      </c>
      <c r="G4255" s="5" t="inlineStr">
        <is>
          <t>claro:prezao-25d-10gb</t>
        </is>
      </c>
      <c r="H4255" s="6" t="n">
        <v>25</v>
      </c>
      <c r="I4255" s="6" t="inlineStr"/>
      <c r="J4255" s="5" t="inlineStr">
        <is>
          <t>recarga Prezão R$25 — validade 25 dias</t>
        </is>
      </c>
      <c r="K4255" s="5" t="inlineStr"/>
      <c r="L4255" s="7" t="n">
        <v>10</v>
      </c>
      <c r="M4255" s="5" t="inlineStr"/>
      <c r="N4255" s="5" t="n">
        <v>25</v>
      </c>
      <c r="O4255" s="5" t="inlineStr"/>
      <c r="P4255" s="5" t="inlineStr"/>
      <c r="Q4255" s="5" t="inlineStr"/>
      <c r="R4255" s="5" t="inlineStr"/>
      <c r="S4255" s="5" t="inlineStr"/>
      <c r="T4255" s="5" t="inlineStr"/>
      <c r="U4255" s="5" t="inlineStr">
        <is>
          <t>https://www.claro.com.br/celular/planos-pre/prezao</t>
        </is>
      </c>
      <c r="V4255" s="5" t="inlineStr">
        <is>
          <t>data/raw/claro_prepaid_SP.json</t>
        </is>
      </c>
    </row>
    <row r="4256">
      <c r="A4256" s="2" t="inlineStr">
        <is>
          <t>2026-09-05</t>
        </is>
      </c>
      <c r="B4256" s="2" t="inlineStr">
        <is>
          <t>2026-09-05T19:37:33</t>
        </is>
      </c>
      <c r="C4256" s="2" t="inlineStr">
        <is>
          <t>claro</t>
        </is>
      </c>
      <c r="D4256" s="2" t="inlineStr">
        <is>
          <t>prepaid</t>
        </is>
      </c>
      <c r="E4256" s="2" t="inlineStr">
        <is>
          <t>SP</t>
        </is>
      </c>
      <c r="F4256" s="2" t="inlineStr">
        <is>
          <t>Prezão 12GB (30 dias)</t>
        </is>
      </c>
      <c r="G4256" s="2" t="inlineStr">
        <is>
          <t>claro:prezao-30d-12gb</t>
        </is>
      </c>
      <c r="H4256" s="3" t="n">
        <v>30</v>
      </c>
      <c r="I4256" s="3" t="inlineStr"/>
      <c r="J4256" s="2" t="inlineStr">
        <is>
          <t>recarga Prezão R$30 — validade 30 dias</t>
        </is>
      </c>
      <c r="K4256" s="2" t="inlineStr"/>
      <c r="L4256" s="4" t="n">
        <v>12</v>
      </c>
      <c r="M4256" s="2" t="inlineStr"/>
      <c r="N4256" s="2" t="n">
        <v>30</v>
      </c>
      <c r="O4256" s="2" t="inlineStr"/>
      <c r="P4256" s="2" t="inlineStr"/>
      <c r="Q4256" s="2" t="inlineStr"/>
      <c r="R4256" s="2" t="inlineStr"/>
      <c r="S4256" s="2" t="inlineStr"/>
      <c r="T4256" s="2" t="inlineStr"/>
      <c r="U4256" s="2" t="inlineStr">
        <is>
          <t>https://www.claro.com.br/celular/planos-pre/prezao</t>
        </is>
      </c>
      <c r="V4256" s="2" t="inlineStr">
        <is>
          <t>data/raw/claro_prepaid_SP.json</t>
        </is>
      </c>
    </row>
    <row r="4257">
      <c r="A4257" s="5" t="inlineStr">
        <is>
          <t>2026-09-05</t>
        </is>
      </c>
      <c r="B4257" s="5" t="inlineStr">
        <is>
          <t>2026-09-05T19:37:33</t>
        </is>
      </c>
      <c r="C4257" s="5" t="inlineStr">
        <is>
          <t>claro</t>
        </is>
      </c>
      <c r="D4257" s="5" t="inlineStr">
        <is>
          <t>prepaid</t>
        </is>
      </c>
      <c r="E4257" s="5" t="inlineStr">
        <is>
          <t>SP</t>
        </is>
      </c>
      <c r="F4257" s="5" t="inlineStr">
        <is>
          <t>Prezão 4GB (12 dias)</t>
        </is>
      </c>
      <c r="G4257" s="5" t="inlineStr">
        <is>
          <t>claro:prezao-12d-4gb</t>
        </is>
      </c>
      <c r="H4257" s="6" t="n">
        <v>15</v>
      </c>
      <c r="I4257" s="6" t="inlineStr"/>
      <c r="J4257" s="5" t="inlineStr">
        <is>
          <t>recarga Prezão R$15 — validade 12 dias</t>
        </is>
      </c>
      <c r="K4257" s="5" t="inlineStr"/>
      <c r="L4257" s="7" t="n">
        <v>4</v>
      </c>
      <c r="M4257" s="5" t="inlineStr"/>
      <c r="N4257" s="5" t="n">
        <v>12</v>
      </c>
      <c r="O4257" s="5" t="inlineStr"/>
      <c r="P4257" s="5" t="inlineStr"/>
      <c r="Q4257" s="5" t="inlineStr"/>
      <c r="R4257" s="5" t="inlineStr"/>
      <c r="S4257" s="5" t="inlineStr"/>
      <c r="T4257" s="5" t="inlineStr"/>
      <c r="U4257" s="5" t="inlineStr">
        <is>
          <t>https://www.claro.com.br/celular/planos-pre/prezao</t>
        </is>
      </c>
      <c r="V4257" s="5" t="inlineStr">
        <is>
          <t>data/raw/claro_prepaid_SP.json</t>
        </is>
      </c>
    </row>
    <row r="4258">
      <c r="A4258" s="2" t="inlineStr">
        <is>
          <t>2026-09-05</t>
        </is>
      </c>
      <c r="B4258" s="2" t="inlineStr">
        <is>
          <t>2026-09-05T19:37:33</t>
        </is>
      </c>
      <c r="C4258" s="2" t="inlineStr">
        <is>
          <t>claro</t>
        </is>
      </c>
      <c r="D4258" s="2" t="inlineStr">
        <is>
          <t>prepaid</t>
        </is>
      </c>
      <c r="E4258" s="2" t="inlineStr">
        <is>
          <t>SP</t>
        </is>
      </c>
      <c r="F4258" s="2" t="inlineStr">
        <is>
          <t>Prezão 5GB (15 dias)</t>
        </is>
      </c>
      <c r="G4258" s="2" t="inlineStr">
        <is>
          <t>claro:prezao-15d-5gb</t>
        </is>
      </c>
      <c r="H4258" s="3" t="n">
        <v>15</v>
      </c>
      <c r="I4258" s="3" t="inlineStr"/>
      <c r="J4258" s="2" t="inlineStr">
        <is>
          <t>recarga Prezão R$15 — validade 15 dias</t>
        </is>
      </c>
      <c r="K4258" s="2" t="inlineStr"/>
      <c r="L4258" s="4" t="n">
        <v>5</v>
      </c>
      <c r="M4258" s="2" t="inlineStr"/>
      <c r="N4258" s="2" t="n">
        <v>15</v>
      </c>
      <c r="O4258" s="2" t="inlineStr"/>
      <c r="P4258" s="2" t="inlineStr"/>
      <c r="Q4258" s="2" t="inlineStr"/>
      <c r="R4258" s="2" t="inlineStr"/>
      <c r="S4258" s="2" t="inlineStr"/>
      <c r="T4258" s="2" t="inlineStr"/>
      <c r="U4258" s="2" t="inlineStr">
        <is>
          <t>https://www.claro.com.br/celular/planos-pre/prezao</t>
        </is>
      </c>
      <c r="V4258" s="2" t="inlineStr">
        <is>
          <t>data/raw/claro_prepaid_SP.json</t>
        </is>
      </c>
    </row>
    <row r="4259">
      <c r="A4259" s="5" t="inlineStr">
        <is>
          <t>2026-09-05</t>
        </is>
      </c>
      <c r="B4259" s="5" t="inlineStr">
        <is>
          <t>2026-09-05T19:37:33</t>
        </is>
      </c>
      <c r="C4259" s="5" t="inlineStr">
        <is>
          <t>claro</t>
        </is>
      </c>
      <c r="D4259" s="5" t="inlineStr">
        <is>
          <t>prepaid</t>
        </is>
      </c>
      <c r="E4259" s="5" t="inlineStr">
        <is>
          <t>SP</t>
        </is>
      </c>
      <c r="F4259" s="5" t="inlineStr">
        <is>
          <t>Prezão 6GB (20 dias)</t>
        </is>
      </c>
      <c r="G4259" s="5" t="inlineStr">
        <is>
          <t>claro:prezao-20d-6gb</t>
        </is>
      </c>
      <c r="H4259" s="6" t="n">
        <v>20</v>
      </c>
      <c r="I4259" s="6" t="inlineStr"/>
      <c r="J4259" s="5" t="inlineStr">
        <is>
          <t>recarga Prezão R$20 — validade 20 dias</t>
        </is>
      </c>
      <c r="K4259" s="5" t="inlineStr"/>
      <c r="L4259" s="7" t="n">
        <v>6</v>
      </c>
      <c r="M4259" s="5" t="inlineStr"/>
      <c r="N4259" s="5" t="n">
        <v>20</v>
      </c>
      <c r="O4259" s="5" t="inlineStr"/>
      <c r="P4259" s="5" t="inlineStr"/>
      <c r="Q4259" s="5" t="inlineStr"/>
      <c r="R4259" s="5" t="inlineStr"/>
      <c r="S4259" s="5" t="inlineStr"/>
      <c r="T4259" s="5" t="inlineStr"/>
      <c r="U4259" s="5" t="inlineStr">
        <is>
          <t>https://www.claro.com.br/celular/planos-pre/prezao</t>
        </is>
      </c>
      <c r="V4259" s="5" t="inlineStr">
        <is>
          <t>data/raw/claro_prepaid_SP.json</t>
        </is>
      </c>
    </row>
    <row r="4260">
      <c r="A4260" s="2" t="inlineStr">
        <is>
          <t>2026-09-05</t>
        </is>
      </c>
      <c r="B4260" s="2" t="inlineStr">
        <is>
          <t>2026-09-05T19:37:33</t>
        </is>
      </c>
      <c r="C4260" s="2" t="inlineStr">
        <is>
          <t>claro</t>
        </is>
      </c>
      <c r="D4260" s="2" t="inlineStr">
        <is>
          <t>prepaid</t>
        </is>
      </c>
      <c r="E4260" s="2" t="inlineStr">
        <is>
          <t>SP</t>
        </is>
      </c>
      <c r="F4260" s="2" t="inlineStr">
        <is>
          <t>Prezão 8GB (20 dias)</t>
        </is>
      </c>
      <c r="G4260" s="2" t="inlineStr">
        <is>
          <t>claro:prezao-20d-8gb</t>
        </is>
      </c>
      <c r="H4260" s="3" t="n">
        <v>20</v>
      </c>
      <c r="I4260" s="3" t="inlineStr"/>
      <c r="J4260" s="2" t="inlineStr">
        <is>
          <t>recarga Prezão R$20 — validade 20 dias</t>
        </is>
      </c>
      <c r="K4260" s="2" t="inlineStr"/>
      <c r="L4260" s="4" t="n">
        <v>8</v>
      </c>
      <c r="M4260" s="2" t="inlineStr"/>
      <c r="N4260" s="2" t="n">
        <v>20</v>
      </c>
      <c r="O4260" s="2" t="inlineStr"/>
      <c r="P4260" s="2" t="inlineStr"/>
      <c r="Q4260" s="2" t="inlineStr"/>
      <c r="R4260" s="2" t="inlineStr"/>
      <c r="S4260" s="2" t="inlineStr"/>
      <c r="T4260" s="2" t="inlineStr"/>
      <c r="U4260" s="2" t="inlineStr">
        <is>
          <t>https://www.claro.com.br/celular/planos-pre/prezao</t>
        </is>
      </c>
      <c r="V4260" s="2" t="inlineStr">
        <is>
          <t>data/raw/claro_prepaid_SP.json</t>
        </is>
      </c>
    </row>
    <row r="4261">
      <c r="A4261" s="5" t="inlineStr">
        <is>
          <t>2026-09-05</t>
        </is>
      </c>
      <c r="B4261" s="5" t="inlineStr">
        <is>
          <t>2026-09-05T19:37:33</t>
        </is>
      </c>
      <c r="C4261" s="5" t="inlineStr">
        <is>
          <t>claro</t>
        </is>
      </c>
      <c r="D4261" s="5" t="inlineStr">
        <is>
          <t>prepaid</t>
        </is>
      </c>
      <c r="E4261" s="5" t="inlineStr">
        <is>
          <t>SP</t>
        </is>
      </c>
      <c r="F4261" s="5" t="inlineStr">
        <is>
          <t>Prezão 9GB (25 dias)</t>
        </is>
      </c>
      <c r="G4261" s="5" t="inlineStr">
        <is>
          <t>claro:prezao-25d-9gb</t>
        </is>
      </c>
      <c r="H4261" s="6" t="n">
        <v>25</v>
      </c>
      <c r="I4261" s="6" t="inlineStr"/>
      <c r="J4261" s="5" t="inlineStr">
        <is>
          <t>recarga Prezão R$25 — validade 25 dias</t>
        </is>
      </c>
      <c r="K4261" s="5" t="inlineStr"/>
      <c r="L4261" s="7" t="n">
        <v>9</v>
      </c>
      <c r="M4261" s="5" t="inlineStr"/>
      <c r="N4261" s="5" t="n">
        <v>25</v>
      </c>
      <c r="O4261" s="5" t="inlineStr"/>
      <c r="P4261" s="5" t="inlineStr"/>
      <c r="Q4261" s="5" t="inlineStr"/>
      <c r="R4261" s="5" t="inlineStr"/>
      <c r="S4261" s="5" t="inlineStr"/>
      <c r="T4261" s="5" t="inlineStr"/>
      <c r="U4261" s="5" t="inlineStr">
        <is>
          <t>https://www.claro.com.br/celular/planos-pre/prezao</t>
        </is>
      </c>
      <c r="V4261" s="5" t="inlineStr">
        <is>
          <t>data/raw/claro_prepaid_SP.json</t>
        </is>
      </c>
    </row>
    <row r="4262">
      <c r="A4262" s="2" t="inlineStr">
        <is>
          <t>2026-09-05</t>
        </is>
      </c>
      <c r="B4262" s="2" t="inlineStr">
        <is>
          <t>2026-09-05T19:37:33</t>
        </is>
      </c>
      <c r="C4262" s="2" t="inlineStr">
        <is>
          <t>tim</t>
        </is>
      </c>
      <c r="D4262" s="2" t="inlineStr">
        <is>
          <t>control</t>
        </is>
      </c>
      <c r="E4262" s="2" t="inlineStr">
        <is>
          <t>SP</t>
        </is>
      </c>
      <c r="F4262" s="2" t="inlineStr">
        <is>
          <t>TIM Controle 45GB</t>
        </is>
      </c>
      <c r="G4262" s="2" t="inlineStr">
        <is>
          <t>tim:182766</t>
        </is>
      </c>
      <c r="H4262" s="3" t="n">
        <v>49.99</v>
      </c>
      <c r="I4262" s="3" t="inlineStr"/>
      <c r="J4262" s="2" t="inlineStr"/>
      <c r="K4262" s="2" t="inlineStr"/>
      <c r="L4262" s="4" t="n">
        <v>45</v>
      </c>
      <c r="M4262" s="2" t="inlineStr"/>
      <c r="N4262" s="2" t="inlineStr"/>
      <c r="O4262" s="2" t="inlineStr"/>
      <c r="P4262" s="2" t="inlineStr"/>
      <c r="Q4262" s="2" t="inlineStr"/>
      <c r="R4262" s="2" t="inlineStr"/>
      <c r="S4262" s="2" t="inlineStr"/>
      <c r="T4262" s="2" t="inlineStr"/>
      <c r="U4262" s="2" t="inlineStr">
        <is>
          <t>https://www.tim.com.br/sp/para-voce/planos/controle</t>
        </is>
      </c>
      <c r="V4262" s="2" t="inlineStr">
        <is>
          <t>data/raw/tim_control_SP.html</t>
        </is>
      </c>
    </row>
    <row r="4263">
      <c r="A4263" s="5" t="inlineStr">
        <is>
          <t>2026-09-05</t>
        </is>
      </c>
      <c r="B4263" s="5" t="inlineStr">
        <is>
          <t>2026-09-05T19:37:33</t>
        </is>
      </c>
      <c r="C4263" s="5" t="inlineStr">
        <is>
          <t>tim</t>
        </is>
      </c>
      <c r="D4263" s="5" t="inlineStr">
        <is>
          <t>control</t>
        </is>
      </c>
      <c r="E4263" s="5" t="inlineStr">
        <is>
          <t>SP</t>
        </is>
      </c>
      <c r="F4263" s="5" t="inlineStr">
        <is>
          <t>TIM Controle Light Express 45GB</t>
        </is>
      </c>
      <c r="G4263" s="5" t="inlineStr">
        <is>
          <t>tim:167726</t>
        </is>
      </c>
      <c r="H4263" s="6" t="n">
        <v>60.99</v>
      </c>
      <c r="I4263" s="6" t="inlineStr"/>
      <c r="J4263" s="5" t="inlineStr"/>
      <c r="K4263" s="5" t="inlineStr"/>
      <c r="L4263" s="7" t="n">
        <v>45</v>
      </c>
      <c r="M4263" s="5" t="inlineStr"/>
      <c r="N4263" s="5" t="inlineStr"/>
      <c r="O4263" s="5" t="inlineStr"/>
      <c r="P4263" s="5" t="inlineStr"/>
      <c r="Q4263" s="5" t="inlineStr"/>
      <c r="R4263" s="5" t="inlineStr"/>
      <c r="S4263" s="5" t="inlineStr"/>
      <c r="T4263" s="5" t="inlineStr"/>
      <c r="U4263" s="5" t="inlineStr">
        <is>
          <t>https://www.tim.com.br/sp/para-voce/planos/controle</t>
        </is>
      </c>
      <c r="V4263" s="5" t="inlineStr">
        <is>
          <t>data/raw/tim_control_SP.html</t>
        </is>
      </c>
    </row>
    <row r="4264">
      <c r="A4264" s="2" t="inlineStr">
        <is>
          <t>2026-09-05</t>
        </is>
      </c>
      <c r="B4264" s="2" t="inlineStr">
        <is>
          <t>2026-09-05T19:37:33</t>
        </is>
      </c>
      <c r="C4264" s="2" t="inlineStr">
        <is>
          <t>tim</t>
        </is>
      </c>
      <c r="D4264" s="2" t="inlineStr">
        <is>
          <t>control</t>
        </is>
      </c>
      <c r="E4264" s="2" t="inlineStr">
        <is>
          <t>SP</t>
        </is>
      </c>
      <c r="F4264" s="2" t="inlineStr">
        <is>
          <t>TIM Controle Premium 55GB</t>
        </is>
      </c>
      <c r="G4264" s="2" t="inlineStr">
        <is>
          <t>tim:180756</t>
        </is>
      </c>
      <c r="H4264" s="3" t="n">
        <v>69.98999999999999</v>
      </c>
      <c r="I4264" s="3" t="inlineStr"/>
      <c r="J4264" s="2" t="inlineStr"/>
      <c r="K4264" s="2" t="inlineStr"/>
      <c r="L4264" s="4" t="n">
        <v>55</v>
      </c>
      <c r="M4264" s="2" t="inlineStr"/>
      <c r="N4264" s="2" t="inlineStr"/>
      <c r="O4264" s="2" t="inlineStr"/>
      <c r="P4264" s="2" t="inlineStr"/>
      <c r="Q4264" s="2" t="inlineStr"/>
      <c r="R4264" s="2" t="inlineStr"/>
      <c r="S4264" s="2" t="inlineStr"/>
      <c r="T4264" s="2" t="inlineStr"/>
      <c r="U4264" s="2" t="inlineStr">
        <is>
          <t>https://www.tim.com.br/sp/para-voce/planos/controle</t>
        </is>
      </c>
      <c r="V4264" s="2" t="inlineStr">
        <is>
          <t>data/raw/tim_control_SP.html</t>
        </is>
      </c>
    </row>
    <row r="4265">
      <c r="A4265" s="5" t="inlineStr">
        <is>
          <t>2026-09-05</t>
        </is>
      </c>
      <c r="B4265" s="5" t="inlineStr">
        <is>
          <t>2026-09-05T19:37:33</t>
        </is>
      </c>
      <c r="C4265" s="5" t="inlineStr">
        <is>
          <t>tim</t>
        </is>
      </c>
      <c r="D4265" s="5" t="inlineStr">
        <is>
          <t>control</t>
        </is>
      </c>
      <c r="E4265" s="5" t="inlineStr">
        <is>
          <t>SP</t>
        </is>
      </c>
      <c r="F4265" s="5" t="inlineStr">
        <is>
          <t>TIM Controle Pro Express 46GB</t>
        </is>
      </c>
      <c r="G4265" s="5" t="inlineStr">
        <is>
          <t>tim:167731</t>
        </is>
      </c>
      <c r="H4265" s="6" t="n">
        <v>64.98999999999999</v>
      </c>
      <c r="I4265" s="6" t="inlineStr"/>
      <c r="J4265" s="5" t="inlineStr"/>
      <c r="K4265" s="5" t="inlineStr"/>
      <c r="L4265" s="7" t="n">
        <v>46</v>
      </c>
      <c r="M4265" s="5" t="inlineStr"/>
      <c r="N4265" s="5" t="inlineStr"/>
      <c r="O4265" s="5" t="inlineStr"/>
      <c r="P4265" s="5" t="inlineStr"/>
      <c r="Q4265" s="5" t="inlineStr"/>
      <c r="R4265" s="5" t="inlineStr"/>
      <c r="S4265" s="5" t="inlineStr"/>
      <c r="T4265" s="5" t="inlineStr"/>
      <c r="U4265" s="5" t="inlineStr">
        <is>
          <t>https://www.tim.com.br/sp/para-voce/planos/controle</t>
        </is>
      </c>
      <c r="V4265" s="5" t="inlineStr">
        <is>
          <t>data/raw/tim_control_SP.html</t>
        </is>
      </c>
    </row>
    <row r="4266">
      <c r="A4266" s="2" t="inlineStr">
        <is>
          <t>2026-09-05</t>
        </is>
      </c>
      <c r="B4266" s="2" t="inlineStr">
        <is>
          <t>2026-09-05T19:37:33</t>
        </is>
      </c>
      <c r="C4266" s="2" t="inlineStr">
        <is>
          <t>tim</t>
        </is>
      </c>
      <c r="D4266" s="2" t="inlineStr">
        <is>
          <t>control</t>
        </is>
      </c>
      <c r="E4266" s="2" t="inlineStr">
        <is>
          <t>SP</t>
        </is>
      </c>
      <c r="F4266" s="2" t="inlineStr">
        <is>
          <t>TIM Controle Redes Sociais 46GB</t>
        </is>
      </c>
      <c r="G4266" s="2" t="inlineStr">
        <is>
          <t>tim:167031</t>
        </is>
      </c>
      <c r="H4266" s="3" t="n">
        <v>59.99</v>
      </c>
      <c r="I4266" s="3" t="inlineStr"/>
      <c r="J4266" s="2" t="inlineStr"/>
      <c r="K4266" s="2" t="inlineStr"/>
      <c r="L4266" s="4" t="n">
        <v>46</v>
      </c>
      <c r="M4266" s="2" t="inlineStr"/>
      <c r="N4266" s="2" t="inlineStr"/>
      <c r="O4266" s="2" t="inlineStr"/>
      <c r="P4266" s="2" t="inlineStr"/>
      <c r="Q4266" s="2" t="inlineStr"/>
      <c r="R4266" s="2" t="inlineStr"/>
      <c r="S4266" s="2" t="inlineStr"/>
      <c r="T4266" s="2" t="inlineStr"/>
      <c r="U4266" s="2" t="inlineStr">
        <is>
          <t>https://www.tim.com.br/sp/para-voce/planos/controle</t>
        </is>
      </c>
      <c r="V4266" s="2" t="inlineStr">
        <is>
          <t>data/raw/tim_control_SP.html</t>
        </is>
      </c>
    </row>
    <row r="4267">
      <c r="A4267" s="5" t="inlineStr">
        <is>
          <t>2026-09-05</t>
        </is>
      </c>
      <c r="B4267" s="5" t="inlineStr">
        <is>
          <t>2026-09-05T19:37:33</t>
        </is>
      </c>
      <c r="C4267" s="5" t="inlineStr">
        <is>
          <t>tim</t>
        </is>
      </c>
      <c r="D4267" s="5" t="inlineStr">
        <is>
          <t>fit</t>
        </is>
      </c>
      <c r="E4267" s="5" t="inlineStr">
        <is>
          <t>SP</t>
        </is>
      </c>
      <c r="F4267" s="5" t="inlineStr">
        <is>
          <t>TIM Controle Fit Anual 1.0</t>
        </is>
      </c>
      <c r="G4267" s="5" t="inlineStr">
        <is>
          <t>tim:TIM202600000306</t>
        </is>
      </c>
      <c r="H4267" s="6" t="n">
        <v>20</v>
      </c>
      <c r="I4267" s="6" t="inlineStr"/>
      <c r="J4267" s="5" t="inlineStr">
        <is>
          <t>plano anual 12x no cartão de crédito; a etiqueta TIM informa 'sem prazo de permanência'</t>
        </is>
      </c>
      <c r="K4267" s="5" t="inlineStr">
        <is>
          <t>credit_card</t>
        </is>
      </c>
      <c r="L4267" s="7" t="n">
        <v>25</v>
      </c>
      <c r="M4267" s="5" t="inlineStr"/>
      <c r="N4267" s="5" t="inlineStr"/>
      <c r="O4267" s="5" t="inlineStr"/>
      <c r="P4267" s="5" t="inlineStr"/>
      <c r="Q4267" s="5" t="inlineStr"/>
      <c r="R4267" s="5" t="inlineStr"/>
      <c r="S4267" s="5" t="n">
        <v>12</v>
      </c>
      <c r="T4267" s="5" t="inlineStr"/>
      <c r="U4267" s="5" t="inlineStr">
        <is>
          <t>https://www.tim.com.br/sp/para-voce/planos/controle</t>
        </is>
      </c>
      <c r="V4267" s="5" t="inlineStr">
        <is>
          <t>data/raw/tim_fit_SP.html</t>
        </is>
      </c>
    </row>
    <row r="4268">
      <c r="A4268" s="2" t="inlineStr">
        <is>
          <t>2026-09-05</t>
        </is>
      </c>
      <c r="B4268" s="2" t="inlineStr">
        <is>
          <t>2026-09-05T19:37:33</t>
        </is>
      </c>
      <c r="C4268" s="2" t="inlineStr">
        <is>
          <t>tim</t>
        </is>
      </c>
      <c r="D4268" s="2" t="inlineStr">
        <is>
          <t>fit</t>
        </is>
      </c>
      <c r="E4268" s="2" t="inlineStr">
        <is>
          <t>SP</t>
        </is>
      </c>
      <c r="F4268" s="2" t="inlineStr">
        <is>
          <t>TIM Controle Fit Anual 2.0</t>
        </is>
      </c>
      <c r="G4268" s="2" t="inlineStr">
        <is>
          <t>tim:TIM202600000271</t>
        </is>
      </c>
      <c r="H4268" s="3" t="n">
        <v>30</v>
      </c>
      <c r="I4268" s="3" t="inlineStr"/>
      <c r="J4268" s="2" t="inlineStr">
        <is>
          <t>plano anual 12x no cartão de crédito; a etiqueta TIM informa 'sem prazo de permanência'</t>
        </is>
      </c>
      <c r="K4268" s="2" t="inlineStr">
        <is>
          <t>credit_card</t>
        </is>
      </c>
      <c r="L4268" s="4" t="n">
        <v>35</v>
      </c>
      <c r="M4268" s="2" t="inlineStr"/>
      <c r="N4268" s="2" t="inlineStr"/>
      <c r="O4268" s="2" t="inlineStr"/>
      <c r="P4268" s="2" t="inlineStr"/>
      <c r="Q4268" s="2" t="inlineStr"/>
      <c r="R4268" s="2" t="inlineStr"/>
      <c r="S4268" s="2" t="n">
        <v>12</v>
      </c>
      <c r="T4268" s="2" t="inlineStr"/>
      <c r="U4268" s="2" t="inlineStr">
        <is>
          <t>https://www.tim.com.br/sp/para-voce/planos/controle</t>
        </is>
      </c>
      <c r="V4268" s="2" t="inlineStr">
        <is>
          <t>data/raw/tim_fit_SP.html</t>
        </is>
      </c>
    </row>
    <row r="4269">
      <c r="A4269" s="5" t="inlineStr">
        <is>
          <t>2026-09-05</t>
        </is>
      </c>
      <c r="B4269" s="5" t="inlineStr">
        <is>
          <t>2026-09-05T19:37:33</t>
        </is>
      </c>
      <c r="C4269" s="5" t="inlineStr">
        <is>
          <t>tim</t>
        </is>
      </c>
      <c r="D4269" s="5" t="inlineStr">
        <is>
          <t>fit</t>
        </is>
      </c>
      <c r="E4269" s="5" t="inlineStr">
        <is>
          <t>SP</t>
        </is>
      </c>
      <c r="F4269" s="5" t="inlineStr">
        <is>
          <t>TIM Controle Fit Mensal 1.0</t>
        </is>
      </c>
      <c r="G4269" s="5" t="inlineStr">
        <is>
          <t>tim:TIM202600000270</t>
        </is>
      </c>
      <c r="H4269" s="6" t="n">
        <v>20</v>
      </c>
      <c r="I4269" s="6" t="inlineStr"/>
      <c r="J4269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269" s="5" t="inlineStr"/>
      <c r="L4269" s="7" t="n">
        <v>20</v>
      </c>
      <c r="M4269" s="5" t="inlineStr"/>
      <c r="N4269" s="5" t="inlineStr"/>
      <c r="O4269" s="5" t="inlineStr"/>
      <c r="P4269" s="5" t="inlineStr"/>
      <c r="Q4269" s="5" t="inlineStr"/>
      <c r="R4269" s="5" t="inlineStr"/>
      <c r="S4269" s="5" t="inlineStr"/>
      <c r="T4269" s="5" t="inlineStr"/>
      <c r="U4269" s="5" t="inlineStr">
        <is>
          <t>https://www.tim.com.br/sp/para-voce/planos/controle</t>
        </is>
      </c>
      <c r="V4269" s="5" t="inlineStr">
        <is>
          <t>data/raw/tim_fit_SP.html</t>
        </is>
      </c>
    </row>
    <row r="4270">
      <c r="A4270" s="2" t="inlineStr">
        <is>
          <t>2026-09-05</t>
        </is>
      </c>
      <c r="B4270" s="2" t="inlineStr">
        <is>
          <t>2026-09-05T19:37:33</t>
        </is>
      </c>
      <c r="C4270" s="2" t="inlineStr">
        <is>
          <t>tim</t>
        </is>
      </c>
      <c r="D4270" s="2" t="inlineStr">
        <is>
          <t>fit</t>
        </is>
      </c>
      <c r="E4270" s="2" t="inlineStr">
        <is>
          <t>SP</t>
        </is>
      </c>
      <c r="F4270" s="2" t="inlineStr">
        <is>
          <t>TIM Controle Fit Mensal 2.0</t>
        </is>
      </c>
      <c r="G4270" s="2" t="inlineStr">
        <is>
          <t>tim:TIM202600000305</t>
        </is>
      </c>
      <c r="H4270" s="3" t="n">
        <v>45</v>
      </c>
      <c r="I4270" s="3" t="inlineStr"/>
      <c r="J4270" s="2" t="inlineStr">
        <is>
          <t>plano mensal, sem prazo de permanência; a etiqueta TIM informa 'sem prazo de permanência'</t>
        </is>
      </c>
      <c r="K4270" s="2" t="inlineStr"/>
      <c r="L4270" s="4" t="n">
        <v>35</v>
      </c>
      <c r="M4270" s="2" t="inlineStr"/>
      <c r="N4270" s="2" t="inlineStr"/>
      <c r="O4270" s="2" t="inlineStr"/>
      <c r="P4270" s="2" t="inlineStr"/>
      <c r="Q4270" s="2" t="inlineStr"/>
      <c r="R4270" s="2" t="inlineStr"/>
      <c r="S4270" s="2" t="inlineStr"/>
      <c r="T4270" s="2" t="inlineStr"/>
      <c r="U4270" s="2" t="inlineStr">
        <is>
          <t>https://www.tim.com.br/sp/para-voce/planos/controle</t>
        </is>
      </c>
      <c r="V4270" s="2" t="inlineStr">
        <is>
          <t>data/raw/tim_fit_SP.html</t>
        </is>
      </c>
    </row>
    <row r="4271">
      <c r="A4271" s="5" t="inlineStr">
        <is>
          <t>2026-09-05</t>
        </is>
      </c>
      <c r="B4271" s="5" t="inlineStr">
        <is>
          <t>2026-09-05T19:37:33</t>
        </is>
      </c>
      <c r="C4271" s="5" t="inlineStr">
        <is>
          <t>tim</t>
        </is>
      </c>
      <c r="D4271" s="5" t="inlineStr">
        <is>
          <t>postpaid</t>
        </is>
      </c>
      <c r="E4271" s="5" t="inlineStr">
        <is>
          <t>SP</t>
        </is>
      </c>
      <c r="F4271" s="5" t="inlineStr">
        <is>
          <t>TIM Black 70GB</t>
        </is>
      </c>
      <c r="G4271" s="5" t="inlineStr">
        <is>
          <t>tim:54206</t>
        </is>
      </c>
      <c r="H4271" s="6" t="n">
        <v>129.99</v>
      </c>
      <c r="I4271" s="6" t="inlineStr"/>
      <c r="J4271" s="5" t="inlineStr"/>
      <c r="K4271" s="5" t="inlineStr">
        <is>
          <t>bill</t>
        </is>
      </c>
      <c r="L4271" s="7" t="n">
        <v>70</v>
      </c>
      <c r="M4271" s="5" t="inlineStr"/>
      <c r="N4271" s="5" t="inlineStr"/>
      <c r="O4271" s="5" t="inlineStr"/>
      <c r="P4271" s="5" t="inlineStr"/>
      <c r="Q4271" s="5" t="inlineStr"/>
      <c r="R4271" s="5" t="inlineStr"/>
      <c r="S4271" s="5" t="inlineStr"/>
      <c r="T4271" s="5" t="inlineStr"/>
      <c r="U4271" s="5" t="inlineStr">
        <is>
          <t>https://www.tim.com.br/sp/para-voce/planos/pos-pago/tim-black</t>
        </is>
      </c>
      <c r="V4271" s="5" t="inlineStr">
        <is>
          <t>data/raw/tim_postpaid_SP.html</t>
        </is>
      </c>
    </row>
    <row r="4272">
      <c r="A4272" s="2" t="inlineStr">
        <is>
          <t>2026-09-05</t>
        </is>
      </c>
      <c r="B4272" s="2" t="inlineStr">
        <is>
          <t>2026-09-05T19:37:33</t>
        </is>
      </c>
      <c r="C4272" s="2" t="inlineStr">
        <is>
          <t>tim</t>
        </is>
      </c>
      <c r="D4272" s="2" t="inlineStr">
        <is>
          <t>postpaid</t>
        </is>
      </c>
      <c r="E4272" s="2" t="inlineStr">
        <is>
          <t>SP</t>
        </is>
      </c>
      <c r="F4272" s="2" t="inlineStr">
        <is>
          <t>TIM Black A Express 67GB</t>
        </is>
      </c>
      <c r="G4272" s="2" t="inlineStr">
        <is>
          <t>tim:55121</t>
        </is>
      </c>
      <c r="H4272" s="3" t="n">
        <v>119.99</v>
      </c>
      <c r="I4272" s="3" t="inlineStr"/>
      <c r="J4272" s="2" t="inlineStr"/>
      <c r="K4272" s="2" t="inlineStr">
        <is>
          <t>credit_card</t>
        </is>
      </c>
      <c r="L4272" s="4" t="n">
        <v>67</v>
      </c>
      <c r="M4272" s="2" t="inlineStr"/>
      <c r="N4272" s="2" t="inlineStr"/>
      <c r="O4272" s="2" t="inlineStr"/>
      <c r="P4272" s="2" t="inlineStr"/>
      <c r="Q4272" s="2" t="inlineStr"/>
      <c r="R4272" s="2" t="inlineStr"/>
      <c r="S4272" s="2" t="inlineStr"/>
      <c r="T4272" s="2" t="inlineStr"/>
      <c r="U4272" s="2" t="inlineStr">
        <is>
          <t>https://www.tim.com.br/sp/para-voce/planos/pos-pago/tim-black</t>
        </is>
      </c>
      <c r="V4272" s="2" t="inlineStr">
        <is>
          <t>data/raw/tim_postpaid_SP.html</t>
        </is>
      </c>
    </row>
    <row r="4273">
      <c r="A4273" s="5" t="inlineStr">
        <is>
          <t>2026-09-05</t>
        </is>
      </c>
      <c r="B4273" s="5" t="inlineStr">
        <is>
          <t>2026-09-05T19:37:33</t>
        </is>
      </c>
      <c r="C4273" s="5" t="inlineStr">
        <is>
          <t>tim</t>
        </is>
      </c>
      <c r="D4273" s="5" t="inlineStr">
        <is>
          <t>postpaid</t>
        </is>
      </c>
      <c r="E4273" s="5" t="inlineStr">
        <is>
          <t>SP</t>
        </is>
      </c>
      <c r="F4273" s="5" t="inlineStr">
        <is>
          <t>TIM Black B Express 82GB</t>
        </is>
      </c>
      <c r="G4273" s="5" t="inlineStr">
        <is>
          <t>tim:52146</t>
        </is>
      </c>
      <c r="H4273" s="6" t="n">
        <v>144.99</v>
      </c>
      <c r="I4273" s="6" t="inlineStr"/>
      <c r="J4273" s="5" t="inlineStr"/>
      <c r="K4273" s="5" t="inlineStr">
        <is>
          <t>credit_card</t>
        </is>
      </c>
      <c r="L4273" s="7" t="n">
        <v>82</v>
      </c>
      <c r="M4273" s="5" t="inlineStr"/>
      <c r="N4273" s="5" t="inlineStr"/>
      <c r="O4273" s="5" t="inlineStr"/>
      <c r="P4273" s="5" t="inlineStr"/>
      <c r="Q4273" s="5" t="inlineStr"/>
      <c r="R4273" s="5" t="inlineStr"/>
      <c r="S4273" s="5" t="inlineStr"/>
      <c r="T4273" s="5" t="inlineStr"/>
      <c r="U4273" s="5" t="inlineStr">
        <is>
          <t>https://www.tim.com.br/sp/para-voce/planos/pos-pago/tim-black</t>
        </is>
      </c>
      <c r="V4273" s="5" t="inlineStr">
        <is>
          <t>data/raw/tim_postpaid_SP.html</t>
        </is>
      </c>
    </row>
    <row r="4274">
      <c r="A4274" s="2" t="inlineStr">
        <is>
          <t>2026-09-05</t>
        </is>
      </c>
      <c r="B4274" s="2" t="inlineStr">
        <is>
          <t>2026-09-05T19:37:33</t>
        </is>
      </c>
      <c r="C4274" s="2" t="inlineStr">
        <is>
          <t>tim</t>
        </is>
      </c>
      <c r="D4274" s="2" t="inlineStr">
        <is>
          <t>postpaid</t>
        </is>
      </c>
      <c r="E4274" s="2" t="inlineStr">
        <is>
          <t>SP</t>
        </is>
      </c>
      <c r="F4274" s="2" t="inlineStr">
        <is>
          <t>TIM Black C Express 107GB</t>
        </is>
      </c>
      <c r="G4274" s="2" t="inlineStr">
        <is>
          <t>tim:52151</t>
        </is>
      </c>
      <c r="H4274" s="3" t="n">
        <v>164.99</v>
      </c>
      <c r="I4274" s="3" t="inlineStr"/>
      <c r="J4274" s="2" t="inlineStr"/>
      <c r="K4274" s="2" t="inlineStr">
        <is>
          <t>credit_card</t>
        </is>
      </c>
      <c r="L4274" s="4" t="n">
        <v>107</v>
      </c>
      <c r="M4274" s="2" t="inlineStr"/>
      <c r="N4274" s="2" t="inlineStr"/>
      <c r="O4274" s="2" t="inlineStr"/>
      <c r="P4274" s="2" t="inlineStr"/>
      <c r="Q4274" s="2" t="inlineStr"/>
      <c r="R4274" s="2" t="inlineStr"/>
      <c r="S4274" s="2" t="inlineStr"/>
      <c r="T4274" s="2" t="inlineStr"/>
      <c r="U4274" s="2" t="inlineStr">
        <is>
          <t>https://www.tim.com.br/sp/para-voce/planos/pos-pago/tim-black</t>
        </is>
      </c>
      <c r="V4274" s="2" t="inlineStr">
        <is>
          <t>data/raw/tim_postpaid_SP.html</t>
        </is>
      </c>
    </row>
    <row r="4275">
      <c r="A4275" s="5" t="inlineStr">
        <is>
          <t>2026-09-05</t>
        </is>
      </c>
      <c r="B4275" s="5" t="inlineStr">
        <is>
          <t>2026-09-05T19:37:33</t>
        </is>
      </c>
      <c r="C4275" s="5" t="inlineStr">
        <is>
          <t>tim</t>
        </is>
      </c>
      <c r="D4275" s="5" t="inlineStr">
        <is>
          <t>postpaid</t>
        </is>
      </c>
      <c r="E4275" s="5" t="inlineStr">
        <is>
          <t>SP</t>
        </is>
      </c>
      <c r="F4275" s="5" t="inlineStr">
        <is>
          <t>TIM Black Plus 80GB</t>
        </is>
      </c>
      <c r="G4275" s="5" t="inlineStr">
        <is>
          <t>tim:54256</t>
        </is>
      </c>
      <c r="H4275" s="6" t="n">
        <v>149.99</v>
      </c>
      <c r="I4275" s="6" t="inlineStr"/>
      <c r="J4275" s="5" t="inlineStr"/>
      <c r="K4275" s="5" t="inlineStr">
        <is>
          <t>bill</t>
        </is>
      </c>
      <c r="L4275" s="7" t="n">
        <v>80</v>
      </c>
      <c r="M4275" s="5" t="inlineStr"/>
      <c r="N4275" s="5" t="inlineStr"/>
      <c r="O4275" s="5" t="inlineStr"/>
      <c r="P4275" s="5" t="inlineStr"/>
      <c r="Q4275" s="5" t="inlineStr"/>
      <c r="R4275" s="5" t="inlineStr"/>
      <c r="S4275" s="5" t="inlineStr"/>
      <c r="T4275" s="5" t="inlineStr"/>
      <c r="U4275" s="5" t="inlineStr">
        <is>
          <t>https://www.tim.com.br/sp/para-voce/planos/pos-pago/tim-black</t>
        </is>
      </c>
      <c r="V4275" s="5" t="inlineStr">
        <is>
          <t>data/raw/tim_postpaid_SP.html</t>
        </is>
      </c>
    </row>
    <row r="4276">
      <c r="A4276" s="2" t="inlineStr">
        <is>
          <t>2026-09-05</t>
        </is>
      </c>
      <c r="B4276" s="2" t="inlineStr">
        <is>
          <t>2026-09-05T19:37:33</t>
        </is>
      </c>
      <c r="C4276" s="2" t="inlineStr">
        <is>
          <t>tim</t>
        </is>
      </c>
      <c r="D4276" s="2" t="inlineStr">
        <is>
          <t>postpaid</t>
        </is>
      </c>
      <c r="E4276" s="2" t="inlineStr">
        <is>
          <t>SP</t>
        </is>
      </c>
      <c r="F4276" s="2" t="inlineStr">
        <is>
          <t>TIM Black Premium 110GB</t>
        </is>
      </c>
      <c r="G4276" s="2" t="inlineStr">
        <is>
          <t>tim:54261</t>
        </is>
      </c>
      <c r="H4276" s="3" t="n">
        <v>159.99</v>
      </c>
      <c r="I4276" s="3" t="inlineStr"/>
      <c r="J4276" s="2" t="inlineStr"/>
      <c r="K4276" s="2" t="inlineStr">
        <is>
          <t>bill</t>
        </is>
      </c>
      <c r="L4276" s="4" t="n">
        <v>110</v>
      </c>
      <c r="M4276" s="2" t="inlineStr"/>
      <c r="N4276" s="2" t="inlineStr"/>
      <c r="O4276" s="2" t="inlineStr"/>
      <c r="P4276" s="2" t="inlineStr"/>
      <c r="Q4276" s="2" t="inlineStr"/>
      <c r="R4276" s="2" t="inlineStr"/>
      <c r="S4276" s="2" t="inlineStr"/>
      <c r="T4276" s="2" t="inlineStr"/>
      <c r="U4276" s="2" t="inlineStr">
        <is>
          <t>https://www.tim.com.br/sp/para-voce/planos/pos-pago/tim-black</t>
        </is>
      </c>
      <c r="V4276" s="2" t="inlineStr">
        <is>
          <t>data/raw/tim_postpaid_SP.html</t>
        </is>
      </c>
    </row>
    <row r="4277">
      <c r="A4277" s="5" t="inlineStr">
        <is>
          <t>2026-09-05</t>
        </is>
      </c>
      <c r="B4277" s="5" t="inlineStr">
        <is>
          <t>2026-09-05T19:37:33</t>
        </is>
      </c>
      <c r="C4277" s="5" t="inlineStr">
        <is>
          <t>tim</t>
        </is>
      </c>
      <c r="D4277" s="5" t="inlineStr">
        <is>
          <t>prepaid</t>
        </is>
      </c>
      <c r="E4277" s="5" t="inlineStr">
        <is>
          <t>SP</t>
        </is>
      </c>
      <c r="F4277" s="5" t="inlineStr">
        <is>
          <t>TIM Pré XIP Plus 16GB</t>
        </is>
      </c>
      <c r="G4277" s="5" t="inlineStr">
        <is>
          <t>tim:106306</t>
        </is>
      </c>
      <c r="H4277" s="6" t="n">
        <v>30</v>
      </c>
      <c r="I4277" s="6" t="inlineStr"/>
      <c r="J4277" s="5" t="inlineStr"/>
      <c r="K4277" s="5" t="inlineStr"/>
      <c r="L4277" s="7" t="n">
        <v>16</v>
      </c>
      <c r="M4277" s="5" t="inlineStr"/>
      <c r="N4277" s="5" t="n">
        <v>30</v>
      </c>
      <c r="O4277" s="5" t="inlineStr"/>
      <c r="P4277" s="5" t="inlineStr"/>
      <c r="Q4277" s="5" t="inlineStr"/>
      <c r="R4277" s="5" t="inlineStr"/>
      <c r="S4277" s="5" t="inlineStr"/>
      <c r="T4277" s="5" t="inlineStr"/>
      <c r="U4277" s="5" t="inlineStr">
        <is>
          <t>https://www.tim.com.br/sp/para-voce/planos/pre-pago</t>
        </is>
      </c>
      <c r="V4277" s="5" t="inlineStr">
        <is>
          <t>data/raw/tim_prepaid_SP.html</t>
        </is>
      </c>
    </row>
    <row r="4278">
      <c r="A4278" s="2" t="inlineStr">
        <is>
          <t>2026-09-05</t>
        </is>
      </c>
      <c r="B4278" s="2" t="inlineStr">
        <is>
          <t>2026-09-05T19:37:33</t>
        </is>
      </c>
      <c r="C4278" s="2" t="inlineStr">
        <is>
          <t>tim</t>
        </is>
      </c>
      <c r="D4278" s="2" t="inlineStr">
        <is>
          <t>prepaid</t>
        </is>
      </c>
      <c r="E4278" s="2" t="inlineStr">
        <is>
          <t>SP</t>
        </is>
      </c>
      <c r="F4278" s="2" t="inlineStr">
        <is>
          <t>TIM Pré XIP Plus 6GB</t>
        </is>
      </c>
      <c r="G4278" s="2" t="inlineStr">
        <is>
          <t>tim:59906</t>
        </is>
      </c>
      <c r="H4278" s="3" t="n">
        <v>20</v>
      </c>
      <c r="I4278" s="3" t="inlineStr"/>
      <c r="J4278" s="2" t="inlineStr"/>
      <c r="K4278" s="2" t="inlineStr"/>
      <c r="L4278" s="4" t="n">
        <v>6</v>
      </c>
      <c r="M4278" s="2" t="inlineStr"/>
      <c r="N4278" s="2" t="n">
        <v>17</v>
      </c>
      <c r="O4278" s="2" t="inlineStr"/>
      <c r="P4278" s="2" t="inlineStr"/>
      <c r="Q4278" s="2" t="inlineStr"/>
      <c r="R4278" s="2" t="inlineStr"/>
      <c r="S4278" s="2" t="inlineStr"/>
      <c r="T4278" s="2" t="inlineStr"/>
      <c r="U4278" s="2" t="inlineStr">
        <is>
          <t>https://www.tim.com.br/sp/para-voce/planos/pre-pago</t>
        </is>
      </c>
      <c r="V4278" s="2" t="inlineStr">
        <is>
          <t>data/raw/tim_prepaid_SP.html</t>
        </is>
      </c>
    </row>
    <row r="4279">
      <c r="A4279" s="5" t="inlineStr">
        <is>
          <t>2026-09-05</t>
        </is>
      </c>
      <c r="B4279" s="5" t="inlineStr">
        <is>
          <t>2026-09-05T19:37:33</t>
        </is>
      </c>
      <c r="C4279" s="5" t="inlineStr">
        <is>
          <t>tim</t>
        </is>
      </c>
      <c r="D4279" s="5" t="inlineStr">
        <is>
          <t>prepaid</t>
        </is>
      </c>
      <c r="E4279" s="5" t="inlineStr">
        <is>
          <t>SP</t>
        </is>
      </c>
      <c r="F4279" s="5" t="inlineStr">
        <is>
          <t>TIM Pré XIP Plus 8GB</t>
        </is>
      </c>
      <c r="G4279" s="5" t="inlineStr">
        <is>
          <t>tim:59901</t>
        </is>
      </c>
      <c r="H4279" s="6" t="n">
        <v>25</v>
      </c>
      <c r="I4279" s="6" t="inlineStr"/>
      <c r="J4279" s="5" t="inlineStr"/>
      <c r="K4279" s="5" t="inlineStr"/>
      <c r="L4279" s="7" t="n">
        <v>8</v>
      </c>
      <c r="M4279" s="5" t="inlineStr"/>
      <c r="N4279" s="5" t="n">
        <v>22</v>
      </c>
      <c r="O4279" s="5" t="inlineStr"/>
      <c r="P4279" s="5" t="inlineStr"/>
      <c r="Q4279" s="5" t="inlineStr"/>
      <c r="R4279" s="5" t="inlineStr"/>
      <c r="S4279" s="5" t="inlineStr"/>
      <c r="T4279" s="5" t="inlineStr"/>
      <c r="U4279" s="5" t="inlineStr">
        <is>
          <t>https://www.tim.com.br/sp/para-voce/planos/pre-pago</t>
        </is>
      </c>
      <c r="V4279" s="5" t="inlineStr">
        <is>
          <t>data/raw/tim_prepaid_SP.html</t>
        </is>
      </c>
    </row>
    <row r="4280">
      <c r="A4280" s="2" t="inlineStr">
        <is>
          <t>2026-09-05</t>
        </is>
      </c>
      <c r="B4280" s="2" t="inlineStr">
        <is>
          <t>2026-09-05T19:37:33</t>
        </is>
      </c>
      <c r="C4280" s="2" t="inlineStr">
        <is>
          <t>vivo</t>
        </is>
      </c>
      <c r="D4280" s="2" t="inlineStr">
        <is>
          <t>control</t>
        </is>
      </c>
      <c r="E4280" s="2" t="inlineStr">
        <is>
          <t>SP</t>
        </is>
      </c>
      <c r="F4280" s="2" t="inlineStr">
        <is>
          <t>Vivo Controle</t>
        </is>
      </c>
      <c r="G4280" s="2" t="inlineStr">
        <is>
          <t>vivo:VIV202600034591</t>
        </is>
      </c>
      <c r="H4280" s="3" t="n">
        <v>59</v>
      </c>
      <c r="I4280" s="3" t="inlineStr"/>
      <c r="J4280" s="2" t="inlineStr"/>
      <c r="K4280" s="2" t="inlineStr"/>
      <c r="L4280" s="4" t="n">
        <v>45</v>
      </c>
      <c r="M4280" s="2" t="inlineStr">
        <is>
          <t>15 GB de franquia 30 GB de bônus</t>
        </is>
      </c>
      <c r="N4280" s="2" t="inlineStr"/>
      <c r="O4280" s="2" t="inlineStr"/>
      <c r="P4280" s="2" t="inlineStr"/>
      <c r="Q4280" s="2" t="inlineStr"/>
      <c r="R4280" s="2" t="inlineStr"/>
      <c r="S4280" s="2" t="inlineStr"/>
      <c r="T4280" s="2" t="inlineStr">
        <is>
          <t>6 meses grátis de Gemini com AI Plus</t>
        </is>
      </c>
      <c r="U4280" s="2" t="inlineStr">
        <is>
          <t>https://vivo.com.br/para-voce/produtos-e-servicos/para-o-celular/planos-controle</t>
        </is>
      </c>
      <c r="V4280" s="2" t="inlineStr">
        <is>
          <t>data/raw/vivo_control_SP.html</t>
        </is>
      </c>
    </row>
    <row r="4281">
      <c r="A4281" s="5" t="inlineStr">
        <is>
          <t>2026-09-05</t>
        </is>
      </c>
      <c r="B4281" s="5" t="inlineStr">
        <is>
          <t>2026-09-05T19:37:33</t>
        </is>
      </c>
      <c r="C4281" s="5" t="inlineStr">
        <is>
          <t>vivo</t>
        </is>
      </c>
      <c r="D4281" s="5" t="inlineStr">
        <is>
          <t>control</t>
        </is>
      </c>
      <c r="E4281" s="5" t="inlineStr">
        <is>
          <t>SP</t>
        </is>
      </c>
      <c r="F4281" s="5" t="inlineStr">
        <is>
          <t>Vivo Controle</t>
        </is>
      </c>
      <c r="G4281" s="5" t="inlineStr">
        <is>
          <t>vivo:VIV202600034599</t>
        </is>
      </c>
      <c r="H4281" s="6" t="n">
        <v>75</v>
      </c>
      <c r="I4281" s="6" t="inlineStr"/>
      <c r="J4281" s="5" t="inlineStr">
        <is>
          <t>preço-base do plano; a tela exibia R$ 80 com o adicional pré-selecionado (+R$ 5/mês, opcional); 60 GB na tela incluem +10 GB do adicional</t>
        </is>
      </c>
      <c r="K4281" s="5" t="inlineStr"/>
      <c r="L4281" s="7" t="n">
        <v>50</v>
      </c>
      <c r="M4281" s="5" t="inlineStr">
        <is>
          <t>20 GB de franquia 30 GB de bônus</t>
        </is>
      </c>
      <c r="N4281" s="5" t="inlineStr"/>
      <c r="O4281" s="5" t="inlineStr"/>
      <c r="P4281" s="5" t="inlineStr"/>
      <c r="Q4281" s="5" t="inlineStr"/>
      <c r="R4281" s="5" t="inlineStr"/>
      <c r="S4281" s="5" t="inlineStr"/>
      <c r="T4281" s="5" t="inlineStr">
        <is>
          <t>6 meses grátis de Gemini com AI Plus</t>
        </is>
      </c>
      <c r="U4281" s="5" t="inlineStr">
        <is>
          <t>https://vivo.com.br/para-voce/produtos-e-servicos/para-o-celular/planos-controle</t>
        </is>
      </c>
      <c r="V4281" s="5" t="inlineStr">
        <is>
          <t>data/raw/vivo_control_SP.html</t>
        </is>
      </c>
    </row>
    <row r="4282">
      <c r="A4282" s="2" t="inlineStr">
        <is>
          <t>2026-09-05</t>
        </is>
      </c>
      <c r="B4282" s="2" t="inlineStr">
        <is>
          <t>2026-09-05T19:37:33</t>
        </is>
      </c>
      <c r="C4282" s="2" t="inlineStr">
        <is>
          <t>vivo</t>
        </is>
      </c>
      <c r="D4282" s="2" t="inlineStr">
        <is>
          <t>control</t>
        </is>
      </c>
      <c r="E4282" s="2" t="inlineStr">
        <is>
          <t>SP</t>
        </is>
      </c>
      <c r="F4282" s="2" t="inlineStr">
        <is>
          <t>Vivo Controle Amazon</t>
        </is>
      </c>
      <c r="G4282" s="2" t="inlineStr">
        <is>
          <t>vivo:VIV202600038804</t>
        </is>
      </c>
      <c r="H4282" s="3" t="n">
        <v>70</v>
      </c>
      <c r="I4282" s="3" t="inlineStr"/>
      <c r="J4282" s="2" t="inlineStr">
        <is>
          <t>preço-base do plano; a tela exibia R$ 75 com o adicional pré-selecionado (+R$ 5/mês, opcional); 58 GB na tela incluem +10 GB do adicional</t>
        </is>
      </c>
      <c r="K4282" s="2" t="inlineStr"/>
      <c r="L4282" s="4" t="n">
        <v>48</v>
      </c>
      <c r="M4282" s="2" t="inlineStr">
        <is>
          <t>18 GB de franquia 30 GB de bônus</t>
        </is>
      </c>
      <c r="N4282" s="2" t="inlineStr"/>
      <c r="O4282" s="2" t="inlineStr"/>
      <c r="P4282" s="2" t="inlineStr"/>
      <c r="Q4282" s="2" t="inlineStr"/>
      <c r="R4282" s="2" t="inlineStr"/>
      <c r="S4282" s="2" t="inlineStr"/>
      <c r="T4282" s="2" t="inlineStr">
        <is>
          <t>Assinatura Amazon Prime inclusa</t>
        </is>
      </c>
      <c r="U4282" s="2" t="inlineStr">
        <is>
          <t>https://vivo.com.br/para-voce/produtos-e-servicos/para-o-celular/planos-controle</t>
        </is>
      </c>
      <c r="V4282" s="2" t="inlineStr">
        <is>
          <t>data/raw/vivo_control_SP.html</t>
        </is>
      </c>
    </row>
    <row r="4283">
      <c r="A4283" s="5" t="inlineStr">
        <is>
          <t>2026-09-05</t>
        </is>
      </c>
      <c r="B4283" s="5" t="inlineStr">
        <is>
          <t>2026-09-05T19:37:33</t>
        </is>
      </c>
      <c r="C4283" s="5" t="inlineStr">
        <is>
          <t>vivo</t>
        </is>
      </c>
      <c r="D4283" s="5" t="inlineStr">
        <is>
          <t>control</t>
        </is>
      </c>
      <c r="E4283" s="5" t="inlineStr">
        <is>
          <t>SP</t>
        </is>
      </c>
      <c r="F4283" s="5" t="inlineStr">
        <is>
          <t>Vivo Controle Educação</t>
        </is>
      </c>
      <c r="G4283" s="5" t="inlineStr">
        <is>
          <t>vivo:VIV202600034616</t>
        </is>
      </c>
      <c r="H4283" s="6" t="n">
        <v>85</v>
      </c>
      <c r="I4283" s="6" t="inlineStr"/>
      <c r="J4283" s="5" t="inlineStr">
        <is>
          <t>preço-base do plano; a tela exibia R$ 90 com o adicional pré-selecionado (+R$ 5/mês, opcional); 60 GB na tela incluem +10 GB do adicional</t>
        </is>
      </c>
      <c r="K4283" s="5" t="inlineStr"/>
      <c r="L4283" s="7" t="n">
        <v>50</v>
      </c>
      <c r="M4283" s="5" t="inlineStr">
        <is>
          <t>20 GB de franquia 30 GB de bônus</t>
        </is>
      </c>
      <c r="N4283" s="5" t="inlineStr"/>
      <c r="O4283" s="5" t="inlineStr"/>
      <c r="P4283" s="5" t="inlineStr"/>
      <c r="Q4283" s="5" t="inlineStr"/>
      <c r="R4283" s="5" t="inlineStr"/>
      <c r="S4283" s="5" t="inlineStr"/>
      <c r="T4283" s="5" t="inlineStr">
        <is>
          <t>Assinatura Vivae inclusa</t>
        </is>
      </c>
      <c r="U4283" s="5" t="inlineStr">
        <is>
          <t>https://vivo.com.br/para-voce/produtos-e-servicos/para-o-celular/planos-controle</t>
        </is>
      </c>
      <c r="V4283" s="5" t="inlineStr">
        <is>
          <t>data/raw/vivo_control_SP.html</t>
        </is>
      </c>
    </row>
    <row r="4284">
      <c r="A4284" s="2" t="inlineStr">
        <is>
          <t>2026-09-05</t>
        </is>
      </c>
      <c r="B4284" s="2" t="inlineStr">
        <is>
          <t>2026-09-05T19:37:33</t>
        </is>
      </c>
      <c r="C4284" s="2" t="inlineStr">
        <is>
          <t>vivo</t>
        </is>
      </c>
      <c r="D4284" s="2" t="inlineStr">
        <is>
          <t>control</t>
        </is>
      </c>
      <c r="E4284" s="2" t="inlineStr">
        <is>
          <t>SP</t>
        </is>
      </c>
      <c r="F4284" s="2" t="inlineStr">
        <is>
          <t>Vivo Controle Entretenimento</t>
        </is>
      </c>
      <c r="G4284" s="2" t="inlineStr">
        <is>
          <t>vivo:VIV202600034619</t>
        </is>
      </c>
      <c r="H4284" s="3" t="n">
        <v>105</v>
      </c>
      <c r="I4284" s="3" t="inlineStr"/>
      <c r="J4284" s="2" t="inlineStr">
        <is>
          <t>preço-base do plano; a tela exibia R$ 110 com o adicional pré-selecionado (+R$ 5/mês, opcional); 60 GB na tela incluem +10 GB do adicional</t>
        </is>
      </c>
      <c r="K4284" s="2" t="inlineStr"/>
      <c r="L4284" s="4" t="n">
        <v>50</v>
      </c>
      <c r="M4284" s="2" t="inlineStr">
        <is>
          <t>20 GB de franquia 30 GB de bônus</t>
        </is>
      </c>
      <c r="N4284" s="2" t="inlineStr"/>
      <c r="O4284" s="2" t="inlineStr"/>
      <c r="P4284" s="2" t="inlineStr"/>
      <c r="Q4284" s="2" t="inlineStr"/>
      <c r="R4284" s="2" t="inlineStr"/>
      <c r="S4284" s="2" t="inlineStr"/>
      <c r="T4284" s="2" t="inlineStr">
        <is>
          <t>Assinatura Vivo TV Inicial inclusa</t>
        </is>
      </c>
      <c r="U4284" s="2" t="inlineStr">
        <is>
          <t>https://vivo.com.br/para-voce/produtos-e-servicos/para-o-celular/planos-controle</t>
        </is>
      </c>
      <c r="V4284" s="2" t="inlineStr">
        <is>
          <t>data/raw/vivo_control_SP.html</t>
        </is>
      </c>
    </row>
    <row r="4285">
      <c r="A4285" s="5" t="inlineStr">
        <is>
          <t>2026-09-05</t>
        </is>
      </c>
      <c r="B4285" s="5" t="inlineStr">
        <is>
          <t>2026-09-05T19:37:33</t>
        </is>
      </c>
      <c r="C4285" s="5" t="inlineStr">
        <is>
          <t>vivo</t>
        </is>
      </c>
      <c r="D4285" s="5" t="inlineStr">
        <is>
          <t>control</t>
        </is>
      </c>
      <c r="E4285" s="5" t="inlineStr">
        <is>
          <t>SP</t>
        </is>
      </c>
      <c r="F4285" s="5" t="inlineStr">
        <is>
          <t>Vivo Controle Música</t>
        </is>
      </c>
      <c r="G4285" s="5" t="inlineStr">
        <is>
          <t>vivo:VIV202600034620</t>
        </is>
      </c>
      <c r="H4285" s="6" t="n">
        <v>85</v>
      </c>
      <c r="I4285" s="6" t="inlineStr"/>
      <c r="J4285" s="5" t="inlineStr">
        <is>
          <t>preço-base do plano; a tela exibia R$ 90 com o adicional pré-selecionado (+R$ 5/mês, opcional); 60 GB na tela incluem +10 GB do adicional</t>
        </is>
      </c>
      <c r="K4285" s="5" t="inlineStr"/>
      <c r="L4285" s="7" t="n">
        <v>50</v>
      </c>
      <c r="M4285" s="5" t="inlineStr">
        <is>
          <t>20 GB de franquia 30 GB de bônus</t>
        </is>
      </c>
      <c r="N4285" s="5" t="inlineStr"/>
      <c r="O4285" s="5" t="inlineStr"/>
      <c r="P4285" s="5" t="inlineStr"/>
      <c r="Q4285" s="5" t="inlineStr"/>
      <c r="R4285" s="5" t="inlineStr"/>
      <c r="S4285" s="5" t="inlineStr"/>
      <c r="T4285" s="5" t="inlineStr">
        <is>
          <t>Apple Music Individual</t>
        </is>
      </c>
      <c r="U4285" s="5" t="inlineStr">
        <is>
          <t>https://vivo.com.br/para-voce/produtos-e-servicos/para-o-celular/planos-controle</t>
        </is>
      </c>
      <c r="V4285" s="5" t="inlineStr">
        <is>
          <t>data/raw/vivo_control_SP.html</t>
        </is>
      </c>
    </row>
    <row r="4286">
      <c r="A4286" s="2" t="inlineStr">
        <is>
          <t>2026-09-05</t>
        </is>
      </c>
      <c r="B4286" s="2" t="inlineStr">
        <is>
          <t>2026-09-05T19:37:33</t>
        </is>
      </c>
      <c r="C4286" s="2" t="inlineStr">
        <is>
          <t>vivo</t>
        </is>
      </c>
      <c r="D4286" s="2" t="inlineStr">
        <is>
          <t>control</t>
        </is>
      </c>
      <c r="E4286" s="2" t="inlineStr">
        <is>
          <t>SP</t>
        </is>
      </c>
      <c r="F4286" s="2" t="inlineStr">
        <is>
          <t>Vivo Controle Netflix</t>
        </is>
      </c>
      <c r="G4286" s="2" t="inlineStr">
        <is>
          <t>vivo:VIV202600034623</t>
        </is>
      </c>
      <c r="H4286" s="3" t="n">
        <v>90</v>
      </c>
      <c r="I4286" s="3" t="inlineStr"/>
      <c r="J4286" s="2" t="inlineStr">
        <is>
          <t>preço-base do plano; a tela exibia R$ 95 com o adicional pré-selecionado (+R$ 5/mês, opcional); 60 GB na tela incluem +10 GB do adicional</t>
        </is>
      </c>
      <c r="K4286" s="2" t="inlineStr"/>
      <c r="L4286" s="4" t="n">
        <v>50</v>
      </c>
      <c r="M4286" s="2" t="inlineStr">
        <is>
          <t>20 GB de franquia 30 GB de bônus</t>
        </is>
      </c>
      <c r="N4286" s="2" t="inlineStr"/>
      <c r="O4286" s="2" t="inlineStr"/>
      <c r="P4286" s="2" t="inlineStr"/>
      <c r="Q4286" s="2" t="inlineStr"/>
      <c r="R4286" s="2" t="inlineStr"/>
      <c r="S4286" s="2" t="inlineStr"/>
      <c r="T4286" s="2" t="inlineStr">
        <is>
          <t>Assinatura Netflix Padrão com anúncios</t>
        </is>
      </c>
      <c r="U4286" s="2" t="inlineStr">
        <is>
          <t>https://vivo.com.br/para-voce/produtos-e-servicos/para-o-celular/planos-controle</t>
        </is>
      </c>
      <c r="V4286" s="2" t="inlineStr">
        <is>
          <t>data/raw/vivo_control_SP.html</t>
        </is>
      </c>
    </row>
    <row r="4287">
      <c r="A4287" s="5" t="inlineStr">
        <is>
          <t>2026-09-05</t>
        </is>
      </c>
      <c r="B4287" s="5" t="inlineStr">
        <is>
          <t>2026-09-05T19:37:33</t>
        </is>
      </c>
      <c r="C4287" s="5" t="inlineStr">
        <is>
          <t>vivo</t>
        </is>
      </c>
      <c r="D4287" s="5" t="inlineStr">
        <is>
          <t>control</t>
        </is>
      </c>
      <c r="E4287" s="5" t="inlineStr">
        <is>
          <t>SP</t>
        </is>
      </c>
      <c r="F4287" s="5" t="inlineStr">
        <is>
          <t>Vivo Controle Saúde</t>
        </is>
      </c>
      <c r="G4287" s="5" t="inlineStr">
        <is>
          <t>vivo:VIV202600034625</t>
        </is>
      </c>
      <c r="H4287" s="6" t="n">
        <v>85</v>
      </c>
      <c r="I4287" s="6" t="inlineStr"/>
      <c r="J4287" s="5" t="inlineStr">
        <is>
          <t>preço-base do plano; a tela exibia R$ 90 com o adicional pré-selecionado (+R$ 5/mês, opcional); 60 GB na tela incluem +10 GB do adicional</t>
        </is>
      </c>
      <c r="K4287" s="5" t="inlineStr"/>
      <c r="L4287" s="7" t="n">
        <v>50</v>
      </c>
      <c r="M4287" s="5" t="inlineStr">
        <is>
          <t>20 GB de franquia 30 GB de bônus</t>
        </is>
      </c>
      <c r="N4287" s="5" t="inlineStr"/>
      <c r="O4287" s="5" t="inlineStr"/>
      <c r="P4287" s="5" t="inlineStr"/>
      <c r="Q4287" s="5" t="inlineStr"/>
      <c r="R4287" s="5" t="inlineStr"/>
      <c r="S4287" s="5" t="inlineStr"/>
      <c r="T4287" s="5" t="inlineStr">
        <is>
          <t>Assinatura Vale Saúde Sempre inclusa</t>
        </is>
      </c>
      <c r="U4287" s="5" t="inlineStr">
        <is>
          <t>https://vivo.com.br/para-voce/produtos-e-servicos/para-o-celular/planos-controle</t>
        </is>
      </c>
      <c r="V4287" s="5" t="inlineStr">
        <is>
          <t>data/raw/vivo_control_SP.html</t>
        </is>
      </c>
    </row>
    <row r="4288">
      <c r="A4288" s="2" t="inlineStr">
        <is>
          <t>2026-09-05</t>
        </is>
      </c>
      <c r="B4288" s="2" t="inlineStr">
        <is>
          <t>2026-09-05T19:37:33</t>
        </is>
      </c>
      <c r="C4288" s="2" t="inlineStr">
        <is>
          <t>vivo</t>
        </is>
      </c>
      <c r="D4288" s="2" t="inlineStr">
        <is>
          <t>control</t>
        </is>
      </c>
      <c r="E4288" s="2" t="inlineStr">
        <is>
          <t>SP</t>
        </is>
      </c>
      <c r="F4288" s="2" t="inlineStr">
        <is>
          <t>Vivo Controle Youtube Lite</t>
        </is>
      </c>
      <c r="G4288" s="2" t="inlineStr">
        <is>
          <t>vivo:VIV202600034626</t>
        </is>
      </c>
      <c r="H4288" s="3" t="n">
        <v>85</v>
      </c>
      <c r="I4288" s="3" t="inlineStr"/>
      <c r="J4288" s="2" t="inlineStr">
        <is>
          <t>preço-base do plano; a tela exibia R$ 90 com o adicional pré-selecionado (+R$ 5/mês, opcional); 60 GB na tela incluem +10 GB do adicional</t>
        </is>
      </c>
      <c r="K4288" s="2" t="inlineStr"/>
      <c r="L4288" s="4" t="n">
        <v>50</v>
      </c>
      <c r="M4288" s="2" t="inlineStr">
        <is>
          <t>20 GB de franquia 30 GB de bônus</t>
        </is>
      </c>
      <c r="N4288" s="2" t="inlineStr"/>
      <c r="O4288" s="2" t="inlineStr"/>
      <c r="P4288" s="2" t="inlineStr"/>
      <c r="Q4288" s="2" t="inlineStr"/>
      <c r="R4288" s="2" t="inlineStr"/>
      <c r="S4288" s="2" t="inlineStr"/>
      <c r="T4288" s="2" t="inlineStr">
        <is>
          <t>Assinatura Youtube Premium Lite Inclusa</t>
        </is>
      </c>
      <c r="U4288" s="2" t="inlineStr">
        <is>
          <t>https://vivo.com.br/para-voce/produtos-e-servicos/para-o-celular/planos-controle</t>
        </is>
      </c>
      <c r="V4288" s="2" t="inlineStr">
        <is>
          <t>data/raw/vivo_control_SP.html</t>
        </is>
      </c>
    </row>
    <row r="4289">
      <c r="A4289" s="5" t="inlineStr">
        <is>
          <t>2026-09-05</t>
        </is>
      </c>
      <c r="B4289" s="5" t="inlineStr">
        <is>
          <t>2026-09-05T19:37:33</t>
        </is>
      </c>
      <c r="C4289" s="5" t="inlineStr">
        <is>
          <t>vivo</t>
        </is>
      </c>
      <c r="D4289" s="5" t="inlineStr">
        <is>
          <t>lite</t>
        </is>
      </c>
      <c r="E4289" s="5" t="inlineStr">
        <is>
          <t>SP</t>
        </is>
      </c>
      <c r="F4289" s="5" t="inlineStr">
        <is>
          <t>Vivo Lite</t>
        </is>
      </c>
      <c r="G4289" s="5" t="inlineStr">
        <is>
          <t>vivo:VIV202600038808</t>
        </is>
      </c>
      <c r="H4289" s="6" t="n">
        <v>45</v>
      </c>
      <c r="I4289" s="6" t="n">
        <v>30</v>
      </c>
      <c r="J4289" s="5" t="inlineStr">
        <is>
          <t>preço sem fidelidade; fidelidade 12m no promo</t>
        </is>
      </c>
      <c r="K4289" s="5" t="inlineStr"/>
      <c r="L4289" s="7" t="n">
        <v>30</v>
      </c>
      <c r="M4289" s="5" t="inlineStr">
        <is>
          <t>30 GB de franquia</t>
        </is>
      </c>
      <c r="N4289" s="5" t="inlineStr"/>
      <c r="O4289" s="5" t="inlineStr"/>
      <c r="P4289" s="5" t="inlineStr"/>
      <c r="Q4289" s="5" t="inlineStr"/>
      <c r="R4289" s="5" t="inlineStr"/>
      <c r="S4289" s="5" t="n">
        <v>12</v>
      </c>
      <c r="T4289" s="5" t="inlineStr"/>
      <c r="U4289" s="5" t="inlineStr">
        <is>
          <t>https://vivo.com.br/para-voce/produtos-e-servicos/para-o-celular/easy-lite</t>
        </is>
      </c>
      <c r="V4289" s="5" t="inlineStr">
        <is>
          <t>data/raw/vivo_lite_SP.html</t>
        </is>
      </c>
    </row>
    <row r="4290">
      <c r="A4290" s="2" t="inlineStr">
        <is>
          <t>2026-09-05</t>
        </is>
      </c>
      <c r="B4290" s="2" t="inlineStr">
        <is>
          <t>2026-09-05T19:37:33</t>
        </is>
      </c>
      <c r="C4290" s="2" t="inlineStr">
        <is>
          <t>vivo</t>
        </is>
      </c>
      <c r="D4290" s="2" t="inlineStr">
        <is>
          <t>lite</t>
        </is>
      </c>
      <c r="E4290" s="2" t="inlineStr">
        <is>
          <t>SP</t>
        </is>
      </c>
      <c r="F4290" s="2" t="inlineStr">
        <is>
          <t>Vivo Lite</t>
        </is>
      </c>
      <c r="G4290" s="2" t="inlineStr">
        <is>
          <t>vivo:VIV202600038810</t>
        </is>
      </c>
      <c r="H4290" s="3" t="n">
        <v>55</v>
      </c>
      <c r="I4290" s="3" t="n">
        <v>40</v>
      </c>
      <c r="J4290" s="2" t="inlineStr">
        <is>
          <t>preço sem fidelidade; fidelidade 12m no promo</t>
        </is>
      </c>
      <c r="K4290" s="2" t="inlineStr"/>
      <c r="L4290" s="4" t="n">
        <v>40</v>
      </c>
      <c r="M4290" s="2" t="inlineStr">
        <is>
          <t>40 GB de franquia</t>
        </is>
      </c>
      <c r="N4290" s="2" t="inlineStr"/>
      <c r="O4290" s="2" t="inlineStr"/>
      <c r="P4290" s="2" t="inlineStr"/>
      <c r="Q4290" s="2" t="inlineStr"/>
      <c r="R4290" s="2" t="inlineStr"/>
      <c r="S4290" s="2" t="n">
        <v>12</v>
      </c>
      <c r="T4290" s="2" t="inlineStr"/>
      <c r="U4290" s="2" t="inlineStr">
        <is>
          <t>https://vivo.com.br/para-voce/produtos-e-servicos/para-o-celular/easy-lite</t>
        </is>
      </c>
      <c r="V4290" s="2" t="inlineStr">
        <is>
          <t>data/raw/vivo_lite_SP.html</t>
        </is>
      </c>
    </row>
    <row r="4291">
      <c r="A4291" s="5" t="inlineStr">
        <is>
          <t>2026-09-05</t>
        </is>
      </c>
      <c r="B4291" s="5" t="inlineStr">
        <is>
          <t>2026-09-05T19:37:33</t>
        </is>
      </c>
      <c r="C4291" s="5" t="inlineStr">
        <is>
          <t>vivo</t>
        </is>
      </c>
      <c r="D4291" s="5" t="inlineStr">
        <is>
          <t>lite</t>
        </is>
      </c>
      <c r="E4291" s="5" t="inlineStr">
        <is>
          <t>SP</t>
        </is>
      </c>
      <c r="F4291" s="5" t="inlineStr">
        <is>
          <t>Vivo Lite</t>
        </is>
      </c>
      <c r="G4291" s="5" t="inlineStr">
        <is>
          <t>vivo:VIV202600038814</t>
        </is>
      </c>
      <c r="H4291" s="6" t="n">
        <v>35</v>
      </c>
      <c r="I4291" s="6" t="inlineStr"/>
      <c r="J4291" s="5" t="inlineStr"/>
      <c r="K4291" s="5" t="inlineStr"/>
      <c r="L4291" s="7" t="n">
        <v>20</v>
      </c>
      <c r="M4291" s="5" t="inlineStr">
        <is>
          <t>20 GB de franquia</t>
        </is>
      </c>
      <c r="N4291" s="5" t="inlineStr"/>
      <c r="O4291" s="5" t="inlineStr"/>
      <c r="P4291" s="5" t="inlineStr"/>
      <c r="Q4291" s="5" t="inlineStr"/>
      <c r="R4291" s="5" t="inlineStr"/>
      <c r="S4291" s="5" t="inlineStr"/>
      <c r="T4291" s="5" t="inlineStr"/>
      <c r="U4291" s="5" t="inlineStr">
        <is>
          <t>https://vivo.com.br/para-voce/produtos-e-servicos/para-o-celular/easy-lite</t>
        </is>
      </c>
      <c r="V4291" s="5" t="inlineStr">
        <is>
          <t>data/raw/vivo_lite_SP.html</t>
        </is>
      </c>
    </row>
    <row r="4292">
      <c r="A4292" s="2" t="inlineStr">
        <is>
          <t>2026-09-05</t>
        </is>
      </c>
      <c r="B4292" s="2" t="inlineStr">
        <is>
          <t>2026-09-05T19:37:33</t>
        </is>
      </c>
      <c r="C4292" s="2" t="inlineStr">
        <is>
          <t>vivo</t>
        </is>
      </c>
      <c r="D4292" s="2" t="inlineStr">
        <is>
          <t>postpaid</t>
        </is>
      </c>
      <c r="E4292" s="2" t="inlineStr">
        <is>
          <t>SP</t>
        </is>
      </c>
      <c r="F4292" s="2" t="inlineStr">
        <is>
          <t>Vivo Família 2</t>
        </is>
      </c>
      <c r="G4292" s="2" t="inlineStr">
        <is>
          <t>vivo:VIV202600034547</t>
        </is>
      </c>
      <c r="H4292" s="3" t="n">
        <v>270</v>
      </c>
      <c r="I4292" s="3" t="inlineStr"/>
      <c r="J4292" s="2" t="inlineStr"/>
      <c r="K4292" s="2" t="inlineStr"/>
      <c r="L4292" s="4" t="n">
        <v>120</v>
      </c>
      <c r="M4292" s="2" t="inlineStr">
        <is>
          <t>120 GB de franquia Você + 1 linha adicional Roaming Internacional com Vivo Travel Américas e Europa</t>
        </is>
      </c>
      <c r="N4292" s="2" t="inlineStr"/>
      <c r="O4292" s="2" t="inlineStr"/>
      <c r="P4292" s="2" t="inlineStr"/>
      <c r="Q4292" s="2" t="inlineStr"/>
      <c r="R4292" s="2" t="inlineStr"/>
      <c r="S4292" s="2" t="inlineStr"/>
      <c r="T4292" s="2" t="inlineStr">
        <is>
          <t>12 meses grátis de Gemini com AI Plus</t>
        </is>
      </c>
      <c r="U4292" s="2" t="inlineStr">
        <is>
          <t>https://vivo.com.br/para-voce/produtos-e-servicos/para-o-celular/planos-pos-pago</t>
        </is>
      </c>
      <c r="V4292" s="2" t="inlineStr">
        <is>
          <t>data/raw/vivo_postpaid_SP.html</t>
        </is>
      </c>
    </row>
    <row r="4293">
      <c r="A4293" s="5" t="inlineStr">
        <is>
          <t>2026-09-05</t>
        </is>
      </c>
      <c r="B4293" s="5" t="inlineStr">
        <is>
          <t>2026-09-05T19:37:33</t>
        </is>
      </c>
      <c r="C4293" s="5" t="inlineStr">
        <is>
          <t>vivo</t>
        </is>
      </c>
      <c r="D4293" s="5" t="inlineStr">
        <is>
          <t>postpaid</t>
        </is>
      </c>
      <c r="E4293" s="5" t="inlineStr">
        <is>
          <t>SP</t>
        </is>
      </c>
      <c r="F4293" s="5" t="inlineStr">
        <is>
          <t>Vivo Família 3</t>
        </is>
      </c>
      <c r="G4293" s="5" t="inlineStr">
        <is>
          <t>vivo:VIV202600034540</t>
        </is>
      </c>
      <c r="H4293" s="6" t="n">
        <v>340</v>
      </c>
      <c r="I4293" s="6" t="inlineStr"/>
      <c r="J4293" s="5" t="inlineStr"/>
      <c r="K4293" s="5" t="inlineStr"/>
      <c r="L4293" s="7" t="n">
        <v>180</v>
      </c>
      <c r="M4293" s="5" t="inlineStr">
        <is>
          <t>180 GB de franquia Você + 2 linhas adicionais Roaming Internacional com Vivo Travel Américas e Europa</t>
        </is>
      </c>
      <c r="N4293" s="5" t="inlineStr"/>
      <c r="O4293" s="5" t="inlineStr"/>
      <c r="P4293" s="5" t="inlineStr"/>
      <c r="Q4293" s="5" t="inlineStr"/>
      <c r="R4293" s="5" t="inlineStr"/>
      <c r="S4293" s="5" t="inlineStr"/>
      <c r="T4293" s="5" t="inlineStr">
        <is>
          <t>12 meses grátis de Gemini com AI Plus</t>
        </is>
      </c>
      <c r="U4293" s="5" t="inlineStr">
        <is>
          <t>https://vivo.com.br/para-voce/produtos-e-servicos/para-o-celular/planos-pos-pago</t>
        </is>
      </c>
      <c r="V4293" s="5" t="inlineStr">
        <is>
          <t>data/raw/vivo_postpaid_SP.html</t>
        </is>
      </c>
    </row>
    <row r="4294">
      <c r="A4294" s="2" t="inlineStr">
        <is>
          <t>2026-09-05</t>
        </is>
      </c>
      <c r="B4294" s="2" t="inlineStr">
        <is>
          <t>2026-09-05T19:37:33</t>
        </is>
      </c>
      <c r="C4294" s="2" t="inlineStr">
        <is>
          <t>vivo</t>
        </is>
      </c>
      <c r="D4294" s="2" t="inlineStr">
        <is>
          <t>postpaid</t>
        </is>
      </c>
      <c r="E4294" s="2" t="inlineStr">
        <is>
          <t>SP</t>
        </is>
      </c>
      <c r="F4294" s="2" t="inlineStr">
        <is>
          <t>Vivo Família 4</t>
        </is>
      </c>
      <c r="G4294" s="2" t="inlineStr">
        <is>
          <t>vivo:VIV202600034531</t>
        </is>
      </c>
      <c r="H4294" s="3" t="n">
        <v>430</v>
      </c>
      <c r="I4294" s="3" t="inlineStr"/>
      <c r="J4294" s="2" t="inlineStr"/>
      <c r="K4294" s="2" t="inlineStr"/>
      <c r="L4294" s="4" t="n">
        <v>240</v>
      </c>
      <c r="M4294" s="2" t="inlineStr">
        <is>
          <t>240 GB de franquia Você + 3 linhas adicionais Roaming Internacional com Vivo Travel Américas e Europa</t>
        </is>
      </c>
      <c r="N4294" s="2" t="inlineStr"/>
      <c r="O4294" s="2" t="inlineStr"/>
      <c r="P4294" s="2" t="inlineStr"/>
      <c r="Q4294" s="2" t="inlineStr"/>
      <c r="R4294" s="2" t="inlineStr"/>
      <c r="S4294" s="2" t="inlineStr"/>
      <c r="T4294" s="2" t="inlineStr">
        <is>
          <t>12 meses grátis de Gemini com AI Plus</t>
        </is>
      </c>
      <c r="U4294" s="2" t="inlineStr">
        <is>
          <t>https://vivo.com.br/para-voce/produtos-e-servicos/para-o-celular/planos-pos-pago</t>
        </is>
      </c>
      <c r="V4294" s="2" t="inlineStr">
        <is>
          <t>data/raw/vivo_postpaid_SP.html</t>
        </is>
      </c>
    </row>
    <row r="4295">
      <c r="A4295" s="5" t="inlineStr">
        <is>
          <t>2026-09-05</t>
        </is>
      </c>
      <c r="B4295" s="5" t="inlineStr">
        <is>
          <t>2026-09-05T19:37:33</t>
        </is>
      </c>
      <c r="C4295" s="5" t="inlineStr">
        <is>
          <t>vivo</t>
        </is>
      </c>
      <c r="D4295" s="5" t="inlineStr">
        <is>
          <t>postpaid</t>
        </is>
      </c>
      <c r="E4295" s="5" t="inlineStr">
        <is>
          <t>SP</t>
        </is>
      </c>
      <c r="F4295" s="5" t="inlineStr">
        <is>
          <t>Vivo Família 5</t>
        </is>
      </c>
      <c r="G4295" s="5" t="inlineStr">
        <is>
          <t>vivo:VIV202600034526</t>
        </is>
      </c>
      <c r="H4295" s="6" t="n">
        <v>530</v>
      </c>
      <c r="I4295" s="6" t="inlineStr"/>
      <c r="J4295" s="5" t="inlineStr"/>
      <c r="K4295" s="5" t="inlineStr"/>
      <c r="L4295" s="7" t="n">
        <v>300</v>
      </c>
      <c r="M4295" s="5" t="inlineStr">
        <is>
          <t>300 GB de franquia Você + 4 linhas adicionais Roaming Internacional com Vivo Travel Américas e Europa</t>
        </is>
      </c>
      <c r="N4295" s="5" t="inlineStr"/>
      <c r="O4295" s="5" t="inlineStr"/>
      <c r="P4295" s="5" t="inlineStr"/>
      <c r="Q4295" s="5" t="inlineStr"/>
      <c r="R4295" s="5" t="inlineStr"/>
      <c r="S4295" s="5" t="inlineStr"/>
      <c r="T4295" s="5" t="inlineStr">
        <is>
          <t>12 meses grátis de Gemini com AI Plus</t>
        </is>
      </c>
      <c r="U4295" s="5" t="inlineStr">
        <is>
          <t>https://vivo.com.br/para-voce/produtos-e-servicos/para-o-celular/planos-pos-pago</t>
        </is>
      </c>
      <c r="V4295" s="5" t="inlineStr">
        <is>
          <t>data/raw/vivo_postpaid_SP.html</t>
        </is>
      </c>
    </row>
    <row r="4296">
      <c r="A4296" s="2" t="inlineStr">
        <is>
          <t>2026-09-05</t>
        </is>
      </c>
      <c r="B4296" s="2" t="inlineStr">
        <is>
          <t>2026-09-05T19:37:33</t>
        </is>
      </c>
      <c r="C4296" s="2" t="inlineStr">
        <is>
          <t>vivo</t>
        </is>
      </c>
      <c r="D4296" s="2" t="inlineStr">
        <is>
          <t>postpaid</t>
        </is>
      </c>
      <c r="E4296" s="2" t="inlineStr">
        <is>
          <t>SP</t>
        </is>
      </c>
      <c r="F4296" s="2" t="inlineStr">
        <is>
          <t>Vivo Pós com Amazon</t>
        </is>
      </c>
      <c r="G4296" s="2" t="inlineStr">
        <is>
          <t>vivo:VIV202600034554</t>
        </is>
      </c>
      <c r="H4296" s="3" t="n">
        <v>150</v>
      </c>
      <c r="I4296" s="3" t="inlineStr"/>
      <c r="J4296" s="2" t="inlineStr"/>
      <c r="K4296" s="2" t="inlineStr"/>
      <c r="L4296" s="4" t="n">
        <v>60</v>
      </c>
      <c r="M4296" s="2" t="inlineStr">
        <is>
          <t>50 GB de franquia 10 GB de bônus</t>
        </is>
      </c>
      <c r="N4296" s="2" t="inlineStr"/>
      <c r="O4296" s="2" t="inlineStr"/>
      <c r="P4296" s="2" t="inlineStr"/>
      <c r="Q4296" s="2" t="inlineStr"/>
      <c r="R4296" s="2" t="inlineStr"/>
      <c r="S4296" s="2" t="inlineStr"/>
      <c r="T4296" s="2" t="inlineStr">
        <is>
          <t>Assinatura Amazon Prime inclusa</t>
        </is>
      </c>
      <c r="U4296" s="2" t="inlineStr">
        <is>
          <t>https://vivo.com.br/para-voce/produtos-e-servicos/para-o-celular/planos-pos-pago</t>
        </is>
      </c>
      <c r="V4296" s="2" t="inlineStr">
        <is>
          <t>data/raw/vivo_postpaid_SP.html</t>
        </is>
      </c>
    </row>
    <row r="4297">
      <c r="A4297" s="5" t="inlineStr">
        <is>
          <t>2026-09-05</t>
        </is>
      </c>
      <c r="B4297" s="5" t="inlineStr">
        <is>
          <t>2026-09-05T19:37:33</t>
        </is>
      </c>
      <c r="C4297" s="5" t="inlineStr">
        <is>
          <t>vivo</t>
        </is>
      </c>
      <c r="D4297" s="5" t="inlineStr">
        <is>
          <t>postpaid</t>
        </is>
      </c>
      <c r="E4297" s="5" t="inlineStr">
        <is>
          <t>SP</t>
        </is>
      </c>
      <c r="F4297" s="5" t="inlineStr">
        <is>
          <t>Vivo Pós com Disney+</t>
        </is>
      </c>
      <c r="G4297" s="5" t="inlineStr">
        <is>
          <t>vivo:VIV202600034532</t>
        </is>
      </c>
      <c r="H4297" s="6" t="n">
        <v>180</v>
      </c>
      <c r="I4297" s="6" t="inlineStr"/>
      <c r="J4297" s="5" t="inlineStr"/>
      <c r="K4297" s="5" t="inlineStr"/>
      <c r="L4297" s="7" t="n">
        <v>60</v>
      </c>
      <c r="M4297" s="5" t="inlineStr">
        <is>
          <t>50 GB de franquia 10 GB de bônus</t>
        </is>
      </c>
      <c r="N4297" s="5" t="inlineStr"/>
      <c r="O4297" s="5" t="inlineStr"/>
      <c r="P4297" s="5" t="inlineStr"/>
      <c r="Q4297" s="5" t="inlineStr"/>
      <c r="R4297" s="5" t="inlineStr">
        <is>
          <t>Disney+</t>
        </is>
      </c>
      <c r="S4297" s="5" t="inlineStr"/>
      <c r="T4297" s="5" t="inlineStr">
        <is>
          <t>Assinatura Disney+ Padrão inclusa</t>
        </is>
      </c>
      <c r="U4297" s="5" t="inlineStr">
        <is>
          <t>https://vivo.com.br/para-voce/produtos-e-servicos/para-o-celular/planos-pos-pago</t>
        </is>
      </c>
      <c r="V4297" s="5" t="inlineStr">
        <is>
          <t>data/raw/vivo_postpaid_SP.html</t>
        </is>
      </c>
    </row>
    <row r="4298">
      <c r="A4298" s="2" t="inlineStr">
        <is>
          <t>2026-09-05</t>
        </is>
      </c>
      <c r="B4298" s="2" t="inlineStr">
        <is>
          <t>2026-09-05T19:37:33</t>
        </is>
      </c>
      <c r="C4298" s="2" t="inlineStr">
        <is>
          <t>vivo</t>
        </is>
      </c>
      <c r="D4298" s="2" t="inlineStr">
        <is>
          <t>postpaid</t>
        </is>
      </c>
      <c r="E4298" s="2" t="inlineStr">
        <is>
          <t>SP</t>
        </is>
      </c>
      <c r="F4298" s="2" t="inlineStr">
        <is>
          <t>Vivo Pós com Globoplay</t>
        </is>
      </c>
      <c r="G4298" s="2" t="inlineStr">
        <is>
          <t>vivo:VIV202600034575</t>
        </is>
      </c>
      <c r="H4298" s="3" t="n">
        <v>165</v>
      </c>
      <c r="I4298" s="3" t="inlineStr"/>
      <c r="J4298" s="2" t="inlineStr"/>
      <c r="K4298" s="2" t="inlineStr"/>
      <c r="L4298" s="4" t="n">
        <v>60</v>
      </c>
      <c r="M4298" s="2" t="inlineStr">
        <is>
          <t>50 GB de franquia 10 GB de bônus</t>
        </is>
      </c>
      <c r="N4298" s="2" t="inlineStr"/>
      <c r="O4298" s="2" t="inlineStr"/>
      <c r="P4298" s="2" t="inlineStr"/>
      <c r="Q4298" s="2" t="inlineStr"/>
      <c r="R4298" s="2" t="inlineStr">
        <is>
          <t>Globoplay</t>
        </is>
      </c>
      <c r="S4298" s="2" t="inlineStr"/>
      <c r="T4298" s="2" t="inlineStr">
        <is>
          <t>Assinatura Globoplay inclusa</t>
        </is>
      </c>
      <c r="U4298" s="2" t="inlineStr">
        <is>
          <t>https://vivo.com.br/para-voce/produtos-e-servicos/para-o-celular/planos-pos-pago</t>
        </is>
      </c>
      <c r="V4298" s="2" t="inlineStr">
        <is>
          <t>data/raw/vivo_postpaid_SP.html</t>
        </is>
      </c>
    </row>
    <row r="4299">
      <c r="A4299" s="5" t="inlineStr">
        <is>
          <t>2026-09-05</t>
        </is>
      </c>
      <c r="B4299" s="5" t="inlineStr">
        <is>
          <t>2026-09-05T19:37:33</t>
        </is>
      </c>
      <c r="C4299" s="5" t="inlineStr">
        <is>
          <t>vivo</t>
        </is>
      </c>
      <c r="D4299" s="5" t="inlineStr">
        <is>
          <t>postpaid</t>
        </is>
      </c>
      <c r="E4299" s="5" t="inlineStr">
        <is>
          <t>SP</t>
        </is>
      </c>
      <c r="F4299" s="5" t="inlineStr">
        <is>
          <t>Vivo Pós com Netflix</t>
        </is>
      </c>
      <c r="G4299" s="5" t="inlineStr">
        <is>
          <t>vivo:VIV202600034562</t>
        </is>
      </c>
      <c r="H4299" s="6" t="n">
        <v>180</v>
      </c>
      <c r="I4299" s="6" t="inlineStr"/>
      <c r="J4299" s="5" t="inlineStr"/>
      <c r="K4299" s="5" t="inlineStr"/>
      <c r="L4299" s="7" t="n">
        <v>60</v>
      </c>
      <c r="M4299" s="5" t="inlineStr">
        <is>
          <t>50 GB de franquia 10 GB de bônus</t>
        </is>
      </c>
      <c r="N4299" s="5" t="inlineStr"/>
      <c r="O4299" s="5" t="inlineStr"/>
      <c r="P4299" s="5" t="inlineStr"/>
      <c r="Q4299" s="5" t="inlineStr"/>
      <c r="R4299" s="5" t="inlineStr">
        <is>
          <t>Netflix</t>
        </is>
      </c>
      <c r="S4299" s="5" t="inlineStr"/>
      <c r="T4299" s="5" t="inlineStr">
        <is>
          <t>Assinatura Netflix Padrão inclusa</t>
        </is>
      </c>
      <c r="U4299" s="5" t="inlineStr">
        <is>
          <t>https://vivo.com.br/para-voce/produtos-e-servicos/para-o-celular/planos-pos-pago</t>
        </is>
      </c>
      <c r="V4299" s="5" t="inlineStr">
        <is>
          <t>data/raw/vivo_postpaid_SP.html</t>
        </is>
      </c>
    </row>
    <row r="4300">
      <c r="A4300" s="2" t="inlineStr">
        <is>
          <t>2026-09-05</t>
        </is>
      </c>
      <c r="B4300" s="2" t="inlineStr">
        <is>
          <t>2026-09-05T19:37:33</t>
        </is>
      </c>
      <c r="C4300" s="2" t="inlineStr">
        <is>
          <t>vivo</t>
        </is>
      </c>
      <c r="D4300" s="2" t="inlineStr">
        <is>
          <t>postpaid</t>
        </is>
      </c>
      <c r="E4300" s="2" t="inlineStr">
        <is>
          <t>SP</t>
        </is>
      </c>
      <c r="F4300" s="2" t="inlineStr">
        <is>
          <t>Vivo Pós com Premiere</t>
        </is>
      </c>
      <c r="G4300" s="2" t="inlineStr">
        <is>
          <t>vivo:VIV202600034579</t>
        </is>
      </c>
      <c r="H4300" s="3" t="n">
        <v>180</v>
      </c>
      <c r="I4300" s="3" t="inlineStr"/>
      <c r="J4300" s="2" t="inlineStr"/>
      <c r="K4300" s="2" t="inlineStr"/>
      <c r="L4300" s="4" t="n">
        <v>60</v>
      </c>
      <c r="M4300" s="2" t="inlineStr">
        <is>
          <t>50 GB de franquia 10 GB de bônus</t>
        </is>
      </c>
      <c r="N4300" s="2" t="inlineStr"/>
      <c r="O4300" s="2" t="inlineStr"/>
      <c r="P4300" s="2" t="inlineStr"/>
      <c r="Q4300" s="2" t="inlineStr"/>
      <c r="R4300" s="2" t="inlineStr">
        <is>
          <t>Premiere</t>
        </is>
      </c>
      <c r="S4300" s="2" t="inlineStr"/>
      <c r="T4300" s="2" t="inlineStr">
        <is>
          <t>Assinatura Premiere inclusa</t>
        </is>
      </c>
      <c r="U4300" s="2" t="inlineStr">
        <is>
          <t>https://vivo.com.br/para-voce/produtos-e-servicos/para-o-celular/planos-pos-pago</t>
        </is>
      </c>
      <c r="V4300" s="2" t="inlineStr">
        <is>
          <t>data/raw/vivo_postpaid_SP.html</t>
        </is>
      </c>
    </row>
    <row r="4301">
      <c r="A4301" s="5" t="inlineStr">
        <is>
          <t>2026-09-05</t>
        </is>
      </c>
      <c r="B4301" s="5" t="inlineStr">
        <is>
          <t>2026-09-05T19:37:33</t>
        </is>
      </c>
      <c r="C4301" s="5" t="inlineStr">
        <is>
          <t>vivo</t>
        </is>
      </c>
      <c r="D4301" s="5" t="inlineStr">
        <is>
          <t>postpaid</t>
        </is>
      </c>
      <c r="E4301" s="5" t="inlineStr">
        <is>
          <t>SP</t>
        </is>
      </c>
      <c r="F4301" s="5" t="inlineStr">
        <is>
          <t>Vivo Pós com Spotify</t>
        </is>
      </c>
      <c r="G4301" s="5" t="inlineStr">
        <is>
          <t>vivo:VIV202600034556</t>
        </is>
      </c>
      <c r="H4301" s="6" t="n">
        <v>165</v>
      </c>
      <c r="I4301" s="6" t="inlineStr"/>
      <c r="J4301" s="5" t="inlineStr"/>
      <c r="K4301" s="5" t="inlineStr"/>
      <c r="L4301" s="7" t="n">
        <v>60</v>
      </c>
      <c r="M4301" s="5" t="inlineStr">
        <is>
          <t>50 GB de franquia 10 GB de bônus</t>
        </is>
      </c>
      <c r="N4301" s="5" t="inlineStr"/>
      <c r="O4301" s="5" t="inlineStr"/>
      <c r="P4301" s="5" t="inlineStr"/>
      <c r="Q4301" s="5" t="inlineStr"/>
      <c r="R4301" s="5" t="inlineStr">
        <is>
          <t>Spotify</t>
        </is>
      </c>
      <c r="S4301" s="5" t="inlineStr"/>
      <c r="T4301" s="5" t="inlineStr">
        <is>
          <t>Assinatura Spotify Premium inclusa</t>
        </is>
      </c>
      <c r="U4301" s="5" t="inlineStr">
        <is>
          <t>https://vivo.com.br/para-voce/produtos-e-servicos/para-o-celular/planos-pos-pago</t>
        </is>
      </c>
      <c r="V4301" s="5" t="inlineStr">
        <is>
          <t>data/raw/vivo_postpaid_SP.html</t>
        </is>
      </c>
    </row>
    <row r="4302">
      <c r="A4302" s="2" t="inlineStr">
        <is>
          <t>2026-09-05</t>
        </is>
      </c>
      <c r="B4302" s="2" t="inlineStr">
        <is>
          <t>2026-09-05T19:37:33</t>
        </is>
      </c>
      <c r="C4302" s="2" t="inlineStr">
        <is>
          <t>vivo</t>
        </is>
      </c>
      <c r="D4302" s="2" t="inlineStr">
        <is>
          <t>postpaid</t>
        </is>
      </c>
      <c r="E4302" s="2" t="inlineStr">
        <is>
          <t>SP</t>
        </is>
      </c>
      <c r="F4302" s="2" t="inlineStr">
        <is>
          <t>Vivo Pós com Travel</t>
        </is>
      </c>
      <c r="G4302" s="2" t="inlineStr">
        <is>
          <t>vivo:VIV202600034573</t>
        </is>
      </c>
      <c r="H4302" s="3" t="n">
        <v>215</v>
      </c>
      <c r="I4302" s="3" t="inlineStr"/>
      <c r="J4302" s="2" t="inlineStr"/>
      <c r="K4302" s="2" t="inlineStr"/>
      <c r="L4302" s="4" t="n">
        <v>70</v>
      </c>
      <c r="M4302" s="2" t="inlineStr">
        <is>
          <t>60 GB de franquia 10 GB de bônus</t>
        </is>
      </c>
      <c r="N4302" s="2" t="inlineStr"/>
      <c r="O4302" s="2" t="inlineStr"/>
      <c r="P4302" s="2" t="inlineStr"/>
      <c r="Q4302" s="2" t="inlineStr"/>
      <c r="R4302" s="2" t="inlineStr"/>
      <c r="S4302" s="2" t="inlineStr"/>
      <c r="T4302" s="2" t="inlineStr">
        <is>
          <t>6 meses grátis de Gemini com AI Plus</t>
        </is>
      </c>
      <c r="U4302" s="2" t="inlineStr">
        <is>
          <t>https://vivo.com.br/para-voce/produtos-e-servicos/para-o-celular/planos-pos-pago</t>
        </is>
      </c>
      <c r="V4302" s="2" t="inlineStr">
        <is>
          <t>data/raw/vivo_postpaid_SP.html</t>
        </is>
      </c>
    </row>
    <row r="4303">
      <c r="A4303" s="5" t="inlineStr">
        <is>
          <t>2026-09-05</t>
        </is>
      </c>
      <c r="B4303" s="5" t="inlineStr">
        <is>
          <t>2026-09-05T19:37:33</t>
        </is>
      </c>
      <c r="C4303" s="5" t="inlineStr">
        <is>
          <t>vivo</t>
        </is>
      </c>
      <c r="D4303" s="5" t="inlineStr">
        <is>
          <t>prepaid</t>
        </is>
      </c>
      <c r="E4303" s="5" t="inlineStr">
        <is>
          <t>SP</t>
        </is>
      </c>
      <c r="F4303" s="5" t="inlineStr">
        <is>
          <t>Vivo Pré</t>
        </is>
      </c>
      <c r="G4303" s="5" t="inlineStr">
        <is>
          <t>vivo:VIV202600029370-30d</t>
        </is>
      </c>
      <c r="H4303" s="6" t="n">
        <v>30</v>
      </c>
      <c r="I4303" s="6" t="inlineStr"/>
      <c r="J4303" s="5" t="inlineStr"/>
      <c r="K4303" s="5" t="inlineStr"/>
      <c r="L4303" s="7" t="n">
        <v>25</v>
      </c>
      <c r="M4303" s="5" t="inlineStr">
        <is>
          <t>15 GB para navegar como quiser 5 GB de bônus 5 GB para navegar no Youtube</t>
        </is>
      </c>
      <c r="N4303" s="5" t="n">
        <v>30</v>
      </c>
      <c r="O4303" s="5" t="inlineStr"/>
      <c r="P4303" s="5" t="inlineStr"/>
      <c r="Q4303" s="5" t="inlineStr"/>
      <c r="R4303" s="5" t="inlineStr"/>
      <c r="S4303" s="5" t="inlineStr"/>
      <c r="T4303" s="5" t="inlineStr"/>
      <c r="U4303" s="5" t="inlineStr">
        <is>
          <t>https://vivo.com.br/para-voce/produtos-e-servicos/para-o-celular/pre-pago/vivo-pre</t>
        </is>
      </c>
      <c r="V4303" s="5" t="inlineStr">
        <is>
          <t>data/raw/vivo_prepaid_SP.html</t>
        </is>
      </c>
    </row>
    <row r="4304">
      <c r="A4304" s="2" t="inlineStr">
        <is>
          <t>2026-09-05</t>
        </is>
      </c>
      <c r="B4304" s="2" t="inlineStr">
        <is>
          <t>2026-09-05T19:37:33</t>
        </is>
      </c>
      <c r="C4304" s="2" t="inlineStr">
        <is>
          <t>vivo</t>
        </is>
      </c>
      <c r="D4304" s="2" t="inlineStr">
        <is>
          <t>prepaid</t>
        </is>
      </c>
      <c r="E4304" s="2" t="inlineStr">
        <is>
          <t>SP</t>
        </is>
      </c>
      <c r="F4304" s="2" t="inlineStr">
        <is>
          <t>Vivo Pré</t>
        </is>
      </c>
      <c r="G4304" s="2" t="inlineStr">
        <is>
          <t>vivo:VIV202600029370-22d</t>
        </is>
      </c>
      <c r="H4304" s="3" t="n">
        <v>25</v>
      </c>
      <c r="I4304" s="3" t="inlineStr"/>
      <c r="J4304" s="2" t="inlineStr"/>
      <c r="K4304" s="2" t="inlineStr"/>
      <c r="L4304" s="4" t="n">
        <v>9</v>
      </c>
      <c r="M4304" s="2" t="inlineStr">
        <is>
          <t>6 GB para navegar como quiser 3 GB para navegar no YouTube</t>
        </is>
      </c>
      <c r="N4304" s="2" t="n">
        <v>22</v>
      </c>
      <c r="O4304" s="2" t="inlineStr"/>
      <c r="P4304" s="2" t="inlineStr"/>
      <c r="Q4304" s="2" t="inlineStr"/>
      <c r="R4304" s="2" t="inlineStr"/>
      <c r="S4304" s="2" t="inlineStr"/>
      <c r="T4304" s="2" t="inlineStr"/>
      <c r="U4304" s="2" t="inlineStr">
        <is>
          <t>https://vivo.com.br/para-voce/produtos-e-servicos/para-o-celular/pre-pago/vivo-pre</t>
        </is>
      </c>
      <c r="V4304" s="2" t="inlineStr">
        <is>
          <t>data/raw/vivo_prepaid_SP.html</t>
        </is>
      </c>
    </row>
    <row r="4305">
      <c r="A4305" s="5" t="inlineStr">
        <is>
          <t>2026-09-05</t>
        </is>
      </c>
      <c r="B4305" s="5" t="inlineStr">
        <is>
          <t>2026-09-05T19:37:33</t>
        </is>
      </c>
      <c r="C4305" s="5" t="inlineStr">
        <is>
          <t>vivo</t>
        </is>
      </c>
      <c r="D4305" s="5" t="inlineStr">
        <is>
          <t>prepaid</t>
        </is>
      </c>
      <c r="E4305" s="5" t="inlineStr">
        <is>
          <t>SP</t>
        </is>
      </c>
      <c r="F4305" s="5" t="inlineStr">
        <is>
          <t>Vivo Pré</t>
        </is>
      </c>
      <c r="G4305" s="5" t="inlineStr">
        <is>
          <t>vivo:VIV202600029370-17d</t>
        </is>
      </c>
      <c r="H4305" s="6" t="n">
        <v>20</v>
      </c>
      <c r="I4305" s="6" t="inlineStr"/>
      <c r="J4305" s="5" t="inlineStr"/>
      <c r="K4305" s="5" t="inlineStr"/>
      <c r="L4305" s="7" t="n">
        <v>5</v>
      </c>
      <c r="M4305" s="5" t="inlineStr">
        <is>
          <t>5 GB para navegar como quiser</t>
        </is>
      </c>
      <c r="N4305" s="5" t="n">
        <v>17</v>
      </c>
      <c r="O4305" s="5" t="inlineStr"/>
      <c r="P4305" s="5" t="inlineStr"/>
      <c r="Q4305" s="5" t="inlineStr"/>
      <c r="R4305" s="5" t="inlineStr"/>
      <c r="S4305" s="5" t="inlineStr"/>
      <c r="T4305" s="5" t="inlineStr"/>
      <c r="U4305" s="5" t="inlineStr">
        <is>
          <t>https://vivo.com.br/para-voce/produtos-e-servicos/para-o-celular/pre-pago/vivo-pre</t>
        </is>
      </c>
      <c r="V4305" s="5" t="inlineStr">
        <is>
          <t>data/raw/vivo_prepaid_SP.html</t>
        </is>
      </c>
    </row>
    <row r="4306">
      <c r="A4306" s="2" t="inlineStr">
        <is>
          <t>2026-09-05</t>
        </is>
      </c>
      <c r="B4306" s="2" t="inlineStr">
        <is>
          <t>2026-09-05T19:37:33</t>
        </is>
      </c>
      <c r="C4306" s="2" t="inlineStr">
        <is>
          <t>vivo</t>
        </is>
      </c>
      <c r="D4306" s="2" t="inlineStr">
        <is>
          <t>prepaid</t>
        </is>
      </c>
      <c r="E4306" s="2" t="inlineStr">
        <is>
          <t>SP</t>
        </is>
      </c>
      <c r="F4306" s="2" t="inlineStr">
        <is>
          <t>Vivo Pré</t>
        </is>
      </c>
      <c r="G4306" s="2" t="inlineStr">
        <is>
          <t>vivo:VIV202600029370-15d</t>
        </is>
      </c>
      <c r="H4306" s="3" t="n">
        <v>17</v>
      </c>
      <c r="I4306" s="3" t="inlineStr"/>
      <c r="J4306" s="2" t="inlineStr"/>
      <c r="K4306" s="2" t="inlineStr"/>
      <c r="L4306" s="4" t="n">
        <v>4</v>
      </c>
      <c r="M4306" s="2" t="inlineStr">
        <is>
          <t>4 GB para navegar como quiser</t>
        </is>
      </c>
      <c r="N4306" s="2" t="n">
        <v>15</v>
      </c>
      <c r="O4306" s="2" t="inlineStr"/>
      <c r="P4306" s="2" t="inlineStr"/>
      <c r="Q4306" s="2" t="inlineStr"/>
      <c r="R4306" s="2" t="inlineStr"/>
      <c r="S4306" s="2" t="inlineStr"/>
      <c r="T4306" s="2" t="inlineStr"/>
      <c r="U4306" s="2" t="inlineStr">
        <is>
          <t>https://vivo.com.br/para-voce/produtos-e-servicos/para-o-celular/pre-pago/vivo-pre</t>
        </is>
      </c>
      <c r="V4306" s="2" t="inlineStr">
        <is>
          <t>data/raw/vivo_prepaid_SP.html</t>
        </is>
      </c>
    </row>
    <row r="4307">
      <c r="A4307" s="5" t="inlineStr">
        <is>
          <t>2026-09-06</t>
        </is>
      </c>
      <c r="B4307" s="5" t="inlineStr">
        <is>
          <t>2026-09-06T19:39:36</t>
        </is>
      </c>
      <c r="C4307" s="5" t="inlineStr">
        <is>
          <t>claro</t>
        </is>
      </c>
      <c r="D4307" s="5" t="inlineStr">
        <is>
          <t>control</t>
        </is>
      </c>
      <c r="E4307" s="5" t="inlineStr">
        <is>
          <t>SP</t>
        </is>
      </c>
      <c r="F4307" s="5" t="inlineStr">
        <is>
          <t>Controle 25GB</t>
        </is>
      </c>
      <c r="G4307" s="5" t="inlineStr">
        <is>
          <t>claro:plano-controle-25gb</t>
        </is>
      </c>
      <c r="H4307" s="6" t="n">
        <v>59.9</v>
      </c>
      <c r="I4307" s="6" t="n">
        <v>54.9</v>
      </c>
      <c r="J4307" s="5" t="inlineStr">
        <is>
          <t>De R$ 59,90 Por:</t>
        </is>
      </c>
      <c r="K4307" s="5" t="inlineStr"/>
      <c r="L4307" s="7" t="n">
        <v>25</v>
      </c>
      <c r="M4307" s="5" t="inlineStr"/>
      <c r="N4307" s="5" t="inlineStr"/>
      <c r="O4307" s="5" t="inlineStr">
        <is>
          <t>WhatsApp</t>
        </is>
      </c>
      <c r="P4307" s="5" t="inlineStr"/>
      <c r="Q4307" s="5" t="inlineStr"/>
      <c r="R4307" s="5" t="inlineStr"/>
      <c r="S4307" s="5" t="inlineStr"/>
      <c r="T4307" s="5" t="inlineStr">
        <is>
          <t>Para uso livre; Para redes sociais e vídeos; Bônus exclusivo; Aproveite na sua franquia; WhatsApp e ligações ilimitadas</t>
        </is>
      </c>
      <c r="U4307" s="5" t="inlineStr">
        <is>
          <t>https://www.claro.com.br/celular/controle</t>
        </is>
      </c>
      <c r="V4307" s="5" t="inlineStr">
        <is>
          <t>data/raw/claro_control_SP.json</t>
        </is>
      </c>
    </row>
    <row r="4308">
      <c r="A4308" s="2" t="inlineStr">
        <is>
          <t>2026-09-06</t>
        </is>
      </c>
      <c r="B4308" s="2" t="inlineStr">
        <is>
          <t>2026-09-06T19:39:36</t>
        </is>
      </c>
      <c r="C4308" s="2" t="inlineStr">
        <is>
          <t>claro</t>
        </is>
      </c>
      <c r="D4308" s="2" t="inlineStr">
        <is>
          <t>control</t>
        </is>
      </c>
      <c r="E4308" s="2" t="inlineStr">
        <is>
          <t>SP</t>
        </is>
      </c>
      <c r="F4308" s="2" t="inlineStr">
        <is>
          <t>Controle 30GB</t>
        </is>
      </c>
      <c r="G4308" s="2" t="inlineStr">
        <is>
          <t>claro:plano-controle-30gb</t>
        </is>
      </c>
      <c r="H4308" s="3" t="n">
        <v>69.90000000000001</v>
      </c>
      <c r="I4308" s="3" t="inlineStr"/>
      <c r="J4308" s="2" t="inlineStr"/>
      <c r="K4308" s="2" t="inlineStr"/>
      <c r="L4308" s="4" t="n">
        <v>30</v>
      </c>
      <c r="M4308" s="2" t="inlineStr"/>
      <c r="N4308" s="2" t="inlineStr"/>
      <c r="O4308" s="2" t="inlineStr">
        <is>
          <t>WhatsApp</t>
        </is>
      </c>
      <c r="P4308" s="2" t="inlineStr"/>
      <c r="Q4308" s="2" t="inlineStr"/>
      <c r="R4308" s="2" t="inlineStr"/>
      <c r="S4308" s="2" t="inlineStr"/>
      <c r="T4308" s="2" t="inlineStr">
        <is>
          <t>Para uso livre; Bônus para uso livre; Bônus para redes sociais e apps; Assinatura Amazon Prime por 3 meses; Redes sociais e apps; WhatsApp ilimitado</t>
        </is>
      </c>
      <c r="U4308" s="2" t="inlineStr">
        <is>
          <t>https://www.claro.com.br/celular/controle</t>
        </is>
      </c>
      <c r="V4308" s="2" t="inlineStr">
        <is>
          <t>data/raw/claro_control_SP.json</t>
        </is>
      </c>
    </row>
    <row r="4309">
      <c r="A4309" s="5" t="inlineStr">
        <is>
          <t>2026-09-06</t>
        </is>
      </c>
      <c r="B4309" s="5" t="inlineStr">
        <is>
          <t>2026-09-06T19:39:36</t>
        </is>
      </c>
      <c r="C4309" s="5" t="inlineStr">
        <is>
          <t>claro</t>
        </is>
      </c>
      <c r="D4309" s="5" t="inlineStr">
        <is>
          <t>control</t>
        </is>
      </c>
      <c r="E4309" s="5" t="inlineStr">
        <is>
          <t>SP</t>
        </is>
      </c>
      <c r="F4309" s="5" t="inlineStr">
        <is>
          <t>Controle 30GB</t>
        </is>
      </c>
      <c r="G4309" s="5" t="inlineStr">
        <is>
          <t>claro:plano-controle-30gb-gaming</t>
        </is>
      </c>
      <c r="H4309" s="6" t="n">
        <v>99.90000000000001</v>
      </c>
      <c r="I4309" s="6" t="inlineStr"/>
      <c r="J4309" s="5" t="inlineStr"/>
      <c r="K4309" s="5" t="inlineStr"/>
      <c r="L4309" s="7" t="n">
        <v>30</v>
      </c>
      <c r="M4309" s="5" t="inlineStr"/>
      <c r="N4309" s="5" t="inlineStr"/>
      <c r="O4309" s="5" t="inlineStr">
        <is>
          <t>WhatsApp</t>
        </is>
      </c>
      <c r="P4309" s="5" t="inlineStr"/>
      <c r="Q4309" s="5" t="inlineStr"/>
      <c r="R4309" s="5" t="inlineStr"/>
      <c r="S4309" s="5" t="inlineStr"/>
      <c r="T4309" s="5" t="inlineStr">
        <is>
          <t>Para uso livre; Bônus para redes sociais e apps; Bônus uso livre; Assinatura Amazon Prime por 3 meses; Redes sociais e apps; WhatsApp ilimitado</t>
        </is>
      </c>
      <c r="U4309" s="5" t="inlineStr">
        <is>
          <t>https://www.claro.com.br/celular/controle</t>
        </is>
      </c>
      <c r="V4309" s="5" t="inlineStr">
        <is>
          <t>data/raw/claro_control_SP.json</t>
        </is>
      </c>
    </row>
    <row r="4310">
      <c r="A4310" s="2" t="inlineStr">
        <is>
          <t>2026-09-06</t>
        </is>
      </c>
      <c r="B4310" s="2" t="inlineStr">
        <is>
          <t>2026-09-06T19:39:36</t>
        </is>
      </c>
      <c r="C4310" s="2" t="inlineStr">
        <is>
          <t>claro</t>
        </is>
      </c>
      <c r="D4310" s="2" t="inlineStr">
        <is>
          <t>flex</t>
        </is>
      </c>
      <c r="E4310" s="2" t="inlineStr">
        <is>
          <t>SP</t>
        </is>
      </c>
      <c r="F4310" s="2" t="inlineStr">
        <is>
          <t>Flex 15GB</t>
        </is>
      </c>
      <c r="G4310" s="2" t="inlineStr">
        <is>
          <t>claro:plano-flex-15gb</t>
        </is>
      </c>
      <c r="H4310" s="3" t="n">
        <v>44.9</v>
      </c>
      <c r="I4310" s="3" t="inlineStr"/>
      <c r="J4310" s="2" t="inlineStr"/>
      <c r="K4310" s="2" t="inlineStr"/>
      <c r="L4310" s="4" t="n">
        <v>15</v>
      </c>
      <c r="M4310" s="2" t="inlineStr"/>
      <c r="N4310" s="2" t="inlineStr"/>
      <c r="O4310" s="2" t="inlineStr">
        <is>
          <t>WhatsApp</t>
        </is>
      </c>
      <c r="P4310" s="2" t="inlineStr"/>
      <c r="Q4310" s="2" t="inlineStr"/>
      <c r="R4310" s="2" t="inlineStr"/>
      <c r="S4310" s="2" t="inlineStr"/>
      <c r="T4310" s="2" t="inlineStr">
        <is>
          <t>Para uso livre; Para redes sociais e apps; Bônus extra nos apps; WhatsApp ilimitado</t>
        </is>
      </c>
      <c r="U4310" s="2" t="inlineStr">
        <is>
          <t>https://www.claro.com.br/celular/flex</t>
        </is>
      </c>
      <c r="V4310" s="2" t="inlineStr">
        <is>
          <t>data/raw/claro_flex_SP.json</t>
        </is>
      </c>
    </row>
    <row r="4311">
      <c r="A4311" s="5" t="inlineStr">
        <is>
          <t>2026-09-06</t>
        </is>
      </c>
      <c r="B4311" s="5" t="inlineStr">
        <is>
          <t>2026-09-06T19:39:36</t>
        </is>
      </c>
      <c r="C4311" s="5" t="inlineStr">
        <is>
          <t>claro</t>
        </is>
      </c>
      <c r="D4311" s="5" t="inlineStr">
        <is>
          <t>flex</t>
        </is>
      </c>
      <c r="E4311" s="5" t="inlineStr">
        <is>
          <t>SP</t>
        </is>
      </c>
      <c r="F4311" s="5" t="inlineStr">
        <is>
          <t>Flex 20GB</t>
        </is>
      </c>
      <c r="G4311" s="5" t="inlineStr">
        <is>
          <t>claro:plano-flex-20gb</t>
        </is>
      </c>
      <c r="H4311" s="6" t="n">
        <v>59.9</v>
      </c>
      <c r="I4311" s="6" t="inlineStr"/>
      <c r="J4311" s="5" t="inlineStr"/>
      <c r="K4311" s="5" t="inlineStr"/>
      <c r="L4311" s="7" t="n">
        <v>20</v>
      </c>
      <c r="M4311" s="5" t="inlineStr"/>
      <c r="N4311" s="5" t="inlineStr"/>
      <c r="O4311" s="5" t="inlineStr">
        <is>
          <t>WhatsApp</t>
        </is>
      </c>
      <c r="P4311" s="5" t="inlineStr"/>
      <c r="Q4311" s="5" t="inlineStr"/>
      <c r="R4311" s="5" t="inlineStr"/>
      <c r="S4311" s="5" t="inlineStr"/>
      <c r="T4311" s="5" t="inlineStr">
        <is>
          <t>Para uso livre; Para redes sociais e apps; Bônus extra nos apps; WhatsApp ilimitado</t>
        </is>
      </c>
      <c r="U4311" s="5" t="inlineStr">
        <is>
          <t>https://www.claro.com.br/celular/flex</t>
        </is>
      </c>
      <c r="V4311" s="5" t="inlineStr">
        <is>
          <t>data/raw/claro_flex_SP.json</t>
        </is>
      </c>
    </row>
    <row r="4312">
      <c r="A4312" s="2" t="inlineStr">
        <is>
          <t>2026-09-06</t>
        </is>
      </c>
      <c r="B4312" s="2" t="inlineStr">
        <is>
          <t>2026-09-06T19:39:36</t>
        </is>
      </c>
      <c r="C4312" s="2" t="inlineStr">
        <is>
          <t>claro</t>
        </is>
      </c>
      <c r="D4312" s="2" t="inlineStr">
        <is>
          <t>flex</t>
        </is>
      </c>
      <c r="E4312" s="2" t="inlineStr">
        <is>
          <t>SP</t>
        </is>
      </c>
      <c r="F4312" s="2" t="inlineStr">
        <is>
          <t>Flex 30GB</t>
        </is>
      </c>
      <c r="G4312" s="2" t="inlineStr">
        <is>
          <t>claro:plano-flex-30gb</t>
        </is>
      </c>
      <c r="H4312" s="3" t="n">
        <v>69.90000000000001</v>
      </c>
      <c r="I4312" s="3" t="inlineStr"/>
      <c r="J4312" s="2" t="inlineStr"/>
      <c r="K4312" s="2" t="inlineStr"/>
      <c r="L4312" s="4" t="n">
        <v>30</v>
      </c>
      <c r="M4312" s="2" t="inlineStr"/>
      <c r="N4312" s="2" t="inlineStr"/>
      <c r="O4312" s="2" t="inlineStr">
        <is>
          <t>WhatsApp</t>
        </is>
      </c>
      <c r="P4312" s="2" t="inlineStr"/>
      <c r="Q4312" s="2" t="inlineStr"/>
      <c r="R4312" s="2" t="inlineStr"/>
      <c r="S4312" s="2" t="inlineStr"/>
      <c r="T4312" s="2" t="inlineStr">
        <is>
          <t>Para uso livre; Para redes sociais e apps; Bônus extra nos apps; WhatsApp ilimitado; Assinatura Claro musica inclusa</t>
        </is>
      </c>
      <c r="U4312" s="2" t="inlineStr">
        <is>
          <t>https://www.claro.com.br/celular/flex</t>
        </is>
      </c>
      <c r="V4312" s="2" t="inlineStr">
        <is>
          <t>data/raw/claro_flex_SP.json</t>
        </is>
      </c>
    </row>
    <row r="4313">
      <c r="A4313" s="5" t="inlineStr">
        <is>
          <t>2026-09-06</t>
        </is>
      </c>
      <c r="B4313" s="5" t="inlineStr">
        <is>
          <t>2026-09-06T19:39:36</t>
        </is>
      </c>
      <c r="C4313" s="5" t="inlineStr">
        <is>
          <t>claro</t>
        </is>
      </c>
      <c r="D4313" s="5" t="inlineStr">
        <is>
          <t>flex</t>
        </is>
      </c>
      <c r="E4313" s="5" t="inlineStr">
        <is>
          <t>SP</t>
        </is>
      </c>
      <c r="F4313" s="5" t="inlineStr">
        <is>
          <t>Flex 40GB</t>
        </is>
      </c>
      <c r="G4313" s="5" t="inlineStr">
        <is>
          <t>claro:plano-flex-40gb</t>
        </is>
      </c>
      <c r="H4313" s="6" t="n">
        <v>119.9</v>
      </c>
      <c r="I4313" s="6" t="inlineStr"/>
      <c r="J4313" s="5" t="inlineStr"/>
      <c r="K4313" s="5" t="inlineStr"/>
      <c r="L4313" s="7" t="n">
        <v>40</v>
      </c>
      <c r="M4313" s="5" t="inlineStr"/>
      <c r="N4313" s="5" t="inlineStr"/>
      <c r="O4313" s="5" t="inlineStr">
        <is>
          <t>WhatsApp</t>
        </is>
      </c>
      <c r="P4313" s="5" t="inlineStr"/>
      <c r="Q4313" s="5" t="inlineStr"/>
      <c r="R4313" s="5" t="inlineStr"/>
      <c r="S4313" s="5" t="inlineStr"/>
      <c r="T4313" s="5" t="inlineStr">
        <is>
          <t>Para uso livre; WhatsApp ilimitado; Assinatura Claro musica inclusa; Roaming: Passaporte Américas</t>
        </is>
      </c>
      <c r="U4313" s="5" t="inlineStr">
        <is>
          <t>https://www.claro.com.br/celular/flex</t>
        </is>
      </c>
      <c r="V4313" s="5" t="inlineStr">
        <is>
          <t>data/raw/claro_flex_SP.json</t>
        </is>
      </c>
    </row>
    <row r="4314">
      <c r="A4314" s="2" t="inlineStr">
        <is>
          <t>2026-09-06</t>
        </is>
      </c>
      <c r="B4314" s="2" t="inlineStr">
        <is>
          <t>2026-09-06T19:39:36</t>
        </is>
      </c>
      <c r="C4314" s="2" t="inlineStr">
        <is>
          <t>claro</t>
        </is>
      </c>
      <c r="D4314" s="2" t="inlineStr">
        <is>
          <t>postpaid</t>
        </is>
      </c>
      <c r="E4314" s="2" t="inlineStr">
        <is>
          <t>SP</t>
        </is>
      </c>
      <c r="F4314" s="2" t="inlineStr">
        <is>
          <t>Pós 100GB</t>
        </is>
      </c>
      <c r="G4314" s="2" t="inlineStr">
        <is>
          <t>claro:plano-pos-100gb</t>
        </is>
      </c>
      <c r="H4314" s="3" t="n">
        <v>179.9</v>
      </c>
      <c r="I4314" s="3" t="inlineStr"/>
      <c r="J4314" s="2" t="inlineStr"/>
      <c r="K4314" s="2" t="inlineStr"/>
      <c r="L4314" s="4" t="n">
        <v>100</v>
      </c>
      <c r="M4314" s="2" t="inlineStr"/>
      <c r="N4314" s="2" t="inlineStr"/>
      <c r="O4314" s="2" t="inlineStr">
        <is>
          <t>WhatsApp</t>
        </is>
      </c>
      <c r="P4314" s="2" t="inlineStr"/>
      <c r="Q4314" s="2" t="inlineStr"/>
      <c r="R4314" s="2" t="inlineStr"/>
      <c r="S4314" s="2" t="inlineStr"/>
      <c r="T4314" s="2" t="inlineStr">
        <is>
          <t>Armazenamento na nuvem:; Google One ou iCloud+; WhatsApp ilimitado; Assinatura Amazon Prime por 3 meses; Roaming: Passaporte Américas; Claro Sync: Smartwatch conectado</t>
        </is>
      </c>
      <c r="U4314" s="2" t="inlineStr">
        <is>
          <t>https://www.claro.com.br/celular/pos</t>
        </is>
      </c>
      <c r="V4314" s="2" t="inlineStr">
        <is>
          <t>data/raw/claro_postpaid_SP.json</t>
        </is>
      </c>
    </row>
    <row r="4315">
      <c r="A4315" s="5" t="inlineStr">
        <is>
          <t>2026-09-06</t>
        </is>
      </c>
      <c r="B4315" s="5" t="inlineStr">
        <is>
          <t>2026-09-06T19:39:36</t>
        </is>
      </c>
      <c r="C4315" s="5" t="inlineStr">
        <is>
          <t>claro</t>
        </is>
      </c>
      <c r="D4315" s="5" t="inlineStr">
        <is>
          <t>postpaid</t>
        </is>
      </c>
      <c r="E4315" s="5" t="inlineStr">
        <is>
          <t>SP</t>
        </is>
      </c>
      <c r="F4315" s="5" t="inlineStr">
        <is>
          <t>Pós 150GB</t>
        </is>
      </c>
      <c r="G4315" s="5" t="inlineStr">
        <is>
          <t>claro:plano-pos-150gb</t>
        </is>
      </c>
      <c r="H4315" s="6" t="n">
        <v>239.9</v>
      </c>
      <c r="I4315" s="6" t="inlineStr"/>
      <c r="J4315" s="5" t="inlineStr"/>
      <c r="K4315" s="5" t="inlineStr"/>
      <c r="L4315" s="7" t="n">
        <v>150</v>
      </c>
      <c r="M4315" s="5" t="inlineStr"/>
      <c r="N4315" s="5" t="inlineStr"/>
      <c r="O4315" s="5" t="inlineStr">
        <is>
          <t>WhatsApp</t>
        </is>
      </c>
      <c r="P4315" s="5" t="inlineStr"/>
      <c r="Q4315" s="5" t="inlineStr"/>
      <c r="R4315" s="5" t="inlineStr"/>
      <c r="S4315" s="5" t="inlineStr"/>
      <c r="T4315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315" s="5" t="inlineStr">
        <is>
          <t>https://www.claro.com.br/celular/pos</t>
        </is>
      </c>
      <c r="V4315" s="5" t="inlineStr">
        <is>
          <t>data/raw/claro_postpaid_SP.json</t>
        </is>
      </c>
    </row>
    <row r="4316">
      <c r="A4316" s="2" t="inlineStr">
        <is>
          <t>2026-09-06</t>
        </is>
      </c>
      <c r="B4316" s="2" t="inlineStr">
        <is>
          <t>2026-09-06T19:39:36</t>
        </is>
      </c>
      <c r="C4316" s="2" t="inlineStr">
        <is>
          <t>claro</t>
        </is>
      </c>
      <c r="D4316" s="2" t="inlineStr">
        <is>
          <t>postpaid</t>
        </is>
      </c>
      <c r="E4316" s="2" t="inlineStr">
        <is>
          <t>SP</t>
        </is>
      </c>
      <c r="F4316" s="2" t="inlineStr">
        <is>
          <t>Pós 200GB</t>
        </is>
      </c>
      <c r="G4316" s="2" t="inlineStr">
        <is>
          <t>claro:plano-pos-200gb</t>
        </is>
      </c>
      <c r="H4316" s="3" t="n">
        <v>339.9</v>
      </c>
      <c r="I4316" s="3" t="inlineStr"/>
      <c r="J4316" s="2" t="inlineStr"/>
      <c r="K4316" s="2" t="inlineStr"/>
      <c r="L4316" s="4" t="n">
        <v>200</v>
      </c>
      <c r="M4316" s="2" t="inlineStr"/>
      <c r="N4316" s="2" t="inlineStr"/>
      <c r="O4316" s="2" t="inlineStr">
        <is>
          <t>WhatsApp</t>
        </is>
      </c>
      <c r="P4316" s="2" t="inlineStr"/>
      <c r="Q4316" s="2" t="inlineStr"/>
      <c r="R4316" s="2" t="inlineStr"/>
      <c r="S4316" s="2" t="inlineStr"/>
      <c r="T4316" s="2" t="inlineStr">
        <is>
          <t>Armazenamento na nuvem:; Google One (AI Plus) ou iCloud+; WhatsApp ilimitado; Assinatura Amazon Prime por 3 meses; Roaming: Passaporte Mundo; Claro Sync: Smartwatch conectado</t>
        </is>
      </c>
      <c r="U4316" s="2" t="inlineStr">
        <is>
          <t>https://www.claro.com.br/celular/pos</t>
        </is>
      </c>
      <c r="V4316" s="2" t="inlineStr">
        <is>
          <t>data/raw/claro_postpaid_SP.json</t>
        </is>
      </c>
    </row>
    <row r="4317">
      <c r="A4317" s="5" t="inlineStr">
        <is>
          <t>2026-09-06</t>
        </is>
      </c>
      <c r="B4317" s="5" t="inlineStr">
        <is>
          <t>2026-09-06T19:39:36</t>
        </is>
      </c>
      <c r="C4317" s="5" t="inlineStr">
        <is>
          <t>claro</t>
        </is>
      </c>
      <c r="D4317" s="5" t="inlineStr">
        <is>
          <t>postpaid</t>
        </is>
      </c>
      <c r="E4317" s="5" t="inlineStr">
        <is>
          <t>SP</t>
        </is>
      </c>
      <c r="F4317" s="5" t="inlineStr">
        <is>
          <t>Pós 50GB com GeForce NOW</t>
        </is>
      </c>
      <c r="G4317" s="5" t="inlineStr">
        <is>
          <t>claro:plano-pos-60gb-geforce</t>
        </is>
      </c>
      <c r="H4317" s="6" t="n">
        <v>164.9</v>
      </c>
      <c r="I4317" s="6" t="inlineStr"/>
      <c r="J4317" s="5" t="inlineStr"/>
      <c r="K4317" s="5" t="inlineStr"/>
      <c r="L4317" s="7" t="n">
        <v>50</v>
      </c>
      <c r="M4317" s="5" t="inlineStr"/>
      <c r="N4317" s="5" t="inlineStr"/>
      <c r="O4317" s="5" t="inlineStr">
        <is>
          <t>WhatsApp</t>
        </is>
      </c>
      <c r="P4317" s="5" t="inlineStr"/>
      <c r="Q4317" s="5" t="inlineStr"/>
      <c r="R4317" s="5" t="inlineStr"/>
      <c r="S4317" s="5" t="inlineStr"/>
      <c r="T431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317" s="5" t="inlineStr">
        <is>
          <t>https://www.claro.com.br/celular/pos</t>
        </is>
      </c>
      <c r="V4317" s="5" t="inlineStr">
        <is>
          <t>data/raw/claro_postpaid_SP.json</t>
        </is>
      </c>
    </row>
    <row r="4318">
      <c r="A4318" s="2" t="inlineStr">
        <is>
          <t>2026-09-06</t>
        </is>
      </c>
      <c r="B4318" s="2" t="inlineStr">
        <is>
          <t>2026-09-06T19:39:36</t>
        </is>
      </c>
      <c r="C4318" s="2" t="inlineStr">
        <is>
          <t>claro</t>
        </is>
      </c>
      <c r="D4318" s="2" t="inlineStr">
        <is>
          <t>postpaid</t>
        </is>
      </c>
      <c r="E4318" s="2" t="inlineStr">
        <is>
          <t>SP</t>
        </is>
      </c>
      <c r="F4318" s="2" t="inlineStr">
        <is>
          <t>Pós 60GB</t>
        </is>
      </c>
      <c r="G4318" s="2" t="inlineStr">
        <is>
          <t>claro:plano-pos-60gb</t>
        </is>
      </c>
      <c r="H4318" s="3" t="n">
        <v>124.9</v>
      </c>
      <c r="I4318" s="3" t="inlineStr"/>
      <c r="J4318" s="2" t="inlineStr"/>
      <c r="K4318" s="2" t="inlineStr"/>
      <c r="L4318" s="4" t="n">
        <v>60</v>
      </c>
      <c r="M4318" s="2" t="inlineStr"/>
      <c r="N4318" s="2" t="inlineStr"/>
      <c r="O4318" s="2" t="inlineStr">
        <is>
          <t>WhatsApp</t>
        </is>
      </c>
      <c r="P4318" s="2" t="inlineStr"/>
      <c r="Q4318" s="2" t="inlineStr"/>
      <c r="R4318" s="2" t="inlineStr"/>
      <c r="S4318" s="2" t="inlineStr"/>
      <c r="T4318" s="2" t="inlineStr">
        <is>
          <t>Armazenamento na nuvem:; Google One ou iCloud+; WhatsApp ilimitado; Assinatura Amazon Prime por 3 meses; Roaming: Passaporte Américas; Claro Sync: Smartwatch conectado</t>
        </is>
      </c>
      <c r="U4318" s="2" t="inlineStr">
        <is>
          <t>https://www.claro.com.br/celular/pos</t>
        </is>
      </c>
      <c r="V4318" s="2" t="inlineStr">
        <is>
          <t>data/raw/claro_postpaid_SP.json</t>
        </is>
      </c>
    </row>
    <row r="4319">
      <c r="A4319" s="5" t="inlineStr">
        <is>
          <t>2026-09-06</t>
        </is>
      </c>
      <c r="B4319" s="5" t="inlineStr">
        <is>
          <t>2026-09-06T19:39:36</t>
        </is>
      </c>
      <c r="C4319" s="5" t="inlineStr">
        <is>
          <t>claro</t>
        </is>
      </c>
      <c r="D4319" s="5" t="inlineStr">
        <is>
          <t>prepaid</t>
        </is>
      </c>
      <c r="E4319" s="5" t="inlineStr">
        <is>
          <t>SP</t>
        </is>
      </c>
      <c r="F4319" s="5" t="inlineStr">
        <is>
          <t>Prezão 10GB (25 dias)</t>
        </is>
      </c>
      <c r="G4319" s="5" t="inlineStr">
        <is>
          <t>claro:prezao-25d-10gb</t>
        </is>
      </c>
      <c r="H4319" s="6" t="n">
        <v>25</v>
      </c>
      <c r="I4319" s="6" t="inlineStr"/>
      <c r="J4319" s="5" t="inlineStr">
        <is>
          <t>recarga Prezão R$25 — validade 25 dias</t>
        </is>
      </c>
      <c r="K4319" s="5" t="inlineStr"/>
      <c r="L4319" s="7" t="n">
        <v>10</v>
      </c>
      <c r="M4319" s="5" t="inlineStr"/>
      <c r="N4319" s="5" t="n">
        <v>25</v>
      </c>
      <c r="O4319" s="5" t="inlineStr"/>
      <c r="P4319" s="5" t="inlineStr"/>
      <c r="Q4319" s="5" t="inlineStr"/>
      <c r="R4319" s="5" t="inlineStr"/>
      <c r="S4319" s="5" t="inlineStr"/>
      <c r="T4319" s="5" t="inlineStr"/>
      <c r="U4319" s="5" t="inlineStr">
        <is>
          <t>https://www.claro.com.br/celular/planos-pre/prezao</t>
        </is>
      </c>
      <c r="V4319" s="5" t="inlineStr">
        <is>
          <t>data/raw/claro_prepaid_SP.json</t>
        </is>
      </c>
    </row>
    <row r="4320">
      <c r="A4320" s="2" t="inlineStr">
        <is>
          <t>2026-09-06</t>
        </is>
      </c>
      <c r="B4320" s="2" t="inlineStr">
        <is>
          <t>2026-09-06T19:39:36</t>
        </is>
      </c>
      <c r="C4320" s="2" t="inlineStr">
        <is>
          <t>claro</t>
        </is>
      </c>
      <c r="D4320" s="2" t="inlineStr">
        <is>
          <t>prepaid</t>
        </is>
      </c>
      <c r="E4320" s="2" t="inlineStr">
        <is>
          <t>SP</t>
        </is>
      </c>
      <c r="F4320" s="2" t="inlineStr">
        <is>
          <t>Prezão 12GB (30 dias)</t>
        </is>
      </c>
      <c r="G4320" s="2" t="inlineStr">
        <is>
          <t>claro:prezao-30d-12gb</t>
        </is>
      </c>
      <c r="H4320" s="3" t="n">
        <v>30</v>
      </c>
      <c r="I4320" s="3" t="inlineStr"/>
      <c r="J4320" s="2" t="inlineStr">
        <is>
          <t>recarga Prezão R$30 — validade 30 dias</t>
        </is>
      </c>
      <c r="K4320" s="2" t="inlineStr"/>
      <c r="L4320" s="4" t="n">
        <v>12</v>
      </c>
      <c r="M4320" s="2" t="inlineStr"/>
      <c r="N4320" s="2" t="n">
        <v>30</v>
      </c>
      <c r="O4320" s="2" t="inlineStr"/>
      <c r="P4320" s="2" t="inlineStr"/>
      <c r="Q4320" s="2" t="inlineStr"/>
      <c r="R4320" s="2" t="inlineStr"/>
      <c r="S4320" s="2" t="inlineStr"/>
      <c r="T4320" s="2" t="inlineStr"/>
      <c r="U4320" s="2" t="inlineStr">
        <is>
          <t>https://www.claro.com.br/celular/planos-pre/prezao</t>
        </is>
      </c>
      <c r="V4320" s="2" t="inlineStr">
        <is>
          <t>data/raw/claro_prepaid_SP.json</t>
        </is>
      </c>
    </row>
    <row r="4321">
      <c r="A4321" s="5" t="inlineStr">
        <is>
          <t>2026-09-06</t>
        </is>
      </c>
      <c r="B4321" s="5" t="inlineStr">
        <is>
          <t>2026-09-06T19:39:36</t>
        </is>
      </c>
      <c r="C4321" s="5" t="inlineStr">
        <is>
          <t>claro</t>
        </is>
      </c>
      <c r="D4321" s="5" t="inlineStr">
        <is>
          <t>prepaid</t>
        </is>
      </c>
      <c r="E4321" s="5" t="inlineStr">
        <is>
          <t>SP</t>
        </is>
      </c>
      <c r="F4321" s="5" t="inlineStr">
        <is>
          <t>Prezão 4GB (12 dias)</t>
        </is>
      </c>
      <c r="G4321" s="5" t="inlineStr">
        <is>
          <t>claro:prezao-12d-4gb</t>
        </is>
      </c>
      <c r="H4321" s="6" t="n">
        <v>15</v>
      </c>
      <c r="I4321" s="6" t="inlineStr"/>
      <c r="J4321" s="5" t="inlineStr">
        <is>
          <t>recarga Prezão R$15 — validade 12 dias</t>
        </is>
      </c>
      <c r="K4321" s="5" t="inlineStr"/>
      <c r="L4321" s="7" t="n">
        <v>4</v>
      </c>
      <c r="M4321" s="5" t="inlineStr"/>
      <c r="N4321" s="5" t="n">
        <v>12</v>
      </c>
      <c r="O4321" s="5" t="inlineStr"/>
      <c r="P4321" s="5" t="inlineStr"/>
      <c r="Q4321" s="5" t="inlineStr"/>
      <c r="R4321" s="5" t="inlineStr"/>
      <c r="S4321" s="5" t="inlineStr"/>
      <c r="T4321" s="5" t="inlineStr"/>
      <c r="U4321" s="5" t="inlineStr">
        <is>
          <t>https://www.claro.com.br/celular/planos-pre/prezao</t>
        </is>
      </c>
      <c r="V4321" s="5" t="inlineStr">
        <is>
          <t>data/raw/claro_prepaid_SP.json</t>
        </is>
      </c>
    </row>
    <row r="4322">
      <c r="A4322" s="2" t="inlineStr">
        <is>
          <t>2026-09-06</t>
        </is>
      </c>
      <c r="B4322" s="2" t="inlineStr">
        <is>
          <t>2026-09-06T19:39:36</t>
        </is>
      </c>
      <c r="C4322" s="2" t="inlineStr">
        <is>
          <t>claro</t>
        </is>
      </c>
      <c r="D4322" s="2" t="inlineStr">
        <is>
          <t>prepaid</t>
        </is>
      </c>
      <c r="E4322" s="2" t="inlineStr">
        <is>
          <t>SP</t>
        </is>
      </c>
      <c r="F4322" s="2" t="inlineStr">
        <is>
          <t>Prezão 5GB (15 dias)</t>
        </is>
      </c>
      <c r="G4322" s="2" t="inlineStr">
        <is>
          <t>claro:prezao-15d-5gb</t>
        </is>
      </c>
      <c r="H4322" s="3" t="n">
        <v>15</v>
      </c>
      <c r="I4322" s="3" t="inlineStr"/>
      <c r="J4322" s="2" t="inlineStr">
        <is>
          <t>recarga Prezão R$15 — validade 15 dias</t>
        </is>
      </c>
      <c r="K4322" s="2" t="inlineStr"/>
      <c r="L4322" s="4" t="n">
        <v>5</v>
      </c>
      <c r="M4322" s="2" t="inlineStr"/>
      <c r="N4322" s="2" t="n">
        <v>15</v>
      </c>
      <c r="O4322" s="2" t="inlineStr"/>
      <c r="P4322" s="2" t="inlineStr"/>
      <c r="Q4322" s="2" t="inlineStr"/>
      <c r="R4322" s="2" t="inlineStr"/>
      <c r="S4322" s="2" t="inlineStr"/>
      <c r="T4322" s="2" t="inlineStr"/>
      <c r="U4322" s="2" t="inlineStr">
        <is>
          <t>https://www.claro.com.br/celular/planos-pre/prezao</t>
        </is>
      </c>
      <c r="V4322" s="2" t="inlineStr">
        <is>
          <t>data/raw/claro_prepaid_SP.json</t>
        </is>
      </c>
    </row>
    <row r="4323">
      <c r="A4323" s="5" t="inlineStr">
        <is>
          <t>2026-09-06</t>
        </is>
      </c>
      <c r="B4323" s="5" t="inlineStr">
        <is>
          <t>2026-09-06T19:39:36</t>
        </is>
      </c>
      <c r="C4323" s="5" t="inlineStr">
        <is>
          <t>claro</t>
        </is>
      </c>
      <c r="D4323" s="5" t="inlineStr">
        <is>
          <t>prepaid</t>
        </is>
      </c>
      <c r="E4323" s="5" t="inlineStr">
        <is>
          <t>SP</t>
        </is>
      </c>
      <c r="F4323" s="5" t="inlineStr">
        <is>
          <t>Prezão 6GB (20 dias)</t>
        </is>
      </c>
      <c r="G4323" s="5" t="inlineStr">
        <is>
          <t>claro:prezao-20d-6gb</t>
        </is>
      </c>
      <c r="H4323" s="6" t="n">
        <v>20</v>
      </c>
      <c r="I4323" s="6" t="inlineStr"/>
      <c r="J4323" s="5" t="inlineStr">
        <is>
          <t>recarga Prezão R$20 — validade 20 dias</t>
        </is>
      </c>
      <c r="K4323" s="5" t="inlineStr"/>
      <c r="L4323" s="7" t="n">
        <v>6</v>
      </c>
      <c r="M4323" s="5" t="inlineStr"/>
      <c r="N4323" s="5" t="n">
        <v>20</v>
      </c>
      <c r="O4323" s="5" t="inlineStr"/>
      <c r="P4323" s="5" t="inlineStr"/>
      <c r="Q4323" s="5" t="inlineStr"/>
      <c r="R4323" s="5" t="inlineStr"/>
      <c r="S4323" s="5" t="inlineStr"/>
      <c r="T4323" s="5" t="inlineStr"/>
      <c r="U4323" s="5" t="inlineStr">
        <is>
          <t>https://www.claro.com.br/celular/planos-pre/prezao</t>
        </is>
      </c>
      <c r="V4323" s="5" t="inlineStr">
        <is>
          <t>data/raw/claro_prepaid_SP.json</t>
        </is>
      </c>
    </row>
    <row r="4324">
      <c r="A4324" s="2" t="inlineStr">
        <is>
          <t>2026-09-06</t>
        </is>
      </c>
      <c r="B4324" s="2" t="inlineStr">
        <is>
          <t>2026-09-06T19:39:36</t>
        </is>
      </c>
      <c r="C4324" s="2" t="inlineStr">
        <is>
          <t>claro</t>
        </is>
      </c>
      <c r="D4324" s="2" t="inlineStr">
        <is>
          <t>prepaid</t>
        </is>
      </c>
      <c r="E4324" s="2" t="inlineStr">
        <is>
          <t>SP</t>
        </is>
      </c>
      <c r="F4324" s="2" t="inlineStr">
        <is>
          <t>Prezão 8GB (20 dias)</t>
        </is>
      </c>
      <c r="G4324" s="2" t="inlineStr">
        <is>
          <t>claro:prezao-20d-8gb</t>
        </is>
      </c>
      <c r="H4324" s="3" t="n">
        <v>20</v>
      </c>
      <c r="I4324" s="3" t="inlineStr"/>
      <c r="J4324" s="2" t="inlineStr">
        <is>
          <t>recarga Prezão R$20 — validade 20 dias</t>
        </is>
      </c>
      <c r="K4324" s="2" t="inlineStr"/>
      <c r="L4324" s="4" t="n">
        <v>8</v>
      </c>
      <c r="M4324" s="2" t="inlineStr"/>
      <c r="N4324" s="2" t="n">
        <v>20</v>
      </c>
      <c r="O4324" s="2" t="inlineStr"/>
      <c r="P4324" s="2" t="inlineStr"/>
      <c r="Q4324" s="2" t="inlineStr"/>
      <c r="R4324" s="2" t="inlineStr"/>
      <c r="S4324" s="2" t="inlineStr"/>
      <c r="T4324" s="2" t="inlineStr"/>
      <c r="U4324" s="2" t="inlineStr">
        <is>
          <t>https://www.claro.com.br/celular/planos-pre/prezao</t>
        </is>
      </c>
      <c r="V4324" s="2" t="inlineStr">
        <is>
          <t>data/raw/claro_prepaid_SP.json</t>
        </is>
      </c>
    </row>
    <row r="4325">
      <c r="A4325" s="5" t="inlineStr">
        <is>
          <t>2026-09-06</t>
        </is>
      </c>
      <c r="B4325" s="5" t="inlineStr">
        <is>
          <t>2026-09-06T19:39:36</t>
        </is>
      </c>
      <c r="C4325" s="5" t="inlineStr">
        <is>
          <t>claro</t>
        </is>
      </c>
      <c r="D4325" s="5" t="inlineStr">
        <is>
          <t>prepaid</t>
        </is>
      </c>
      <c r="E4325" s="5" t="inlineStr">
        <is>
          <t>SP</t>
        </is>
      </c>
      <c r="F4325" s="5" t="inlineStr">
        <is>
          <t>Prezão 9GB (25 dias)</t>
        </is>
      </c>
      <c r="G4325" s="5" t="inlineStr">
        <is>
          <t>claro:prezao-25d-9gb</t>
        </is>
      </c>
      <c r="H4325" s="6" t="n">
        <v>25</v>
      </c>
      <c r="I4325" s="6" t="inlineStr"/>
      <c r="J4325" s="5" t="inlineStr">
        <is>
          <t>recarga Prezão R$25 — validade 25 dias</t>
        </is>
      </c>
      <c r="K4325" s="5" t="inlineStr"/>
      <c r="L4325" s="7" t="n">
        <v>9</v>
      </c>
      <c r="M4325" s="5" t="inlineStr"/>
      <c r="N4325" s="5" t="n">
        <v>25</v>
      </c>
      <c r="O4325" s="5" t="inlineStr"/>
      <c r="P4325" s="5" t="inlineStr"/>
      <c r="Q4325" s="5" t="inlineStr"/>
      <c r="R4325" s="5" t="inlineStr"/>
      <c r="S4325" s="5" t="inlineStr"/>
      <c r="T4325" s="5" t="inlineStr"/>
      <c r="U4325" s="5" t="inlineStr">
        <is>
          <t>https://www.claro.com.br/celular/planos-pre/prezao</t>
        </is>
      </c>
      <c r="V4325" s="5" t="inlineStr">
        <is>
          <t>data/raw/claro_prepaid_SP.json</t>
        </is>
      </c>
    </row>
    <row r="4326">
      <c r="A4326" s="2" t="inlineStr">
        <is>
          <t>2026-09-06</t>
        </is>
      </c>
      <c r="B4326" s="2" t="inlineStr">
        <is>
          <t>2026-09-06T19:39:36</t>
        </is>
      </c>
      <c r="C4326" s="2" t="inlineStr">
        <is>
          <t>tim</t>
        </is>
      </c>
      <c r="D4326" s="2" t="inlineStr">
        <is>
          <t>control</t>
        </is>
      </c>
      <c r="E4326" s="2" t="inlineStr">
        <is>
          <t>SP</t>
        </is>
      </c>
      <c r="F4326" s="2" t="inlineStr">
        <is>
          <t>TIM Controle 45GB</t>
        </is>
      </c>
      <c r="G4326" s="2" t="inlineStr">
        <is>
          <t>tim:182766</t>
        </is>
      </c>
      <c r="H4326" s="3" t="n">
        <v>49.99</v>
      </c>
      <c r="I4326" s="3" t="inlineStr"/>
      <c r="J4326" s="2" t="inlineStr"/>
      <c r="K4326" s="2" t="inlineStr"/>
      <c r="L4326" s="4" t="n">
        <v>45</v>
      </c>
      <c r="M4326" s="2" t="inlineStr"/>
      <c r="N4326" s="2" t="inlineStr"/>
      <c r="O4326" s="2" t="inlineStr"/>
      <c r="P4326" s="2" t="inlineStr"/>
      <c r="Q4326" s="2" t="inlineStr"/>
      <c r="R4326" s="2" t="inlineStr"/>
      <c r="S4326" s="2" t="inlineStr"/>
      <c r="T4326" s="2" t="inlineStr"/>
      <c r="U4326" s="2" t="inlineStr">
        <is>
          <t>https://www.tim.com.br/sp/para-voce/planos/controle</t>
        </is>
      </c>
      <c r="V4326" s="2" t="inlineStr">
        <is>
          <t>data/raw/tim_control_SP.html</t>
        </is>
      </c>
    </row>
    <row r="4327">
      <c r="A4327" s="5" t="inlineStr">
        <is>
          <t>2026-09-06</t>
        </is>
      </c>
      <c r="B4327" s="5" t="inlineStr">
        <is>
          <t>2026-09-06T19:39:36</t>
        </is>
      </c>
      <c r="C4327" s="5" t="inlineStr">
        <is>
          <t>tim</t>
        </is>
      </c>
      <c r="D4327" s="5" t="inlineStr">
        <is>
          <t>control</t>
        </is>
      </c>
      <c r="E4327" s="5" t="inlineStr">
        <is>
          <t>SP</t>
        </is>
      </c>
      <c r="F4327" s="5" t="inlineStr">
        <is>
          <t>TIM Controle Light Express 45GB</t>
        </is>
      </c>
      <c r="G4327" s="5" t="inlineStr">
        <is>
          <t>tim:167726</t>
        </is>
      </c>
      <c r="H4327" s="6" t="n">
        <v>60.99</v>
      </c>
      <c r="I4327" s="6" t="inlineStr"/>
      <c r="J4327" s="5" t="inlineStr"/>
      <c r="K4327" s="5" t="inlineStr"/>
      <c r="L4327" s="7" t="n">
        <v>45</v>
      </c>
      <c r="M4327" s="5" t="inlineStr"/>
      <c r="N4327" s="5" t="inlineStr"/>
      <c r="O4327" s="5" t="inlineStr"/>
      <c r="P4327" s="5" t="inlineStr"/>
      <c r="Q4327" s="5" t="inlineStr"/>
      <c r="R4327" s="5" t="inlineStr"/>
      <c r="S4327" s="5" t="inlineStr"/>
      <c r="T4327" s="5" t="inlineStr"/>
      <c r="U4327" s="5" t="inlineStr">
        <is>
          <t>https://www.tim.com.br/sp/para-voce/planos/controle</t>
        </is>
      </c>
      <c r="V4327" s="5" t="inlineStr">
        <is>
          <t>data/raw/tim_control_SP.html</t>
        </is>
      </c>
    </row>
    <row r="4328">
      <c r="A4328" s="2" t="inlineStr">
        <is>
          <t>2026-09-06</t>
        </is>
      </c>
      <c r="B4328" s="2" t="inlineStr">
        <is>
          <t>2026-09-06T19:39:36</t>
        </is>
      </c>
      <c r="C4328" s="2" t="inlineStr">
        <is>
          <t>tim</t>
        </is>
      </c>
      <c r="D4328" s="2" t="inlineStr">
        <is>
          <t>control</t>
        </is>
      </c>
      <c r="E4328" s="2" t="inlineStr">
        <is>
          <t>SP</t>
        </is>
      </c>
      <c r="F4328" s="2" t="inlineStr">
        <is>
          <t>TIM Controle Premium 55GB</t>
        </is>
      </c>
      <c r="G4328" s="2" t="inlineStr">
        <is>
          <t>tim:180756</t>
        </is>
      </c>
      <c r="H4328" s="3" t="n">
        <v>69.98999999999999</v>
      </c>
      <c r="I4328" s="3" t="inlineStr"/>
      <c r="J4328" s="2" t="inlineStr"/>
      <c r="K4328" s="2" t="inlineStr"/>
      <c r="L4328" s="4" t="n">
        <v>55</v>
      </c>
      <c r="M4328" s="2" t="inlineStr"/>
      <c r="N4328" s="2" t="inlineStr"/>
      <c r="O4328" s="2" t="inlineStr"/>
      <c r="P4328" s="2" t="inlineStr"/>
      <c r="Q4328" s="2" t="inlineStr"/>
      <c r="R4328" s="2" t="inlineStr"/>
      <c r="S4328" s="2" t="inlineStr"/>
      <c r="T4328" s="2" t="inlineStr"/>
      <c r="U4328" s="2" t="inlineStr">
        <is>
          <t>https://www.tim.com.br/sp/para-voce/planos/controle</t>
        </is>
      </c>
      <c r="V4328" s="2" t="inlineStr">
        <is>
          <t>data/raw/tim_control_SP.html</t>
        </is>
      </c>
    </row>
    <row r="4329">
      <c r="A4329" s="5" t="inlineStr">
        <is>
          <t>2026-09-06</t>
        </is>
      </c>
      <c r="B4329" s="5" t="inlineStr">
        <is>
          <t>2026-09-06T19:39:36</t>
        </is>
      </c>
      <c r="C4329" s="5" t="inlineStr">
        <is>
          <t>tim</t>
        </is>
      </c>
      <c r="D4329" s="5" t="inlineStr">
        <is>
          <t>control</t>
        </is>
      </c>
      <c r="E4329" s="5" t="inlineStr">
        <is>
          <t>SP</t>
        </is>
      </c>
      <c r="F4329" s="5" t="inlineStr">
        <is>
          <t>TIM Controle Pro Express 46GB</t>
        </is>
      </c>
      <c r="G4329" s="5" t="inlineStr">
        <is>
          <t>tim:167731</t>
        </is>
      </c>
      <c r="H4329" s="6" t="n">
        <v>64.98999999999999</v>
      </c>
      <c r="I4329" s="6" t="inlineStr"/>
      <c r="J4329" s="5" t="inlineStr"/>
      <c r="K4329" s="5" t="inlineStr"/>
      <c r="L4329" s="7" t="n">
        <v>46</v>
      </c>
      <c r="M4329" s="5" t="inlineStr"/>
      <c r="N4329" s="5" t="inlineStr"/>
      <c r="O4329" s="5" t="inlineStr"/>
      <c r="P4329" s="5" t="inlineStr"/>
      <c r="Q4329" s="5" t="inlineStr"/>
      <c r="R4329" s="5" t="inlineStr"/>
      <c r="S4329" s="5" t="inlineStr"/>
      <c r="T4329" s="5" t="inlineStr"/>
      <c r="U4329" s="5" t="inlineStr">
        <is>
          <t>https://www.tim.com.br/sp/para-voce/planos/controle</t>
        </is>
      </c>
      <c r="V4329" s="5" t="inlineStr">
        <is>
          <t>data/raw/tim_control_SP.html</t>
        </is>
      </c>
    </row>
    <row r="4330">
      <c r="A4330" s="2" t="inlineStr">
        <is>
          <t>2026-09-06</t>
        </is>
      </c>
      <c r="B4330" s="2" t="inlineStr">
        <is>
          <t>2026-09-06T19:39:36</t>
        </is>
      </c>
      <c r="C4330" s="2" t="inlineStr">
        <is>
          <t>tim</t>
        </is>
      </c>
      <c r="D4330" s="2" t="inlineStr">
        <is>
          <t>control</t>
        </is>
      </c>
      <c r="E4330" s="2" t="inlineStr">
        <is>
          <t>SP</t>
        </is>
      </c>
      <c r="F4330" s="2" t="inlineStr">
        <is>
          <t>TIM Controle Redes Sociais 46GB</t>
        </is>
      </c>
      <c r="G4330" s="2" t="inlineStr">
        <is>
          <t>tim:167031</t>
        </is>
      </c>
      <c r="H4330" s="3" t="n">
        <v>59.99</v>
      </c>
      <c r="I4330" s="3" t="inlineStr"/>
      <c r="J4330" s="2" t="inlineStr"/>
      <c r="K4330" s="2" t="inlineStr"/>
      <c r="L4330" s="4" t="n">
        <v>46</v>
      </c>
      <c r="M4330" s="2" t="inlineStr"/>
      <c r="N4330" s="2" t="inlineStr"/>
      <c r="O4330" s="2" t="inlineStr"/>
      <c r="P4330" s="2" t="inlineStr"/>
      <c r="Q4330" s="2" t="inlineStr"/>
      <c r="R4330" s="2" t="inlineStr"/>
      <c r="S4330" s="2" t="inlineStr"/>
      <c r="T4330" s="2" t="inlineStr"/>
      <c r="U4330" s="2" t="inlineStr">
        <is>
          <t>https://www.tim.com.br/sp/para-voce/planos/controle</t>
        </is>
      </c>
      <c r="V4330" s="2" t="inlineStr">
        <is>
          <t>data/raw/tim_control_SP.html</t>
        </is>
      </c>
    </row>
    <row r="4331">
      <c r="A4331" s="5" t="inlineStr">
        <is>
          <t>2026-09-06</t>
        </is>
      </c>
      <c r="B4331" s="5" t="inlineStr">
        <is>
          <t>2026-09-06T19:39:36</t>
        </is>
      </c>
      <c r="C4331" s="5" t="inlineStr">
        <is>
          <t>tim</t>
        </is>
      </c>
      <c r="D4331" s="5" t="inlineStr">
        <is>
          <t>fit</t>
        </is>
      </c>
      <c r="E4331" s="5" t="inlineStr">
        <is>
          <t>SP</t>
        </is>
      </c>
      <c r="F4331" s="5" t="inlineStr">
        <is>
          <t>TIM Controle Fit Anual 1.0</t>
        </is>
      </c>
      <c r="G4331" s="5" t="inlineStr">
        <is>
          <t>tim:TIM202600000306</t>
        </is>
      </c>
      <c r="H4331" s="6" t="n">
        <v>20</v>
      </c>
      <c r="I4331" s="6" t="inlineStr"/>
      <c r="J4331" s="5" t="inlineStr">
        <is>
          <t>plano anual 12x no cartão de crédito; a etiqueta TIM informa 'sem prazo de permanência'</t>
        </is>
      </c>
      <c r="K4331" s="5" t="inlineStr">
        <is>
          <t>credit_card</t>
        </is>
      </c>
      <c r="L4331" s="7" t="n">
        <v>25</v>
      </c>
      <c r="M4331" s="5" t="inlineStr"/>
      <c r="N4331" s="5" t="inlineStr"/>
      <c r="O4331" s="5" t="inlineStr"/>
      <c r="P4331" s="5" t="inlineStr"/>
      <c r="Q4331" s="5" t="inlineStr"/>
      <c r="R4331" s="5" t="inlineStr"/>
      <c r="S4331" s="5" t="n">
        <v>12</v>
      </c>
      <c r="T4331" s="5" t="inlineStr"/>
      <c r="U4331" s="5" t="inlineStr">
        <is>
          <t>https://www.tim.com.br/sp/para-voce/planos/controle</t>
        </is>
      </c>
      <c r="V4331" s="5" t="inlineStr">
        <is>
          <t>data/raw/tim_fit_SP.html</t>
        </is>
      </c>
    </row>
    <row r="4332">
      <c r="A4332" s="2" t="inlineStr">
        <is>
          <t>2026-09-06</t>
        </is>
      </c>
      <c r="B4332" s="2" t="inlineStr">
        <is>
          <t>2026-09-06T19:39:36</t>
        </is>
      </c>
      <c r="C4332" s="2" t="inlineStr">
        <is>
          <t>tim</t>
        </is>
      </c>
      <c r="D4332" s="2" t="inlineStr">
        <is>
          <t>fit</t>
        </is>
      </c>
      <c r="E4332" s="2" t="inlineStr">
        <is>
          <t>SP</t>
        </is>
      </c>
      <c r="F4332" s="2" t="inlineStr">
        <is>
          <t>TIM Controle Fit Anual 2.0</t>
        </is>
      </c>
      <c r="G4332" s="2" t="inlineStr">
        <is>
          <t>tim:TIM202600000271</t>
        </is>
      </c>
      <c r="H4332" s="3" t="n">
        <v>30</v>
      </c>
      <c r="I4332" s="3" t="inlineStr"/>
      <c r="J4332" s="2" t="inlineStr">
        <is>
          <t>plano anual 12x no cartão de crédito; a etiqueta TIM informa 'sem prazo de permanência'</t>
        </is>
      </c>
      <c r="K4332" s="2" t="inlineStr">
        <is>
          <t>credit_card</t>
        </is>
      </c>
      <c r="L4332" s="4" t="n">
        <v>35</v>
      </c>
      <c r="M4332" s="2" t="inlineStr"/>
      <c r="N4332" s="2" t="inlineStr"/>
      <c r="O4332" s="2" t="inlineStr"/>
      <c r="P4332" s="2" t="inlineStr"/>
      <c r="Q4332" s="2" t="inlineStr"/>
      <c r="R4332" s="2" t="inlineStr"/>
      <c r="S4332" s="2" t="n">
        <v>12</v>
      </c>
      <c r="T4332" s="2" t="inlineStr"/>
      <c r="U4332" s="2" t="inlineStr">
        <is>
          <t>https://www.tim.com.br/sp/para-voce/planos/controle</t>
        </is>
      </c>
      <c r="V4332" s="2" t="inlineStr">
        <is>
          <t>data/raw/tim_fit_SP.html</t>
        </is>
      </c>
    </row>
    <row r="4333">
      <c r="A4333" s="5" t="inlineStr">
        <is>
          <t>2026-09-06</t>
        </is>
      </c>
      <c r="B4333" s="5" t="inlineStr">
        <is>
          <t>2026-09-06T19:39:36</t>
        </is>
      </c>
      <c r="C4333" s="5" t="inlineStr">
        <is>
          <t>tim</t>
        </is>
      </c>
      <c r="D4333" s="5" t="inlineStr">
        <is>
          <t>fit</t>
        </is>
      </c>
      <c r="E4333" s="5" t="inlineStr">
        <is>
          <t>SP</t>
        </is>
      </c>
      <c r="F4333" s="5" t="inlineStr">
        <is>
          <t>TIM Controle Fit Mensal 1.0</t>
        </is>
      </c>
      <c r="G4333" s="5" t="inlineStr">
        <is>
          <t>tim:TIM202600000270</t>
        </is>
      </c>
      <c r="H4333" s="6" t="n">
        <v>20</v>
      </c>
      <c r="I4333" s="6" t="inlineStr"/>
      <c r="J4333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333" s="5" t="inlineStr"/>
      <c r="L4333" s="7" t="n">
        <v>20</v>
      </c>
      <c r="M4333" s="5" t="inlineStr"/>
      <c r="N4333" s="5" t="inlineStr"/>
      <c r="O4333" s="5" t="inlineStr"/>
      <c r="P4333" s="5" t="inlineStr"/>
      <c r="Q4333" s="5" t="inlineStr"/>
      <c r="R4333" s="5" t="inlineStr"/>
      <c r="S4333" s="5" t="inlineStr"/>
      <c r="T4333" s="5" t="inlineStr"/>
      <c r="U4333" s="5" t="inlineStr">
        <is>
          <t>https://www.tim.com.br/sp/para-voce/planos/controle</t>
        </is>
      </c>
      <c r="V4333" s="5" t="inlineStr">
        <is>
          <t>data/raw/tim_fit_SP.html</t>
        </is>
      </c>
    </row>
    <row r="4334">
      <c r="A4334" s="2" t="inlineStr">
        <is>
          <t>2026-09-06</t>
        </is>
      </c>
      <c r="B4334" s="2" t="inlineStr">
        <is>
          <t>2026-09-06T19:39:36</t>
        </is>
      </c>
      <c r="C4334" s="2" t="inlineStr">
        <is>
          <t>tim</t>
        </is>
      </c>
      <c r="D4334" s="2" t="inlineStr">
        <is>
          <t>fit</t>
        </is>
      </c>
      <c r="E4334" s="2" t="inlineStr">
        <is>
          <t>SP</t>
        </is>
      </c>
      <c r="F4334" s="2" t="inlineStr">
        <is>
          <t>TIM Controle Fit Mensal 2.0</t>
        </is>
      </c>
      <c r="G4334" s="2" t="inlineStr">
        <is>
          <t>tim:TIM202600000305</t>
        </is>
      </c>
      <c r="H4334" s="3" t="n">
        <v>45</v>
      </c>
      <c r="I4334" s="3" t="inlineStr"/>
      <c r="J4334" s="2" t="inlineStr">
        <is>
          <t>plano mensal, sem prazo de permanência; a etiqueta TIM informa 'sem prazo de permanência'</t>
        </is>
      </c>
      <c r="K4334" s="2" t="inlineStr"/>
      <c r="L4334" s="4" t="n">
        <v>35</v>
      </c>
      <c r="M4334" s="2" t="inlineStr"/>
      <c r="N4334" s="2" t="inlineStr"/>
      <c r="O4334" s="2" t="inlineStr"/>
      <c r="P4334" s="2" t="inlineStr"/>
      <c r="Q4334" s="2" t="inlineStr"/>
      <c r="R4334" s="2" t="inlineStr"/>
      <c r="S4334" s="2" t="inlineStr"/>
      <c r="T4334" s="2" t="inlineStr"/>
      <c r="U4334" s="2" t="inlineStr">
        <is>
          <t>https://www.tim.com.br/sp/para-voce/planos/controle</t>
        </is>
      </c>
      <c r="V4334" s="2" t="inlineStr">
        <is>
          <t>data/raw/tim_fit_SP.html</t>
        </is>
      </c>
    </row>
    <row r="4335">
      <c r="A4335" s="5" t="inlineStr">
        <is>
          <t>2026-09-06</t>
        </is>
      </c>
      <c r="B4335" s="5" t="inlineStr">
        <is>
          <t>2026-09-06T19:39:36</t>
        </is>
      </c>
      <c r="C4335" s="5" t="inlineStr">
        <is>
          <t>tim</t>
        </is>
      </c>
      <c r="D4335" s="5" t="inlineStr">
        <is>
          <t>postpaid</t>
        </is>
      </c>
      <c r="E4335" s="5" t="inlineStr">
        <is>
          <t>SP</t>
        </is>
      </c>
      <c r="F4335" s="5" t="inlineStr">
        <is>
          <t>TIM Black 70GB</t>
        </is>
      </c>
      <c r="G4335" s="5" t="inlineStr">
        <is>
          <t>tim:54206</t>
        </is>
      </c>
      <c r="H4335" s="6" t="n">
        <v>129.99</v>
      </c>
      <c r="I4335" s="6" t="inlineStr"/>
      <c r="J4335" s="5" t="inlineStr"/>
      <c r="K4335" s="5" t="inlineStr">
        <is>
          <t>bill</t>
        </is>
      </c>
      <c r="L4335" s="7" t="n">
        <v>70</v>
      </c>
      <c r="M4335" s="5" t="inlineStr"/>
      <c r="N4335" s="5" t="inlineStr"/>
      <c r="O4335" s="5" t="inlineStr"/>
      <c r="P4335" s="5" t="inlineStr"/>
      <c r="Q4335" s="5" t="inlineStr"/>
      <c r="R4335" s="5" t="inlineStr"/>
      <c r="S4335" s="5" t="inlineStr"/>
      <c r="T4335" s="5" t="inlineStr"/>
      <c r="U4335" s="5" t="inlineStr">
        <is>
          <t>https://www.tim.com.br/sp/para-voce/planos/pos-pago/tim-black</t>
        </is>
      </c>
      <c r="V4335" s="5" t="inlineStr">
        <is>
          <t>data/raw/tim_postpaid_SP.html</t>
        </is>
      </c>
    </row>
    <row r="4336">
      <c r="A4336" s="2" t="inlineStr">
        <is>
          <t>2026-09-06</t>
        </is>
      </c>
      <c r="B4336" s="2" t="inlineStr">
        <is>
          <t>2026-09-06T19:39:36</t>
        </is>
      </c>
      <c r="C4336" s="2" t="inlineStr">
        <is>
          <t>tim</t>
        </is>
      </c>
      <c r="D4336" s="2" t="inlineStr">
        <is>
          <t>postpaid</t>
        </is>
      </c>
      <c r="E4336" s="2" t="inlineStr">
        <is>
          <t>SP</t>
        </is>
      </c>
      <c r="F4336" s="2" t="inlineStr">
        <is>
          <t>TIM Black A Express 67GB</t>
        </is>
      </c>
      <c r="G4336" s="2" t="inlineStr">
        <is>
          <t>tim:55121</t>
        </is>
      </c>
      <c r="H4336" s="3" t="n">
        <v>119.99</v>
      </c>
      <c r="I4336" s="3" t="inlineStr"/>
      <c r="J4336" s="2" t="inlineStr"/>
      <c r="K4336" s="2" t="inlineStr">
        <is>
          <t>credit_card</t>
        </is>
      </c>
      <c r="L4336" s="4" t="n">
        <v>67</v>
      </c>
      <c r="M4336" s="2" t="inlineStr"/>
      <c r="N4336" s="2" t="inlineStr"/>
      <c r="O4336" s="2" t="inlineStr"/>
      <c r="P4336" s="2" t="inlineStr"/>
      <c r="Q4336" s="2" t="inlineStr"/>
      <c r="R4336" s="2" t="inlineStr"/>
      <c r="S4336" s="2" t="inlineStr"/>
      <c r="T4336" s="2" t="inlineStr"/>
      <c r="U4336" s="2" t="inlineStr">
        <is>
          <t>https://www.tim.com.br/sp/para-voce/planos/pos-pago/tim-black</t>
        </is>
      </c>
      <c r="V4336" s="2" t="inlineStr">
        <is>
          <t>data/raw/tim_postpaid_SP.html</t>
        </is>
      </c>
    </row>
    <row r="4337">
      <c r="A4337" s="5" t="inlineStr">
        <is>
          <t>2026-09-06</t>
        </is>
      </c>
      <c r="B4337" s="5" t="inlineStr">
        <is>
          <t>2026-09-06T19:39:36</t>
        </is>
      </c>
      <c r="C4337" s="5" t="inlineStr">
        <is>
          <t>tim</t>
        </is>
      </c>
      <c r="D4337" s="5" t="inlineStr">
        <is>
          <t>postpaid</t>
        </is>
      </c>
      <c r="E4337" s="5" t="inlineStr">
        <is>
          <t>SP</t>
        </is>
      </c>
      <c r="F4337" s="5" t="inlineStr">
        <is>
          <t>TIM Black B Express 82GB</t>
        </is>
      </c>
      <c r="G4337" s="5" t="inlineStr">
        <is>
          <t>tim:52146</t>
        </is>
      </c>
      <c r="H4337" s="6" t="n">
        <v>144.99</v>
      </c>
      <c r="I4337" s="6" t="inlineStr"/>
      <c r="J4337" s="5" t="inlineStr"/>
      <c r="K4337" s="5" t="inlineStr">
        <is>
          <t>credit_card</t>
        </is>
      </c>
      <c r="L4337" s="7" t="n">
        <v>82</v>
      </c>
      <c r="M4337" s="5" t="inlineStr"/>
      <c r="N4337" s="5" t="inlineStr"/>
      <c r="O4337" s="5" t="inlineStr"/>
      <c r="P4337" s="5" t="inlineStr"/>
      <c r="Q4337" s="5" t="inlineStr"/>
      <c r="R4337" s="5" t="inlineStr"/>
      <c r="S4337" s="5" t="inlineStr"/>
      <c r="T4337" s="5" t="inlineStr"/>
      <c r="U4337" s="5" t="inlineStr">
        <is>
          <t>https://www.tim.com.br/sp/para-voce/planos/pos-pago/tim-black</t>
        </is>
      </c>
      <c r="V4337" s="5" t="inlineStr">
        <is>
          <t>data/raw/tim_postpaid_SP.html</t>
        </is>
      </c>
    </row>
    <row r="4338">
      <c r="A4338" s="2" t="inlineStr">
        <is>
          <t>2026-09-06</t>
        </is>
      </c>
      <c r="B4338" s="2" t="inlineStr">
        <is>
          <t>2026-09-06T19:39:36</t>
        </is>
      </c>
      <c r="C4338" s="2" t="inlineStr">
        <is>
          <t>tim</t>
        </is>
      </c>
      <c r="D4338" s="2" t="inlineStr">
        <is>
          <t>postpaid</t>
        </is>
      </c>
      <c r="E4338" s="2" t="inlineStr">
        <is>
          <t>SP</t>
        </is>
      </c>
      <c r="F4338" s="2" t="inlineStr">
        <is>
          <t>TIM Black C Express 107GB</t>
        </is>
      </c>
      <c r="G4338" s="2" t="inlineStr">
        <is>
          <t>tim:52151</t>
        </is>
      </c>
      <c r="H4338" s="3" t="n">
        <v>164.99</v>
      </c>
      <c r="I4338" s="3" t="inlineStr"/>
      <c r="J4338" s="2" t="inlineStr"/>
      <c r="K4338" s="2" t="inlineStr">
        <is>
          <t>credit_card</t>
        </is>
      </c>
      <c r="L4338" s="4" t="n">
        <v>107</v>
      </c>
      <c r="M4338" s="2" t="inlineStr"/>
      <c r="N4338" s="2" t="inlineStr"/>
      <c r="O4338" s="2" t="inlineStr"/>
      <c r="P4338" s="2" t="inlineStr"/>
      <c r="Q4338" s="2" t="inlineStr"/>
      <c r="R4338" s="2" t="inlineStr"/>
      <c r="S4338" s="2" t="inlineStr"/>
      <c r="T4338" s="2" t="inlineStr"/>
      <c r="U4338" s="2" t="inlineStr">
        <is>
          <t>https://www.tim.com.br/sp/para-voce/planos/pos-pago/tim-black</t>
        </is>
      </c>
      <c r="V4338" s="2" t="inlineStr">
        <is>
          <t>data/raw/tim_postpaid_SP.html</t>
        </is>
      </c>
    </row>
    <row r="4339">
      <c r="A4339" s="5" t="inlineStr">
        <is>
          <t>2026-09-06</t>
        </is>
      </c>
      <c r="B4339" s="5" t="inlineStr">
        <is>
          <t>2026-09-06T19:39:36</t>
        </is>
      </c>
      <c r="C4339" s="5" t="inlineStr">
        <is>
          <t>tim</t>
        </is>
      </c>
      <c r="D4339" s="5" t="inlineStr">
        <is>
          <t>postpaid</t>
        </is>
      </c>
      <c r="E4339" s="5" t="inlineStr">
        <is>
          <t>SP</t>
        </is>
      </c>
      <c r="F4339" s="5" t="inlineStr">
        <is>
          <t>TIM Black Plus 80GB</t>
        </is>
      </c>
      <c r="G4339" s="5" t="inlineStr">
        <is>
          <t>tim:54256</t>
        </is>
      </c>
      <c r="H4339" s="6" t="n">
        <v>149.99</v>
      </c>
      <c r="I4339" s="6" t="inlineStr"/>
      <c r="J4339" s="5" t="inlineStr"/>
      <c r="K4339" s="5" t="inlineStr">
        <is>
          <t>bill</t>
        </is>
      </c>
      <c r="L4339" s="7" t="n">
        <v>80</v>
      </c>
      <c r="M4339" s="5" t="inlineStr"/>
      <c r="N4339" s="5" t="inlineStr"/>
      <c r="O4339" s="5" t="inlineStr"/>
      <c r="P4339" s="5" t="inlineStr"/>
      <c r="Q4339" s="5" t="inlineStr"/>
      <c r="R4339" s="5" t="inlineStr"/>
      <c r="S4339" s="5" t="inlineStr"/>
      <c r="T4339" s="5" t="inlineStr"/>
      <c r="U4339" s="5" t="inlineStr">
        <is>
          <t>https://www.tim.com.br/sp/para-voce/planos/pos-pago/tim-black</t>
        </is>
      </c>
      <c r="V4339" s="5" t="inlineStr">
        <is>
          <t>data/raw/tim_postpaid_SP.html</t>
        </is>
      </c>
    </row>
    <row r="4340">
      <c r="A4340" s="2" t="inlineStr">
        <is>
          <t>2026-09-06</t>
        </is>
      </c>
      <c r="B4340" s="2" t="inlineStr">
        <is>
          <t>2026-09-06T19:39:36</t>
        </is>
      </c>
      <c r="C4340" s="2" t="inlineStr">
        <is>
          <t>tim</t>
        </is>
      </c>
      <c r="D4340" s="2" t="inlineStr">
        <is>
          <t>postpaid</t>
        </is>
      </c>
      <c r="E4340" s="2" t="inlineStr">
        <is>
          <t>SP</t>
        </is>
      </c>
      <c r="F4340" s="2" t="inlineStr">
        <is>
          <t>TIM Black Premium 110GB</t>
        </is>
      </c>
      <c r="G4340" s="2" t="inlineStr">
        <is>
          <t>tim:54261</t>
        </is>
      </c>
      <c r="H4340" s="3" t="n">
        <v>159.99</v>
      </c>
      <c r="I4340" s="3" t="inlineStr"/>
      <c r="J4340" s="2" t="inlineStr"/>
      <c r="K4340" s="2" t="inlineStr">
        <is>
          <t>bill</t>
        </is>
      </c>
      <c r="L4340" s="4" t="n">
        <v>110</v>
      </c>
      <c r="M4340" s="2" t="inlineStr"/>
      <c r="N4340" s="2" t="inlineStr"/>
      <c r="O4340" s="2" t="inlineStr"/>
      <c r="P4340" s="2" t="inlineStr"/>
      <c r="Q4340" s="2" t="inlineStr"/>
      <c r="R4340" s="2" t="inlineStr"/>
      <c r="S4340" s="2" t="inlineStr"/>
      <c r="T4340" s="2" t="inlineStr"/>
      <c r="U4340" s="2" t="inlineStr">
        <is>
          <t>https://www.tim.com.br/sp/para-voce/planos/pos-pago/tim-black</t>
        </is>
      </c>
      <c r="V4340" s="2" t="inlineStr">
        <is>
          <t>data/raw/tim_postpaid_SP.html</t>
        </is>
      </c>
    </row>
    <row r="4341">
      <c r="A4341" s="5" t="inlineStr">
        <is>
          <t>2026-09-06</t>
        </is>
      </c>
      <c r="B4341" s="5" t="inlineStr">
        <is>
          <t>2026-09-06T19:39:36</t>
        </is>
      </c>
      <c r="C4341" s="5" t="inlineStr">
        <is>
          <t>tim</t>
        </is>
      </c>
      <c r="D4341" s="5" t="inlineStr">
        <is>
          <t>prepaid</t>
        </is>
      </c>
      <c r="E4341" s="5" t="inlineStr">
        <is>
          <t>SP</t>
        </is>
      </c>
      <c r="F4341" s="5" t="inlineStr">
        <is>
          <t>TIM Pré XIP Plus 16GB</t>
        </is>
      </c>
      <c r="G4341" s="5" t="inlineStr">
        <is>
          <t>tim:106306</t>
        </is>
      </c>
      <c r="H4341" s="6" t="n">
        <v>30</v>
      </c>
      <c r="I4341" s="6" t="inlineStr"/>
      <c r="J4341" s="5" t="inlineStr"/>
      <c r="K4341" s="5" t="inlineStr"/>
      <c r="L4341" s="7" t="n">
        <v>16</v>
      </c>
      <c r="M4341" s="5" t="inlineStr"/>
      <c r="N4341" s="5" t="n">
        <v>30</v>
      </c>
      <c r="O4341" s="5" t="inlineStr"/>
      <c r="P4341" s="5" t="inlineStr"/>
      <c r="Q4341" s="5" t="inlineStr"/>
      <c r="R4341" s="5" t="inlineStr"/>
      <c r="S4341" s="5" t="inlineStr"/>
      <c r="T4341" s="5" t="inlineStr"/>
      <c r="U4341" s="5" t="inlineStr">
        <is>
          <t>https://www.tim.com.br/sp/para-voce/planos/pre-pago</t>
        </is>
      </c>
      <c r="V4341" s="5" t="inlineStr">
        <is>
          <t>data/raw/tim_prepaid_SP.html</t>
        </is>
      </c>
    </row>
    <row r="4342">
      <c r="A4342" s="2" t="inlineStr">
        <is>
          <t>2026-09-06</t>
        </is>
      </c>
      <c r="B4342" s="2" t="inlineStr">
        <is>
          <t>2026-09-06T19:39:36</t>
        </is>
      </c>
      <c r="C4342" s="2" t="inlineStr">
        <is>
          <t>tim</t>
        </is>
      </c>
      <c r="D4342" s="2" t="inlineStr">
        <is>
          <t>prepaid</t>
        </is>
      </c>
      <c r="E4342" s="2" t="inlineStr">
        <is>
          <t>SP</t>
        </is>
      </c>
      <c r="F4342" s="2" t="inlineStr">
        <is>
          <t>TIM Pré XIP Plus 6GB</t>
        </is>
      </c>
      <c r="G4342" s="2" t="inlineStr">
        <is>
          <t>tim:59906</t>
        </is>
      </c>
      <c r="H4342" s="3" t="n">
        <v>20</v>
      </c>
      <c r="I4342" s="3" t="inlineStr"/>
      <c r="J4342" s="2" t="inlineStr"/>
      <c r="K4342" s="2" t="inlineStr"/>
      <c r="L4342" s="4" t="n">
        <v>6</v>
      </c>
      <c r="M4342" s="2" t="inlineStr"/>
      <c r="N4342" s="2" t="n">
        <v>17</v>
      </c>
      <c r="O4342" s="2" t="inlineStr"/>
      <c r="P4342" s="2" t="inlineStr"/>
      <c r="Q4342" s="2" t="inlineStr"/>
      <c r="R4342" s="2" t="inlineStr"/>
      <c r="S4342" s="2" t="inlineStr"/>
      <c r="T4342" s="2" t="inlineStr"/>
      <c r="U4342" s="2" t="inlineStr">
        <is>
          <t>https://www.tim.com.br/sp/para-voce/planos/pre-pago</t>
        </is>
      </c>
      <c r="V4342" s="2" t="inlineStr">
        <is>
          <t>data/raw/tim_prepaid_SP.html</t>
        </is>
      </c>
    </row>
    <row r="4343">
      <c r="A4343" s="5" t="inlineStr">
        <is>
          <t>2026-09-06</t>
        </is>
      </c>
      <c r="B4343" s="5" t="inlineStr">
        <is>
          <t>2026-09-06T19:39:36</t>
        </is>
      </c>
      <c r="C4343" s="5" t="inlineStr">
        <is>
          <t>tim</t>
        </is>
      </c>
      <c r="D4343" s="5" t="inlineStr">
        <is>
          <t>prepaid</t>
        </is>
      </c>
      <c r="E4343" s="5" t="inlineStr">
        <is>
          <t>SP</t>
        </is>
      </c>
      <c r="F4343" s="5" t="inlineStr">
        <is>
          <t>TIM Pré XIP Plus 8GB</t>
        </is>
      </c>
      <c r="G4343" s="5" t="inlineStr">
        <is>
          <t>tim:59901</t>
        </is>
      </c>
      <c r="H4343" s="6" t="n">
        <v>25</v>
      </c>
      <c r="I4343" s="6" t="inlineStr"/>
      <c r="J4343" s="5" t="inlineStr"/>
      <c r="K4343" s="5" t="inlineStr"/>
      <c r="L4343" s="7" t="n">
        <v>8</v>
      </c>
      <c r="M4343" s="5" t="inlineStr"/>
      <c r="N4343" s="5" t="n">
        <v>22</v>
      </c>
      <c r="O4343" s="5" t="inlineStr"/>
      <c r="P4343" s="5" t="inlineStr"/>
      <c r="Q4343" s="5" t="inlineStr"/>
      <c r="R4343" s="5" t="inlineStr"/>
      <c r="S4343" s="5" t="inlineStr"/>
      <c r="T4343" s="5" t="inlineStr"/>
      <c r="U4343" s="5" t="inlineStr">
        <is>
          <t>https://www.tim.com.br/sp/para-voce/planos/pre-pago</t>
        </is>
      </c>
      <c r="V4343" s="5" t="inlineStr">
        <is>
          <t>data/raw/tim_prepaid_SP.html</t>
        </is>
      </c>
    </row>
    <row r="4344">
      <c r="A4344" s="2" t="inlineStr">
        <is>
          <t>2026-09-06</t>
        </is>
      </c>
      <c r="B4344" s="2" t="inlineStr">
        <is>
          <t>2026-09-06T19:39:36</t>
        </is>
      </c>
      <c r="C4344" s="2" t="inlineStr">
        <is>
          <t>vivo</t>
        </is>
      </c>
      <c r="D4344" s="2" t="inlineStr">
        <is>
          <t>control</t>
        </is>
      </c>
      <c r="E4344" s="2" t="inlineStr">
        <is>
          <t>SP</t>
        </is>
      </c>
      <c r="F4344" s="2" t="inlineStr">
        <is>
          <t>Vivo Controle</t>
        </is>
      </c>
      <c r="G4344" s="2" t="inlineStr">
        <is>
          <t>vivo:VIV202600034591</t>
        </is>
      </c>
      <c r="H4344" s="3" t="n">
        <v>59</v>
      </c>
      <c r="I4344" s="3" t="inlineStr"/>
      <c r="J4344" s="2" t="inlineStr"/>
      <c r="K4344" s="2" t="inlineStr"/>
      <c r="L4344" s="4" t="n">
        <v>45</v>
      </c>
      <c r="M4344" s="2" t="inlineStr">
        <is>
          <t>15 GB de franquia 30 GB de bônus</t>
        </is>
      </c>
      <c r="N4344" s="2" t="inlineStr"/>
      <c r="O4344" s="2" t="inlineStr"/>
      <c r="P4344" s="2" t="inlineStr"/>
      <c r="Q4344" s="2" t="inlineStr"/>
      <c r="R4344" s="2" t="inlineStr"/>
      <c r="S4344" s="2" t="inlineStr"/>
      <c r="T4344" s="2" t="inlineStr">
        <is>
          <t>6 meses grátis de Gemini com AI Plus</t>
        </is>
      </c>
      <c r="U4344" s="2" t="inlineStr">
        <is>
          <t>https://vivo.com.br/para-voce/produtos-e-servicos/para-o-celular/planos-controle</t>
        </is>
      </c>
      <c r="V4344" s="2" t="inlineStr">
        <is>
          <t>data/raw/vivo_control_SP.html</t>
        </is>
      </c>
    </row>
    <row r="4345">
      <c r="A4345" s="5" t="inlineStr">
        <is>
          <t>2026-09-06</t>
        </is>
      </c>
      <c r="B4345" s="5" t="inlineStr">
        <is>
          <t>2026-09-06T19:39:36</t>
        </is>
      </c>
      <c r="C4345" s="5" t="inlineStr">
        <is>
          <t>vivo</t>
        </is>
      </c>
      <c r="D4345" s="5" t="inlineStr">
        <is>
          <t>control</t>
        </is>
      </c>
      <c r="E4345" s="5" t="inlineStr">
        <is>
          <t>SP</t>
        </is>
      </c>
      <c r="F4345" s="5" t="inlineStr">
        <is>
          <t>Vivo Controle</t>
        </is>
      </c>
      <c r="G4345" s="5" t="inlineStr">
        <is>
          <t>vivo:VIV202600034599</t>
        </is>
      </c>
      <c r="H4345" s="6" t="n">
        <v>75</v>
      </c>
      <c r="I4345" s="6" t="inlineStr"/>
      <c r="J4345" s="5" t="inlineStr">
        <is>
          <t>preço-base do plano; a tela exibia R$ 80 com o adicional pré-selecionado (+R$ 5/mês, opcional); 60 GB na tela incluem +10 GB do adicional</t>
        </is>
      </c>
      <c r="K4345" s="5" t="inlineStr"/>
      <c r="L4345" s="7" t="n">
        <v>50</v>
      </c>
      <c r="M4345" s="5" t="inlineStr">
        <is>
          <t>20 GB de franquia 30 GB de bônus</t>
        </is>
      </c>
      <c r="N4345" s="5" t="inlineStr"/>
      <c r="O4345" s="5" t="inlineStr"/>
      <c r="P4345" s="5" t="inlineStr"/>
      <c r="Q4345" s="5" t="inlineStr"/>
      <c r="R4345" s="5" t="inlineStr"/>
      <c r="S4345" s="5" t="inlineStr"/>
      <c r="T4345" s="5" t="inlineStr">
        <is>
          <t>6 meses grátis de Gemini com AI Plus</t>
        </is>
      </c>
      <c r="U4345" s="5" t="inlineStr">
        <is>
          <t>https://vivo.com.br/para-voce/produtos-e-servicos/para-o-celular/planos-controle</t>
        </is>
      </c>
      <c r="V4345" s="5" t="inlineStr">
        <is>
          <t>data/raw/vivo_control_SP.html</t>
        </is>
      </c>
    </row>
    <row r="4346">
      <c r="A4346" s="2" t="inlineStr">
        <is>
          <t>2026-09-06</t>
        </is>
      </c>
      <c r="B4346" s="2" t="inlineStr">
        <is>
          <t>2026-09-06T19:39:36</t>
        </is>
      </c>
      <c r="C4346" s="2" t="inlineStr">
        <is>
          <t>vivo</t>
        </is>
      </c>
      <c r="D4346" s="2" t="inlineStr">
        <is>
          <t>control</t>
        </is>
      </c>
      <c r="E4346" s="2" t="inlineStr">
        <is>
          <t>SP</t>
        </is>
      </c>
      <c r="F4346" s="2" t="inlineStr">
        <is>
          <t>Vivo Controle Amazon</t>
        </is>
      </c>
      <c r="G4346" s="2" t="inlineStr">
        <is>
          <t>vivo:VIV202600038804</t>
        </is>
      </c>
      <c r="H4346" s="3" t="n">
        <v>70</v>
      </c>
      <c r="I4346" s="3" t="inlineStr"/>
      <c r="J4346" s="2" t="inlineStr">
        <is>
          <t>preço-base do plano; a tela exibia R$ 75 com o adicional pré-selecionado (+R$ 5/mês, opcional); 58 GB na tela incluem +10 GB do adicional</t>
        </is>
      </c>
      <c r="K4346" s="2" t="inlineStr"/>
      <c r="L4346" s="4" t="n">
        <v>48</v>
      </c>
      <c r="M4346" s="2" t="inlineStr">
        <is>
          <t>18 GB de franquia 30 GB de bônus</t>
        </is>
      </c>
      <c r="N4346" s="2" t="inlineStr"/>
      <c r="O4346" s="2" t="inlineStr"/>
      <c r="P4346" s="2" t="inlineStr"/>
      <c r="Q4346" s="2" t="inlineStr"/>
      <c r="R4346" s="2" t="inlineStr"/>
      <c r="S4346" s="2" t="inlineStr"/>
      <c r="T4346" s="2" t="inlineStr">
        <is>
          <t>Assinatura Amazon Prime inclusa</t>
        </is>
      </c>
      <c r="U4346" s="2" t="inlineStr">
        <is>
          <t>https://vivo.com.br/para-voce/produtos-e-servicos/para-o-celular/planos-controle</t>
        </is>
      </c>
      <c r="V4346" s="2" t="inlineStr">
        <is>
          <t>data/raw/vivo_control_SP.html</t>
        </is>
      </c>
    </row>
    <row r="4347">
      <c r="A4347" s="5" t="inlineStr">
        <is>
          <t>2026-09-06</t>
        </is>
      </c>
      <c r="B4347" s="5" t="inlineStr">
        <is>
          <t>2026-09-06T19:39:36</t>
        </is>
      </c>
      <c r="C4347" s="5" t="inlineStr">
        <is>
          <t>vivo</t>
        </is>
      </c>
      <c r="D4347" s="5" t="inlineStr">
        <is>
          <t>control</t>
        </is>
      </c>
      <c r="E4347" s="5" t="inlineStr">
        <is>
          <t>SP</t>
        </is>
      </c>
      <c r="F4347" s="5" t="inlineStr">
        <is>
          <t>Vivo Controle Educação</t>
        </is>
      </c>
      <c r="G4347" s="5" t="inlineStr">
        <is>
          <t>vivo:VIV202600034616</t>
        </is>
      </c>
      <c r="H4347" s="6" t="n">
        <v>85</v>
      </c>
      <c r="I4347" s="6" t="inlineStr"/>
      <c r="J4347" s="5" t="inlineStr">
        <is>
          <t>preço-base do plano; a tela exibia R$ 90 com o adicional pré-selecionado (+R$ 5/mês, opcional); 60 GB na tela incluem +10 GB do adicional</t>
        </is>
      </c>
      <c r="K4347" s="5" t="inlineStr"/>
      <c r="L4347" s="7" t="n">
        <v>50</v>
      </c>
      <c r="M4347" s="5" t="inlineStr">
        <is>
          <t>20 GB de franquia 30 GB de bônus</t>
        </is>
      </c>
      <c r="N4347" s="5" t="inlineStr"/>
      <c r="O4347" s="5" t="inlineStr"/>
      <c r="P4347" s="5" t="inlineStr"/>
      <c r="Q4347" s="5" t="inlineStr"/>
      <c r="R4347" s="5" t="inlineStr"/>
      <c r="S4347" s="5" t="inlineStr"/>
      <c r="T4347" s="5" t="inlineStr">
        <is>
          <t>Assinatura Vivae inclusa</t>
        </is>
      </c>
      <c r="U4347" s="5" t="inlineStr">
        <is>
          <t>https://vivo.com.br/para-voce/produtos-e-servicos/para-o-celular/planos-controle</t>
        </is>
      </c>
      <c r="V4347" s="5" t="inlineStr">
        <is>
          <t>data/raw/vivo_control_SP.html</t>
        </is>
      </c>
    </row>
    <row r="4348">
      <c r="A4348" s="2" t="inlineStr">
        <is>
          <t>2026-09-06</t>
        </is>
      </c>
      <c r="B4348" s="2" t="inlineStr">
        <is>
          <t>2026-09-06T19:39:36</t>
        </is>
      </c>
      <c r="C4348" s="2" t="inlineStr">
        <is>
          <t>vivo</t>
        </is>
      </c>
      <c r="D4348" s="2" t="inlineStr">
        <is>
          <t>control</t>
        </is>
      </c>
      <c r="E4348" s="2" t="inlineStr">
        <is>
          <t>SP</t>
        </is>
      </c>
      <c r="F4348" s="2" t="inlineStr">
        <is>
          <t>Vivo Controle Entretenimento</t>
        </is>
      </c>
      <c r="G4348" s="2" t="inlineStr">
        <is>
          <t>vivo:VIV202600034619</t>
        </is>
      </c>
      <c r="H4348" s="3" t="n">
        <v>105</v>
      </c>
      <c r="I4348" s="3" t="inlineStr"/>
      <c r="J4348" s="2" t="inlineStr">
        <is>
          <t>preço-base do plano; a tela exibia R$ 110 com o adicional pré-selecionado (+R$ 5/mês, opcional); 60 GB na tela incluem +10 GB do adicional</t>
        </is>
      </c>
      <c r="K4348" s="2" t="inlineStr"/>
      <c r="L4348" s="4" t="n">
        <v>50</v>
      </c>
      <c r="M4348" s="2" t="inlineStr">
        <is>
          <t>20 GB de franquia 30 GB de bônus</t>
        </is>
      </c>
      <c r="N4348" s="2" t="inlineStr"/>
      <c r="O4348" s="2" t="inlineStr"/>
      <c r="P4348" s="2" t="inlineStr"/>
      <c r="Q4348" s="2" t="inlineStr"/>
      <c r="R4348" s="2" t="inlineStr"/>
      <c r="S4348" s="2" t="inlineStr"/>
      <c r="T4348" s="2" t="inlineStr">
        <is>
          <t>Assinatura Vivo TV Inicial inclusa</t>
        </is>
      </c>
      <c r="U4348" s="2" t="inlineStr">
        <is>
          <t>https://vivo.com.br/para-voce/produtos-e-servicos/para-o-celular/planos-controle</t>
        </is>
      </c>
      <c r="V4348" s="2" t="inlineStr">
        <is>
          <t>data/raw/vivo_control_SP.html</t>
        </is>
      </c>
    </row>
    <row r="4349">
      <c r="A4349" s="5" t="inlineStr">
        <is>
          <t>2026-09-06</t>
        </is>
      </c>
      <c r="B4349" s="5" t="inlineStr">
        <is>
          <t>2026-09-06T19:39:36</t>
        </is>
      </c>
      <c r="C4349" s="5" t="inlineStr">
        <is>
          <t>vivo</t>
        </is>
      </c>
      <c r="D4349" s="5" t="inlineStr">
        <is>
          <t>control</t>
        </is>
      </c>
      <c r="E4349" s="5" t="inlineStr">
        <is>
          <t>SP</t>
        </is>
      </c>
      <c r="F4349" s="5" t="inlineStr">
        <is>
          <t>Vivo Controle Música</t>
        </is>
      </c>
      <c r="G4349" s="5" t="inlineStr">
        <is>
          <t>vivo:VIV202600034620</t>
        </is>
      </c>
      <c r="H4349" s="6" t="n">
        <v>85</v>
      </c>
      <c r="I4349" s="6" t="inlineStr"/>
      <c r="J4349" s="5" t="inlineStr">
        <is>
          <t>preço-base do plano; a tela exibia R$ 90 com o adicional pré-selecionado (+R$ 5/mês, opcional); 60 GB na tela incluem +10 GB do adicional</t>
        </is>
      </c>
      <c r="K4349" s="5" t="inlineStr"/>
      <c r="L4349" s="7" t="n">
        <v>50</v>
      </c>
      <c r="M4349" s="5" t="inlineStr">
        <is>
          <t>20 GB de franquia 30 GB de bônus</t>
        </is>
      </c>
      <c r="N4349" s="5" t="inlineStr"/>
      <c r="O4349" s="5" t="inlineStr"/>
      <c r="P4349" s="5" t="inlineStr"/>
      <c r="Q4349" s="5" t="inlineStr"/>
      <c r="R4349" s="5" t="inlineStr"/>
      <c r="S4349" s="5" t="inlineStr"/>
      <c r="T4349" s="5" t="inlineStr">
        <is>
          <t>Apple Music Individual</t>
        </is>
      </c>
      <c r="U4349" s="5" t="inlineStr">
        <is>
          <t>https://vivo.com.br/para-voce/produtos-e-servicos/para-o-celular/planos-controle</t>
        </is>
      </c>
      <c r="V4349" s="5" t="inlineStr">
        <is>
          <t>data/raw/vivo_control_SP.html</t>
        </is>
      </c>
    </row>
    <row r="4350">
      <c r="A4350" s="2" t="inlineStr">
        <is>
          <t>2026-09-06</t>
        </is>
      </c>
      <c r="B4350" s="2" t="inlineStr">
        <is>
          <t>2026-09-06T19:39:36</t>
        </is>
      </c>
      <c r="C4350" s="2" t="inlineStr">
        <is>
          <t>vivo</t>
        </is>
      </c>
      <c r="D4350" s="2" t="inlineStr">
        <is>
          <t>control</t>
        </is>
      </c>
      <c r="E4350" s="2" t="inlineStr">
        <is>
          <t>SP</t>
        </is>
      </c>
      <c r="F4350" s="2" t="inlineStr">
        <is>
          <t>Vivo Controle Netflix</t>
        </is>
      </c>
      <c r="G4350" s="2" t="inlineStr">
        <is>
          <t>vivo:VIV202600034623</t>
        </is>
      </c>
      <c r="H4350" s="3" t="n">
        <v>90</v>
      </c>
      <c r="I4350" s="3" t="inlineStr"/>
      <c r="J4350" s="2" t="inlineStr">
        <is>
          <t>preço-base do plano; a tela exibia R$ 95 com o adicional pré-selecionado (+R$ 5/mês, opcional); 60 GB na tela incluem +10 GB do adicional</t>
        </is>
      </c>
      <c r="K4350" s="2" t="inlineStr"/>
      <c r="L4350" s="4" t="n">
        <v>50</v>
      </c>
      <c r="M4350" s="2" t="inlineStr">
        <is>
          <t>20 GB de franquia 30 GB de bônus</t>
        </is>
      </c>
      <c r="N4350" s="2" t="inlineStr"/>
      <c r="O4350" s="2" t="inlineStr"/>
      <c r="P4350" s="2" t="inlineStr"/>
      <c r="Q4350" s="2" t="inlineStr"/>
      <c r="R4350" s="2" t="inlineStr"/>
      <c r="S4350" s="2" t="inlineStr"/>
      <c r="T4350" s="2" t="inlineStr">
        <is>
          <t>Assinatura Netflix Padrão com anúncios</t>
        </is>
      </c>
      <c r="U4350" s="2" t="inlineStr">
        <is>
          <t>https://vivo.com.br/para-voce/produtos-e-servicos/para-o-celular/planos-controle</t>
        </is>
      </c>
      <c r="V4350" s="2" t="inlineStr">
        <is>
          <t>data/raw/vivo_control_SP.html</t>
        </is>
      </c>
    </row>
    <row r="4351">
      <c r="A4351" s="5" t="inlineStr">
        <is>
          <t>2026-09-06</t>
        </is>
      </c>
      <c r="B4351" s="5" t="inlineStr">
        <is>
          <t>2026-09-06T19:39:36</t>
        </is>
      </c>
      <c r="C4351" s="5" t="inlineStr">
        <is>
          <t>vivo</t>
        </is>
      </c>
      <c r="D4351" s="5" t="inlineStr">
        <is>
          <t>control</t>
        </is>
      </c>
      <c r="E4351" s="5" t="inlineStr">
        <is>
          <t>SP</t>
        </is>
      </c>
      <c r="F4351" s="5" t="inlineStr">
        <is>
          <t>Vivo Controle Saúde</t>
        </is>
      </c>
      <c r="G4351" s="5" t="inlineStr">
        <is>
          <t>vivo:VIV202600034625</t>
        </is>
      </c>
      <c r="H4351" s="6" t="n">
        <v>85</v>
      </c>
      <c r="I4351" s="6" t="inlineStr"/>
      <c r="J4351" s="5" t="inlineStr">
        <is>
          <t>preço-base do plano; a tela exibia R$ 90 com o adicional pré-selecionado (+R$ 5/mês, opcional); 60 GB na tela incluem +10 GB do adicional</t>
        </is>
      </c>
      <c r="K4351" s="5" t="inlineStr"/>
      <c r="L4351" s="7" t="n">
        <v>50</v>
      </c>
      <c r="M4351" s="5" t="inlineStr">
        <is>
          <t>20 GB de franquia 30 GB de bônus</t>
        </is>
      </c>
      <c r="N4351" s="5" t="inlineStr"/>
      <c r="O4351" s="5" t="inlineStr"/>
      <c r="P4351" s="5" t="inlineStr"/>
      <c r="Q4351" s="5" t="inlineStr"/>
      <c r="R4351" s="5" t="inlineStr"/>
      <c r="S4351" s="5" t="inlineStr"/>
      <c r="T4351" s="5" t="inlineStr">
        <is>
          <t>Assinatura Vale Saúde Sempre inclusa</t>
        </is>
      </c>
      <c r="U4351" s="5" t="inlineStr">
        <is>
          <t>https://vivo.com.br/para-voce/produtos-e-servicos/para-o-celular/planos-controle</t>
        </is>
      </c>
      <c r="V4351" s="5" t="inlineStr">
        <is>
          <t>data/raw/vivo_control_SP.html</t>
        </is>
      </c>
    </row>
    <row r="4352">
      <c r="A4352" s="2" t="inlineStr">
        <is>
          <t>2026-09-06</t>
        </is>
      </c>
      <c r="B4352" s="2" t="inlineStr">
        <is>
          <t>2026-09-06T19:39:36</t>
        </is>
      </c>
      <c r="C4352" s="2" t="inlineStr">
        <is>
          <t>vivo</t>
        </is>
      </c>
      <c r="D4352" s="2" t="inlineStr">
        <is>
          <t>control</t>
        </is>
      </c>
      <c r="E4352" s="2" t="inlineStr">
        <is>
          <t>SP</t>
        </is>
      </c>
      <c r="F4352" s="2" t="inlineStr">
        <is>
          <t>Vivo Controle Youtube Lite</t>
        </is>
      </c>
      <c r="G4352" s="2" t="inlineStr">
        <is>
          <t>vivo:VIV202600034626</t>
        </is>
      </c>
      <c r="H4352" s="3" t="n">
        <v>85</v>
      </c>
      <c r="I4352" s="3" t="inlineStr"/>
      <c r="J4352" s="2" t="inlineStr">
        <is>
          <t>preço-base do plano; a tela exibia R$ 90 com o adicional pré-selecionado (+R$ 5/mês, opcional); 60 GB na tela incluem +10 GB do adicional</t>
        </is>
      </c>
      <c r="K4352" s="2" t="inlineStr"/>
      <c r="L4352" s="4" t="n">
        <v>50</v>
      </c>
      <c r="M4352" s="2" t="inlineStr">
        <is>
          <t>20 GB de franquia 30 GB de bônus</t>
        </is>
      </c>
      <c r="N4352" s="2" t="inlineStr"/>
      <c r="O4352" s="2" t="inlineStr"/>
      <c r="P4352" s="2" t="inlineStr"/>
      <c r="Q4352" s="2" t="inlineStr"/>
      <c r="R4352" s="2" t="inlineStr"/>
      <c r="S4352" s="2" t="inlineStr"/>
      <c r="T4352" s="2" t="inlineStr">
        <is>
          <t>Assinatura Youtube Premium Lite Inclusa</t>
        </is>
      </c>
      <c r="U4352" s="2" t="inlineStr">
        <is>
          <t>https://vivo.com.br/para-voce/produtos-e-servicos/para-o-celular/planos-controle</t>
        </is>
      </c>
      <c r="V4352" s="2" t="inlineStr">
        <is>
          <t>data/raw/vivo_control_SP.html</t>
        </is>
      </c>
    </row>
    <row r="4353">
      <c r="A4353" s="5" t="inlineStr">
        <is>
          <t>2026-09-06</t>
        </is>
      </c>
      <c r="B4353" s="5" t="inlineStr">
        <is>
          <t>2026-09-06T19:39:36</t>
        </is>
      </c>
      <c r="C4353" s="5" t="inlineStr">
        <is>
          <t>vivo</t>
        </is>
      </c>
      <c r="D4353" s="5" t="inlineStr">
        <is>
          <t>lite</t>
        </is>
      </c>
      <c r="E4353" s="5" t="inlineStr">
        <is>
          <t>SP</t>
        </is>
      </c>
      <c r="F4353" s="5" t="inlineStr">
        <is>
          <t>Vivo Lite</t>
        </is>
      </c>
      <c r="G4353" s="5" t="inlineStr">
        <is>
          <t>vivo:VIV202600038808</t>
        </is>
      </c>
      <c r="H4353" s="6" t="n">
        <v>45</v>
      </c>
      <c r="I4353" s="6" t="n">
        <v>30</v>
      </c>
      <c r="J4353" s="5" t="inlineStr">
        <is>
          <t>preço sem fidelidade; fidelidade 12m no promo</t>
        </is>
      </c>
      <c r="K4353" s="5" t="inlineStr"/>
      <c r="L4353" s="7" t="n">
        <v>30</v>
      </c>
      <c r="M4353" s="5" t="inlineStr">
        <is>
          <t>30 GB de franquia</t>
        </is>
      </c>
      <c r="N4353" s="5" t="inlineStr"/>
      <c r="O4353" s="5" t="inlineStr"/>
      <c r="P4353" s="5" t="inlineStr"/>
      <c r="Q4353" s="5" t="inlineStr"/>
      <c r="R4353" s="5" t="inlineStr"/>
      <c r="S4353" s="5" t="n">
        <v>12</v>
      </c>
      <c r="T4353" s="5" t="inlineStr"/>
      <c r="U4353" s="5" t="inlineStr">
        <is>
          <t>https://vivo.com.br/para-voce/produtos-e-servicos/para-o-celular/easy-lite</t>
        </is>
      </c>
      <c r="V4353" s="5" t="inlineStr">
        <is>
          <t>data/raw/vivo_lite_SP.html</t>
        </is>
      </c>
    </row>
    <row r="4354">
      <c r="A4354" s="2" t="inlineStr">
        <is>
          <t>2026-09-06</t>
        </is>
      </c>
      <c r="B4354" s="2" t="inlineStr">
        <is>
          <t>2026-09-06T19:39:36</t>
        </is>
      </c>
      <c r="C4354" s="2" t="inlineStr">
        <is>
          <t>vivo</t>
        </is>
      </c>
      <c r="D4354" s="2" t="inlineStr">
        <is>
          <t>lite</t>
        </is>
      </c>
      <c r="E4354" s="2" t="inlineStr">
        <is>
          <t>SP</t>
        </is>
      </c>
      <c r="F4354" s="2" t="inlineStr">
        <is>
          <t>Vivo Lite</t>
        </is>
      </c>
      <c r="G4354" s="2" t="inlineStr">
        <is>
          <t>vivo:VIV202600038810</t>
        </is>
      </c>
      <c r="H4354" s="3" t="n">
        <v>55</v>
      </c>
      <c r="I4354" s="3" t="n">
        <v>40</v>
      </c>
      <c r="J4354" s="2" t="inlineStr">
        <is>
          <t>preço sem fidelidade; fidelidade 12m no promo</t>
        </is>
      </c>
      <c r="K4354" s="2" t="inlineStr"/>
      <c r="L4354" s="4" t="n">
        <v>40</v>
      </c>
      <c r="M4354" s="2" t="inlineStr">
        <is>
          <t>40 GB de franquia</t>
        </is>
      </c>
      <c r="N4354" s="2" t="inlineStr"/>
      <c r="O4354" s="2" t="inlineStr"/>
      <c r="P4354" s="2" t="inlineStr"/>
      <c r="Q4354" s="2" t="inlineStr"/>
      <c r="R4354" s="2" t="inlineStr"/>
      <c r="S4354" s="2" t="n">
        <v>12</v>
      </c>
      <c r="T4354" s="2" t="inlineStr"/>
      <c r="U4354" s="2" t="inlineStr">
        <is>
          <t>https://vivo.com.br/para-voce/produtos-e-servicos/para-o-celular/easy-lite</t>
        </is>
      </c>
      <c r="V4354" s="2" t="inlineStr">
        <is>
          <t>data/raw/vivo_lite_SP.html</t>
        </is>
      </c>
    </row>
    <row r="4355">
      <c r="A4355" s="5" t="inlineStr">
        <is>
          <t>2026-09-06</t>
        </is>
      </c>
      <c r="B4355" s="5" t="inlineStr">
        <is>
          <t>2026-09-06T19:39:36</t>
        </is>
      </c>
      <c r="C4355" s="5" t="inlineStr">
        <is>
          <t>vivo</t>
        </is>
      </c>
      <c r="D4355" s="5" t="inlineStr">
        <is>
          <t>lite</t>
        </is>
      </c>
      <c r="E4355" s="5" t="inlineStr">
        <is>
          <t>SP</t>
        </is>
      </c>
      <c r="F4355" s="5" t="inlineStr">
        <is>
          <t>Vivo Lite</t>
        </is>
      </c>
      <c r="G4355" s="5" t="inlineStr">
        <is>
          <t>vivo:VIV202600038814</t>
        </is>
      </c>
      <c r="H4355" s="6" t="n">
        <v>35</v>
      </c>
      <c r="I4355" s="6" t="inlineStr"/>
      <c r="J4355" s="5" t="inlineStr"/>
      <c r="K4355" s="5" t="inlineStr"/>
      <c r="L4355" s="7" t="n">
        <v>20</v>
      </c>
      <c r="M4355" s="5" t="inlineStr">
        <is>
          <t>20 GB de franquia</t>
        </is>
      </c>
      <c r="N4355" s="5" t="inlineStr"/>
      <c r="O4355" s="5" t="inlineStr"/>
      <c r="P4355" s="5" t="inlineStr"/>
      <c r="Q4355" s="5" t="inlineStr"/>
      <c r="R4355" s="5" t="inlineStr"/>
      <c r="S4355" s="5" t="inlineStr"/>
      <c r="T4355" s="5" t="inlineStr"/>
      <c r="U4355" s="5" t="inlineStr">
        <is>
          <t>https://vivo.com.br/para-voce/produtos-e-servicos/para-o-celular/easy-lite</t>
        </is>
      </c>
      <c r="V4355" s="5" t="inlineStr">
        <is>
          <t>data/raw/vivo_lite_SP.html</t>
        </is>
      </c>
    </row>
    <row r="4356">
      <c r="A4356" s="2" t="inlineStr">
        <is>
          <t>2026-09-06</t>
        </is>
      </c>
      <c r="B4356" s="2" t="inlineStr">
        <is>
          <t>2026-09-06T19:39:36</t>
        </is>
      </c>
      <c r="C4356" s="2" t="inlineStr">
        <is>
          <t>vivo</t>
        </is>
      </c>
      <c r="D4356" s="2" t="inlineStr">
        <is>
          <t>postpaid</t>
        </is>
      </c>
      <c r="E4356" s="2" t="inlineStr">
        <is>
          <t>SP</t>
        </is>
      </c>
      <c r="F4356" s="2" t="inlineStr">
        <is>
          <t>Vivo Família 2</t>
        </is>
      </c>
      <c r="G4356" s="2" t="inlineStr">
        <is>
          <t>vivo:VIV202600034547</t>
        </is>
      </c>
      <c r="H4356" s="3" t="n">
        <v>270</v>
      </c>
      <c r="I4356" s="3" t="inlineStr"/>
      <c r="J4356" s="2" t="inlineStr"/>
      <c r="K4356" s="2" t="inlineStr"/>
      <c r="L4356" s="4" t="n">
        <v>120</v>
      </c>
      <c r="M4356" s="2" t="inlineStr">
        <is>
          <t>120 GB de franquia Você + 1 linha adicional Roaming Internacional com Vivo Travel Américas e Europa</t>
        </is>
      </c>
      <c r="N4356" s="2" t="inlineStr"/>
      <c r="O4356" s="2" t="inlineStr"/>
      <c r="P4356" s="2" t="inlineStr"/>
      <c r="Q4356" s="2" t="inlineStr"/>
      <c r="R4356" s="2" t="inlineStr"/>
      <c r="S4356" s="2" t="inlineStr"/>
      <c r="T4356" s="2" t="inlineStr">
        <is>
          <t>12 meses grátis de Gemini com AI Plus</t>
        </is>
      </c>
      <c r="U4356" s="2" t="inlineStr">
        <is>
          <t>https://vivo.com.br/para-voce/produtos-e-servicos/para-o-celular/planos-pos-pago</t>
        </is>
      </c>
      <c r="V4356" s="2" t="inlineStr">
        <is>
          <t>data/raw/vivo_postpaid_SP.html</t>
        </is>
      </c>
    </row>
    <row r="4357">
      <c r="A4357" s="5" t="inlineStr">
        <is>
          <t>2026-09-06</t>
        </is>
      </c>
      <c r="B4357" s="5" t="inlineStr">
        <is>
          <t>2026-09-06T19:39:36</t>
        </is>
      </c>
      <c r="C4357" s="5" t="inlineStr">
        <is>
          <t>vivo</t>
        </is>
      </c>
      <c r="D4357" s="5" t="inlineStr">
        <is>
          <t>postpaid</t>
        </is>
      </c>
      <c r="E4357" s="5" t="inlineStr">
        <is>
          <t>SP</t>
        </is>
      </c>
      <c r="F4357" s="5" t="inlineStr">
        <is>
          <t>Vivo Família 3</t>
        </is>
      </c>
      <c r="G4357" s="5" t="inlineStr">
        <is>
          <t>vivo:VIV202600034540</t>
        </is>
      </c>
      <c r="H4357" s="6" t="n">
        <v>340</v>
      </c>
      <c r="I4357" s="6" t="inlineStr"/>
      <c r="J4357" s="5" t="inlineStr"/>
      <c r="K4357" s="5" t="inlineStr"/>
      <c r="L4357" s="7" t="n">
        <v>180</v>
      </c>
      <c r="M4357" s="5" t="inlineStr">
        <is>
          <t>180 GB de franquia Você + 2 linhas adicionais Roaming Internacional com Vivo Travel Américas e Europa</t>
        </is>
      </c>
      <c r="N4357" s="5" t="inlineStr"/>
      <c r="O4357" s="5" t="inlineStr"/>
      <c r="P4357" s="5" t="inlineStr"/>
      <c r="Q4357" s="5" t="inlineStr"/>
      <c r="R4357" s="5" t="inlineStr"/>
      <c r="S4357" s="5" t="inlineStr"/>
      <c r="T4357" s="5" t="inlineStr">
        <is>
          <t>12 meses grátis de Gemini com AI Plus</t>
        </is>
      </c>
      <c r="U4357" s="5" t="inlineStr">
        <is>
          <t>https://vivo.com.br/para-voce/produtos-e-servicos/para-o-celular/planos-pos-pago</t>
        </is>
      </c>
      <c r="V4357" s="5" t="inlineStr">
        <is>
          <t>data/raw/vivo_postpaid_SP.html</t>
        </is>
      </c>
    </row>
    <row r="4358">
      <c r="A4358" s="2" t="inlineStr">
        <is>
          <t>2026-09-06</t>
        </is>
      </c>
      <c r="B4358" s="2" t="inlineStr">
        <is>
          <t>2026-09-06T19:39:36</t>
        </is>
      </c>
      <c r="C4358" s="2" t="inlineStr">
        <is>
          <t>vivo</t>
        </is>
      </c>
      <c r="D4358" s="2" t="inlineStr">
        <is>
          <t>postpaid</t>
        </is>
      </c>
      <c r="E4358" s="2" t="inlineStr">
        <is>
          <t>SP</t>
        </is>
      </c>
      <c r="F4358" s="2" t="inlineStr">
        <is>
          <t>Vivo Família 4</t>
        </is>
      </c>
      <c r="G4358" s="2" t="inlineStr">
        <is>
          <t>vivo:VIV202600034531</t>
        </is>
      </c>
      <c r="H4358" s="3" t="n">
        <v>430</v>
      </c>
      <c r="I4358" s="3" t="inlineStr"/>
      <c r="J4358" s="2" t="inlineStr"/>
      <c r="K4358" s="2" t="inlineStr"/>
      <c r="L4358" s="4" t="n">
        <v>240</v>
      </c>
      <c r="M4358" s="2" t="inlineStr">
        <is>
          <t>240 GB de franquia Você + 3 linhas adicionais Roaming Internacional com Vivo Travel Américas e Europa</t>
        </is>
      </c>
      <c r="N4358" s="2" t="inlineStr"/>
      <c r="O4358" s="2" t="inlineStr"/>
      <c r="P4358" s="2" t="inlineStr"/>
      <c r="Q4358" s="2" t="inlineStr"/>
      <c r="R4358" s="2" t="inlineStr"/>
      <c r="S4358" s="2" t="inlineStr"/>
      <c r="T4358" s="2" t="inlineStr">
        <is>
          <t>12 meses grátis de Gemini com AI Plus</t>
        </is>
      </c>
      <c r="U4358" s="2" t="inlineStr">
        <is>
          <t>https://vivo.com.br/para-voce/produtos-e-servicos/para-o-celular/planos-pos-pago</t>
        </is>
      </c>
      <c r="V4358" s="2" t="inlineStr">
        <is>
          <t>data/raw/vivo_postpaid_SP.html</t>
        </is>
      </c>
    </row>
    <row r="4359">
      <c r="A4359" s="5" t="inlineStr">
        <is>
          <t>2026-09-06</t>
        </is>
      </c>
      <c r="B4359" s="5" t="inlineStr">
        <is>
          <t>2026-09-06T19:39:36</t>
        </is>
      </c>
      <c r="C4359" s="5" t="inlineStr">
        <is>
          <t>vivo</t>
        </is>
      </c>
      <c r="D4359" s="5" t="inlineStr">
        <is>
          <t>postpaid</t>
        </is>
      </c>
      <c r="E4359" s="5" t="inlineStr">
        <is>
          <t>SP</t>
        </is>
      </c>
      <c r="F4359" s="5" t="inlineStr">
        <is>
          <t>Vivo Família 5</t>
        </is>
      </c>
      <c r="G4359" s="5" t="inlineStr">
        <is>
          <t>vivo:VIV202600034526</t>
        </is>
      </c>
      <c r="H4359" s="6" t="n">
        <v>530</v>
      </c>
      <c r="I4359" s="6" t="inlineStr"/>
      <c r="J4359" s="5" t="inlineStr"/>
      <c r="K4359" s="5" t="inlineStr"/>
      <c r="L4359" s="7" t="n">
        <v>300</v>
      </c>
      <c r="M4359" s="5" t="inlineStr">
        <is>
          <t>300 GB de franquia Você + 4 linhas adicionais Roaming Internacional com Vivo Travel Américas e Europa</t>
        </is>
      </c>
      <c r="N4359" s="5" t="inlineStr"/>
      <c r="O4359" s="5" t="inlineStr"/>
      <c r="P4359" s="5" t="inlineStr"/>
      <c r="Q4359" s="5" t="inlineStr"/>
      <c r="R4359" s="5" t="inlineStr"/>
      <c r="S4359" s="5" t="inlineStr"/>
      <c r="T4359" s="5" t="inlineStr">
        <is>
          <t>12 meses grátis de Gemini com AI Plus</t>
        </is>
      </c>
      <c r="U4359" s="5" t="inlineStr">
        <is>
          <t>https://vivo.com.br/para-voce/produtos-e-servicos/para-o-celular/planos-pos-pago</t>
        </is>
      </c>
      <c r="V4359" s="5" t="inlineStr">
        <is>
          <t>data/raw/vivo_postpaid_SP.html</t>
        </is>
      </c>
    </row>
    <row r="4360">
      <c r="A4360" s="2" t="inlineStr">
        <is>
          <t>2026-09-06</t>
        </is>
      </c>
      <c r="B4360" s="2" t="inlineStr">
        <is>
          <t>2026-09-06T19:39:36</t>
        </is>
      </c>
      <c r="C4360" s="2" t="inlineStr">
        <is>
          <t>vivo</t>
        </is>
      </c>
      <c r="D4360" s="2" t="inlineStr">
        <is>
          <t>postpaid</t>
        </is>
      </c>
      <c r="E4360" s="2" t="inlineStr">
        <is>
          <t>SP</t>
        </is>
      </c>
      <c r="F4360" s="2" t="inlineStr">
        <is>
          <t>Vivo Pós com Amazon</t>
        </is>
      </c>
      <c r="G4360" s="2" t="inlineStr">
        <is>
          <t>vivo:VIV202600034554</t>
        </is>
      </c>
      <c r="H4360" s="3" t="n">
        <v>150</v>
      </c>
      <c r="I4360" s="3" t="inlineStr"/>
      <c r="J4360" s="2" t="inlineStr"/>
      <c r="K4360" s="2" t="inlineStr"/>
      <c r="L4360" s="4" t="n">
        <v>60</v>
      </c>
      <c r="M4360" s="2" t="inlineStr">
        <is>
          <t>50 GB de franquia 10 GB de bônus</t>
        </is>
      </c>
      <c r="N4360" s="2" t="inlineStr"/>
      <c r="O4360" s="2" t="inlineStr"/>
      <c r="P4360" s="2" t="inlineStr"/>
      <c r="Q4360" s="2" t="inlineStr"/>
      <c r="R4360" s="2" t="inlineStr"/>
      <c r="S4360" s="2" t="inlineStr"/>
      <c r="T4360" s="2" t="inlineStr">
        <is>
          <t>Assinatura Amazon Prime inclusa</t>
        </is>
      </c>
      <c r="U4360" s="2" t="inlineStr">
        <is>
          <t>https://vivo.com.br/para-voce/produtos-e-servicos/para-o-celular/planos-pos-pago</t>
        </is>
      </c>
      <c r="V4360" s="2" t="inlineStr">
        <is>
          <t>data/raw/vivo_postpaid_SP.html</t>
        </is>
      </c>
    </row>
    <row r="4361">
      <c r="A4361" s="5" t="inlineStr">
        <is>
          <t>2026-09-06</t>
        </is>
      </c>
      <c r="B4361" s="5" t="inlineStr">
        <is>
          <t>2026-09-06T19:39:36</t>
        </is>
      </c>
      <c r="C4361" s="5" t="inlineStr">
        <is>
          <t>vivo</t>
        </is>
      </c>
      <c r="D4361" s="5" t="inlineStr">
        <is>
          <t>postpaid</t>
        </is>
      </c>
      <c r="E4361" s="5" t="inlineStr">
        <is>
          <t>SP</t>
        </is>
      </c>
      <c r="F4361" s="5" t="inlineStr">
        <is>
          <t>Vivo Pós com Disney+</t>
        </is>
      </c>
      <c r="G4361" s="5" t="inlineStr">
        <is>
          <t>vivo:VIV202600034532</t>
        </is>
      </c>
      <c r="H4361" s="6" t="n">
        <v>180</v>
      </c>
      <c r="I4361" s="6" t="inlineStr"/>
      <c r="J4361" s="5" t="inlineStr"/>
      <c r="K4361" s="5" t="inlineStr"/>
      <c r="L4361" s="7" t="n">
        <v>60</v>
      </c>
      <c r="M4361" s="5" t="inlineStr">
        <is>
          <t>50 GB de franquia 10 GB de bônus</t>
        </is>
      </c>
      <c r="N4361" s="5" t="inlineStr"/>
      <c r="O4361" s="5" t="inlineStr"/>
      <c r="P4361" s="5" t="inlineStr"/>
      <c r="Q4361" s="5" t="inlineStr"/>
      <c r="R4361" s="5" t="inlineStr">
        <is>
          <t>Disney+</t>
        </is>
      </c>
      <c r="S4361" s="5" t="inlineStr"/>
      <c r="T4361" s="5" t="inlineStr">
        <is>
          <t>Assinatura Disney+ Padrão inclusa</t>
        </is>
      </c>
      <c r="U4361" s="5" t="inlineStr">
        <is>
          <t>https://vivo.com.br/para-voce/produtos-e-servicos/para-o-celular/planos-pos-pago</t>
        </is>
      </c>
      <c r="V4361" s="5" t="inlineStr">
        <is>
          <t>data/raw/vivo_postpaid_SP.html</t>
        </is>
      </c>
    </row>
    <row r="4362">
      <c r="A4362" s="2" t="inlineStr">
        <is>
          <t>2026-09-06</t>
        </is>
      </c>
      <c r="B4362" s="2" t="inlineStr">
        <is>
          <t>2026-09-06T19:39:36</t>
        </is>
      </c>
      <c r="C4362" s="2" t="inlineStr">
        <is>
          <t>vivo</t>
        </is>
      </c>
      <c r="D4362" s="2" t="inlineStr">
        <is>
          <t>postpaid</t>
        </is>
      </c>
      <c r="E4362" s="2" t="inlineStr">
        <is>
          <t>SP</t>
        </is>
      </c>
      <c r="F4362" s="2" t="inlineStr">
        <is>
          <t>Vivo Pós com Globoplay</t>
        </is>
      </c>
      <c r="G4362" s="2" t="inlineStr">
        <is>
          <t>vivo:VIV202600034575</t>
        </is>
      </c>
      <c r="H4362" s="3" t="n">
        <v>165</v>
      </c>
      <c r="I4362" s="3" t="inlineStr"/>
      <c r="J4362" s="2" t="inlineStr"/>
      <c r="K4362" s="2" t="inlineStr"/>
      <c r="L4362" s="4" t="n">
        <v>60</v>
      </c>
      <c r="M4362" s="2" t="inlineStr">
        <is>
          <t>50 GB de franquia 10 GB de bônus</t>
        </is>
      </c>
      <c r="N4362" s="2" t="inlineStr"/>
      <c r="O4362" s="2" t="inlineStr"/>
      <c r="P4362" s="2" t="inlineStr"/>
      <c r="Q4362" s="2" t="inlineStr"/>
      <c r="R4362" s="2" t="inlineStr">
        <is>
          <t>Globoplay</t>
        </is>
      </c>
      <c r="S4362" s="2" t="inlineStr"/>
      <c r="T4362" s="2" t="inlineStr">
        <is>
          <t>Assinatura Globoplay inclusa</t>
        </is>
      </c>
      <c r="U4362" s="2" t="inlineStr">
        <is>
          <t>https://vivo.com.br/para-voce/produtos-e-servicos/para-o-celular/planos-pos-pago</t>
        </is>
      </c>
      <c r="V4362" s="2" t="inlineStr">
        <is>
          <t>data/raw/vivo_postpaid_SP.html</t>
        </is>
      </c>
    </row>
    <row r="4363">
      <c r="A4363" s="5" t="inlineStr">
        <is>
          <t>2026-09-06</t>
        </is>
      </c>
      <c r="B4363" s="5" t="inlineStr">
        <is>
          <t>2026-09-06T19:39:36</t>
        </is>
      </c>
      <c r="C4363" s="5" t="inlineStr">
        <is>
          <t>vivo</t>
        </is>
      </c>
      <c r="D4363" s="5" t="inlineStr">
        <is>
          <t>postpaid</t>
        </is>
      </c>
      <c r="E4363" s="5" t="inlineStr">
        <is>
          <t>SP</t>
        </is>
      </c>
      <c r="F4363" s="5" t="inlineStr">
        <is>
          <t>Vivo Pós com Netflix</t>
        </is>
      </c>
      <c r="G4363" s="5" t="inlineStr">
        <is>
          <t>vivo:VIV202600034562</t>
        </is>
      </c>
      <c r="H4363" s="6" t="n">
        <v>180</v>
      </c>
      <c r="I4363" s="6" t="inlineStr"/>
      <c r="J4363" s="5" t="inlineStr"/>
      <c r="K4363" s="5" t="inlineStr"/>
      <c r="L4363" s="7" t="n">
        <v>60</v>
      </c>
      <c r="M4363" s="5" t="inlineStr">
        <is>
          <t>50 GB de franquia 10 GB de bônus</t>
        </is>
      </c>
      <c r="N4363" s="5" t="inlineStr"/>
      <c r="O4363" s="5" t="inlineStr"/>
      <c r="P4363" s="5" t="inlineStr"/>
      <c r="Q4363" s="5" t="inlineStr"/>
      <c r="R4363" s="5" t="inlineStr">
        <is>
          <t>Netflix</t>
        </is>
      </c>
      <c r="S4363" s="5" t="inlineStr"/>
      <c r="T4363" s="5" t="inlineStr">
        <is>
          <t>Assinatura Netflix Padrão inclusa</t>
        </is>
      </c>
      <c r="U4363" s="5" t="inlineStr">
        <is>
          <t>https://vivo.com.br/para-voce/produtos-e-servicos/para-o-celular/planos-pos-pago</t>
        </is>
      </c>
      <c r="V4363" s="5" t="inlineStr">
        <is>
          <t>data/raw/vivo_postpaid_SP.html</t>
        </is>
      </c>
    </row>
    <row r="4364">
      <c r="A4364" s="2" t="inlineStr">
        <is>
          <t>2026-09-06</t>
        </is>
      </c>
      <c r="B4364" s="2" t="inlineStr">
        <is>
          <t>2026-09-06T19:39:36</t>
        </is>
      </c>
      <c r="C4364" s="2" t="inlineStr">
        <is>
          <t>vivo</t>
        </is>
      </c>
      <c r="D4364" s="2" t="inlineStr">
        <is>
          <t>postpaid</t>
        </is>
      </c>
      <c r="E4364" s="2" t="inlineStr">
        <is>
          <t>SP</t>
        </is>
      </c>
      <c r="F4364" s="2" t="inlineStr">
        <is>
          <t>Vivo Pós com Premiere</t>
        </is>
      </c>
      <c r="G4364" s="2" t="inlineStr">
        <is>
          <t>vivo:VIV202600034579</t>
        </is>
      </c>
      <c r="H4364" s="3" t="n">
        <v>180</v>
      </c>
      <c r="I4364" s="3" t="inlineStr"/>
      <c r="J4364" s="2" t="inlineStr"/>
      <c r="K4364" s="2" t="inlineStr"/>
      <c r="L4364" s="4" t="n">
        <v>60</v>
      </c>
      <c r="M4364" s="2" t="inlineStr">
        <is>
          <t>50 GB de franquia 10 GB de bônus</t>
        </is>
      </c>
      <c r="N4364" s="2" t="inlineStr"/>
      <c r="O4364" s="2" t="inlineStr"/>
      <c r="P4364" s="2" t="inlineStr"/>
      <c r="Q4364" s="2" t="inlineStr"/>
      <c r="R4364" s="2" t="inlineStr">
        <is>
          <t>Premiere</t>
        </is>
      </c>
      <c r="S4364" s="2" t="inlineStr"/>
      <c r="T4364" s="2" t="inlineStr">
        <is>
          <t>Assinatura Premiere inclusa</t>
        </is>
      </c>
      <c r="U4364" s="2" t="inlineStr">
        <is>
          <t>https://vivo.com.br/para-voce/produtos-e-servicos/para-o-celular/planos-pos-pago</t>
        </is>
      </c>
      <c r="V4364" s="2" t="inlineStr">
        <is>
          <t>data/raw/vivo_postpaid_SP.html</t>
        </is>
      </c>
    </row>
    <row r="4365">
      <c r="A4365" s="5" t="inlineStr">
        <is>
          <t>2026-09-06</t>
        </is>
      </c>
      <c r="B4365" s="5" t="inlineStr">
        <is>
          <t>2026-09-06T19:39:36</t>
        </is>
      </c>
      <c r="C4365" s="5" t="inlineStr">
        <is>
          <t>vivo</t>
        </is>
      </c>
      <c r="D4365" s="5" t="inlineStr">
        <is>
          <t>postpaid</t>
        </is>
      </c>
      <c r="E4365" s="5" t="inlineStr">
        <is>
          <t>SP</t>
        </is>
      </c>
      <c r="F4365" s="5" t="inlineStr">
        <is>
          <t>Vivo Pós com Spotify</t>
        </is>
      </c>
      <c r="G4365" s="5" t="inlineStr">
        <is>
          <t>vivo:VIV202600034556</t>
        </is>
      </c>
      <c r="H4365" s="6" t="n">
        <v>165</v>
      </c>
      <c r="I4365" s="6" t="inlineStr"/>
      <c r="J4365" s="5" t="inlineStr"/>
      <c r="K4365" s="5" t="inlineStr"/>
      <c r="L4365" s="7" t="n">
        <v>60</v>
      </c>
      <c r="M4365" s="5" t="inlineStr">
        <is>
          <t>50 GB de franquia 10 GB de bônus</t>
        </is>
      </c>
      <c r="N4365" s="5" t="inlineStr"/>
      <c r="O4365" s="5" t="inlineStr"/>
      <c r="P4365" s="5" t="inlineStr"/>
      <c r="Q4365" s="5" t="inlineStr"/>
      <c r="R4365" s="5" t="inlineStr">
        <is>
          <t>Spotify</t>
        </is>
      </c>
      <c r="S4365" s="5" t="inlineStr"/>
      <c r="T4365" s="5" t="inlineStr">
        <is>
          <t>Assinatura Spotify Premium inclusa</t>
        </is>
      </c>
      <c r="U4365" s="5" t="inlineStr">
        <is>
          <t>https://vivo.com.br/para-voce/produtos-e-servicos/para-o-celular/planos-pos-pago</t>
        </is>
      </c>
      <c r="V4365" s="5" t="inlineStr">
        <is>
          <t>data/raw/vivo_postpaid_SP.html</t>
        </is>
      </c>
    </row>
    <row r="4366">
      <c r="A4366" s="2" t="inlineStr">
        <is>
          <t>2026-09-06</t>
        </is>
      </c>
      <c r="B4366" s="2" t="inlineStr">
        <is>
          <t>2026-09-06T19:39:36</t>
        </is>
      </c>
      <c r="C4366" s="2" t="inlineStr">
        <is>
          <t>vivo</t>
        </is>
      </c>
      <c r="D4366" s="2" t="inlineStr">
        <is>
          <t>postpaid</t>
        </is>
      </c>
      <c r="E4366" s="2" t="inlineStr">
        <is>
          <t>SP</t>
        </is>
      </c>
      <c r="F4366" s="2" t="inlineStr">
        <is>
          <t>Vivo Pós com Travel</t>
        </is>
      </c>
      <c r="G4366" s="2" t="inlineStr">
        <is>
          <t>vivo:VIV202600034573</t>
        </is>
      </c>
      <c r="H4366" s="3" t="n">
        <v>215</v>
      </c>
      <c r="I4366" s="3" t="inlineStr"/>
      <c r="J4366" s="2" t="inlineStr"/>
      <c r="K4366" s="2" t="inlineStr"/>
      <c r="L4366" s="4" t="n">
        <v>70</v>
      </c>
      <c r="M4366" s="2" t="inlineStr">
        <is>
          <t>60 GB de franquia 10 GB de bônus</t>
        </is>
      </c>
      <c r="N4366" s="2" t="inlineStr"/>
      <c r="O4366" s="2" t="inlineStr"/>
      <c r="P4366" s="2" t="inlineStr"/>
      <c r="Q4366" s="2" t="inlineStr"/>
      <c r="R4366" s="2" t="inlineStr"/>
      <c r="S4366" s="2" t="inlineStr"/>
      <c r="T4366" s="2" t="inlineStr">
        <is>
          <t>6 meses grátis de Gemini com AI Plus</t>
        </is>
      </c>
      <c r="U4366" s="2" t="inlineStr">
        <is>
          <t>https://vivo.com.br/para-voce/produtos-e-servicos/para-o-celular/planos-pos-pago</t>
        </is>
      </c>
      <c r="V4366" s="2" t="inlineStr">
        <is>
          <t>data/raw/vivo_postpaid_SP.html</t>
        </is>
      </c>
    </row>
    <row r="4367">
      <c r="A4367" s="5" t="inlineStr">
        <is>
          <t>2026-09-06</t>
        </is>
      </c>
      <c r="B4367" s="5" t="inlineStr">
        <is>
          <t>2026-09-06T19:39:36</t>
        </is>
      </c>
      <c r="C4367" s="5" t="inlineStr">
        <is>
          <t>vivo</t>
        </is>
      </c>
      <c r="D4367" s="5" t="inlineStr">
        <is>
          <t>prepaid</t>
        </is>
      </c>
      <c r="E4367" s="5" t="inlineStr">
        <is>
          <t>SP</t>
        </is>
      </c>
      <c r="F4367" s="5" t="inlineStr">
        <is>
          <t>Vivo Pré</t>
        </is>
      </c>
      <c r="G4367" s="5" t="inlineStr">
        <is>
          <t>vivo:VIV202600029370-30d</t>
        </is>
      </c>
      <c r="H4367" s="6" t="n">
        <v>30</v>
      </c>
      <c r="I4367" s="6" t="inlineStr"/>
      <c r="J4367" s="5" t="inlineStr"/>
      <c r="K4367" s="5" t="inlineStr"/>
      <c r="L4367" s="7" t="n">
        <v>25</v>
      </c>
      <c r="M4367" s="5" t="inlineStr">
        <is>
          <t>15 GB para navegar como quiser 5 GB de bônus 5 GB para navegar no Youtube</t>
        </is>
      </c>
      <c r="N4367" s="5" t="n">
        <v>30</v>
      </c>
      <c r="O4367" s="5" t="inlineStr"/>
      <c r="P4367" s="5" t="inlineStr"/>
      <c r="Q4367" s="5" t="inlineStr"/>
      <c r="R4367" s="5" t="inlineStr"/>
      <c r="S4367" s="5" t="inlineStr"/>
      <c r="T4367" s="5" t="inlineStr"/>
      <c r="U4367" s="5" t="inlineStr">
        <is>
          <t>https://vivo.com.br/para-voce/produtos-e-servicos/para-o-celular/pre-pago/vivo-pre</t>
        </is>
      </c>
      <c r="V4367" s="5" t="inlineStr">
        <is>
          <t>data/raw/vivo_prepaid_SP.html</t>
        </is>
      </c>
    </row>
    <row r="4368">
      <c r="A4368" s="2" t="inlineStr">
        <is>
          <t>2026-09-06</t>
        </is>
      </c>
      <c r="B4368" s="2" t="inlineStr">
        <is>
          <t>2026-09-06T19:39:36</t>
        </is>
      </c>
      <c r="C4368" s="2" t="inlineStr">
        <is>
          <t>vivo</t>
        </is>
      </c>
      <c r="D4368" s="2" t="inlineStr">
        <is>
          <t>prepaid</t>
        </is>
      </c>
      <c r="E4368" s="2" t="inlineStr">
        <is>
          <t>SP</t>
        </is>
      </c>
      <c r="F4368" s="2" t="inlineStr">
        <is>
          <t>Vivo Pré</t>
        </is>
      </c>
      <c r="G4368" s="2" t="inlineStr">
        <is>
          <t>vivo:VIV202600029370-22d</t>
        </is>
      </c>
      <c r="H4368" s="3" t="n">
        <v>25</v>
      </c>
      <c r="I4368" s="3" t="inlineStr"/>
      <c r="J4368" s="2" t="inlineStr"/>
      <c r="K4368" s="2" t="inlineStr"/>
      <c r="L4368" s="4" t="n">
        <v>9</v>
      </c>
      <c r="M4368" s="2" t="inlineStr">
        <is>
          <t>6 GB para navegar como quiser 3 GB para navegar no YouTube</t>
        </is>
      </c>
      <c r="N4368" s="2" t="n">
        <v>22</v>
      </c>
      <c r="O4368" s="2" t="inlineStr"/>
      <c r="P4368" s="2" t="inlineStr"/>
      <c r="Q4368" s="2" t="inlineStr"/>
      <c r="R4368" s="2" t="inlineStr"/>
      <c r="S4368" s="2" t="inlineStr"/>
      <c r="T4368" s="2" t="inlineStr"/>
      <c r="U4368" s="2" t="inlineStr">
        <is>
          <t>https://vivo.com.br/para-voce/produtos-e-servicos/para-o-celular/pre-pago/vivo-pre</t>
        </is>
      </c>
      <c r="V4368" s="2" t="inlineStr">
        <is>
          <t>data/raw/vivo_prepaid_SP.html</t>
        </is>
      </c>
    </row>
    <row r="4369">
      <c r="A4369" s="5" t="inlineStr">
        <is>
          <t>2026-09-06</t>
        </is>
      </c>
      <c r="B4369" s="5" t="inlineStr">
        <is>
          <t>2026-09-06T19:39:36</t>
        </is>
      </c>
      <c r="C4369" s="5" t="inlineStr">
        <is>
          <t>vivo</t>
        </is>
      </c>
      <c r="D4369" s="5" t="inlineStr">
        <is>
          <t>prepaid</t>
        </is>
      </c>
      <c r="E4369" s="5" t="inlineStr">
        <is>
          <t>SP</t>
        </is>
      </c>
      <c r="F4369" s="5" t="inlineStr">
        <is>
          <t>Vivo Pré</t>
        </is>
      </c>
      <c r="G4369" s="5" t="inlineStr">
        <is>
          <t>vivo:VIV202600029370-17d</t>
        </is>
      </c>
      <c r="H4369" s="6" t="n">
        <v>20</v>
      </c>
      <c r="I4369" s="6" t="inlineStr"/>
      <c r="J4369" s="5" t="inlineStr"/>
      <c r="K4369" s="5" t="inlineStr"/>
      <c r="L4369" s="7" t="n">
        <v>5</v>
      </c>
      <c r="M4369" s="5" t="inlineStr">
        <is>
          <t>5 GB para navegar como quiser</t>
        </is>
      </c>
      <c r="N4369" s="5" t="n">
        <v>17</v>
      </c>
      <c r="O4369" s="5" t="inlineStr"/>
      <c r="P4369" s="5" t="inlineStr"/>
      <c r="Q4369" s="5" t="inlineStr"/>
      <c r="R4369" s="5" t="inlineStr"/>
      <c r="S4369" s="5" t="inlineStr"/>
      <c r="T4369" s="5" t="inlineStr"/>
      <c r="U4369" s="5" t="inlineStr">
        <is>
          <t>https://vivo.com.br/para-voce/produtos-e-servicos/para-o-celular/pre-pago/vivo-pre</t>
        </is>
      </c>
      <c r="V4369" s="5" t="inlineStr">
        <is>
          <t>data/raw/vivo_prepaid_SP.html</t>
        </is>
      </c>
    </row>
    <row r="4370">
      <c r="A4370" s="2" t="inlineStr">
        <is>
          <t>2026-09-06</t>
        </is>
      </c>
      <c r="B4370" s="2" t="inlineStr">
        <is>
          <t>2026-09-06T19:39:36</t>
        </is>
      </c>
      <c r="C4370" s="2" t="inlineStr">
        <is>
          <t>vivo</t>
        </is>
      </c>
      <c r="D4370" s="2" t="inlineStr">
        <is>
          <t>prepaid</t>
        </is>
      </c>
      <c r="E4370" s="2" t="inlineStr">
        <is>
          <t>SP</t>
        </is>
      </c>
      <c r="F4370" s="2" t="inlineStr">
        <is>
          <t>Vivo Pré</t>
        </is>
      </c>
      <c r="G4370" s="2" t="inlineStr">
        <is>
          <t>vivo:VIV202600029370-15d</t>
        </is>
      </c>
      <c r="H4370" s="3" t="n">
        <v>17</v>
      </c>
      <c r="I4370" s="3" t="inlineStr"/>
      <c r="J4370" s="2" t="inlineStr"/>
      <c r="K4370" s="2" t="inlineStr"/>
      <c r="L4370" s="4" t="n">
        <v>4</v>
      </c>
      <c r="M4370" s="2" t="inlineStr">
        <is>
          <t>4 GB para navegar como quiser</t>
        </is>
      </c>
      <c r="N4370" s="2" t="n">
        <v>15</v>
      </c>
      <c r="O4370" s="2" t="inlineStr"/>
      <c r="P4370" s="2" t="inlineStr"/>
      <c r="Q4370" s="2" t="inlineStr"/>
      <c r="R4370" s="2" t="inlineStr"/>
      <c r="S4370" s="2" t="inlineStr"/>
      <c r="T4370" s="2" t="inlineStr"/>
      <c r="U4370" s="2" t="inlineStr">
        <is>
          <t>https://vivo.com.br/para-voce/produtos-e-servicos/para-o-celular/pre-pago/vivo-pre</t>
        </is>
      </c>
      <c r="V4370" s="2" t="inlineStr">
        <is>
          <t>data/raw/vivo_prepaid_SP.html</t>
        </is>
      </c>
    </row>
    <row r="4371">
      <c r="A4371" s="5" t="inlineStr">
        <is>
          <t>2026-09-07</t>
        </is>
      </c>
      <c r="B4371" s="5" t="inlineStr">
        <is>
          <t>2026-09-07T20:15:39</t>
        </is>
      </c>
      <c r="C4371" s="5" t="inlineStr">
        <is>
          <t>claro</t>
        </is>
      </c>
      <c r="D4371" s="5" t="inlineStr">
        <is>
          <t>control</t>
        </is>
      </c>
      <c r="E4371" s="5" t="inlineStr">
        <is>
          <t>SP</t>
        </is>
      </c>
      <c r="F4371" s="5" t="inlineStr">
        <is>
          <t>Controle 25GB</t>
        </is>
      </c>
      <c r="G4371" s="5" t="inlineStr">
        <is>
          <t>claro:plano-controle-25gb</t>
        </is>
      </c>
      <c r="H4371" s="6" t="n">
        <v>59.9</v>
      </c>
      <c r="I4371" s="6" t="n">
        <v>54.9</v>
      </c>
      <c r="J4371" s="5" t="inlineStr">
        <is>
          <t>De R$ 59,90 Por:</t>
        </is>
      </c>
      <c r="K4371" s="5" t="inlineStr"/>
      <c r="L4371" s="7" t="n">
        <v>25</v>
      </c>
      <c r="M4371" s="5" t="inlineStr"/>
      <c r="N4371" s="5" t="inlineStr"/>
      <c r="O4371" s="5" t="inlineStr">
        <is>
          <t>WhatsApp</t>
        </is>
      </c>
      <c r="P4371" s="5" t="inlineStr"/>
      <c r="Q4371" s="5" t="inlineStr"/>
      <c r="R4371" s="5" t="inlineStr"/>
      <c r="S4371" s="5" t="inlineStr"/>
      <c r="T4371" s="5" t="inlineStr">
        <is>
          <t>Para uso livre; Para redes sociais e vídeos; Bônus exclusivo; Aproveite na sua franquia; WhatsApp e ligações ilimitadas</t>
        </is>
      </c>
      <c r="U4371" s="5" t="inlineStr">
        <is>
          <t>https://www.claro.com.br/celular/controle</t>
        </is>
      </c>
      <c r="V4371" s="5" t="inlineStr">
        <is>
          <t>data/raw/claro_control_SP.json</t>
        </is>
      </c>
    </row>
    <row r="4372">
      <c r="A4372" s="2" t="inlineStr">
        <is>
          <t>2026-09-07</t>
        </is>
      </c>
      <c r="B4372" s="2" t="inlineStr">
        <is>
          <t>2026-09-07T20:15:39</t>
        </is>
      </c>
      <c r="C4372" s="2" t="inlineStr">
        <is>
          <t>claro</t>
        </is>
      </c>
      <c r="D4372" s="2" t="inlineStr">
        <is>
          <t>control</t>
        </is>
      </c>
      <c r="E4372" s="2" t="inlineStr">
        <is>
          <t>SP</t>
        </is>
      </c>
      <c r="F4372" s="2" t="inlineStr">
        <is>
          <t>Controle 30GB</t>
        </is>
      </c>
      <c r="G4372" s="2" t="inlineStr">
        <is>
          <t>claro:plano-controle-30gb</t>
        </is>
      </c>
      <c r="H4372" s="3" t="n">
        <v>69.90000000000001</v>
      </c>
      <c r="I4372" s="3" t="inlineStr"/>
      <c r="J4372" s="2" t="inlineStr"/>
      <c r="K4372" s="2" t="inlineStr"/>
      <c r="L4372" s="4" t="n">
        <v>30</v>
      </c>
      <c r="M4372" s="2" t="inlineStr"/>
      <c r="N4372" s="2" t="inlineStr"/>
      <c r="O4372" s="2" t="inlineStr">
        <is>
          <t>WhatsApp</t>
        </is>
      </c>
      <c r="P4372" s="2" t="inlineStr"/>
      <c r="Q4372" s="2" t="inlineStr"/>
      <c r="R4372" s="2" t="inlineStr"/>
      <c r="S4372" s="2" t="inlineStr"/>
      <c r="T4372" s="2" t="inlineStr">
        <is>
          <t>Para uso livre; Bônus para uso livre; Bônus para redes sociais e apps; Assinatura Amazon Prime por 3 meses; Redes sociais e apps; WhatsApp ilimitado</t>
        </is>
      </c>
      <c r="U4372" s="2" t="inlineStr">
        <is>
          <t>https://www.claro.com.br/celular/controle</t>
        </is>
      </c>
      <c r="V4372" s="2" t="inlineStr">
        <is>
          <t>data/raw/claro_control_SP.json</t>
        </is>
      </c>
    </row>
    <row r="4373">
      <c r="A4373" s="5" t="inlineStr">
        <is>
          <t>2026-09-07</t>
        </is>
      </c>
      <c r="B4373" s="5" t="inlineStr">
        <is>
          <t>2026-09-07T20:15:39</t>
        </is>
      </c>
      <c r="C4373" s="5" t="inlineStr">
        <is>
          <t>claro</t>
        </is>
      </c>
      <c r="D4373" s="5" t="inlineStr">
        <is>
          <t>control</t>
        </is>
      </c>
      <c r="E4373" s="5" t="inlineStr">
        <is>
          <t>SP</t>
        </is>
      </c>
      <c r="F4373" s="5" t="inlineStr">
        <is>
          <t>Controle 30GB</t>
        </is>
      </c>
      <c r="G4373" s="5" t="inlineStr">
        <is>
          <t>claro:plano-controle-30gb-gaming</t>
        </is>
      </c>
      <c r="H4373" s="6" t="n">
        <v>99.90000000000001</v>
      </c>
      <c r="I4373" s="6" t="inlineStr"/>
      <c r="J4373" s="5" t="inlineStr"/>
      <c r="K4373" s="5" t="inlineStr"/>
      <c r="L4373" s="7" t="n">
        <v>30</v>
      </c>
      <c r="M4373" s="5" t="inlineStr"/>
      <c r="N4373" s="5" t="inlineStr"/>
      <c r="O4373" s="5" t="inlineStr">
        <is>
          <t>WhatsApp</t>
        </is>
      </c>
      <c r="P4373" s="5" t="inlineStr"/>
      <c r="Q4373" s="5" t="inlineStr"/>
      <c r="R4373" s="5" t="inlineStr"/>
      <c r="S4373" s="5" t="inlineStr"/>
      <c r="T4373" s="5" t="inlineStr">
        <is>
          <t>Para uso livre; Bônus para redes sociais e apps; Bônus uso livre; Assinatura Amazon Prime por 3 meses; Redes sociais e apps; WhatsApp ilimitado</t>
        </is>
      </c>
      <c r="U4373" s="5" t="inlineStr">
        <is>
          <t>https://www.claro.com.br/celular/controle</t>
        </is>
      </c>
      <c r="V4373" s="5" t="inlineStr">
        <is>
          <t>data/raw/claro_control_SP.json</t>
        </is>
      </c>
    </row>
    <row r="4374">
      <c r="A4374" s="2" t="inlineStr">
        <is>
          <t>2026-09-07</t>
        </is>
      </c>
      <c r="B4374" s="2" t="inlineStr">
        <is>
          <t>2026-09-07T20:15:39</t>
        </is>
      </c>
      <c r="C4374" s="2" t="inlineStr">
        <is>
          <t>claro</t>
        </is>
      </c>
      <c r="D4374" s="2" t="inlineStr">
        <is>
          <t>flex</t>
        </is>
      </c>
      <c r="E4374" s="2" t="inlineStr">
        <is>
          <t>SP</t>
        </is>
      </c>
      <c r="F4374" s="2" t="inlineStr">
        <is>
          <t>Flex 15GB</t>
        </is>
      </c>
      <c r="G4374" s="2" t="inlineStr">
        <is>
          <t>claro:plano-flex-15gb</t>
        </is>
      </c>
      <c r="H4374" s="3" t="n">
        <v>44.9</v>
      </c>
      <c r="I4374" s="3" t="inlineStr"/>
      <c r="J4374" s="2" t="inlineStr"/>
      <c r="K4374" s="2" t="inlineStr"/>
      <c r="L4374" s="4" t="n">
        <v>15</v>
      </c>
      <c r="M4374" s="2" t="inlineStr"/>
      <c r="N4374" s="2" t="inlineStr"/>
      <c r="O4374" s="2" t="inlineStr">
        <is>
          <t>WhatsApp</t>
        </is>
      </c>
      <c r="P4374" s="2" t="inlineStr"/>
      <c r="Q4374" s="2" t="inlineStr"/>
      <c r="R4374" s="2" t="inlineStr"/>
      <c r="S4374" s="2" t="inlineStr"/>
      <c r="T4374" s="2" t="inlineStr">
        <is>
          <t>Para uso livre; Para redes sociais e apps; Bônus extra nos apps; WhatsApp ilimitado</t>
        </is>
      </c>
      <c r="U4374" s="2" t="inlineStr">
        <is>
          <t>https://www.claro.com.br/celular/flex</t>
        </is>
      </c>
      <c r="V4374" s="2" t="inlineStr">
        <is>
          <t>data/raw/claro_flex_SP.json</t>
        </is>
      </c>
    </row>
    <row r="4375">
      <c r="A4375" s="5" t="inlineStr">
        <is>
          <t>2026-09-07</t>
        </is>
      </c>
      <c r="B4375" s="5" t="inlineStr">
        <is>
          <t>2026-09-07T20:15:39</t>
        </is>
      </c>
      <c r="C4375" s="5" t="inlineStr">
        <is>
          <t>claro</t>
        </is>
      </c>
      <c r="D4375" s="5" t="inlineStr">
        <is>
          <t>flex</t>
        </is>
      </c>
      <c r="E4375" s="5" t="inlineStr">
        <is>
          <t>SP</t>
        </is>
      </c>
      <c r="F4375" s="5" t="inlineStr">
        <is>
          <t>Flex 20GB</t>
        </is>
      </c>
      <c r="G4375" s="5" t="inlineStr">
        <is>
          <t>claro:plano-flex-20gb</t>
        </is>
      </c>
      <c r="H4375" s="6" t="n">
        <v>59.9</v>
      </c>
      <c r="I4375" s="6" t="inlineStr"/>
      <c r="J4375" s="5" t="inlineStr"/>
      <c r="K4375" s="5" t="inlineStr"/>
      <c r="L4375" s="7" t="n">
        <v>20</v>
      </c>
      <c r="M4375" s="5" t="inlineStr"/>
      <c r="N4375" s="5" t="inlineStr"/>
      <c r="O4375" s="5" t="inlineStr">
        <is>
          <t>WhatsApp</t>
        </is>
      </c>
      <c r="P4375" s="5" t="inlineStr"/>
      <c r="Q4375" s="5" t="inlineStr"/>
      <c r="R4375" s="5" t="inlineStr"/>
      <c r="S4375" s="5" t="inlineStr"/>
      <c r="T4375" s="5" t="inlineStr">
        <is>
          <t>Para uso livre; Para redes sociais e apps; Bônus extra nos apps; WhatsApp ilimitado</t>
        </is>
      </c>
      <c r="U4375" s="5" t="inlineStr">
        <is>
          <t>https://www.claro.com.br/celular/flex</t>
        </is>
      </c>
      <c r="V4375" s="5" t="inlineStr">
        <is>
          <t>data/raw/claro_flex_SP.json</t>
        </is>
      </c>
    </row>
    <row r="4376">
      <c r="A4376" s="2" t="inlineStr">
        <is>
          <t>2026-09-07</t>
        </is>
      </c>
      <c r="B4376" s="2" t="inlineStr">
        <is>
          <t>2026-09-07T20:15:39</t>
        </is>
      </c>
      <c r="C4376" s="2" t="inlineStr">
        <is>
          <t>claro</t>
        </is>
      </c>
      <c r="D4376" s="2" t="inlineStr">
        <is>
          <t>flex</t>
        </is>
      </c>
      <c r="E4376" s="2" t="inlineStr">
        <is>
          <t>SP</t>
        </is>
      </c>
      <c r="F4376" s="2" t="inlineStr">
        <is>
          <t>Flex 30GB</t>
        </is>
      </c>
      <c r="G4376" s="2" t="inlineStr">
        <is>
          <t>claro:plano-flex-30gb</t>
        </is>
      </c>
      <c r="H4376" s="3" t="n">
        <v>69.90000000000001</v>
      </c>
      <c r="I4376" s="3" t="inlineStr"/>
      <c r="J4376" s="2" t="inlineStr"/>
      <c r="K4376" s="2" t="inlineStr"/>
      <c r="L4376" s="4" t="n">
        <v>30</v>
      </c>
      <c r="M4376" s="2" t="inlineStr"/>
      <c r="N4376" s="2" t="inlineStr"/>
      <c r="O4376" s="2" t="inlineStr">
        <is>
          <t>WhatsApp</t>
        </is>
      </c>
      <c r="P4376" s="2" t="inlineStr"/>
      <c r="Q4376" s="2" t="inlineStr"/>
      <c r="R4376" s="2" t="inlineStr"/>
      <c r="S4376" s="2" t="inlineStr"/>
      <c r="T4376" s="2" t="inlineStr">
        <is>
          <t>Para uso livre; Para redes sociais e apps; Bônus extra nos apps; WhatsApp ilimitado; Assinatura Claro musica inclusa</t>
        </is>
      </c>
      <c r="U4376" s="2" t="inlineStr">
        <is>
          <t>https://www.claro.com.br/celular/flex</t>
        </is>
      </c>
      <c r="V4376" s="2" t="inlineStr">
        <is>
          <t>data/raw/claro_flex_SP.json</t>
        </is>
      </c>
    </row>
    <row r="4377">
      <c r="A4377" s="5" t="inlineStr">
        <is>
          <t>2026-09-07</t>
        </is>
      </c>
      <c r="B4377" s="5" t="inlineStr">
        <is>
          <t>2026-09-07T20:15:39</t>
        </is>
      </c>
      <c r="C4377" s="5" t="inlineStr">
        <is>
          <t>claro</t>
        </is>
      </c>
      <c r="D4377" s="5" t="inlineStr">
        <is>
          <t>flex</t>
        </is>
      </c>
      <c r="E4377" s="5" t="inlineStr">
        <is>
          <t>SP</t>
        </is>
      </c>
      <c r="F4377" s="5" t="inlineStr">
        <is>
          <t>Flex 40GB</t>
        </is>
      </c>
      <c r="G4377" s="5" t="inlineStr">
        <is>
          <t>claro:plano-flex-40gb</t>
        </is>
      </c>
      <c r="H4377" s="6" t="n">
        <v>119.9</v>
      </c>
      <c r="I4377" s="6" t="inlineStr"/>
      <c r="J4377" s="5" t="inlineStr"/>
      <c r="K4377" s="5" t="inlineStr"/>
      <c r="L4377" s="7" t="n">
        <v>40</v>
      </c>
      <c r="M4377" s="5" t="inlineStr"/>
      <c r="N4377" s="5" t="inlineStr"/>
      <c r="O4377" s="5" t="inlineStr">
        <is>
          <t>WhatsApp</t>
        </is>
      </c>
      <c r="P4377" s="5" t="inlineStr"/>
      <c r="Q4377" s="5" t="inlineStr"/>
      <c r="R4377" s="5" t="inlineStr"/>
      <c r="S4377" s="5" t="inlineStr"/>
      <c r="T4377" s="5" t="inlineStr">
        <is>
          <t>Para uso livre; WhatsApp ilimitado; Assinatura Claro musica inclusa; Roaming: Passaporte Américas</t>
        </is>
      </c>
      <c r="U4377" s="5" t="inlineStr">
        <is>
          <t>https://www.claro.com.br/celular/flex</t>
        </is>
      </c>
      <c r="V4377" s="5" t="inlineStr">
        <is>
          <t>data/raw/claro_flex_SP.json</t>
        </is>
      </c>
    </row>
    <row r="4378">
      <c r="A4378" s="2" t="inlineStr">
        <is>
          <t>2026-09-07</t>
        </is>
      </c>
      <c r="B4378" s="2" t="inlineStr">
        <is>
          <t>2026-09-07T20:15:39</t>
        </is>
      </c>
      <c r="C4378" s="2" t="inlineStr">
        <is>
          <t>claro</t>
        </is>
      </c>
      <c r="D4378" s="2" t="inlineStr">
        <is>
          <t>postpaid</t>
        </is>
      </c>
      <c r="E4378" s="2" t="inlineStr">
        <is>
          <t>SP</t>
        </is>
      </c>
      <c r="F4378" s="2" t="inlineStr">
        <is>
          <t>Pós 100GB</t>
        </is>
      </c>
      <c r="G4378" s="2" t="inlineStr">
        <is>
          <t>claro:plano-pos-100gb</t>
        </is>
      </c>
      <c r="H4378" s="3" t="n">
        <v>179.9</v>
      </c>
      <c r="I4378" s="3" t="inlineStr"/>
      <c r="J4378" s="2" t="inlineStr"/>
      <c r="K4378" s="2" t="inlineStr"/>
      <c r="L4378" s="4" t="n">
        <v>100</v>
      </c>
      <c r="M4378" s="2" t="inlineStr"/>
      <c r="N4378" s="2" t="inlineStr"/>
      <c r="O4378" s="2" t="inlineStr">
        <is>
          <t>WhatsApp</t>
        </is>
      </c>
      <c r="P4378" s="2" t="inlineStr"/>
      <c r="Q4378" s="2" t="inlineStr"/>
      <c r="R4378" s="2" t="inlineStr"/>
      <c r="S4378" s="2" t="inlineStr"/>
      <c r="T4378" s="2" t="inlineStr">
        <is>
          <t>Armazenamento na nuvem:; Google One ou iCloud+; WhatsApp ilimitado; Assinatura Amazon Prime por 3 meses; Roaming: Passaporte Américas; Claro Sync: Smartwatch conectado</t>
        </is>
      </c>
      <c r="U4378" s="2" t="inlineStr">
        <is>
          <t>https://www.claro.com.br/celular/pos</t>
        </is>
      </c>
      <c r="V4378" s="2" t="inlineStr">
        <is>
          <t>data/raw/claro_postpaid_SP.json</t>
        </is>
      </c>
    </row>
    <row r="4379">
      <c r="A4379" s="5" t="inlineStr">
        <is>
          <t>2026-09-07</t>
        </is>
      </c>
      <c r="B4379" s="5" t="inlineStr">
        <is>
          <t>2026-09-07T20:15:39</t>
        </is>
      </c>
      <c r="C4379" s="5" t="inlineStr">
        <is>
          <t>claro</t>
        </is>
      </c>
      <c r="D4379" s="5" t="inlineStr">
        <is>
          <t>postpaid</t>
        </is>
      </c>
      <c r="E4379" s="5" t="inlineStr">
        <is>
          <t>SP</t>
        </is>
      </c>
      <c r="F4379" s="5" t="inlineStr">
        <is>
          <t>Pós 150GB</t>
        </is>
      </c>
      <c r="G4379" s="5" t="inlineStr">
        <is>
          <t>claro:plano-pos-150gb</t>
        </is>
      </c>
      <c r="H4379" s="6" t="n">
        <v>239.9</v>
      </c>
      <c r="I4379" s="6" t="inlineStr"/>
      <c r="J4379" s="5" t="inlineStr"/>
      <c r="K4379" s="5" t="inlineStr"/>
      <c r="L4379" s="7" t="n">
        <v>150</v>
      </c>
      <c r="M4379" s="5" t="inlineStr"/>
      <c r="N4379" s="5" t="inlineStr"/>
      <c r="O4379" s="5" t="inlineStr">
        <is>
          <t>WhatsApp</t>
        </is>
      </c>
      <c r="P4379" s="5" t="inlineStr"/>
      <c r="Q4379" s="5" t="inlineStr"/>
      <c r="R4379" s="5" t="inlineStr"/>
      <c r="S4379" s="5" t="inlineStr"/>
      <c r="T4379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379" s="5" t="inlineStr">
        <is>
          <t>https://www.claro.com.br/celular/pos</t>
        </is>
      </c>
      <c r="V4379" s="5" t="inlineStr">
        <is>
          <t>data/raw/claro_postpaid_SP.json</t>
        </is>
      </c>
    </row>
    <row r="4380">
      <c r="A4380" s="2" t="inlineStr">
        <is>
          <t>2026-09-07</t>
        </is>
      </c>
      <c r="B4380" s="2" t="inlineStr">
        <is>
          <t>2026-09-07T20:15:39</t>
        </is>
      </c>
      <c r="C4380" s="2" t="inlineStr">
        <is>
          <t>claro</t>
        </is>
      </c>
      <c r="D4380" s="2" t="inlineStr">
        <is>
          <t>postpaid</t>
        </is>
      </c>
      <c r="E4380" s="2" t="inlineStr">
        <is>
          <t>SP</t>
        </is>
      </c>
      <c r="F4380" s="2" t="inlineStr">
        <is>
          <t>Pós 200GB</t>
        </is>
      </c>
      <c r="G4380" s="2" t="inlineStr">
        <is>
          <t>claro:plano-pos-200gb</t>
        </is>
      </c>
      <c r="H4380" s="3" t="n">
        <v>339.9</v>
      </c>
      <c r="I4380" s="3" t="inlineStr"/>
      <c r="J4380" s="2" t="inlineStr"/>
      <c r="K4380" s="2" t="inlineStr"/>
      <c r="L4380" s="4" t="n">
        <v>200</v>
      </c>
      <c r="M4380" s="2" t="inlineStr"/>
      <c r="N4380" s="2" t="inlineStr"/>
      <c r="O4380" s="2" t="inlineStr">
        <is>
          <t>WhatsApp</t>
        </is>
      </c>
      <c r="P4380" s="2" t="inlineStr"/>
      <c r="Q4380" s="2" t="inlineStr"/>
      <c r="R4380" s="2" t="inlineStr"/>
      <c r="S4380" s="2" t="inlineStr"/>
      <c r="T4380" s="2" t="inlineStr">
        <is>
          <t>Armazenamento na nuvem:; Google One (AI Plus) ou iCloud+; WhatsApp ilimitado; Assinatura Amazon Prime por 3 meses; Roaming: Passaporte Mundo; Claro Sync: Smartwatch conectado</t>
        </is>
      </c>
      <c r="U4380" s="2" t="inlineStr">
        <is>
          <t>https://www.claro.com.br/celular/pos</t>
        </is>
      </c>
      <c r="V4380" s="2" t="inlineStr">
        <is>
          <t>data/raw/claro_postpaid_SP.json</t>
        </is>
      </c>
    </row>
    <row r="4381">
      <c r="A4381" s="5" t="inlineStr">
        <is>
          <t>2026-09-07</t>
        </is>
      </c>
      <c r="B4381" s="5" t="inlineStr">
        <is>
          <t>2026-09-07T20:15:39</t>
        </is>
      </c>
      <c r="C4381" s="5" t="inlineStr">
        <is>
          <t>claro</t>
        </is>
      </c>
      <c r="D4381" s="5" t="inlineStr">
        <is>
          <t>postpaid</t>
        </is>
      </c>
      <c r="E4381" s="5" t="inlineStr">
        <is>
          <t>SP</t>
        </is>
      </c>
      <c r="F4381" s="5" t="inlineStr">
        <is>
          <t>Pós 50GB com GeForce NOW</t>
        </is>
      </c>
      <c r="G4381" s="5" t="inlineStr">
        <is>
          <t>claro:plano-pos-60gb-geforce</t>
        </is>
      </c>
      <c r="H4381" s="6" t="n">
        <v>164.9</v>
      </c>
      <c r="I4381" s="6" t="inlineStr"/>
      <c r="J4381" s="5" t="inlineStr"/>
      <c r="K4381" s="5" t="inlineStr"/>
      <c r="L4381" s="7" t="n">
        <v>50</v>
      </c>
      <c r="M4381" s="5" t="inlineStr"/>
      <c r="N4381" s="5" t="inlineStr"/>
      <c r="O4381" s="5" t="inlineStr">
        <is>
          <t>WhatsApp</t>
        </is>
      </c>
      <c r="P4381" s="5" t="inlineStr"/>
      <c r="Q4381" s="5" t="inlineStr"/>
      <c r="R4381" s="5" t="inlineStr"/>
      <c r="S4381" s="5" t="inlineStr"/>
      <c r="T438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381" s="5" t="inlineStr">
        <is>
          <t>https://www.claro.com.br/celular/pos</t>
        </is>
      </c>
      <c r="V4381" s="5" t="inlineStr">
        <is>
          <t>data/raw/claro_postpaid_SP.json</t>
        </is>
      </c>
    </row>
    <row r="4382">
      <c r="A4382" s="2" t="inlineStr">
        <is>
          <t>2026-09-07</t>
        </is>
      </c>
      <c r="B4382" s="2" t="inlineStr">
        <is>
          <t>2026-09-07T20:15:39</t>
        </is>
      </c>
      <c r="C4382" s="2" t="inlineStr">
        <is>
          <t>claro</t>
        </is>
      </c>
      <c r="D4382" s="2" t="inlineStr">
        <is>
          <t>postpaid</t>
        </is>
      </c>
      <c r="E4382" s="2" t="inlineStr">
        <is>
          <t>SP</t>
        </is>
      </c>
      <c r="F4382" s="2" t="inlineStr">
        <is>
          <t>Pós 60GB</t>
        </is>
      </c>
      <c r="G4382" s="2" t="inlineStr">
        <is>
          <t>claro:plano-pos-60gb</t>
        </is>
      </c>
      <c r="H4382" s="3" t="n">
        <v>124.9</v>
      </c>
      <c r="I4382" s="3" t="inlineStr"/>
      <c r="J4382" s="2" t="inlineStr"/>
      <c r="K4382" s="2" t="inlineStr"/>
      <c r="L4382" s="4" t="n">
        <v>60</v>
      </c>
      <c r="M4382" s="2" t="inlineStr"/>
      <c r="N4382" s="2" t="inlineStr"/>
      <c r="O4382" s="2" t="inlineStr">
        <is>
          <t>WhatsApp</t>
        </is>
      </c>
      <c r="P4382" s="2" t="inlineStr"/>
      <c r="Q4382" s="2" t="inlineStr"/>
      <c r="R4382" s="2" t="inlineStr"/>
      <c r="S4382" s="2" t="inlineStr"/>
      <c r="T4382" s="2" t="inlineStr">
        <is>
          <t>Armazenamento na nuvem:; Google One ou iCloud+; WhatsApp ilimitado; Assinatura Amazon Prime por 3 meses; Roaming: Passaporte Américas; Claro Sync: Smartwatch conectado</t>
        </is>
      </c>
      <c r="U4382" s="2" t="inlineStr">
        <is>
          <t>https://www.claro.com.br/celular/pos</t>
        </is>
      </c>
      <c r="V4382" s="2" t="inlineStr">
        <is>
          <t>data/raw/claro_postpaid_SP.json</t>
        </is>
      </c>
    </row>
    <row r="4383">
      <c r="A4383" s="5" t="inlineStr">
        <is>
          <t>2026-09-07</t>
        </is>
      </c>
      <c r="B4383" s="5" t="inlineStr">
        <is>
          <t>2026-09-07T20:15:39</t>
        </is>
      </c>
      <c r="C4383" s="5" t="inlineStr">
        <is>
          <t>claro</t>
        </is>
      </c>
      <c r="D4383" s="5" t="inlineStr">
        <is>
          <t>prepaid</t>
        </is>
      </c>
      <c r="E4383" s="5" t="inlineStr">
        <is>
          <t>SP</t>
        </is>
      </c>
      <c r="F4383" s="5" t="inlineStr">
        <is>
          <t>Prezão 10GB (25 dias)</t>
        </is>
      </c>
      <c r="G4383" s="5" t="inlineStr">
        <is>
          <t>claro:prezao-25d-10gb</t>
        </is>
      </c>
      <c r="H4383" s="6" t="n">
        <v>25</v>
      </c>
      <c r="I4383" s="6" t="inlineStr"/>
      <c r="J4383" s="5" t="inlineStr">
        <is>
          <t>recarga Prezão R$25 — validade 25 dias</t>
        </is>
      </c>
      <c r="K4383" s="5" t="inlineStr"/>
      <c r="L4383" s="7" t="n">
        <v>10</v>
      </c>
      <c r="M4383" s="5" t="inlineStr"/>
      <c r="N4383" s="5" t="n">
        <v>25</v>
      </c>
      <c r="O4383" s="5" t="inlineStr"/>
      <c r="P4383" s="5" t="inlineStr"/>
      <c r="Q4383" s="5" t="inlineStr"/>
      <c r="R4383" s="5" t="inlineStr"/>
      <c r="S4383" s="5" t="inlineStr"/>
      <c r="T4383" s="5" t="inlineStr"/>
      <c r="U4383" s="5" t="inlineStr">
        <is>
          <t>https://www.claro.com.br/celular/planos-pre/prezao</t>
        </is>
      </c>
      <c r="V4383" s="5" t="inlineStr">
        <is>
          <t>data/raw/claro_prepaid_SP.json</t>
        </is>
      </c>
    </row>
    <row r="4384">
      <c r="A4384" s="2" t="inlineStr">
        <is>
          <t>2026-09-07</t>
        </is>
      </c>
      <c r="B4384" s="2" t="inlineStr">
        <is>
          <t>2026-09-07T20:15:39</t>
        </is>
      </c>
      <c r="C4384" s="2" t="inlineStr">
        <is>
          <t>claro</t>
        </is>
      </c>
      <c r="D4384" s="2" t="inlineStr">
        <is>
          <t>prepaid</t>
        </is>
      </c>
      <c r="E4384" s="2" t="inlineStr">
        <is>
          <t>SP</t>
        </is>
      </c>
      <c r="F4384" s="2" t="inlineStr">
        <is>
          <t>Prezão 12GB (30 dias)</t>
        </is>
      </c>
      <c r="G4384" s="2" t="inlineStr">
        <is>
          <t>claro:prezao-30d-12gb</t>
        </is>
      </c>
      <c r="H4384" s="3" t="n">
        <v>30</v>
      </c>
      <c r="I4384" s="3" t="inlineStr"/>
      <c r="J4384" s="2" t="inlineStr">
        <is>
          <t>recarga Prezão R$30 — validade 30 dias</t>
        </is>
      </c>
      <c r="K4384" s="2" t="inlineStr"/>
      <c r="L4384" s="4" t="n">
        <v>12</v>
      </c>
      <c r="M4384" s="2" t="inlineStr"/>
      <c r="N4384" s="2" t="n">
        <v>30</v>
      </c>
      <c r="O4384" s="2" t="inlineStr"/>
      <c r="P4384" s="2" t="inlineStr"/>
      <c r="Q4384" s="2" t="inlineStr"/>
      <c r="R4384" s="2" t="inlineStr"/>
      <c r="S4384" s="2" t="inlineStr"/>
      <c r="T4384" s="2" t="inlineStr"/>
      <c r="U4384" s="2" t="inlineStr">
        <is>
          <t>https://www.claro.com.br/celular/planos-pre/prezao</t>
        </is>
      </c>
      <c r="V4384" s="2" t="inlineStr">
        <is>
          <t>data/raw/claro_prepaid_SP.json</t>
        </is>
      </c>
    </row>
    <row r="4385">
      <c r="A4385" s="5" t="inlineStr">
        <is>
          <t>2026-09-07</t>
        </is>
      </c>
      <c r="B4385" s="5" t="inlineStr">
        <is>
          <t>2026-09-07T20:15:39</t>
        </is>
      </c>
      <c r="C4385" s="5" t="inlineStr">
        <is>
          <t>claro</t>
        </is>
      </c>
      <c r="D4385" s="5" t="inlineStr">
        <is>
          <t>prepaid</t>
        </is>
      </c>
      <c r="E4385" s="5" t="inlineStr">
        <is>
          <t>SP</t>
        </is>
      </c>
      <c r="F4385" s="5" t="inlineStr">
        <is>
          <t>Prezão 4GB (12 dias)</t>
        </is>
      </c>
      <c r="G4385" s="5" t="inlineStr">
        <is>
          <t>claro:prezao-12d-4gb</t>
        </is>
      </c>
      <c r="H4385" s="6" t="n">
        <v>15</v>
      </c>
      <c r="I4385" s="6" t="inlineStr"/>
      <c r="J4385" s="5" t="inlineStr">
        <is>
          <t>recarga Prezão R$15 — validade 12 dias</t>
        </is>
      </c>
      <c r="K4385" s="5" t="inlineStr"/>
      <c r="L4385" s="7" t="n">
        <v>4</v>
      </c>
      <c r="M4385" s="5" t="inlineStr"/>
      <c r="N4385" s="5" t="n">
        <v>12</v>
      </c>
      <c r="O4385" s="5" t="inlineStr"/>
      <c r="P4385" s="5" t="inlineStr"/>
      <c r="Q4385" s="5" t="inlineStr"/>
      <c r="R4385" s="5" t="inlineStr"/>
      <c r="S4385" s="5" t="inlineStr"/>
      <c r="T4385" s="5" t="inlineStr"/>
      <c r="U4385" s="5" t="inlineStr">
        <is>
          <t>https://www.claro.com.br/celular/planos-pre/prezao</t>
        </is>
      </c>
      <c r="V4385" s="5" t="inlineStr">
        <is>
          <t>data/raw/claro_prepaid_SP.json</t>
        </is>
      </c>
    </row>
    <row r="4386">
      <c r="A4386" s="2" t="inlineStr">
        <is>
          <t>2026-09-07</t>
        </is>
      </c>
      <c r="B4386" s="2" t="inlineStr">
        <is>
          <t>2026-09-07T20:15:39</t>
        </is>
      </c>
      <c r="C4386" s="2" t="inlineStr">
        <is>
          <t>claro</t>
        </is>
      </c>
      <c r="D4386" s="2" t="inlineStr">
        <is>
          <t>prepaid</t>
        </is>
      </c>
      <c r="E4386" s="2" t="inlineStr">
        <is>
          <t>SP</t>
        </is>
      </c>
      <c r="F4386" s="2" t="inlineStr">
        <is>
          <t>Prezão 5GB (15 dias)</t>
        </is>
      </c>
      <c r="G4386" s="2" t="inlineStr">
        <is>
          <t>claro:prezao-15d-5gb</t>
        </is>
      </c>
      <c r="H4386" s="3" t="n">
        <v>15</v>
      </c>
      <c r="I4386" s="3" t="inlineStr"/>
      <c r="J4386" s="2" t="inlineStr">
        <is>
          <t>recarga Prezão R$15 — validade 15 dias</t>
        </is>
      </c>
      <c r="K4386" s="2" t="inlineStr"/>
      <c r="L4386" s="4" t="n">
        <v>5</v>
      </c>
      <c r="M4386" s="2" t="inlineStr"/>
      <c r="N4386" s="2" t="n">
        <v>15</v>
      </c>
      <c r="O4386" s="2" t="inlineStr"/>
      <c r="P4386" s="2" t="inlineStr"/>
      <c r="Q4386" s="2" t="inlineStr"/>
      <c r="R4386" s="2" t="inlineStr"/>
      <c r="S4386" s="2" t="inlineStr"/>
      <c r="T4386" s="2" t="inlineStr"/>
      <c r="U4386" s="2" t="inlineStr">
        <is>
          <t>https://www.claro.com.br/celular/planos-pre/prezao</t>
        </is>
      </c>
      <c r="V4386" s="2" t="inlineStr">
        <is>
          <t>data/raw/claro_prepaid_SP.json</t>
        </is>
      </c>
    </row>
    <row r="4387">
      <c r="A4387" s="5" t="inlineStr">
        <is>
          <t>2026-09-07</t>
        </is>
      </c>
      <c r="B4387" s="5" t="inlineStr">
        <is>
          <t>2026-09-07T20:15:39</t>
        </is>
      </c>
      <c r="C4387" s="5" t="inlineStr">
        <is>
          <t>claro</t>
        </is>
      </c>
      <c r="D4387" s="5" t="inlineStr">
        <is>
          <t>prepaid</t>
        </is>
      </c>
      <c r="E4387" s="5" t="inlineStr">
        <is>
          <t>SP</t>
        </is>
      </c>
      <c r="F4387" s="5" t="inlineStr">
        <is>
          <t>Prezão 6GB (20 dias)</t>
        </is>
      </c>
      <c r="G4387" s="5" t="inlineStr">
        <is>
          <t>claro:prezao-20d-6gb</t>
        </is>
      </c>
      <c r="H4387" s="6" t="n">
        <v>20</v>
      </c>
      <c r="I4387" s="6" t="inlineStr"/>
      <c r="J4387" s="5" t="inlineStr">
        <is>
          <t>recarga Prezão R$20 — validade 20 dias</t>
        </is>
      </c>
      <c r="K4387" s="5" t="inlineStr"/>
      <c r="L4387" s="7" t="n">
        <v>6</v>
      </c>
      <c r="M4387" s="5" t="inlineStr"/>
      <c r="N4387" s="5" t="n">
        <v>20</v>
      </c>
      <c r="O4387" s="5" t="inlineStr"/>
      <c r="P4387" s="5" t="inlineStr"/>
      <c r="Q4387" s="5" t="inlineStr"/>
      <c r="R4387" s="5" t="inlineStr"/>
      <c r="S4387" s="5" t="inlineStr"/>
      <c r="T4387" s="5" t="inlineStr"/>
      <c r="U4387" s="5" t="inlineStr">
        <is>
          <t>https://www.claro.com.br/celular/planos-pre/prezao</t>
        </is>
      </c>
      <c r="V4387" s="5" t="inlineStr">
        <is>
          <t>data/raw/claro_prepaid_SP.json</t>
        </is>
      </c>
    </row>
    <row r="4388">
      <c r="A4388" s="2" t="inlineStr">
        <is>
          <t>2026-09-07</t>
        </is>
      </c>
      <c r="B4388" s="2" t="inlineStr">
        <is>
          <t>2026-09-07T20:15:39</t>
        </is>
      </c>
      <c r="C4388" s="2" t="inlineStr">
        <is>
          <t>claro</t>
        </is>
      </c>
      <c r="D4388" s="2" t="inlineStr">
        <is>
          <t>prepaid</t>
        </is>
      </c>
      <c r="E4388" s="2" t="inlineStr">
        <is>
          <t>SP</t>
        </is>
      </c>
      <c r="F4388" s="2" t="inlineStr">
        <is>
          <t>Prezão 8GB (20 dias)</t>
        </is>
      </c>
      <c r="G4388" s="2" t="inlineStr">
        <is>
          <t>claro:prezao-20d-8gb</t>
        </is>
      </c>
      <c r="H4388" s="3" t="n">
        <v>20</v>
      </c>
      <c r="I4388" s="3" t="inlineStr"/>
      <c r="J4388" s="2" t="inlineStr">
        <is>
          <t>recarga Prezão R$20 — validade 20 dias</t>
        </is>
      </c>
      <c r="K4388" s="2" t="inlineStr"/>
      <c r="L4388" s="4" t="n">
        <v>8</v>
      </c>
      <c r="M4388" s="2" t="inlineStr"/>
      <c r="N4388" s="2" t="n">
        <v>20</v>
      </c>
      <c r="O4388" s="2" t="inlineStr"/>
      <c r="P4388" s="2" t="inlineStr"/>
      <c r="Q4388" s="2" t="inlineStr"/>
      <c r="R4388" s="2" t="inlineStr"/>
      <c r="S4388" s="2" t="inlineStr"/>
      <c r="T4388" s="2" t="inlineStr"/>
      <c r="U4388" s="2" t="inlineStr">
        <is>
          <t>https://www.claro.com.br/celular/planos-pre/prezao</t>
        </is>
      </c>
      <c r="V4388" s="2" t="inlineStr">
        <is>
          <t>data/raw/claro_prepaid_SP.json</t>
        </is>
      </c>
    </row>
    <row r="4389">
      <c r="A4389" s="5" t="inlineStr">
        <is>
          <t>2026-09-07</t>
        </is>
      </c>
      <c r="B4389" s="5" t="inlineStr">
        <is>
          <t>2026-09-07T20:15:39</t>
        </is>
      </c>
      <c r="C4389" s="5" t="inlineStr">
        <is>
          <t>claro</t>
        </is>
      </c>
      <c r="D4389" s="5" t="inlineStr">
        <is>
          <t>prepaid</t>
        </is>
      </c>
      <c r="E4389" s="5" t="inlineStr">
        <is>
          <t>SP</t>
        </is>
      </c>
      <c r="F4389" s="5" t="inlineStr">
        <is>
          <t>Prezão 9GB (25 dias)</t>
        </is>
      </c>
      <c r="G4389" s="5" t="inlineStr">
        <is>
          <t>claro:prezao-25d-9gb</t>
        </is>
      </c>
      <c r="H4389" s="6" t="n">
        <v>25</v>
      </c>
      <c r="I4389" s="6" t="inlineStr"/>
      <c r="J4389" s="5" t="inlineStr">
        <is>
          <t>recarga Prezão R$25 — validade 25 dias</t>
        </is>
      </c>
      <c r="K4389" s="5" t="inlineStr"/>
      <c r="L4389" s="7" t="n">
        <v>9</v>
      </c>
      <c r="M4389" s="5" t="inlineStr"/>
      <c r="N4389" s="5" t="n">
        <v>25</v>
      </c>
      <c r="O4389" s="5" t="inlineStr"/>
      <c r="P4389" s="5" t="inlineStr"/>
      <c r="Q4389" s="5" t="inlineStr"/>
      <c r="R4389" s="5" t="inlineStr"/>
      <c r="S4389" s="5" t="inlineStr"/>
      <c r="T4389" s="5" t="inlineStr"/>
      <c r="U4389" s="5" t="inlineStr">
        <is>
          <t>https://www.claro.com.br/celular/planos-pre/prezao</t>
        </is>
      </c>
      <c r="V4389" s="5" t="inlineStr">
        <is>
          <t>data/raw/claro_prepaid_SP.json</t>
        </is>
      </c>
    </row>
    <row r="4390">
      <c r="A4390" s="2" t="inlineStr">
        <is>
          <t>2026-09-07</t>
        </is>
      </c>
      <c r="B4390" s="2" t="inlineStr">
        <is>
          <t>2026-09-07T20:15:39</t>
        </is>
      </c>
      <c r="C4390" s="2" t="inlineStr">
        <is>
          <t>tim</t>
        </is>
      </c>
      <c r="D4390" s="2" t="inlineStr">
        <is>
          <t>control</t>
        </is>
      </c>
      <c r="E4390" s="2" t="inlineStr">
        <is>
          <t>SP</t>
        </is>
      </c>
      <c r="F4390" s="2" t="inlineStr">
        <is>
          <t>TIM Controle 45GB</t>
        </is>
      </c>
      <c r="G4390" s="2" t="inlineStr">
        <is>
          <t>tim:182766</t>
        </is>
      </c>
      <c r="H4390" s="3" t="n">
        <v>49.99</v>
      </c>
      <c r="I4390" s="3" t="inlineStr"/>
      <c r="J4390" s="2" t="inlineStr"/>
      <c r="K4390" s="2" t="inlineStr"/>
      <c r="L4390" s="4" t="n">
        <v>45</v>
      </c>
      <c r="M4390" s="2" t="inlineStr"/>
      <c r="N4390" s="2" t="inlineStr"/>
      <c r="O4390" s="2" t="inlineStr"/>
      <c r="P4390" s="2" t="inlineStr"/>
      <c r="Q4390" s="2" t="inlineStr"/>
      <c r="R4390" s="2" t="inlineStr"/>
      <c r="S4390" s="2" t="inlineStr"/>
      <c r="T4390" s="2" t="inlineStr"/>
      <c r="U4390" s="2" t="inlineStr">
        <is>
          <t>https://www.tim.com.br/sp/para-voce/planos/controle</t>
        </is>
      </c>
      <c r="V4390" s="2" t="inlineStr">
        <is>
          <t>data/raw/tim_control_SP.html</t>
        </is>
      </c>
    </row>
    <row r="4391">
      <c r="A4391" s="5" t="inlineStr">
        <is>
          <t>2026-09-07</t>
        </is>
      </c>
      <c r="B4391" s="5" t="inlineStr">
        <is>
          <t>2026-09-07T20:15:39</t>
        </is>
      </c>
      <c r="C4391" s="5" t="inlineStr">
        <is>
          <t>tim</t>
        </is>
      </c>
      <c r="D4391" s="5" t="inlineStr">
        <is>
          <t>control</t>
        </is>
      </c>
      <c r="E4391" s="5" t="inlineStr">
        <is>
          <t>SP</t>
        </is>
      </c>
      <c r="F4391" s="5" t="inlineStr">
        <is>
          <t>TIM Controle Light Express 45GB</t>
        </is>
      </c>
      <c r="G4391" s="5" t="inlineStr">
        <is>
          <t>tim:167726</t>
        </is>
      </c>
      <c r="H4391" s="6" t="n">
        <v>60.99</v>
      </c>
      <c r="I4391" s="6" t="inlineStr"/>
      <c r="J4391" s="5" t="inlineStr"/>
      <c r="K4391" s="5" t="inlineStr"/>
      <c r="L4391" s="7" t="n">
        <v>45</v>
      </c>
      <c r="M4391" s="5" t="inlineStr"/>
      <c r="N4391" s="5" t="inlineStr"/>
      <c r="O4391" s="5" t="inlineStr"/>
      <c r="P4391" s="5" t="inlineStr"/>
      <c r="Q4391" s="5" t="inlineStr"/>
      <c r="R4391" s="5" t="inlineStr"/>
      <c r="S4391" s="5" t="inlineStr"/>
      <c r="T4391" s="5" t="inlineStr"/>
      <c r="U4391" s="5" t="inlineStr">
        <is>
          <t>https://www.tim.com.br/sp/para-voce/planos/controle</t>
        </is>
      </c>
      <c r="V4391" s="5" t="inlineStr">
        <is>
          <t>data/raw/tim_control_SP.html</t>
        </is>
      </c>
    </row>
    <row r="4392">
      <c r="A4392" s="2" t="inlineStr">
        <is>
          <t>2026-09-07</t>
        </is>
      </c>
      <c r="B4392" s="2" t="inlineStr">
        <is>
          <t>2026-09-07T20:15:39</t>
        </is>
      </c>
      <c r="C4392" s="2" t="inlineStr">
        <is>
          <t>tim</t>
        </is>
      </c>
      <c r="D4392" s="2" t="inlineStr">
        <is>
          <t>control</t>
        </is>
      </c>
      <c r="E4392" s="2" t="inlineStr">
        <is>
          <t>SP</t>
        </is>
      </c>
      <c r="F4392" s="2" t="inlineStr">
        <is>
          <t>TIM Controle Premium 55GB</t>
        </is>
      </c>
      <c r="G4392" s="2" t="inlineStr">
        <is>
          <t>tim:180756</t>
        </is>
      </c>
      <c r="H4392" s="3" t="n">
        <v>69.98999999999999</v>
      </c>
      <c r="I4392" s="3" t="inlineStr"/>
      <c r="J4392" s="2" t="inlineStr"/>
      <c r="K4392" s="2" t="inlineStr"/>
      <c r="L4392" s="4" t="n">
        <v>55</v>
      </c>
      <c r="M4392" s="2" t="inlineStr"/>
      <c r="N4392" s="2" t="inlineStr"/>
      <c r="O4392" s="2" t="inlineStr"/>
      <c r="P4392" s="2" t="inlineStr"/>
      <c r="Q4392" s="2" t="inlineStr"/>
      <c r="R4392" s="2" t="inlineStr"/>
      <c r="S4392" s="2" t="inlineStr"/>
      <c r="T4392" s="2" t="inlineStr"/>
      <c r="U4392" s="2" t="inlineStr">
        <is>
          <t>https://www.tim.com.br/sp/para-voce/planos/controle</t>
        </is>
      </c>
      <c r="V4392" s="2" t="inlineStr">
        <is>
          <t>data/raw/tim_control_SP.html</t>
        </is>
      </c>
    </row>
    <row r="4393">
      <c r="A4393" s="5" t="inlineStr">
        <is>
          <t>2026-09-07</t>
        </is>
      </c>
      <c r="B4393" s="5" t="inlineStr">
        <is>
          <t>2026-09-07T20:15:39</t>
        </is>
      </c>
      <c r="C4393" s="5" t="inlineStr">
        <is>
          <t>tim</t>
        </is>
      </c>
      <c r="D4393" s="5" t="inlineStr">
        <is>
          <t>control</t>
        </is>
      </c>
      <c r="E4393" s="5" t="inlineStr">
        <is>
          <t>SP</t>
        </is>
      </c>
      <c r="F4393" s="5" t="inlineStr">
        <is>
          <t>TIM Controle Pro Express 46GB</t>
        </is>
      </c>
      <c r="G4393" s="5" t="inlineStr">
        <is>
          <t>tim:167731</t>
        </is>
      </c>
      <c r="H4393" s="6" t="n">
        <v>64.98999999999999</v>
      </c>
      <c r="I4393" s="6" t="inlineStr"/>
      <c r="J4393" s="5" t="inlineStr"/>
      <c r="K4393" s="5" t="inlineStr"/>
      <c r="L4393" s="7" t="n">
        <v>46</v>
      </c>
      <c r="M4393" s="5" t="inlineStr"/>
      <c r="N4393" s="5" t="inlineStr"/>
      <c r="O4393" s="5" t="inlineStr"/>
      <c r="P4393" s="5" t="inlineStr"/>
      <c r="Q4393" s="5" t="inlineStr"/>
      <c r="R4393" s="5" t="inlineStr"/>
      <c r="S4393" s="5" t="inlineStr"/>
      <c r="T4393" s="5" t="inlineStr"/>
      <c r="U4393" s="5" t="inlineStr">
        <is>
          <t>https://www.tim.com.br/sp/para-voce/planos/controle</t>
        </is>
      </c>
      <c r="V4393" s="5" t="inlineStr">
        <is>
          <t>data/raw/tim_control_SP.html</t>
        </is>
      </c>
    </row>
    <row r="4394">
      <c r="A4394" s="2" t="inlineStr">
        <is>
          <t>2026-09-07</t>
        </is>
      </c>
      <c r="B4394" s="2" t="inlineStr">
        <is>
          <t>2026-09-07T20:15:39</t>
        </is>
      </c>
      <c r="C4394" s="2" t="inlineStr">
        <is>
          <t>tim</t>
        </is>
      </c>
      <c r="D4394" s="2" t="inlineStr">
        <is>
          <t>control</t>
        </is>
      </c>
      <c r="E4394" s="2" t="inlineStr">
        <is>
          <t>SP</t>
        </is>
      </c>
      <c r="F4394" s="2" t="inlineStr">
        <is>
          <t>TIM Controle Redes Sociais 46GB</t>
        </is>
      </c>
      <c r="G4394" s="2" t="inlineStr">
        <is>
          <t>tim:167031</t>
        </is>
      </c>
      <c r="H4394" s="3" t="n">
        <v>59.99</v>
      </c>
      <c r="I4394" s="3" t="inlineStr"/>
      <c r="J4394" s="2" t="inlineStr"/>
      <c r="K4394" s="2" t="inlineStr"/>
      <c r="L4394" s="4" t="n">
        <v>46</v>
      </c>
      <c r="M4394" s="2" t="inlineStr"/>
      <c r="N4394" s="2" t="inlineStr"/>
      <c r="O4394" s="2" t="inlineStr"/>
      <c r="P4394" s="2" t="inlineStr"/>
      <c r="Q4394" s="2" t="inlineStr"/>
      <c r="R4394" s="2" t="inlineStr"/>
      <c r="S4394" s="2" t="inlineStr"/>
      <c r="T4394" s="2" t="inlineStr"/>
      <c r="U4394" s="2" t="inlineStr">
        <is>
          <t>https://www.tim.com.br/sp/para-voce/planos/controle</t>
        </is>
      </c>
      <c r="V4394" s="2" t="inlineStr">
        <is>
          <t>data/raw/tim_control_SP.html</t>
        </is>
      </c>
    </row>
    <row r="4395">
      <c r="A4395" s="5" t="inlineStr">
        <is>
          <t>2026-09-07</t>
        </is>
      </c>
      <c r="B4395" s="5" t="inlineStr">
        <is>
          <t>2026-09-07T20:15:39</t>
        </is>
      </c>
      <c r="C4395" s="5" t="inlineStr">
        <is>
          <t>tim</t>
        </is>
      </c>
      <c r="D4395" s="5" t="inlineStr">
        <is>
          <t>fit</t>
        </is>
      </c>
      <c r="E4395" s="5" t="inlineStr">
        <is>
          <t>SP</t>
        </is>
      </c>
      <c r="F4395" s="5" t="inlineStr">
        <is>
          <t>TIM Controle Fit Anual 1.0</t>
        </is>
      </c>
      <c r="G4395" s="5" t="inlineStr">
        <is>
          <t>tim:TIM202600000306</t>
        </is>
      </c>
      <c r="H4395" s="6" t="n">
        <v>20</v>
      </c>
      <c r="I4395" s="6" t="inlineStr"/>
      <c r="J4395" s="5" t="inlineStr">
        <is>
          <t>plano anual 12x no cartão de crédito; a etiqueta TIM informa 'sem prazo de permanência'</t>
        </is>
      </c>
      <c r="K4395" s="5" t="inlineStr">
        <is>
          <t>credit_card</t>
        </is>
      </c>
      <c r="L4395" s="7" t="n">
        <v>25</v>
      </c>
      <c r="M4395" s="5" t="inlineStr"/>
      <c r="N4395" s="5" t="inlineStr"/>
      <c r="O4395" s="5" t="inlineStr"/>
      <c r="P4395" s="5" t="inlineStr"/>
      <c r="Q4395" s="5" t="inlineStr"/>
      <c r="R4395" s="5" t="inlineStr"/>
      <c r="S4395" s="5" t="n">
        <v>12</v>
      </c>
      <c r="T4395" s="5" t="inlineStr"/>
      <c r="U4395" s="5" t="inlineStr">
        <is>
          <t>https://www.tim.com.br/sp/para-voce/planos/controle</t>
        </is>
      </c>
      <c r="V4395" s="5" t="inlineStr">
        <is>
          <t>data/raw/tim_fit_SP.html</t>
        </is>
      </c>
    </row>
    <row r="4396">
      <c r="A4396" s="2" t="inlineStr">
        <is>
          <t>2026-09-07</t>
        </is>
      </c>
      <c r="B4396" s="2" t="inlineStr">
        <is>
          <t>2026-09-07T20:15:39</t>
        </is>
      </c>
      <c r="C4396" s="2" t="inlineStr">
        <is>
          <t>tim</t>
        </is>
      </c>
      <c r="D4396" s="2" t="inlineStr">
        <is>
          <t>fit</t>
        </is>
      </c>
      <c r="E4396" s="2" t="inlineStr">
        <is>
          <t>SP</t>
        </is>
      </c>
      <c r="F4396" s="2" t="inlineStr">
        <is>
          <t>TIM Controle Fit Anual 2.0</t>
        </is>
      </c>
      <c r="G4396" s="2" t="inlineStr">
        <is>
          <t>tim:TIM202600000271</t>
        </is>
      </c>
      <c r="H4396" s="3" t="n">
        <v>30</v>
      </c>
      <c r="I4396" s="3" t="inlineStr"/>
      <c r="J4396" s="2" t="inlineStr">
        <is>
          <t>plano anual 12x no cartão de crédito; a etiqueta TIM informa 'sem prazo de permanência'</t>
        </is>
      </c>
      <c r="K4396" s="2" t="inlineStr">
        <is>
          <t>credit_card</t>
        </is>
      </c>
      <c r="L4396" s="4" t="n">
        <v>35</v>
      </c>
      <c r="M4396" s="2" t="inlineStr"/>
      <c r="N4396" s="2" t="inlineStr"/>
      <c r="O4396" s="2" t="inlineStr"/>
      <c r="P4396" s="2" t="inlineStr"/>
      <c r="Q4396" s="2" t="inlineStr"/>
      <c r="R4396" s="2" t="inlineStr"/>
      <c r="S4396" s="2" t="n">
        <v>12</v>
      </c>
      <c r="T4396" s="2" t="inlineStr"/>
      <c r="U4396" s="2" t="inlineStr">
        <is>
          <t>https://www.tim.com.br/sp/para-voce/planos/controle</t>
        </is>
      </c>
      <c r="V4396" s="2" t="inlineStr">
        <is>
          <t>data/raw/tim_fit_SP.html</t>
        </is>
      </c>
    </row>
    <row r="4397">
      <c r="A4397" s="5" t="inlineStr">
        <is>
          <t>2026-09-07</t>
        </is>
      </c>
      <c r="B4397" s="5" t="inlineStr">
        <is>
          <t>2026-09-07T20:15:39</t>
        </is>
      </c>
      <c r="C4397" s="5" t="inlineStr">
        <is>
          <t>tim</t>
        </is>
      </c>
      <c r="D4397" s="5" t="inlineStr">
        <is>
          <t>fit</t>
        </is>
      </c>
      <c r="E4397" s="5" t="inlineStr">
        <is>
          <t>SP</t>
        </is>
      </c>
      <c r="F4397" s="5" t="inlineStr">
        <is>
          <t>TIM Controle Fit Mensal 1.0</t>
        </is>
      </c>
      <c r="G4397" s="5" t="inlineStr">
        <is>
          <t>tim:TIM202600000270</t>
        </is>
      </c>
      <c r="H4397" s="6" t="n">
        <v>20</v>
      </c>
      <c r="I4397" s="6" t="inlineStr"/>
      <c r="J4397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397" s="5" t="inlineStr"/>
      <c r="L4397" s="7" t="n">
        <v>20</v>
      </c>
      <c r="M4397" s="5" t="inlineStr"/>
      <c r="N4397" s="5" t="inlineStr"/>
      <c r="O4397" s="5" t="inlineStr"/>
      <c r="P4397" s="5" t="inlineStr"/>
      <c r="Q4397" s="5" t="inlineStr"/>
      <c r="R4397" s="5" t="inlineStr"/>
      <c r="S4397" s="5" t="inlineStr"/>
      <c r="T4397" s="5" t="inlineStr"/>
      <c r="U4397" s="5" t="inlineStr">
        <is>
          <t>https://www.tim.com.br/sp/para-voce/planos/controle</t>
        </is>
      </c>
      <c r="V4397" s="5" t="inlineStr">
        <is>
          <t>data/raw/tim_fit_SP.html</t>
        </is>
      </c>
    </row>
    <row r="4398">
      <c r="A4398" s="2" t="inlineStr">
        <is>
          <t>2026-09-07</t>
        </is>
      </c>
      <c r="B4398" s="2" t="inlineStr">
        <is>
          <t>2026-09-07T20:15:39</t>
        </is>
      </c>
      <c r="C4398" s="2" t="inlineStr">
        <is>
          <t>tim</t>
        </is>
      </c>
      <c r="D4398" s="2" t="inlineStr">
        <is>
          <t>fit</t>
        </is>
      </c>
      <c r="E4398" s="2" t="inlineStr">
        <is>
          <t>SP</t>
        </is>
      </c>
      <c r="F4398" s="2" t="inlineStr">
        <is>
          <t>TIM Controle Fit Mensal 2.0</t>
        </is>
      </c>
      <c r="G4398" s="2" t="inlineStr">
        <is>
          <t>tim:TIM202600000305</t>
        </is>
      </c>
      <c r="H4398" s="3" t="n">
        <v>45</v>
      </c>
      <c r="I4398" s="3" t="inlineStr"/>
      <c r="J4398" s="2" t="inlineStr">
        <is>
          <t>plano mensal, sem prazo de permanência; a etiqueta TIM informa 'sem prazo de permanência'</t>
        </is>
      </c>
      <c r="K4398" s="2" t="inlineStr"/>
      <c r="L4398" s="4" t="n">
        <v>35</v>
      </c>
      <c r="M4398" s="2" t="inlineStr"/>
      <c r="N4398" s="2" t="inlineStr"/>
      <c r="O4398" s="2" t="inlineStr"/>
      <c r="P4398" s="2" t="inlineStr"/>
      <c r="Q4398" s="2" t="inlineStr"/>
      <c r="R4398" s="2" t="inlineStr"/>
      <c r="S4398" s="2" t="inlineStr"/>
      <c r="T4398" s="2" t="inlineStr"/>
      <c r="U4398" s="2" t="inlineStr">
        <is>
          <t>https://www.tim.com.br/sp/para-voce/planos/controle</t>
        </is>
      </c>
      <c r="V4398" s="2" t="inlineStr">
        <is>
          <t>data/raw/tim_fit_SP.html</t>
        </is>
      </c>
    </row>
    <row r="4399">
      <c r="A4399" s="5" t="inlineStr">
        <is>
          <t>2026-09-07</t>
        </is>
      </c>
      <c r="B4399" s="5" t="inlineStr">
        <is>
          <t>2026-09-07T20:15:39</t>
        </is>
      </c>
      <c r="C4399" s="5" t="inlineStr">
        <is>
          <t>tim</t>
        </is>
      </c>
      <c r="D4399" s="5" t="inlineStr">
        <is>
          <t>postpaid</t>
        </is>
      </c>
      <c r="E4399" s="5" t="inlineStr">
        <is>
          <t>SP</t>
        </is>
      </c>
      <c r="F4399" s="5" t="inlineStr">
        <is>
          <t>TIM Black 70GB</t>
        </is>
      </c>
      <c r="G4399" s="5" t="inlineStr">
        <is>
          <t>tim:54206</t>
        </is>
      </c>
      <c r="H4399" s="6" t="n">
        <v>129.99</v>
      </c>
      <c r="I4399" s="6" t="inlineStr"/>
      <c r="J4399" s="5" t="inlineStr"/>
      <c r="K4399" s="5" t="inlineStr">
        <is>
          <t>bill</t>
        </is>
      </c>
      <c r="L4399" s="7" t="n">
        <v>70</v>
      </c>
      <c r="M4399" s="5" t="inlineStr"/>
      <c r="N4399" s="5" t="inlineStr"/>
      <c r="O4399" s="5" t="inlineStr"/>
      <c r="P4399" s="5" t="inlineStr"/>
      <c r="Q4399" s="5" t="inlineStr"/>
      <c r="R4399" s="5" t="inlineStr"/>
      <c r="S4399" s="5" t="inlineStr"/>
      <c r="T4399" s="5" t="inlineStr"/>
      <c r="U4399" s="5" t="inlineStr">
        <is>
          <t>https://www.tim.com.br/sp/para-voce/planos/pos-pago/tim-black</t>
        </is>
      </c>
      <c r="V4399" s="5" t="inlineStr">
        <is>
          <t>data/raw/tim_postpaid_SP.html</t>
        </is>
      </c>
    </row>
    <row r="4400">
      <c r="A4400" s="2" t="inlineStr">
        <is>
          <t>2026-09-07</t>
        </is>
      </c>
      <c r="B4400" s="2" t="inlineStr">
        <is>
          <t>2026-09-07T20:15:39</t>
        </is>
      </c>
      <c r="C4400" s="2" t="inlineStr">
        <is>
          <t>tim</t>
        </is>
      </c>
      <c r="D4400" s="2" t="inlineStr">
        <is>
          <t>postpaid</t>
        </is>
      </c>
      <c r="E4400" s="2" t="inlineStr">
        <is>
          <t>SP</t>
        </is>
      </c>
      <c r="F4400" s="2" t="inlineStr">
        <is>
          <t>TIM Black A Express 67GB</t>
        </is>
      </c>
      <c r="G4400" s="2" t="inlineStr">
        <is>
          <t>tim:55121</t>
        </is>
      </c>
      <c r="H4400" s="3" t="n">
        <v>119.99</v>
      </c>
      <c r="I4400" s="3" t="inlineStr"/>
      <c r="J4400" s="2" t="inlineStr"/>
      <c r="K4400" s="2" t="inlineStr">
        <is>
          <t>credit_card</t>
        </is>
      </c>
      <c r="L4400" s="4" t="n">
        <v>67</v>
      </c>
      <c r="M4400" s="2" t="inlineStr"/>
      <c r="N4400" s="2" t="inlineStr"/>
      <c r="O4400" s="2" t="inlineStr"/>
      <c r="P4400" s="2" t="inlineStr"/>
      <c r="Q4400" s="2" t="inlineStr"/>
      <c r="R4400" s="2" t="inlineStr"/>
      <c r="S4400" s="2" t="inlineStr"/>
      <c r="T4400" s="2" t="inlineStr"/>
      <c r="U4400" s="2" t="inlineStr">
        <is>
          <t>https://www.tim.com.br/sp/para-voce/planos/pos-pago/tim-black</t>
        </is>
      </c>
      <c r="V4400" s="2" t="inlineStr">
        <is>
          <t>data/raw/tim_postpaid_SP.html</t>
        </is>
      </c>
    </row>
    <row r="4401">
      <c r="A4401" s="5" t="inlineStr">
        <is>
          <t>2026-09-07</t>
        </is>
      </c>
      <c r="B4401" s="5" t="inlineStr">
        <is>
          <t>2026-09-07T20:15:39</t>
        </is>
      </c>
      <c r="C4401" s="5" t="inlineStr">
        <is>
          <t>tim</t>
        </is>
      </c>
      <c r="D4401" s="5" t="inlineStr">
        <is>
          <t>postpaid</t>
        </is>
      </c>
      <c r="E4401" s="5" t="inlineStr">
        <is>
          <t>SP</t>
        </is>
      </c>
      <c r="F4401" s="5" t="inlineStr">
        <is>
          <t>TIM Black B Express 82GB</t>
        </is>
      </c>
      <c r="G4401" s="5" t="inlineStr">
        <is>
          <t>tim:52146</t>
        </is>
      </c>
      <c r="H4401" s="6" t="n">
        <v>144.99</v>
      </c>
      <c r="I4401" s="6" t="inlineStr"/>
      <c r="J4401" s="5" t="inlineStr"/>
      <c r="K4401" s="5" t="inlineStr">
        <is>
          <t>credit_card</t>
        </is>
      </c>
      <c r="L4401" s="7" t="n">
        <v>82</v>
      </c>
      <c r="M4401" s="5" t="inlineStr"/>
      <c r="N4401" s="5" t="inlineStr"/>
      <c r="O4401" s="5" t="inlineStr"/>
      <c r="P4401" s="5" t="inlineStr"/>
      <c r="Q4401" s="5" t="inlineStr"/>
      <c r="R4401" s="5" t="inlineStr"/>
      <c r="S4401" s="5" t="inlineStr"/>
      <c r="T4401" s="5" t="inlineStr"/>
      <c r="U4401" s="5" t="inlineStr">
        <is>
          <t>https://www.tim.com.br/sp/para-voce/planos/pos-pago/tim-black</t>
        </is>
      </c>
      <c r="V4401" s="5" t="inlineStr">
        <is>
          <t>data/raw/tim_postpaid_SP.html</t>
        </is>
      </c>
    </row>
    <row r="4402">
      <c r="A4402" s="2" t="inlineStr">
        <is>
          <t>2026-09-07</t>
        </is>
      </c>
      <c r="B4402" s="2" t="inlineStr">
        <is>
          <t>2026-09-07T20:15:39</t>
        </is>
      </c>
      <c r="C4402" s="2" t="inlineStr">
        <is>
          <t>tim</t>
        </is>
      </c>
      <c r="D4402" s="2" t="inlineStr">
        <is>
          <t>postpaid</t>
        </is>
      </c>
      <c r="E4402" s="2" t="inlineStr">
        <is>
          <t>SP</t>
        </is>
      </c>
      <c r="F4402" s="2" t="inlineStr">
        <is>
          <t>TIM Black C Express 107GB</t>
        </is>
      </c>
      <c r="G4402" s="2" t="inlineStr">
        <is>
          <t>tim:52151</t>
        </is>
      </c>
      <c r="H4402" s="3" t="n">
        <v>164.99</v>
      </c>
      <c r="I4402" s="3" t="inlineStr"/>
      <c r="J4402" s="2" t="inlineStr"/>
      <c r="K4402" s="2" t="inlineStr">
        <is>
          <t>credit_card</t>
        </is>
      </c>
      <c r="L4402" s="4" t="n">
        <v>107</v>
      </c>
      <c r="M4402" s="2" t="inlineStr"/>
      <c r="N4402" s="2" t="inlineStr"/>
      <c r="O4402" s="2" t="inlineStr"/>
      <c r="P4402" s="2" t="inlineStr"/>
      <c r="Q4402" s="2" t="inlineStr"/>
      <c r="R4402" s="2" t="inlineStr"/>
      <c r="S4402" s="2" t="inlineStr"/>
      <c r="T4402" s="2" t="inlineStr"/>
      <c r="U4402" s="2" t="inlineStr">
        <is>
          <t>https://www.tim.com.br/sp/para-voce/planos/pos-pago/tim-black</t>
        </is>
      </c>
      <c r="V4402" s="2" t="inlineStr">
        <is>
          <t>data/raw/tim_postpaid_SP.html</t>
        </is>
      </c>
    </row>
    <row r="4403">
      <c r="A4403" s="5" t="inlineStr">
        <is>
          <t>2026-09-07</t>
        </is>
      </c>
      <c r="B4403" s="5" t="inlineStr">
        <is>
          <t>2026-09-07T20:15:39</t>
        </is>
      </c>
      <c r="C4403" s="5" t="inlineStr">
        <is>
          <t>tim</t>
        </is>
      </c>
      <c r="D4403" s="5" t="inlineStr">
        <is>
          <t>postpaid</t>
        </is>
      </c>
      <c r="E4403" s="5" t="inlineStr">
        <is>
          <t>SP</t>
        </is>
      </c>
      <c r="F4403" s="5" t="inlineStr">
        <is>
          <t>TIM Black Plus 80GB</t>
        </is>
      </c>
      <c r="G4403" s="5" t="inlineStr">
        <is>
          <t>tim:54256</t>
        </is>
      </c>
      <c r="H4403" s="6" t="n">
        <v>149.99</v>
      </c>
      <c r="I4403" s="6" t="inlineStr"/>
      <c r="J4403" s="5" t="inlineStr"/>
      <c r="K4403" s="5" t="inlineStr">
        <is>
          <t>bill</t>
        </is>
      </c>
      <c r="L4403" s="7" t="n">
        <v>80</v>
      </c>
      <c r="M4403" s="5" t="inlineStr"/>
      <c r="N4403" s="5" t="inlineStr"/>
      <c r="O4403" s="5" t="inlineStr"/>
      <c r="P4403" s="5" t="inlineStr"/>
      <c r="Q4403" s="5" t="inlineStr"/>
      <c r="R4403" s="5" t="inlineStr"/>
      <c r="S4403" s="5" t="inlineStr"/>
      <c r="T4403" s="5" t="inlineStr"/>
      <c r="U4403" s="5" t="inlineStr">
        <is>
          <t>https://www.tim.com.br/sp/para-voce/planos/pos-pago/tim-black</t>
        </is>
      </c>
      <c r="V4403" s="5" t="inlineStr">
        <is>
          <t>data/raw/tim_postpaid_SP.html</t>
        </is>
      </c>
    </row>
    <row r="4404">
      <c r="A4404" s="2" t="inlineStr">
        <is>
          <t>2026-09-07</t>
        </is>
      </c>
      <c r="B4404" s="2" t="inlineStr">
        <is>
          <t>2026-09-07T20:15:39</t>
        </is>
      </c>
      <c r="C4404" s="2" t="inlineStr">
        <is>
          <t>tim</t>
        </is>
      </c>
      <c r="D4404" s="2" t="inlineStr">
        <is>
          <t>postpaid</t>
        </is>
      </c>
      <c r="E4404" s="2" t="inlineStr">
        <is>
          <t>SP</t>
        </is>
      </c>
      <c r="F4404" s="2" t="inlineStr">
        <is>
          <t>TIM Black Premium 110GB</t>
        </is>
      </c>
      <c r="G4404" s="2" t="inlineStr">
        <is>
          <t>tim:54261</t>
        </is>
      </c>
      <c r="H4404" s="3" t="n">
        <v>159.99</v>
      </c>
      <c r="I4404" s="3" t="inlineStr"/>
      <c r="J4404" s="2" t="inlineStr"/>
      <c r="K4404" s="2" t="inlineStr">
        <is>
          <t>bill</t>
        </is>
      </c>
      <c r="L4404" s="4" t="n">
        <v>110</v>
      </c>
      <c r="M4404" s="2" t="inlineStr"/>
      <c r="N4404" s="2" t="inlineStr"/>
      <c r="O4404" s="2" t="inlineStr"/>
      <c r="P4404" s="2" t="inlineStr"/>
      <c r="Q4404" s="2" t="inlineStr"/>
      <c r="R4404" s="2" t="inlineStr"/>
      <c r="S4404" s="2" t="inlineStr"/>
      <c r="T4404" s="2" t="inlineStr"/>
      <c r="U4404" s="2" t="inlineStr">
        <is>
          <t>https://www.tim.com.br/sp/para-voce/planos/pos-pago/tim-black</t>
        </is>
      </c>
      <c r="V4404" s="2" t="inlineStr">
        <is>
          <t>data/raw/tim_postpaid_SP.html</t>
        </is>
      </c>
    </row>
    <row r="4405">
      <c r="A4405" s="5" t="inlineStr">
        <is>
          <t>2026-09-07</t>
        </is>
      </c>
      <c r="B4405" s="5" t="inlineStr">
        <is>
          <t>2026-09-07T20:15:39</t>
        </is>
      </c>
      <c r="C4405" s="5" t="inlineStr">
        <is>
          <t>tim</t>
        </is>
      </c>
      <c r="D4405" s="5" t="inlineStr">
        <is>
          <t>prepaid</t>
        </is>
      </c>
      <c r="E4405" s="5" t="inlineStr">
        <is>
          <t>SP</t>
        </is>
      </c>
      <c r="F4405" s="5" t="inlineStr">
        <is>
          <t>TIM Pré XIP Plus 16GB</t>
        </is>
      </c>
      <c r="G4405" s="5" t="inlineStr">
        <is>
          <t>tim:106306</t>
        </is>
      </c>
      <c r="H4405" s="6" t="n">
        <v>30</v>
      </c>
      <c r="I4405" s="6" t="inlineStr"/>
      <c r="J4405" s="5" t="inlineStr"/>
      <c r="K4405" s="5" t="inlineStr"/>
      <c r="L4405" s="7" t="n">
        <v>16</v>
      </c>
      <c r="M4405" s="5" t="inlineStr"/>
      <c r="N4405" s="5" t="n">
        <v>30</v>
      </c>
      <c r="O4405" s="5" t="inlineStr"/>
      <c r="P4405" s="5" t="inlineStr"/>
      <c r="Q4405" s="5" t="inlineStr"/>
      <c r="R4405" s="5" t="inlineStr"/>
      <c r="S4405" s="5" t="inlineStr"/>
      <c r="T4405" s="5" t="inlineStr"/>
      <c r="U4405" s="5" t="inlineStr">
        <is>
          <t>https://www.tim.com.br/sp/para-voce/planos/pre-pago</t>
        </is>
      </c>
      <c r="V4405" s="5" t="inlineStr">
        <is>
          <t>data/raw/tim_prepaid_SP.html</t>
        </is>
      </c>
    </row>
    <row r="4406">
      <c r="A4406" s="2" t="inlineStr">
        <is>
          <t>2026-09-07</t>
        </is>
      </c>
      <c r="B4406" s="2" t="inlineStr">
        <is>
          <t>2026-09-07T20:15:39</t>
        </is>
      </c>
      <c r="C4406" s="2" t="inlineStr">
        <is>
          <t>tim</t>
        </is>
      </c>
      <c r="D4406" s="2" t="inlineStr">
        <is>
          <t>prepaid</t>
        </is>
      </c>
      <c r="E4406" s="2" t="inlineStr">
        <is>
          <t>SP</t>
        </is>
      </c>
      <c r="F4406" s="2" t="inlineStr">
        <is>
          <t>TIM Pré XIP Plus 6GB</t>
        </is>
      </c>
      <c r="G4406" s="2" t="inlineStr">
        <is>
          <t>tim:59906</t>
        </is>
      </c>
      <c r="H4406" s="3" t="n">
        <v>20</v>
      </c>
      <c r="I4406" s="3" t="inlineStr"/>
      <c r="J4406" s="2" t="inlineStr"/>
      <c r="K4406" s="2" t="inlineStr"/>
      <c r="L4406" s="4" t="n">
        <v>6</v>
      </c>
      <c r="M4406" s="2" t="inlineStr"/>
      <c r="N4406" s="2" t="n">
        <v>17</v>
      </c>
      <c r="O4406" s="2" t="inlineStr"/>
      <c r="P4406" s="2" t="inlineStr"/>
      <c r="Q4406" s="2" t="inlineStr"/>
      <c r="R4406" s="2" t="inlineStr"/>
      <c r="S4406" s="2" t="inlineStr"/>
      <c r="T4406" s="2" t="inlineStr"/>
      <c r="U4406" s="2" t="inlineStr">
        <is>
          <t>https://www.tim.com.br/sp/para-voce/planos/pre-pago</t>
        </is>
      </c>
      <c r="V4406" s="2" t="inlineStr">
        <is>
          <t>data/raw/tim_prepaid_SP.html</t>
        </is>
      </c>
    </row>
    <row r="4407">
      <c r="A4407" s="5" t="inlineStr">
        <is>
          <t>2026-09-07</t>
        </is>
      </c>
      <c r="B4407" s="5" t="inlineStr">
        <is>
          <t>2026-09-07T20:15:39</t>
        </is>
      </c>
      <c r="C4407" s="5" t="inlineStr">
        <is>
          <t>tim</t>
        </is>
      </c>
      <c r="D4407" s="5" t="inlineStr">
        <is>
          <t>prepaid</t>
        </is>
      </c>
      <c r="E4407" s="5" t="inlineStr">
        <is>
          <t>SP</t>
        </is>
      </c>
      <c r="F4407" s="5" t="inlineStr">
        <is>
          <t>TIM Pré XIP Plus 8GB</t>
        </is>
      </c>
      <c r="G4407" s="5" t="inlineStr">
        <is>
          <t>tim:59901</t>
        </is>
      </c>
      <c r="H4407" s="6" t="n">
        <v>25</v>
      </c>
      <c r="I4407" s="6" t="inlineStr"/>
      <c r="J4407" s="5" t="inlineStr"/>
      <c r="K4407" s="5" t="inlineStr"/>
      <c r="L4407" s="7" t="n">
        <v>8</v>
      </c>
      <c r="M4407" s="5" t="inlineStr"/>
      <c r="N4407" s="5" t="n">
        <v>22</v>
      </c>
      <c r="O4407" s="5" t="inlineStr"/>
      <c r="P4407" s="5" t="inlineStr"/>
      <c r="Q4407" s="5" t="inlineStr"/>
      <c r="R4407" s="5" t="inlineStr"/>
      <c r="S4407" s="5" t="inlineStr"/>
      <c r="T4407" s="5" t="inlineStr"/>
      <c r="U4407" s="5" t="inlineStr">
        <is>
          <t>https://www.tim.com.br/sp/para-voce/planos/pre-pago</t>
        </is>
      </c>
      <c r="V4407" s="5" t="inlineStr">
        <is>
          <t>data/raw/tim_prepaid_SP.html</t>
        </is>
      </c>
    </row>
    <row r="4408">
      <c r="A4408" s="2" t="inlineStr">
        <is>
          <t>2026-09-07</t>
        </is>
      </c>
      <c r="B4408" s="2" t="inlineStr">
        <is>
          <t>2026-09-07T20:15:39</t>
        </is>
      </c>
      <c r="C4408" s="2" t="inlineStr">
        <is>
          <t>vivo</t>
        </is>
      </c>
      <c r="D4408" s="2" t="inlineStr">
        <is>
          <t>control</t>
        </is>
      </c>
      <c r="E4408" s="2" t="inlineStr">
        <is>
          <t>SP</t>
        </is>
      </c>
      <c r="F4408" s="2" t="inlineStr">
        <is>
          <t>Vivo Controle</t>
        </is>
      </c>
      <c r="G4408" s="2" t="inlineStr">
        <is>
          <t>vivo:VIV202600034591</t>
        </is>
      </c>
      <c r="H4408" s="3" t="n">
        <v>59</v>
      </c>
      <c r="I4408" s="3" t="inlineStr"/>
      <c r="J4408" s="2" t="inlineStr"/>
      <c r="K4408" s="2" t="inlineStr"/>
      <c r="L4408" s="4" t="n">
        <v>45</v>
      </c>
      <c r="M4408" s="2" t="inlineStr">
        <is>
          <t>15 GB de franquia 30 GB de bônus</t>
        </is>
      </c>
      <c r="N4408" s="2" t="inlineStr"/>
      <c r="O4408" s="2" t="inlineStr"/>
      <c r="P4408" s="2" t="inlineStr"/>
      <c r="Q4408" s="2" t="inlineStr"/>
      <c r="R4408" s="2" t="inlineStr"/>
      <c r="S4408" s="2" t="inlineStr"/>
      <c r="T4408" s="2" t="inlineStr">
        <is>
          <t>6 meses grátis de Gemini com AI Plus</t>
        </is>
      </c>
      <c r="U4408" s="2" t="inlineStr">
        <is>
          <t>https://vivo.com.br/para-voce/produtos-e-servicos/para-o-celular/planos-controle</t>
        </is>
      </c>
      <c r="V4408" s="2" t="inlineStr">
        <is>
          <t>data/raw/vivo_control_SP.html</t>
        </is>
      </c>
    </row>
    <row r="4409">
      <c r="A4409" s="5" t="inlineStr">
        <is>
          <t>2026-09-07</t>
        </is>
      </c>
      <c r="B4409" s="5" t="inlineStr">
        <is>
          <t>2026-09-07T20:15:39</t>
        </is>
      </c>
      <c r="C4409" s="5" t="inlineStr">
        <is>
          <t>vivo</t>
        </is>
      </c>
      <c r="D4409" s="5" t="inlineStr">
        <is>
          <t>control</t>
        </is>
      </c>
      <c r="E4409" s="5" t="inlineStr">
        <is>
          <t>SP</t>
        </is>
      </c>
      <c r="F4409" s="5" t="inlineStr">
        <is>
          <t>Vivo Controle</t>
        </is>
      </c>
      <c r="G4409" s="5" t="inlineStr">
        <is>
          <t>vivo:VIV202600034599</t>
        </is>
      </c>
      <c r="H4409" s="6" t="n">
        <v>75</v>
      </c>
      <c r="I4409" s="6" t="inlineStr"/>
      <c r="J4409" s="5" t="inlineStr">
        <is>
          <t>preço-base do plano; a tela exibia R$ 80 com o adicional pré-selecionado (+R$ 5/mês, opcional); 60 GB na tela incluem +10 GB do adicional</t>
        </is>
      </c>
      <c r="K4409" s="5" t="inlineStr"/>
      <c r="L4409" s="7" t="n">
        <v>50</v>
      </c>
      <c r="M4409" s="5" t="inlineStr">
        <is>
          <t>20 GB de franquia 30 GB de bônus</t>
        </is>
      </c>
      <c r="N4409" s="5" t="inlineStr"/>
      <c r="O4409" s="5" t="inlineStr"/>
      <c r="P4409" s="5" t="inlineStr"/>
      <c r="Q4409" s="5" t="inlineStr"/>
      <c r="R4409" s="5" t="inlineStr"/>
      <c r="S4409" s="5" t="inlineStr"/>
      <c r="T4409" s="5" t="inlineStr">
        <is>
          <t>6 meses grátis de Gemini com AI Plus</t>
        </is>
      </c>
      <c r="U4409" s="5" t="inlineStr">
        <is>
          <t>https://vivo.com.br/para-voce/produtos-e-servicos/para-o-celular/planos-controle</t>
        </is>
      </c>
      <c r="V4409" s="5" t="inlineStr">
        <is>
          <t>data/raw/vivo_control_SP.html</t>
        </is>
      </c>
    </row>
    <row r="4410">
      <c r="A4410" s="2" t="inlineStr">
        <is>
          <t>2026-09-07</t>
        </is>
      </c>
      <c r="B4410" s="2" t="inlineStr">
        <is>
          <t>2026-09-07T20:15:39</t>
        </is>
      </c>
      <c r="C4410" s="2" t="inlineStr">
        <is>
          <t>vivo</t>
        </is>
      </c>
      <c r="D4410" s="2" t="inlineStr">
        <is>
          <t>control</t>
        </is>
      </c>
      <c r="E4410" s="2" t="inlineStr">
        <is>
          <t>SP</t>
        </is>
      </c>
      <c r="F4410" s="2" t="inlineStr">
        <is>
          <t>Vivo Controle Amazon</t>
        </is>
      </c>
      <c r="G4410" s="2" t="inlineStr">
        <is>
          <t>vivo:VIV202600038804</t>
        </is>
      </c>
      <c r="H4410" s="3" t="n">
        <v>70</v>
      </c>
      <c r="I4410" s="3" t="inlineStr"/>
      <c r="J4410" s="2" t="inlineStr">
        <is>
          <t>preço-base do plano; a tela exibia R$ 75 com o adicional pré-selecionado (+R$ 5/mês, opcional); 58 GB na tela incluem +10 GB do adicional</t>
        </is>
      </c>
      <c r="K4410" s="2" t="inlineStr"/>
      <c r="L4410" s="4" t="n">
        <v>48</v>
      </c>
      <c r="M4410" s="2" t="inlineStr">
        <is>
          <t>18 GB de franquia 30 GB de bônus</t>
        </is>
      </c>
      <c r="N4410" s="2" t="inlineStr"/>
      <c r="O4410" s="2" t="inlineStr"/>
      <c r="P4410" s="2" t="inlineStr"/>
      <c r="Q4410" s="2" t="inlineStr"/>
      <c r="R4410" s="2" t="inlineStr"/>
      <c r="S4410" s="2" t="inlineStr"/>
      <c r="T4410" s="2" t="inlineStr">
        <is>
          <t>Assinatura Amazon Prime inclusa</t>
        </is>
      </c>
      <c r="U4410" s="2" t="inlineStr">
        <is>
          <t>https://vivo.com.br/para-voce/produtos-e-servicos/para-o-celular/planos-controle</t>
        </is>
      </c>
      <c r="V4410" s="2" t="inlineStr">
        <is>
          <t>data/raw/vivo_control_SP.html</t>
        </is>
      </c>
    </row>
    <row r="4411">
      <c r="A4411" s="5" t="inlineStr">
        <is>
          <t>2026-09-07</t>
        </is>
      </c>
      <c r="B4411" s="5" t="inlineStr">
        <is>
          <t>2026-09-07T20:15:39</t>
        </is>
      </c>
      <c r="C4411" s="5" t="inlineStr">
        <is>
          <t>vivo</t>
        </is>
      </c>
      <c r="D4411" s="5" t="inlineStr">
        <is>
          <t>control</t>
        </is>
      </c>
      <c r="E4411" s="5" t="inlineStr">
        <is>
          <t>SP</t>
        </is>
      </c>
      <c r="F4411" s="5" t="inlineStr">
        <is>
          <t>Vivo Controle Educação</t>
        </is>
      </c>
      <c r="G4411" s="5" t="inlineStr">
        <is>
          <t>vivo:VIV202600034616</t>
        </is>
      </c>
      <c r="H4411" s="6" t="n">
        <v>85</v>
      </c>
      <c r="I4411" s="6" t="inlineStr"/>
      <c r="J4411" s="5" t="inlineStr">
        <is>
          <t>preço-base do plano; a tela exibia R$ 90 com o adicional pré-selecionado (+R$ 5/mês, opcional); 60 GB na tela incluem +10 GB do adicional</t>
        </is>
      </c>
      <c r="K4411" s="5" t="inlineStr"/>
      <c r="L4411" s="7" t="n">
        <v>50</v>
      </c>
      <c r="M4411" s="5" t="inlineStr">
        <is>
          <t>20 GB de franquia 30 GB de bônus</t>
        </is>
      </c>
      <c r="N4411" s="5" t="inlineStr"/>
      <c r="O4411" s="5" t="inlineStr"/>
      <c r="P4411" s="5" t="inlineStr"/>
      <c r="Q4411" s="5" t="inlineStr"/>
      <c r="R4411" s="5" t="inlineStr"/>
      <c r="S4411" s="5" t="inlineStr"/>
      <c r="T4411" s="5" t="inlineStr">
        <is>
          <t>Assinatura Vivae inclusa</t>
        </is>
      </c>
      <c r="U4411" s="5" t="inlineStr">
        <is>
          <t>https://vivo.com.br/para-voce/produtos-e-servicos/para-o-celular/planos-controle</t>
        </is>
      </c>
      <c r="V4411" s="5" t="inlineStr">
        <is>
          <t>data/raw/vivo_control_SP.html</t>
        </is>
      </c>
    </row>
    <row r="4412">
      <c r="A4412" s="2" t="inlineStr">
        <is>
          <t>2026-09-07</t>
        </is>
      </c>
      <c r="B4412" s="2" t="inlineStr">
        <is>
          <t>2026-09-07T20:15:39</t>
        </is>
      </c>
      <c r="C4412" s="2" t="inlineStr">
        <is>
          <t>vivo</t>
        </is>
      </c>
      <c r="D4412" s="2" t="inlineStr">
        <is>
          <t>control</t>
        </is>
      </c>
      <c r="E4412" s="2" t="inlineStr">
        <is>
          <t>SP</t>
        </is>
      </c>
      <c r="F4412" s="2" t="inlineStr">
        <is>
          <t>Vivo Controle Entretenimento</t>
        </is>
      </c>
      <c r="G4412" s="2" t="inlineStr">
        <is>
          <t>vivo:VIV202600034619</t>
        </is>
      </c>
      <c r="H4412" s="3" t="n">
        <v>105</v>
      </c>
      <c r="I4412" s="3" t="inlineStr"/>
      <c r="J4412" s="2" t="inlineStr">
        <is>
          <t>preço-base do plano; a tela exibia R$ 110 com o adicional pré-selecionado (+R$ 5/mês, opcional); 60 GB na tela incluem +10 GB do adicional</t>
        </is>
      </c>
      <c r="K4412" s="2" t="inlineStr"/>
      <c r="L4412" s="4" t="n">
        <v>50</v>
      </c>
      <c r="M4412" s="2" t="inlineStr">
        <is>
          <t>20 GB de franquia 30 GB de bônus</t>
        </is>
      </c>
      <c r="N4412" s="2" t="inlineStr"/>
      <c r="O4412" s="2" t="inlineStr"/>
      <c r="P4412" s="2" t="inlineStr"/>
      <c r="Q4412" s="2" t="inlineStr"/>
      <c r="R4412" s="2" t="inlineStr"/>
      <c r="S4412" s="2" t="inlineStr"/>
      <c r="T4412" s="2" t="inlineStr">
        <is>
          <t>Assinatura Vivo TV Inicial inclusa</t>
        </is>
      </c>
      <c r="U4412" s="2" t="inlineStr">
        <is>
          <t>https://vivo.com.br/para-voce/produtos-e-servicos/para-o-celular/planos-controle</t>
        </is>
      </c>
      <c r="V4412" s="2" t="inlineStr">
        <is>
          <t>data/raw/vivo_control_SP.html</t>
        </is>
      </c>
    </row>
    <row r="4413">
      <c r="A4413" s="5" t="inlineStr">
        <is>
          <t>2026-09-07</t>
        </is>
      </c>
      <c r="B4413" s="5" t="inlineStr">
        <is>
          <t>2026-09-07T20:15:39</t>
        </is>
      </c>
      <c r="C4413" s="5" t="inlineStr">
        <is>
          <t>vivo</t>
        </is>
      </c>
      <c r="D4413" s="5" t="inlineStr">
        <is>
          <t>control</t>
        </is>
      </c>
      <c r="E4413" s="5" t="inlineStr">
        <is>
          <t>SP</t>
        </is>
      </c>
      <c r="F4413" s="5" t="inlineStr">
        <is>
          <t>Vivo Controle Música</t>
        </is>
      </c>
      <c r="G4413" s="5" t="inlineStr">
        <is>
          <t>vivo:VIV202600034620</t>
        </is>
      </c>
      <c r="H4413" s="6" t="n">
        <v>85</v>
      </c>
      <c r="I4413" s="6" t="inlineStr"/>
      <c r="J4413" s="5" t="inlineStr">
        <is>
          <t>preço-base do plano; a tela exibia R$ 90 com o adicional pré-selecionado (+R$ 5/mês, opcional); 60 GB na tela incluem +10 GB do adicional</t>
        </is>
      </c>
      <c r="K4413" s="5" t="inlineStr"/>
      <c r="L4413" s="7" t="n">
        <v>50</v>
      </c>
      <c r="M4413" s="5" t="inlineStr">
        <is>
          <t>20 GB de franquia 30 GB de bônus</t>
        </is>
      </c>
      <c r="N4413" s="5" t="inlineStr"/>
      <c r="O4413" s="5" t="inlineStr"/>
      <c r="P4413" s="5" t="inlineStr"/>
      <c r="Q4413" s="5" t="inlineStr"/>
      <c r="R4413" s="5" t="inlineStr"/>
      <c r="S4413" s="5" t="inlineStr"/>
      <c r="T4413" s="5" t="inlineStr">
        <is>
          <t>Apple Music Individual</t>
        </is>
      </c>
      <c r="U4413" s="5" t="inlineStr">
        <is>
          <t>https://vivo.com.br/para-voce/produtos-e-servicos/para-o-celular/planos-controle</t>
        </is>
      </c>
      <c r="V4413" s="5" t="inlineStr">
        <is>
          <t>data/raw/vivo_control_SP.html</t>
        </is>
      </c>
    </row>
    <row r="4414">
      <c r="A4414" s="2" t="inlineStr">
        <is>
          <t>2026-09-07</t>
        </is>
      </c>
      <c r="B4414" s="2" t="inlineStr">
        <is>
          <t>2026-09-07T20:15:39</t>
        </is>
      </c>
      <c r="C4414" s="2" t="inlineStr">
        <is>
          <t>vivo</t>
        </is>
      </c>
      <c r="D4414" s="2" t="inlineStr">
        <is>
          <t>control</t>
        </is>
      </c>
      <c r="E4414" s="2" t="inlineStr">
        <is>
          <t>SP</t>
        </is>
      </c>
      <c r="F4414" s="2" t="inlineStr">
        <is>
          <t>Vivo Controle Netflix</t>
        </is>
      </c>
      <c r="G4414" s="2" t="inlineStr">
        <is>
          <t>vivo:VIV202600034623</t>
        </is>
      </c>
      <c r="H4414" s="3" t="n">
        <v>90</v>
      </c>
      <c r="I4414" s="3" t="inlineStr"/>
      <c r="J4414" s="2" t="inlineStr">
        <is>
          <t>preço-base do plano; a tela exibia R$ 95 com o adicional pré-selecionado (+R$ 5/mês, opcional); 60 GB na tela incluem +10 GB do adicional</t>
        </is>
      </c>
      <c r="K4414" s="2" t="inlineStr"/>
      <c r="L4414" s="4" t="n">
        <v>50</v>
      </c>
      <c r="M4414" s="2" t="inlineStr">
        <is>
          <t>20 GB de franquia 30 GB de bônus</t>
        </is>
      </c>
      <c r="N4414" s="2" t="inlineStr"/>
      <c r="O4414" s="2" t="inlineStr"/>
      <c r="P4414" s="2" t="inlineStr"/>
      <c r="Q4414" s="2" t="inlineStr"/>
      <c r="R4414" s="2" t="inlineStr"/>
      <c r="S4414" s="2" t="inlineStr"/>
      <c r="T4414" s="2" t="inlineStr">
        <is>
          <t>Assinatura Netflix Padrão com anúncios</t>
        </is>
      </c>
      <c r="U4414" s="2" t="inlineStr">
        <is>
          <t>https://vivo.com.br/para-voce/produtos-e-servicos/para-o-celular/planos-controle</t>
        </is>
      </c>
      <c r="V4414" s="2" t="inlineStr">
        <is>
          <t>data/raw/vivo_control_SP.html</t>
        </is>
      </c>
    </row>
    <row r="4415">
      <c r="A4415" s="5" t="inlineStr">
        <is>
          <t>2026-09-07</t>
        </is>
      </c>
      <c r="B4415" s="5" t="inlineStr">
        <is>
          <t>2026-09-07T20:15:39</t>
        </is>
      </c>
      <c r="C4415" s="5" t="inlineStr">
        <is>
          <t>vivo</t>
        </is>
      </c>
      <c r="D4415" s="5" t="inlineStr">
        <is>
          <t>control</t>
        </is>
      </c>
      <c r="E4415" s="5" t="inlineStr">
        <is>
          <t>SP</t>
        </is>
      </c>
      <c r="F4415" s="5" t="inlineStr">
        <is>
          <t>Vivo Controle Saúde</t>
        </is>
      </c>
      <c r="G4415" s="5" t="inlineStr">
        <is>
          <t>vivo:VIV202600034625</t>
        </is>
      </c>
      <c r="H4415" s="6" t="n">
        <v>85</v>
      </c>
      <c r="I4415" s="6" t="inlineStr"/>
      <c r="J4415" s="5" t="inlineStr">
        <is>
          <t>preço-base do plano; a tela exibia R$ 90 com o adicional pré-selecionado (+R$ 5/mês, opcional); 60 GB na tela incluem +10 GB do adicional</t>
        </is>
      </c>
      <c r="K4415" s="5" t="inlineStr"/>
      <c r="L4415" s="7" t="n">
        <v>50</v>
      </c>
      <c r="M4415" s="5" t="inlineStr">
        <is>
          <t>20 GB de franquia 30 GB de bônus</t>
        </is>
      </c>
      <c r="N4415" s="5" t="inlineStr"/>
      <c r="O4415" s="5" t="inlineStr"/>
      <c r="P4415" s="5" t="inlineStr"/>
      <c r="Q4415" s="5" t="inlineStr"/>
      <c r="R4415" s="5" t="inlineStr"/>
      <c r="S4415" s="5" t="inlineStr"/>
      <c r="T4415" s="5" t="inlineStr">
        <is>
          <t>Assinatura Vale Saúde Sempre inclusa</t>
        </is>
      </c>
      <c r="U4415" s="5" t="inlineStr">
        <is>
          <t>https://vivo.com.br/para-voce/produtos-e-servicos/para-o-celular/planos-controle</t>
        </is>
      </c>
      <c r="V4415" s="5" t="inlineStr">
        <is>
          <t>data/raw/vivo_control_SP.html</t>
        </is>
      </c>
    </row>
    <row r="4416">
      <c r="A4416" s="2" t="inlineStr">
        <is>
          <t>2026-09-07</t>
        </is>
      </c>
      <c r="B4416" s="2" t="inlineStr">
        <is>
          <t>2026-09-07T20:15:39</t>
        </is>
      </c>
      <c r="C4416" s="2" t="inlineStr">
        <is>
          <t>vivo</t>
        </is>
      </c>
      <c r="D4416" s="2" t="inlineStr">
        <is>
          <t>control</t>
        </is>
      </c>
      <c r="E4416" s="2" t="inlineStr">
        <is>
          <t>SP</t>
        </is>
      </c>
      <c r="F4416" s="2" t="inlineStr">
        <is>
          <t>Vivo Controle Youtube Lite</t>
        </is>
      </c>
      <c r="G4416" s="2" t="inlineStr">
        <is>
          <t>vivo:VIV202600034626</t>
        </is>
      </c>
      <c r="H4416" s="3" t="n">
        <v>85</v>
      </c>
      <c r="I4416" s="3" t="inlineStr"/>
      <c r="J4416" s="2" t="inlineStr">
        <is>
          <t>preço-base do plano; a tela exibia R$ 90 com o adicional pré-selecionado (+R$ 5/mês, opcional); 60 GB na tela incluem +10 GB do adicional</t>
        </is>
      </c>
      <c r="K4416" s="2" t="inlineStr"/>
      <c r="L4416" s="4" t="n">
        <v>50</v>
      </c>
      <c r="M4416" s="2" t="inlineStr">
        <is>
          <t>20 GB de franquia 30 GB de bônus</t>
        </is>
      </c>
      <c r="N4416" s="2" t="inlineStr"/>
      <c r="O4416" s="2" t="inlineStr"/>
      <c r="P4416" s="2" t="inlineStr"/>
      <c r="Q4416" s="2" t="inlineStr"/>
      <c r="R4416" s="2" t="inlineStr"/>
      <c r="S4416" s="2" t="inlineStr"/>
      <c r="T4416" s="2" t="inlineStr">
        <is>
          <t>Assinatura Youtube Premium Lite Inclusa</t>
        </is>
      </c>
      <c r="U4416" s="2" t="inlineStr">
        <is>
          <t>https://vivo.com.br/para-voce/produtos-e-servicos/para-o-celular/planos-controle</t>
        </is>
      </c>
      <c r="V4416" s="2" t="inlineStr">
        <is>
          <t>data/raw/vivo_control_SP.html</t>
        </is>
      </c>
    </row>
    <row r="4417">
      <c r="A4417" s="5" t="inlineStr">
        <is>
          <t>2026-09-07</t>
        </is>
      </c>
      <c r="B4417" s="5" t="inlineStr">
        <is>
          <t>2026-09-07T20:15:39</t>
        </is>
      </c>
      <c r="C4417" s="5" t="inlineStr">
        <is>
          <t>vivo</t>
        </is>
      </c>
      <c r="D4417" s="5" t="inlineStr">
        <is>
          <t>lite</t>
        </is>
      </c>
      <c r="E4417" s="5" t="inlineStr">
        <is>
          <t>SP</t>
        </is>
      </c>
      <c r="F4417" s="5" t="inlineStr">
        <is>
          <t>Vivo Lite</t>
        </is>
      </c>
      <c r="G4417" s="5" t="inlineStr">
        <is>
          <t>vivo:VIV202600038808</t>
        </is>
      </c>
      <c r="H4417" s="6" t="n">
        <v>45</v>
      </c>
      <c r="I4417" s="6" t="n">
        <v>30</v>
      </c>
      <c r="J4417" s="5" t="inlineStr">
        <is>
          <t>preço sem fidelidade; fidelidade 12m no promo</t>
        </is>
      </c>
      <c r="K4417" s="5" t="inlineStr"/>
      <c r="L4417" s="7" t="n">
        <v>30</v>
      </c>
      <c r="M4417" s="5" t="inlineStr">
        <is>
          <t>30 GB de franquia</t>
        </is>
      </c>
      <c r="N4417" s="5" t="inlineStr"/>
      <c r="O4417" s="5" t="inlineStr"/>
      <c r="P4417" s="5" t="inlineStr"/>
      <c r="Q4417" s="5" t="inlineStr"/>
      <c r="R4417" s="5" t="inlineStr"/>
      <c r="S4417" s="5" t="n">
        <v>12</v>
      </c>
      <c r="T4417" s="5" t="inlineStr"/>
      <c r="U4417" s="5" t="inlineStr">
        <is>
          <t>https://vivo.com.br/para-voce/produtos-e-servicos/para-o-celular/easy-lite</t>
        </is>
      </c>
      <c r="V4417" s="5" t="inlineStr">
        <is>
          <t>data/raw/vivo_lite_SP.html</t>
        </is>
      </c>
    </row>
    <row r="4418">
      <c r="A4418" s="2" t="inlineStr">
        <is>
          <t>2026-09-07</t>
        </is>
      </c>
      <c r="B4418" s="2" t="inlineStr">
        <is>
          <t>2026-09-07T20:15:39</t>
        </is>
      </c>
      <c r="C4418" s="2" t="inlineStr">
        <is>
          <t>vivo</t>
        </is>
      </c>
      <c r="D4418" s="2" t="inlineStr">
        <is>
          <t>lite</t>
        </is>
      </c>
      <c r="E4418" s="2" t="inlineStr">
        <is>
          <t>SP</t>
        </is>
      </c>
      <c r="F4418" s="2" t="inlineStr">
        <is>
          <t>Vivo Lite</t>
        </is>
      </c>
      <c r="G4418" s="2" t="inlineStr">
        <is>
          <t>vivo:VIV202600038810</t>
        </is>
      </c>
      <c r="H4418" s="3" t="n">
        <v>55</v>
      </c>
      <c r="I4418" s="3" t="n">
        <v>40</v>
      </c>
      <c r="J4418" s="2" t="inlineStr">
        <is>
          <t>preço sem fidelidade; fidelidade 12m no promo</t>
        </is>
      </c>
      <c r="K4418" s="2" t="inlineStr"/>
      <c r="L4418" s="4" t="n">
        <v>40</v>
      </c>
      <c r="M4418" s="2" t="inlineStr">
        <is>
          <t>40 GB de franquia</t>
        </is>
      </c>
      <c r="N4418" s="2" t="inlineStr"/>
      <c r="O4418" s="2" t="inlineStr"/>
      <c r="P4418" s="2" t="inlineStr"/>
      <c r="Q4418" s="2" t="inlineStr"/>
      <c r="R4418" s="2" t="inlineStr"/>
      <c r="S4418" s="2" t="n">
        <v>12</v>
      </c>
      <c r="T4418" s="2" t="inlineStr"/>
      <c r="U4418" s="2" t="inlineStr">
        <is>
          <t>https://vivo.com.br/para-voce/produtos-e-servicos/para-o-celular/easy-lite</t>
        </is>
      </c>
      <c r="V4418" s="2" t="inlineStr">
        <is>
          <t>data/raw/vivo_lite_SP.html</t>
        </is>
      </c>
    </row>
    <row r="4419">
      <c r="A4419" s="5" t="inlineStr">
        <is>
          <t>2026-09-07</t>
        </is>
      </c>
      <c r="B4419" s="5" t="inlineStr">
        <is>
          <t>2026-09-07T20:15:39</t>
        </is>
      </c>
      <c r="C4419" s="5" t="inlineStr">
        <is>
          <t>vivo</t>
        </is>
      </c>
      <c r="D4419" s="5" t="inlineStr">
        <is>
          <t>lite</t>
        </is>
      </c>
      <c r="E4419" s="5" t="inlineStr">
        <is>
          <t>SP</t>
        </is>
      </c>
      <c r="F4419" s="5" t="inlineStr">
        <is>
          <t>Vivo Lite</t>
        </is>
      </c>
      <c r="G4419" s="5" t="inlineStr">
        <is>
          <t>vivo:VIV202600038814</t>
        </is>
      </c>
      <c r="H4419" s="6" t="n">
        <v>35</v>
      </c>
      <c r="I4419" s="6" t="inlineStr"/>
      <c r="J4419" s="5" t="inlineStr"/>
      <c r="K4419" s="5" t="inlineStr"/>
      <c r="L4419" s="7" t="n">
        <v>20</v>
      </c>
      <c r="M4419" s="5" t="inlineStr">
        <is>
          <t>20 GB de franquia</t>
        </is>
      </c>
      <c r="N4419" s="5" t="inlineStr"/>
      <c r="O4419" s="5" t="inlineStr"/>
      <c r="P4419" s="5" t="inlineStr"/>
      <c r="Q4419" s="5" t="inlineStr"/>
      <c r="R4419" s="5" t="inlineStr"/>
      <c r="S4419" s="5" t="inlineStr"/>
      <c r="T4419" s="5" t="inlineStr"/>
      <c r="U4419" s="5" t="inlineStr">
        <is>
          <t>https://vivo.com.br/para-voce/produtos-e-servicos/para-o-celular/easy-lite</t>
        </is>
      </c>
      <c r="V4419" s="5" t="inlineStr">
        <is>
          <t>data/raw/vivo_lite_SP.html</t>
        </is>
      </c>
    </row>
    <row r="4420">
      <c r="A4420" s="2" t="inlineStr">
        <is>
          <t>2026-09-07</t>
        </is>
      </c>
      <c r="B4420" s="2" t="inlineStr">
        <is>
          <t>2026-09-07T20:15:39</t>
        </is>
      </c>
      <c r="C4420" s="2" t="inlineStr">
        <is>
          <t>vivo</t>
        </is>
      </c>
      <c r="D4420" s="2" t="inlineStr">
        <is>
          <t>postpaid</t>
        </is>
      </c>
      <c r="E4420" s="2" t="inlineStr">
        <is>
          <t>SP</t>
        </is>
      </c>
      <c r="F4420" s="2" t="inlineStr">
        <is>
          <t>Vivo Família 2</t>
        </is>
      </c>
      <c r="G4420" s="2" t="inlineStr">
        <is>
          <t>vivo:VIV202600034547</t>
        </is>
      </c>
      <c r="H4420" s="3" t="n">
        <v>270</v>
      </c>
      <c r="I4420" s="3" t="inlineStr"/>
      <c r="J4420" s="2" t="inlineStr"/>
      <c r="K4420" s="2" t="inlineStr"/>
      <c r="L4420" s="4" t="n">
        <v>120</v>
      </c>
      <c r="M4420" s="2" t="inlineStr">
        <is>
          <t>120 GB de franquia Você + 1 linha adicional Roaming Internacional com Vivo Travel Américas e Europa</t>
        </is>
      </c>
      <c r="N4420" s="2" t="inlineStr"/>
      <c r="O4420" s="2" t="inlineStr"/>
      <c r="P4420" s="2" t="inlineStr"/>
      <c r="Q4420" s="2" t="inlineStr"/>
      <c r="R4420" s="2" t="inlineStr"/>
      <c r="S4420" s="2" t="inlineStr"/>
      <c r="T4420" s="2" t="inlineStr">
        <is>
          <t>12 meses grátis de Gemini com AI Plus</t>
        </is>
      </c>
      <c r="U4420" s="2" t="inlineStr">
        <is>
          <t>https://vivo.com.br/para-voce/produtos-e-servicos/para-o-celular/planos-pos-pago</t>
        </is>
      </c>
      <c r="V4420" s="2" t="inlineStr">
        <is>
          <t>data/raw/vivo_postpaid_SP.html</t>
        </is>
      </c>
    </row>
    <row r="4421">
      <c r="A4421" s="5" t="inlineStr">
        <is>
          <t>2026-09-07</t>
        </is>
      </c>
      <c r="B4421" s="5" t="inlineStr">
        <is>
          <t>2026-09-07T20:15:39</t>
        </is>
      </c>
      <c r="C4421" s="5" t="inlineStr">
        <is>
          <t>vivo</t>
        </is>
      </c>
      <c r="D4421" s="5" t="inlineStr">
        <is>
          <t>postpaid</t>
        </is>
      </c>
      <c r="E4421" s="5" t="inlineStr">
        <is>
          <t>SP</t>
        </is>
      </c>
      <c r="F4421" s="5" t="inlineStr">
        <is>
          <t>Vivo Família 3</t>
        </is>
      </c>
      <c r="G4421" s="5" t="inlineStr">
        <is>
          <t>vivo:VIV202600034540</t>
        </is>
      </c>
      <c r="H4421" s="6" t="n">
        <v>340</v>
      </c>
      <c r="I4421" s="6" t="inlineStr"/>
      <c r="J4421" s="5" t="inlineStr"/>
      <c r="K4421" s="5" t="inlineStr"/>
      <c r="L4421" s="7" t="n">
        <v>180</v>
      </c>
      <c r="M4421" s="5" t="inlineStr">
        <is>
          <t>180 GB de franquia Você + 2 linhas adicionais Roaming Internacional com Vivo Travel Américas e Europa</t>
        </is>
      </c>
      <c r="N4421" s="5" t="inlineStr"/>
      <c r="O4421" s="5" t="inlineStr"/>
      <c r="P4421" s="5" t="inlineStr"/>
      <c r="Q4421" s="5" t="inlineStr"/>
      <c r="R4421" s="5" t="inlineStr"/>
      <c r="S4421" s="5" t="inlineStr"/>
      <c r="T4421" s="5" t="inlineStr">
        <is>
          <t>12 meses grátis de Gemini com AI Plus</t>
        </is>
      </c>
      <c r="U4421" s="5" t="inlineStr">
        <is>
          <t>https://vivo.com.br/para-voce/produtos-e-servicos/para-o-celular/planos-pos-pago</t>
        </is>
      </c>
      <c r="V4421" s="5" t="inlineStr">
        <is>
          <t>data/raw/vivo_postpaid_SP.html</t>
        </is>
      </c>
    </row>
    <row r="4422">
      <c r="A4422" s="2" t="inlineStr">
        <is>
          <t>2026-09-07</t>
        </is>
      </c>
      <c r="B4422" s="2" t="inlineStr">
        <is>
          <t>2026-09-07T20:15:39</t>
        </is>
      </c>
      <c r="C4422" s="2" t="inlineStr">
        <is>
          <t>vivo</t>
        </is>
      </c>
      <c r="D4422" s="2" t="inlineStr">
        <is>
          <t>postpaid</t>
        </is>
      </c>
      <c r="E4422" s="2" t="inlineStr">
        <is>
          <t>SP</t>
        </is>
      </c>
      <c r="F4422" s="2" t="inlineStr">
        <is>
          <t>Vivo Família 4</t>
        </is>
      </c>
      <c r="G4422" s="2" t="inlineStr">
        <is>
          <t>vivo:VIV202600034531</t>
        </is>
      </c>
      <c r="H4422" s="3" t="n">
        <v>430</v>
      </c>
      <c r="I4422" s="3" t="inlineStr"/>
      <c r="J4422" s="2" t="inlineStr"/>
      <c r="K4422" s="2" t="inlineStr"/>
      <c r="L4422" s="4" t="n">
        <v>240</v>
      </c>
      <c r="M4422" s="2" t="inlineStr">
        <is>
          <t>240 GB de franquia Você + 3 linhas adicionais Roaming Internacional com Vivo Travel Américas e Europa</t>
        </is>
      </c>
      <c r="N4422" s="2" t="inlineStr"/>
      <c r="O4422" s="2" t="inlineStr"/>
      <c r="P4422" s="2" t="inlineStr"/>
      <c r="Q4422" s="2" t="inlineStr"/>
      <c r="R4422" s="2" t="inlineStr"/>
      <c r="S4422" s="2" t="inlineStr"/>
      <c r="T4422" s="2" t="inlineStr">
        <is>
          <t>12 meses grátis de Gemini com AI Plus</t>
        </is>
      </c>
      <c r="U4422" s="2" t="inlineStr">
        <is>
          <t>https://vivo.com.br/para-voce/produtos-e-servicos/para-o-celular/planos-pos-pago</t>
        </is>
      </c>
      <c r="V4422" s="2" t="inlineStr">
        <is>
          <t>data/raw/vivo_postpaid_SP.html</t>
        </is>
      </c>
    </row>
    <row r="4423">
      <c r="A4423" s="5" t="inlineStr">
        <is>
          <t>2026-09-07</t>
        </is>
      </c>
      <c r="B4423" s="5" t="inlineStr">
        <is>
          <t>2026-09-07T20:15:39</t>
        </is>
      </c>
      <c r="C4423" s="5" t="inlineStr">
        <is>
          <t>vivo</t>
        </is>
      </c>
      <c r="D4423" s="5" t="inlineStr">
        <is>
          <t>postpaid</t>
        </is>
      </c>
      <c r="E4423" s="5" t="inlineStr">
        <is>
          <t>SP</t>
        </is>
      </c>
      <c r="F4423" s="5" t="inlineStr">
        <is>
          <t>Vivo Família 5</t>
        </is>
      </c>
      <c r="G4423" s="5" t="inlineStr">
        <is>
          <t>vivo:VIV202600034526</t>
        </is>
      </c>
      <c r="H4423" s="6" t="n">
        <v>530</v>
      </c>
      <c r="I4423" s="6" t="inlineStr"/>
      <c r="J4423" s="5" t="inlineStr"/>
      <c r="K4423" s="5" t="inlineStr"/>
      <c r="L4423" s="7" t="n">
        <v>300</v>
      </c>
      <c r="M4423" s="5" t="inlineStr">
        <is>
          <t>300 GB de franquia Você + 4 linhas adicionais Roaming Internacional com Vivo Travel Américas e Europa</t>
        </is>
      </c>
      <c r="N4423" s="5" t="inlineStr"/>
      <c r="O4423" s="5" t="inlineStr"/>
      <c r="P4423" s="5" t="inlineStr"/>
      <c r="Q4423" s="5" t="inlineStr"/>
      <c r="R4423" s="5" t="inlineStr"/>
      <c r="S4423" s="5" t="inlineStr"/>
      <c r="T4423" s="5" t="inlineStr">
        <is>
          <t>12 meses grátis de Gemini com AI Plus</t>
        </is>
      </c>
      <c r="U4423" s="5" t="inlineStr">
        <is>
          <t>https://vivo.com.br/para-voce/produtos-e-servicos/para-o-celular/planos-pos-pago</t>
        </is>
      </c>
      <c r="V4423" s="5" t="inlineStr">
        <is>
          <t>data/raw/vivo_postpaid_SP.html</t>
        </is>
      </c>
    </row>
    <row r="4424">
      <c r="A4424" s="2" t="inlineStr">
        <is>
          <t>2026-09-07</t>
        </is>
      </c>
      <c r="B4424" s="2" t="inlineStr">
        <is>
          <t>2026-09-07T20:15:39</t>
        </is>
      </c>
      <c r="C4424" s="2" t="inlineStr">
        <is>
          <t>vivo</t>
        </is>
      </c>
      <c r="D4424" s="2" t="inlineStr">
        <is>
          <t>postpaid</t>
        </is>
      </c>
      <c r="E4424" s="2" t="inlineStr">
        <is>
          <t>SP</t>
        </is>
      </c>
      <c r="F4424" s="2" t="inlineStr">
        <is>
          <t>Vivo Pós com Amazon</t>
        </is>
      </c>
      <c r="G4424" s="2" t="inlineStr">
        <is>
          <t>vivo:VIV202600034554</t>
        </is>
      </c>
      <c r="H4424" s="3" t="n">
        <v>150</v>
      </c>
      <c r="I4424" s="3" t="inlineStr"/>
      <c r="J4424" s="2" t="inlineStr"/>
      <c r="K4424" s="2" t="inlineStr"/>
      <c r="L4424" s="4" t="n">
        <v>60</v>
      </c>
      <c r="M4424" s="2" t="inlineStr">
        <is>
          <t>50 GB de franquia 10 GB de bônus</t>
        </is>
      </c>
      <c r="N4424" s="2" t="inlineStr"/>
      <c r="O4424" s="2" t="inlineStr"/>
      <c r="P4424" s="2" t="inlineStr"/>
      <c r="Q4424" s="2" t="inlineStr"/>
      <c r="R4424" s="2" t="inlineStr"/>
      <c r="S4424" s="2" t="inlineStr"/>
      <c r="T4424" s="2" t="inlineStr">
        <is>
          <t>Assinatura Amazon Prime inclusa</t>
        </is>
      </c>
      <c r="U4424" s="2" t="inlineStr">
        <is>
          <t>https://vivo.com.br/para-voce/produtos-e-servicos/para-o-celular/planos-pos-pago</t>
        </is>
      </c>
      <c r="V4424" s="2" t="inlineStr">
        <is>
          <t>data/raw/vivo_postpaid_SP.html</t>
        </is>
      </c>
    </row>
    <row r="4425">
      <c r="A4425" s="5" t="inlineStr">
        <is>
          <t>2026-09-07</t>
        </is>
      </c>
      <c r="B4425" s="5" t="inlineStr">
        <is>
          <t>2026-09-07T20:15:39</t>
        </is>
      </c>
      <c r="C4425" s="5" t="inlineStr">
        <is>
          <t>vivo</t>
        </is>
      </c>
      <c r="D4425" s="5" t="inlineStr">
        <is>
          <t>postpaid</t>
        </is>
      </c>
      <c r="E4425" s="5" t="inlineStr">
        <is>
          <t>SP</t>
        </is>
      </c>
      <c r="F4425" s="5" t="inlineStr">
        <is>
          <t>Vivo Pós com Disney+</t>
        </is>
      </c>
      <c r="G4425" s="5" t="inlineStr">
        <is>
          <t>vivo:VIV202600034532</t>
        </is>
      </c>
      <c r="H4425" s="6" t="n">
        <v>180</v>
      </c>
      <c r="I4425" s="6" t="inlineStr"/>
      <c r="J4425" s="5" t="inlineStr"/>
      <c r="K4425" s="5" t="inlineStr"/>
      <c r="L4425" s="7" t="n">
        <v>60</v>
      </c>
      <c r="M4425" s="5" t="inlineStr">
        <is>
          <t>50 GB de franquia 10 GB de bônus</t>
        </is>
      </c>
      <c r="N4425" s="5" t="inlineStr"/>
      <c r="O4425" s="5" t="inlineStr"/>
      <c r="P4425" s="5" t="inlineStr"/>
      <c r="Q4425" s="5" t="inlineStr"/>
      <c r="R4425" s="5" t="inlineStr">
        <is>
          <t>Disney+</t>
        </is>
      </c>
      <c r="S4425" s="5" t="inlineStr"/>
      <c r="T4425" s="5" t="inlineStr">
        <is>
          <t>Assinatura Disney+ Padrão inclusa</t>
        </is>
      </c>
      <c r="U4425" s="5" t="inlineStr">
        <is>
          <t>https://vivo.com.br/para-voce/produtos-e-servicos/para-o-celular/planos-pos-pago</t>
        </is>
      </c>
      <c r="V4425" s="5" t="inlineStr">
        <is>
          <t>data/raw/vivo_postpaid_SP.html</t>
        </is>
      </c>
    </row>
    <row r="4426">
      <c r="A4426" s="2" t="inlineStr">
        <is>
          <t>2026-09-07</t>
        </is>
      </c>
      <c r="B4426" s="2" t="inlineStr">
        <is>
          <t>2026-09-07T20:15:39</t>
        </is>
      </c>
      <c r="C4426" s="2" t="inlineStr">
        <is>
          <t>vivo</t>
        </is>
      </c>
      <c r="D4426" s="2" t="inlineStr">
        <is>
          <t>postpaid</t>
        </is>
      </c>
      <c r="E4426" s="2" t="inlineStr">
        <is>
          <t>SP</t>
        </is>
      </c>
      <c r="F4426" s="2" t="inlineStr">
        <is>
          <t>Vivo Pós com Globoplay</t>
        </is>
      </c>
      <c r="G4426" s="2" t="inlineStr">
        <is>
          <t>vivo:VIV202600034575</t>
        </is>
      </c>
      <c r="H4426" s="3" t="n">
        <v>165</v>
      </c>
      <c r="I4426" s="3" t="inlineStr"/>
      <c r="J4426" s="2" t="inlineStr"/>
      <c r="K4426" s="2" t="inlineStr"/>
      <c r="L4426" s="4" t="n">
        <v>60</v>
      </c>
      <c r="M4426" s="2" t="inlineStr">
        <is>
          <t>50 GB de franquia 10 GB de bônus</t>
        </is>
      </c>
      <c r="N4426" s="2" t="inlineStr"/>
      <c r="O4426" s="2" t="inlineStr"/>
      <c r="P4426" s="2" t="inlineStr"/>
      <c r="Q4426" s="2" t="inlineStr"/>
      <c r="R4426" s="2" t="inlineStr">
        <is>
          <t>Globoplay</t>
        </is>
      </c>
      <c r="S4426" s="2" t="inlineStr"/>
      <c r="T4426" s="2" t="inlineStr">
        <is>
          <t>Assinatura Globoplay inclusa</t>
        </is>
      </c>
      <c r="U4426" s="2" t="inlineStr">
        <is>
          <t>https://vivo.com.br/para-voce/produtos-e-servicos/para-o-celular/planos-pos-pago</t>
        </is>
      </c>
      <c r="V4426" s="2" t="inlineStr">
        <is>
          <t>data/raw/vivo_postpaid_SP.html</t>
        </is>
      </c>
    </row>
    <row r="4427">
      <c r="A4427" s="5" t="inlineStr">
        <is>
          <t>2026-09-07</t>
        </is>
      </c>
      <c r="B4427" s="5" t="inlineStr">
        <is>
          <t>2026-09-07T20:15:39</t>
        </is>
      </c>
      <c r="C4427" s="5" t="inlineStr">
        <is>
          <t>vivo</t>
        </is>
      </c>
      <c r="D4427" s="5" t="inlineStr">
        <is>
          <t>postpaid</t>
        </is>
      </c>
      <c r="E4427" s="5" t="inlineStr">
        <is>
          <t>SP</t>
        </is>
      </c>
      <c r="F4427" s="5" t="inlineStr">
        <is>
          <t>Vivo Pós com Netflix</t>
        </is>
      </c>
      <c r="G4427" s="5" t="inlineStr">
        <is>
          <t>vivo:VIV202600034562</t>
        </is>
      </c>
      <c r="H4427" s="6" t="n">
        <v>180</v>
      </c>
      <c r="I4427" s="6" t="inlineStr"/>
      <c r="J4427" s="5" t="inlineStr"/>
      <c r="K4427" s="5" t="inlineStr"/>
      <c r="L4427" s="7" t="n">
        <v>60</v>
      </c>
      <c r="M4427" s="5" t="inlineStr">
        <is>
          <t>50 GB de franquia 10 GB de bônus</t>
        </is>
      </c>
      <c r="N4427" s="5" t="inlineStr"/>
      <c r="O4427" s="5" t="inlineStr"/>
      <c r="P4427" s="5" t="inlineStr"/>
      <c r="Q4427" s="5" t="inlineStr"/>
      <c r="R4427" s="5" t="inlineStr">
        <is>
          <t>Netflix</t>
        </is>
      </c>
      <c r="S4427" s="5" t="inlineStr"/>
      <c r="T4427" s="5" t="inlineStr">
        <is>
          <t>Assinatura Netflix Padrão inclusa</t>
        </is>
      </c>
      <c r="U4427" s="5" t="inlineStr">
        <is>
          <t>https://vivo.com.br/para-voce/produtos-e-servicos/para-o-celular/planos-pos-pago</t>
        </is>
      </c>
      <c r="V4427" s="5" t="inlineStr">
        <is>
          <t>data/raw/vivo_postpaid_SP.html</t>
        </is>
      </c>
    </row>
    <row r="4428">
      <c r="A4428" s="2" t="inlineStr">
        <is>
          <t>2026-09-07</t>
        </is>
      </c>
      <c r="B4428" s="2" t="inlineStr">
        <is>
          <t>2026-09-07T20:15:39</t>
        </is>
      </c>
      <c r="C4428" s="2" t="inlineStr">
        <is>
          <t>vivo</t>
        </is>
      </c>
      <c r="D4428" s="2" t="inlineStr">
        <is>
          <t>postpaid</t>
        </is>
      </c>
      <c r="E4428" s="2" t="inlineStr">
        <is>
          <t>SP</t>
        </is>
      </c>
      <c r="F4428" s="2" t="inlineStr">
        <is>
          <t>Vivo Pós com Premiere</t>
        </is>
      </c>
      <c r="G4428" s="2" t="inlineStr">
        <is>
          <t>vivo:VIV202600034579</t>
        </is>
      </c>
      <c r="H4428" s="3" t="n">
        <v>180</v>
      </c>
      <c r="I4428" s="3" t="inlineStr"/>
      <c r="J4428" s="2" t="inlineStr"/>
      <c r="K4428" s="2" t="inlineStr"/>
      <c r="L4428" s="4" t="n">
        <v>60</v>
      </c>
      <c r="M4428" s="2" t="inlineStr">
        <is>
          <t>50 GB de franquia 10 GB de bônus</t>
        </is>
      </c>
      <c r="N4428" s="2" t="inlineStr"/>
      <c r="O4428" s="2" t="inlineStr"/>
      <c r="P4428" s="2" t="inlineStr"/>
      <c r="Q4428" s="2" t="inlineStr"/>
      <c r="R4428" s="2" t="inlineStr">
        <is>
          <t>Premiere</t>
        </is>
      </c>
      <c r="S4428" s="2" t="inlineStr"/>
      <c r="T4428" s="2" t="inlineStr">
        <is>
          <t>Assinatura Premiere inclusa</t>
        </is>
      </c>
      <c r="U4428" s="2" t="inlineStr">
        <is>
          <t>https://vivo.com.br/para-voce/produtos-e-servicos/para-o-celular/planos-pos-pago</t>
        </is>
      </c>
      <c r="V4428" s="2" t="inlineStr">
        <is>
          <t>data/raw/vivo_postpaid_SP.html</t>
        </is>
      </c>
    </row>
    <row r="4429">
      <c r="A4429" s="5" t="inlineStr">
        <is>
          <t>2026-09-07</t>
        </is>
      </c>
      <c r="B4429" s="5" t="inlineStr">
        <is>
          <t>2026-09-07T20:15:39</t>
        </is>
      </c>
      <c r="C4429" s="5" t="inlineStr">
        <is>
          <t>vivo</t>
        </is>
      </c>
      <c r="D4429" s="5" t="inlineStr">
        <is>
          <t>postpaid</t>
        </is>
      </c>
      <c r="E4429" s="5" t="inlineStr">
        <is>
          <t>SP</t>
        </is>
      </c>
      <c r="F4429" s="5" t="inlineStr">
        <is>
          <t>Vivo Pós com Spotify</t>
        </is>
      </c>
      <c r="G4429" s="5" t="inlineStr">
        <is>
          <t>vivo:VIV202600034556</t>
        </is>
      </c>
      <c r="H4429" s="6" t="n">
        <v>165</v>
      </c>
      <c r="I4429" s="6" t="inlineStr"/>
      <c r="J4429" s="5" t="inlineStr"/>
      <c r="K4429" s="5" t="inlineStr"/>
      <c r="L4429" s="7" t="n">
        <v>60</v>
      </c>
      <c r="M4429" s="5" t="inlineStr">
        <is>
          <t>50 GB de franquia 10 GB de bônus</t>
        </is>
      </c>
      <c r="N4429" s="5" t="inlineStr"/>
      <c r="O4429" s="5" t="inlineStr"/>
      <c r="P4429" s="5" t="inlineStr"/>
      <c r="Q4429" s="5" t="inlineStr"/>
      <c r="R4429" s="5" t="inlineStr">
        <is>
          <t>Spotify</t>
        </is>
      </c>
      <c r="S4429" s="5" t="inlineStr"/>
      <c r="T4429" s="5" t="inlineStr">
        <is>
          <t>Assinatura Spotify Premium inclusa</t>
        </is>
      </c>
      <c r="U4429" s="5" t="inlineStr">
        <is>
          <t>https://vivo.com.br/para-voce/produtos-e-servicos/para-o-celular/planos-pos-pago</t>
        </is>
      </c>
      <c r="V4429" s="5" t="inlineStr">
        <is>
          <t>data/raw/vivo_postpaid_SP.html</t>
        </is>
      </c>
    </row>
    <row r="4430">
      <c r="A4430" s="2" t="inlineStr">
        <is>
          <t>2026-09-07</t>
        </is>
      </c>
      <c r="B4430" s="2" t="inlineStr">
        <is>
          <t>2026-09-07T20:15:39</t>
        </is>
      </c>
      <c r="C4430" s="2" t="inlineStr">
        <is>
          <t>vivo</t>
        </is>
      </c>
      <c r="D4430" s="2" t="inlineStr">
        <is>
          <t>postpaid</t>
        </is>
      </c>
      <c r="E4430" s="2" t="inlineStr">
        <is>
          <t>SP</t>
        </is>
      </c>
      <c r="F4430" s="2" t="inlineStr">
        <is>
          <t>Vivo Pós com Travel</t>
        </is>
      </c>
      <c r="G4430" s="2" t="inlineStr">
        <is>
          <t>vivo:VIV202600034573</t>
        </is>
      </c>
      <c r="H4430" s="3" t="n">
        <v>215</v>
      </c>
      <c r="I4430" s="3" t="inlineStr"/>
      <c r="J4430" s="2" t="inlineStr"/>
      <c r="K4430" s="2" t="inlineStr"/>
      <c r="L4430" s="4" t="n">
        <v>70</v>
      </c>
      <c r="M4430" s="2" t="inlineStr">
        <is>
          <t>60 GB de franquia 10 GB de bônus</t>
        </is>
      </c>
      <c r="N4430" s="2" t="inlineStr"/>
      <c r="O4430" s="2" t="inlineStr"/>
      <c r="P4430" s="2" t="inlineStr"/>
      <c r="Q4430" s="2" t="inlineStr"/>
      <c r="R4430" s="2" t="inlineStr"/>
      <c r="S4430" s="2" t="inlineStr"/>
      <c r="T4430" s="2" t="inlineStr">
        <is>
          <t>6 meses grátis de Gemini com AI Plus</t>
        </is>
      </c>
      <c r="U4430" s="2" t="inlineStr">
        <is>
          <t>https://vivo.com.br/para-voce/produtos-e-servicos/para-o-celular/planos-pos-pago</t>
        </is>
      </c>
      <c r="V4430" s="2" t="inlineStr">
        <is>
          <t>data/raw/vivo_postpaid_SP.html</t>
        </is>
      </c>
    </row>
    <row r="4431">
      <c r="A4431" s="5" t="inlineStr">
        <is>
          <t>2026-09-07</t>
        </is>
      </c>
      <c r="B4431" s="5" t="inlineStr">
        <is>
          <t>2026-09-07T20:15:39</t>
        </is>
      </c>
      <c r="C4431" s="5" t="inlineStr">
        <is>
          <t>vivo</t>
        </is>
      </c>
      <c r="D4431" s="5" t="inlineStr">
        <is>
          <t>prepaid</t>
        </is>
      </c>
      <c r="E4431" s="5" t="inlineStr">
        <is>
          <t>SP</t>
        </is>
      </c>
      <c r="F4431" s="5" t="inlineStr">
        <is>
          <t>Vivo Pré</t>
        </is>
      </c>
      <c r="G4431" s="5" t="inlineStr">
        <is>
          <t>vivo:VIV202600029370-30d</t>
        </is>
      </c>
      <c r="H4431" s="6" t="n">
        <v>30</v>
      </c>
      <c r="I4431" s="6" t="inlineStr"/>
      <c r="J4431" s="5" t="inlineStr"/>
      <c r="K4431" s="5" t="inlineStr"/>
      <c r="L4431" s="7" t="n">
        <v>25</v>
      </c>
      <c r="M4431" s="5" t="inlineStr">
        <is>
          <t>15 GB para navegar como quiser 5 GB de bônus 5 GB para navegar no Youtube</t>
        </is>
      </c>
      <c r="N4431" s="5" t="n">
        <v>30</v>
      </c>
      <c r="O4431" s="5" t="inlineStr"/>
      <c r="P4431" s="5" t="inlineStr"/>
      <c r="Q4431" s="5" t="inlineStr"/>
      <c r="R4431" s="5" t="inlineStr"/>
      <c r="S4431" s="5" t="inlineStr"/>
      <c r="T4431" s="5" t="inlineStr"/>
      <c r="U4431" s="5" t="inlineStr">
        <is>
          <t>https://vivo.com.br/para-voce/produtos-e-servicos/para-o-celular/pre-pago/vivo-pre</t>
        </is>
      </c>
      <c r="V4431" s="5" t="inlineStr">
        <is>
          <t>data/raw/vivo_prepaid_SP.html</t>
        </is>
      </c>
    </row>
    <row r="4432">
      <c r="A4432" s="2" t="inlineStr">
        <is>
          <t>2026-09-07</t>
        </is>
      </c>
      <c r="B4432" s="2" t="inlineStr">
        <is>
          <t>2026-09-07T20:15:39</t>
        </is>
      </c>
      <c r="C4432" s="2" t="inlineStr">
        <is>
          <t>vivo</t>
        </is>
      </c>
      <c r="D4432" s="2" t="inlineStr">
        <is>
          <t>prepaid</t>
        </is>
      </c>
      <c r="E4432" s="2" t="inlineStr">
        <is>
          <t>SP</t>
        </is>
      </c>
      <c r="F4432" s="2" t="inlineStr">
        <is>
          <t>Vivo Pré</t>
        </is>
      </c>
      <c r="G4432" s="2" t="inlineStr">
        <is>
          <t>vivo:VIV202600029370-22d</t>
        </is>
      </c>
      <c r="H4432" s="3" t="n">
        <v>25</v>
      </c>
      <c r="I4432" s="3" t="inlineStr"/>
      <c r="J4432" s="2" t="inlineStr"/>
      <c r="K4432" s="2" t="inlineStr"/>
      <c r="L4432" s="4" t="n">
        <v>9</v>
      </c>
      <c r="M4432" s="2" t="inlineStr">
        <is>
          <t>6 GB para navegar como quiser 3 GB para navegar no YouTube</t>
        </is>
      </c>
      <c r="N4432" s="2" t="n">
        <v>22</v>
      </c>
      <c r="O4432" s="2" t="inlineStr"/>
      <c r="P4432" s="2" t="inlineStr"/>
      <c r="Q4432" s="2" t="inlineStr"/>
      <c r="R4432" s="2" t="inlineStr"/>
      <c r="S4432" s="2" t="inlineStr"/>
      <c r="T4432" s="2" t="inlineStr"/>
      <c r="U4432" s="2" t="inlineStr">
        <is>
          <t>https://vivo.com.br/para-voce/produtos-e-servicos/para-o-celular/pre-pago/vivo-pre</t>
        </is>
      </c>
      <c r="V4432" s="2" t="inlineStr">
        <is>
          <t>data/raw/vivo_prepaid_SP.html</t>
        </is>
      </c>
    </row>
    <row r="4433">
      <c r="A4433" s="5" t="inlineStr">
        <is>
          <t>2026-09-07</t>
        </is>
      </c>
      <c r="B4433" s="5" t="inlineStr">
        <is>
          <t>2026-09-07T20:15:39</t>
        </is>
      </c>
      <c r="C4433" s="5" t="inlineStr">
        <is>
          <t>vivo</t>
        </is>
      </c>
      <c r="D4433" s="5" t="inlineStr">
        <is>
          <t>prepaid</t>
        </is>
      </c>
      <c r="E4433" s="5" t="inlineStr">
        <is>
          <t>SP</t>
        </is>
      </c>
      <c r="F4433" s="5" t="inlineStr">
        <is>
          <t>Vivo Pré</t>
        </is>
      </c>
      <c r="G4433" s="5" t="inlineStr">
        <is>
          <t>vivo:VIV202600029370-17d</t>
        </is>
      </c>
      <c r="H4433" s="6" t="n">
        <v>20</v>
      </c>
      <c r="I4433" s="6" t="inlineStr"/>
      <c r="J4433" s="5" t="inlineStr"/>
      <c r="K4433" s="5" t="inlineStr"/>
      <c r="L4433" s="7" t="n">
        <v>5</v>
      </c>
      <c r="M4433" s="5" t="inlineStr">
        <is>
          <t>5 GB para navegar como quiser</t>
        </is>
      </c>
      <c r="N4433" s="5" t="n">
        <v>17</v>
      </c>
      <c r="O4433" s="5" t="inlineStr"/>
      <c r="P4433" s="5" t="inlineStr"/>
      <c r="Q4433" s="5" t="inlineStr"/>
      <c r="R4433" s="5" t="inlineStr"/>
      <c r="S4433" s="5" t="inlineStr"/>
      <c r="T4433" s="5" t="inlineStr"/>
      <c r="U4433" s="5" t="inlineStr">
        <is>
          <t>https://vivo.com.br/para-voce/produtos-e-servicos/para-o-celular/pre-pago/vivo-pre</t>
        </is>
      </c>
      <c r="V4433" s="5" t="inlineStr">
        <is>
          <t>data/raw/vivo_prepaid_SP.html</t>
        </is>
      </c>
    </row>
    <row r="4434">
      <c r="A4434" s="2" t="inlineStr">
        <is>
          <t>2026-09-07</t>
        </is>
      </c>
      <c r="B4434" s="2" t="inlineStr">
        <is>
          <t>2026-09-07T20:15:39</t>
        </is>
      </c>
      <c r="C4434" s="2" t="inlineStr">
        <is>
          <t>vivo</t>
        </is>
      </c>
      <c r="D4434" s="2" t="inlineStr">
        <is>
          <t>prepaid</t>
        </is>
      </c>
      <c r="E4434" s="2" t="inlineStr">
        <is>
          <t>SP</t>
        </is>
      </c>
      <c r="F4434" s="2" t="inlineStr">
        <is>
          <t>Vivo Pré</t>
        </is>
      </c>
      <c r="G4434" s="2" t="inlineStr">
        <is>
          <t>vivo:VIV202600029370-15d</t>
        </is>
      </c>
      <c r="H4434" s="3" t="n">
        <v>17</v>
      </c>
      <c r="I4434" s="3" t="inlineStr"/>
      <c r="J4434" s="2" t="inlineStr"/>
      <c r="K4434" s="2" t="inlineStr"/>
      <c r="L4434" s="4" t="n">
        <v>4</v>
      </c>
      <c r="M4434" s="2" t="inlineStr">
        <is>
          <t>4 GB para navegar como quiser</t>
        </is>
      </c>
      <c r="N4434" s="2" t="n">
        <v>15</v>
      </c>
      <c r="O4434" s="2" t="inlineStr"/>
      <c r="P4434" s="2" t="inlineStr"/>
      <c r="Q4434" s="2" t="inlineStr"/>
      <c r="R4434" s="2" t="inlineStr"/>
      <c r="S4434" s="2" t="inlineStr"/>
      <c r="T4434" s="2" t="inlineStr"/>
      <c r="U4434" s="2" t="inlineStr">
        <is>
          <t>https://vivo.com.br/para-voce/produtos-e-servicos/para-o-celular/pre-pago/vivo-pre</t>
        </is>
      </c>
      <c r="V4434" s="2" t="inlineStr">
        <is>
          <t>data/raw/vivo_prepaid_SP.html</t>
        </is>
      </c>
    </row>
    <row r="4435">
      <c r="A4435" s="5" t="inlineStr">
        <is>
          <t>2026-09-08</t>
        </is>
      </c>
      <c r="B4435" s="5" t="inlineStr">
        <is>
          <t>2026-09-08T20:09:02</t>
        </is>
      </c>
      <c r="C4435" s="5" t="inlineStr">
        <is>
          <t>claro</t>
        </is>
      </c>
      <c r="D4435" s="5" t="inlineStr">
        <is>
          <t>control</t>
        </is>
      </c>
      <c r="E4435" s="5" t="inlineStr">
        <is>
          <t>SP</t>
        </is>
      </c>
      <c r="F4435" s="5" t="inlineStr">
        <is>
          <t>Controle 25GB</t>
        </is>
      </c>
      <c r="G4435" s="5" t="inlineStr">
        <is>
          <t>claro:plano-controle-25gb</t>
        </is>
      </c>
      <c r="H4435" s="6" t="n">
        <v>59.9</v>
      </c>
      <c r="I4435" s="6" t="n">
        <v>54.9</v>
      </c>
      <c r="J4435" s="5" t="inlineStr">
        <is>
          <t>De R$ 59,90 Por:</t>
        </is>
      </c>
      <c r="K4435" s="5" t="inlineStr"/>
      <c r="L4435" s="7" t="n">
        <v>25</v>
      </c>
      <c r="M4435" s="5" t="inlineStr"/>
      <c r="N4435" s="5" t="inlineStr"/>
      <c r="O4435" s="5" t="inlineStr">
        <is>
          <t>WhatsApp</t>
        </is>
      </c>
      <c r="P4435" s="5" t="inlineStr"/>
      <c r="Q4435" s="5" t="inlineStr"/>
      <c r="R4435" s="5" t="inlineStr"/>
      <c r="S4435" s="5" t="inlineStr"/>
      <c r="T4435" s="5" t="inlineStr">
        <is>
          <t>Para uso livre; Para redes sociais e vídeos; Bônus exclusivo; Aproveite na sua franquia; WhatsApp e ligações ilimitadas</t>
        </is>
      </c>
      <c r="U4435" s="5" t="inlineStr">
        <is>
          <t>https://www.claro.com.br/celular/controle</t>
        </is>
      </c>
      <c r="V4435" s="5" t="inlineStr">
        <is>
          <t>data/raw/claro_control_SP.json</t>
        </is>
      </c>
    </row>
    <row r="4436">
      <c r="A4436" s="2" t="inlineStr">
        <is>
          <t>2026-09-08</t>
        </is>
      </c>
      <c r="B4436" s="2" t="inlineStr">
        <is>
          <t>2026-09-08T20:09:02</t>
        </is>
      </c>
      <c r="C4436" s="2" t="inlineStr">
        <is>
          <t>claro</t>
        </is>
      </c>
      <c r="D4436" s="2" t="inlineStr">
        <is>
          <t>control</t>
        </is>
      </c>
      <c r="E4436" s="2" t="inlineStr">
        <is>
          <t>SP</t>
        </is>
      </c>
      <c r="F4436" s="2" t="inlineStr">
        <is>
          <t>Controle 30GB</t>
        </is>
      </c>
      <c r="G4436" s="2" t="inlineStr">
        <is>
          <t>claro:plano-controle-30gb</t>
        </is>
      </c>
      <c r="H4436" s="3" t="n">
        <v>69.90000000000001</v>
      </c>
      <c r="I4436" s="3" t="inlineStr"/>
      <c r="J4436" s="2" t="inlineStr"/>
      <c r="K4436" s="2" t="inlineStr"/>
      <c r="L4436" s="4" t="n">
        <v>30</v>
      </c>
      <c r="M4436" s="2" t="inlineStr"/>
      <c r="N4436" s="2" t="inlineStr"/>
      <c r="O4436" s="2" t="inlineStr">
        <is>
          <t>WhatsApp</t>
        </is>
      </c>
      <c r="P4436" s="2" t="inlineStr"/>
      <c r="Q4436" s="2" t="inlineStr"/>
      <c r="R4436" s="2" t="inlineStr"/>
      <c r="S4436" s="2" t="inlineStr"/>
      <c r="T4436" s="2" t="inlineStr">
        <is>
          <t>Para uso livre; Bônus para uso livre; Bônus para redes sociais e apps; Assinatura Amazon Prime por 3 meses; Redes sociais e apps; WhatsApp ilimitado</t>
        </is>
      </c>
      <c r="U4436" s="2" t="inlineStr">
        <is>
          <t>https://www.claro.com.br/celular/controle</t>
        </is>
      </c>
      <c r="V4436" s="2" t="inlineStr">
        <is>
          <t>data/raw/claro_control_SP.json</t>
        </is>
      </c>
    </row>
    <row r="4437">
      <c r="A4437" s="5" t="inlineStr">
        <is>
          <t>2026-09-08</t>
        </is>
      </c>
      <c r="B4437" s="5" t="inlineStr">
        <is>
          <t>2026-09-08T20:09:02</t>
        </is>
      </c>
      <c r="C4437" s="5" t="inlineStr">
        <is>
          <t>claro</t>
        </is>
      </c>
      <c r="D4437" s="5" t="inlineStr">
        <is>
          <t>control</t>
        </is>
      </c>
      <c r="E4437" s="5" t="inlineStr">
        <is>
          <t>SP</t>
        </is>
      </c>
      <c r="F4437" s="5" t="inlineStr">
        <is>
          <t>Controle 30GB</t>
        </is>
      </c>
      <c r="G4437" s="5" t="inlineStr">
        <is>
          <t>claro:plano-controle-30gb-gaming</t>
        </is>
      </c>
      <c r="H4437" s="6" t="n">
        <v>99.90000000000001</v>
      </c>
      <c r="I4437" s="6" t="inlineStr"/>
      <c r="J4437" s="5" t="inlineStr"/>
      <c r="K4437" s="5" t="inlineStr"/>
      <c r="L4437" s="7" t="n">
        <v>30</v>
      </c>
      <c r="M4437" s="5" t="inlineStr"/>
      <c r="N4437" s="5" t="inlineStr"/>
      <c r="O4437" s="5" t="inlineStr">
        <is>
          <t>WhatsApp</t>
        </is>
      </c>
      <c r="P4437" s="5" t="inlineStr"/>
      <c r="Q4437" s="5" t="inlineStr"/>
      <c r="R4437" s="5" t="inlineStr"/>
      <c r="S4437" s="5" t="inlineStr"/>
      <c r="T4437" s="5" t="inlineStr">
        <is>
          <t>Para uso livre; Bônus para redes sociais e apps; Bônus uso livre; Assinatura Amazon Prime por 3 meses; Redes sociais e apps; WhatsApp ilimitado</t>
        </is>
      </c>
      <c r="U4437" s="5" t="inlineStr">
        <is>
          <t>https://www.claro.com.br/celular/controle</t>
        </is>
      </c>
      <c r="V4437" s="5" t="inlineStr">
        <is>
          <t>data/raw/claro_control_SP.json</t>
        </is>
      </c>
    </row>
    <row r="4438">
      <c r="A4438" s="2" t="inlineStr">
        <is>
          <t>2026-09-08</t>
        </is>
      </c>
      <c r="B4438" s="2" t="inlineStr">
        <is>
          <t>2026-09-08T20:09:02</t>
        </is>
      </c>
      <c r="C4438" s="2" t="inlineStr">
        <is>
          <t>claro</t>
        </is>
      </c>
      <c r="D4438" s="2" t="inlineStr">
        <is>
          <t>flex</t>
        </is>
      </c>
      <c r="E4438" s="2" t="inlineStr">
        <is>
          <t>SP</t>
        </is>
      </c>
      <c r="F4438" s="2" t="inlineStr">
        <is>
          <t>Flex 15GB</t>
        </is>
      </c>
      <c r="G4438" s="2" t="inlineStr">
        <is>
          <t>claro:plano-flex-15gb</t>
        </is>
      </c>
      <c r="H4438" s="3" t="n">
        <v>44.9</v>
      </c>
      <c r="I4438" s="3" t="inlineStr"/>
      <c r="J4438" s="2" t="inlineStr"/>
      <c r="K4438" s="2" t="inlineStr"/>
      <c r="L4438" s="4" t="n">
        <v>15</v>
      </c>
      <c r="M4438" s="2" t="inlineStr"/>
      <c r="N4438" s="2" t="inlineStr"/>
      <c r="O4438" s="2" t="inlineStr">
        <is>
          <t>WhatsApp</t>
        </is>
      </c>
      <c r="P4438" s="2" t="inlineStr"/>
      <c r="Q4438" s="2" t="inlineStr"/>
      <c r="R4438" s="2" t="inlineStr"/>
      <c r="S4438" s="2" t="inlineStr"/>
      <c r="T4438" s="2" t="inlineStr">
        <is>
          <t>Para uso livre; Para redes sociais e apps; Bônus extra nos apps; WhatsApp ilimitado</t>
        </is>
      </c>
      <c r="U4438" s="2" t="inlineStr">
        <is>
          <t>https://www.claro.com.br/celular/flex</t>
        </is>
      </c>
      <c r="V4438" s="2" t="inlineStr">
        <is>
          <t>data/raw/claro_flex_SP.json</t>
        </is>
      </c>
    </row>
    <row r="4439">
      <c r="A4439" s="5" t="inlineStr">
        <is>
          <t>2026-09-08</t>
        </is>
      </c>
      <c r="B4439" s="5" t="inlineStr">
        <is>
          <t>2026-09-08T20:09:02</t>
        </is>
      </c>
      <c r="C4439" s="5" t="inlineStr">
        <is>
          <t>claro</t>
        </is>
      </c>
      <c r="D4439" s="5" t="inlineStr">
        <is>
          <t>flex</t>
        </is>
      </c>
      <c r="E4439" s="5" t="inlineStr">
        <is>
          <t>SP</t>
        </is>
      </c>
      <c r="F4439" s="5" t="inlineStr">
        <is>
          <t>Flex 20GB</t>
        </is>
      </c>
      <c r="G4439" s="5" t="inlineStr">
        <is>
          <t>claro:plano-flex-20gb</t>
        </is>
      </c>
      <c r="H4439" s="6" t="n">
        <v>59.9</v>
      </c>
      <c r="I4439" s="6" t="inlineStr"/>
      <c r="J4439" s="5" t="inlineStr"/>
      <c r="K4439" s="5" t="inlineStr"/>
      <c r="L4439" s="7" t="n">
        <v>20</v>
      </c>
      <c r="M4439" s="5" t="inlineStr"/>
      <c r="N4439" s="5" t="inlineStr"/>
      <c r="O4439" s="5" t="inlineStr">
        <is>
          <t>WhatsApp</t>
        </is>
      </c>
      <c r="P4439" s="5" t="inlineStr"/>
      <c r="Q4439" s="5" t="inlineStr"/>
      <c r="R4439" s="5" t="inlineStr"/>
      <c r="S4439" s="5" t="inlineStr"/>
      <c r="T4439" s="5" t="inlineStr">
        <is>
          <t>Para uso livre; Para redes sociais e apps; Bônus extra nos apps; WhatsApp ilimitado</t>
        </is>
      </c>
      <c r="U4439" s="5" t="inlineStr">
        <is>
          <t>https://www.claro.com.br/celular/flex</t>
        </is>
      </c>
      <c r="V4439" s="5" t="inlineStr">
        <is>
          <t>data/raw/claro_flex_SP.json</t>
        </is>
      </c>
    </row>
    <row r="4440">
      <c r="A4440" s="2" t="inlineStr">
        <is>
          <t>2026-09-08</t>
        </is>
      </c>
      <c r="B4440" s="2" t="inlineStr">
        <is>
          <t>2026-09-08T20:09:02</t>
        </is>
      </c>
      <c r="C4440" s="2" t="inlineStr">
        <is>
          <t>claro</t>
        </is>
      </c>
      <c r="D4440" s="2" t="inlineStr">
        <is>
          <t>flex</t>
        </is>
      </c>
      <c r="E4440" s="2" t="inlineStr">
        <is>
          <t>SP</t>
        </is>
      </c>
      <c r="F4440" s="2" t="inlineStr">
        <is>
          <t>Flex 30GB</t>
        </is>
      </c>
      <c r="G4440" s="2" t="inlineStr">
        <is>
          <t>claro:plano-flex-30gb</t>
        </is>
      </c>
      <c r="H4440" s="3" t="n">
        <v>69.90000000000001</v>
      </c>
      <c r="I4440" s="3" t="inlineStr"/>
      <c r="J4440" s="2" t="inlineStr"/>
      <c r="K4440" s="2" t="inlineStr"/>
      <c r="L4440" s="4" t="n">
        <v>30</v>
      </c>
      <c r="M4440" s="2" t="inlineStr"/>
      <c r="N4440" s="2" t="inlineStr"/>
      <c r="O4440" s="2" t="inlineStr">
        <is>
          <t>WhatsApp</t>
        </is>
      </c>
      <c r="P4440" s="2" t="inlineStr"/>
      <c r="Q4440" s="2" t="inlineStr"/>
      <c r="R4440" s="2" t="inlineStr"/>
      <c r="S4440" s="2" t="inlineStr"/>
      <c r="T4440" s="2" t="inlineStr">
        <is>
          <t>Para uso livre; Para redes sociais e apps; Bônus extra nos apps; WhatsApp ilimitado; Assinatura Claro musica inclusa</t>
        </is>
      </c>
      <c r="U4440" s="2" t="inlineStr">
        <is>
          <t>https://www.claro.com.br/celular/flex</t>
        </is>
      </c>
      <c r="V4440" s="2" t="inlineStr">
        <is>
          <t>data/raw/claro_flex_SP.json</t>
        </is>
      </c>
    </row>
    <row r="4441">
      <c r="A4441" s="5" t="inlineStr">
        <is>
          <t>2026-09-08</t>
        </is>
      </c>
      <c r="B4441" s="5" t="inlineStr">
        <is>
          <t>2026-09-08T20:09:02</t>
        </is>
      </c>
      <c r="C4441" s="5" t="inlineStr">
        <is>
          <t>claro</t>
        </is>
      </c>
      <c r="D4441" s="5" t="inlineStr">
        <is>
          <t>flex</t>
        </is>
      </c>
      <c r="E4441" s="5" t="inlineStr">
        <is>
          <t>SP</t>
        </is>
      </c>
      <c r="F4441" s="5" t="inlineStr">
        <is>
          <t>Flex 40GB</t>
        </is>
      </c>
      <c r="G4441" s="5" t="inlineStr">
        <is>
          <t>claro:plano-flex-40gb</t>
        </is>
      </c>
      <c r="H4441" s="6" t="n">
        <v>119.9</v>
      </c>
      <c r="I4441" s="6" t="inlineStr"/>
      <c r="J4441" s="5" t="inlineStr"/>
      <c r="K4441" s="5" t="inlineStr"/>
      <c r="L4441" s="7" t="n">
        <v>40</v>
      </c>
      <c r="M4441" s="5" t="inlineStr"/>
      <c r="N4441" s="5" t="inlineStr"/>
      <c r="O4441" s="5" t="inlineStr">
        <is>
          <t>WhatsApp</t>
        </is>
      </c>
      <c r="P4441" s="5" t="inlineStr"/>
      <c r="Q4441" s="5" t="inlineStr"/>
      <c r="R4441" s="5" t="inlineStr"/>
      <c r="S4441" s="5" t="inlineStr"/>
      <c r="T4441" s="5" t="inlineStr">
        <is>
          <t>Para uso livre; WhatsApp ilimitado; Assinatura Claro musica inclusa; Roaming: Passaporte Américas</t>
        </is>
      </c>
      <c r="U4441" s="5" t="inlineStr">
        <is>
          <t>https://www.claro.com.br/celular/flex</t>
        </is>
      </c>
      <c r="V4441" s="5" t="inlineStr">
        <is>
          <t>data/raw/claro_flex_SP.json</t>
        </is>
      </c>
    </row>
    <row r="4442">
      <c r="A4442" s="2" t="inlineStr">
        <is>
          <t>2026-09-08</t>
        </is>
      </c>
      <c r="B4442" s="2" t="inlineStr">
        <is>
          <t>2026-09-08T20:09:02</t>
        </is>
      </c>
      <c r="C4442" s="2" t="inlineStr">
        <is>
          <t>claro</t>
        </is>
      </c>
      <c r="D4442" s="2" t="inlineStr">
        <is>
          <t>postpaid</t>
        </is>
      </c>
      <c r="E4442" s="2" t="inlineStr">
        <is>
          <t>SP</t>
        </is>
      </c>
      <c r="F4442" s="2" t="inlineStr">
        <is>
          <t>Pós 100GB</t>
        </is>
      </c>
      <c r="G4442" s="2" t="inlineStr">
        <is>
          <t>claro:plano-pos-100gb</t>
        </is>
      </c>
      <c r="H4442" s="3" t="n">
        <v>179.9</v>
      </c>
      <c r="I4442" s="3" t="inlineStr"/>
      <c r="J4442" s="2" t="inlineStr"/>
      <c r="K4442" s="2" t="inlineStr"/>
      <c r="L4442" s="4" t="n">
        <v>100</v>
      </c>
      <c r="M4442" s="2" t="inlineStr"/>
      <c r="N4442" s="2" t="inlineStr"/>
      <c r="O4442" s="2" t="inlineStr">
        <is>
          <t>WhatsApp</t>
        </is>
      </c>
      <c r="P4442" s="2" t="inlineStr"/>
      <c r="Q4442" s="2" t="inlineStr"/>
      <c r="R4442" s="2" t="inlineStr"/>
      <c r="S4442" s="2" t="inlineStr"/>
      <c r="T4442" s="2" t="inlineStr">
        <is>
          <t>Armazenamento na nuvem:; Google One ou iCloud+; WhatsApp ilimitado; Assinatura Amazon Prime por 3 meses; Roaming: Passaporte Américas; Claro Sync: Smartwatch conectado</t>
        </is>
      </c>
      <c r="U4442" s="2" t="inlineStr">
        <is>
          <t>https://www.claro.com.br/celular/pos</t>
        </is>
      </c>
      <c r="V4442" s="2" t="inlineStr">
        <is>
          <t>data/raw/claro_postpaid_SP.json</t>
        </is>
      </c>
    </row>
    <row r="4443">
      <c r="A4443" s="5" t="inlineStr">
        <is>
          <t>2026-09-08</t>
        </is>
      </c>
      <c r="B4443" s="5" t="inlineStr">
        <is>
          <t>2026-09-08T20:09:02</t>
        </is>
      </c>
      <c r="C4443" s="5" t="inlineStr">
        <is>
          <t>claro</t>
        </is>
      </c>
      <c r="D4443" s="5" t="inlineStr">
        <is>
          <t>postpaid</t>
        </is>
      </c>
      <c r="E4443" s="5" t="inlineStr">
        <is>
          <t>SP</t>
        </is>
      </c>
      <c r="F4443" s="5" t="inlineStr">
        <is>
          <t>Pós 150GB</t>
        </is>
      </c>
      <c r="G4443" s="5" t="inlineStr">
        <is>
          <t>claro:plano-pos-150gb</t>
        </is>
      </c>
      <c r="H4443" s="6" t="n">
        <v>239.9</v>
      </c>
      <c r="I4443" s="6" t="inlineStr"/>
      <c r="J4443" s="5" t="inlineStr"/>
      <c r="K4443" s="5" t="inlineStr"/>
      <c r="L4443" s="7" t="n">
        <v>150</v>
      </c>
      <c r="M4443" s="5" t="inlineStr"/>
      <c r="N4443" s="5" t="inlineStr"/>
      <c r="O4443" s="5" t="inlineStr">
        <is>
          <t>WhatsApp</t>
        </is>
      </c>
      <c r="P4443" s="5" t="inlineStr"/>
      <c r="Q4443" s="5" t="inlineStr"/>
      <c r="R4443" s="5" t="inlineStr"/>
      <c r="S4443" s="5" t="inlineStr"/>
      <c r="T4443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443" s="5" t="inlineStr">
        <is>
          <t>https://www.claro.com.br/celular/pos</t>
        </is>
      </c>
      <c r="V4443" s="5" t="inlineStr">
        <is>
          <t>data/raw/claro_postpaid_SP.json</t>
        </is>
      </c>
    </row>
    <row r="4444">
      <c r="A4444" s="2" t="inlineStr">
        <is>
          <t>2026-09-08</t>
        </is>
      </c>
      <c r="B4444" s="2" t="inlineStr">
        <is>
          <t>2026-09-08T20:09:02</t>
        </is>
      </c>
      <c r="C4444" s="2" t="inlineStr">
        <is>
          <t>claro</t>
        </is>
      </c>
      <c r="D4444" s="2" t="inlineStr">
        <is>
          <t>postpaid</t>
        </is>
      </c>
      <c r="E4444" s="2" t="inlineStr">
        <is>
          <t>SP</t>
        </is>
      </c>
      <c r="F4444" s="2" t="inlineStr">
        <is>
          <t>Pós 200GB</t>
        </is>
      </c>
      <c r="G4444" s="2" t="inlineStr">
        <is>
          <t>claro:plano-pos-200gb</t>
        </is>
      </c>
      <c r="H4444" s="3" t="n">
        <v>339.9</v>
      </c>
      <c r="I4444" s="3" t="inlineStr"/>
      <c r="J4444" s="2" t="inlineStr"/>
      <c r="K4444" s="2" t="inlineStr"/>
      <c r="L4444" s="4" t="n">
        <v>200</v>
      </c>
      <c r="M4444" s="2" t="inlineStr"/>
      <c r="N4444" s="2" t="inlineStr"/>
      <c r="O4444" s="2" t="inlineStr">
        <is>
          <t>WhatsApp</t>
        </is>
      </c>
      <c r="P4444" s="2" t="inlineStr"/>
      <c r="Q4444" s="2" t="inlineStr"/>
      <c r="R4444" s="2" t="inlineStr"/>
      <c r="S4444" s="2" t="inlineStr"/>
      <c r="T4444" s="2" t="inlineStr">
        <is>
          <t>Armazenamento na nuvem:; Google One (AI Plus) ou iCloud+; WhatsApp ilimitado; Assinatura Amazon Prime por 3 meses; Roaming: Passaporte Mundo; Claro Sync: Smartwatch conectado</t>
        </is>
      </c>
      <c r="U4444" s="2" t="inlineStr">
        <is>
          <t>https://www.claro.com.br/celular/pos</t>
        </is>
      </c>
      <c r="V4444" s="2" t="inlineStr">
        <is>
          <t>data/raw/claro_postpaid_SP.json</t>
        </is>
      </c>
    </row>
    <row r="4445">
      <c r="A4445" s="5" t="inlineStr">
        <is>
          <t>2026-09-08</t>
        </is>
      </c>
      <c r="B4445" s="5" t="inlineStr">
        <is>
          <t>2026-09-08T20:09:02</t>
        </is>
      </c>
      <c r="C4445" s="5" t="inlineStr">
        <is>
          <t>claro</t>
        </is>
      </c>
      <c r="D4445" s="5" t="inlineStr">
        <is>
          <t>postpaid</t>
        </is>
      </c>
      <c r="E4445" s="5" t="inlineStr">
        <is>
          <t>SP</t>
        </is>
      </c>
      <c r="F4445" s="5" t="inlineStr">
        <is>
          <t>Pós 50GB com GeForce NOW</t>
        </is>
      </c>
      <c r="G4445" s="5" t="inlineStr">
        <is>
          <t>claro:plano-pos-60gb-geforce</t>
        </is>
      </c>
      <c r="H4445" s="6" t="n">
        <v>164.9</v>
      </c>
      <c r="I4445" s="6" t="inlineStr"/>
      <c r="J4445" s="5" t="inlineStr"/>
      <c r="K4445" s="5" t="inlineStr"/>
      <c r="L4445" s="7" t="n">
        <v>50</v>
      </c>
      <c r="M4445" s="5" t="inlineStr"/>
      <c r="N4445" s="5" t="inlineStr"/>
      <c r="O4445" s="5" t="inlineStr">
        <is>
          <t>WhatsApp</t>
        </is>
      </c>
      <c r="P4445" s="5" t="inlineStr"/>
      <c r="Q4445" s="5" t="inlineStr"/>
      <c r="R4445" s="5" t="inlineStr"/>
      <c r="S4445" s="5" t="inlineStr"/>
      <c r="T444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445" s="5" t="inlineStr">
        <is>
          <t>https://www.claro.com.br/celular/pos</t>
        </is>
      </c>
      <c r="V4445" s="5" t="inlineStr">
        <is>
          <t>data/raw/claro_postpaid_SP.json</t>
        </is>
      </c>
    </row>
    <row r="4446">
      <c r="A4446" s="2" t="inlineStr">
        <is>
          <t>2026-09-08</t>
        </is>
      </c>
      <c r="B4446" s="2" t="inlineStr">
        <is>
          <t>2026-09-08T20:09:02</t>
        </is>
      </c>
      <c r="C4446" s="2" t="inlineStr">
        <is>
          <t>claro</t>
        </is>
      </c>
      <c r="D4446" s="2" t="inlineStr">
        <is>
          <t>postpaid</t>
        </is>
      </c>
      <c r="E4446" s="2" t="inlineStr">
        <is>
          <t>SP</t>
        </is>
      </c>
      <c r="F4446" s="2" t="inlineStr">
        <is>
          <t>Pós 60GB</t>
        </is>
      </c>
      <c r="G4446" s="2" t="inlineStr">
        <is>
          <t>claro:plano-pos-60gb</t>
        </is>
      </c>
      <c r="H4446" s="3" t="n">
        <v>124.9</v>
      </c>
      <c r="I4446" s="3" t="inlineStr"/>
      <c r="J4446" s="2" t="inlineStr"/>
      <c r="K4446" s="2" t="inlineStr"/>
      <c r="L4446" s="4" t="n">
        <v>60</v>
      </c>
      <c r="M4446" s="2" t="inlineStr"/>
      <c r="N4446" s="2" t="inlineStr"/>
      <c r="O4446" s="2" t="inlineStr">
        <is>
          <t>WhatsApp</t>
        </is>
      </c>
      <c r="P4446" s="2" t="inlineStr"/>
      <c r="Q4446" s="2" t="inlineStr"/>
      <c r="R4446" s="2" t="inlineStr"/>
      <c r="S4446" s="2" t="inlineStr"/>
      <c r="T4446" s="2" t="inlineStr">
        <is>
          <t>Armazenamento na nuvem:; Google One ou iCloud+; WhatsApp ilimitado; Assinatura Amazon Prime por 3 meses; Roaming: Passaporte Américas; Claro Sync: Smartwatch conectado</t>
        </is>
      </c>
      <c r="U4446" s="2" t="inlineStr">
        <is>
          <t>https://www.claro.com.br/celular/pos</t>
        </is>
      </c>
      <c r="V4446" s="2" t="inlineStr">
        <is>
          <t>data/raw/claro_postpaid_SP.json</t>
        </is>
      </c>
    </row>
    <row r="4447">
      <c r="A4447" s="5" t="inlineStr">
        <is>
          <t>2026-09-08</t>
        </is>
      </c>
      <c r="B4447" s="5" t="inlineStr">
        <is>
          <t>2026-09-08T20:09:02</t>
        </is>
      </c>
      <c r="C4447" s="5" t="inlineStr">
        <is>
          <t>claro</t>
        </is>
      </c>
      <c r="D4447" s="5" t="inlineStr">
        <is>
          <t>prepaid</t>
        </is>
      </c>
      <c r="E4447" s="5" t="inlineStr">
        <is>
          <t>SP</t>
        </is>
      </c>
      <c r="F4447" s="5" t="inlineStr">
        <is>
          <t>Prezão 10GB (25 dias)</t>
        </is>
      </c>
      <c r="G4447" s="5" t="inlineStr">
        <is>
          <t>claro:prezao-25d-10gb</t>
        </is>
      </c>
      <c r="H4447" s="6" t="n">
        <v>25</v>
      </c>
      <c r="I4447" s="6" t="inlineStr"/>
      <c r="J4447" s="5" t="inlineStr">
        <is>
          <t>recarga Prezão R$25 — validade 25 dias</t>
        </is>
      </c>
      <c r="K4447" s="5" t="inlineStr"/>
      <c r="L4447" s="7" t="n">
        <v>10</v>
      </c>
      <c r="M4447" s="5" t="inlineStr"/>
      <c r="N4447" s="5" t="n">
        <v>25</v>
      </c>
      <c r="O4447" s="5" t="inlineStr"/>
      <c r="P4447" s="5" t="inlineStr"/>
      <c r="Q4447" s="5" t="inlineStr"/>
      <c r="R4447" s="5" t="inlineStr"/>
      <c r="S4447" s="5" t="inlineStr"/>
      <c r="T4447" s="5" t="inlineStr"/>
      <c r="U4447" s="5" t="inlineStr">
        <is>
          <t>https://www.claro.com.br/celular/planos-pre/prezao</t>
        </is>
      </c>
      <c r="V4447" s="5" t="inlineStr">
        <is>
          <t>data/raw/claro_prepaid_SP.json</t>
        </is>
      </c>
    </row>
    <row r="4448">
      <c r="A4448" s="2" t="inlineStr">
        <is>
          <t>2026-09-08</t>
        </is>
      </c>
      <c r="B4448" s="2" t="inlineStr">
        <is>
          <t>2026-09-08T20:09:02</t>
        </is>
      </c>
      <c r="C4448" s="2" t="inlineStr">
        <is>
          <t>claro</t>
        </is>
      </c>
      <c r="D4448" s="2" t="inlineStr">
        <is>
          <t>prepaid</t>
        </is>
      </c>
      <c r="E4448" s="2" t="inlineStr">
        <is>
          <t>SP</t>
        </is>
      </c>
      <c r="F4448" s="2" t="inlineStr">
        <is>
          <t>Prezão 12GB (30 dias)</t>
        </is>
      </c>
      <c r="G4448" s="2" t="inlineStr">
        <is>
          <t>claro:prezao-30d-12gb</t>
        </is>
      </c>
      <c r="H4448" s="3" t="n">
        <v>30</v>
      </c>
      <c r="I4448" s="3" t="inlineStr"/>
      <c r="J4448" s="2" t="inlineStr">
        <is>
          <t>recarga Prezão R$30 — validade 30 dias</t>
        </is>
      </c>
      <c r="K4448" s="2" t="inlineStr"/>
      <c r="L4448" s="4" t="n">
        <v>12</v>
      </c>
      <c r="M4448" s="2" t="inlineStr"/>
      <c r="N4448" s="2" t="n">
        <v>30</v>
      </c>
      <c r="O4448" s="2" t="inlineStr"/>
      <c r="P4448" s="2" t="inlineStr"/>
      <c r="Q4448" s="2" t="inlineStr"/>
      <c r="R4448" s="2" t="inlineStr"/>
      <c r="S4448" s="2" t="inlineStr"/>
      <c r="T4448" s="2" t="inlineStr"/>
      <c r="U4448" s="2" t="inlineStr">
        <is>
          <t>https://www.claro.com.br/celular/planos-pre/prezao</t>
        </is>
      </c>
      <c r="V4448" s="2" t="inlineStr">
        <is>
          <t>data/raw/claro_prepaid_SP.json</t>
        </is>
      </c>
    </row>
    <row r="4449">
      <c r="A4449" s="5" t="inlineStr">
        <is>
          <t>2026-09-08</t>
        </is>
      </c>
      <c r="B4449" s="5" t="inlineStr">
        <is>
          <t>2026-09-08T20:09:02</t>
        </is>
      </c>
      <c r="C4449" s="5" t="inlineStr">
        <is>
          <t>claro</t>
        </is>
      </c>
      <c r="D4449" s="5" t="inlineStr">
        <is>
          <t>prepaid</t>
        </is>
      </c>
      <c r="E4449" s="5" t="inlineStr">
        <is>
          <t>SP</t>
        </is>
      </c>
      <c r="F4449" s="5" t="inlineStr">
        <is>
          <t>Prezão 4GB (12 dias)</t>
        </is>
      </c>
      <c r="G4449" s="5" t="inlineStr">
        <is>
          <t>claro:prezao-12d-4gb</t>
        </is>
      </c>
      <c r="H4449" s="6" t="n">
        <v>15</v>
      </c>
      <c r="I4449" s="6" t="inlineStr"/>
      <c r="J4449" s="5" t="inlineStr">
        <is>
          <t>recarga Prezão R$15 — validade 12 dias</t>
        </is>
      </c>
      <c r="K4449" s="5" t="inlineStr"/>
      <c r="L4449" s="7" t="n">
        <v>4</v>
      </c>
      <c r="M4449" s="5" t="inlineStr"/>
      <c r="N4449" s="5" t="n">
        <v>12</v>
      </c>
      <c r="O4449" s="5" t="inlineStr"/>
      <c r="P4449" s="5" t="inlineStr"/>
      <c r="Q4449" s="5" t="inlineStr"/>
      <c r="R4449" s="5" t="inlineStr"/>
      <c r="S4449" s="5" t="inlineStr"/>
      <c r="T4449" s="5" t="inlineStr"/>
      <c r="U4449" s="5" t="inlineStr">
        <is>
          <t>https://www.claro.com.br/celular/planos-pre/prezao</t>
        </is>
      </c>
      <c r="V4449" s="5" t="inlineStr">
        <is>
          <t>data/raw/claro_prepaid_SP.json</t>
        </is>
      </c>
    </row>
    <row r="4450">
      <c r="A4450" s="2" t="inlineStr">
        <is>
          <t>2026-09-08</t>
        </is>
      </c>
      <c r="B4450" s="2" t="inlineStr">
        <is>
          <t>2026-09-08T20:09:02</t>
        </is>
      </c>
      <c r="C4450" s="2" t="inlineStr">
        <is>
          <t>claro</t>
        </is>
      </c>
      <c r="D4450" s="2" t="inlineStr">
        <is>
          <t>prepaid</t>
        </is>
      </c>
      <c r="E4450" s="2" t="inlineStr">
        <is>
          <t>SP</t>
        </is>
      </c>
      <c r="F4450" s="2" t="inlineStr">
        <is>
          <t>Prezão 5GB (15 dias)</t>
        </is>
      </c>
      <c r="G4450" s="2" t="inlineStr">
        <is>
          <t>claro:prezao-15d-5gb</t>
        </is>
      </c>
      <c r="H4450" s="3" t="n">
        <v>15</v>
      </c>
      <c r="I4450" s="3" t="inlineStr"/>
      <c r="J4450" s="2" t="inlineStr">
        <is>
          <t>recarga Prezão R$15 — validade 15 dias</t>
        </is>
      </c>
      <c r="K4450" s="2" t="inlineStr"/>
      <c r="L4450" s="4" t="n">
        <v>5</v>
      </c>
      <c r="M4450" s="2" t="inlineStr"/>
      <c r="N4450" s="2" t="n">
        <v>15</v>
      </c>
      <c r="O4450" s="2" t="inlineStr"/>
      <c r="P4450" s="2" t="inlineStr"/>
      <c r="Q4450" s="2" t="inlineStr"/>
      <c r="R4450" s="2" t="inlineStr"/>
      <c r="S4450" s="2" t="inlineStr"/>
      <c r="T4450" s="2" t="inlineStr"/>
      <c r="U4450" s="2" t="inlineStr">
        <is>
          <t>https://www.claro.com.br/celular/planos-pre/prezao</t>
        </is>
      </c>
      <c r="V4450" s="2" t="inlineStr">
        <is>
          <t>data/raw/claro_prepaid_SP.json</t>
        </is>
      </c>
    </row>
    <row r="4451">
      <c r="A4451" s="5" t="inlineStr">
        <is>
          <t>2026-09-08</t>
        </is>
      </c>
      <c r="B4451" s="5" t="inlineStr">
        <is>
          <t>2026-09-08T20:09:02</t>
        </is>
      </c>
      <c r="C4451" s="5" t="inlineStr">
        <is>
          <t>claro</t>
        </is>
      </c>
      <c r="D4451" s="5" t="inlineStr">
        <is>
          <t>prepaid</t>
        </is>
      </c>
      <c r="E4451" s="5" t="inlineStr">
        <is>
          <t>SP</t>
        </is>
      </c>
      <c r="F4451" s="5" t="inlineStr">
        <is>
          <t>Prezão 6GB (20 dias)</t>
        </is>
      </c>
      <c r="G4451" s="5" t="inlineStr">
        <is>
          <t>claro:prezao-20d-6gb</t>
        </is>
      </c>
      <c r="H4451" s="6" t="n">
        <v>20</v>
      </c>
      <c r="I4451" s="6" t="inlineStr"/>
      <c r="J4451" s="5" t="inlineStr">
        <is>
          <t>recarga Prezão R$20 — validade 20 dias</t>
        </is>
      </c>
      <c r="K4451" s="5" t="inlineStr"/>
      <c r="L4451" s="7" t="n">
        <v>6</v>
      </c>
      <c r="M4451" s="5" t="inlineStr"/>
      <c r="N4451" s="5" t="n">
        <v>20</v>
      </c>
      <c r="O4451" s="5" t="inlineStr"/>
      <c r="P4451" s="5" t="inlineStr"/>
      <c r="Q4451" s="5" t="inlineStr"/>
      <c r="R4451" s="5" t="inlineStr"/>
      <c r="S4451" s="5" t="inlineStr"/>
      <c r="T4451" s="5" t="inlineStr"/>
      <c r="U4451" s="5" t="inlineStr">
        <is>
          <t>https://www.claro.com.br/celular/planos-pre/prezao</t>
        </is>
      </c>
      <c r="V4451" s="5" t="inlineStr">
        <is>
          <t>data/raw/claro_prepaid_SP.json</t>
        </is>
      </c>
    </row>
    <row r="4452">
      <c r="A4452" s="2" t="inlineStr">
        <is>
          <t>2026-09-08</t>
        </is>
      </c>
      <c r="B4452" s="2" t="inlineStr">
        <is>
          <t>2026-09-08T20:09:02</t>
        </is>
      </c>
      <c r="C4452" s="2" t="inlineStr">
        <is>
          <t>claro</t>
        </is>
      </c>
      <c r="D4452" s="2" t="inlineStr">
        <is>
          <t>prepaid</t>
        </is>
      </c>
      <c r="E4452" s="2" t="inlineStr">
        <is>
          <t>SP</t>
        </is>
      </c>
      <c r="F4452" s="2" t="inlineStr">
        <is>
          <t>Prezão 8GB (20 dias)</t>
        </is>
      </c>
      <c r="G4452" s="2" t="inlineStr">
        <is>
          <t>claro:prezao-20d-8gb</t>
        </is>
      </c>
      <c r="H4452" s="3" t="n">
        <v>20</v>
      </c>
      <c r="I4452" s="3" t="inlineStr"/>
      <c r="J4452" s="2" t="inlineStr">
        <is>
          <t>recarga Prezão R$20 — validade 20 dias</t>
        </is>
      </c>
      <c r="K4452" s="2" t="inlineStr"/>
      <c r="L4452" s="4" t="n">
        <v>8</v>
      </c>
      <c r="M4452" s="2" t="inlineStr"/>
      <c r="N4452" s="2" t="n">
        <v>20</v>
      </c>
      <c r="O4452" s="2" t="inlineStr"/>
      <c r="P4452" s="2" t="inlineStr"/>
      <c r="Q4452" s="2" t="inlineStr"/>
      <c r="R4452" s="2" t="inlineStr"/>
      <c r="S4452" s="2" t="inlineStr"/>
      <c r="T4452" s="2" t="inlineStr"/>
      <c r="U4452" s="2" t="inlineStr">
        <is>
          <t>https://www.claro.com.br/celular/planos-pre/prezao</t>
        </is>
      </c>
      <c r="V4452" s="2" t="inlineStr">
        <is>
          <t>data/raw/claro_prepaid_SP.json</t>
        </is>
      </c>
    </row>
    <row r="4453">
      <c r="A4453" s="5" t="inlineStr">
        <is>
          <t>2026-09-08</t>
        </is>
      </c>
      <c r="B4453" s="5" t="inlineStr">
        <is>
          <t>2026-09-08T20:09:02</t>
        </is>
      </c>
      <c r="C4453" s="5" t="inlineStr">
        <is>
          <t>claro</t>
        </is>
      </c>
      <c r="D4453" s="5" t="inlineStr">
        <is>
          <t>prepaid</t>
        </is>
      </c>
      <c r="E4453" s="5" t="inlineStr">
        <is>
          <t>SP</t>
        </is>
      </c>
      <c r="F4453" s="5" t="inlineStr">
        <is>
          <t>Prezão 9GB (25 dias)</t>
        </is>
      </c>
      <c r="G4453" s="5" t="inlineStr">
        <is>
          <t>claro:prezao-25d-9gb</t>
        </is>
      </c>
      <c r="H4453" s="6" t="n">
        <v>25</v>
      </c>
      <c r="I4453" s="6" t="inlineStr"/>
      <c r="J4453" s="5" t="inlineStr">
        <is>
          <t>recarga Prezão R$25 — validade 25 dias</t>
        </is>
      </c>
      <c r="K4453" s="5" t="inlineStr"/>
      <c r="L4453" s="7" t="n">
        <v>9</v>
      </c>
      <c r="M4453" s="5" t="inlineStr"/>
      <c r="N4453" s="5" t="n">
        <v>25</v>
      </c>
      <c r="O4453" s="5" t="inlineStr"/>
      <c r="P4453" s="5" t="inlineStr"/>
      <c r="Q4453" s="5" t="inlineStr"/>
      <c r="R4453" s="5" t="inlineStr"/>
      <c r="S4453" s="5" t="inlineStr"/>
      <c r="T4453" s="5" t="inlineStr"/>
      <c r="U4453" s="5" t="inlineStr">
        <is>
          <t>https://www.claro.com.br/celular/planos-pre/prezao</t>
        </is>
      </c>
      <c r="V4453" s="5" t="inlineStr">
        <is>
          <t>data/raw/claro_prepaid_SP.json</t>
        </is>
      </c>
    </row>
    <row r="4454">
      <c r="A4454" s="2" t="inlineStr">
        <is>
          <t>2026-09-08</t>
        </is>
      </c>
      <c r="B4454" s="2" t="inlineStr">
        <is>
          <t>2026-09-08T20:09:02</t>
        </is>
      </c>
      <c r="C4454" s="2" t="inlineStr">
        <is>
          <t>tim</t>
        </is>
      </c>
      <c r="D4454" s="2" t="inlineStr">
        <is>
          <t>control</t>
        </is>
      </c>
      <c r="E4454" s="2" t="inlineStr">
        <is>
          <t>SP</t>
        </is>
      </c>
      <c r="F4454" s="2" t="inlineStr">
        <is>
          <t>TIM Controle 45GB</t>
        </is>
      </c>
      <c r="G4454" s="2" t="inlineStr">
        <is>
          <t>tim:182766</t>
        </is>
      </c>
      <c r="H4454" s="3" t="n">
        <v>49.99</v>
      </c>
      <c r="I4454" s="3" t="inlineStr"/>
      <c r="J4454" s="2" t="inlineStr"/>
      <c r="K4454" s="2" t="inlineStr"/>
      <c r="L4454" s="4" t="n">
        <v>45</v>
      </c>
      <c r="M4454" s="2" t="inlineStr"/>
      <c r="N4454" s="2" t="inlineStr"/>
      <c r="O4454" s="2" t="inlineStr"/>
      <c r="P4454" s="2" t="inlineStr"/>
      <c r="Q4454" s="2" t="inlineStr"/>
      <c r="R4454" s="2" t="inlineStr"/>
      <c r="S4454" s="2" t="inlineStr"/>
      <c r="T4454" s="2" t="inlineStr"/>
      <c r="U4454" s="2" t="inlineStr">
        <is>
          <t>https://www.tim.com.br/sp/para-voce/planos/controle</t>
        </is>
      </c>
      <c r="V4454" s="2" t="inlineStr">
        <is>
          <t>data/raw/tim_control_SP.html</t>
        </is>
      </c>
    </row>
    <row r="4455">
      <c r="A4455" s="5" t="inlineStr">
        <is>
          <t>2026-09-08</t>
        </is>
      </c>
      <c r="B4455" s="5" t="inlineStr">
        <is>
          <t>2026-09-08T20:09:02</t>
        </is>
      </c>
      <c r="C4455" s="5" t="inlineStr">
        <is>
          <t>tim</t>
        </is>
      </c>
      <c r="D4455" s="5" t="inlineStr">
        <is>
          <t>control</t>
        </is>
      </c>
      <c r="E4455" s="5" t="inlineStr">
        <is>
          <t>SP</t>
        </is>
      </c>
      <c r="F4455" s="5" t="inlineStr">
        <is>
          <t>TIM Controle Light Express 45GB</t>
        </is>
      </c>
      <c r="G4455" s="5" t="inlineStr">
        <is>
          <t>tim:167726</t>
        </is>
      </c>
      <c r="H4455" s="6" t="n">
        <v>60.99</v>
      </c>
      <c r="I4455" s="6" t="inlineStr"/>
      <c r="J4455" s="5" t="inlineStr"/>
      <c r="K4455" s="5" t="inlineStr"/>
      <c r="L4455" s="7" t="n">
        <v>45</v>
      </c>
      <c r="M4455" s="5" t="inlineStr"/>
      <c r="N4455" s="5" t="inlineStr"/>
      <c r="O4455" s="5" t="inlineStr"/>
      <c r="P4455" s="5" t="inlineStr"/>
      <c r="Q4455" s="5" t="inlineStr"/>
      <c r="R4455" s="5" t="inlineStr"/>
      <c r="S4455" s="5" t="inlineStr"/>
      <c r="T4455" s="5" t="inlineStr"/>
      <c r="U4455" s="5" t="inlineStr">
        <is>
          <t>https://www.tim.com.br/sp/para-voce/planos/controle</t>
        </is>
      </c>
      <c r="V4455" s="5" t="inlineStr">
        <is>
          <t>data/raw/tim_control_SP.html</t>
        </is>
      </c>
    </row>
    <row r="4456">
      <c r="A4456" s="2" t="inlineStr">
        <is>
          <t>2026-09-08</t>
        </is>
      </c>
      <c r="B4456" s="2" t="inlineStr">
        <is>
          <t>2026-09-08T20:09:02</t>
        </is>
      </c>
      <c r="C4456" s="2" t="inlineStr">
        <is>
          <t>tim</t>
        </is>
      </c>
      <c r="D4456" s="2" t="inlineStr">
        <is>
          <t>control</t>
        </is>
      </c>
      <c r="E4456" s="2" t="inlineStr">
        <is>
          <t>SP</t>
        </is>
      </c>
      <c r="F4456" s="2" t="inlineStr">
        <is>
          <t>TIM Controle Premium 55GB</t>
        </is>
      </c>
      <c r="G4456" s="2" t="inlineStr">
        <is>
          <t>tim:180756</t>
        </is>
      </c>
      <c r="H4456" s="3" t="n">
        <v>69.98999999999999</v>
      </c>
      <c r="I4456" s="3" t="inlineStr"/>
      <c r="J4456" s="2" t="inlineStr"/>
      <c r="K4456" s="2" t="inlineStr"/>
      <c r="L4456" s="4" t="n">
        <v>55</v>
      </c>
      <c r="M4456" s="2" t="inlineStr"/>
      <c r="N4456" s="2" t="inlineStr"/>
      <c r="O4456" s="2" t="inlineStr"/>
      <c r="P4456" s="2" t="inlineStr"/>
      <c r="Q4456" s="2" t="inlineStr"/>
      <c r="R4456" s="2" t="inlineStr"/>
      <c r="S4456" s="2" t="inlineStr"/>
      <c r="T4456" s="2" t="inlineStr"/>
      <c r="U4456" s="2" t="inlineStr">
        <is>
          <t>https://www.tim.com.br/sp/para-voce/planos/controle</t>
        </is>
      </c>
      <c r="V4456" s="2" t="inlineStr">
        <is>
          <t>data/raw/tim_control_SP.html</t>
        </is>
      </c>
    </row>
    <row r="4457">
      <c r="A4457" s="5" t="inlineStr">
        <is>
          <t>2026-09-08</t>
        </is>
      </c>
      <c r="B4457" s="5" t="inlineStr">
        <is>
          <t>2026-09-08T20:09:02</t>
        </is>
      </c>
      <c r="C4457" s="5" t="inlineStr">
        <is>
          <t>tim</t>
        </is>
      </c>
      <c r="D4457" s="5" t="inlineStr">
        <is>
          <t>control</t>
        </is>
      </c>
      <c r="E4457" s="5" t="inlineStr">
        <is>
          <t>SP</t>
        </is>
      </c>
      <c r="F4457" s="5" t="inlineStr">
        <is>
          <t>TIM Controle Pro Express 46GB</t>
        </is>
      </c>
      <c r="G4457" s="5" t="inlineStr">
        <is>
          <t>tim:167731</t>
        </is>
      </c>
      <c r="H4457" s="6" t="n">
        <v>64.98999999999999</v>
      </c>
      <c r="I4457" s="6" t="inlineStr"/>
      <c r="J4457" s="5" t="inlineStr"/>
      <c r="K4457" s="5" t="inlineStr"/>
      <c r="L4457" s="7" t="n">
        <v>46</v>
      </c>
      <c r="M4457" s="5" t="inlineStr"/>
      <c r="N4457" s="5" t="inlineStr"/>
      <c r="O4457" s="5" t="inlineStr"/>
      <c r="P4457" s="5" t="inlineStr"/>
      <c r="Q4457" s="5" t="inlineStr"/>
      <c r="R4457" s="5" t="inlineStr"/>
      <c r="S4457" s="5" t="inlineStr"/>
      <c r="T4457" s="5" t="inlineStr"/>
      <c r="U4457" s="5" t="inlineStr">
        <is>
          <t>https://www.tim.com.br/sp/para-voce/planos/controle</t>
        </is>
      </c>
      <c r="V4457" s="5" t="inlineStr">
        <is>
          <t>data/raw/tim_control_SP.html</t>
        </is>
      </c>
    </row>
    <row r="4458">
      <c r="A4458" s="2" t="inlineStr">
        <is>
          <t>2026-09-08</t>
        </is>
      </c>
      <c r="B4458" s="2" t="inlineStr">
        <is>
          <t>2026-09-08T20:09:02</t>
        </is>
      </c>
      <c r="C4458" s="2" t="inlineStr">
        <is>
          <t>tim</t>
        </is>
      </c>
      <c r="D4458" s="2" t="inlineStr">
        <is>
          <t>control</t>
        </is>
      </c>
      <c r="E4458" s="2" t="inlineStr">
        <is>
          <t>SP</t>
        </is>
      </c>
      <c r="F4458" s="2" t="inlineStr">
        <is>
          <t>TIM Controle Redes Sociais 46GB</t>
        </is>
      </c>
      <c r="G4458" s="2" t="inlineStr">
        <is>
          <t>tim:167031</t>
        </is>
      </c>
      <c r="H4458" s="3" t="n">
        <v>59.99</v>
      </c>
      <c r="I4458" s="3" t="inlineStr"/>
      <c r="J4458" s="2" t="inlineStr"/>
      <c r="K4458" s="2" t="inlineStr"/>
      <c r="L4458" s="4" t="n">
        <v>46</v>
      </c>
      <c r="M4458" s="2" t="inlineStr"/>
      <c r="N4458" s="2" t="inlineStr"/>
      <c r="O4458" s="2" t="inlineStr"/>
      <c r="P4458" s="2" t="inlineStr"/>
      <c r="Q4458" s="2" t="inlineStr"/>
      <c r="R4458" s="2" t="inlineStr"/>
      <c r="S4458" s="2" t="inlineStr"/>
      <c r="T4458" s="2" t="inlineStr"/>
      <c r="U4458" s="2" t="inlineStr">
        <is>
          <t>https://www.tim.com.br/sp/para-voce/planos/controle</t>
        </is>
      </c>
      <c r="V4458" s="2" t="inlineStr">
        <is>
          <t>data/raw/tim_control_SP.html</t>
        </is>
      </c>
    </row>
    <row r="4459">
      <c r="A4459" s="5" t="inlineStr">
        <is>
          <t>2026-09-08</t>
        </is>
      </c>
      <c r="B4459" s="5" t="inlineStr">
        <is>
          <t>2026-09-08T20:09:02</t>
        </is>
      </c>
      <c r="C4459" s="5" t="inlineStr">
        <is>
          <t>tim</t>
        </is>
      </c>
      <c r="D4459" s="5" t="inlineStr">
        <is>
          <t>fit</t>
        </is>
      </c>
      <c r="E4459" s="5" t="inlineStr">
        <is>
          <t>SP</t>
        </is>
      </c>
      <c r="F4459" s="5" t="inlineStr">
        <is>
          <t>TIM Controle Fit Anual 2.0</t>
        </is>
      </c>
      <c r="G4459" s="5" t="inlineStr">
        <is>
          <t>tim:TIM202600000271</t>
        </is>
      </c>
      <c r="H4459" s="6" t="n">
        <v>30</v>
      </c>
      <c r="I4459" s="6" t="inlineStr"/>
      <c r="J4459" s="5" t="inlineStr">
        <is>
          <t>plano anual 12x no cartão de crédito; a etiqueta TIM informa 'sem prazo de permanência'</t>
        </is>
      </c>
      <c r="K4459" s="5" t="inlineStr">
        <is>
          <t>credit_card</t>
        </is>
      </c>
      <c r="L4459" s="7" t="n">
        <v>35</v>
      </c>
      <c r="M4459" s="5" t="inlineStr"/>
      <c r="N4459" s="5" t="inlineStr"/>
      <c r="O4459" s="5" t="inlineStr"/>
      <c r="P4459" s="5" t="inlineStr"/>
      <c r="Q4459" s="5" t="inlineStr"/>
      <c r="R4459" s="5" t="inlineStr"/>
      <c r="S4459" s="5" t="n">
        <v>12</v>
      </c>
      <c r="T4459" s="5" t="inlineStr"/>
      <c r="U4459" s="5" t="inlineStr">
        <is>
          <t>https://www.tim.com.br/sp/para-voce/planos/controle</t>
        </is>
      </c>
      <c r="V4459" s="5" t="inlineStr">
        <is>
          <t>data/raw/tim_fit_SP.html</t>
        </is>
      </c>
    </row>
    <row r="4460">
      <c r="A4460" s="2" t="inlineStr">
        <is>
          <t>2026-09-08</t>
        </is>
      </c>
      <c r="B4460" s="2" t="inlineStr">
        <is>
          <t>2026-09-08T20:09:02</t>
        </is>
      </c>
      <c r="C4460" s="2" t="inlineStr">
        <is>
          <t>tim</t>
        </is>
      </c>
      <c r="D4460" s="2" t="inlineStr">
        <is>
          <t>fit</t>
        </is>
      </c>
      <c r="E4460" s="2" t="inlineStr">
        <is>
          <t>SP</t>
        </is>
      </c>
      <c r="F4460" s="2" t="inlineStr">
        <is>
          <t>TIM Controle Fit Mensal 1.0</t>
        </is>
      </c>
      <c r="G4460" s="2" t="inlineStr">
        <is>
          <t>tim:TIM202600000270</t>
        </is>
      </c>
      <c r="H4460" s="3" t="n">
        <v>20</v>
      </c>
      <c r="I4460" s="3" t="inlineStr"/>
      <c r="J446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4460" s="2" t="inlineStr"/>
      <c r="L4460" s="4" t="n">
        <v>20</v>
      </c>
      <c r="M4460" s="2" t="inlineStr"/>
      <c r="N4460" s="2" t="inlineStr"/>
      <c r="O4460" s="2" t="inlineStr"/>
      <c r="P4460" s="2" t="inlineStr"/>
      <c r="Q4460" s="2" t="inlineStr"/>
      <c r="R4460" s="2" t="inlineStr"/>
      <c r="S4460" s="2" t="inlineStr"/>
      <c r="T4460" s="2" t="inlineStr"/>
      <c r="U4460" s="2" t="inlineStr">
        <is>
          <t>https://www.tim.com.br/sp/para-voce/planos/controle</t>
        </is>
      </c>
      <c r="V4460" s="2" t="inlineStr">
        <is>
          <t>data/raw/tim_fit_SP.html</t>
        </is>
      </c>
    </row>
    <row r="4461">
      <c r="A4461" s="5" t="inlineStr">
        <is>
          <t>2026-09-08</t>
        </is>
      </c>
      <c r="B4461" s="5" t="inlineStr">
        <is>
          <t>2026-09-08T20:09:02</t>
        </is>
      </c>
      <c r="C4461" s="5" t="inlineStr">
        <is>
          <t>tim</t>
        </is>
      </c>
      <c r="D4461" s="5" t="inlineStr">
        <is>
          <t>fit</t>
        </is>
      </c>
      <c r="E4461" s="5" t="inlineStr">
        <is>
          <t>SP</t>
        </is>
      </c>
      <c r="F4461" s="5" t="inlineStr">
        <is>
          <t>TIM Controle Fit Mensal 2.0</t>
        </is>
      </c>
      <c r="G4461" s="5" t="inlineStr">
        <is>
          <t>tim:TIM202600000305</t>
        </is>
      </c>
      <c r="H4461" s="6" t="n">
        <v>45</v>
      </c>
      <c r="I4461" s="6" t="inlineStr"/>
      <c r="J4461" s="5" t="inlineStr">
        <is>
          <t>plano mensal, sem prazo de permanência; a etiqueta TIM informa 'sem prazo de permanência'</t>
        </is>
      </c>
      <c r="K4461" s="5" t="inlineStr"/>
      <c r="L4461" s="7" t="n">
        <v>35</v>
      </c>
      <c r="M4461" s="5" t="inlineStr"/>
      <c r="N4461" s="5" t="inlineStr"/>
      <c r="O4461" s="5" t="inlineStr"/>
      <c r="P4461" s="5" t="inlineStr"/>
      <c r="Q4461" s="5" t="inlineStr"/>
      <c r="R4461" s="5" t="inlineStr"/>
      <c r="S4461" s="5" t="inlineStr"/>
      <c r="T4461" s="5" t="inlineStr"/>
      <c r="U4461" s="5" t="inlineStr">
        <is>
          <t>https://www.tim.com.br/sp/para-voce/planos/controle</t>
        </is>
      </c>
      <c r="V4461" s="5" t="inlineStr">
        <is>
          <t>data/raw/tim_fit_SP.html</t>
        </is>
      </c>
    </row>
    <row r="4462">
      <c r="A4462" s="2" t="inlineStr">
        <is>
          <t>2026-09-08</t>
        </is>
      </c>
      <c r="B4462" s="2" t="inlineStr">
        <is>
          <t>2026-09-08T20:09:02</t>
        </is>
      </c>
      <c r="C4462" s="2" t="inlineStr">
        <is>
          <t>tim</t>
        </is>
      </c>
      <c r="D4462" s="2" t="inlineStr">
        <is>
          <t>postpaid</t>
        </is>
      </c>
      <c r="E4462" s="2" t="inlineStr">
        <is>
          <t>SP</t>
        </is>
      </c>
      <c r="F4462" s="2" t="inlineStr">
        <is>
          <t>TIM Black 70GB</t>
        </is>
      </c>
      <c r="G4462" s="2" t="inlineStr">
        <is>
          <t>tim:54206</t>
        </is>
      </c>
      <c r="H4462" s="3" t="n">
        <v>129.99</v>
      </c>
      <c r="I4462" s="3" t="inlineStr"/>
      <c r="J4462" s="2" t="inlineStr"/>
      <c r="K4462" s="2" t="inlineStr">
        <is>
          <t>bill</t>
        </is>
      </c>
      <c r="L4462" s="4" t="n">
        <v>70</v>
      </c>
      <c r="M4462" s="2" t="inlineStr"/>
      <c r="N4462" s="2" t="inlineStr"/>
      <c r="O4462" s="2" t="inlineStr"/>
      <c r="P4462" s="2" t="inlineStr"/>
      <c r="Q4462" s="2" t="inlineStr"/>
      <c r="R4462" s="2" t="inlineStr"/>
      <c r="S4462" s="2" t="inlineStr"/>
      <c r="T4462" s="2" t="inlineStr"/>
      <c r="U4462" s="2" t="inlineStr">
        <is>
          <t>https://www.tim.com.br/sp/para-voce/planos/pos-pago/tim-black</t>
        </is>
      </c>
      <c r="V4462" s="2" t="inlineStr">
        <is>
          <t>data/raw/tim_postpaid_SP.html</t>
        </is>
      </c>
    </row>
    <row r="4463">
      <c r="A4463" s="5" t="inlineStr">
        <is>
          <t>2026-09-08</t>
        </is>
      </c>
      <c r="B4463" s="5" t="inlineStr">
        <is>
          <t>2026-09-08T20:09:02</t>
        </is>
      </c>
      <c r="C4463" s="5" t="inlineStr">
        <is>
          <t>tim</t>
        </is>
      </c>
      <c r="D4463" s="5" t="inlineStr">
        <is>
          <t>postpaid</t>
        </is>
      </c>
      <c r="E4463" s="5" t="inlineStr">
        <is>
          <t>SP</t>
        </is>
      </c>
      <c r="F4463" s="5" t="inlineStr">
        <is>
          <t>TIM Black A Express 67GB</t>
        </is>
      </c>
      <c r="G4463" s="5" t="inlineStr">
        <is>
          <t>tim:55121</t>
        </is>
      </c>
      <c r="H4463" s="6" t="n">
        <v>119.99</v>
      </c>
      <c r="I4463" s="6" t="inlineStr"/>
      <c r="J4463" s="5" t="inlineStr"/>
      <c r="K4463" s="5" t="inlineStr">
        <is>
          <t>credit_card</t>
        </is>
      </c>
      <c r="L4463" s="7" t="n">
        <v>67</v>
      </c>
      <c r="M4463" s="5" t="inlineStr"/>
      <c r="N4463" s="5" t="inlineStr"/>
      <c r="O4463" s="5" t="inlineStr"/>
      <c r="P4463" s="5" t="inlineStr"/>
      <c r="Q4463" s="5" t="inlineStr"/>
      <c r="R4463" s="5" t="inlineStr"/>
      <c r="S4463" s="5" t="inlineStr"/>
      <c r="T4463" s="5" t="inlineStr"/>
      <c r="U4463" s="5" t="inlineStr">
        <is>
          <t>https://www.tim.com.br/sp/para-voce/planos/pos-pago/tim-black</t>
        </is>
      </c>
      <c r="V4463" s="5" t="inlineStr">
        <is>
          <t>data/raw/tim_postpaid_SP.html</t>
        </is>
      </c>
    </row>
    <row r="4464">
      <c r="A4464" s="2" t="inlineStr">
        <is>
          <t>2026-09-08</t>
        </is>
      </c>
      <c r="B4464" s="2" t="inlineStr">
        <is>
          <t>2026-09-08T20:09:02</t>
        </is>
      </c>
      <c r="C4464" s="2" t="inlineStr">
        <is>
          <t>tim</t>
        </is>
      </c>
      <c r="D4464" s="2" t="inlineStr">
        <is>
          <t>postpaid</t>
        </is>
      </c>
      <c r="E4464" s="2" t="inlineStr">
        <is>
          <t>SP</t>
        </is>
      </c>
      <c r="F4464" s="2" t="inlineStr">
        <is>
          <t>TIM Black B Express 82GB</t>
        </is>
      </c>
      <c r="G4464" s="2" t="inlineStr">
        <is>
          <t>tim:52146</t>
        </is>
      </c>
      <c r="H4464" s="3" t="n">
        <v>144.99</v>
      </c>
      <c r="I4464" s="3" t="inlineStr"/>
      <c r="J4464" s="2" t="inlineStr"/>
      <c r="K4464" s="2" t="inlineStr">
        <is>
          <t>credit_card</t>
        </is>
      </c>
      <c r="L4464" s="4" t="n">
        <v>82</v>
      </c>
      <c r="M4464" s="2" t="inlineStr"/>
      <c r="N4464" s="2" t="inlineStr"/>
      <c r="O4464" s="2" t="inlineStr"/>
      <c r="P4464" s="2" t="inlineStr"/>
      <c r="Q4464" s="2" t="inlineStr"/>
      <c r="R4464" s="2" t="inlineStr"/>
      <c r="S4464" s="2" t="inlineStr"/>
      <c r="T4464" s="2" t="inlineStr"/>
      <c r="U4464" s="2" t="inlineStr">
        <is>
          <t>https://www.tim.com.br/sp/para-voce/planos/pos-pago/tim-black</t>
        </is>
      </c>
      <c r="V4464" s="2" t="inlineStr">
        <is>
          <t>data/raw/tim_postpaid_SP.html</t>
        </is>
      </c>
    </row>
    <row r="4465">
      <c r="A4465" s="5" t="inlineStr">
        <is>
          <t>2026-09-08</t>
        </is>
      </c>
      <c r="B4465" s="5" t="inlineStr">
        <is>
          <t>2026-09-08T20:09:02</t>
        </is>
      </c>
      <c r="C4465" s="5" t="inlineStr">
        <is>
          <t>tim</t>
        </is>
      </c>
      <c r="D4465" s="5" t="inlineStr">
        <is>
          <t>postpaid</t>
        </is>
      </c>
      <c r="E4465" s="5" t="inlineStr">
        <is>
          <t>SP</t>
        </is>
      </c>
      <c r="F4465" s="5" t="inlineStr">
        <is>
          <t>TIM Black C Express 107GB</t>
        </is>
      </c>
      <c r="G4465" s="5" t="inlineStr">
        <is>
          <t>tim:52151</t>
        </is>
      </c>
      <c r="H4465" s="6" t="n">
        <v>164.99</v>
      </c>
      <c r="I4465" s="6" t="inlineStr"/>
      <c r="J4465" s="5" t="inlineStr"/>
      <c r="K4465" s="5" t="inlineStr">
        <is>
          <t>credit_card</t>
        </is>
      </c>
      <c r="L4465" s="7" t="n">
        <v>107</v>
      </c>
      <c r="M4465" s="5" t="inlineStr"/>
      <c r="N4465" s="5" t="inlineStr"/>
      <c r="O4465" s="5" t="inlineStr"/>
      <c r="P4465" s="5" t="inlineStr"/>
      <c r="Q4465" s="5" t="inlineStr"/>
      <c r="R4465" s="5" t="inlineStr"/>
      <c r="S4465" s="5" t="inlineStr"/>
      <c r="T4465" s="5" t="inlineStr"/>
      <c r="U4465" s="5" t="inlineStr">
        <is>
          <t>https://www.tim.com.br/sp/para-voce/planos/pos-pago/tim-black</t>
        </is>
      </c>
      <c r="V4465" s="5" t="inlineStr">
        <is>
          <t>data/raw/tim_postpaid_SP.html</t>
        </is>
      </c>
    </row>
    <row r="4466">
      <c r="A4466" s="2" t="inlineStr">
        <is>
          <t>2026-09-08</t>
        </is>
      </c>
      <c r="B4466" s="2" t="inlineStr">
        <is>
          <t>2026-09-08T20:09:02</t>
        </is>
      </c>
      <c r="C4466" s="2" t="inlineStr">
        <is>
          <t>tim</t>
        </is>
      </c>
      <c r="D4466" s="2" t="inlineStr">
        <is>
          <t>postpaid</t>
        </is>
      </c>
      <c r="E4466" s="2" t="inlineStr">
        <is>
          <t>SP</t>
        </is>
      </c>
      <c r="F4466" s="2" t="inlineStr">
        <is>
          <t>TIM Black Plus 80GB</t>
        </is>
      </c>
      <c r="G4466" s="2" t="inlineStr">
        <is>
          <t>tim:54256</t>
        </is>
      </c>
      <c r="H4466" s="3" t="n">
        <v>149.99</v>
      </c>
      <c r="I4466" s="3" t="inlineStr"/>
      <c r="J4466" s="2" t="inlineStr"/>
      <c r="K4466" s="2" t="inlineStr">
        <is>
          <t>bill</t>
        </is>
      </c>
      <c r="L4466" s="4" t="n">
        <v>80</v>
      </c>
      <c r="M4466" s="2" t="inlineStr"/>
      <c r="N4466" s="2" t="inlineStr"/>
      <c r="O4466" s="2" t="inlineStr"/>
      <c r="P4466" s="2" t="inlineStr"/>
      <c r="Q4466" s="2" t="inlineStr"/>
      <c r="R4466" s="2" t="inlineStr"/>
      <c r="S4466" s="2" t="inlineStr"/>
      <c r="T4466" s="2" t="inlineStr"/>
      <c r="U4466" s="2" t="inlineStr">
        <is>
          <t>https://www.tim.com.br/sp/para-voce/planos/pos-pago/tim-black</t>
        </is>
      </c>
      <c r="V4466" s="2" t="inlineStr">
        <is>
          <t>data/raw/tim_postpaid_SP.html</t>
        </is>
      </c>
    </row>
    <row r="4467">
      <c r="A4467" s="5" t="inlineStr">
        <is>
          <t>2026-09-08</t>
        </is>
      </c>
      <c r="B4467" s="5" t="inlineStr">
        <is>
          <t>2026-09-08T20:09:02</t>
        </is>
      </c>
      <c r="C4467" s="5" t="inlineStr">
        <is>
          <t>tim</t>
        </is>
      </c>
      <c r="D4467" s="5" t="inlineStr">
        <is>
          <t>postpaid</t>
        </is>
      </c>
      <c r="E4467" s="5" t="inlineStr">
        <is>
          <t>SP</t>
        </is>
      </c>
      <c r="F4467" s="5" t="inlineStr">
        <is>
          <t>TIM Black Premium 110GB</t>
        </is>
      </c>
      <c r="G4467" s="5" t="inlineStr">
        <is>
          <t>tim:54261</t>
        </is>
      </c>
      <c r="H4467" s="6" t="n">
        <v>159.99</v>
      </c>
      <c r="I4467" s="6" t="inlineStr"/>
      <c r="J4467" s="5" t="inlineStr"/>
      <c r="K4467" s="5" t="inlineStr">
        <is>
          <t>bill</t>
        </is>
      </c>
      <c r="L4467" s="7" t="n">
        <v>110</v>
      </c>
      <c r="M4467" s="5" t="inlineStr"/>
      <c r="N4467" s="5" t="inlineStr"/>
      <c r="O4467" s="5" t="inlineStr"/>
      <c r="P4467" s="5" t="inlineStr"/>
      <c r="Q4467" s="5" t="inlineStr"/>
      <c r="R4467" s="5" t="inlineStr"/>
      <c r="S4467" s="5" t="inlineStr"/>
      <c r="T4467" s="5" t="inlineStr"/>
      <c r="U4467" s="5" t="inlineStr">
        <is>
          <t>https://www.tim.com.br/sp/para-voce/planos/pos-pago/tim-black</t>
        </is>
      </c>
      <c r="V4467" s="5" t="inlineStr">
        <is>
          <t>data/raw/tim_postpaid_SP.html</t>
        </is>
      </c>
    </row>
    <row r="4468">
      <c r="A4468" s="2" t="inlineStr">
        <is>
          <t>2026-09-08</t>
        </is>
      </c>
      <c r="B4468" s="2" t="inlineStr">
        <is>
          <t>2026-09-08T20:09:02</t>
        </is>
      </c>
      <c r="C4468" s="2" t="inlineStr">
        <is>
          <t>tim</t>
        </is>
      </c>
      <c r="D4468" s="2" t="inlineStr">
        <is>
          <t>prepaid</t>
        </is>
      </c>
      <c r="E4468" s="2" t="inlineStr">
        <is>
          <t>SP</t>
        </is>
      </c>
      <c r="F4468" s="2" t="inlineStr">
        <is>
          <t>TIM Pré XIP Plus 16GB</t>
        </is>
      </c>
      <c r="G4468" s="2" t="inlineStr">
        <is>
          <t>tim:106306</t>
        </is>
      </c>
      <c r="H4468" s="3" t="n">
        <v>30</v>
      </c>
      <c r="I4468" s="3" t="inlineStr"/>
      <c r="J4468" s="2" t="inlineStr"/>
      <c r="K4468" s="2" t="inlineStr"/>
      <c r="L4468" s="4" t="n">
        <v>16</v>
      </c>
      <c r="M4468" s="2" t="inlineStr"/>
      <c r="N4468" s="2" t="n">
        <v>30</v>
      </c>
      <c r="O4468" s="2" t="inlineStr"/>
      <c r="P4468" s="2" t="inlineStr"/>
      <c r="Q4468" s="2" t="inlineStr"/>
      <c r="R4468" s="2" t="inlineStr"/>
      <c r="S4468" s="2" t="inlineStr"/>
      <c r="T4468" s="2" t="inlineStr"/>
      <c r="U4468" s="2" t="inlineStr">
        <is>
          <t>https://www.tim.com.br/sp/para-voce/planos/pre-pago</t>
        </is>
      </c>
      <c r="V4468" s="2" t="inlineStr">
        <is>
          <t>data/raw/tim_prepaid_SP.html</t>
        </is>
      </c>
    </row>
    <row r="4469">
      <c r="A4469" s="5" t="inlineStr">
        <is>
          <t>2026-09-08</t>
        </is>
      </c>
      <c r="B4469" s="5" t="inlineStr">
        <is>
          <t>2026-09-08T20:09:02</t>
        </is>
      </c>
      <c r="C4469" s="5" t="inlineStr">
        <is>
          <t>tim</t>
        </is>
      </c>
      <c r="D4469" s="5" t="inlineStr">
        <is>
          <t>prepaid</t>
        </is>
      </c>
      <c r="E4469" s="5" t="inlineStr">
        <is>
          <t>SP</t>
        </is>
      </c>
      <c r="F4469" s="5" t="inlineStr">
        <is>
          <t>TIM Pré XIP Plus 6GB</t>
        </is>
      </c>
      <c r="G4469" s="5" t="inlineStr">
        <is>
          <t>tim:59906</t>
        </is>
      </c>
      <c r="H4469" s="6" t="n">
        <v>20</v>
      </c>
      <c r="I4469" s="6" t="inlineStr"/>
      <c r="J4469" s="5" t="inlineStr"/>
      <c r="K4469" s="5" t="inlineStr"/>
      <c r="L4469" s="7" t="n">
        <v>6</v>
      </c>
      <c r="M4469" s="5" t="inlineStr"/>
      <c r="N4469" s="5" t="n">
        <v>17</v>
      </c>
      <c r="O4469" s="5" t="inlineStr"/>
      <c r="P4469" s="5" t="inlineStr"/>
      <c r="Q4469" s="5" t="inlineStr"/>
      <c r="R4469" s="5" t="inlineStr"/>
      <c r="S4469" s="5" t="inlineStr"/>
      <c r="T4469" s="5" t="inlineStr"/>
      <c r="U4469" s="5" t="inlineStr">
        <is>
          <t>https://www.tim.com.br/sp/para-voce/planos/pre-pago</t>
        </is>
      </c>
      <c r="V4469" s="5" t="inlineStr">
        <is>
          <t>data/raw/tim_prepaid_SP.html</t>
        </is>
      </c>
    </row>
    <row r="4470">
      <c r="A4470" s="2" t="inlineStr">
        <is>
          <t>2026-09-08</t>
        </is>
      </c>
      <c r="B4470" s="2" t="inlineStr">
        <is>
          <t>2026-09-08T20:09:02</t>
        </is>
      </c>
      <c r="C4470" s="2" t="inlineStr">
        <is>
          <t>tim</t>
        </is>
      </c>
      <c r="D4470" s="2" t="inlineStr">
        <is>
          <t>prepaid</t>
        </is>
      </c>
      <c r="E4470" s="2" t="inlineStr">
        <is>
          <t>SP</t>
        </is>
      </c>
      <c r="F4470" s="2" t="inlineStr">
        <is>
          <t>TIM Pré XIP Plus 8GB</t>
        </is>
      </c>
      <c r="G4470" s="2" t="inlineStr">
        <is>
          <t>tim:59901</t>
        </is>
      </c>
      <c r="H4470" s="3" t="n">
        <v>25</v>
      </c>
      <c r="I4470" s="3" t="inlineStr"/>
      <c r="J4470" s="2" t="inlineStr"/>
      <c r="K4470" s="2" t="inlineStr"/>
      <c r="L4470" s="4" t="n">
        <v>8</v>
      </c>
      <c r="M4470" s="2" t="inlineStr"/>
      <c r="N4470" s="2" t="n">
        <v>22</v>
      </c>
      <c r="O4470" s="2" t="inlineStr"/>
      <c r="P4470" s="2" t="inlineStr"/>
      <c r="Q4470" s="2" t="inlineStr"/>
      <c r="R4470" s="2" t="inlineStr"/>
      <c r="S4470" s="2" t="inlineStr"/>
      <c r="T4470" s="2" t="inlineStr"/>
      <c r="U4470" s="2" t="inlineStr">
        <is>
          <t>https://www.tim.com.br/sp/para-voce/planos/pre-pago</t>
        </is>
      </c>
      <c r="V4470" s="2" t="inlineStr">
        <is>
          <t>data/raw/tim_prepaid_SP.html</t>
        </is>
      </c>
    </row>
    <row r="4471">
      <c r="A4471" s="5" t="inlineStr">
        <is>
          <t>2026-09-08</t>
        </is>
      </c>
      <c r="B4471" s="5" t="inlineStr">
        <is>
          <t>2026-09-08T20:09:02</t>
        </is>
      </c>
      <c r="C4471" s="5" t="inlineStr">
        <is>
          <t>vivo</t>
        </is>
      </c>
      <c r="D4471" s="5" t="inlineStr">
        <is>
          <t>control</t>
        </is>
      </c>
      <c r="E4471" s="5" t="inlineStr">
        <is>
          <t>SP</t>
        </is>
      </c>
      <c r="F4471" s="5" t="inlineStr">
        <is>
          <t>Vivo Controle</t>
        </is>
      </c>
      <c r="G4471" s="5" t="inlineStr">
        <is>
          <t>vivo:VIV202600034591</t>
        </is>
      </c>
      <c r="H4471" s="6" t="n">
        <v>59</v>
      </c>
      <c r="I4471" s="6" t="inlineStr"/>
      <c r="J4471" s="5" t="inlineStr"/>
      <c r="K4471" s="5" t="inlineStr"/>
      <c r="L4471" s="7" t="n">
        <v>45</v>
      </c>
      <c r="M4471" s="5" t="inlineStr">
        <is>
          <t>15 GB de franquia 30 GB de bônus</t>
        </is>
      </c>
      <c r="N4471" s="5" t="inlineStr"/>
      <c r="O4471" s="5" t="inlineStr"/>
      <c r="P4471" s="5" t="inlineStr"/>
      <c r="Q4471" s="5" t="inlineStr"/>
      <c r="R4471" s="5" t="inlineStr"/>
      <c r="S4471" s="5" t="inlineStr"/>
      <c r="T4471" s="5" t="inlineStr">
        <is>
          <t>6 meses grátis de Gemini com AI Plus</t>
        </is>
      </c>
      <c r="U4471" s="5" t="inlineStr">
        <is>
          <t>https://vivo.com.br/para-voce/produtos-e-servicos/para-o-celular/planos-controle</t>
        </is>
      </c>
      <c r="V4471" s="5" t="inlineStr">
        <is>
          <t>data/raw/vivo_control_SP.html</t>
        </is>
      </c>
    </row>
    <row r="4472">
      <c r="A4472" s="2" t="inlineStr">
        <is>
          <t>2026-09-08</t>
        </is>
      </c>
      <c r="B4472" s="2" t="inlineStr">
        <is>
          <t>2026-09-08T20:09:02</t>
        </is>
      </c>
      <c r="C4472" s="2" t="inlineStr">
        <is>
          <t>vivo</t>
        </is>
      </c>
      <c r="D4472" s="2" t="inlineStr">
        <is>
          <t>control</t>
        </is>
      </c>
      <c r="E4472" s="2" t="inlineStr">
        <is>
          <t>SP</t>
        </is>
      </c>
      <c r="F4472" s="2" t="inlineStr">
        <is>
          <t>Vivo Controle</t>
        </is>
      </c>
      <c r="G4472" s="2" t="inlineStr">
        <is>
          <t>vivo:VIV202600034599</t>
        </is>
      </c>
      <c r="H4472" s="3" t="n">
        <v>75</v>
      </c>
      <c r="I4472" s="3" t="inlineStr"/>
      <c r="J4472" s="2" t="inlineStr"/>
      <c r="K4472" s="2" t="inlineStr"/>
      <c r="L4472" s="4" t="n">
        <v>50</v>
      </c>
      <c r="M4472" s="2" t="inlineStr">
        <is>
          <t>20 GB de franquia 30 GB de bônus</t>
        </is>
      </c>
      <c r="N4472" s="2" t="inlineStr"/>
      <c r="O4472" s="2" t="inlineStr"/>
      <c r="P4472" s="2" t="inlineStr"/>
      <c r="Q4472" s="2" t="inlineStr"/>
      <c r="R4472" s="2" t="inlineStr"/>
      <c r="S4472" s="2" t="inlineStr"/>
      <c r="T4472" s="2" t="inlineStr">
        <is>
          <t>6 meses grátis de Gemini com AI Plus</t>
        </is>
      </c>
      <c r="U4472" s="2" t="inlineStr">
        <is>
          <t>https://vivo.com.br/para-voce/produtos-e-servicos/para-o-celular/planos-controle</t>
        </is>
      </c>
      <c r="V4472" s="2" t="inlineStr">
        <is>
          <t>data/raw/vivo_control_SP.html</t>
        </is>
      </c>
    </row>
    <row r="4473">
      <c r="A4473" s="5" t="inlineStr">
        <is>
          <t>2026-09-08</t>
        </is>
      </c>
      <c r="B4473" s="5" t="inlineStr">
        <is>
          <t>2026-09-08T20:09:02</t>
        </is>
      </c>
      <c r="C4473" s="5" t="inlineStr">
        <is>
          <t>vivo</t>
        </is>
      </c>
      <c r="D4473" s="5" t="inlineStr">
        <is>
          <t>control</t>
        </is>
      </c>
      <c r="E4473" s="5" t="inlineStr">
        <is>
          <t>SP</t>
        </is>
      </c>
      <c r="F4473" s="5" t="inlineStr">
        <is>
          <t>Vivo Controle Amazon</t>
        </is>
      </c>
      <c r="G4473" s="5" t="inlineStr">
        <is>
          <t>vivo:VIV202600038804</t>
        </is>
      </c>
      <c r="H4473" s="6" t="n">
        <v>70</v>
      </c>
      <c r="I4473" s="6" t="inlineStr"/>
      <c r="J4473" s="5" t="inlineStr"/>
      <c r="K4473" s="5" t="inlineStr"/>
      <c r="L4473" s="7" t="n">
        <v>48</v>
      </c>
      <c r="M4473" s="5" t="inlineStr">
        <is>
          <t>18 GB de franquia 30 GB de bônus</t>
        </is>
      </c>
      <c r="N4473" s="5" t="inlineStr"/>
      <c r="O4473" s="5" t="inlineStr"/>
      <c r="P4473" s="5" t="inlineStr"/>
      <c r="Q4473" s="5" t="inlineStr"/>
      <c r="R4473" s="5" t="inlineStr"/>
      <c r="S4473" s="5" t="inlineStr"/>
      <c r="T4473" s="5" t="inlineStr">
        <is>
          <t>Assinatura Amazon Prime inclusa</t>
        </is>
      </c>
      <c r="U4473" s="5" t="inlineStr">
        <is>
          <t>https://vivo.com.br/para-voce/produtos-e-servicos/para-o-celular/planos-controle</t>
        </is>
      </c>
      <c r="V4473" s="5" t="inlineStr">
        <is>
          <t>data/raw/vivo_control_SP.html</t>
        </is>
      </c>
    </row>
    <row r="4474">
      <c r="A4474" s="2" t="inlineStr">
        <is>
          <t>2026-09-08</t>
        </is>
      </c>
      <c r="B4474" s="2" t="inlineStr">
        <is>
          <t>2026-09-08T20:09:02</t>
        </is>
      </c>
      <c r="C4474" s="2" t="inlineStr">
        <is>
          <t>vivo</t>
        </is>
      </c>
      <c r="D4474" s="2" t="inlineStr">
        <is>
          <t>control</t>
        </is>
      </c>
      <c r="E4474" s="2" t="inlineStr">
        <is>
          <t>SP</t>
        </is>
      </c>
      <c r="F4474" s="2" t="inlineStr">
        <is>
          <t>Vivo Controle Educação</t>
        </is>
      </c>
      <c r="G4474" s="2" t="inlineStr">
        <is>
          <t>vivo:VIV202600034616</t>
        </is>
      </c>
      <c r="H4474" s="3" t="n">
        <v>85</v>
      </c>
      <c r="I4474" s="3" t="inlineStr"/>
      <c r="J4474" s="2" t="inlineStr"/>
      <c r="K4474" s="2" t="inlineStr"/>
      <c r="L4474" s="4" t="n">
        <v>50</v>
      </c>
      <c r="M4474" s="2" t="inlineStr">
        <is>
          <t>20 GB de franquia 30 GB de bônus</t>
        </is>
      </c>
      <c r="N4474" s="2" t="inlineStr"/>
      <c r="O4474" s="2" t="inlineStr"/>
      <c r="P4474" s="2" t="inlineStr"/>
      <c r="Q4474" s="2" t="inlineStr"/>
      <c r="R4474" s="2" t="inlineStr"/>
      <c r="S4474" s="2" t="inlineStr"/>
      <c r="T4474" s="2" t="inlineStr">
        <is>
          <t>Assinatura Vivae inclusa</t>
        </is>
      </c>
      <c r="U4474" s="2" t="inlineStr">
        <is>
          <t>https://vivo.com.br/para-voce/produtos-e-servicos/para-o-celular/planos-controle</t>
        </is>
      </c>
      <c r="V4474" s="2" t="inlineStr">
        <is>
          <t>data/raw/vivo_control_SP.html</t>
        </is>
      </c>
    </row>
    <row r="4475">
      <c r="A4475" s="5" t="inlineStr">
        <is>
          <t>2026-09-08</t>
        </is>
      </c>
      <c r="B4475" s="5" t="inlineStr">
        <is>
          <t>2026-09-08T20:09:02</t>
        </is>
      </c>
      <c r="C4475" s="5" t="inlineStr">
        <is>
          <t>vivo</t>
        </is>
      </c>
      <c r="D4475" s="5" t="inlineStr">
        <is>
          <t>control</t>
        </is>
      </c>
      <c r="E4475" s="5" t="inlineStr">
        <is>
          <t>SP</t>
        </is>
      </c>
      <c r="F4475" s="5" t="inlineStr">
        <is>
          <t>Vivo Controle Entretenimento</t>
        </is>
      </c>
      <c r="G4475" s="5" t="inlineStr">
        <is>
          <t>vivo:VIV202600034619</t>
        </is>
      </c>
      <c r="H4475" s="6" t="n">
        <v>105</v>
      </c>
      <c r="I4475" s="6" t="inlineStr"/>
      <c r="J4475" s="5" t="inlineStr"/>
      <c r="K4475" s="5" t="inlineStr"/>
      <c r="L4475" s="7" t="n">
        <v>50</v>
      </c>
      <c r="M4475" s="5" t="inlineStr">
        <is>
          <t>20 GB de franquia 30 GB de bônus</t>
        </is>
      </c>
      <c r="N4475" s="5" t="inlineStr"/>
      <c r="O4475" s="5" t="inlineStr"/>
      <c r="P4475" s="5" t="inlineStr"/>
      <c r="Q4475" s="5" t="inlineStr"/>
      <c r="R4475" s="5" t="inlineStr"/>
      <c r="S4475" s="5" t="inlineStr"/>
      <c r="T4475" s="5" t="inlineStr">
        <is>
          <t>Assinatura Vivo TV Inicial inclusa</t>
        </is>
      </c>
      <c r="U4475" s="5" t="inlineStr">
        <is>
          <t>https://vivo.com.br/para-voce/produtos-e-servicos/para-o-celular/planos-controle</t>
        </is>
      </c>
      <c r="V4475" s="5" t="inlineStr">
        <is>
          <t>data/raw/vivo_control_SP.html</t>
        </is>
      </c>
    </row>
    <row r="4476">
      <c r="A4476" s="2" t="inlineStr">
        <is>
          <t>2026-09-08</t>
        </is>
      </c>
      <c r="B4476" s="2" t="inlineStr">
        <is>
          <t>2026-09-08T20:09:02</t>
        </is>
      </c>
      <c r="C4476" s="2" t="inlineStr">
        <is>
          <t>vivo</t>
        </is>
      </c>
      <c r="D4476" s="2" t="inlineStr">
        <is>
          <t>control</t>
        </is>
      </c>
      <c r="E4476" s="2" t="inlineStr">
        <is>
          <t>SP</t>
        </is>
      </c>
      <c r="F4476" s="2" t="inlineStr">
        <is>
          <t>Vivo Controle Música</t>
        </is>
      </c>
      <c r="G4476" s="2" t="inlineStr">
        <is>
          <t>vivo:VIV202600034620</t>
        </is>
      </c>
      <c r="H4476" s="3" t="n">
        <v>85</v>
      </c>
      <c r="I4476" s="3" t="inlineStr"/>
      <c r="J4476" s="2" t="inlineStr"/>
      <c r="K4476" s="2" t="inlineStr"/>
      <c r="L4476" s="4" t="n">
        <v>50</v>
      </c>
      <c r="M4476" s="2" t="inlineStr">
        <is>
          <t>20 GB de franquia 30 GB de bônus</t>
        </is>
      </c>
      <c r="N4476" s="2" t="inlineStr"/>
      <c r="O4476" s="2" t="inlineStr"/>
      <c r="P4476" s="2" t="inlineStr"/>
      <c r="Q4476" s="2" t="inlineStr"/>
      <c r="R4476" s="2" t="inlineStr"/>
      <c r="S4476" s="2" t="inlineStr"/>
      <c r="T4476" s="2" t="inlineStr">
        <is>
          <t>Apple Music Individual</t>
        </is>
      </c>
      <c r="U4476" s="2" t="inlineStr">
        <is>
          <t>https://vivo.com.br/para-voce/produtos-e-servicos/para-o-celular/planos-controle</t>
        </is>
      </c>
      <c r="V4476" s="2" t="inlineStr">
        <is>
          <t>data/raw/vivo_control_SP.html</t>
        </is>
      </c>
    </row>
    <row r="4477">
      <c r="A4477" s="5" t="inlineStr">
        <is>
          <t>2026-09-08</t>
        </is>
      </c>
      <c r="B4477" s="5" t="inlineStr">
        <is>
          <t>2026-09-08T20:09:02</t>
        </is>
      </c>
      <c r="C4477" s="5" t="inlineStr">
        <is>
          <t>vivo</t>
        </is>
      </c>
      <c r="D4477" s="5" t="inlineStr">
        <is>
          <t>control</t>
        </is>
      </c>
      <c r="E4477" s="5" t="inlineStr">
        <is>
          <t>SP</t>
        </is>
      </c>
      <c r="F4477" s="5" t="inlineStr">
        <is>
          <t>Vivo Controle Netflix</t>
        </is>
      </c>
      <c r="G4477" s="5" t="inlineStr">
        <is>
          <t>vivo:VIV202600034623</t>
        </is>
      </c>
      <c r="H4477" s="6" t="n">
        <v>90</v>
      </c>
      <c r="I4477" s="6" t="inlineStr"/>
      <c r="J4477" s="5" t="inlineStr"/>
      <c r="K4477" s="5" t="inlineStr"/>
      <c r="L4477" s="7" t="n">
        <v>50</v>
      </c>
      <c r="M4477" s="5" t="inlineStr">
        <is>
          <t>20 GB de franquia 30 GB de bônus</t>
        </is>
      </c>
      <c r="N4477" s="5" t="inlineStr"/>
      <c r="O4477" s="5" t="inlineStr"/>
      <c r="P4477" s="5" t="inlineStr"/>
      <c r="Q4477" s="5" t="inlineStr"/>
      <c r="R4477" s="5" t="inlineStr"/>
      <c r="S4477" s="5" t="inlineStr"/>
      <c r="T4477" s="5" t="inlineStr">
        <is>
          <t>Assinatura Netflix Padrão com anúncios</t>
        </is>
      </c>
      <c r="U4477" s="5" t="inlineStr">
        <is>
          <t>https://vivo.com.br/para-voce/produtos-e-servicos/para-o-celular/planos-controle</t>
        </is>
      </c>
      <c r="V4477" s="5" t="inlineStr">
        <is>
          <t>data/raw/vivo_control_SP.html</t>
        </is>
      </c>
    </row>
    <row r="4478">
      <c r="A4478" s="2" t="inlineStr">
        <is>
          <t>2026-09-08</t>
        </is>
      </c>
      <c r="B4478" s="2" t="inlineStr">
        <is>
          <t>2026-09-08T20:09:02</t>
        </is>
      </c>
      <c r="C4478" s="2" t="inlineStr">
        <is>
          <t>vivo</t>
        </is>
      </c>
      <c r="D4478" s="2" t="inlineStr">
        <is>
          <t>control</t>
        </is>
      </c>
      <c r="E4478" s="2" t="inlineStr">
        <is>
          <t>SP</t>
        </is>
      </c>
      <c r="F4478" s="2" t="inlineStr">
        <is>
          <t>Vivo Controle Saúde</t>
        </is>
      </c>
      <c r="G4478" s="2" t="inlineStr">
        <is>
          <t>vivo:VIV202600034625</t>
        </is>
      </c>
      <c r="H4478" s="3" t="n">
        <v>85</v>
      </c>
      <c r="I4478" s="3" t="inlineStr"/>
      <c r="J4478" s="2" t="inlineStr"/>
      <c r="K4478" s="2" t="inlineStr"/>
      <c r="L4478" s="4" t="n">
        <v>50</v>
      </c>
      <c r="M4478" s="2" t="inlineStr">
        <is>
          <t>20 GB de franquia 30 GB de bônus</t>
        </is>
      </c>
      <c r="N4478" s="2" t="inlineStr"/>
      <c r="O4478" s="2" t="inlineStr"/>
      <c r="P4478" s="2" t="inlineStr"/>
      <c r="Q4478" s="2" t="inlineStr"/>
      <c r="R4478" s="2" t="inlineStr"/>
      <c r="S4478" s="2" t="inlineStr"/>
      <c r="T4478" s="2" t="inlineStr">
        <is>
          <t>Assinatura Vale Saúde Sempre inclusa</t>
        </is>
      </c>
      <c r="U4478" s="2" t="inlineStr">
        <is>
          <t>https://vivo.com.br/para-voce/produtos-e-servicos/para-o-celular/planos-controle</t>
        </is>
      </c>
      <c r="V4478" s="2" t="inlineStr">
        <is>
          <t>data/raw/vivo_control_SP.html</t>
        </is>
      </c>
    </row>
    <row r="4479">
      <c r="A4479" s="5" t="inlineStr">
        <is>
          <t>2026-09-08</t>
        </is>
      </c>
      <c r="B4479" s="5" t="inlineStr">
        <is>
          <t>2026-09-08T20:09:02</t>
        </is>
      </c>
      <c r="C4479" s="5" t="inlineStr">
        <is>
          <t>vivo</t>
        </is>
      </c>
      <c r="D4479" s="5" t="inlineStr">
        <is>
          <t>control</t>
        </is>
      </c>
      <c r="E4479" s="5" t="inlineStr">
        <is>
          <t>SP</t>
        </is>
      </c>
      <c r="F4479" s="5" t="inlineStr">
        <is>
          <t>Vivo Controle Youtube Lite</t>
        </is>
      </c>
      <c r="G4479" s="5" t="inlineStr">
        <is>
          <t>vivo:VIV202600034626</t>
        </is>
      </c>
      <c r="H4479" s="6" t="n">
        <v>85</v>
      </c>
      <c r="I4479" s="6" t="inlineStr"/>
      <c r="J4479" s="5" t="inlineStr"/>
      <c r="K4479" s="5" t="inlineStr"/>
      <c r="L4479" s="7" t="n">
        <v>50</v>
      </c>
      <c r="M4479" s="5" t="inlineStr">
        <is>
          <t>20 GB de franquia 30 GB de bônus</t>
        </is>
      </c>
      <c r="N4479" s="5" t="inlineStr"/>
      <c r="O4479" s="5" t="inlineStr"/>
      <c r="P4479" s="5" t="inlineStr"/>
      <c r="Q4479" s="5" t="inlineStr"/>
      <c r="R4479" s="5" t="inlineStr"/>
      <c r="S4479" s="5" t="inlineStr"/>
      <c r="T4479" s="5" t="inlineStr">
        <is>
          <t>Assinatura Youtube Premium Lite Inclusa</t>
        </is>
      </c>
      <c r="U4479" s="5" t="inlineStr">
        <is>
          <t>https://vivo.com.br/para-voce/produtos-e-servicos/para-o-celular/planos-controle</t>
        </is>
      </c>
      <c r="V4479" s="5" t="inlineStr">
        <is>
          <t>data/raw/vivo_control_SP.html</t>
        </is>
      </c>
    </row>
    <row r="4480">
      <c r="A4480" s="2" t="inlineStr">
        <is>
          <t>2026-09-08</t>
        </is>
      </c>
      <c r="B4480" s="2" t="inlineStr">
        <is>
          <t>2026-09-08T20:09:02</t>
        </is>
      </c>
      <c r="C4480" s="2" t="inlineStr">
        <is>
          <t>vivo</t>
        </is>
      </c>
      <c r="D4480" s="2" t="inlineStr">
        <is>
          <t>lite</t>
        </is>
      </c>
      <c r="E4480" s="2" t="inlineStr">
        <is>
          <t>SP</t>
        </is>
      </c>
      <c r="F4480" s="2" t="inlineStr">
        <is>
          <t>Vivo Lite</t>
        </is>
      </c>
      <c r="G4480" s="2" t="inlineStr">
        <is>
          <t>vivo:VIV202600038808</t>
        </is>
      </c>
      <c r="H4480" s="3" t="n">
        <v>45</v>
      </c>
      <c r="I4480" s="3" t="n">
        <v>30</v>
      </c>
      <c r="J4480" s="2" t="inlineStr">
        <is>
          <t>preço sem fidelidade; fidelidade 12m no promo</t>
        </is>
      </c>
      <c r="K4480" s="2" t="inlineStr"/>
      <c r="L4480" s="4" t="n">
        <v>30</v>
      </c>
      <c r="M4480" s="2" t="inlineStr">
        <is>
          <t>30 GB de franquia</t>
        </is>
      </c>
      <c r="N4480" s="2" t="inlineStr"/>
      <c r="O4480" s="2" t="inlineStr"/>
      <c r="P4480" s="2" t="inlineStr"/>
      <c r="Q4480" s="2" t="inlineStr"/>
      <c r="R4480" s="2" t="inlineStr"/>
      <c r="S4480" s="2" t="n">
        <v>12</v>
      </c>
      <c r="T4480" s="2" t="inlineStr"/>
      <c r="U4480" s="2" t="inlineStr">
        <is>
          <t>https://vivo.com.br/para-voce/produtos-e-servicos/para-o-celular/easy-lite</t>
        </is>
      </c>
      <c r="V4480" s="2" t="inlineStr">
        <is>
          <t>data/raw/vivo_lite_SP.html</t>
        </is>
      </c>
    </row>
    <row r="4481">
      <c r="A4481" s="5" t="inlineStr">
        <is>
          <t>2026-09-08</t>
        </is>
      </c>
      <c r="B4481" s="5" t="inlineStr">
        <is>
          <t>2026-09-08T20:09:02</t>
        </is>
      </c>
      <c r="C4481" s="5" t="inlineStr">
        <is>
          <t>vivo</t>
        </is>
      </c>
      <c r="D4481" s="5" t="inlineStr">
        <is>
          <t>lite</t>
        </is>
      </c>
      <c r="E4481" s="5" t="inlineStr">
        <is>
          <t>SP</t>
        </is>
      </c>
      <c r="F4481" s="5" t="inlineStr">
        <is>
          <t>Vivo Lite</t>
        </is>
      </c>
      <c r="G4481" s="5" t="inlineStr">
        <is>
          <t>vivo:VIV202600038810</t>
        </is>
      </c>
      <c r="H4481" s="6" t="n">
        <v>55</v>
      </c>
      <c r="I4481" s="6" t="n">
        <v>40</v>
      </c>
      <c r="J4481" s="5" t="inlineStr">
        <is>
          <t>preço sem fidelidade; fidelidade 12m no promo</t>
        </is>
      </c>
      <c r="K4481" s="5" t="inlineStr"/>
      <c r="L4481" s="7" t="n">
        <v>40</v>
      </c>
      <c r="M4481" s="5" t="inlineStr">
        <is>
          <t>40 GB de franquia</t>
        </is>
      </c>
      <c r="N4481" s="5" t="inlineStr"/>
      <c r="O4481" s="5" t="inlineStr"/>
      <c r="P4481" s="5" t="inlineStr"/>
      <c r="Q4481" s="5" t="inlineStr"/>
      <c r="R4481" s="5" t="inlineStr"/>
      <c r="S4481" s="5" t="n">
        <v>12</v>
      </c>
      <c r="T4481" s="5" t="inlineStr"/>
      <c r="U4481" s="5" t="inlineStr">
        <is>
          <t>https://vivo.com.br/para-voce/produtos-e-servicos/para-o-celular/easy-lite</t>
        </is>
      </c>
      <c r="V4481" s="5" t="inlineStr">
        <is>
          <t>data/raw/vivo_lite_SP.html</t>
        </is>
      </c>
    </row>
    <row r="4482">
      <c r="A4482" s="2" t="inlineStr">
        <is>
          <t>2026-09-08</t>
        </is>
      </c>
      <c r="B4482" s="2" t="inlineStr">
        <is>
          <t>2026-09-08T20:09:02</t>
        </is>
      </c>
      <c r="C4482" s="2" t="inlineStr">
        <is>
          <t>vivo</t>
        </is>
      </c>
      <c r="D4482" s="2" t="inlineStr">
        <is>
          <t>lite</t>
        </is>
      </c>
      <c r="E4482" s="2" t="inlineStr">
        <is>
          <t>SP</t>
        </is>
      </c>
      <c r="F4482" s="2" t="inlineStr">
        <is>
          <t>Vivo Lite</t>
        </is>
      </c>
      <c r="G4482" s="2" t="inlineStr">
        <is>
          <t>vivo:VIV202600038814</t>
        </is>
      </c>
      <c r="H4482" s="3" t="n">
        <v>35</v>
      </c>
      <c r="I4482" s="3" t="inlineStr"/>
      <c r="J4482" s="2" t="inlineStr"/>
      <c r="K4482" s="2" t="inlineStr"/>
      <c r="L4482" s="4" t="n">
        <v>20</v>
      </c>
      <c r="M4482" s="2" t="inlineStr">
        <is>
          <t>20 GB de franquia</t>
        </is>
      </c>
      <c r="N4482" s="2" t="inlineStr"/>
      <c r="O4482" s="2" t="inlineStr"/>
      <c r="P4482" s="2" t="inlineStr"/>
      <c r="Q4482" s="2" t="inlineStr"/>
      <c r="R4482" s="2" t="inlineStr"/>
      <c r="S4482" s="2" t="inlineStr"/>
      <c r="T4482" s="2" t="inlineStr"/>
      <c r="U4482" s="2" t="inlineStr">
        <is>
          <t>https://vivo.com.br/para-voce/produtos-e-servicos/para-o-celular/easy-lite</t>
        </is>
      </c>
      <c r="V4482" s="2" t="inlineStr">
        <is>
          <t>data/raw/vivo_lite_SP.html</t>
        </is>
      </c>
    </row>
    <row r="4483">
      <c r="A4483" s="5" t="inlineStr">
        <is>
          <t>2026-09-08</t>
        </is>
      </c>
      <c r="B4483" s="5" t="inlineStr">
        <is>
          <t>2026-09-08T20:09:02</t>
        </is>
      </c>
      <c r="C4483" s="5" t="inlineStr">
        <is>
          <t>vivo</t>
        </is>
      </c>
      <c r="D4483" s="5" t="inlineStr">
        <is>
          <t>postpaid</t>
        </is>
      </c>
      <c r="E4483" s="5" t="inlineStr">
        <is>
          <t>SP</t>
        </is>
      </c>
      <c r="F4483" s="5" t="inlineStr">
        <is>
          <t>Vivo Família 2</t>
        </is>
      </c>
      <c r="G4483" s="5" t="inlineStr">
        <is>
          <t>vivo:VIV202600034547</t>
        </is>
      </c>
      <c r="H4483" s="6" t="n">
        <v>270</v>
      </c>
      <c r="I4483" s="6" t="inlineStr"/>
      <c r="J4483" s="5" t="inlineStr"/>
      <c r="K4483" s="5" t="inlineStr"/>
      <c r="L4483" s="7" t="n">
        <v>120</v>
      </c>
      <c r="M4483" s="5" t="inlineStr">
        <is>
          <t>120 GB de franquia Você + 1 linha adicional Roaming Internacional com Vivo Travel Américas e Europa</t>
        </is>
      </c>
      <c r="N4483" s="5" t="inlineStr"/>
      <c r="O4483" s="5" t="inlineStr"/>
      <c r="P4483" s="5" t="inlineStr"/>
      <c r="Q4483" s="5" t="inlineStr"/>
      <c r="R4483" s="5" t="inlineStr"/>
      <c r="S4483" s="5" t="inlineStr"/>
      <c r="T4483" s="5" t="inlineStr">
        <is>
          <t>12 meses grátis de Gemini com AI Plus</t>
        </is>
      </c>
      <c r="U4483" s="5" t="inlineStr">
        <is>
          <t>https://vivo.com.br/para-voce/produtos-e-servicos/para-o-celular/planos-pos-pago</t>
        </is>
      </c>
      <c r="V4483" s="5" t="inlineStr">
        <is>
          <t>data/raw/vivo_postpaid_SP.html</t>
        </is>
      </c>
    </row>
    <row r="4484">
      <c r="A4484" s="2" t="inlineStr">
        <is>
          <t>2026-09-08</t>
        </is>
      </c>
      <c r="B4484" s="2" t="inlineStr">
        <is>
          <t>2026-09-08T20:09:02</t>
        </is>
      </c>
      <c r="C4484" s="2" t="inlineStr">
        <is>
          <t>vivo</t>
        </is>
      </c>
      <c r="D4484" s="2" t="inlineStr">
        <is>
          <t>postpaid</t>
        </is>
      </c>
      <c r="E4484" s="2" t="inlineStr">
        <is>
          <t>SP</t>
        </is>
      </c>
      <c r="F4484" s="2" t="inlineStr">
        <is>
          <t>Vivo Família 3</t>
        </is>
      </c>
      <c r="G4484" s="2" t="inlineStr">
        <is>
          <t>vivo:VIV202600034540</t>
        </is>
      </c>
      <c r="H4484" s="3" t="n">
        <v>340</v>
      </c>
      <c r="I4484" s="3" t="inlineStr"/>
      <c r="J4484" s="2" t="inlineStr"/>
      <c r="K4484" s="2" t="inlineStr"/>
      <c r="L4484" s="4" t="n">
        <v>180</v>
      </c>
      <c r="M4484" s="2" t="inlineStr">
        <is>
          <t>180 GB de franquia Você + 2 linhas adicionais Roaming Internacional com Vivo Travel Américas e Europa</t>
        </is>
      </c>
      <c r="N4484" s="2" t="inlineStr"/>
      <c r="O4484" s="2" t="inlineStr"/>
      <c r="P4484" s="2" t="inlineStr"/>
      <c r="Q4484" s="2" t="inlineStr"/>
      <c r="R4484" s="2" t="inlineStr"/>
      <c r="S4484" s="2" t="inlineStr"/>
      <c r="T4484" s="2" t="inlineStr">
        <is>
          <t>12 meses grátis de Gemini com AI Plus</t>
        </is>
      </c>
      <c r="U4484" s="2" t="inlineStr">
        <is>
          <t>https://vivo.com.br/para-voce/produtos-e-servicos/para-o-celular/planos-pos-pago</t>
        </is>
      </c>
      <c r="V4484" s="2" t="inlineStr">
        <is>
          <t>data/raw/vivo_postpaid_SP.html</t>
        </is>
      </c>
    </row>
    <row r="4485">
      <c r="A4485" s="5" t="inlineStr">
        <is>
          <t>2026-09-08</t>
        </is>
      </c>
      <c r="B4485" s="5" t="inlineStr">
        <is>
          <t>2026-09-08T20:09:02</t>
        </is>
      </c>
      <c r="C4485" s="5" t="inlineStr">
        <is>
          <t>vivo</t>
        </is>
      </c>
      <c r="D4485" s="5" t="inlineStr">
        <is>
          <t>postpaid</t>
        </is>
      </c>
      <c r="E4485" s="5" t="inlineStr">
        <is>
          <t>SP</t>
        </is>
      </c>
      <c r="F4485" s="5" t="inlineStr">
        <is>
          <t>Vivo Família 4</t>
        </is>
      </c>
      <c r="G4485" s="5" t="inlineStr">
        <is>
          <t>vivo:VIV202600034531</t>
        </is>
      </c>
      <c r="H4485" s="6" t="n">
        <v>430</v>
      </c>
      <c r="I4485" s="6" t="inlineStr"/>
      <c r="J4485" s="5" t="inlineStr"/>
      <c r="K4485" s="5" t="inlineStr"/>
      <c r="L4485" s="7" t="n">
        <v>240</v>
      </c>
      <c r="M4485" s="5" t="inlineStr">
        <is>
          <t>240 GB de franquia Você + 3 linhas adicionais Roaming Internacional com Vivo Travel Américas e Europa</t>
        </is>
      </c>
      <c r="N4485" s="5" t="inlineStr"/>
      <c r="O4485" s="5" t="inlineStr"/>
      <c r="P4485" s="5" t="inlineStr"/>
      <c r="Q4485" s="5" t="inlineStr"/>
      <c r="R4485" s="5" t="inlineStr"/>
      <c r="S4485" s="5" t="inlineStr"/>
      <c r="T4485" s="5" t="inlineStr">
        <is>
          <t>12 meses grátis de Gemini com AI Plus</t>
        </is>
      </c>
      <c r="U4485" s="5" t="inlineStr">
        <is>
          <t>https://vivo.com.br/para-voce/produtos-e-servicos/para-o-celular/planos-pos-pago</t>
        </is>
      </c>
      <c r="V4485" s="5" t="inlineStr">
        <is>
          <t>data/raw/vivo_postpaid_SP.html</t>
        </is>
      </c>
    </row>
    <row r="4486">
      <c r="A4486" s="2" t="inlineStr">
        <is>
          <t>2026-09-08</t>
        </is>
      </c>
      <c r="B4486" s="2" t="inlineStr">
        <is>
          <t>2026-09-08T20:09:02</t>
        </is>
      </c>
      <c r="C4486" s="2" t="inlineStr">
        <is>
          <t>vivo</t>
        </is>
      </c>
      <c r="D4486" s="2" t="inlineStr">
        <is>
          <t>postpaid</t>
        </is>
      </c>
      <c r="E4486" s="2" t="inlineStr">
        <is>
          <t>SP</t>
        </is>
      </c>
      <c r="F4486" s="2" t="inlineStr">
        <is>
          <t>Vivo Família 5</t>
        </is>
      </c>
      <c r="G4486" s="2" t="inlineStr">
        <is>
          <t>vivo:VIV202600034526</t>
        </is>
      </c>
      <c r="H4486" s="3" t="n">
        <v>530</v>
      </c>
      <c r="I4486" s="3" t="inlineStr"/>
      <c r="J4486" s="2" t="inlineStr"/>
      <c r="K4486" s="2" t="inlineStr"/>
      <c r="L4486" s="4" t="n">
        <v>300</v>
      </c>
      <c r="M4486" s="2" t="inlineStr">
        <is>
          <t>300 GB de franquia Você + 4 linhas adicionais Roaming Internacional com Vivo Travel Américas e Europa</t>
        </is>
      </c>
      <c r="N4486" s="2" t="inlineStr"/>
      <c r="O4486" s="2" t="inlineStr"/>
      <c r="P4486" s="2" t="inlineStr"/>
      <c r="Q4486" s="2" t="inlineStr"/>
      <c r="R4486" s="2" t="inlineStr"/>
      <c r="S4486" s="2" t="inlineStr"/>
      <c r="T4486" s="2" t="inlineStr">
        <is>
          <t>12 meses grátis de Gemini com AI Plus</t>
        </is>
      </c>
      <c r="U4486" s="2" t="inlineStr">
        <is>
          <t>https://vivo.com.br/para-voce/produtos-e-servicos/para-o-celular/planos-pos-pago</t>
        </is>
      </c>
      <c r="V4486" s="2" t="inlineStr">
        <is>
          <t>data/raw/vivo_postpaid_SP.html</t>
        </is>
      </c>
    </row>
    <row r="4487">
      <c r="A4487" s="5" t="inlineStr">
        <is>
          <t>2026-09-08</t>
        </is>
      </c>
      <c r="B4487" s="5" t="inlineStr">
        <is>
          <t>2026-09-08T20:09:02</t>
        </is>
      </c>
      <c r="C4487" s="5" t="inlineStr">
        <is>
          <t>vivo</t>
        </is>
      </c>
      <c r="D4487" s="5" t="inlineStr">
        <is>
          <t>postpaid</t>
        </is>
      </c>
      <c r="E4487" s="5" t="inlineStr">
        <is>
          <t>SP</t>
        </is>
      </c>
      <c r="F4487" s="5" t="inlineStr">
        <is>
          <t>Vivo Pós com Amazon</t>
        </is>
      </c>
      <c r="G4487" s="5" t="inlineStr">
        <is>
          <t>vivo:VIV202600034554</t>
        </is>
      </c>
      <c r="H4487" s="6" t="n">
        <v>150</v>
      </c>
      <c r="I4487" s="6" t="inlineStr"/>
      <c r="J4487" s="5" t="inlineStr"/>
      <c r="K4487" s="5" t="inlineStr"/>
      <c r="L4487" s="7" t="n">
        <v>60</v>
      </c>
      <c r="M4487" s="5" t="inlineStr">
        <is>
          <t>50 GB de franquia 10 GB de bônus</t>
        </is>
      </c>
      <c r="N4487" s="5" t="inlineStr"/>
      <c r="O4487" s="5" t="inlineStr"/>
      <c r="P4487" s="5" t="inlineStr"/>
      <c r="Q4487" s="5" t="inlineStr"/>
      <c r="R4487" s="5" t="inlineStr"/>
      <c r="S4487" s="5" t="inlineStr"/>
      <c r="T4487" s="5" t="inlineStr">
        <is>
          <t>Assinatura Amazon Prime inclusa</t>
        </is>
      </c>
      <c r="U4487" s="5" t="inlineStr">
        <is>
          <t>https://vivo.com.br/para-voce/produtos-e-servicos/para-o-celular/planos-pos-pago</t>
        </is>
      </c>
      <c r="V4487" s="5" t="inlineStr">
        <is>
          <t>data/raw/vivo_postpaid_SP.html</t>
        </is>
      </c>
    </row>
    <row r="4488">
      <c r="A4488" s="2" t="inlineStr">
        <is>
          <t>2026-09-08</t>
        </is>
      </c>
      <c r="B4488" s="2" t="inlineStr">
        <is>
          <t>2026-09-08T20:09:02</t>
        </is>
      </c>
      <c r="C4488" s="2" t="inlineStr">
        <is>
          <t>vivo</t>
        </is>
      </c>
      <c r="D4488" s="2" t="inlineStr">
        <is>
          <t>postpaid</t>
        </is>
      </c>
      <c r="E4488" s="2" t="inlineStr">
        <is>
          <t>SP</t>
        </is>
      </c>
      <c r="F4488" s="2" t="inlineStr">
        <is>
          <t>Vivo Pós com Disney+</t>
        </is>
      </c>
      <c r="G4488" s="2" t="inlineStr">
        <is>
          <t>vivo:VIV202600034532</t>
        </is>
      </c>
      <c r="H4488" s="3" t="n">
        <v>180</v>
      </c>
      <c r="I4488" s="3" t="inlineStr"/>
      <c r="J4488" s="2" t="inlineStr"/>
      <c r="K4488" s="2" t="inlineStr"/>
      <c r="L4488" s="4" t="n">
        <v>60</v>
      </c>
      <c r="M4488" s="2" t="inlineStr">
        <is>
          <t>50 GB de franquia 10 GB de bônus</t>
        </is>
      </c>
      <c r="N4488" s="2" t="inlineStr"/>
      <c r="O4488" s="2" t="inlineStr"/>
      <c r="P4488" s="2" t="inlineStr"/>
      <c r="Q4488" s="2" t="inlineStr"/>
      <c r="R4488" s="2" t="inlineStr">
        <is>
          <t>Disney+</t>
        </is>
      </c>
      <c r="S4488" s="2" t="inlineStr"/>
      <c r="T4488" s="2" t="inlineStr">
        <is>
          <t>Assinatura Disney+ Padrão inclusa</t>
        </is>
      </c>
      <c r="U4488" s="2" t="inlineStr">
        <is>
          <t>https://vivo.com.br/para-voce/produtos-e-servicos/para-o-celular/planos-pos-pago</t>
        </is>
      </c>
      <c r="V4488" s="2" t="inlineStr">
        <is>
          <t>data/raw/vivo_postpaid_SP.html</t>
        </is>
      </c>
    </row>
    <row r="4489">
      <c r="A4489" s="5" t="inlineStr">
        <is>
          <t>2026-09-08</t>
        </is>
      </c>
      <c r="B4489" s="5" t="inlineStr">
        <is>
          <t>2026-09-08T20:09:02</t>
        </is>
      </c>
      <c r="C4489" s="5" t="inlineStr">
        <is>
          <t>vivo</t>
        </is>
      </c>
      <c r="D4489" s="5" t="inlineStr">
        <is>
          <t>postpaid</t>
        </is>
      </c>
      <c r="E4489" s="5" t="inlineStr">
        <is>
          <t>SP</t>
        </is>
      </c>
      <c r="F4489" s="5" t="inlineStr">
        <is>
          <t>Vivo Pós com Globoplay</t>
        </is>
      </c>
      <c r="G4489" s="5" t="inlineStr">
        <is>
          <t>vivo:VIV202600034575</t>
        </is>
      </c>
      <c r="H4489" s="6" t="n">
        <v>165</v>
      </c>
      <c r="I4489" s="6" t="inlineStr"/>
      <c r="J4489" s="5" t="inlineStr"/>
      <c r="K4489" s="5" t="inlineStr"/>
      <c r="L4489" s="7" t="n">
        <v>60</v>
      </c>
      <c r="M4489" s="5" t="inlineStr">
        <is>
          <t>50 GB de franquia 10 GB de bônus</t>
        </is>
      </c>
      <c r="N4489" s="5" t="inlineStr"/>
      <c r="O4489" s="5" t="inlineStr"/>
      <c r="P4489" s="5" t="inlineStr"/>
      <c r="Q4489" s="5" t="inlineStr"/>
      <c r="R4489" s="5" t="inlineStr">
        <is>
          <t>Globoplay</t>
        </is>
      </c>
      <c r="S4489" s="5" t="inlineStr"/>
      <c r="T4489" s="5" t="inlineStr">
        <is>
          <t>Assinatura Globoplay inclusa</t>
        </is>
      </c>
      <c r="U4489" s="5" t="inlineStr">
        <is>
          <t>https://vivo.com.br/para-voce/produtos-e-servicos/para-o-celular/planos-pos-pago</t>
        </is>
      </c>
      <c r="V4489" s="5" t="inlineStr">
        <is>
          <t>data/raw/vivo_postpaid_SP.html</t>
        </is>
      </c>
    </row>
    <row r="4490">
      <c r="A4490" s="2" t="inlineStr">
        <is>
          <t>2026-09-08</t>
        </is>
      </c>
      <c r="B4490" s="2" t="inlineStr">
        <is>
          <t>2026-09-08T20:09:02</t>
        </is>
      </c>
      <c r="C4490" s="2" t="inlineStr">
        <is>
          <t>vivo</t>
        </is>
      </c>
      <c r="D4490" s="2" t="inlineStr">
        <is>
          <t>postpaid</t>
        </is>
      </c>
      <c r="E4490" s="2" t="inlineStr">
        <is>
          <t>SP</t>
        </is>
      </c>
      <c r="F4490" s="2" t="inlineStr">
        <is>
          <t>Vivo Pós com Netflix</t>
        </is>
      </c>
      <c r="G4490" s="2" t="inlineStr">
        <is>
          <t>vivo:VIV202600034562</t>
        </is>
      </c>
      <c r="H4490" s="3" t="n">
        <v>180</v>
      </c>
      <c r="I4490" s="3" t="inlineStr"/>
      <c r="J4490" s="2" t="inlineStr"/>
      <c r="K4490" s="2" t="inlineStr"/>
      <c r="L4490" s="4" t="n">
        <v>60</v>
      </c>
      <c r="M4490" s="2" t="inlineStr">
        <is>
          <t>50 GB de franquia 10 GB de bônus</t>
        </is>
      </c>
      <c r="N4490" s="2" t="inlineStr"/>
      <c r="O4490" s="2" t="inlineStr"/>
      <c r="P4490" s="2" t="inlineStr"/>
      <c r="Q4490" s="2" t="inlineStr"/>
      <c r="R4490" s="2" t="inlineStr">
        <is>
          <t>Netflix</t>
        </is>
      </c>
      <c r="S4490" s="2" t="inlineStr"/>
      <c r="T4490" s="2" t="inlineStr">
        <is>
          <t>Assinatura Netflix Padrão inclusa</t>
        </is>
      </c>
      <c r="U4490" s="2" t="inlineStr">
        <is>
          <t>https://vivo.com.br/para-voce/produtos-e-servicos/para-o-celular/planos-pos-pago</t>
        </is>
      </c>
      <c r="V4490" s="2" t="inlineStr">
        <is>
          <t>data/raw/vivo_postpaid_SP.html</t>
        </is>
      </c>
    </row>
    <row r="4491">
      <c r="A4491" s="5" t="inlineStr">
        <is>
          <t>2026-09-08</t>
        </is>
      </c>
      <c r="B4491" s="5" t="inlineStr">
        <is>
          <t>2026-09-08T20:09:02</t>
        </is>
      </c>
      <c r="C4491" s="5" t="inlineStr">
        <is>
          <t>vivo</t>
        </is>
      </c>
      <c r="D4491" s="5" t="inlineStr">
        <is>
          <t>postpaid</t>
        </is>
      </c>
      <c r="E4491" s="5" t="inlineStr">
        <is>
          <t>SP</t>
        </is>
      </c>
      <c r="F4491" s="5" t="inlineStr">
        <is>
          <t>Vivo Pós com Premiere</t>
        </is>
      </c>
      <c r="G4491" s="5" t="inlineStr">
        <is>
          <t>vivo:VIV202600034579</t>
        </is>
      </c>
      <c r="H4491" s="6" t="n">
        <v>180</v>
      </c>
      <c r="I4491" s="6" t="inlineStr"/>
      <c r="J4491" s="5" t="inlineStr"/>
      <c r="K4491" s="5" t="inlineStr"/>
      <c r="L4491" s="7" t="n">
        <v>60</v>
      </c>
      <c r="M4491" s="5" t="inlineStr">
        <is>
          <t>50 GB de franquia 10 GB de bônus</t>
        </is>
      </c>
      <c r="N4491" s="5" t="inlineStr"/>
      <c r="O4491" s="5" t="inlineStr"/>
      <c r="P4491" s="5" t="inlineStr"/>
      <c r="Q4491" s="5" t="inlineStr"/>
      <c r="R4491" s="5" t="inlineStr">
        <is>
          <t>Premiere</t>
        </is>
      </c>
      <c r="S4491" s="5" t="inlineStr"/>
      <c r="T4491" s="5" t="inlineStr">
        <is>
          <t>Assinatura Premiere inclusa</t>
        </is>
      </c>
      <c r="U4491" s="5" t="inlineStr">
        <is>
          <t>https://vivo.com.br/para-voce/produtos-e-servicos/para-o-celular/planos-pos-pago</t>
        </is>
      </c>
      <c r="V4491" s="5" t="inlineStr">
        <is>
          <t>data/raw/vivo_postpaid_SP.html</t>
        </is>
      </c>
    </row>
    <row r="4492">
      <c r="A4492" s="2" t="inlineStr">
        <is>
          <t>2026-09-08</t>
        </is>
      </c>
      <c r="B4492" s="2" t="inlineStr">
        <is>
          <t>2026-09-08T20:09:02</t>
        </is>
      </c>
      <c r="C4492" s="2" t="inlineStr">
        <is>
          <t>vivo</t>
        </is>
      </c>
      <c r="D4492" s="2" t="inlineStr">
        <is>
          <t>postpaid</t>
        </is>
      </c>
      <c r="E4492" s="2" t="inlineStr">
        <is>
          <t>SP</t>
        </is>
      </c>
      <c r="F4492" s="2" t="inlineStr">
        <is>
          <t>Vivo Pós com Spotify</t>
        </is>
      </c>
      <c r="G4492" s="2" t="inlineStr">
        <is>
          <t>vivo:VIV202600034556</t>
        </is>
      </c>
      <c r="H4492" s="3" t="n">
        <v>165</v>
      </c>
      <c r="I4492" s="3" t="inlineStr"/>
      <c r="J4492" s="2" t="inlineStr"/>
      <c r="K4492" s="2" t="inlineStr"/>
      <c r="L4492" s="4" t="n">
        <v>60</v>
      </c>
      <c r="M4492" s="2" t="inlineStr">
        <is>
          <t>50 GB de franquia 10 GB de bônus</t>
        </is>
      </c>
      <c r="N4492" s="2" t="inlineStr"/>
      <c r="O4492" s="2" t="inlineStr"/>
      <c r="P4492" s="2" t="inlineStr"/>
      <c r="Q4492" s="2" t="inlineStr"/>
      <c r="R4492" s="2" t="inlineStr">
        <is>
          <t>Spotify</t>
        </is>
      </c>
      <c r="S4492" s="2" t="inlineStr"/>
      <c r="T4492" s="2" t="inlineStr">
        <is>
          <t>Assinatura Spotify Premium inclusa</t>
        </is>
      </c>
      <c r="U4492" s="2" t="inlineStr">
        <is>
          <t>https://vivo.com.br/para-voce/produtos-e-servicos/para-o-celular/planos-pos-pago</t>
        </is>
      </c>
      <c r="V4492" s="2" t="inlineStr">
        <is>
          <t>data/raw/vivo_postpaid_SP.html</t>
        </is>
      </c>
    </row>
    <row r="4493">
      <c r="A4493" s="5" t="inlineStr">
        <is>
          <t>2026-09-08</t>
        </is>
      </c>
      <c r="B4493" s="5" t="inlineStr">
        <is>
          <t>2026-09-08T20:09:02</t>
        </is>
      </c>
      <c r="C4493" s="5" t="inlineStr">
        <is>
          <t>vivo</t>
        </is>
      </c>
      <c r="D4493" s="5" t="inlineStr">
        <is>
          <t>postpaid</t>
        </is>
      </c>
      <c r="E4493" s="5" t="inlineStr">
        <is>
          <t>SP</t>
        </is>
      </c>
      <c r="F4493" s="5" t="inlineStr">
        <is>
          <t>Vivo Pós com Travel</t>
        </is>
      </c>
      <c r="G4493" s="5" t="inlineStr">
        <is>
          <t>vivo:VIV202600034573</t>
        </is>
      </c>
      <c r="H4493" s="6" t="n">
        <v>215</v>
      </c>
      <c r="I4493" s="6" t="inlineStr"/>
      <c r="J4493" s="5" t="inlineStr"/>
      <c r="K4493" s="5" t="inlineStr"/>
      <c r="L4493" s="7" t="n">
        <v>70</v>
      </c>
      <c r="M4493" s="5" t="inlineStr">
        <is>
          <t>60 GB de franquia 10 GB de bônus</t>
        </is>
      </c>
      <c r="N4493" s="5" t="inlineStr"/>
      <c r="O4493" s="5" t="inlineStr"/>
      <c r="P4493" s="5" t="inlineStr"/>
      <c r="Q4493" s="5" t="inlineStr"/>
      <c r="R4493" s="5" t="inlineStr"/>
      <c r="S4493" s="5" t="inlineStr"/>
      <c r="T4493" s="5" t="inlineStr">
        <is>
          <t>6 meses grátis de Gemini com AI Plus</t>
        </is>
      </c>
      <c r="U4493" s="5" t="inlineStr">
        <is>
          <t>https://vivo.com.br/para-voce/produtos-e-servicos/para-o-celular/planos-pos-pago</t>
        </is>
      </c>
      <c r="V4493" s="5" t="inlineStr">
        <is>
          <t>data/raw/vivo_postpaid_SP.html</t>
        </is>
      </c>
    </row>
    <row r="4494">
      <c r="A4494" s="2" t="inlineStr">
        <is>
          <t>2026-09-08</t>
        </is>
      </c>
      <c r="B4494" s="2" t="inlineStr">
        <is>
          <t>2026-09-08T20:09:02</t>
        </is>
      </c>
      <c r="C4494" s="2" t="inlineStr">
        <is>
          <t>vivo</t>
        </is>
      </c>
      <c r="D4494" s="2" t="inlineStr">
        <is>
          <t>prepaid</t>
        </is>
      </c>
      <c r="E4494" s="2" t="inlineStr">
        <is>
          <t>SP</t>
        </is>
      </c>
      <c r="F4494" s="2" t="inlineStr">
        <is>
          <t>Vivo Pré</t>
        </is>
      </c>
      <c r="G4494" s="2" t="inlineStr">
        <is>
          <t>vivo:VIV202600029370-30d</t>
        </is>
      </c>
      <c r="H4494" s="3" t="n">
        <v>30</v>
      </c>
      <c r="I4494" s="3" t="inlineStr"/>
      <c r="J4494" s="2" t="inlineStr"/>
      <c r="K4494" s="2" t="inlineStr"/>
      <c r="L4494" s="4" t="n">
        <v>25</v>
      </c>
      <c r="M4494" s="2" t="inlineStr">
        <is>
          <t>15 GB para navegar como quiser 5 GB de bônus 5 GB para navegar no Youtube</t>
        </is>
      </c>
      <c r="N4494" s="2" t="n">
        <v>30</v>
      </c>
      <c r="O4494" s="2" t="inlineStr"/>
      <c r="P4494" s="2" t="inlineStr"/>
      <c r="Q4494" s="2" t="inlineStr"/>
      <c r="R4494" s="2" t="inlineStr"/>
      <c r="S4494" s="2" t="inlineStr"/>
      <c r="T4494" s="2" t="inlineStr"/>
      <c r="U4494" s="2" t="inlineStr">
        <is>
          <t>https://vivo.com.br/para-voce/produtos-e-servicos/para-o-celular/pre-pago/vivo-pre</t>
        </is>
      </c>
      <c r="V4494" s="2" t="inlineStr">
        <is>
          <t>data/raw/vivo_prepaid_SP.html</t>
        </is>
      </c>
    </row>
    <row r="4495">
      <c r="A4495" s="5" t="inlineStr">
        <is>
          <t>2026-09-08</t>
        </is>
      </c>
      <c r="B4495" s="5" t="inlineStr">
        <is>
          <t>2026-09-08T20:09:02</t>
        </is>
      </c>
      <c r="C4495" s="5" t="inlineStr">
        <is>
          <t>vivo</t>
        </is>
      </c>
      <c r="D4495" s="5" t="inlineStr">
        <is>
          <t>prepaid</t>
        </is>
      </c>
      <c r="E4495" s="5" t="inlineStr">
        <is>
          <t>SP</t>
        </is>
      </c>
      <c r="F4495" s="5" t="inlineStr">
        <is>
          <t>Vivo Pré</t>
        </is>
      </c>
      <c r="G4495" s="5" t="inlineStr">
        <is>
          <t>vivo:VIV202600029370-22d</t>
        </is>
      </c>
      <c r="H4495" s="6" t="n">
        <v>25</v>
      </c>
      <c r="I4495" s="6" t="inlineStr"/>
      <c r="J4495" s="5" t="inlineStr"/>
      <c r="K4495" s="5" t="inlineStr"/>
      <c r="L4495" s="7" t="n">
        <v>9</v>
      </c>
      <c r="M4495" s="5" t="inlineStr">
        <is>
          <t>6 GB para navegar como quiser 3 GB para navegar no YouTube</t>
        </is>
      </c>
      <c r="N4495" s="5" t="n">
        <v>22</v>
      </c>
      <c r="O4495" s="5" t="inlineStr"/>
      <c r="P4495" s="5" t="inlineStr"/>
      <c r="Q4495" s="5" t="inlineStr"/>
      <c r="R4495" s="5" t="inlineStr"/>
      <c r="S4495" s="5" t="inlineStr"/>
      <c r="T4495" s="5" t="inlineStr"/>
      <c r="U4495" s="5" t="inlineStr">
        <is>
          <t>https://vivo.com.br/para-voce/produtos-e-servicos/para-o-celular/pre-pago/vivo-pre</t>
        </is>
      </c>
      <c r="V4495" s="5" t="inlineStr">
        <is>
          <t>data/raw/vivo_prepaid_SP.html</t>
        </is>
      </c>
    </row>
    <row r="4496">
      <c r="A4496" s="2" t="inlineStr">
        <is>
          <t>2026-09-08</t>
        </is>
      </c>
      <c r="B4496" s="2" t="inlineStr">
        <is>
          <t>2026-09-08T20:09:02</t>
        </is>
      </c>
      <c r="C4496" s="2" t="inlineStr">
        <is>
          <t>vivo</t>
        </is>
      </c>
      <c r="D4496" s="2" t="inlineStr">
        <is>
          <t>prepaid</t>
        </is>
      </c>
      <c r="E4496" s="2" t="inlineStr">
        <is>
          <t>SP</t>
        </is>
      </c>
      <c r="F4496" s="2" t="inlineStr">
        <is>
          <t>Vivo Pré</t>
        </is>
      </c>
      <c r="G4496" s="2" t="inlineStr">
        <is>
          <t>vivo:VIV202600029370-17d</t>
        </is>
      </c>
      <c r="H4496" s="3" t="n">
        <v>20</v>
      </c>
      <c r="I4496" s="3" t="inlineStr"/>
      <c r="J4496" s="2" t="inlineStr"/>
      <c r="K4496" s="2" t="inlineStr"/>
      <c r="L4496" s="4" t="n">
        <v>5</v>
      </c>
      <c r="M4496" s="2" t="inlineStr">
        <is>
          <t>5 GB para navegar como quiser</t>
        </is>
      </c>
      <c r="N4496" s="2" t="n">
        <v>17</v>
      </c>
      <c r="O4496" s="2" t="inlineStr"/>
      <c r="P4496" s="2" t="inlineStr"/>
      <c r="Q4496" s="2" t="inlineStr"/>
      <c r="R4496" s="2" t="inlineStr"/>
      <c r="S4496" s="2" t="inlineStr"/>
      <c r="T4496" s="2" t="inlineStr"/>
      <c r="U4496" s="2" t="inlineStr">
        <is>
          <t>https://vivo.com.br/para-voce/produtos-e-servicos/para-o-celular/pre-pago/vivo-pre</t>
        </is>
      </c>
      <c r="V4496" s="2" t="inlineStr">
        <is>
          <t>data/raw/vivo_prepaid_SP.html</t>
        </is>
      </c>
    </row>
    <row r="4497">
      <c r="A4497" s="5" t="inlineStr">
        <is>
          <t>2026-09-08</t>
        </is>
      </c>
      <c r="B4497" s="5" t="inlineStr">
        <is>
          <t>2026-09-08T20:09:02</t>
        </is>
      </c>
      <c r="C4497" s="5" t="inlineStr">
        <is>
          <t>vivo</t>
        </is>
      </c>
      <c r="D4497" s="5" t="inlineStr">
        <is>
          <t>prepaid</t>
        </is>
      </c>
      <c r="E4497" s="5" t="inlineStr">
        <is>
          <t>SP</t>
        </is>
      </c>
      <c r="F4497" s="5" t="inlineStr">
        <is>
          <t>Vivo Pré</t>
        </is>
      </c>
      <c r="G4497" s="5" t="inlineStr">
        <is>
          <t>vivo:VIV202600029370-15d</t>
        </is>
      </c>
      <c r="H4497" s="6" t="n">
        <v>17</v>
      </c>
      <c r="I4497" s="6" t="inlineStr"/>
      <c r="J4497" s="5" t="inlineStr"/>
      <c r="K4497" s="5" t="inlineStr"/>
      <c r="L4497" s="7" t="n">
        <v>4</v>
      </c>
      <c r="M4497" s="5" t="inlineStr">
        <is>
          <t>4 GB para navegar como quiser</t>
        </is>
      </c>
      <c r="N4497" s="5" t="n">
        <v>15</v>
      </c>
      <c r="O4497" s="5" t="inlineStr"/>
      <c r="P4497" s="5" t="inlineStr"/>
      <c r="Q4497" s="5" t="inlineStr"/>
      <c r="R4497" s="5" t="inlineStr"/>
      <c r="S4497" s="5" t="inlineStr"/>
      <c r="T4497" s="5" t="inlineStr"/>
      <c r="U4497" s="5" t="inlineStr">
        <is>
          <t>https://vivo.com.br/para-voce/produtos-e-servicos/para-o-celular/pre-pago/vivo-pre</t>
        </is>
      </c>
      <c r="V4497" s="5" t="inlineStr">
        <is>
          <t>data/raw/vivo_prepaid_SP.html</t>
        </is>
      </c>
    </row>
  </sheetData>
  <autoFilter ref="A1:V449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2026-09-08</t>
        </is>
      </c>
      <c r="B2" s="2" t="inlineStr">
        <is>
          <t>2026-09-08T20:09:02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2026-09-08</t>
        </is>
      </c>
      <c r="B3" s="5" t="inlineStr">
        <is>
          <t>2026-09-08T20:09:02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2026-09-08</t>
        </is>
      </c>
      <c r="B4" s="2" t="inlineStr">
        <is>
          <t>2026-09-08T20:09:02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2026-09-08</t>
        </is>
      </c>
      <c r="B5" s="5" t="inlineStr">
        <is>
          <t>2026-09-08T20:09:02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2026-09-08</t>
        </is>
      </c>
      <c r="B6" s="2" t="inlineStr">
        <is>
          <t>2026-09-08T20:09:02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2026-09-08</t>
        </is>
      </c>
      <c r="B7" s="5" t="inlineStr">
        <is>
          <t>2026-09-08T20:09:02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2026-09-08</t>
        </is>
      </c>
      <c r="B8" s="2" t="inlineStr">
        <is>
          <t>2026-09-08T20:09:02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WhatsApp ilimitado; Assinatura Claro musica inclusa; Roaming: Passaporte Américas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2026-09-08</t>
        </is>
      </c>
      <c r="B9" s="5" t="inlineStr">
        <is>
          <t>2026-09-08T20:09:02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2026-09-08</t>
        </is>
      </c>
      <c r="B10" s="2" t="inlineStr">
        <is>
          <t>2026-09-08T20:09:02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2026-09-08</t>
        </is>
      </c>
      <c r="B11" s="5" t="inlineStr">
        <is>
          <t>2026-09-08T20:09:02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2026-09-08</t>
        </is>
      </c>
      <c r="B12" s="2" t="inlineStr">
        <is>
          <t>2026-09-08T20:09:02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2026-09-08</t>
        </is>
      </c>
      <c r="B13" s="5" t="inlineStr">
        <is>
          <t>2026-09-08T20:09:02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2026-09-08</t>
        </is>
      </c>
      <c r="B14" s="2" t="inlineStr">
        <is>
          <t>2026-09-08T20:09:02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2026-09-08</t>
        </is>
      </c>
      <c r="B15" s="5" t="inlineStr">
        <is>
          <t>2026-09-08T20:09:02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2026-09-08</t>
        </is>
      </c>
      <c r="B16" s="2" t="inlineStr">
        <is>
          <t>2026-09-08T20:09:02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2026-09-08</t>
        </is>
      </c>
      <c r="B17" s="5" t="inlineStr">
        <is>
          <t>2026-09-08T20:09:02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2026-09-08</t>
        </is>
      </c>
      <c r="B18" s="2" t="inlineStr">
        <is>
          <t>2026-09-08T20:09:02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2026-09-08</t>
        </is>
      </c>
      <c r="B19" s="5" t="inlineStr">
        <is>
          <t>2026-09-08T20:09:02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2026-09-08</t>
        </is>
      </c>
      <c r="B20" s="2" t="inlineStr">
        <is>
          <t>2026-09-08T20:09:02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2026-09-08</t>
        </is>
      </c>
      <c r="B21" s="5" t="inlineStr">
        <is>
          <t>2026-09-08T20:09:02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tim:182766</t>
        </is>
      </c>
      <c r="H21" s="6" t="n">
        <v>49.99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2026-09-08</t>
        </is>
      </c>
      <c r="B22" s="2" t="inlineStr">
        <is>
          <t>2026-09-08T20:09:02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2026-09-08</t>
        </is>
      </c>
      <c r="B23" s="5" t="inlineStr">
        <is>
          <t>2026-09-08T20:09:02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tim:180756</t>
        </is>
      </c>
      <c r="H23" s="6" t="n">
        <v>69.98999999999999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2026-09-08</t>
        </is>
      </c>
      <c r="B24" s="2" t="inlineStr">
        <is>
          <t>2026-09-08T20:09:02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2026-09-08</t>
        </is>
      </c>
      <c r="B25" s="5" t="inlineStr">
        <is>
          <t>2026-09-08T20:09:02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tim:167031</t>
        </is>
      </c>
      <c r="H25" s="6" t="n">
        <v>59.99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2026-09-08</t>
        </is>
      </c>
      <c r="B26" s="2" t="inlineStr">
        <is>
          <t>2026-09-08T20:09:02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2.0</t>
        </is>
      </c>
      <c r="G26" s="2" t="inlineStr">
        <is>
          <t>tim:TIM202600000271</t>
        </is>
      </c>
      <c r="H26" s="3" t="n">
        <v>30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35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2026-09-08</t>
        </is>
      </c>
      <c r="B27" s="5" t="inlineStr">
        <is>
          <t>2026-09-08T20:09:02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Mensal 1.0</t>
        </is>
      </c>
      <c r="G27" s="5" t="inlineStr">
        <is>
          <t>tim:TIM202600000270</t>
        </is>
      </c>
      <c r="H27" s="6" t="n">
        <v>20</v>
      </c>
      <c r="I27" s="6" t="inlineStr"/>
      <c r="J27" s="5" t="inlineStr">
        <is>
          <t>plano mensal, sem prazo de permanência; a etiqueta TIM informa 'sem prazo de permanência'; ATENÇÃO: o card exibe R$ 20 mas o modal da oferta informa R$ 35 (registrado o valor do card)</t>
        </is>
      </c>
      <c r="K27" s="5" t="inlineStr"/>
      <c r="L27" s="7" t="n">
        <v>20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2026-09-08</t>
        </is>
      </c>
      <c r="B28" s="2" t="inlineStr">
        <is>
          <t>2026-09-08T20:09:02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2.0</t>
        </is>
      </c>
      <c r="G28" s="2" t="inlineStr">
        <is>
          <t>tim:TIM202600000305</t>
        </is>
      </c>
      <c r="H28" s="3" t="n">
        <v>45</v>
      </c>
      <c r="I28" s="3" t="inlineStr"/>
      <c r="J28" s="2" t="inlineStr">
        <is>
          <t>plano mensal, sem prazo de permanência; a etiqueta TIM informa 'sem prazo de permanência'</t>
        </is>
      </c>
      <c r="K28" s="2" t="inlineStr"/>
      <c r="L28" s="4" t="n">
        <v>35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2026-09-08</t>
        </is>
      </c>
      <c r="B29" s="5" t="inlineStr">
        <is>
          <t>2026-09-08T20:09:02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70GB</t>
        </is>
      </c>
      <c r="G29" s="5" t="inlineStr">
        <is>
          <t>tim:54206</t>
        </is>
      </c>
      <c r="H29" s="6" t="n">
        <v>129.99</v>
      </c>
      <c r="I29" s="6" t="inlineStr"/>
      <c r="J29" s="5" t="inlineStr"/>
      <c r="K29" s="5" t="inlineStr">
        <is>
          <t>bill</t>
        </is>
      </c>
      <c r="L29" s="7" t="n">
        <v>70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2026-09-08</t>
        </is>
      </c>
      <c r="B30" s="2" t="inlineStr">
        <is>
          <t>2026-09-08T20:09:02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A Express 67GB</t>
        </is>
      </c>
      <c r="G30" s="2" t="inlineStr">
        <is>
          <t>tim:55121</t>
        </is>
      </c>
      <c r="H30" s="3" t="n">
        <v>119.99</v>
      </c>
      <c r="I30" s="3" t="inlineStr"/>
      <c r="J30" s="2" t="inlineStr"/>
      <c r="K30" s="2" t="inlineStr">
        <is>
          <t>credit_card</t>
        </is>
      </c>
      <c r="L30" s="4" t="n">
        <v>67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2026-09-08</t>
        </is>
      </c>
      <c r="B31" s="5" t="inlineStr">
        <is>
          <t>2026-09-08T20:09:02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B Express 82GB</t>
        </is>
      </c>
      <c r="G31" s="5" t="inlineStr">
        <is>
          <t>tim:52146</t>
        </is>
      </c>
      <c r="H31" s="6" t="n">
        <v>144.99</v>
      </c>
      <c r="I31" s="6" t="inlineStr"/>
      <c r="J31" s="5" t="inlineStr"/>
      <c r="K31" s="5" t="inlineStr">
        <is>
          <t>credit_card</t>
        </is>
      </c>
      <c r="L31" s="7" t="n">
        <v>82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2026-09-08</t>
        </is>
      </c>
      <c r="B32" s="2" t="inlineStr">
        <is>
          <t>2026-09-08T20:09:02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Express 107GB</t>
        </is>
      </c>
      <c r="G32" s="2" t="inlineStr">
        <is>
          <t>tim:52151</t>
        </is>
      </c>
      <c r="H32" s="3" t="n">
        <v>164.99</v>
      </c>
      <c r="I32" s="3" t="inlineStr"/>
      <c r="J32" s="2" t="inlineStr"/>
      <c r="K32" s="2" t="inlineStr">
        <is>
          <t>credit_card</t>
        </is>
      </c>
      <c r="L32" s="4" t="n">
        <v>107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2026-09-08</t>
        </is>
      </c>
      <c r="B33" s="5" t="inlineStr">
        <is>
          <t>2026-09-08T20:09:02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2026-09-08</t>
        </is>
      </c>
      <c r="B34" s="2" t="inlineStr">
        <is>
          <t>2026-09-08T20:09:02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2026-09-08</t>
        </is>
      </c>
      <c r="B35" s="5" t="inlineStr">
        <is>
          <t>2026-09-08T20:09:02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2026-09-08</t>
        </is>
      </c>
      <c r="B36" s="2" t="inlineStr">
        <is>
          <t>2026-09-08T20:09:02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2026-09-08</t>
        </is>
      </c>
      <c r="B37" s="5" t="inlineStr">
        <is>
          <t>2026-09-08T20:09:02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2026-09-08</t>
        </is>
      </c>
      <c r="B38" s="2" t="inlineStr">
        <is>
          <t>2026-09-08T20:09:02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vivo:VIV202600034591</t>
        </is>
      </c>
      <c r="H38" s="3" t="n">
        <v>59</v>
      </c>
      <c r="I38" s="3" t="inlineStr"/>
      <c r="J38" s="2" t="inlineStr"/>
      <c r="K38" s="2" t="inlineStr"/>
      <c r="L38" s="4" t="n">
        <v>45</v>
      </c>
      <c r="M38" s="2" t="inlineStr">
        <is>
          <t>15 GB de franquia 30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6 meses grátis de Gemini com AI Plus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2026-09-08</t>
        </is>
      </c>
      <c r="B39" s="5" t="inlineStr">
        <is>
          <t>2026-09-08T20:09:02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vivo:VIV202600034599</t>
        </is>
      </c>
      <c r="H39" s="6" t="n">
        <v>75</v>
      </c>
      <c r="I39" s="6" t="inlineStr"/>
      <c r="J39" s="5" t="inlineStr"/>
      <c r="K39" s="5" t="inlineStr"/>
      <c r="L39" s="7" t="n">
        <v>50</v>
      </c>
      <c r="M39" s="5" t="inlineStr">
        <is>
          <t>20 GB de franquia 30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6 meses grátis de Gemini com AI Plus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2026-09-08</t>
        </is>
      </c>
      <c r="B40" s="2" t="inlineStr">
        <is>
          <t>2026-09-08T20:09:02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Amazon</t>
        </is>
      </c>
      <c r="G40" s="2" t="inlineStr">
        <is>
          <t>vivo:VIV202600038804</t>
        </is>
      </c>
      <c r="H40" s="3" t="n">
        <v>70</v>
      </c>
      <c r="I40" s="3" t="inlineStr"/>
      <c r="J40" s="2" t="inlineStr"/>
      <c r="K40" s="2" t="inlineStr"/>
      <c r="L40" s="4" t="n">
        <v>48</v>
      </c>
      <c r="M40" s="2" t="inlineStr">
        <is>
          <t>18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Amazon Prime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2026-09-08</t>
        </is>
      </c>
      <c r="B41" s="5" t="inlineStr">
        <is>
          <t>2026-09-08T20:09:02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Educação</t>
        </is>
      </c>
      <c r="G41" s="5" t="inlineStr">
        <is>
          <t>vivo:VIV202600034616</t>
        </is>
      </c>
      <c r="H41" s="6" t="n">
        <v>85</v>
      </c>
      <c r="I41" s="6" t="inlineStr"/>
      <c r="J41" s="5" t="inlineStr"/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Vivae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2026-09-08</t>
        </is>
      </c>
      <c r="B42" s="2" t="inlineStr">
        <is>
          <t>2026-09-08T20:09:02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Entretenimento</t>
        </is>
      </c>
      <c r="G42" s="2" t="inlineStr">
        <is>
          <t>vivo:VIV202600034619</t>
        </is>
      </c>
      <c r="H42" s="3" t="n">
        <v>105</v>
      </c>
      <c r="I42" s="3" t="inlineStr"/>
      <c r="J42" s="2" t="inlineStr"/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Vivo TV Inicial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2026-09-08</t>
        </is>
      </c>
      <c r="B43" s="5" t="inlineStr">
        <is>
          <t>2026-09-08T20:09:02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Música</t>
        </is>
      </c>
      <c r="G43" s="5" t="inlineStr">
        <is>
          <t>vivo:VIV202600034620</t>
        </is>
      </c>
      <c r="H43" s="6" t="n">
        <v>85</v>
      </c>
      <c r="I43" s="6" t="inlineStr"/>
      <c r="J43" s="5" t="inlineStr"/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Apple Music Individual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2026-09-08</t>
        </is>
      </c>
      <c r="B44" s="2" t="inlineStr">
        <is>
          <t>2026-09-08T20:09:02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Netflix</t>
        </is>
      </c>
      <c r="G44" s="2" t="inlineStr">
        <is>
          <t>vivo:VIV202600034623</t>
        </is>
      </c>
      <c r="H44" s="3" t="n">
        <v>90</v>
      </c>
      <c r="I44" s="3" t="inlineStr"/>
      <c r="J44" s="2" t="inlineStr"/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Netflix Padrão com anúncios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2026-09-08</t>
        </is>
      </c>
      <c r="B45" s="5" t="inlineStr">
        <is>
          <t>2026-09-08T20:09:02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Saúde</t>
        </is>
      </c>
      <c r="G45" s="5" t="inlineStr">
        <is>
          <t>vivo:VIV202600034625</t>
        </is>
      </c>
      <c r="H45" s="6" t="n">
        <v>85</v>
      </c>
      <c r="I45" s="6" t="inlineStr"/>
      <c r="J45" s="5" t="inlineStr"/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Vale Saúde Sempre inclusa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2026-09-08</t>
        </is>
      </c>
      <c r="B46" s="2" t="inlineStr">
        <is>
          <t>2026-09-08T20:09:02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Youtube Lite</t>
        </is>
      </c>
      <c r="G46" s="2" t="inlineStr">
        <is>
          <t>vivo:VIV202600034626</t>
        </is>
      </c>
      <c r="H46" s="3" t="n">
        <v>85</v>
      </c>
      <c r="I46" s="3" t="inlineStr"/>
      <c r="J46" s="2" t="inlineStr"/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Youtube Premium Lite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2026-09-08</t>
        </is>
      </c>
      <c r="B47" s="5" t="inlineStr">
        <is>
          <t>2026-09-08T20:09:02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Vivo Lite</t>
        </is>
      </c>
      <c r="G47" s="5" t="inlineStr">
        <is>
          <t>vivo:VIV202600038808</t>
        </is>
      </c>
      <c r="H47" s="6" t="n">
        <v>45</v>
      </c>
      <c r="I47" s="6" t="n">
        <v>30</v>
      </c>
      <c r="J47" s="5" t="inlineStr">
        <is>
          <t>preço sem fidelidade; fidelidade 12m no promo</t>
        </is>
      </c>
      <c r="K47" s="5" t="inlineStr"/>
      <c r="L47" s="7" t="n">
        <v>30</v>
      </c>
      <c r="M47" s="5" t="inlineStr">
        <is>
          <t>30 GB de franquia</t>
        </is>
      </c>
      <c r="N47" s="5" t="inlineStr"/>
      <c r="O47" s="5" t="inlineStr"/>
      <c r="P47" s="5" t="inlineStr"/>
      <c r="Q47" s="5" t="inlineStr"/>
      <c r="R47" s="5" t="inlineStr"/>
      <c r="S47" s="5" t="n">
        <v>12</v>
      </c>
      <c r="T47" s="5" t="inlineStr"/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2026-09-08</t>
        </is>
      </c>
      <c r="B48" s="2" t="inlineStr">
        <is>
          <t>2026-09-08T20:09:02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vivo:VIV202600038810</t>
        </is>
      </c>
      <c r="H48" s="3" t="n">
        <v>55</v>
      </c>
      <c r="I48" s="3" t="n">
        <v>40</v>
      </c>
      <c r="J48" s="2" t="inlineStr">
        <is>
          <t>preço sem fidelidade; fidelidade 12m no promo</t>
        </is>
      </c>
      <c r="K48" s="2" t="inlineStr"/>
      <c r="L48" s="4" t="n">
        <v>40</v>
      </c>
      <c r="M48" s="2" t="inlineStr">
        <is>
          <t>40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/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2026-09-08</t>
        </is>
      </c>
      <c r="B49" s="5" t="inlineStr">
        <is>
          <t>2026-09-08T20:09:02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vivo:VIV202600038814</t>
        </is>
      </c>
      <c r="H49" s="6" t="n">
        <v>35</v>
      </c>
      <c r="I49" s="6" t="inlineStr"/>
      <c r="J49" s="5" t="inlineStr"/>
      <c r="K49" s="5" t="inlineStr"/>
      <c r="L49" s="7" t="n">
        <v>20</v>
      </c>
      <c r="M49" s="5" t="inlineStr">
        <is>
          <t>20 GB de franquia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2026-09-08</t>
        </is>
      </c>
      <c r="B50" s="2" t="inlineStr">
        <is>
          <t>2026-09-08T20:09:02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Família 2</t>
        </is>
      </c>
      <c r="G50" s="2" t="inlineStr">
        <is>
          <t>vivo:VIV202600034547</t>
        </is>
      </c>
      <c r="H50" s="3" t="n">
        <v>270</v>
      </c>
      <c r="I50" s="3" t="inlineStr"/>
      <c r="J50" s="2" t="inlineStr"/>
      <c r="K50" s="2" t="inlineStr"/>
      <c r="L50" s="4" t="n">
        <v>120</v>
      </c>
      <c r="M50" s="2" t="inlineStr">
        <is>
          <t>120 GB de franquia Você + 1 linha adicional Roaming Internacional com Vivo Travel Américas e Europa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12 meses grátis de Gemini com AI Plus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2026-09-08</t>
        </is>
      </c>
      <c r="B51" s="5" t="inlineStr">
        <is>
          <t>2026-09-08T20:09:02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3</t>
        </is>
      </c>
      <c r="G51" s="5" t="inlineStr">
        <is>
          <t>vivo:VIV202600034540</t>
        </is>
      </c>
      <c r="H51" s="6" t="n">
        <v>340</v>
      </c>
      <c r="I51" s="6" t="inlineStr"/>
      <c r="J51" s="5" t="inlineStr"/>
      <c r="K51" s="5" t="inlineStr"/>
      <c r="L51" s="7" t="n">
        <v>180</v>
      </c>
      <c r="M51" s="5" t="inlineStr">
        <is>
          <t>180 GB de franquia Você + 2 linhas adicionais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12 meses grátis de Gemini com AI Plus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2026-09-08</t>
        </is>
      </c>
      <c r="B52" s="2" t="inlineStr">
        <is>
          <t>2026-09-08T20:09:02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4</t>
        </is>
      </c>
      <c r="G52" s="2" t="inlineStr">
        <is>
          <t>vivo:VIV202600034531</t>
        </is>
      </c>
      <c r="H52" s="3" t="n">
        <v>430</v>
      </c>
      <c r="I52" s="3" t="inlineStr"/>
      <c r="J52" s="2" t="inlineStr"/>
      <c r="K52" s="2" t="inlineStr"/>
      <c r="L52" s="4" t="n">
        <v>240</v>
      </c>
      <c r="M52" s="2" t="inlineStr">
        <is>
          <t>240 GB de franquia Você + 3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12 meses grátis de Gemini com AI Plus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2026-09-08</t>
        </is>
      </c>
      <c r="B53" s="5" t="inlineStr">
        <is>
          <t>2026-09-08T20:09:02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5</t>
        </is>
      </c>
      <c r="G53" s="5" t="inlineStr">
        <is>
          <t>vivo:VIV202600034526</t>
        </is>
      </c>
      <c r="H53" s="6" t="n">
        <v>530</v>
      </c>
      <c r="I53" s="6" t="inlineStr"/>
      <c r="J53" s="5" t="inlineStr"/>
      <c r="K53" s="5" t="inlineStr"/>
      <c r="L53" s="7" t="n">
        <v>300</v>
      </c>
      <c r="M53" s="5" t="inlineStr">
        <is>
          <t>300 GB de franquia Você + 4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12 meses grátis de Gemini com AI Plus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2026-09-08</t>
        </is>
      </c>
      <c r="B54" s="2" t="inlineStr">
        <is>
          <t>2026-09-08T20:09:02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Amazon</t>
        </is>
      </c>
      <c r="G54" s="2" t="inlineStr">
        <is>
          <t>vivo:VIV202600034554</t>
        </is>
      </c>
      <c r="H54" s="3" t="n">
        <v>150</v>
      </c>
      <c r="I54" s="3" t="inlineStr"/>
      <c r="J54" s="2" t="inlineStr"/>
      <c r="K54" s="2" t="inlineStr"/>
      <c r="L54" s="4" t="n">
        <v>60</v>
      </c>
      <c r="M54" s="2" t="inlineStr">
        <is>
          <t>50 GB de franquia 10 GB de bônus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Assinatura Amazon Prime inclusa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2026-09-08</t>
        </is>
      </c>
      <c r="B55" s="5" t="inlineStr">
        <is>
          <t>2026-09-08T20:09:02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Disney+</t>
        </is>
      </c>
      <c r="G55" s="5" t="inlineStr">
        <is>
          <t>vivo:VIV202600034532</t>
        </is>
      </c>
      <c r="H55" s="6" t="n">
        <v>180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>
        <is>
          <t>Disney+</t>
        </is>
      </c>
      <c r="S55" s="5" t="inlineStr"/>
      <c r="T55" s="5" t="inlineStr">
        <is>
          <t>Assinatura Disney+ Padrão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2026-09-08</t>
        </is>
      </c>
      <c r="B56" s="2" t="inlineStr">
        <is>
          <t>2026-09-08T20:09:02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Globoplay</t>
        </is>
      </c>
      <c r="G56" s="2" t="inlineStr">
        <is>
          <t>vivo:VIV202600034575</t>
        </is>
      </c>
      <c r="H56" s="3" t="n">
        <v>165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Globoplay</t>
        </is>
      </c>
      <c r="S56" s="2" t="inlineStr"/>
      <c r="T56" s="2" t="inlineStr">
        <is>
          <t>Assinatura Globoplay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2026-09-08</t>
        </is>
      </c>
      <c r="B57" s="5" t="inlineStr">
        <is>
          <t>2026-09-08T20:09:02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Netflix</t>
        </is>
      </c>
      <c r="G57" s="5" t="inlineStr">
        <is>
          <t>vivo:VIV202600034562</t>
        </is>
      </c>
      <c r="H57" s="6" t="n">
        <v>180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Netflix</t>
        </is>
      </c>
      <c r="S57" s="5" t="inlineStr"/>
      <c r="T57" s="5" t="inlineStr">
        <is>
          <t>Assinatura Netflix Padrão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2026-09-08</t>
        </is>
      </c>
      <c r="B58" s="2" t="inlineStr">
        <is>
          <t>2026-09-08T20:09:02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Premiere</t>
        </is>
      </c>
      <c r="G58" s="2" t="inlineStr">
        <is>
          <t>vivo:VIV202600034579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Premiere</t>
        </is>
      </c>
      <c r="S58" s="2" t="inlineStr"/>
      <c r="T58" s="2" t="inlineStr">
        <is>
          <t>Assinatura Premiere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2026-09-08</t>
        </is>
      </c>
      <c r="B59" s="5" t="inlineStr">
        <is>
          <t>2026-09-08T20:09:02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Spotify</t>
        </is>
      </c>
      <c r="G59" s="5" t="inlineStr">
        <is>
          <t>vivo:VIV202600034556</t>
        </is>
      </c>
      <c r="H59" s="6" t="n">
        <v>165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Spotify</t>
        </is>
      </c>
      <c r="S59" s="5" t="inlineStr"/>
      <c r="T59" s="5" t="inlineStr">
        <is>
          <t>Assinatura Spotify Premium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2026-09-08</t>
        </is>
      </c>
      <c r="B60" s="2" t="inlineStr">
        <is>
          <t>2026-09-08T20:09:02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Travel</t>
        </is>
      </c>
      <c r="G60" s="2" t="inlineStr">
        <is>
          <t>vivo:VIV202600034573</t>
        </is>
      </c>
      <c r="H60" s="3" t="n">
        <v>215</v>
      </c>
      <c r="I60" s="3" t="inlineStr"/>
      <c r="J60" s="2" t="inlineStr"/>
      <c r="K60" s="2" t="inlineStr"/>
      <c r="L60" s="4" t="n">
        <v>70</v>
      </c>
      <c r="M60" s="2" t="inlineStr">
        <is>
          <t>60 GB de franquia 10 GB de bônus</t>
        </is>
      </c>
      <c r="N60" s="2" t="inlineStr"/>
      <c r="O60" s="2" t="inlineStr"/>
      <c r="P60" s="2" t="inlineStr"/>
      <c r="Q60" s="2" t="inlineStr"/>
      <c r="R60" s="2" t="inlineStr"/>
      <c r="S60" s="2" t="inlineStr"/>
      <c r="T60" s="2" t="inlineStr">
        <is>
          <t>6 meses grátis de Gemini com AI Plus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2026-09-08</t>
        </is>
      </c>
      <c r="B61" s="5" t="inlineStr">
        <is>
          <t>2026-09-08T20:09:02</t>
        </is>
      </c>
      <c r="C61" s="5" t="inlineStr">
        <is>
          <t>vivo</t>
        </is>
      </c>
      <c r="D61" s="5" t="inlineStr">
        <is>
          <t>prepaid</t>
        </is>
      </c>
      <c r="E61" s="5" t="inlineStr">
        <is>
          <t>SP</t>
        </is>
      </c>
      <c r="F61" s="5" t="inlineStr">
        <is>
          <t>Vivo Pré</t>
        </is>
      </c>
      <c r="G61" s="5" t="inlineStr">
        <is>
          <t>vivo:VIV202600029370-30d</t>
        </is>
      </c>
      <c r="H61" s="6" t="n">
        <v>30</v>
      </c>
      <c r="I61" s="6" t="inlineStr"/>
      <c r="J61" s="5" t="inlineStr"/>
      <c r="K61" s="5" t="inlineStr"/>
      <c r="L61" s="7" t="n">
        <v>25</v>
      </c>
      <c r="M61" s="5" t="inlineStr">
        <is>
          <t>15 GB para navegar como quiser 5 GB de bônus 5 GB para navegar no Youtube</t>
        </is>
      </c>
      <c r="N61" s="5" t="n">
        <v>30</v>
      </c>
      <c r="O61" s="5" t="inlineStr"/>
      <c r="P61" s="5" t="inlineStr"/>
      <c r="Q61" s="5" t="inlineStr"/>
      <c r="R61" s="5" t="inlineStr"/>
      <c r="S61" s="5" t="inlineStr"/>
      <c r="T61" s="5" t="inlineStr"/>
      <c r="U61" s="5" t="inlineStr">
        <is>
          <t>https://vivo.com.br/para-voce/produtos-e-servicos/para-o-celular/pre-pago/vivo-pre</t>
        </is>
      </c>
      <c r="V61" s="5" t="inlineStr">
        <is>
          <t>data/raw/vivo_prepaid_SP.html</t>
        </is>
      </c>
    </row>
    <row r="62">
      <c r="A62" s="2" t="inlineStr">
        <is>
          <t>2026-09-08</t>
        </is>
      </c>
      <c r="B62" s="2" t="inlineStr">
        <is>
          <t>2026-09-08T20:09:02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vivo:VIV202600029370-22d</t>
        </is>
      </c>
      <c r="H62" s="3" t="n">
        <v>25</v>
      </c>
      <c r="I62" s="3" t="inlineStr"/>
      <c r="J62" s="2" t="inlineStr"/>
      <c r="K62" s="2" t="inlineStr"/>
      <c r="L62" s="4" t="n">
        <v>9</v>
      </c>
      <c r="M62" s="2" t="inlineStr">
        <is>
          <t>6 GB para navegar como quiser 3 GB para navegar no YouTube</t>
        </is>
      </c>
      <c r="N62" s="2" t="n">
        <v>22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2026-09-08</t>
        </is>
      </c>
      <c r="B63" s="5" t="inlineStr">
        <is>
          <t>2026-09-08T20:09:02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vivo:VIV202600029370-17d</t>
        </is>
      </c>
      <c r="H63" s="6" t="n">
        <v>20</v>
      </c>
      <c r="I63" s="6" t="inlineStr"/>
      <c r="J63" s="5" t="inlineStr"/>
      <c r="K63" s="5" t="inlineStr"/>
      <c r="L63" s="7" t="n">
        <v>5</v>
      </c>
      <c r="M63" s="5" t="inlineStr">
        <is>
          <t>5 GB para navegar como quiser</t>
        </is>
      </c>
      <c r="N63" s="5" t="n">
        <v>17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2026-09-08</t>
        </is>
      </c>
      <c r="B64" s="2" t="inlineStr">
        <is>
          <t>2026-09-08T20:09:02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vivo:VIV202600029370-15d</t>
        </is>
      </c>
      <c r="H64" s="3" t="n">
        <v>17</v>
      </c>
      <c r="I64" s="3" t="inlineStr"/>
      <c r="J64" s="2" t="inlineStr"/>
      <c r="K64" s="2" t="inlineStr"/>
      <c r="L64" s="4" t="n">
        <v>4</v>
      </c>
      <c r="M64" s="2" t="inlineStr">
        <is>
          <t>4 GB para navegar como quiser</t>
        </is>
      </c>
      <c r="N64" s="2" t="n">
        <v>15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</sheetData>
  <autoFilter ref="A1:V64"/>
  <conditionalFormatting sqref="H2:H6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4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removed</t>
        </is>
      </c>
      <c r="B2" s="2" t="inlineStr">
        <is>
          <t>tim</t>
        </is>
      </c>
      <c r="C2" s="2" t="inlineStr">
        <is>
          <t>fit</t>
        </is>
      </c>
      <c r="D2" s="2" t="inlineStr">
        <is>
          <t>SP</t>
        </is>
      </c>
      <c r="E2" s="2" t="inlineStr">
        <is>
          <t>tim:TIM202600000306</t>
        </is>
      </c>
      <c r="F2" s="2" t="inlineStr">
        <is>
          <t>TIM Controle Fit Anual 1.0</t>
        </is>
      </c>
      <c r="G2" s="3" t="n">
        <v>20</v>
      </c>
      <c r="H2" s="3" t="inlineStr"/>
      <c r="I2" s="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2026-09-08T20:09:02</t>
        </is>
      </c>
    </row>
    <row r="4">
      <c r="A4" s="9" t="inlineStr">
        <is>
          <t>Latest snapshot</t>
        </is>
      </c>
      <c r="B4" s="2" t="inlineStr">
        <is>
          <t>2026-09-08</t>
        </is>
      </c>
    </row>
    <row r="5">
      <c r="A5" s="9" t="inlineStr">
        <is>
          <t>Plans in latest</t>
        </is>
      </c>
      <c r="B5" s="2" t="n">
        <v>63</v>
      </c>
    </row>
    <row r="6">
      <c r="A6" s="9" t="inlineStr">
        <is>
          <t>Snapshots in history</t>
        </is>
      </c>
      <c r="B6" s="2" t="n">
        <v>76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27</v>
      </c>
      <c r="C9" s="10">
        <f>IFERROR(_xlfn.MINIFS(latest!$H$2:$H$2000,latest!$C$2:$C$2000,$A$9),"-")</f>
        <v>17</v>
      </c>
      <c r="D9" s="10">
        <f>IFERROR(AVERAGEIFS(latest!$H$2:$H$2000,latest!$C$2:$C$2000,$A$9),"-")</f>
        <v>139.67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79.17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81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2">
      <c r="A62" s="12" t="n">
        <v>46257</v>
      </c>
      <c r="B62" s="3">
        <f>IFERROR(IF(_xlfn.MINIFS(history!$H:$H,history!$C:$C,"tim",history!$D:$D,"control",history!$A:$A,YEAR($A62)&amp;"-"&amp;TEXT(MONTH($A62),"00")&amp;"-"&amp;TEXT(DAY($A62),"00"))=0,"",_xlfn.MINIFS(history!$H:$H,history!$C:$C,"tim",history!$D:$D,"control",history!$A:$A,YEAR($A62)&amp;"-"&amp;TEXT(MONTH($A62),"00")&amp;"-"&amp;TEXT(DAY($A62),"00"))),"")</f>
        <v>58.99</v>
      </c>
      <c r="C62" s="3">
        <f>IFERROR(IF(_xlfn.MINIFS(history!$H:$H,history!$C:$C,"vivo",history!$D:$D,"control",history!$A:$A,YEAR($A62)&amp;"-"&amp;TEXT(MONTH($A62),"00")&amp;"-"&amp;TEXT(DAY($A62),"00"))=0,"",_xlfn.MINIFS(history!$H:$H,history!$C:$C,"vivo",history!$D:$D,"control",history!$A:$A,YEAR($A62)&amp;"-"&amp;TEXT(MONTH($A62),"00")&amp;"-"&amp;TEXT(DAY($A62),"00"))),"")</f>
        <v>59</v>
      </c>
      <c r="D62" s="3">
        <f>IFERROR(IF(_xlfn.MINIFS(history!$H:$H,history!$C:$C,"claro",history!$D:$D,"control",history!$A:$A,YEAR($A62)&amp;"-"&amp;TEXT(MONTH($A62),"00")&amp;"-"&amp;TEXT(DAY($A62),"00"))=0,"",_xlfn.MINIFS(history!$H:$H,history!$C:$C,"claro",history!$D:$D,"control",history!$A:$A,YEAR($A62)&amp;"-"&amp;TEXT(MONTH($A62),"00")&amp;"-"&amp;TEXT(DAY($A62),"00"))),"")</f>
        <v>59.9</v>
      </c>
      <c r="E62" s="3">
        <f>IFERROR(IF(_xlfn.MINIFS(history!$H:$H,history!$C:$C,"tim",history!$D:$D,"postpaid",history!$A:$A,YEAR($A62)&amp;"-"&amp;TEXT(MONTH($A62),"00")&amp;"-"&amp;TEXT(DAY($A62),"00"))=0,"",_xlfn.MINIFS(history!$H:$H,history!$C:$C,"tim",history!$D:$D,"postpaid",history!$A:$A,YEAR($A62)&amp;"-"&amp;TEXT(MONTH($A62),"00")&amp;"-"&amp;TEXT(DAY($A62),"00"))),"")</f>
        <v>119.99</v>
      </c>
      <c r="F62" s="3">
        <f>IFERROR(IF(_xlfn.MINIFS(history!$H:$H,history!$C:$C,"vivo",history!$D:$D,"postpaid",history!$A:$A,YEAR($A62)&amp;"-"&amp;TEXT(MONTH($A62),"00")&amp;"-"&amp;TEXT(DAY($A62),"00"))=0,"",_xlfn.MINIFS(history!$H:$H,history!$C:$C,"vivo",history!$D:$D,"postpaid",history!$A:$A,YEAR($A62)&amp;"-"&amp;TEXT(MONTH($A62),"00")&amp;"-"&amp;TEXT(DAY($A62),"00"))),"")</f>
        <v>150</v>
      </c>
      <c r="G62" s="3">
        <f>IFERROR(IF(_xlfn.MINIFS(history!$H:$H,history!$C:$C,"claro",history!$D:$D,"postpaid",history!$A:$A,YEAR($A62)&amp;"-"&amp;TEXT(MONTH($A62),"00")&amp;"-"&amp;TEXT(DAY($A62),"00"))=0,"",_xlfn.MINIFS(history!$H:$H,history!$C:$C,"claro",history!$D:$D,"postpaid",history!$A:$A,YEAR($A62)&amp;"-"&amp;TEXT(MONTH($A62),"00")&amp;"-"&amp;TEXT(DAY($A62),"00"))),"")</f>
        <v>124.9</v>
      </c>
      <c r="H62" s="3">
        <f>IFERROR(IF(_xlfn.MINIFS(history!$H:$H,history!$C:$C,"tim",history!$D:$D,"prepaid",history!$A:$A,YEAR($A62)&amp;"-"&amp;TEXT(MONTH($A62),"00")&amp;"-"&amp;TEXT(DAY($A62),"00"),history!$N:$N,"&gt;=28")=0,"",_xlfn.MINIFS(history!$H:$H,history!$C:$C,"tim",history!$D:$D,"prepaid",history!$A:$A,YEAR($A62)&amp;"-"&amp;TEXT(MONTH($A62),"00")&amp;"-"&amp;TEXT(DAY($A62),"00"),history!$N:$N,"&gt;=28")),"")</f>
        <v>30</v>
      </c>
      <c r="I62" s="3">
        <f>IFERROR(IF(_xlfn.MINIFS(history!$H:$H,history!$C:$C,"vivo",history!$D:$D,"prepaid",history!$A:$A,YEAR($A62)&amp;"-"&amp;TEXT(MONTH($A62),"00")&amp;"-"&amp;TEXT(DAY($A62),"00"),history!$N:$N,"&gt;=28")=0,"",_xlfn.MINIFS(history!$H:$H,history!$C:$C,"vivo",history!$D:$D,"prepaid",history!$A:$A,YEAR($A62)&amp;"-"&amp;TEXT(MONTH($A62),"00")&amp;"-"&amp;TEXT(DAY($A62),"00"),history!$N:$N,"&gt;=28")),"")</f>
        <v>30</v>
      </c>
      <c r="J62" s="3">
        <f>IFERROR(IF(_xlfn.MINIFS(history!$H:$H,history!$C:$C,"claro",history!$D:$D,"prepaid",history!$A:$A,YEAR($A62)&amp;"-"&amp;TEXT(MONTH($A62),"00")&amp;"-"&amp;TEXT(DAY($A62),"00"),history!$N:$N,"&gt;=28")=0,"",_xlfn.MINIFS(history!$H:$H,history!$C:$C,"claro",history!$D:$D,"prepaid",history!$A:$A,YEAR($A62)&amp;"-"&amp;TEXT(MONTH($A62),"00")&amp;"-"&amp;TEXT(DAY($A62),"00"),history!$N:$N,"&gt;=28")),"")</f>
        <v>30</v>
      </c>
      <c r="K62" s="3">
        <f>IFERROR(1/MAX(IFERROR(1/_xlfn.MINIFS(history!$H:$H,history!$C:$C,"tim",history!$D:$D,"lite",history!$A:$A,YEAR($A62)&amp;"-"&amp;TEXT(MONTH($A62),"00")&amp;"-"&amp;TEXT(DAY($A62),"00"),history!$S:$S,"&gt;0"),0),IFERROR(1/_xlfn.MINIFS(history!$H:$H,history!$C:$C,"tim",history!$D:$D,"flex",history!$A:$A,YEAR($A62)&amp;"-"&amp;TEXT(MONTH($A62),"00")&amp;"-"&amp;TEXT(DAY($A62),"00")),0),IFERROR(1/_xlfn.MINIFS(history!$H:$H,history!$C:$C,"tim",history!$D:$D,"fit",history!$A:$A,YEAR($A62)&amp;"-"&amp;TEXT(MONTH($A62),"00")&amp;"-"&amp;TEXT(DAY($A62),"00"),history!$S:$S,"="),0)),"")</f>
        <v>20</v>
      </c>
      <c r="L62" s="3">
        <f>IFERROR(1/MAX(IFERROR(1/_xlfn.MINIFS(history!$H:$H,history!$C:$C,"vivo",history!$D:$D,"lite",history!$A:$A,YEAR($A62)&amp;"-"&amp;TEXT(MONTH($A62),"00")&amp;"-"&amp;TEXT(DAY($A62),"00"),history!$S:$S,"&gt;0"),0),IFERROR(1/_xlfn.MINIFS(history!$H:$H,history!$C:$C,"vivo",history!$D:$D,"flex",history!$A:$A,YEAR($A62)&amp;"-"&amp;TEXT(MONTH($A62),"00")&amp;"-"&amp;TEXT(DAY($A62),"00")),0),IFERROR(1/_xlfn.MINIFS(history!$H:$H,history!$C:$C,"vivo",history!$D:$D,"fit",history!$A:$A,YEAR($A62)&amp;"-"&amp;TEXT(MONTH($A62),"00")&amp;"-"&amp;TEXT(DAY($A62),"00"),history!$S:$S,"="),0)),"")</f>
        <v>45</v>
      </c>
      <c r="M62" s="3">
        <f>IFERROR(1/MAX(IFERROR(1/_xlfn.MINIFS(history!$H:$H,history!$C:$C,"claro",history!$D:$D,"lite",history!$A:$A,YEAR($A62)&amp;"-"&amp;TEXT(MONTH($A62),"00")&amp;"-"&amp;TEXT(DAY($A62),"00"),history!$S:$S,"&gt;0"),0),IFERROR(1/_xlfn.MINIFS(history!$H:$H,history!$C:$C,"claro",history!$D:$D,"flex",history!$A:$A,YEAR($A62)&amp;"-"&amp;TEXT(MONTH($A62),"00")&amp;"-"&amp;TEXT(DAY($A62),"00")),0),IFERROR(1/_xlfn.MINIFS(history!$H:$H,history!$C:$C,"claro",history!$D:$D,"fit",history!$A:$A,YEAR($A62)&amp;"-"&amp;TEXT(MONTH($A62),"00")&amp;"-"&amp;TEXT(DAY($A62),"00"),history!$S:$S,"="),0)),"")</f>
        <v>44.9</v>
      </c>
    </row>
    <row r="63">
      <c r="A63" s="12" t="n">
        <v>46258</v>
      </c>
      <c r="B63" s="3">
        <f>IFERROR(IF(_xlfn.MINIFS(history!$H:$H,history!$C:$C,"tim",history!$D:$D,"control",history!$A:$A,YEAR($A63)&amp;"-"&amp;TEXT(MONTH($A63),"00")&amp;"-"&amp;TEXT(DAY($A63),"00"))=0,"",_xlfn.MINIFS(history!$H:$H,history!$C:$C,"tim",history!$D:$D,"control",history!$A:$A,YEAR($A63)&amp;"-"&amp;TEXT(MONTH($A63),"00")&amp;"-"&amp;TEXT(DAY($A63),"00"))),"")</f>
        <v>58.99</v>
      </c>
      <c r="C63" s="3">
        <f>IFERROR(IF(_xlfn.MINIFS(history!$H:$H,history!$C:$C,"vivo",history!$D:$D,"control",history!$A:$A,YEAR($A63)&amp;"-"&amp;TEXT(MONTH($A63),"00")&amp;"-"&amp;TEXT(DAY($A63),"00"))=0,"",_xlfn.MINIFS(history!$H:$H,history!$C:$C,"vivo",history!$D:$D,"control",history!$A:$A,YEAR($A63)&amp;"-"&amp;TEXT(MONTH($A63),"00")&amp;"-"&amp;TEXT(DAY($A63),"00"))),"")</f>
        <v>59</v>
      </c>
      <c r="D63" s="3">
        <f>IFERROR(IF(_xlfn.MINIFS(history!$H:$H,history!$C:$C,"claro",history!$D:$D,"control",history!$A:$A,YEAR($A63)&amp;"-"&amp;TEXT(MONTH($A63),"00")&amp;"-"&amp;TEXT(DAY($A63),"00"))=0,"",_xlfn.MINIFS(history!$H:$H,history!$C:$C,"claro",history!$D:$D,"control",history!$A:$A,YEAR($A63)&amp;"-"&amp;TEXT(MONTH($A63),"00")&amp;"-"&amp;TEXT(DAY($A63),"00"))),"")</f>
        <v>59.9</v>
      </c>
      <c r="E63" s="3">
        <f>IFERROR(IF(_xlfn.MINIFS(history!$H:$H,history!$C:$C,"tim",history!$D:$D,"postpaid",history!$A:$A,YEAR($A63)&amp;"-"&amp;TEXT(MONTH($A63),"00")&amp;"-"&amp;TEXT(DAY($A63),"00"))=0,"",_xlfn.MINIFS(history!$H:$H,history!$C:$C,"tim",history!$D:$D,"postpaid",history!$A:$A,YEAR($A63)&amp;"-"&amp;TEXT(MONTH($A63),"00")&amp;"-"&amp;TEXT(DAY($A63),"00"))),"")</f>
        <v>119.99</v>
      </c>
      <c r="F63" s="3">
        <f>IFERROR(IF(_xlfn.MINIFS(history!$H:$H,history!$C:$C,"vivo",history!$D:$D,"postpaid",history!$A:$A,YEAR($A63)&amp;"-"&amp;TEXT(MONTH($A63),"00")&amp;"-"&amp;TEXT(DAY($A63),"00"))=0,"",_xlfn.MINIFS(history!$H:$H,history!$C:$C,"vivo",history!$D:$D,"postpaid",history!$A:$A,YEAR($A63)&amp;"-"&amp;TEXT(MONTH($A63),"00")&amp;"-"&amp;TEXT(DAY($A63),"00"))),"")</f>
        <v>150</v>
      </c>
      <c r="G63" s="3">
        <f>IFERROR(IF(_xlfn.MINIFS(history!$H:$H,history!$C:$C,"claro",history!$D:$D,"postpaid",history!$A:$A,YEAR($A63)&amp;"-"&amp;TEXT(MONTH($A63),"00")&amp;"-"&amp;TEXT(DAY($A63),"00"))=0,"",_xlfn.MINIFS(history!$H:$H,history!$C:$C,"claro",history!$D:$D,"postpaid",history!$A:$A,YEAR($A63)&amp;"-"&amp;TEXT(MONTH($A63),"00")&amp;"-"&amp;TEXT(DAY($A63),"00"))),"")</f>
        <v>124.9</v>
      </c>
      <c r="H63" s="3">
        <f>IFERROR(IF(_xlfn.MINIFS(history!$H:$H,history!$C:$C,"tim",history!$D:$D,"prepaid",history!$A:$A,YEAR($A63)&amp;"-"&amp;TEXT(MONTH($A63),"00")&amp;"-"&amp;TEXT(DAY($A63),"00"),history!$N:$N,"&gt;=28")=0,"",_xlfn.MINIFS(history!$H:$H,history!$C:$C,"tim",history!$D:$D,"prepaid",history!$A:$A,YEAR($A63)&amp;"-"&amp;TEXT(MONTH($A63),"00")&amp;"-"&amp;TEXT(DAY($A63),"00"),history!$N:$N,"&gt;=28")),"")</f>
        <v>30</v>
      </c>
      <c r="I63" s="3">
        <f>IFERROR(IF(_xlfn.MINIFS(history!$H:$H,history!$C:$C,"vivo",history!$D:$D,"prepaid",history!$A:$A,YEAR($A63)&amp;"-"&amp;TEXT(MONTH($A63),"00")&amp;"-"&amp;TEXT(DAY($A63),"00"),history!$N:$N,"&gt;=28")=0,"",_xlfn.MINIFS(history!$H:$H,history!$C:$C,"vivo",history!$D:$D,"prepaid",history!$A:$A,YEAR($A63)&amp;"-"&amp;TEXT(MONTH($A63),"00")&amp;"-"&amp;TEXT(DAY($A63),"00"),history!$N:$N,"&gt;=28")),"")</f>
        <v>30</v>
      </c>
      <c r="J63" s="3">
        <f>IFERROR(IF(_xlfn.MINIFS(history!$H:$H,history!$C:$C,"claro",history!$D:$D,"prepaid",history!$A:$A,YEAR($A63)&amp;"-"&amp;TEXT(MONTH($A63),"00")&amp;"-"&amp;TEXT(DAY($A63),"00"),history!$N:$N,"&gt;=28")=0,"",_xlfn.MINIFS(history!$H:$H,history!$C:$C,"claro",history!$D:$D,"prepaid",history!$A:$A,YEAR($A63)&amp;"-"&amp;TEXT(MONTH($A63),"00")&amp;"-"&amp;TEXT(DAY($A63),"00"),history!$N:$N,"&gt;=28")),"")</f>
        <v>30</v>
      </c>
      <c r="K63" s="3">
        <f>IFERROR(1/MAX(IFERROR(1/_xlfn.MINIFS(history!$H:$H,history!$C:$C,"tim",history!$D:$D,"lite",history!$A:$A,YEAR($A63)&amp;"-"&amp;TEXT(MONTH($A63),"00")&amp;"-"&amp;TEXT(DAY($A63),"00"),history!$S:$S,"&gt;0"),0),IFERROR(1/_xlfn.MINIFS(history!$H:$H,history!$C:$C,"tim",history!$D:$D,"flex",history!$A:$A,YEAR($A63)&amp;"-"&amp;TEXT(MONTH($A63),"00")&amp;"-"&amp;TEXT(DAY($A63),"00")),0),IFERROR(1/_xlfn.MINIFS(history!$H:$H,history!$C:$C,"tim",history!$D:$D,"fit",history!$A:$A,YEAR($A63)&amp;"-"&amp;TEXT(MONTH($A63),"00")&amp;"-"&amp;TEXT(DAY($A63),"00"),history!$S:$S,"="),0)),"")</f>
        <v>20</v>
      </c>
      <c r="L63" s="3">
        <f>IFERROR(1/MAX(IFERROR(1/_xlfn.MINIFS(history!$H:$H,history!$C:$C,"vivo",history!$D:$D,"lite",history!$A:$A,YEAR($A63)&amp;"-"&amp;TEXT(MONTH($A63),"00")&amp;"-"&amp;TEXT(DAY($A63),"00"),history!$S:$S,"&gt;0"),0),IFERROR(1/_xlfn.MINIFS(history!$H:$H,history!$C:$C,"vivo",history!$D:$D,"flex",history!$A:$A,YEAR($A63)&amp;"-"&amp;TEXT(MONTH($A63),"00")&amp;"-"&amp;TEXT(DAY($A63),"00")),0),IFERROR(1/_xlfn.MINIFS(history!$H:$H,history!$C:$C,"vivo",history!$D:$D,"fit",history!$A:$A,YEAR($A63)&amp;"-"&amp;TEXT(MONTH($A63),"00")&amp;"-"&amp;TEXT(DAY($A63),"00"),history!$S:$S,"="),0)),"")</f>
        <v>45</v>
      </c>
      <c r="M63" s="3">
        <f>IFERROR(1/MAX(IFERROR(1/_xlfn.MINIFS(history!$H:$H,history!$C:$C,"claro",history!$D:$D,"lite",history!$A:$A,YEAR($A63)&amp;"-"&amp;TEXT(MONTH($A63),"00")&amp;"-"&amp;TEXT(DAY($A63),"00"),history!$S:$S,"&gt;0"),0),IFERROR(1/_xlfn.MINIFS(history!$H:$H,history!$C:$C,"claro",history!$D:$D,"flex",history!$A:$A,YEAR($A63)&amp;"-"&amp;TEXT(MONTH($A63),"00")&amp;"-"&amp;TEXT(DAY($A63),"00")),0),IFERROR(1/_xlfn.MINIFS(history!$H:$H,history!$C:$C,"claro",history!$D:$D,"fit",history!$A:$A,YEAR($A63)&amp;"-"&amp;TEXT(MONTH($A63),"00")&amp;"-"&amp;TEXT(DAY($A63),"00"),history!$S:$S,"="),0)),"")</f>
        <v>44.9</v>
      </c>
    </row>
    <row r="64">
      <c r="A64" s="12" t="n">
        <v>46259</v>
      </c>
      <c r="B64" s="3">
        <f>IFERROR(IF(_xlfn.MINIFS(history!$H:$H,history!$C:$C,"tim",history!$D:$D,"control",history!$A:$A,YEAR($A64)&amp;"-"&amp;TEXT(MONTH($A64),"00")&amp;"-"&amp;TEXT(DAY($A64),"00"))=0,"",_xlfn.MINIFS(history!$H:$H,history!$C:$C,"tim",history!$D:$D,"control",history!$A:$A,YEAR($A64)&amp;"-"&amp;TEXT(MONTH($A64),"00")&amp;"-"&amp;TEXT(DAY($A64),"00"))),"")</f>
        <v>58.99</v>
      </c>
      <c r="C64" s="3">
        <f>IFERROR(IF(_xlfn.MINIFS(history!$H:$H,history!$C:$C,"vivo",history!$D:$D,"control",history!$A:$A,YEAR($A64)&amp;"-"&amp;TEXT(MONTH($A64),"00")&amp;"-"&amp;TEXT(DAY($A64),"00"))=0,"",_xlfn.MINIFS(history!$H:$H,history!$C:$C,"vivo",history!$D:$D,"control",history!$A:$A,YEAR($A64)&amp;"-"&amp;TEXT(MONTH($A64),"00")&amp;"-"&amp;TEXT(DAY($A64),"00"))),"")</f>
        <v>59</v>
      </c>
      <c r="D64" s="3">
        <f>IFERROR(IF(_xlfn.MINIFS(history!$H:$H,history!$C:$C,"claro",history!$D:$D,"control",history!$A:$A,YEAR($A64)&amp;"-"&amp;TEXT(MONTH($A64),"00")&amp;"-"&amp;TEXT(DAY($A64),"00"))=0,"",_xlfn.MINIFS(history!$H:$H,history!$C:$C,"claro",history!$D:$D,"control",history!$A:$A,YEAR($A64)&amp;"-"&amp;TEXT(MONTH($A64),"00")&amp;"-"&amp;TEXT(DAY($A64),"00"))),"")</f>
        <v>59.9</v>
      </c>
      <c r="E64" s="3">
        <f>IFERROR(IF(_xlfn.MINIFS(history!$H:$H,history!$C:$C,"tim",history!$D:$D,"postpaid",history!$A:$A,YEAR($A64)&amp;"-"&amp;TEXT(MONTH($A64),"00")&amp;"-"&amp;TEXT(DAY($A64),"00"))=0,"",_xlfn.MINIFS(history!$H:$H,history!$C:$C,"tim",history!$D:$D,"postpaid",history!$A:$A,YEAR($A64)&amp;"-"&amp;TEXT(MONTH($A64),"00")&amp;"-"&amp;TEXT(DAY($A64),"00"))),"")</f>
        <v>119.99</v>
      </c>
      <c r="F64" s="3">
        <f>IFERROR(IF(_xlfn.MINIFS(history!$H:$H,history!$C:$C,"vivo",history!$D:$D,"postpaid",history!$A:$A,YEAR($A64)&amp;"-"&amp;TEXT(MONTH($A64),"00")&amp;"-"&amp;TEXT(DAY($A64),"00"))=0,"",_xlfn.MINIFS(history!$H:$H,history!$C:$C,"vivo",history!$D:$D,"postpaid",history!$A:$A,YEAR($A64)&amp;"-"&amp;TEXT(MONTH($A64),"00")&amp;"-"&amp;TEXT(DAY($A64),"00"))),"")</f>
        <v>150</v>
      </c>
      <c r="G64" s="3">
        <f>IFERROR(IF(_xlfn.MINIFS(history!$H:$H,history!$C:$C,"claro",history!$D:$D,"postpaid",history!$A:$A,YEAR($A64)&amp;"-"&amp;TEXT(MONTH($A64),"00")&amp;"-"&amp;TEXT(DAY($A64),"00"))=0,"",_xlfn.MINIFS(history!$H:$H,history!$C:$C,"claro",history!$D:$D,"postpaid",history!$A:$A,YEAR($A64)&amp;"-"&amp;TEXT(MONTH($A64),"00")&amp;"-"&amp;TEXT(DAY($A64),"00"))),"")</f>
        <v>124.9</v>
      </c>
      <c r="H64" s="3">
        <f>IFERROR(IF(_xlfn.MINIFS(history!$H:$H,history!$C:$C,"tim",history!$D:$D,"prepaid",history!$A:$A,YEAR($A64)&amp;"-"&amp;TEXT(MONTH($A64),"00")&amp;"-"&amp;TEXT(DAY($A64),"00"),history!$N:$N,"&gt;=28")=0,"",_xlfn.MINIFS(history!$H:$H,history!$C:$C,"tim",history!$D:$D,"prepaid",history!$A:$A,YEAR($A64)&amp;"-"&amp;TEXT(MONTH($A64),"00")&amp;"-"&amp;TEXT(DAY($A64),"00"),history!$N:$N,"&gt;=28")),"")</f>
        <v>30</v>
      </c>
      <c r="I64" s="3">
        <f>IFERROR(IF(_xlfn.MINIFS(history!$H:$H,history!$C:$C,"vivo",history!$D:$D,"prepaid",history!$A:$A,YEAR($A64)&amp;"-"&amp;TEXT(MONTH($A64),"00")&amp;"-"&amp;TEXT(DAY($A64),"00"),history!$N:$N,"&gt;=28")=0,"",_xlfn.MINIFS(history!$H:$H,history!$C:$C,"vivo",history!$D:$D,"prepaid",history!$A:$A,YEAR($A64)&amp;"-"&amp;TEXT(MONTH($A64),"00")&amp;"-"&amp;TEXT(DAY($A64),"00"),history!$N:$N,"&gt;=28")),"")</f>
        <v>30</v>
      </c>
      <c r="J64" s="3">
        <f>IFERROR(IF(_xlfn.MINIFS(history!$H:$H,history!$C:$C,"claro",history!$D:$D,"prepaid",history!$A:$A,YEAR($A64)&amp;"-"&amp;TEXT(MONTH($A64),"00")&amp;"-"&amp;TEXT(DAY($A64),"00"),history!$N:$N,"&gt;=28")=0,"",_xlfn.MINIFS(history!$H:$H,history!$C:$C,"claro",history!$D:$D,"prepaid",history!$A:$A,YEAR($A64)&amp;"-"&amp;TEXT(MONTH($A64),"00")&amp;"-"&amp;TEXT(DAY($A64),"00"),history!$N:$N,"&gt;=28")),"")</f>
        <v>30</v>
      </c>
      <c r="K64" s="3">
        <f>IFERROR(1/MAX(IFERROR(1/_xlfn.MINIFS(history!$H:$H,history!$C:$C,"tim",history!$D:$D,"lite",history!$A:$A,YEAR($A64)&amp;"-"&amp;TEXT(MONTH($A64),"00")&amp;"-"&amp;TEXT(DAY($A64),"00"),history!$S:$S,"&gt;0"),0),IFERROR(1/_xlfn.MINIFS(history!$H:$H,history!$C:$C,"tim",history!$D:$D,"flex",history!$A:$A,YEAR($A64)&amp;"-"&amp;TEXT(MONTH($A64),"00")&amp;"-"&amp;TEXT(DAY($A64),"00")),0),IFERROR(1/_xlfn.MINIFS(history!$H:$H,history!$C:$C,"tim",history!$D:$D,"fit",history!$A:$A,YEAR($A64)&amp;"-"&amp;TEXT(MONTH($A64),"00")&amp;"-"&amp;TEXT(DAY($A64),"00"),history!$S:$S,"="),0)),"")</f>
        <v>20</v>
      </c>
      <c r="L64" s="3">
        <f>IFERROR(1/MAX(IFERROR(1/_xlfn.MINIFS(history!$H:$H,history!$C:$C,"vivo",history!$D:$D,"lite",history!$A:$A,YEAR($A64)&amp;"-"&amp;TEXT(MONTH($A64),"00")&amp;"-"&amp;TEXT(DAY($A64),"00"),history!$S:$S,"&gt;0"),0),IFERROR(1/_xlfn.MINIFS(history!$H:$H,history!$C:$C,"vivo",history!$D:$D,"flex",history!$A:$A,YEAR($A64)&amp;"-"&amp;TEXT(MONTH($A64),"00")&amp;"-"&amp;TEXT(DAY($A64),"00")),0),IFERROR(1/_xlfn.MINIFS(history!$H:$H,history!$C:$C,"vivo",history!$D:$D,"fit",history!$A:$A,YEAR($A64)&amp;"-"&amp;TEXT(MONTH($A64),"00")&amp;"-"&amp;TEXT(DAY($A64),"00"),history!$S:$S,"="),0)),"")</f>
        <v>45</v>
      </c>
      <c r="M64" s="3">
        <f>IFERROR(1/MAX(IFERROR(1/_xlfn.MINIFS(history!$H:$H,history!$C:$C,"claro",history!$D:$D,"lite",history!$A:$A,YEAR($A64)&amp;"-"&amp;TEXT(MONTH($A64),"00")&amp;"-"&amp;TEXT(DAY($A64),"00"),history!$S:$S,"&gt;0"),0),IFERROR(1/_xlfn.MINIFS(history!$H:$H,history!$C:$C,"claro",history!$D:$D,"flex",history!$A:$A,YEAR($A64)&amp;"-"&amp;TEXT(MONTH($A64),"00")&amp;"-"&amp;TEXT(DAY($A64),"00")),0),IFERROR(1/_xlfn.MINIFS(history!$H:$H,history!$C:$C,"claro",history!$D:$D,"fit",history!$A:$A,YEAR($A64)&amp;"-"&amp;TEXT(MONTH($A64),"00")&amp;"-"&amp;TEXT(DAY($A64),"00"),history!$S:$S,"="),0)),"")</f>
        <v>44.9</v>
      </c>
    </row>
    <row r="65">
      <c r="A65" s="12" t="n">
        <v>46260</v>
      </c>
      <c r="B65" s="3">
        <f>IFERROR(IF(_xlfn.MINIFS(history!$H:$H,history!$C:$C,"tim",history!$D:$D,"control",history!$A:$A,YEAR($A65)&amp;"-"&amp;TEXT(MONTH($A65),"00")&amp;"-"&amp;TEXT(DAY($A65),"00"))=0,"",_xlfn.MINIFS(history!$H:$H,history!$C:$C,"tim",history!$D:$D,"control",history!$A:$A,YEAR($A65)&amp;"-"&amp;TEXT(MONTH($A65),"00")&amp;"-"&amp;TEXT(DAY($A65),"00"))),"")</f>
        <v>58.99</v>
      </c>
      <c r="C65" s="3">
        <f>IFERROR(IF(_xlfn.MINIFS(history!$H:$H,history!$C:$C,"vivo",history!$D:$D,"control",history!$A:$A,YEAR($A65)&amp;"-"&amp;TEXT(MONTH($A65),"00")&amp;"-"&amp;TEXT(DAY($A65),"00"))=0,"",_xlfn.MINIFS(history!$H:$H,history!$C:$C,"vivo",history!$D:$D,"control",history!$A:$A,YEAR($A65)&amp;"-"&amp;TEXT(MONTH($A65),"00")&amp;"-"&amp;TEXT(DAY($A65),"00"))),"")</f>
        <v>59</v>
      </c>
      <c r="D65" s="3">
        <f>IFERROR(IF(_xlfn.MINIFS(history!$H:$H,history!$C:$C,"claro",history!$D:$D,"control",history!$A:$A,YEAR($A65)&amp;"-"&amp;TEXT(MONTH($A65),"00")&amp;"-"&amp;TEXT(DAY($A65),"00"))=0,"",_xlfn.MINIFS(history!$H:$H,history!$C:$C,"claro",history!$D:$D,"control",history!$A:$A,YEAR($A65)&amp;"-"&amp;TEXT(MONTH($A65),"00")&amp;"-"&amp;TEXT(DAY($A65),"00"))),"")</f>
        <v>59.9</v>
      </c>
      <c r="E65" s="3">
        <f>IFERROR(IF(_xlfn.MINIFS(history!$H:$H,history!$C:$C,"tim",history!$D:$D,"postpaid",history!$A:$A,YEAR($A65)&amp;"-"&amp;TEXT(MONTH($A65),"00")&amp;"-"&amp;TEXT(DAY($A65),"00"))=0,"",_xlfn.MINIFS(history!$H:$H,history!$C:$C,"tim",history!$D:$D,"postpaid",history!$A:$A,YEAR($A65)&amp;"-"&amp;TEXT(MONTH($A65),"00")&amp;"-"&amp;TEXT(DAY($A65),"00"))),"")</f>
        <v>119.99</v>
      </c>
      <c r="F65" s="3">
        <f>IFERROR(IF(_xlfn.MINIFS(history!$H:$H,history!$C:$C,"vivo",history!$D:$D,"postpaid",history!$A:$A,YEAR($A65)&amp;"-"&amp;TEXT(MONTH($A65),"00")&amp;"-"&amp;TEXT(DAY($A65),"00"))=0,"",_xlfn.MINIFS(history!$H:$H,history!$C:$C,"vivo",history!$D:$D,"postpaid",history!$A:$A,YEAR($A65)&amp;"-"&amp;TEXT(MONTH($A65),"00")&amp;"-"&amp;TEXT(DAY($A65),"00"))),"")</f>
        <v>150</v>
      </c>
      <c r="G65" s="3">
        <f>IFERROR(IF(_xlfn.MINIFS(history!$H:$H,history!$C:$C,"claro",history!$D:$D,"postpaid",history!$A:$A,YEAR($A65)&amp;"-"&amp;TEXT(MONTH($A65),"00")&amp;"-"&amp;TEXT(DAY($A65),"00"))=0,"",_xlfn.MINIFS(history!$H:$H,history!$C:$C,"claro",history!$D:$D,"postpaid",history!$A:$A,YEAR($A65)&amp;"-"&amp;TEXT(MONTH($A65),"00")&amp;"-"&amp;TEXT(DAY($A65),"00"))),"")</f>
        <v>124.9</v>
      </c>
      <c r="H65" s="3">
        <f>IFERROR(IF(_xlfn.MINIFS(history!$H:$H,history!$C:$C,"tim",history!$D:$D,"prepaid",history!$A:$A,YEAR($A65)&amp;"-"&amp;TEXT(MONTH($A65),"00")&amp;"-"&amp;TEXT(DAY($A65),"00"),history!$N:$N,"&gt;=28")=0,"",_xlfn.MINIFS(history!$H:$H,history!$C:$C,"tim",history!$D:$D,"prepaid",history!$A:$A,YEAR($A65)&amp;"-"&amp;TEXT(MONTH($A65),"00")&amp;"-"&amp;TEXT(DAY($A65),"00"),history!$N:$N,"&gt;=28")),"")</f>
        <v>30</v>
      </c>
      <c r="I65" s="3">
        <f>IFERROR(IF(_xlfn.MINIFS(history!$H:$H,history!$C:$C,"vivo",history!$D:$D,"prepaid",history!$A:$A,YEAR($A65)&amp;"-"&amp;TEXT(MONTH($A65),"00")&amp;"-"&amp;TEXT(DAY($A65),"00"),history!$N:$N,"&gt;=28")=0,"",_xlfn.MINIFS(history!$H:$H,history!$C:$C,"vivo",history!$D:$D,"prepaid",history!$A:$A,YEAR($A65)&amp;"-"&amp;TEXT(MONTH($A65),"00")&amp;"-"&amp;TEXT(DAY($A65),"00"),history!$N:$N,"&gt;=28")),"")</f>
        <v>30</v>
      </c>
      <c r="J65" s="3">
        <f>IFERROR(IF(_xlfn.MINIFS(history!$H:$H,history!$C:$C,"claro",history!$D:$D,"prepaid",history!$A:$A,YEAR($A65)&amp;"-"&amp;TEXT(MONTH($A65),"00")&amp;"-"&amp;TEXT(DAY($A65),"00"),history!$N:$N,"&gt;=28")=0,"",_xlfn.MINIFS(history!$H:$H,history!$C:$C,"claro",history!$D:$D,"prepaid",history!$A:$A,YEAR($A65)&amp;"-"&amp;TEXT(MONTH($A65),"00")&amp;"-"&amp;TEXT(DAY($A65),"00"),history!$N:$N,"&gt;=28")),"")</f>
        <v>30</v>
      </c>
      <c r="K65" s="3">
        <f>IFERROR(1/MAX(IFERROR(1/_xlfn.MINIFS(history!$H:$H,history!$C:$C,"tim",history!$D:$D,"lite",history!$A:$A,YEAR($A65)&amp;"-"&amp;TEXT(MONTH($A65),"00")&amp;"-"&amp;TEXT(DAY($A65),"00"),history!$S:$S,"&gt;0"),0),IFERROR(1/_xlfn.MINIFS(history!$H:$H,history!$C:$C,"tim",history!$D:$D,"flex",history!$A:$A,YEAR($A65)&amp;"-"&amp;TEXT(MONTH($A65),"00")&amp;"-"&amp;TEXT(DAY($A65),"00")),0),IFERROR(1/_xlfn.MINIFS(history!$H:$H,history!$C:$C,"tim",history!$D:$D,"fit",history!$A:$A,YEAR($A65)&amp;"-"&amp;TEXT(MONTH($A65),"00")&amp;"-"&amp;TEXT(DAY($A65),"00"),history!$S:$S,"="),0)),"")</f>
        <v>20</v>
      </c>
      <c r="L65" s="3">
        <f>IFERROR(1/MAX(IFERROR(1/_xlfn.MINIFS(history!$H:$H,history!$C:$C,"vivo",history!$D:$D,"lite",history!$A:$A,YEAR($A65)&amp;"-"&amp;TEXT(MONTH($A65),"00")&amp;"-"&amp;TEXT(DAY($A65),"00"),history!$S:$S,"&gt;0"),0),IFERROR(1/_xlfn.MINIFS(history!$H:$H,history!$C:$C,"vivo",history!$D:$D,"flex",history!$A:$A,YEAR($A65)&amp;"-"&amp;TEXT(MONTH($A65),"00")&amp;"-"&amp;TEXT(DAY($A65),"00")),0),IFERROR(1/_xlfn.MINIFS(history!$H:$H,history!$C:$C,"vivo",history!$D:$D,"fit",history!$A:$A,YEAR($A65)&amp;"-"&amp;TEXT(MONTH($A65),"00")&amp;"-"&amp;TEXT(DAY($A65),"00"),history!$S:$S,"="),0)),"")</f>
        <v>45</v>
      </c>
      <c r="M65" s="3">
        <f>IFERROR(1/MAX(IFERROR(1/_xlfn.MINIFS(history!$H:$H,history!$C:$C,"claro",history!$D:$D,"lite",history!$A:$A,YEAR($A65)&amp;"-"&amp;TEXT(MONTH($A65),"00")&amp;"-"&amp;TEXT(DAY($A65),"00"),history!$S:$S,"&gt;0"),0),IFERROR(1/_xlfn.MINIFS(history!$H:$H,history!$C:$C,"claro",history!$D:$D,"flex",history!$A:$A,YEAR($A65)&amp;"-"&amp;TEXT(MONTH($A65),"00")&amp;"-"&amp;TEXT(DAY($A65),"00")),0),IFERROR(1/_xlfn.MINIFS(history!$H:$H,history!$C:$C,"claro",history!$D:$D,"fit",history!$A:$A,YEAR($A65)&amp;"-"&amp;TEXT(MONTH($A65),"00")&amp;"-"&amp;TEXT(DAY($A65),"00"),history!$S:$S,"="),0)),"")</f>
        <v>44.9</v>
      </c>
    </row>
    <row r="66">
      <c r="A66" s="12" t="n">
        <v>46261</v>
      </c>
      <c r="B66" s="3">
        <f>IFERROR(IF(_xlfn.MINIFS(history!$H:$H,history!$C:$C,"tim",history!$D:$D,"control",history!$A:$A,YEAR($A66)&amp;"-"&amp;TEXT(MONTH($A66),"00")&amp;"-"&amp;TEXT(DAY($A66),"00"))=0,"",_xlfn.MINIFS(history!$H:$H,history!$C:$C,"tim",history!$D:$D,"control",history!$A:$A,YEAR($A66)&amp;"-"&amp;TEXT(MONTH($A66),"00")&amp;"-"&amp;TEXT(DAY($A66),"00"))),"")</f>
        <v>58.99</v>
      </c>
      <c r="C66" s="3">
        <f>IFERROR(IF(_xlfn.MINIFS(history!$H:$H,history!$C:$C,"vivo",history!$D:$D,"control",history!$A:$A,YEAR($A66)&amp;"-"&amp;TEXT(MONTH($A66),"00")&amp;"-"&amp;TEXT(DAY($A66),"00"))=0,"",_xlfn.MINIFS(history!$H:$H,history!$C:$C,"vivo",history!$D:$D,"control",history!$A:$A,YEAR($A66)&amp;"-"&amp;TEXT(MONTH($A66),"00")&amp;"-"&amp;TEXT(DAY($A66),"00"))),"")</f>
        <v>59</v>
      </c>
      <c r="D66" s="3">
        <f>IFERROR(IF(_xlfn.MINIFS(history!$H:$H,history!$C:$C,"claro",history!$D:$D,"control",history!$A:$A,YEAR($A66)&amp;"-"&amp;TEXT(MONTH($A66),"00")&amp;"-"&amp;TEXT(DAY($A66),"00"))=0,"",_xlfn.MINIFS(history!$H:$H,history!$C:$C,"claro",history!$D:$D,"control",history!$A:$A,YEAR($A66)&amp;"-"&amp;TEXT(MONTH($A66),"00")&amp;"-"&amp;TEXT(DAY($A66),"00"))),"")</f>
        <v>59.9</v>
      </c>
      <c r="E66" s="3">
        <f>IFERROR(IF(_xlfn.MINIFS(history!$H:$H,history!$C:$C,"tim",history!$D:$D,"postpaid",history!$A:$A,YEAR($A66)&amp;"-"&amp;TEXT(MONTH($A66),"00")&amp;"-"&amp;TEXT(DAY($A66),"00"))=0,"",_xlfn.MINIFS(history!$H:$H,history!$C:$C,"tim",history!$D:$D,"postpaid",history!$A:$A,YEAR($A66)&amp;"-"&amp;TEXT(MONTH($A66),"00")&amp;"-"&amp;TEXT(DAY($A66),"00"))),"")</f>
        <v>119.99</v>
      </c>
      <c r="F66" s="3">
        <f>IFERROR(IF(_xlfn.MINIFS(history!$H:$H,history!$C:$C,"vivo",history!$D:$D,"postpaid",history!$A:$A,YEAR($A66)&amp;"-"&amp;TEXT(MONTH($A66),"00")&amp;"-"&amp;TEXT(DAY($A66),"00"))=0,"",_xlfn.MINIFS(history!$H:$H,history!$C:$C,"vivo",history!$D:$D,"postpaid",history!$A:$A,YEAR($A66)&amp;"-"&amp;TEXT(MONTH($A66),"00")&amp;"-"&amp;TEXT(DAY($A66),"00"))),"")</f>
        <v>150</v>
      </c>
      <c r="G66" s="3">
        <f>IFERROR(IF(_xlfn.MINIFS(history!$H:$H,history!$C:$C,"claro",history!$D:$D,"postpaid",history!$A:$A,YEAR($A66)&amp;"-"&amp;TEXT(MONTH($A66),"00")&amp;"-"&amp;TEXT(DAY($A66),"00"))=0,"",_xlfn.MINIFS(history!$H:$H,history!$C:$C,"claro",history!$D:$D,"postpaid",history!$A:$A,YEAR($A66)&amp;"-"&amp;TEXT(MONTH($A66),"00")&amp;"-"&amp;TEXT(DAY($A66),"00"))),"")</f>
        <v>124.9</v>
      </c>
      <c r="H66" s="3">
        <f>IFERROR(IF(_xlfn.MINIFS(history!$H:$H,history!$C:$C,"tim",history!$D:$D,"prepaid",history!$A:$A,YEAR($A66)&amp;"-"&amp;TEXT(MONTH($A66),"00")&amp;"-"&amp;TEXT(DAY($A66),"00"),history!$N:$N,"&gt;=28")=0,"",_xlfn.MINIFS(history!$H:$H,history!$C:$C,"tim",history!$D:$D,"prepaid",history!$A:$A,YEAR($A66)&amp;"-"&amp;TEXT(MONTH($A66),"00")&amp;"-"&amp;TEXT(DAY($A66),"00"),history!$N:$N,"&gt;=28")),"")</f>
        <v>30</v>
      </c>
      <c r="I66" s="3">
        <f>IFERROR(IF(_xlfn.MINIFS(history!$H:$H,history!$C:$C,"vivo",history!$D:$D,"prepaid",history!$A:$A,YEAR($A66)&amp;"-"&amp;TEXT(MONTH($A66),"00")&amp;"-"&amp;TEXT(DAY($A66),"00"),history!$N:$N,"&gt;=28")=0,"",_xlfn.MINIFS(history!$H:$H,history!$C:$C,"vivo",history!$D:$D,"prepaid",history!$A:$A,YEAR($A66)&amp;"-"&amp;TEXT(MONTH($A66),"00")&amp;"-"&amp;TEXT(DAY($A66),"00"),history!$N:$N,"&gt;=28")),"")</f>
        <v>30</v>
      </c>
      <c r="J66" s="3">
        <f>IFERROR(IF(_xlfn.MINIFS(history!$H:$H,history!$C:$C,"claro",history!$D:$D,"prepaid",history!$A:$A,YEAR($A66)&amp;"-"&amp;TEXT(MONTH($A66),"00")&amp;"-"&amp;TEXT(DAY($A66),"00"),history!$N:$N,"&gt;=28")=0,"",_xlfn.MINIFS(history!$H:$H,history!$C:$C,"claro",history!$D:$D,"prepaid",history!$A:$A,YEAR($A66)&amp;"-"&amp;TEXT(MONTH($A66),"00")&amp;"-"&amp;TEXT(DAY($A66),"00"),history!$N:$N,"&gt;=28")),"")</f>
        <v>30</v>
      </c>
      <c r="K66" s="3">
        <f>IFERROR(1/MAX(IFERROR(1/_xlfn.MINIFS(history!$H:$H,history!$C:$C,"tim",history!$D:$D,"lite",history!$A:$A,YEAR($A66)&amp;"-"&amp;TEXT(MONTH($A66),"00")&amp;"-"&amp;TEXT(DAY($A66),"00"),history!$S:$S,"&gt;0"),0),IFERROR(1/_xlfn.MINIFS(history!$H:$H,history!$C:$C,"tim",history!$D:$D,"flex",history!$A:$A,YEAR($A66)&amp;"-"&amp;TEXT(MONTH($A66),"00")&amp;"-"&amp;TEXT(DAY($A66),"00")),0),IFERROR(1/_xlfn.MINIFS(history!$H:$H,history!$C:$C,"tim",history!$D:$D,"fit",history!$A:$A,YEAR($A66)&amp;"-"&amp;TEXT(MONTH($A66),"00")&amp;"-"&amp;TEXT(DAY($A66),"00"),history!$S:$S,"="),0)),"")</f>
        <v>20</v>
      </c>
      <c r="L66" s="3">
        <f>IFERROR(1/MAX(IFERROR(1/_xlfn.MINIFS(history!$H:$H,history!$C:$C,"vivo",history!$D:$D,"lite",history!$A:$A,YEAR($A66)&amp;"-"&amp;TEXT(MONTH($A66),"00")&amp;"-"&amp;TEXT(DAY($A66),"00"),history!$S:$S,"&gt;0"),0),IFERROR(1/_xlfn.MINIFS(history!$H:$H,history!$C:$C,"vivo",history!$D:$D,"flex",history!$A:$A,YEAR($A66)&amp;"-"&amp;TEXT(MONTH($A66),"00")&amp;"-"&amp;TEXT(DAY($A66),"00")),0),IFERROR(1/_xlfn.MINIFS(history!$H:$H,history!$C:$C,"vivo",history!$D:$D,"fit",history!$A:$A,YEAR($A66)&amp;"-"&amp;TEXT(MONTH($A66),"00")&amp;"-"&amp;TEXT(DAY($A66),"00"),history!$S:$S,"="),0)),"")</f>
        <v>45</v>
      </c>
      <c r="M66" s="3">
        <f>IFERROR(1/MAX(IFERROR(1/_xlfn.MINIFS(history!$H:$H,history!$C:$C,"claro",history!$D:$D,"lite",history!$A:$A,YEAR($A66)&amp;"-"&amp;TEXT(MONTH($A66),"00")&amp;"-"&amp;TEXT(DAY($A66),"00"),history!$S:$S,"&gt;0"),0),IFERROR(1/_xlfn.MINIFS(history!$H:$H,history!$C:$C,"claro",history!$D:$D,"flex",history!$A:$A,YEAR($A66)&amp;"-"&amp;TEXT(MONTH($A66),"00")&amp;"-"&amp;TEXT(DAY($A66),"00")),0),IFERROR(1/_xlfn.MINIFS(history!$H:$H,history!$C:$C,"claro",history!$D:$D,"fit",history!$A:$A,YEAR($A66)&amp;"-"&amp;TEXT(MONTH($A66),"00")&amp;"-"&amp;TEXT(DAY($A66),"00"),history!$S:$S,"="),0)),"")</f>
        <v>44.9</v>
      </c>
    </row>
    <row r="67">
      <c r="A67" s="12" t="n">
        <v>46262</v>
      </c>
      <c r="B67" s="3">
        <f>IFERROR(IF(_xlfn.MINIFS(history!$H:$H,history!$C:$C,"tim",history!$D:$D,"control",history!$A:$A,YEAR($A67)&amp;"-"&amp;TEXT(MONTH($A67),"00")&amp;"-"&amp;TEXT(DAY($A67),"00"))=0,"",_xlfn.MINIFS(history!$H:$H,history!$C:$C,"tim",history!$D:$D,"control",history!$A:$A,YEAR($A67)&amp;"-"&amp;TEXT(MONTH($A67),"00")&amp;"-"&amp;TEXT(DAY($A67),"00"))),"")</f>
        <v>58.99</v>
      </c>
      <c r="C67" s="3">
        <f>IFERROR(IF(_xlfn.MINIFS(history!$H:$H,history!$C:$C,"vivo",history!$D:$D,"control",history!$A:$A,YEAR($A67)&amp;"-"&amp;TEXT(MONTH($A67),"00")&amp;"-"&amp;TEXT(DAY($A67),"00"))=0,"",_xlfn.MINIFS(history!$H:$H,history!$C:$C,"vivo",history!$D:$D,"control",history!$A:$A,YEAR($A67)&amp;"-"&amp;TEXT(MONTH($A67),"00")&amp;"-"&amp;TEXT(DAY($A67),"00"))),"")</f>
        <v>59</v>
      </c>
      <c r="D67" s="3">
        <f>IFERROR(IF(_xlfn.MINIFS(history!$H:$H,history!$C:$C,"claro",history!$D:$D,"control",history!$A:$A,YEAR($A67)&amp;"-"&amp;TEXT(MONTH($A67),"00")&amp;"-"&amp;TEXT(DAY($A67),"00"))=0,"",_xlfn.MINIFS(history!$H:$H,history!$C:$C,"claro",history!$D:$D,"control",history!$A:$A,YEAR($A67)&amp;"-"&amp;TEXT(MONTH($A67),"00")&amp;"-"&amp;TEXT(DAY($A67),"00"))),"")</f>
        <v>59.9</v>
      </c>
      <c r="E67" s="3">
        <f>IFERROR(IF(_xlfn.MINIFS(history!$H:$H,history!$C:$C,"tim",history!$D:$D,"postpaid",history!$A:$A,YEAR($A67)&amp;"-"&amp;TEXT(MONTH($A67),"00")&amp;"-"&amp;TEXT(DAY($A67),"00"))=0,"",_xlfn.MINIFS(history!$H:$H,history!$C:$C,"tim",history!$D:$D,"postpaid",history!$A:$A,YEAR($A67)&amp;"-"&amp;TEXT(MONTH($A67),"00")&amp;"-"&amp;TEXT(DAY($A67),"00"))),"")</f>
        <v>119.99</v>
      </c>
      <c r="F67" s="3">
        <f>IFERROR(IF(_xlfn.MINIFS(history!$H:$H,history!$C:$C,"vivo",history!$D:$D,"postpaid",history!$A:$A,YEAR($A67)&amp;"-"&amp;TEXT(MONTH($A67),"00")&amp;"-"&amp;TEXT(DAY($A67),"00"))=0,"",_xlfn.MINIFS(history!$H:$H,history!$C:$C,"vivo",history!$D:$D,"postpaid",history!$A:$A,YEAR($A67)&amp;"-"&amp;TEXT(MONTH($A67),"00")&amp;"-"&amp;TEXT(DAY($A67),"00"))),"")</f>
        <v>150</v>
      </c>
      <c r="G67" s="3">
        <f>IFERROR(IF(_xlfn.MINIFS(history!$H:$H,history!$C:$C,"claro",history!$D:$D,"postpaid",history!$A:$A,YEAR($A67)&amp;"-"&amp;TEXT(MONTH($A67),"00")&amp;"-"&amp;TEXT(DAY($A67),"00"))=0,"",_xlfn.MINIFS(history!$H:$H,history!$C:$C,"claro",history!$D:$D,"postpaid",history!$A:$A,YEAR($A67)&amp;"-"&amp;TEXT(MONTH($A67),"00")&amp;"-"&amp;TEXT(DAY($A67),"00"))),"")</f>
        <v>124.9</v>
      </c>
      <c r="H67" s="3">
        <f>IFERROR(IF(_xlfn.MINIFS(history!$H:$H,history!$C:$C,"tim",history!$D:$D,"prepaid",history!$A:$A,YEAR($A67)&amp;"-"&amp;TEXT(MONTH($A67),"00")&amp;"-"&amp;TEXT(DAY($A67),"00"),history!$N:$N,"&gt;=28")=0,"",_xlfn.MINIFS(history!$H:$H,history!$C:$C,"tim",history!$D:$D,"prepaid",history!$A:$A,YEAR($A67)&amp;"-"&amp;TEXT(MONTH($A67),"00")&amp;"-"&amp;TEXT(DAY($A67),"00"),history!$N:$N,"&gt;=28")),"")</f>
        <v>30</v>
      </c>
      <c r="I67" s="3">
        <f>IFERROR(IF(_xlfn.MINIFS(history!$H:$H,history!$C:$C,"vivo",history!$D:$D,"prepaid",history!$A:$A,YEAR($A67)&amp;"-"&amp;TEXT(MONTH($A67),"00")&amp;"-"&amp;TEXT(DAY($A67),"00"),history!$N:$N,"&gt;=28")=0,"",_xlfn.MINIFS(history!$H:$H,history!$C:$C,"vivo",history!$D:$D,"prepaid",history!$A:$A,YEAR($A67)&amp;"-"&amp;TEXT(MONTH($A67),"00")&amp;"-"&amp;TEXT(DAY($A67),"00"),history!$N:$N,"&gt;=28")),"")</f>
        <v>30</v>
      </c>
      <c r="J67" s="3">
        <f>IFERROR(IF(_xlfn.MINIFS(history!$H:$H,history!$C:$C,"claro",history!$D:$D,"prepaid",history!$A:$A,YEAR($A67)&amp;"-"&amp;TEXT(MONTH($A67),"00")&amp;"-"&amp;TEXT(DAY($A67),"00"),history!$N:$N,"&gt;=28")=0,"",_xlfn.MINIFS(history!$H:$H,history!$C:$C,"claro",history!$D:$D,"prepaid",history!$A:$A,YEAR($A67)&amp;"-"&amp;TEXT(MONTH($A67),"00")&amp;"-"&amp;TEXT(DAY($A67),"00"),history!$N:$N,"&gt;=28")),"")</f>
        <v>30</v>
      </c>
      <c r="K67" s="3">
        <f>IFERROR(1/MAX(IFERROR(1/_xlfn.MINIFS(history!$H:$H,history!$C:$C,"tim",history!$D:$D,"lite",history!$A:$A,YEAR($A67)&amp;"-"&amp;TEXT(MONTH($A67),"00")&amp;"-"&amp;TEXT(DAY($A67),"00"),history!$S:$S,"&gt;0"),0),IFERROR(1/_xlfn.MINIFS(history!$H:$H,history!$C:$C,"tim",history!$D:$D,"flex",history!$A:$A,YEAR($A67)&amp;"-"&amp;TEXT(MONTH($A67),"00")&amp;"-"&amp;TEXT(DAY($A67),"00")),0),IFERROR(1/_xlfn.MINIFS(history!$H:$H,history!$C:$C,"tim",history!$D:$D,"fit",history!$A:$A,YEAR($A67)&amp;"-"&amp;TEXT(MONTH($A67),"00")&amp;"-"&amp;TEXT(DAY($A67),"00"),history!$S:$S,"="),0)),"")</f>
        <v>20</v>
      </c>
      <c r="L67" s="3">
        <f>IFERROR(1/MAX(IFERROR(1/_xlfn.MINIFS(history!$H:$H,history!$C:$C,"vivo",history!$D:$D,"lite",history!$A:$A,YEAR($A67)&amp;"-"&amp;TEXT(MONTH($A67),"00")&amp;"-"&amp;TEXT(DAY($A67),"00"),history!$S:$S,"&gt;0"),0),IFERROR(1/_xlfn.MINIFS(history!$H:$H,history!$C:$C,"vivo",history!$D:$D,"flex",history!$A:$A,YEAR($A67)&amp;"-"&amp;TEXT(MONTH($A67),"00")&amp;"-"&amp;TEXT(DAY($A67),"00")),0),IFERROR(1/_xlfn.MINIFS(history!$H:$H,history!$C:$C,"vivo",history!$D:$D,"fit",history!$A:$A,YEAR($A67)&amp;"-"&amp;TEXT(MONTH($A67),"00")&amp;"-"&amp;TEXT(DAY($A67),"00"),history!$S:$S,"="),0)),"")</f>
        <v>45</v>
      </c>
      <c r="M67" s="3">
        <f>IFERROR(1/MAX(IFERROR(1/_xlfn.MINIFS(history!$H:$H,history!$C:$C,"claro",history!$D:$D,"lite",history!$A:$A,YEAR($A67)&amp;"-"&amp;TEXT(MONTH($A67),"00")&amp;"-"&amp;TEXT(DAY($A67),"00"),history!$S:$S,"&gt;0"),0),IFERROR(1/_xlfn.MINIFS(history!$H:$H,history!$C:$C,"claro",history!$D:$D,"flex",history!$A:$A,YEAR($A67)&amp;"-"&amp;TEXT(MONTH($A67),"00")&amp;"-"&amp;TEXT(DAY($A67),"00")),0),IFERROR(1/_xlfn.MINIFS(history!$H:$H,history!$C:$C,"claro",history!$D:$D,"fit",history!$A:$A,YEAR($A67)&amp;"-"&amp;TEXT(MONTH($A67),"00")&amp;"-"&amp;TEXT(DAY($A67),"00"),history!$S:$S,"="),0)),"")</f>
        <v>44.9</v>
      </c>
    </row>
    <row r="68">
      <c r="A68" s="12" t="n">
        <v>46263</v>
      </c>
      <c r="B68" s="3">
        <f>IFERROR(IF(_xlfn.MINIFS(history!$H:$H,history!$C:$C,"tim",history!$D:$D,"control",history!$A:$A,YEAR($A68)&amp;"-"&amp;TEXT(MONTH($A68),"00")&amp;"-"&amp;TEXT(DAY($A68),"00"))=0,"",_xlfn.MINIFS(history!$H:$H,history!$C:$C,"tim",history!$D:$D,"control",history!$A:$A,YEAR($A68)&amp;"-"&amp;TEXT(MONTH($A68),"00")&amp;"-"&amp;TEXT(DAY($A68),"00"))),"")</f>
        <v>49.99</v>
      </c>
      <c r="C68" s="3">
        <f>IFERROR(IF(_xlfn.MINIFS(history!$H:$H,history!$C:$C,"vivo",history!$D:$D,"control",history!$A:$A,YEAR($A68)&amp;"-"&amp;TEXT(MONTH($A68),"00")&amp;"-"&amp;TEXT(DAY($A68),"00"))=0,"",_xlfn.MINIFS(history!$H:$H,history!$C:$C,"vivo",history!$D:$D,"control",history!$A:$A,YEAR($A68)&amp;"-"&amp;TEXT(MONTH($A68),"00")&amp;"-"&amp;TEXT(DAY($A68),"00"))),"")</f>
        <v>59</v>
      </c>
      <c r="D68" s="3">
        <f>IFERROR(IF(_xlfn.MINIFS(history!$H:$H,history!$C:$C,"claro",history!$D:$D,"control",history!$A:$A,YEAR($A68)&amp;"-"&amp;TEXT(MONTH($A68),"00")&amp;"-"&amp;TEXT(DAY($A68),"00"))=0,"",_xlfn.MINIFS(history!$H:$H,history!$C:$C,"claro",history!$D:$D,"control",history!$A:$A,YEAR($A68)&amp;"-"&amp;TEXT(MONTH($A68),"00")&amp;"-"&amp;TEXT(DAY($A68),"00"))),"")</f>
        <v>59.9</v>
      </c>
      <c r="E68" s="3">
        <f>IFERROR(IF(_xlfn.MINIFS(history!$H:$H,history!$C:$C,"tim",history!$D:$D,"postpaid",history!$A:$A,YEAR($A68)&amp;"-"&amp;TEXT(MONTH($A68),"00")&amp;"-"&amp;TEXT(DAY($A68),"00"))=0,"",_xlfn.MINIFS(history!$H:$H,history!$C:$C,"tim",history!$D:$D,"postpaid",history!$A:$A,YEAR($A68)&amp;"-"&amp;TEXT(MONTH($A68),"00")&amp;"-"&amp;TEXT(DAY($A68),"00"))),"")</f>
        <v>129.99</v>
      </c>
      <c r="F68" s="3">
        <f>IFERROR(IF(_xlfn.MINIFS(history!$H:$H,history!$C:$C,"vivo",history!$D:$D,"postpaid",history!$A:$A,YEAR($A68)&amp;"-"&amp;TEXT(MONTH($A68),"00")&amp;"-"&amp;TEXT(DAY($A68),"00"))=0,"",_xlfn.MINIFS(history!$H:$H,history!$C:$C,"vivo",history!$D:$D,"postpaid",history!$A:$A,YEAR($A68)&amp;"-"&amp;TEXT(MONTH($A68),"00")&amp;"-"&amp;TEXT(DAY($A68),"00"))),"")</f>
        <v>150</v>
      </c>
      <c r="G68" s="3">
        <f>IFERROR(IF(_xlfn.MINIFS(history!$H:$H,history!$C:$C,"claro",history!$D:$D,"postpaid",history!$A:$A,YEAR($A68)&amp;"-"&amp;TEXT(MONTH($A68),"00")&amp;"-"&amp;TEXT(DAY($A68),"00"))=0,"",_xlfn.MINIFS(history!$H:$H,history!$C:$C,"claro",history!$D:$D,"postpaid",history!$A:$A,YEAR($A68)&amp;"-"&amp;TEXT(MONTH($A68),"00")&amp;"-"&amp;TEXT(DAY($A68),"00"))),"")</f>
        <v>124.9</v>
      </c>
      <c r="H68" s="3">
        <f>IFERROR(IF(_xlfn.MINIFS(history!$H:$H,history!$C:$C,"tim",history!$D:$D,"prepaid",history!$A:$A,YEAR($A68)&amp;"-"&amp;TEXT(MONTH($A68),"00")&amp;"-"&amp;TEXT(DAY($A68),"00"),history!$N:$N,"&gt;=28")=0,"",_xlfn.MINIFS(history!$H:$H,history!$C:$C,"tim",history!$D:$D,"prepaid",history!$A:$A,YEAR($A68)&amp;"-"&amp;TEXT(MONTH($A68),"00")&amp;"-"&amp;TEXT(DAY($A68),"00"),history!$N:$N,"&gt;=28")),"")</f>
        <v>30</v>
      </c>
      <c r="I68" s="3">
        <f>IFERROR(IF(_xlfn.MINIFS(history!$H:$H,history!$C:$C,"vivo",history!$D:$D,"prepaid",history!$A:$A,YEAR($A68)&amp;"-"&amp;TEXT(MONTH($A68),"00")&amp;"-"&amp;TEXT(DAY($A68),"00"),history!$N:$N,"&gt;=28")=0,"",_xlfn.MINIFS(history!$H:$H,history!$C:$C,"vivo",history!$D:$D,"prepaid",history!$A:$A,YEAR($A68)&amp;"-"&amp;TEXT(MONTH($A68),"00")&amp;"-"&amp;TEXT(DAY($A68),"00"),history!$N:$N,"&gt;=28")),"")</f>
        <v>30</v>
      </c>
      <c r="J68" s="3">
        <f>IFERROR(IF(_xlfn.MINIFS(history!$H:$H,history!$C:$C,"claro",history!$D:$D,"prepaid",history!$A:$A,YEAR($A68)&amp;"-"&amp;TEXT(MONTH($A68),"00")&amp;"-"&amp;TEXT(DAY($A68),"00"),history!$N:$N,"&gt;=28")=0,"",_xlfn.MINIFS(history!$H:$H,history!$C:$C,"claro",history!$D:$D,"prepaid",history!$A:$A,YEAR($A68)&amp;"-"&amp;TEXT(MONTH($A68),"00")&amp;"-"&amp;TEXT(DAY($A68),"00"),history!$N:$N,"&gt;=28")),"")</f>
        <v>30</v>
      </c>
      <c r="K68" s="3">
        <f>IFERROR(1/MAX(IFERROR(1/_xlfn.MINIFS(history!$H:$H,history!$C:$C,"tim",history!$D:$D,"lite",history!$A:$A,YEAR($A68)&amp;"-"&amp;TEXT(MONTH($A68),"00")&amp;"-"&amp;TEXT(DAY($A68),"00"),history!$S:$S,"&gt;0"),0),IFERROR(1/_xlfn.MINIFS(history!$H:$H,history!$C:$C,"tim",history!$D:$D,"flex",history!$A:$A,YEAR($A68)&amp;"-"&amp;TEXT(MONTH($A68),"00")&amp;"-"&amp;TEXT(DAY($A68),"00")),0),IFERROR(1/_xlfn.MINIFS(history!$H:$H,history!$C:$C,"tim",history!$D:$D,"fit",history!$A:$A,YEAR($A68)&amp;"-"&amp;TEXT(MONTH($A68),"00")&amp;"-"&amp;TEXT(DAY($A68),"00"),history!$S:$S,"="),0)),"")</f>
        <v>20</v>
      </c>
      <c r="L68" s="3">
        <f>IFERROR(1/MAX(IFERROR(1/_xlfn.MINIFS(history!$H:$H,history!$C:$C,"vivo",history!$D:$D,"lite",history!$A:$A,YEAR($A68)&amp;"-"&amp;TEXT(MONTH($A68),"00")&amp;"-"&amp;TEXT(DAY($A68),"00"),history!$S:$S,"&gt;0"),0),IFERROR(1/_xlfn.MINIFS(history!$H:$H,history!$C:$C,"vivo",history!$D:$D,"flex",history!$A:$A,YEAR($A68)&amp;"-"&amp;TEXT(MONTH($A68),"00")&amp;"-"&amp;TEXT(DAY($A68),"00")),0),IFERROR(1/_xlfn.MINIFS(history!$H:$H,history!$C:$C,"vivo",history!$D:$D,"fit",history!$A:$A,YEAR($A68)&amp;"-"&amp;TEXT(MONTH($A68),"00")&amp;"-"&amp;TEXT(DAY($A68),"00"),history!$S:$S,"="),0)),"")</f>
        <v>45</v>
      </c>
      <c r="M68" s="3">
        <f>IFERROR(1/MAX(IFERROR(1/_xlfn.MINIFS(history!$H:$H,history!$C:$C,"claro",history!$D:$D,"lite",history!$A:$A,YEAR($A68)&amp;"-"&amp;TEXT(MONTH($A68),"00")&amp;"-"&amp;TEXT(DAY($A68),"00"),history!$S:$S,"&gt;0"),0),IFERROR(1/_xlfn.MINIFS(history!$H:$H,history!$C:$C,"claro",history!$D:$D,"flex",history!$A:$A,YEAR($A68)&amp;"-"&amp;TEXT(MONTH($A68),"00")&amp;"-"&amp;TEXT(DAY($A68),"00")),0),IFERROR(1/_xlfn.MINIFS(history!$H:$H,history!$C:$C,"claro",history!$D:$D,"fit",history!$A:$A,YEAR($A68)&amp;"-"&amp;TEXT(MONTH($A68),"00")&amp;"-"&amp;TEXT(DAY($A68),"00"),history!$S:$S,"="),0)),"")</f>
        <v>44.9</v>
      </c>
    </row>
    <row r="69">
      <c r="A69" s="12" t="n">
        <v>46264</v>
      </c>
      <c r="B69" s="3">
        <f>IFERROR(IF(_xlfn.MINIFS(history!$H:$H,history!$C:$C,"tim",history!$D:$D,"control",history!$A:$A,YEAR($A69)&amp;"-"&amp;TEXT(MONTH($A69),"00")&amp;"-"&amp;TEXT(DAY($A69),"00"))=0,"",_xlfn.MINIFS(history!$H:$H,history!$C:$C,"tim",history!$D:$D,"control",history!$A:$A,YEAR($A69)&amp;"-"&amp;TEXT(MONTH($A69),"00")&amp;"-"&amp;TEXT(DAY($A69),"00"))),"")</f>
        <v>49.99</v>
      </c>
      <c r="C69" s="3">
        <f>IFERROR(IF(_xlfn.MINIFS(history!$H:$H,history!$C:$C,"vivo",history!$D:$D,"control",history!$A:$A,YEAR($A69)&amp;"-"&amp;TEXT(MONTH($A69),"00")&amp;"-"&amp;TEXT(DAY($A69),"00"))=0,"",_xlfn.MINIFS(history!$H:$H,history!$C:$C,"vivo",history!$D:$D,"control",history!$A:$A,YEAR($A69)&amp;"-"&amp;TEXT(MONTH($A69),"00")&amp;"-"&amp;TEXT(DAY($A69),"00"))),"")</f>
        <v>59</v>
      </c>
      <c r="D69" s="3">
        <f>IFERROR(IF(_xlfn.MINIFS(history!$H:$H,history!$C:$C,"claro",history!$D:$D,"control",history!$A:$A,YEAR($A69)&amp;"-"&amp;TEXT(MONTH($A69),"00")&amp;"-"&amp;TEXT(DAY($A69),"00"))=0,"",_xlfn.MINIFS(history!$H:$H,history!$C:$C,"claro",history!$D:$D,"control",history!$A:$A,YEAR($A69)&amp;"-"&amp;TEXT(MONTH($A69),"00")&amp;"-"&amp;TEXT(DAY($A69),"00"))),"")</f>
        <v>59.9</v>
      </c>
      <c r="E69" s="3">
        <f>IFERROR(IF(_xlfn.MINIFS(history!$H:$H,history!$C:$C,"tim",history!$D:$D,"postpaid",history!$A:$A,YEAR($A69)&amp;"-"&amp;TEXT(MONTH($A69),"00")&amp;"-"&amp;TEXT(DAY($A69),"00"))=0,"",_xlfn.MINIFS(history!$H:$H,history!$C:$C,"tim",history!$D:$D,"postpaid",history!$A:$A,YEAR($A69)&amp;"-"&amp;TEXT(MONTH($A69),"00")&amp;"-"&amp;TEXT(DAY($A69),"00"))),"")</f>
        <v>129.99</v>
      </c>
      <c r="F69" s="3">
        <f>IFERROR(IF(_xlfn.MINIFS(history!$H:$H,history!$C:$C,"vivo",history!$D:$D,"postpaid",history!$A:$A,YEAR($A69)&amp;"-"&amp;TEXT(MONTH($A69),"00")&amp;"-"&amp;TEXT(DAY($A69),"00"))=0,"",_xlfn.MINIFS(history!$H:$H,history!$C:$C,"vivo",history!$D:$D,"postpaid",history!$A:$A,YEAR($A69)&amp;"-"&amp;TEXT(MONTH($A69),"00")&amp;"-"&amp;TEXT(DAY($A69),"00"))),"")</f>
        <v>150</v>
      </c>
      <c r="G69" s="3">
        <f>IFERROR(IF(_xlfn.MINIFS(history!$H:$H,history!$C:$C,"claro",history!$D:$D,"postpaid",history!$A:$A,YEAR($A69)&amp;"-"&amp;TEXT(MONTH($A69),"00")&amp;"-"&amp;TEXT(DAY($A69),"00"))=0,"",_xlfn.MINIFS(history!$H:$H,history!$C:$C,"claro",history!$D:$D,"postpaid",history!$A:$A,YEAR($A69)&amp;"-"&amp;TEXT(MONTH($A69),"00")&amp;"-"&amp;TEXT(DAY($A69),"00"))),"")</f>
        <v>124.9</v>
      </c>
      <c r="H69" s="3">
        <f>IFERROR(IF(_xlfn.MINIFS(history!$H:$H,history!$C:$C,"tim",history!$D:$D,"prepaid",history!$A:$A,YEAR($A69)&amp;"-"&amp;TEXT(MONTH($A69),"00")&amp;"-"&amp;TEXT(DAY($A69),"00"),history!$N:$N,"&gt;=28")=0,"",_xlfn.MINIFS(history!$H:$H,history!$C:$C,"tim",history!$D:$D,"prepaid",history!$A:$A,YEAR($A69)&amp;"-"&amp;TEXT(MONTH($A69),"00")&amp;"-"&amp;TEXT(DAY($A69),"00"),history!$N:$N,"&gt;=28")),"")</f>
        <v>30</v>
      </c>
      <c r="I69" s="3">
        <f>IFERROR(IF(_xlfn.MINIFS(history!$H:$H,history!$C:$C,"vivo",history!$D:$D,"prepaid",history!$A:$A,YEAR($A69)&amp;"-"&amp;TEXT(MONTH($A69),"00")&amp;"-"&amp;TEXT(DAY($A69),"00"),history!$N:$N,"&gt;=28")=0,"",_xlfn.MINIFS(history!$H:$H,history!$C:$C,"vivo",history!$D:$D,"prepaid",history!$A:$A,YEAR($A69)&amp;"-"&amp;TEXT(MONTH($A69),"00")&amp;"-"&amp;TEXT(DAY($A69),"00"),history!$N:$N,"&gt;=28")),"")</f>
        <v>30</v>
      </c>
      <c r="J69" s="3">
        <f>IFERROR(IF(_xlfn.MINIFS(history!$H:$H,history!$C:$C,"claro",history!$D:$D,"prepaid",history!$A:$A,YEAR($A69)&amp;"-"&amp;TEXT(MONTH($A69),"00")&amp;"-"&amp;TEXT(DAY($A69),"00"),history!$N:$N,"&gt;=28")=0,"",_xlfn.MINIFS(history!$H:$H,history!$C:$C,"claro",history!$D:$D,"prepaid",history!$A:$A,YEAR($A69)&amp;"-"&amp;TEXT(MONTH($A69),"00")&amp;"-"&amp;TEXT(DAY($A69),"00"),history!$N:$N,"&gt;=28")),"")</f>
        <v>30</v>
      </c>
      <c r="K69" s="3">
        <f>IFERROR(1/MAX(IFERROR(1/_xlfn.MINIFS(history!$H:$H,history!$C:$C,"tim",history!$D:$D,"lite",history!$A:$A,YEAR($A69)&amp;"-"&amp;TEXT(MONTH($A69),"00")&amp;"-"&amp;TEXT(DAY($A69),"00"),history!$S:$S,"&gt;0"),0),IFERROR(1/_xlfn.MINIFS(history!$H:$H,history!$C:$C,"tim",history!$D:$D,"flex",history!$A:$A,YEAR($A69)&amp;"-"&amp;TEXT(MONTH($A69),"00")&amp;"-"&amp;TEXT(DAY($A69),"00")),0),IFERROR(1/_xlfn.MINIFS(history!$H:$H,history!$C:$C,"tim",history!$D:$D,"fit",history!$A:$A,YEAR($A69)&amp;"-"&amp;TEXT(MONTH($A69),"00")&amp;"-"&amp;TEXT(DAY($A69),"00"),history!$S:$S,"="),0)),"")</f>
        <v>20</v>
      </c>
      <c r="L69" s="3">
        <f>IFERROR(1/MAX(IFERROR(1/_xlfn.MINIFS(history!$H:$H,history!$C:$C,"vivo",history!$D:$D,"lite",history!$A:$A,YEAR($A69)&amp;"-"&amp;TEXT(MONTH($A69),"00")&amp;"-"&amp;TEXT(DAY($A69),"00"),history!$S:$S,"&gt;0"),0),IFERROR(1/_xlfn.MINIFS(history!$H:$H,history!$C:$C,"vivo",history!$D:$D,"flex",history!$A:$A,YEAR($A69)&amp;"-"&amp;TEXT(MONTH($A69),"00")&amp;"-"&amp;TEXT(DAY($A69),"00")),0),IFERROR(1/_xlfn.MINIFS(history!$H:$H,history!$C:$C,"vivo",history!$D:$D,"fit",history!$A:$A,YEAR($A69)&amp;"-"&amp;TEXT(MONTH($A69),"00")&amp;"-"&amp;TEXT(DAY($A69),"00"),history!$S:$S,"="),0)),"")</f>
        <v>45</v>
      </c>
      <c r="M69" s="3">
        <f>IFERROR(1/MAX(IFERROR(1/_xlfn.MINIFS(history!$H:$H,history!$C:$C,"claro",history!$D:$D,"lite",history!$A:$A,YEAR($A69)&amp;"-"&amp;TEXT(MONTH($A69),"00")&amp;"-"&amp;TEXT(DAY($A69),"00"),history!$S:$S,"&gt;0"),0),IFERROR(1/_xlfn.MINIFS(history!$H:$H,history!$C:$C,"claro",history!$D:$D,"flex",history!$A:$A,YEAR($A69)&amp;"-"&amp;TEXT(MONTH($A69),"00")&amp;"-"&amp;TEXT(DAY($A69),"00")),0),IFERROR(1/_xlfn.MINIFS(history!$H:$H,history!$C:$C,"claro",history!$D:$D,"fit",history!$A:$A,YEAR($A69)&amp;"-"&amp;TEXT(MONTH($A69),"00")&amp;"-"&amp;TEXT(DAY($A69),"00"),history!$S:$S,"="),0)),"")</f>
        <v>44.9</v>
      </c>
    </row>
    <row r="70">
      <c r="A70" s="12" t="n">
        <v>46265</v>
      </c>
      <c r="B70" s="3">
        <f>IFERROR(IF(_xlfn.MINIFS(history!$H:$H,history!$C:$C,"tim",history!$D:$D,"control",history!$A:$A,YEAR($A70)&amp;"-"&amp;TEXT(MONTH($A70),"00")&amp;"-"&amp;TEXT(DAY($A70),"00"))=0,"",_xlfn.MINIFS(history!$H:$H,history!$C:$C,"tim",history!$D:$D,"control",history!$A:$A,YEAR($A70)&amp;"-"&amp;TEXT(MONTH($A70),"00")&amp;"-"&amp;TEXT(DAY($A70),"00"))),"")</f>
        <v>49.99</v>
      </c>
      <c r="C70" s="3">
        <f>IFERROR(IF(_xlfn.MINIFS(history!$H:$H,history!$C:$C,"vivo",history!$D:$D,"control",history!$A:$A,YEAR($A70)&amp;"-"&amp;TEXT(MONTH($A70),"00")&amp;"-"&amp;TEXT(DAY($A70),"00"))=0,"",_xlfn.MINIFS(history!$H:$H,history!$C:$C,"vivo",history!$D:$D,"control",history!$A:$A,YEAR($A70)&amp;"-"&amp;TEXT(MONTH($A70),"00")&amp;"-"&amp;TEXT(DAY($A70),"00"))),"")</f>
        <v>59</v>
      </c>
      <c r="D70" s="3">
        <f>IFERROR(IF(_xlfn.MINIFS(history!$H:$H,history!$C:$C,"claro",history!$D:$D,"control",history!$A:$A,YEAR($A70)&amp;"-"&amp;TEXT(MONTH($A70),"00")&amp;"-"&amp;TEXT(DAY($A70),"00"))=0,"",_xlfn.MINIFS(history!$H:$H,history!$C:$C,"claro",history!$D:$D,"control",history!$A:$A,YEAR($A70)&amp;"-"&amp;TEXT(MONTH($A70),"00")&amp;"-"&amp;TEXT(DAY($A70),"00"))),"")</f>
        <v>59.9</v>
      </c>
      <c r="E70" s="3">
        <f>IFERROR(IF(_xlfn.MINIFS(history!$H:$H,history!$C:$C,"tim",history!$D:$D,"postpaid",history!$A:$A,YEAR($A70)&amp;"-"&amp;TEXT(MONTH($A70),"00")&amp;"-"&amp;TEXT(DAY($A70),"00"))=0,"",_xlfn.MINIFS(history!$H:$H,history!$C:$C,"tim",history!$D:$D,"postpaid",history!$A:$A,YEAR($A70)&amp;"-"&amp;TEXT(MONTH($A70),"00")&amp;"-"&amp;TEXT(DAY($A70),"00"))),"")</f>
        <v>129.99</v>
      </c>
      <c r="F70" s="3">
        <f>IFERROR(IF(_xlfn.MINIFS(history!$H:$H,history!$C:$C,"vivo",history!$D:$D,"postpaid",history!$A:$A,YEAR($A70)&amp;"-"&amp;TEXT(MONTH($A70),"00")&amp;"-"&amp;TEXT(DAY($A70),"00"))=0,"",_xlfn.MINIFS(history!$H:$H,history!$C:$C,"vivo",history!$D:$D,"postpaid",history!$A:$A,YEAR($A70)&amp;"-"&amp;TEXT(MONTH($A70),"00")&amp;"-"&amp;TEXT(DAY($A70),"00"))),"")</f>
        <v>150</v>
      </c>
      <c r="G70" s="3">
        <f>IFERROR(IF(_xlfn.MINIFS(history!$H:$H,history!$C:$C,"claro",history!$D:$D,"postpaid",history!$A:$A,YEAR($A70)&amp;"-"&amp;TEXT(MONTH($A70),"00")&amp;"-"&amp;TEXT(DAY($A70),"00"))=0,"",_xlfn.MINIFS(history!$H:$H,history!$C:$C,"claro",history!$D:$D,"postpaid",history!$A:$A,YEAR($A70)&amp;"-"&amp;TEXT(MONTH($A70),"00")&amp;"-"&amp;TEXT(DAY($A70),"00"))),"")</f>
        <v>124.9</v>
      </c>
      <c r="H70" s="3">
        <f>IFERROR(IF(_xlfn.MINIFS(history!$H:$H,history!$C:$C,"tim",history!$D:$D,"prepaid",history!$A:$A,YEAR($A70)&amp;"-"&amp;TEXT(MONTH($A70),"00")&amp;"-"&amp;TEXT(DAY($A70),"00"),history!$N:$N,"&gt;=28")=0,"",_xlfn.MINIFS(history!$H:$H,history!$C:$C,"tim",history!$D:$D,"prepaid",history!$A:$A,YEAR($A70)&amp;"-"&amp;TEXT(MONTH($A70),"00")&amp;"-"&amp;TEXT(DAY($A70),"00"),history!$N:$N,"&gt;=28")),"")</f>
        <v>30</v>
      </c>
      <c r="I70" s="3">
        <f>IFERROR(IF(_xlfn.MINIFS(history!$H:$H,history!$C:$C,"vivo",history!$D:$D,"prepaid",history!$A:$A,YEAR($A70)&amp;"-"&amp;TEXT(MONTH($A70),"00")&amp;"-"&amp;TEXT(DAY($A70),"00"),history!$N:$N,"&gt;=28")=0,"",_xlfn.MINIFS(history!$H:$H,history!$C:$C,"vivo",history!$D:$D,"prepaid",history!$A:$A,YEAR($A70)&amp;"-"&amp;TEXT(MONTH($A70),"00")&amp;"-"&amp;TEXT(DAY($A70),"00"),history!$N:$N,"&gt;=28")),"")</f>
        <v>30</v>
      </c>
      <c r="J70" s="3">
        <f>IFERROR(IF(_xlfn.MINIFS(history!$H:$H,history!$C:$C,"claro",history!$D:$D,"prepaid",history!$A:$A,YEAR($A70)&amp;"-"&amp;TEXT(MONTH($A70),"00")&amp;"-"&amp;TEXT(DAY($A70),"00"),history!$N:$N,"&gt;=28")=0,"",_xlfn.MINIFS(history!$H:$H,history!$C:$C,"claro",history!$D:$D,"prepaid",history!$A:$A,YEAR($A70)&amp;"-"&amp;TEXT(MONTH($A70),"00")&amp;"-"&amp;TEXT(DAY($A70),"00"),history!$N:$N,"&gt;=28")),"")</f>
        <v>30</v>
      </c>
      <c r="K70" s="3">
        <f>IFERROR(1/MAX(IFERROR(1/_xlfn.MINIFS(history!$H:$H,history!$C:$C,"tim",history!$D:$D,"lite",history!$A:$A,YEAR($A70)&amp;"-"&amp;TEXT(MONTH($A70),"00")&amp;"-"&amp;TEXT(DAY($A70),"00"),history!$S:$S,"&gt;0"),0),IFERROR(1/_xlfn.MINIFS(history!$H:$H,history!$C:$C,"tim",history!$D:$D,"flex",history!$A:$A,YEAR($A70)&amp;"-"&amp;TEXT(MONTH($A70),"00")&amp;"-"&amp;TEXT(DAY($A70),"00")),0),IFERROR(1/_xlfn.MINIFS(history!$H:$H,history!$C:$C,"tim",history!$D:$D,"fit",history!$A:$A,YEAR($A70)&amp;"-"&amp;TEXT(MONTH($A70),"00")&amp;"-"&amp;TEXT(DAY($A70),"00"),history!$S:$S,"="),0)),"")</f>
        <v>20</v>
      </c>
      <c r="L70" s="3">
        <f>IFERROR(1/MAX(IFERROR(1/_xlfn.MINIFS(history!$H:$H,history!$C:$C,"vivo",history!$D:$D,"lite",history!$A:$A,YEAR($A70)&amp;"-"&amp;TEXT(MONTH($A70),"00")&amp;"-"&amp;TEXT(DAY($A70),"00"),history!$S:$S,"&gt;0"),0),IFERROR(1/_xlfn.MINIFS(history!$H:$H,history!$C:$C,"vivo",history!$D:$D,"flex",history!$A:$A,YEAR($A70)&amp;"-"&amp;TEXT(MONTH($A70),"00")&amp;"-"&amp;TEXT(DAY($A70),"00")),0),IFERROR(1/_xlfn.MINIFS(history!$H:$H,history!$C:$C,"vivo",history!$D:$D,"fit",history!$A:$A,YEAR($A70)&amp;"-"&amp;TEXT(MONTH($A70),"00")&amp;"-"&amp;TEXT(DAY($A70),"00"),history!$S:$S,"="),0)),"")</f>
        <v>45</v>
      </c>
      <c r="M70" s="3">
        <f>IFERROR(1/MAX(IFERROR(1/_xlfn.MINIFS(history!$H:$H,history!$C:$C,"claro",history!$D:$D,"lite",history!$A:$A,YEAR($A70)&amp;"-"&amp;TEXT(MONTH($A70),"00")&amp;"-"&amp;TEXT(DAY($A70),"00"),history!$S:$S,"&gt;0"),0),IFERROR(1/_xlfn.MINIFS(history!$H:$H,history!$C:$C,"claro",history!$D:$D,"flex",history!$A:$A,YEAR($A70)&amp;"-"&amp;TEXT(MONTH($A70),"00")&amp;"-"&amp;TEXT(DAY($A70),"00")),0),IFERROR(1/_xlfn.MINIFS(history!$H:$H,history!$C:$C,"claro",history!$D:$D,"fit",history!$A:$A,YEAR($A70)&amp;"-"&amp;TEXT(MONTH($A70),"00")&amp;"-"&amp;TEXT(DAY($A70),"00"),history!$S:$S,"="),0)),"")</f>
        <v>44.9</v>
      </c>
    </row>
    <row r="71">
      <c r="A71" s="12" t="n">
        <v>46266</v>
      </c>
      <c r="B71" s="3">
        <f>IFERROR(IF(_xlfn.MINIFS(history!$H:$H,history!$C:$C,"tim",history!$D:$D,"control",history!$A:$A,YEAR($A71)&amp;"-"&amp;TEXT(MONTH($A71),"00")&amp;"-"&amp;TEXT(DAY($A71),"00"))=0,"",_xlfn.MINIFS(history!$H:$H,history!$C:$C,"tim",history!$D:$D,"control",history!$A:$A,YEAR($A71)&amp;"-"&amp;TEXT(MONTH($A71),"00")&amp;"-"&amp;TEXT(DAY($A71),"00"))),"")</f>
        <v>49.99</v>
      </c>
      <c r="C71" s="3">
        <f>IFERROR(IF(_xlfn.MINIFS(history!$H:$H,history!$C:$C,"vivo",history!$D:$D,"control",history!$A:$A,YEAR($A71)&amp;"-"&amp;TEXT(MONTH($A71),"00")&amp;"-"&amp;TEXT(DAY($A71),"00"))=0,"",_xlfn.MINIFS(history!$H:$H,history!$C:$C,"vivo",history!$D:$D,"control",history!$A:$A,YEAR($A71)&amp;"-"&amp;TEXT(MONTH($A71),"00")&amp;"-"&amp;TEXT(DAY($A71),"00"))),"")</f>
        <v>59</v>
      </c>
      <c r="D71" s="3">
        <f>IFERROR(IF(_xlfn.MINIFS(history!$H:$H,history!$C:$C,"claro",history!$D:$D,"control",history!$A:$A,YEAR($A71)&amp;"-"&amp;TEXT(MONTH($A71),"00")&amp;"-"&amp;TEXT(DAY($A71),"00"))=0,"",_xlfn.MINIFS(history!$H:$H,history!$C:$C,"claro",history!$D:$D,"control",history!$A:$A,YEAR($A71)&amp;"-"&amp;TEXT(MONTH($A71),"00")&amp;"-"&amp;TEXT(DAY($A71),"00"))),"")</f>
        <v>59.9</v>
      </c>
      <c r="E71" s="3">
        <f>IFERROR(IF(_xlfn.MINIFS(history!$H:$H,history!$C:$C,"tim",history!$D:$D,"postpaid",history!$A:$A,YEAR($A71)&amp;"-"&amp;TEXT(MONTH($A71),"00")&amp;"-"&amp;TEXT(DAY($A71),"00"))=0,"",_xlfn.MINIFS(history!$H:$H,history!$C:$C,"tim",history!$D:$D,"postpaid",history!$A:$A,YEAR($A71)&amp;"-"&amp;TEXT(MONTH($A71),"00")&amp;"-"&amp;TEXT(DAY($A71),"00"))),"")</f>
        <v>129.99</v>
      </c>
      <c r="F71" s="3">
        <f>IFERROR(IF(_xlfn.MINIFS(history!$H:$H,history!$C:$C,"vivo",history!$D:$D,"postpaid",history!$A:$A,YEAR($A71)&amp;"-"&amp;TEXT(MONTH($A71),"00")&amp;"-"&amp;TEXT(DAY($A71),"00"))=0,"",_xlfn.MINIFS(history!$H:$H,history!$C:$C,"vivo",history!$D:$D,"postpaid",history!$A:$A,YEAR($A71)&amp;"-"&amp;TEXT(MONTH($A71),"00")&amp;"-"&amp;TEXT(DAY($A71),"00"))),"")</f>
        <v>150</v>
      </c>
      <c r="G71" s="3">
        <f>IFERROR(IF(_xlfn.MINIFS(history!$H:$H,history!$C:$C,"claro",history!$D:$D,"postpaid",history!$A:$A,YEAR($A71)&amp;"-"&amp;TEXT(MONTH($A71),"00")&amp;"-"&amp;TEXT(DAY($A71),"00"))=0,"",_xlfn.MINIFS(history!$H:$H,history!$C:$C,"claro",history!$D:$D,"postpaid",history!$A:$A,YEAR($A71)&amp;"-"&amp;TEXT(MONTH($A71),"00")&amp;"-"&amp;TEXT(DAY($A71),"00"))),"")</f>
        <v>124.9</v>
      </c>
      <c r="H71" s="3">
        <f>IFERROR(IF(_xlfn.MINIFS(history!$H:$H,history!$C:$C,"tim",history!$D:$D,"prepaid",history!$A:$A,YEAR($A71)&amp;"-"&amp;TEXT(MONTH($A71),"00")&amp;"-"&amp;TEXT(DAY($A71),"00"),history!$N:$N,"&gt;=28")=0,"",_xlfn.MINIFS(history!$H:$H,history!$C:$C,"tim",history!$D:$D,"prepaid",history!$A:$A,YEAR($A71)&amp;"-"&amp;TEXT(MONTH($A71),"00")&amp;"-"&amp;TEXT(DAY($A71),"00"),history!$N:$N,"&gt;=28")),"")</f>
        <v>30</v>
      </c>
      <c r="I71" s="3">
        <f>IFERROR(IF(_xlfn.MINIFS(history!$H:$H,history!$C:$C,"vivo",history!$D:$D,"prepaid",history!$A:$A,YEAR($A71)&amp;"-"&amp;TEXT(MONTH($A71),"00")&amp;"-"&amp;TEXT(DAY($A71),"00"),history!$N:$N,"&gt;=28")=0,"",_xlfn.MINIFS(history!$H:$H,history!$C:$C,"vivo",history!$D:$D,"prepaid",history!$A:$A,YEAR($A71)&amp;"-"&amp;TEXT(MONTH($A71),"00")&amp;"-"&amp;TEXT(DAY($A71),"00"),history!$N:$N,"&gt;=28")),"")</f>
        <v>30</v>
      </c>
      <c r="J71" s="3">
        <f>IFERROR(IF(_xlfn.MINIFS(history!$H:$H,history!$C:$C,"claro",history!$D:$D,"prepaid",history!$A:$A,YEAR($A71)&amp;"-"&amp;TEXT(MONTH($A71),"00")&amp;"-"&amp;TEXT(DAY($A71),"00"),history!$N:$N,"&gt;=28")=0,"",_xlfn.MINIFS(history!$H:$H,history!$C:$C,"claro",history!$D:$D,"prepaid",history!$A:$A,YEAR($A71)&amp;"-"&amp;TEXT(MONTH($A71),"00")&amp;"-"&amp;TEXT(DAY($A71),"00"),history!$N:$N,"&gt;=28")),"")</f>
        <v>30</v>
      </c>
      <c r="K71" s="3">
        <f>IFERROR(1/MAX(IFERROR(1/_xlfn.MINIFS(history!$H:$H,history!$C:$C,"tim",history!$D:$D,"lite",history!$A:$A,YEAR($A71)&amp;"-"&amp;TEXT(MONTH($A71),"00")&amp;"-"&amp;TEXT(DAY($A71),"00"),history!$S:$S,"&gt;0"),0),IFERROR(1/_xlfn.MINIFS(history!$H:$H,history!$C:$C,"tim",history!$D:$D,"flex",history!$A:$A,YEAR($A71)&amp;"-"&amp;TEXT(MONTH($A71),"00")&amp;"-"&amp;TEXT(DAY($A71),"00")),0),IFERROR(1/_xlfn.MINIFS(history!$H:$H,history!$C:$C,"tim",history!$D:$D,"fit",history!$A:$A,YEAR($A71)&amp;"-"&amp;TEXT(MONTH($A71),"00")&amp;"-"&amp;TEXT(DAY($A71),"00"),history!$S:$S,"="),0)),"")</f>
        <v>20</v>
      </c>
      <c r="L71" s="3">
        <f>IFERROR(1/MAX(IFERROR(1/_xlfn.MINIFS(history!$H:$H,history!$C:$C,"vivo",history!$D:$D,"lite",history!$A:$A,YEAR($A71)&amp;"-"&amp;TEXT(MONTH($A71),"00")&amp;"-"&amp;TEXT(DAY($A71),"00"),history!$S:$S,"&gt;0"),0),IFERROR(1/_xlfn.MINIFS(history!$H:$H,history!$C:$C,"vivo",history!$D:$D,"flex",history!$A:$A,YEAR($A71)&amp;"-"&amp;TEXT(MONTH($A71),"00")&amp;"-"&amp;TEXT(DAY($A71),"00")),0),IFERROR(1/_xlfn.MINIFS(history!$H:$H,history!$C:$C,"vivo",history!$D:$D,"fit",history!$A:$A,YEAR($A71)&amp;"-"&amp;TEXT(MONTH($A71),"00")&amp;"-"&amp;TEXT(DAY($A71),"00"),history!$S:$S,"="),0)),"")</f>
        <v>45</v>
      </c>
      <c r="M71" s="3">
        <f>IFERROR(1/MAX(IFERROR(1/_xlfn.MINIFS(history!$H:$H,history!$C:$C,"claro",history!$D:$D,"lite",history!$A:$A,YEAR($A71)&amp;"-"&amp;TEXT(MONTH($A71),"00")&amp;"-"&amp;TEXT(DAY($A71),"00"),history!$S:$S,"&gt;0"),0),IFERROR(1/_xlfn.MINIFS(history!$H:$H,history!$C:$C,"claro",history!$D:$D,"flex",history!$A:$A,YEAR($A71)&amp;"-"&amp;TEXT(MONTH($A71),"00")&amp;"-"&amp;TEXT(DAY($A71),"00")),0),IFERROR(1/_xlfn.MINIFS(history!$H:$H,history!$C:$C,"claro",history!$D:$D,"fit",history!$A:$A,YEAR($A71)&amp;"-"&amp;TEXT(MONTH($A71),"00")&amp;"-"&amp;TEXT(DAY($A71),"00"),history!$S:$S,"="),0)),"")</f>
        <v>44.9</v>
      </c>
    </row>
    <row r="72">
      <c r="A72" s="12" t="n">
        <v>46267</v>
      </c>
      <c r="B72" s="3">
        <f>IFERROR(IF(_xlfn.MINIFS(history!$H:$H,history!$C:$C,"tim",history!$D:$D,"control",history!$A:$A,YEAR($A72)&amp;"-"&amp;TEXT(MONTH($A72),"00")&amp;"-"&amp;TEXT(DAY($A72),"00"))=0,"",_xlfn.MINIFS(history!$H:$H,history!$C:$C,"tim",history!$D:$D,"control",history!$A:$A,YEAR($A72)&amp;"-"&amp;TEXT(MONTH($A72),"00")&amp;"-"&amp;TEXT(DAY($A72),"00"))),"")</f>
        <v>49.99</v>
      </c>
      <c r="C72" s="3">
        <f>IFERROR(IF(_xlfn.MINIFS(history!$H:$H,history!$C:$C,"vivo",history!$D:$D,"control",history!$A:$A,YEAR($A72)&amp;"-"&amp;TEXT(MONTH($A72),"00")&amp;"-"&amp;TEXT(DAY($A72),"00"))=0,"",_xlfn.MINIFS(history!$H:$H,history!$C:$C,"vivo",history!$D:$D,"control",history!$A:$A,YEAR($A72)&amp;"-"&amp;TEXT(MONTH($A72),"00")&amp;"-"&amp;TEXT(DAY($A72),"00"))),"")</f>
        <v>59</v>
      </c>
      <c r="D72" s="3">
        <f>IFERROR(IF(_xlfn.MINIFS(history!$H:$H,history!$C:$C,"claro",history!$D:$D,"control",history!$A:$A,YEAR($A72)&amp;"-"&amp;TEXT(MONTH($A72),"00")&amp;"-"&amp;TEXT(DAY($A72),"00"))=0,"",_xlfn.MINIFS(history!$H:$H,history!$C:$C,"claro",history!$D:$D,"control",history!$A:$A,YEAR($A72)&amp;"-"&amp;TEXT(MONTH($A72),"00")&amp;"-"&amp;TEXT(DAY($A72),"00"))),"")</f>
        <v>59.9</v>
      </c>
      <c r="E72" s="3">
        <f>IFERROR(IF(_xlfn.MINIFS(history!$H:$H,history!$C:$C,"tim",history!$D:$D,"postpaid",history!$A:$A,YEAR($A72)&amp;"-"&amp;TEXT(MONTH($A72),"00")&amp;"-"&amp;TEXT(DAY($A72),"00"))=0,"",_xlfn.MINIFS(history!$H:$H,history!$C:$C,"tim",history!$D:$D,"postpaid",history!$A:$A,YEAR($A72)&amp;"-"&amp;TEXT(MONTH($A72),"00")&amp;"-"&amp;TEXT(DAY($A72),"00"))),"")</f>
        <v>129.99</v>
      </c>
      <c r="F72" s="3">
        <f>IFERROR(IF(_xlfn.MINIFS(history!$H:$H,history!$C:$C,"vivo",history!$D:$D,"postpaid",history!$A:$A,YEAR($A72)&amp;"-"&amp;TEXT(MONTH($A72),"00")&amp;"-"&amp;TEXT(DAY($A72),"00"))=0,"",_xlfn.MINIFS(history!$H:$H,history!$C:$C,"vivo",history!$D:$D,"postpaid",history!$A:$A,YEAR($A72)&amp;"-"&amp;TEXT(MONTH($A72),"00")&amp;"-"&amp;TEXT(DAY($A72),"00"))),"")</f>
        <v>150</v>
      </c>
      <c r="G72" s="3">
        <f>IFERROR(IF(_xlfn.MINIFS(history!$H:$H,history!$C:$C,"claro",history!$D:$D,"postpaid",history!$A:$A,YEAR($A72)&amp;"-"&amp;TEXT(MONTH($A72),"00")&amp;"-"&amp;TEXT(DAY($A72),"00"))=0,"",_xlfn.MINIFS(history!$H:$H,history!$C:$C,"claro",history!$D:$D,"postpaid",history!$A:$A,YEAR($A72)&amp;"-"&amp;TEXT(MONTH($A72),"00")&amp;"-"&amp;TEXT(DAY($A72),"00"))),"")</f>
        <v>124.9</v>
      </c>
      <c r="H72" s="3">
        <f>IFERROR(IF(_xlfn.MINIFS(history!$H:$H,history!$C:$C,"tim",history!$D:$D,"prepaid",history!$A:$A,YEAR($A72)&amp;"-"&amp;TEXT(MONTH($A72),"00")&amp;"-"&amp;TEXT(DAY($A72),"00"),history!$N:$N,"&gt;=28")=0,"",_xlfn.MINIFS(history!$H:$H,history!$C:$C,"tim",history!$D:$D,"prepaid",history!$A:$A,YEAR($A72)&amp;"-"&amp;TEXT(MONTH($A72),"00")&amp;"-"&amp;TEXT(DAY($A72),"00"),history!$N:$N,"&gt;=28")),"")</f>
        <v>30</v>
      </c>
      <c r="I72" s="3">
        <f>IFERROR(IF(_xlfn.MINIFS(history!$H:$H,history!$C:$C,"vivo",history!$D:$D,"prepaid",history!$A:$A,YEAR($A72)&amp;"-"&amp;TEXT(MONTH($A72),"00")&amp;"-"&amp;TEXT(DAY($A72),"00"),history!$N:$N,"&gt;=28")=0,"",_xlfn.MINIFS(history!$H:$H,history!$C:$C,"vivo",history!$D:$D,"prepaid",history!$A:$A,YEAR($A72)&amp;"-"&amp;TEXT(MONTH($A72),"00")&amp;"-"&amp;TEXT(DAY($A72),"00"),history!$N:$N,"&gt;=28")),"")</f>
        <v>30</v>
      </c>
      <c r="J72" s="3">
        <f>IFERROR(IF(_xlfn.MINIFS(history!$H:$H,history!$C:$C,"claro",history!$D:$D,"prepaid",history!$A:$A,YEAR($A72)&amp;"-"&amp;TEXT(MONTH($A72),"00")&amp;"-"&amp;TEXT(DAY($A72),"00"),history!$N:$N,"&gt;=28")=0,"",_xlfn.MINIFS(history!$H:$H,history!$C:$C,"claro",history!$D:$D,"prepaid",history!$A:$A,YEAR($A72)&amp;"-"&amp;TEXT(MONTH($A72),"00")&amp;"-"&amp;TEXT(DAY($A72),"00"),history!$N:$N,"&gt;=28")),"")</f>
        <v>30</v>
      </c>
      <c r="K72" s="3">
        <f>IFERROR(1/MAX(IFERROR(1/_xlfn.MINIFS(history!$H:$H,history!$C:$C,"tim",history!$D:$D,"lite",history!$A:$A,YEAR($A72)&amp;"-"&amp;TEXT(MONTH($A72),"00")&amp;"-"&amp;TEXT(DAY($A72),"00"),history!$S:$S,"&gt;0"),0),IFERROR(1/_xlfn.MINIFS(history!$H:$H,history!$C:$C,"tim",history!$D:$D,"flex",history!$A:$A,YEAR($A72)&amp;"-"&amp;TEXT(MONTH($A72),"00")&amp;"-"&amp;TEXT(DAY($A72),"00")),0),IFERROR(1/_xlfn.MINIFS(history!$H:$H,history!$C:$C,"tim",history!$D:$D,"fit",history!$A:$A,YEAR($A72)&amp;"-"&amp;TEXT(MONTH($A72),"00")&amp;"-"&amp;TEXT(DAY($A72),"00"),history!$S:$S,"="),0)),"")</f>
        <v>20</v>
      </c>
      <c r="L72" s="3">
        <f>IFERROR(1/MAX(IFERROR(1/_xlfn.MINIFS(history!$H:$H,history!$C:$C,"vivo",history!$D:$D,"lite",history!$A:$A,YEAR($A72)&amp;"-"&amp;TEXT(MONTH($A72),"00")&amp;"-"&amp;TEXT(DAY($A72),"00"),history!$S:$S,"&gt;0"),0),IFERROR(1/_xlfn.MINIFS(history!$H:$H,history!$C:$C,"vivo",history!$D:$D,"flex",history!$A:$A,YEAR($A72)&amp;"-"&amp;TEXT(MONTH($A72),"00")&amp;"-"&amp;TEXT(DAY($A72),"00")),0),IFERROR(1/_xlfn.MINIFS(history!$H:$H,history!$C:$C,"vivo",history!$D:$D,"fit",history!$A:$A,YEAR($A72)&amp;"-"&amp;TEXT(MONTH($A72),"00")&amp;"-"&amp;TEXT(DAY($A72),"00"),history!$S:$S,"="),0)),"")</f>
        <v>45</v>
      </c>
      <c r="M72" s="3">
        <f>IFERROR(1/MAX(IFERROR(1/_xlfn.MINIFS(history!$H:$H,history!$C:$C,"claro",history!$D:$D,"lite",history!$A:$A,YEAR($A72)&amp;"-"&amp;TEXT(MONTH($A72),"00")&amp;"-"&amp;TEXT(DAY($A72),"00"),history!$S:$S,"&gt;0"),0),IFERROR(1/_xlfn.MINIFS(history!$H:$H,history!$C:$C,"claro",history!$D:$D,"flex",history!$A:$A,YEAR($A72)&amp;"-"&amp;TEXT(MONTH($A72),"00")&amp;"-"&amp;TEXT(DAY($A72),"00")),0),IFERROR(1/_xlfn.MINIFS(history!$H:$H,history!$C:$C,"claro",history!$D:$D,"fit",history!$A:$A,YEAR($A72)&amp;"-"&amp;TEXT(MONTH($A72),"00")&amp;"-"&amp;TEXT(DAY($A72),"00"),history!$S:$S,"="),0)),"")</f>
        <v>44.9</v>
      </c>
    </row>
    <row r="73">
      <c r="A73" s="12" t="n">
        <v>46268</v>
      </c>
      <c r="B73" s="3">
        <f>IFERROR(IF(_xlfn.MINIFS(history!$H:$H,history!$C:$C,"tim",history!$D:$D,"control",history!$A:$A,YEAR($A73)&amp;"-"&amp;TEXT(MONTH($A73),"00")&amp;"-"&amp;TEXT(DAY($A73),"00"))=0,"",_xlfn.MINIFS(history!$H:$H,history!$C:$C,"tim",history!$D:$D,"control",history!$A:$A,YEAR($A73)&amp;"-"&amp;TEXT(MONTH($A73),"00")&amp;"-"&amp;TEXT(DAY($A73),"00"))),"")</f>
        <v>49.99</v>
      </c>
      <c r="C73" s="3">
        <f>IFERROR(IF(_xlfn.MINIFS(history!$H:$H,history!$C:$C,"vivo",history!$D:$D,"control",history!$A:$A,YEAR($A73)&amp;"-"&amp;TEXT(MONTH($A73),"00")&amp;"-"&amp;TEXT(DAY($A73),"00"))=0,"",_xlfn.MINIFS(history!$H:$H,history!$C:$C,"vivo",history!$D:$D,"control",history!$A:$A,YEAR($A73)&amp;"-"&amp;TEXT(MONTH($A73),"00")&amp;"-"&amp;TEXT(DAY($A73),"00"))),"")</f>
        <v>59</v>
      </c>
      <c r="D73" s="3">
        <f>IFERROR(IF(_xlfn.MINIFS(history!$H:$H,history!$C:$C,"claro",history!$D:$D,"control",history!$A:$A,YEAR($A73)&amp;"-"&amp;TEXT(MONTH($A73),"00")&amp;"-"&amp;TEXT(DAY($A73),"00"))=0,"",_xlfn.MINIFS(history!$H:$H,history!$C:$C,"claro",history!$D:$D,"control",history!$A:$A,YEAR($A73)&amp;"-"&amp;TEXT(MONTH($A73),"00")&amp;"-"&amp;TEXT(DAY($A73),"00"))),"")</f>
        <v>59.9</v>
      </c>
      <c r="E73" s="3">
        <f>IFERROR(IF(_xlfn.MINIFS(history!$H:$H,history!$C:$C,"tim",history!$D:$D,"postpaid",history!$A:$A,YEAR($A73)&amp;"-"&amp;TEXT(MONTH($A73),"00")&amp;"-"&amp;TEXT(DAY($A73),"00"))=0,"",_xlfn.MINIFS(history!$H:$H,history!$C:$C,"tim",history!$D:$D,"postpaid",history!$A:$A,YEAR($A73)&amp;"-"&amp;TEXT(MONTH($A73),"00")&amp;"-"&amp;TEXT(DAY($A73),"00"))),"")</f>
        <v>129.99</v>
      </c>
      <c r="F73" s="3">
        <f>IFERROR(IF(_xlfn.MINIFS(history!$H:$H,history!$C:$C,"vivo",history!$D:$D,"postpaid",history!$A:$A,YEAR($A73)&amp;"-"&amp;TEXT(MONTH($A73),"00")&amp;"-"&amp;TEXT(DAY($A73),"00"))=0,"",_xlfn.MINIFS(history!$H:$H,history!$C:$C,"vivo",history!$D:$D,"postpaid",history!$A:$A,YEAR($A73)&amp;"-"&amp;TEXT(MONTH($A73),"00")&amp;"-"&amp;TEXT(DAY($A73),"00"))),"")</f>
        <v>150</v>
      </c>
      <c r="G73" s="3">
        <f>IFERROR(IF(_xlfn.MINIFS(history!$H:$H,history!$C:$C,"claro",history!$D:$D,"postpaid",history!$A:$A,YEAR($A73)&amp;"-"&amp;TEXT(MONTH($A73),"00")&amp;"-"&amp;TEXT(DAY($A73),"00"))=0,"",_xlfn.MINIFS(history!$H:$H,history!$C:$C,"claro",history!$D:$D,"postpaid",history!$A:$A,YEAR($A73)&amp;"-"&amp;TEXT(MONTH($A73),"00")&amp;"-"&amp;TEXT(DAY($A73),"00"))),"")</f>
        <v>124.9</v>
      </c>
      <c r="H73" s="3">
        <f>IFERROR(IF(_xlfn.MINIFS(history!$H:$H,history!$C:$C,"tim",history!$D:$D,"prepaid",history!$A:$A,YEAR($A73)&amp;"-"&amp;TEXT(MONTH($A73),"00")&amp;"-"&amp;TEXT(DAY($A73),"00"),history!$N:$N,"&gt;=28")=0,"",_xlfn.MINIFS(history!$H:$H,history!$C:$C,"tim",history!$D:$D,"prepaid",history!$A:$A,YEAR($A73)&amp;"-"&amp;TEXT(MONTH($A73),"00")&amp;"-"&amp;TEXT(DAY($A73),"00"),history!$N:$N,"&gt;=28")),"")</f>
        <v>30</v>
      </c>
      <c r="I73" s="3">
        <f>IFERROR(IF(_xlfn.MINIFS(history!$H:$H,history!$C:$C,"vivo",history!$D:$D,"prepaid",history!$A:$A,YEAR($A73)&amp;"-"&amp;TEXT(MONTH($A73),"00")&amp;"-"&amp;TEXT(DAY($A73),"00"),history!$N:$N,"&gt;=28")=0,"",_xlfn.MINIFS(history!$H:$H,history!$C:$C,"vivo",history!$D:$D,"prepaid",history!$A:$A,YEAR($A73)&amp;"-"&amp;TEXT(MONTH($A73),"00")&amp;"-"&amp;TEXT(DAY($A73),"00"),history!$N:$N,"&gt;=28")),"")</f>
        <v>30</v>
      </c>
      <c r="J73" s="3">
        <f>IFERROR(IF(_xlfn.MINIFS(history!$H:$H,history!$C:$C,"claro",history!$D:$D,"prepaid",history!$A:$A,YEAR($A73)&amp;"-"&amp;TEXT(MONTH($A73),"00")&amp;"-"&amp;TEXT(DAY($A73),"00"),history!$N:$N,"&gt;=28")=0,"",_xlfn.MINIFS(history!$H:$H,history!$C:$C,"claro",history!$D:$D,"prepaid",history!$A:$A,YEAR($A73)&amp;"-"&amp;TEXT(MONTH($A73),"00")&amp;"-"&amp;TEXT(DAY($A73),"00"),history!$N:$N,"&gt;=28")),"")</f>
        <v>30</v>
      </c>
      <c r="K73" s="3">
        <f>IFERROR(1/MAX(IFERROR(1/_xlfn.MINIFS(history!$H:$H,history!$C:$C,"tim",history!$D:$D,"lite",history!$A:$A,YEAR($A73)&amp;"-"&amp;TEXT(MONTH($A73),"00")&amp;"-"&amp;TEXT(DAY($A73),"00"),history!$S:$S,"&gt;0"),0),IFERROR(1/_xlfn.MINIFS(history!$H:$H,history!$C:$C,"tim",history!$D:$D,"flex",history!$A:$A,YEAR($A73)&amp;"-"&amp;TEXT(MONTH($A73),"00")&amp;"-"&amp;TEXT(DAY($A73),"00")),0),IFERROR(1/_xlfn.MINIFS(history!$H:$H,history!$C:$C,"tim",history!$D:$D,"fit",history!$A:$A,YEAR($A73)&amp;"-"&amp;TEXT(MONTH($A73),"00")&amp;"-"&amp;TEXT(DAY($A73),"00"),history!$S:$S,"="),0)),"")</f>
        <v>20</v>
      </c>
      <c r="L73" s="3">
        <f>IFERROR(1/MAX(IFERROR(1/_xlfn.MINIFS(history!$H:$H,history!$C:$C,"vivo",history!$D:$D,"lite",history!$A:$A,YEAR($A73)&amp;"-"&amp;TEXT(MONTH($A73),"00")&amp;"-"&amp;TEXT(DAY($A73),"00"),history!$S:$S,"&gt;0"),0),IFERROR(1/_xlfn.MINIFS(history!$H:$H,history!$C:$C,"vivo",history!$D:$D,"flex",history!$A:$A,YEAR($A73)&amp;"-"&amp;TEXT(MONTH($A73),"00")&amp;"-"&amp;TEXT(DAY($A73),"00")),0),IFERROR(1/_xlfn.MINIFS(history!$H:$H,history!$C:$C,"vivo",history!$D:$D,"fit",history!$A:$A,YEAR($A73)&amp;"-"&amp;TEXT(MONTH($A73),"00")&amp;"-"&amp;TEXT(DAY($A73),"00"),history!$S:$S,"="),0)),"")</f>
        <v>45</v>
      </c>
      <c r="M73" s="3">
        <f>IFERROR(1/MAX(IFERROR(1/_xlfn.MINIFS(history!$H:$H,history!$C:$C,"claro",history!$D:$D,"lite",history!$A:$A,YEAR($A73)&amp;"-"&amp;TEXT(MONTH($A73),"00")&amp;"-"&amp;TEXT(DAY($A73),"00"),history!$S:$S,"&gt;0"),0),IFERROR(1/_xlfn.MINIFS(history!$H:$H,history!$C:$C,"claro",history!$D:$D,"flex",history!$A:$A,YEAR($A73)&amp;"-"&amp;TEXT(MONTH($A73),"00")&amp;"-"&amp;TEXT(DAY($A73),"00")),0),IFERROR(1/_xlfn.MINIFS(history!$H:$H,history!$C:$C,"claro",history!$D:$D,"fit",history!$A:$A,YEAR($A73)&amp;"-"&amp;TEXT(MONTH($A73),"00")&amp;"-"&amp;TEXT(DAY($A73),"00"),history!$S:$S,"="),0)),"")</f>
        <v>44.9</v>
      </c>
    </row>
    <row r="74">
      <c r="A74" s="12" t="n">
        <v>46269</v>
      </c>
      <c r="B74" s="3">
        <f>IFERROR(IF(_xlfn.MINIFS(history!$H:$H,history!$C:$C,"tim",history!$D:$D,"control",history!$A:$A,YEAR($A74)&amp;"-"&amp;TEXT(MONTH($A74),"00")&amp;"-"&amp;TEXT(DAY($A74),"00"))=0,"",_xlfn.MINIFS(history!$H:$H,history!$C:$C,"tim",history!$D:$D,"control",history!$A:$A,YEAR($A74)&amp;"-"&amp;TEXT(MONTH($A74),"00")&amp;"-"&amp;TEXT(DAY($A74),"00"))),"")</f>
        <v>49.99</v>
      </c>
      <c r="C74" s="3">
        <f>IFERROR(IF(_xlfn.MINIFS(history!$H:$H,history!$C:$C,"vivo",history!$D:$D,"control",history!$A:$A,YEAR($A74)&amp;"-"&amp;TEXT(MONTH($A74),"00")&amp;"-"&amp;TEXT(DAY($A74),"00"))=0,"",_xlfn.MINIFS(history!$H:$H,history!$C:$C,"vivo",history!$D:$D,"control",history!$A:$A,YEAR($A74)&amp;"-"&amp;TEXT(MONTH($A74),"00")&amp;"-"&amp;TEXT(DAY($A74),"00"))),"")</f>
        <v>59</v>
      </c>
      <c r="D74" s="3">
        <f>IFERROR(IF(_xlfn.MINIFS(history!$H:$H,history!$C:$C,"claro",history!$D:$D,"control",history!$A:$A,YEAR($A74)&amp;"-"&amp;TEXT(MONTH($A74),"00")&amp;"-"&amp;TEXT(DAY($A74),"00"))=0,"",_xlfn.MINIFS(history!$H:$H,history!$C:$C,"claro",history!$D:$D,"control",history!$A:$A,YEAR($A74)&amp;"-"&amp;TEXT(MONTH($A74),"00")&amp;"-"&amp;TEXT(DAY($A74),"00"))),"")</f>
        <v>59.9</v>
      </c>
      <c r="E74" s="3">
        <f>IFERROR(IF(_xlfn.MINIFS(history!$H:$H,history!$C:$C,"tim",history!$D:$D,"postpaid",history!$A:$A,YEAR($A74)&amp;"-"&amp;TEXT(MONTH($A74),"00")&amp;"-"&amp;TEXT(DAY($A74),"00"))=0,"",_xlfn.MINIFS(history!$H:$H,history!$C:$C,"tim",history!$D:$D,"postpaid",history!$A:$A,YEAR($A74)&amp;"-"&amp;TEXT(MONTH($A74),"00")&amp;"-"&amp;TEXT(DAY($A74),"00"))),"")</f>
        <v>119.99</v>
      </c>
      <c r="F74" s="3">
        <f>IFERROR(IF(_xlfn.MINIFS(history!$H:$H,history!$C:$C,"vivo",history!$D:$D,"postpaid",history!$A:$A,YEAR($A74)&amp;"-"&amp;TEXT(MONTH($A74),"00")&amp;"-"&amp;TEXT(DAY($A74),"00"))=0,"",_xlfn.MINIFS(history!$H:$H,history!$C:$C,"vivo",history!$D:$D,"postpaid",history!$A:$A,YEAR($A74)&amp;"-"&amp;TEXT(MONTH($A74),"00")&amp;"-"&amp;TEXT(DAY($A74),"00"))),"")</f>
        <v>150</v>
      </c>
      <c r="G74" s="3">
        <f>IFERROR(IF(_xlfn.MINIFS(history!$H:$H,history!$C:$C,"claro",history!$D:$D,"postpaid",history!$A:$A,YEAR($A74)&amp;"-"&amp;TEXT(MONTH($A74),"00")&amp;"-"&amp;TEXT(DAY($A74),"00"))=0,"",_xlfn.MINIFS(history!$H:$H,history!$C:$C,"claro",history!$D:$D,"postpaid",history!$A:$A,YEAR($A74)&amp;"-"&amp;TEXT(MONTH($A74),"00")&amp;"-"&amp;TEXT(DAY($A74),"00"))),"")</f>
        <v>124.9</v>
      </c>
      <c r="H74" s="3">
        <f>IFERROR(IF(_xlfn.MINIFS(history!$H:$H,history!$C:$C,"tim",history!$D:$D,"prepaid",history!$A:$A,YEAR($A74)&amp;"-"&amp;TEXT(MONTH($A74),"00")&amp;"-"&amp;TEXT(DAY($A74),"00"),history!$N:$N,"&gt;=28")=0,"",_xlfn.MINIFS(history!$H:$H,history!$C:$C,"tim",history!$D:$D,"prepaid",history!$A:$A,YEAR($A74)&amp;"-"&amp;TEXT(MONTH($A74),"00")&amp;"-"&amp;TEXT(DAY($A74),"00"),history!$N:$N,"&gt;=28")),"")</f>
        <v>30</v>
      </c>
      <c r="I74" s="3">
        <f>IFERROR(IF(_xlfn.MINIFS(history!$H:$H,history!$C:$C,"vivo",history!$D:$D,"prepaid",history!$A:$A,YEAR($A74)&amp;"-"&amp;TEXT(MONTH($A74),"00")&amp;"-"&amp;TEXT(DAY($A74),"00"),history!$N:$N,"&gt;=28")=0,"",_xlfn.MINIFS(history!$H:$H,history!$C:$C,"vivo",history!$D:$D,"prepaid",history!$A:$A,YEAR($A74)&amp;"-"&amp;TEXT(MONTH($A74),"00")&amp;"-"&amp;TEXT(DAY($A74),"00"),history!$N:$N,"&gt;=28")),"")</f>
        <v>30</v>
      </c>
      <c r="J74" s="3">
        <f>IFERROR(IF(_xlfn.MINIFS(history!$H:$H,history!$C:$C,"claro",history!$D:$D,"prepaid",history!$A:$A,YEAR($A74)&amp;"-"&amp;TEXT(MONTH($A74),"00")&amp;"-"&amp;TEXT(DAY($A74),"00"),history!$N:$N,"&gt;=28")=0,"",_xlfn.MINIFS(history!$H:$H,history!$C:$C,"claro",history!$D:$D,"prepaid",history!$A:$A,YEAR($A74)&amp;"-"&amp;TEXT(MONTH($A74),"00")&amp;"-"&amp;TEXT(DAY($A74),"00"),history!$N:$N,"&gt;=28")),"")</f>
        <v>30</v>
      </c>
      <c r="K74" s="3">
        <f>IFERROR(1/MAX(IFERROR(1/_xlfn.MINIFS(history!$H:$H,history!$C:$C,"tim",history!$D:$D,"lite",history!$A:$A,YEAR($A74)&amp;"-"&amp;TEXT(MONTH($A74),"00")&amp;"-"&amp;TEXT(DAY($A74),"00"),history!$S:$S,"&gt;0"),0),IFERROR(1/_xlfn.MINIFS(history!$H:$H,history!$C:$C,"tim",history!$D:$D,"flex",history!$A:$A,YEAR($A74)&amp;"-"&amp;TEXT(MONTH($A74),"00")&amp;"-"&amp;TEXT(DAY($A74),"00")),0),IFERROR(1/_xlfn.MINIFS(history!$H:$H,history!$C:$C,"tim",history!$D:$D,"fit",history!$A:$A,YEAR($A74)&amp;"-"&amp;TEXT(MONTH($A74),"00")&amp;"-"&amp;TEXT(DAY($A74),"00"),history!$S:$S,"="),0)),"")</f>
        <v>20</v>
      </c>
      <c r="L74" s="3">
        <f>IFERROR(1/MAX(IFERROR(1/_xlfn.MINIFS(history!$H:$H,history!$C:$C,"vivo",history!$D:$D,"lite",history!$A:$A,YEAR($A74)&amp;"-"&amp;TEXT(MONTH($A74),"00")&amp;"-"&amp;TEXT(DAY($A74),"00"),history!$S:$S,"&gt;0"),0),IFERROR(1/_xlfn.MINIFS(history!$H:$H,history!$C:$C,"vivo",history!$D:$D,"flex",history!$A:$A,YEAR($A74)&amp;"-"&amp;TEXT(MONTH($A74),"00")&amp;"-"&amp;TEXT(DAY($A74),"00")),0),IFERROR(1/_xlfn.MINIFS(history!$H:$H,history!$C:$C,"vivo",history!$D:$D,"fit",history!$A:$A,YEAR($A74)&amp;"-"&amp;TEXT(MONTH($A74),"00")&amp;"-"&amp;TEXT(DAY($A74),"00"),history!$S:$S,"="),0)),"")</f>
        <v>45</v>
      </c>
      <c r="M74" s="3">
        <f>IFERROR(1/MAX(IFERROR(1/_xlfn.MINIFS(history!$H:$H,history!$C:$C,"claro",history!$D:$D,"lite",history!$A:$A,YEAR($A74)&amp;"-"&amp;TEXT(MONTH($A74),"00")&amp;"-"&amp;TEXT(DAY($A74),"00"),history!$S:$S,"&gt;0"),0),IFERROR(1/_xlfn.MINIFS(history!$H:$H,history!$C:$C,"claro",history!$D:$D,"flex",history!$A:$A,YEAR($A74)&amp;"-"&amp;TEXT(MONTH($A74),"00")&amp;"-"&amp;TEXT(DAY($A74),"00")),0),IFERROR(1/_xlfn.MINIFS(history!$H:$H,history!$C:$C,"claro",history!$D:$D,"fit",history!$A:$A,YEAR($A74)&amp;"-"&amp;TEXT(MONTH($A74),"00")&amp;"-"&amp;TEXT(DAY($A74),"00"),history!$S:$S,"="),0)),"")</f>
        <v>44.9</v>
      </c>
    </row>
    <row r="75">
      <c r="A75" s="12" t="n">
        <v>46270</v>
      </c>
      <c r="B75" s="3">
        <f>IFERROR(IF(_xlfn.MINIFS(history!$H:$H,history!$C:$C,"tim",history!$D:$D,"control",history!$A:$A,YEAR($A75)&amp;"-"&amp;TEXT(MONTH($A75),"00")&amp;"-"&amp;TEXT(DAY($A75),"00"))=0,"",_xlfn.MINIFS(history!$H:$H,history!$C:$C,"tim",history!$D:$D,"control",history!$A:$A,YEAR($A75)&amp;"-"&amp;TEXT(MONTH($A75),"00")&amp;"-"&amp;TEXT(DAY($A75),"00"))),"")</f>
        <v>49.99</v>
      </c>
      <c r="C75" s="3">
        <f>IFERROR(IF(_xlfn.MINIFS(history!$H:$H,history!$C:$C,"vivo",history!$D:$D,"control",history!$A:$A,YEAR($A75)&amp;"-"&amp;TEXT(MONTH($A75),"00")&amp;"-"&amp;TEXT(DAY($A75),"00"))=0,"",_xlfn.MINIFS(history!$H:$H,history!$C:$C,"vivo",history!$D:$D,"control",history!$A:$A,YEAR($A75)&amp;"-"&amp;TEXT(MONTH($A75),"00")&amp;"-"&amp;TEXT(DAY($A75),"00"))),"")</f>
        <v>59</v>
      </c>
      <c r="D75" s="3">
        <f>IFERROR(IF(_xlfn.MINIFS(history!$H:$H,history!$C:$C,"claro",history!$D:$D,"control",history!$A:$A,YEAR($A75)&amp;"-"&amp;TEXT(MONTH($A75),"00")&amp;"-"&amp;TEXT(DAY($A75),"00"))=0,"",_xlfn.MINIFS(history!$H:$H,history!$C:$C,"claro",history!$D:$D,"control",history!$A:$A,YEAR($A75)&amp;"-"&amp;TEXT(MONTH($A75),"00")&amp;"-"&amp;TEXT(DAY($A75),"00"))),"")</f>
        <v>59.9</v>
      </c>
      <c r="E75" s="3">
        <f>IFERROR(IF(_xlfn.MINIFS(history!$H:$H,history!$C:$C,"tim",history!$D:$D,"postpaid",history!$A:$A,YEAR($A75)&amp;"-"&amp;TEXT(MONTH($A75),"00")&amp;"-"&amp;TEXT(DAY($A75),"00"))=0,"",_xlfn.MINIFS(history!$H:$H,history!$C:$C,"tim",history!$D:$D,"postpaid",history!$A:$A,YEAR($A75)&amp;"-"&amp;TEXT(MONTH($A75),"00")&amp;"-"&amp;TEXT(DAY($A75),"00"))),"")</f>
        <v>119.99</v>
      </c>
      <c r="F75" s="3">
        <f>IFERROR(IF(_xlfn.MINIFS(history!$H:$H,history!$C:$C,"vivo",history!$D:$D,"postpaid",history!$A:$A,YEAR($A75)&amp;"-"&amp;TEXT(MONTH($A75),"00")&amp;"-"&amp;TEXT(DAY($A75),"00"))=0,"",_xlfn.MINIFS(history!$H:$H,history!$C:$C,"vivo",history!$D:$D,"postpaid",history!$A:$A,YEAR($A75)&amp;"-"&amp;TEXT(MONTH($A75),"00")&amp;"-"&amp;TEXT(DAY($A75),"00"))),"")</f>
        <v>150</v>
      </c>
      <c r="G75" s="3">
        <f>IFERROR(IF(_xlfn.MINIFS(history!$H:$H,history!$C:$C,"claro",history!$D:$D,"postpaid",history!$A:$A,YEAR($A75)&amp;"-"&amp;TEXT(MONTH($A75),"00")&amp;"-"&amp;TEXT(DAY($A75),"00"))=0,"",_xlfn.MINIFS(history!$H:$H,history!$C:$C,"claro",history!$D:$D,"postpaid",history!$A:$A,YEAR($A75)&amp;"-"&amp;TEXT(MONTH($A75),"00")&amp;"-"&amp;TEXT(DAY($A75),"00"))),"")</f>
        <v>124.9</v>
      </c>
      <c r="H75" s="3">
        <f>IFERROR(IF(_xlfn.MINIFS(history!$H:$H,history!$C:$C,"tim",history!$D:$D,"prepaid",history!$A:$A,YEAR($A75)&amp;"-"&amp;TEXT(MONTH($A75),"00")&amp;"-"&amp;TEXT(DAY($A75),"00"),history!$N:$N,"&gt;=28")=0,"",_xlfn.MINIFS(history!$H:$H,history!$C:$C,"tim",history!$D:$D,"prepaid",history!$A:$A,YEAR($A75)&amp;"-"&amp;TEXT(MONTH($A75),"00")&amp;"-"&amp;TEXT(DAY($A75),"00"),history!$N:$N,"&gt;=28")),"")</f>
        <v>30</v>
      </c>
      <c r="I75" s="3">
        <f>IFERROR(IF(_xlfn.MINIFS(history!$H:$H,history!$C:$C,"vivo",history!$D:$D,"prepaid",history!$A:$A,YEAR($A75)&amp;"-"&amp;TEXT(MONTH($A75),"00")&amp;"-"&amp;TEXT(DAY($A75),"00"),history!$N:$N,"&gt;=28")=0,"",_xlfn.MINIFS(history!$H:$H,history!$C:$C,"vivo",history!$D:$D,"prepaid",history!$A:$A,YEAR($A75)&amp;"-"&amp;TEXT(MONTH($A75),"00")&amp;"-"&amp;TEXT(DAY($A75),"00"),history!$N:$N,"&gt;=28")),"")</f>
        <v>30</v>
      </c>
      <c r="J75" s="3">
        <f>IFERROR(IF(_xlfn.MINIFS(history!$H:$H,history!$C:$C,"claro",history!$D:$D,"prepaid",history!$A:$A,YEAR($A75)&amp;"-"&amp;TEXT(MONTH($A75),"00")&amp;"-"&amp;TEXT(DAY($A75),"00"),history!$N:$N,"&gt;=28")=0,"",_xlfn.MINIFS(history!$H:$H,history!$C:$C,"claro",history!$D:$D,"prepaid",history!$A:$A,YEAR($A75)&amp;"-"&amp;TEXT(MONTH($A75),"00")&amp;"-"&amp;TEXT(DAY($A75),"00"),history!$N:$N,"&gt;=28")),"")</f>
        <v>30</v>
      </c>
      <c r="K75" s="3">
        <f>IFERROR(1/MAX(IFERROR(1/_xlfn.MINIFS(history!$H:$H,history!$C:$C,"tim",history!$D:$D,"lite",history!$A:$A,YEAR($A75)&amp;"-"&amp;TEXT(MONTH($A75),"00")&amp;"-"&amp;TEXT(DAY($A75),"00"),history!$S:$S,"&gt;0"),0),IFERROR(1/_xlfn.MINIFS(history!$H:$H,history!$C:$C,"tim",history!$D:$D,"flex",history!$A:$A,YEAR($A75)&amp;"-"&amp;TEXT(MONTH($A75),"00")&amp;"-"&amp;TEXT(DAY($A75),"00")),0),IFERROR(1/_xlfn.MINIFS(history!$H:$H,history!$C:$C,"tim",history!$D:$D,"fit",history!$A:$A,YEAR($A75)&amp;"-"&amp;TEXT(MONTH($A75),"00")&amp;"-"&amp;TEXT(DAY($A75),"00"),history!$S:$S,"="),0)),"")</f>
        <v>20</v>
      </c>
      <c r="L75" s="3">
        <f>IFERROR(1/MAX(IFERROR(1/_xlfn.MINIFS(history!$H:$H,history!$C:$C,"vivo",history!$D:$D,"lite",history!$A:$A,YEAR($A75)&amp;"-"&amp;TEXT(MONTH($A75),"00")&amp;"-"&amp;TEXT(DAY($A75),"00"),history!$S:$S,"&gt;0"),0),IFERROR(1/_xlfn.MINIFS(history!$H:$H,history!$C:$C,"vivo",history!$D:$D,"flex",history!$A:$A,YEAR($A75)&amp;"-"&amp;TEXT(MONTH($A75),"00")&amp;"-"&amp;TEXT(DAY($A75),"00")),0),IFERROR(1/_xlfn.MINIFS(history!$H:$H,history!$C:$C,"vivo",history!$D:$D,"fit",history!$A:$A,YEAR($A75)&amp;"-"&amp;TEXT(MONTH($A75),"00")&amp;"-"&amp;TEXT(DAY($A75),"00"),history!$S:$S,"="),0)),"")</f>
        <v>45</v>
      </c>
      <c r="M75" s="3">
        <f>IFERROR(1/MAX(IFERROR(1/_xlfn.MINIFS(history!$H:$H,history!$C:$C,"claro",history!$D:$D,"lite",history!$A:$A,YEAR($A75)&amp;"-"&amp;TEXT(MONTH($A75),"00")&amp;"-"&amp;TEXT(DAY($A75),"00"),history!$S:$S,"&gt;0"),0),IFERROR(1/_xlfn.MINIFS(history!$H:$H,history!$C:$C,"claro",history!$D:$D,"flex",history!$A:$A,YEAR($A75)&amp;"-"&amp;TEXT(MONTH($A75),"00")&amp;"-"&amp;TEXT(DAY($A75),"00")),0),IFERROR(1/_xlfn.MINIFS(history!$H:$H,history!$C:$C,"claro",history!$D:$D,"fit",history!$A:$A,YEAR($A75)&amp;"-"&amp;TEXT(MONTH($A75),"00")&amp;"-"&amp;TEXT(DAY($A75),"00"),history!$S:$S,"="),0)),"")</f>
        <v>44.9</v>
      </c>
    </row>
    <row r="76">
      <c r="A76" s="12" t="n">
        <v>46271</v>
      </c>
      <c r="B76" s="3">
        <f>IFERROR(IF(_xlfn.MINIFS(history!$H:$H,history!$C:$C,"tim",history!$D:$D,"control",history!$A:$A,YEAR($A76)&amp;"-"&amp;TEXT(MONTH($A76),"00")&amp;"-"&amp;TEXT(DAY($A76),"00"))=0,"",_xlfn.MINIFS(history!$H:$H,history!$C:$C,"tim",history!$D:$D,"control",history!$A:$A,YEAR($A76)&amp;"-"&amp;TEXT(MONTH($A76),"00")&amp;"-"&amp;TEXT(DAY($A76),"00"))),"")</f>
        <v>49.99</v>
      </c>
      <c r="C76" s="3">
        <f>IFERROR(IF(_xlfn.MINIFS(history!$H:$H,history!$C:$C,"vivo",history!$D:$D,"control",history!$A:$A,YEAR($A76)&amp;"-"&amp;TEXT(MONTH($A76),"00")&amp;"-"&amp;TEXT(DAY($A76),"00"))=0,"",_xlfn.MINIFS(history!$H:$H,history!$C:$C,"vivo",history!$D:$D,"control",history!$A:$A,YEAR($A76)&amp;"-"&amp;TEXT(MONTH($A76),"00")&amp;"-"&amp;TEXT(DAY($A76),"00"))),"")</f>
        <v>59</v>
      </c>
      <c r="D76" s="3">
        <f>IFERROR(IF(_xlfn.MINIFS(history!$H:$H,history!$C:$C,"claro",history!$D:$D,"control",history!$A:$A,YEAR($A76)&amp;"-"&amp;TEXT(MONTH($A76),"00")&amp;"-"&amp;TEXT(DAY($A76),"00"))=0,"",_xlfn.MINIFS(history!$H:$H,history!$C:$C,"claro",history!$D:$D,"control",history!$A:$A,YEAR($A76)&amp;"-"&amp;TEXT(MONTH($A76),"00")&amp;"-"&amp;TEXT(DAY($A76),"00"))),"")</f>
        <v>59.9</v>
      </c>
      <c r="E76" s="3">
        <f>IFERROR(IF(_xlfn.MINIFS(history!$H:$H,history!$C:$C,"tim",history!$D:$D,"postpaid",history!$A:$A,YEAR($A76)&amp;"-"&amp;TEXT(MONTH($A76),"00")&amp;"-"&amp;TEXT(DAY($A76),"00"))=0,"",_xlfn.MINIFS(history!$H:$H,history!$C:$C,"tim",history!$D:$D,"postpaid",history!$A:$A,YEAR($A76)&amp;"-"&amp;TEXT(MONTH($A76),"00")&amp;"-"&amp;TEXT(DAY($A76),"00"))),"")</f>
        <v>119.99</v>
      </c>
      <c r="F76" s="3">
        <f>IFERROR(IF(_xlfn.MINIFS(history!$H:$H,history!$C:$C,"vivo",history!$D:$D,"postpaid",history!$A:$A,YEAR($A76)&amp;"-"&amp;TEXT(MONTH($A76),"00")&amp;"-"&amp;TEXT(DAY($A76),"00"))=0,"",_xlfn.MINIFS(history!$H:$H,history!$C:$C,"vivo",history!$D:$D,"postpaid",history!$A:$A,YEAR($A76)&amp;"-"&amp;TEXT(MONTH($A76),"00")&amp;"-"&amp;TEXT(DAY($A76),"00"))),"")</f>
        <v>150</v>
      </c>
      <c r="G76" s="3">
        <f>IFERROR(IF(_xlfn.MINIFS(history!$H:$H,history!$C:$C,"claro",history!$D:$D,"postpaid",history!$A:$A,YEAR($A76)&amp;"-"&amp;TEXT(MONTH($A76),"00")&amp;"-"&amp;TEXT(DAY($A76),"00"))=0,"",_xlfn.MINIFS(history!$H:$H,history!$C:$C,"claro",history!$D:$D,"postpaid",history!$A:$A,YEAR($A76)&amp;"-"&amp;TEXT(MONTH($A76),"00")&amp;"-"&amp;TEXT(DAY($A76),"00"))),"")</f>
        <v>124.9</v>
      </c>
      <c r="H76" s="3">
        <f>IFERROR(IF(_xlfn.MINIFS(history!$H:$H,history!$C:$C,"tim",history!$D:$D,"prepaid",history!$A:$A,YEAR($A76)&amp;"-"&amp;TEXT(MONTH($A76),"00")&amp;"-"&amp;TEXT(DAY($A76),"00"),history!$N:$N,"&gt;=28")=0,"",_xlfn.MINIFS(history!$H:$H,history!$C:$C,"tim",history!$D:$D,"prepaid",history!$A:$A,YEAR($A76)&amp;"-"&amp;TEXT(MONTH($A76),"00")&amp;"-"&amp;TEXT(DAY($A76),"00"),history!$N:$N,"&gt;=28")),"")</f>
        <v>30</v>
      </c>
      <c r="I76" s="3">
        <f>IFERROR(IF(_xlfn.MINIFS(history!$H:$H,history!$C:$C,"vivo",history!$D:$D,"prepaid",history!$A:$A,YEAR($A76)&amp;"-"&amp;TEXT(MONTH($A76),"00")&amp;"-"&amp;TEXT(DAY($A76),"00"),history!$N:$N,"&gt;=28")=0,"",_xlfn.MINIFS(history!$H:$H,history!$C:$C,"vivo",history!$D:$D,"prepaid",history!$A:$A,YEAR($A76)&amp;"-"&amp;TEXT(MONTH($A76),"00")&amp;"-"&amp;TEXT(DAY($A76),"00"),history!$N:$N,"&gt;=28")),"")</f>
        <v>30</v>
      </c>
      <c r="J76" s="3">
        <f>IFERROR(IF(_xlfn.MINIFS(history!$H:$H,history!$C:$C,"claro",history!$D:$D,"prepaid",history!$A:$A,YEAR($A76)&amp;"-"&amp;TEXT(MONTH($A76),"00")&amp;"-"&amp;TEXT(DAY($A76),"00"),history!$N:$N,"&gt;=28")=0,"",_xlfn.MINIFS(history!$H:$H,history!$C:$C,"claro",history!$D:$D,"prepaid",history!$A:$A,YEAR($A76)&amp;"-"&amp;TEXT(MONTH($A76),"00")&amp;"-"&amp;TEXT(DAY($A76),"00"),history!$N:$N,"&gt;=28")),"")</f>
        <v>30</v>
      </c>
      <c r="K76" s="3">
        <f>IFERROR(1/MAX(IFERROR(1/_xlfn.MINIFS(history!$H:$H,history!$C:$C,"tim",history!$D:$D,"lite",history!$A:$A,YEAR($A76)&amp;"-"&amp;TEXT(MONTH($A76),"00")&amp;"-"&amp;TEXT(DAY($A76),"00"),history!$S:$S,"&gt;0"),0),IFERROR(1/_xlfn.MINIFS(history!$H:$H,history!$C:$C,"tim",history!$D:$D,"flex",history!$A:$A,YEAR($A76)&amp;"-"&amp;TEXT(MONTH($A76),"00")&amp;"-"&amp;TEXT(DAY($A76),"00")),0),IFERROR(1/_xlfn.MINIFS(history!$H:$H,history!$C:$C,"tim",history!$D:$D,"fit",history!$A:$A,YEAR($A76)&amp;"-"&amp;TEXT(MONTH($A76),"00")&amp;"-"&amp;TEXT(DAY($A76),"00"),history!$S:$S,"="),0)),"")</f>
        <v>20</v>
      </c>
      <c r="L76" s="3">
        <f>IFERROR(1/MAX(IFERROR(1/_xlfn.MINIFS(history!$H:$H,history!$C:$C,"vivo",history!$D:$D,"lite",history!$A:$A,YEAR($A76)&amp;"-"&amp;TEXT(MONTH($A76),"00")&amp;"-"&amp;TEXT(DAY($A76),"00"),history!$S:$S,"&gt;0"),0),IFERROR(1/_xlfn.MINIFS(history!$H:$H,history!$C:$C,"vivo",history!$D:$D,"flex",history!$A:$A,YEAR($A76)&amp;"-"&amp;TEXT(MONTH($A76),"00")&amp;"-"&amp;TEXT(DAY($A76),"00")),0),IFERROR(1/_xlfn.MINIFS(history!$H:$H,history!$C:$C,"vivo",history!$D:$D,"fit",history!$A:$A,YEAR($A76)&amp;"-"&amp;TEXT(MONTH($A76),"00")&amp;"-"&amp;TEXT(DAY($A76),"00"),history!$S:$S,"="),0)),"")</f>
        <v>45</v>
      </c>
      <c r="M76" s="3">
        <f>IFERROR(1/MAX(IFERROR(1/_xlfn.MINIFS(history!$H:$H,history!$C:$C,"claro",history!$D:$D,"lite",history!$A:$A,YEAR($A76)&amp;"-"&amp;TEXT(MONTH($A76),"00")&amp;"-"&amp;TEXT(DAY($A76),"00"),history!$S:$S,"&gt;0"),0),IFERROR(1/_xlfn.MINIFS(history!$H:$H,history!$C:$C,"claro",history!$D:$D,"flex",history!$A:$A,YEAR($A76)&amp;"-"&amp;TEXT(MONTH($A76),"00")&amp;"-"&amp;TEXT(DAY($A76),"00")),0),IFERROR(1/_xlfn.MINIFS(history!$H:$H,history!$C:$C,"claro",history!$D:$D,"fit",history!$A:$A,YEAR($A76)&amp;"-"&amp;TEXT(MONTH($A76),"00")&amp;"-"&amp;TEXT(DAY($A76),"00"),history!$S:$S,"="),0)),"")</f>
        <v>44.9</v>
      </c>
    </row>
    <row r="77">
      <c r="A77" s="12" t="n">
        <v>46272</v>
      </c>
      <c r="B77" s="3">
        <f>IFERROR(IF(_xlfn.MINIFS(history!$H:$H,history!$C:$C,"tim",history!$D:$D,"control",history!$A:$A,YEAR($A77)&amp;"-"&amp;TEXT(MONTH($A77),"00")&amp;"-"&amp;TEXT(DAY($A77),"00"))=0,"",_xlfn.MINIFS(history!$H:$H,history!$C:$C,"tim",history!$D:$D,"control",history!$A:$A,YEAR($A77)&amp;"-"&amp;TEXT(MONTH($A77),"00")&amp;"-"&amp;TEXT(DAY($A77),"00"))),"")</f>
        <v>49.99</v>
      </c>
      <c r="C77" s="3">
        <f>IFERROR(IF(_xlfn.MINIFS(history!$H:$H,history!$C:$C,"vivo",history!$D:$D,"control",history!$A:$A,YEAR($A77)&amp;"-"&amp;TEXT(MONTH($A77),"00")&amp;"-"&amp;TEXT(DAY($A77),"00"))=0,"",_xlfn.MINIFS(history!$H:$H,history!$C:$C,"vivo",history!$D:$D,"control",history!$A:$A,YEAR($A77)&amp;"-"&amp;TEXT(MONTH($A77),"00")&amp;"-"&amp;TEXT(DAY($A77),"00"))),"")</f>
        <v>59</v>
      </c>
      <c r="D77" s="3">
        <f>IFERROR(IF(_xlfn.MINIFS(history!$H:$H,history!$C:$C,"claro",history!$D:$D,"control",history!$A:$A,YEAR($A77)&amp;"-"&amp;TEXT(MONTH($A77),"00")&amp;"-"&amp;TEXT(DAY($A77),"00"))=0,"",_xlfn.MINIFS(history!$H:$H,history!$C:$C,"claro",history!$D:$D,"control",history!$A:$A,YEAR($A77)&amp;"-"&amp;TEXT(MONTH($A77),"00")&amp;"-"&amp;TEXT(DAY($A77),"00"))),"")</f>
        <v>59.9</v>
      </c>
      <c r="E77" s="3">
        <f>IFERROR(IF(_xlfn.MINIFS(history!$H:$H,history!$C:$C,"tim",history!$D:$D,"postpaid",history!$A:$A,YEAR($A77)&amp;"-"&amp;TEXT(MONTH($A77),"00")&amp;"-"&amp;TEXT(DAY($A77),"00"))=0,"",_xlfn.MINIFS(history!$H:$H,history!$C:$C,"tim",history!$D:$D,"postpaid",history!$A:$A,YEAR($A77)&amp;"-"&amp;TEXT(MONTH($A77),"00")&amp;"-"&amp;TEXT(DAY($A77),"00"))),"")</f>
        <v>119.99</v>
      </c>
      <c r="F77" s="3">
        <f>IFERROR(IF(_xlfn.MINIFS(history!$H:$H,history!$C:$C,"vivo",history!$D:$D,"postpaid",history!$A:$A,YEAR($A77)&amp;"-"&amp;TEXT(MONTH($A77),"00")&amp;"-"&amp;TEXT(DAY($A77),"00"))=0,"",_xlfn.MINIFS(history!$H:$H,history!$C:$C,"vivo",history!$D:$D,"postpaid",history!$A:$A,YEAR($A77)&amp;"-"&amp;TEXT(MONTH($A77),"00")&amp;"-"&amp;TEXT(DAY($A77),"00"))),"")</f>
        <v>150</v>
      </c>
      <c r="G77" s="3">
        <f>IFERROR(IF(_xlfn.MINIFS(history!$H:$H,history!$C:$C,"claro",history!$D:$D,"postpaid",history!$A:$A,YEAR($A77)&amp;"-"&amp;TEXT(MONTH($A77),"00")&amp;"-"&amp;TEXT(DAY($A77),"00"))=0,"",_xlfn.MINIFS(history!$H:$H,history!$C:$C,"claro",history!$D:$D,"postpaid",history!$A:$A,YEAR($A77)&amp;"-"&amp;TEXT(MONTH($A77),"00")&amp;"-"&amp;TEXT(DAY($A77),"00"))),"")</f>
        <v>124.9</v>
      </c>
      <c r="H77" s="3">
        <f>IFERROR(IF(_xlfn.MINIFS(history!$H:$H,history!$C:$C,"tim",history!$D:$D,"prepaid",history!$A:$A,YEAR($A77)&amp;"-"&amp;TEXT(MONTH($A77),"00")&amp;"-"&amp;TEXT(DAY($A77),"00"),history!$N:$N,"&gt;=28")=0,"",_xlfn.MINIFS(history!$H:$H,history!$C:$C,"tim",history!$D:$D,"prepaid",history!$A:$A,YEAR($A77)&amp;"-"&amp;TEXT(MONTH($A77),"00")&amp;"-"&amp;TEXT(DAY($A77),"00"),history!$N:$N,"&gt;=28")),"")</f>
        <v>30</v>
      </c>
      <c r="I77" s="3">
        <f>IFERROR(IF(_xlfn.MINIFS(history!$H:$H,history!$C:$C,"vivo",history!$D:$D,"prepaid",history!$A:$A,YEAR($A77)&amp;"-"&amp;TEXT(MONTH($A77),"00")&amp;"-"&amp;TEXT(DAY($A77),"00"),history!$N:$N,"&gt;=28")=0,"",_xlfn.MINIFS(history!$H:$H,history!$C:$C,"vivo",history!$D:$D,"prepaid",history!$A:$A,YEAR($A77)&amp;"-"&amp;TEXT(MONTH($A77),"00")&amp;"-"&amp;TEXT(DAY($A77),"00"),history!$N:$N,"&gt;=28")),"")</f>
        <v>30</v>
      </c>
      <c r="J77" s="3">
        <f>IFERROR(IF(_xlfn.MINIFS(history!$H:$H,history!$C:$C,"claro",history!$D:$D,"prepaid",history!$A:$A,YEAR($A77)&amp;"-"&amp;TEXT(MONTH($A77),"00")&amp;"-"&amp;TEXT(DAY($A77),"00"),history!$N:$N,"&gt;=28")=0,"",_xlfn.MINIFS(history!$H:$H,history!$C:$C,"claro",history!$D:$D,"prepaid",history!$A:$A,YEAR($A77)&amp;"-"&amp;TEXT(MONTH($A77),"00")&amp;"-"&amp;TEXT(DAY($A77),"00"),history!$N:$N,"&gt;=28")),"")</f>
        <v>30</v>
      </c>
      <c r="K77" s="3">
        <f>IFERROR(1/MAX(IFERROR(1/_xlfn.MINIFS(history!$H:$H,history!$C:$C,"tim",history!$D:$D,"lite",history!$A:$A,YEAR($A77)&amp;"-"&amp;TEXT(MONTH($A77),"00")&amp;"-"&amp;TEXT(DAY($A77),"00"),history!$S:$S,"&gt;0"),0),IFERROR(1/_xlfn.MINIFS(history!$H:$H,history!$C:$C,"tim",history!$D:$D,"flex",history!$A:$A,YEAR($A77)&amp;"-"&amp;TEXT(MONTH($A77),"00")&amp;"-"&amp;TEXT(DAY($A77),"00")),0),IFERROR(1/_xlfn.MINIFS(history!$H:$H,history!$C:$C,"tim",history!$D:$D,"fit",history!$A:$A,YEAR($A77)&amp;"-"&amp;TEXT(MONTH($A77),"00")&amp;"-"&amp;TEXT(DAY($A77),"00"),history!$S:$S,"="),0)),"")</f>
        <v>20</v>
      </c>
      <c r="L77" s="3">
        <f>IFERROR(1/MAX(IFERROR(1/_xlfn.MINIFS(history!$H:$H,history!$C:$C,"vivo",history!$D:$D,"lite",history!$A:$A,YEAR($A77)&amp;"-"&amp;TEXT(MONTH($A77),"00")&amp;"-"&amp;TEXT(DAY($A77),"00"),history!$S:$S,"&gt;0"),0),IFERROR(1/_xlfn.MINIFS(history!$H:$H,history!$C:$C,"vivo",history!$D:$D,"flex",history!$A:$A,YEAR($A77)&amp;"-"&amp;TEXT(MONTH($A77),"00")&amp;"-"&amp;TEXT(DAY($A77),"00")),0),IFERROR(1/_xlfn.MINIFS(history!$H:$H,history!$C:$C,"vivo",history!$D:$D,"fit",history!$A:$A,YEAR($A77)&amp;"-"&amp;TEXT(MONTH($A77),"00")&amp;"-"&amp;TEXT(DAY($A77),"00"),history!$S:$S,"="),0)),"")</f>
        <v>45</v>
      </c>
      <c r="M77" s="3">
        <f>IFERROR(1/MAX(IFERROR(1/_xlfn.MINIFS(history!$H:$H,history!$C:$C,"claro",history!$D:$D,"lite",history!$A:$A,YEAR($A77)&amp;"-"&amp;TEXT(MONTH($A77),"00")&amp;"-"&amp;TEXT(DAY($A77),"00"),history!$S:$S,"&gt;0"),0),IFERROR(1/_xlfn.MINIFS(history!$H:$H,history!$C:$C,"claro",history!$D:$D,"flex",history!$A:$A,YEAR($A77)&amp;"-"&amp;TEXT(MONTH($A77),"00")&amp;"-"&amp;TEXT(DAY($A77),"00")),0),IFERROR(1/_xlfn.MINIFS(history!$H:$H,history!$C:$C,"claro",history!$D:$D,"fit",history!$A:$A,YEAR($A77)&amp;"-"&amp;TEXT(MONTH($A77),"00")&amp;"-"&amp;TEXT(DAY($A77),"00"),history!$S:$S,"="),0)),"")</f>
        <v>44.9</v>
      </c>
    </row>
    <row r="78">
      <c r="A78" s="12" t="n">
        <v>46273</v>
      </c>
      <c r="B78" s="3">
        <f>IFERROR(IF(_xlfn.MINIFS(history!$H:$H,history!$C:$C,"tim",history!$D:$D,"control",history!$A:$A,YEAR($A78)&amp;"-"&amp;TEXT(MONTH($A78),"00")&amp;"-"&amp;TEXT(DAY($A78),"00"))=0,"",_xlfn.MINIFS(history!$H:$H,history!$C:$C,"tim",history!$D:$D,"control",history!$A:$A,YEAR($A78)&amp;"-"&amp;TEXT(MONTH($A78),"00")&amp;"-"&amp;TEXT(DAY($A78),"00"))),"")</f>
        <v>49.99</v>
      </c>
      <c r="C78" s="3">
        <f>IFERROR(IF(_xlfn.MINIFS(history!$H:$H,history!$C:$C,"vivo",history!$D:$D,"control",history!$A:$A,YEAR($A78)&amp;"-"&amp;TEXT(MONTH($A78),"00")&amp;"-"&amp;TEXT(DAY($A78),"00"))=0,"",_xlfn.MINIFS(history!$H:$H,history!$C:$C,"vivo",history!$D:$D,"control",history!$A:$A,YEAR($A78)&amp;"-"&amp;TEXT(MONTH($A78),"00")&amp;"-"&amp;TEXT(DAY($A78),"00"))),"")</f>
        <v>59</v>
      </c>
      <c r="D78" s="3">
        <f>IFERROR(IF(_xlfn.MINIFS(history!$H:$H,history!$C:$C,"claro",history!$D:$D,"control",history!$A:$A,YEAR($A78)&amp;"-"&amp;TEXT(MONTH($A78),"00")&amp;"-"&amp;TEXT(DAY($A78),"00"))=0,"",_xlfn.MINIFS(history!$H:$H,history!$C:$C,"claro",history!$D:$D,"control",history!$A:$A,YEAR($A78)&amp;"-"&amp;TEXT(MONTH($A78),"00")&amp;"-"&amp;TEXT(DAY($A78),"00"))),"")</f>
        <v>59.9</v>
      </c>
      <c r="E78" s="3">
        <f>IFERROR(IF(_xlfn.MINIFS(history!$H:$H,history!$C:$C,"tim",history!$D:$D,"postpaid",history!$A:$A,YEAR($A78)&amp;"-"&amp;TEXT(MONTH($A78),"00")&amp;"-"&amp;TEXT(DAY($A78),"00"))=0,"",_xlfn.MINIFS(history!$H:$H,history!$C:$C,"tim",history!$D:$D,"postpaid",history!$A:$A,YEAR($A78)&amp;"-"&amp;TEXT(MONTH($A78),"00")&amp;"-"&amp;TEXT(DAY($A78),"00"))),"")</f>
        <v>119.99</v>
      </c>
      <c r="F78" s="3">
        <f>IFERROR(IF(_xlfn.MINIFS(history!$H:$H,history!$C:$C,"vivo",history!$D:$D,"postpaid",history!$A:$A,YEAR($A78)&amp;"-"&amp;TEXT(MONTH($A78),"00")&amp;"-"&amp;TEXT(DAY($A78),"00"))=0,"",_xlfn.MINIFS(history!$H:$H,history!$C:$C,"vivo",history!$D:$D,"postpaid",history!$A:$A,YEAR($A78)&amp;"-"&amp;TEXT(MONTH($A78),"00")&amp;"-"&amp;TEXT(DAY($A78),"00"))),"")</f>
        <v>150</v>
      </c>
      <c r="G78" s="3">
        <f>IFERROR(IF(_xlfn.MINIFS(history!$H:$H,history!$C:$C,"claro",history!$D:$D,"postpaid",history!$A:$A,YEAR($A78)&amp;"-"&amp;TEXT(MONTH($A78),"00")&amp;"-"&amp;TEXT(DAY($A78),"00"))=0,"",_xlfn.MINIFS(history!$H:$H,history!$C:$C,"claro",history!$D:$D,"postpaid",history!$A:$A,YEAR($A78)&amp;"-"&amp;TEXT(MONTH($A78),"00")&amp;"-"&amp;TEXT(DAY($A78),"00"))),"")</f>
        <v>124.9</v>
      </c>
      <c r="H78" s="3">
        <f>IFERROR(IF(_xlfn.MINIFS(history!$H:$H,history!$C:$C,"tim",history!$D:$D,"prepaid",history!$A:$A,YEAR($A78)&amp;"-"&amp;TEXT(MONTH($A78),"00")&amp;"-"&amp;TEXT(DAY($A78),"00"),history!$N:$N,"&gt;=28")=0,"",_xlfn.MINIFS(history!$H:$H,history!$C:$C,"tim",history!$D:$D,"prepaid",history!$A:$A,YEAR($A78)&amp;"-"&amp;TEXT(MONTH($A78),"00")&amp;"-"&amp;TEXT(DAY($A78),"00"),history!$N:$N,"&gt;=28")),"")</f>
        <v>30</v>
      </c>
      <c r="I78" s="3">
        <f>IFERROR(IF(_xlfn.MINIFS(history!$H:$H,history!$C:$C,"vivo",history!$D:$D,"prepaid",history!$A:$A,YEAR($A78)&amp;"-"&amp;TEXT(MONTH($A78),"00")&amp;"-"&amp;TEXT(DAY($A78),"00"),history!$N:$N,"&gt;=28")=0,"",_xlfn.MINIFS(history!$H:$H,history!$C:$C,"vivo",history!$D:$D,"prepaid",history!$A:$A,YEAR($A78)&amp;"-"&amp;TEXT(MONTH($A78),"00")&amp;"-"&amp;TEXT(DAY($A78),"00"),history!$N:$N,"&gt;=28")),"")</f>
        <v>30</v>
      </c>
      <c r="J78" s="3">
        <f>IFERROR(IF(_xlfn.MINIFS(history!$H:$H,history!$C:$C,"claro",history!$D:$D,"prepaid",history!$A:$A,YEAR($A78)&amp;"-"&amp;TEXT(MONTH($A78),"00")&amp;"-"&amp;TEXT(DAY($A78),"00"),history!$N:$N,"&gt;=28")=0,"",_xlfn.MINIFS(history!$H:$H,history!$C:$C,"claro",history!$D:$D,"prepaid",history!$A:$A,YEAR($A78)&amp;"-"&amp;TEXT(MONTH($A78),"00")&amp;"-"&amp;TEXT(DAY($A78),"00"),history!$N:$N,"&gt;=28")),"")</f>
        <v>30</v>
      </c>
      <c r="K78" s="3">
        <f>IFERROR(1/MAX(IFERROR(1/_xlfn.MINIFS(history!$H:$H,history!$C:$C,"tim",history!$D:$D,"lite",history!$A:$A,YEAR($A78)&amp;"-"&amp;TEXT(MONTH($A78),"00")&amp;"-"&amp;TEXT(DAY($A78),"00"),history!$S:$S,"&gt;0"),0),IFERROR(1/_xlfn.MINIFS(history!$H:$H,history!$C:$C,"tim",history!$D:$D,"flex",history!$A:$A,YEAR($A78)&amp;"-"&amp;TEXT(MONTH($A78),"00")&amp;"-"&amp;TEXT(DAY($A78),"00")),0),IFERROR(1/_xlfn.MINIFS(history!$H:$H,history!$C:$C,"tim",history!$D:$D,"fit",history!$A:$A,YEAR($A78)&amp;"-"&amp;TEXT(MONTH($A78),"00")&amp;"-"&amp;TEXT(DAY($A78),"00"),history!$S:$S,"="),0)),"")</f>
        <v>20</v>
      </c>
      <c r="L78" s="3">
        <f>IFERROR(1/MAX(IFERROR(1/_xlfn.MINIFS(history!$H:$H,history!$C:$C,"vivo",history!$D:$D,"lite",history!$A:$A,YEAR($A78)&amp;"-"&amp;TEXT(MONTH($A78),"00")&amp;"-"&amp;TEXT(DAY($A78),"00"),history!$S:$S,"&gt;0"),0),IFERROR(1/_xlfn.MINIFS(history!$H:$H,history!$C:$C,"vivo",history!$D:$D,"flex",history!$A:$A,YEAR($A78)&amp;"-"&amp;TEXT(MONTH($A78),"00")&amp;"-"&amp;TEXT(DAY($A78),"00")),0),IFERROR(1/_xlfn.MINIFS(history!$H:$H,history!$C:$C,"vivo",history!$D:$D,"fit",history!$A:$A,YEAR($A78)&amp;"-"&amp;TEXT(MONTH($A78),"00")&amp;"-"&amp;TEXT(DAY($A78),"00"),history!$S:$S,"="),0)),"")</f>
        <v>45</v>
      </c>
      <c r="M78" s="3">
        <f>IFERROR(1/MAX(IFERROR(1/_xlfn.MINIFS(history!$H:$H,history!$C:$C,"claro",history!$D:$D,"lite",history!$A:$A,YEAR($A78)&amp;"-"&amp;TEXT(MONTH($A78),"00")&amp;"-"&amp;TEXT(DAY($A78),"00"),history!$S:$S,"&gt;0"),0),IFERROR(1/_xlfn.MINIFS(history!$H:$H,history!$C:$C,"claro",history!$D:$D,"flex",history!$A:$A,YEAR($A78)&amp;"-"&amp;TEXT(MONTH($A78),"00")&amp;"-"&amp;TEXT(DAY($A78),"00")),0),IFERROR(1/_xlfn.MINIFS(history!$H:$H,history!$C:$C,"claro",history!$D:$D,"fit",history!$A:$A,YEAR($A78)&amp;"-"&amp;TEXT(MONTH($A78),"00")&amp;"-"&amp;TEXT(DAY($A78),"00"),history!$S:$S,"="),0)),"")</f>
        <v>44.9</v>
      </c>
    </row>
    <row r="80">
      <c r="A80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81">
      <c r="A81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78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78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78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78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IF('comparison'!B78="",NA(),'comparison'!B78)</f>
        <v/>
      </c>
      <c r="R38" s="10">
        <f>IF('comparison'!C78="",NA(),'comparison'!C78)</f>
        <v/>
      </c>
      <c r="S38" s="10">
        <f>IF('comparison'!D78="",NA(),'comparison'!D78)</f>
        <v/>
      </c>
    </row>
    <row r="39">
      <c r="P39" s="2" t="inlineStr">
        <is>
          <t>Post</t>
        </is>
      </c>
      <c r="Q39" s="10">
        <f>IF('comparison'!E78="",NA(),'comparison'!E78)</f>
        <v/>
      </c>
      <c r="R39" s="10">
        <f>IF('comparison'!F78="",NA(),'comparison'!F78)</f>
        <v/>
      </c>
      <c r="S39" s="10">
        <f>IF('comparison'!G78="",NA(),'comparison'!G78)</f>
        <v/>
      </c>
    </row>
    <row r="40">
      <c r="P40" s="2" t="inlineStr">
        <is>
          <t>Pre</t>
        </is>
      </c>
      <c r="Q40" s="10">
        <f>IF('comparison'!H78="",NA(),'comparison'!H78)</f>
        <v/>
      </c>
      <c r="R40" s="10">
        <f>IF('comparison'!I78="",NA(),'comparison'!I78)</f>
        <v/>
      </c>
      <c r="S40" s="10">
        <f>IF('comparison'!J78="",NA(),'comparison'!J78)</f>
        <v/>
      </c>
    </row>
    <row r="41">
      <c r="P41" s="2" t="inlineStr">
        <is>
          <t>Digital</t>
        </is>
      </c>
      <c r="Q41" s="10">
        <f>IF('comparison'!K78="",NA(),'comparison'!K78)</f>
        <v/>
      </c>
      <c r="R41" s="10">
        <f>IF('comparison'!L78="",NA(),'comparison'!L78)</f>
        <v/>
      </c>
      <c r="S41" s="10">
        <f>IF('comparison'!M78="",NA(),'comparison'!M78)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6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Premium 110GB (110GB)</t>
        </is>
      </c>
    </row>
    <row r="10">
      <c r="A10" s="5" t="n">
        <v>6</v>
      </c>
      <c r="B10" s="6" t="n">
        <v>180</v>
      </c>
      <c r="C10" s="15" t="n"/>
      <c r="D10" s="6" t="n">
        <v>164.99</v>
      </c>
      <c r="E10" s="5" t="inlineStr">
        <is>
          <t>Vivo Pós com Premiere (60GB)</t>
        </is>
      </c>
      <c r="F10" s="15" t="n"/>
      <c r="G10" s="5" t="inlineStr">
        <is>
          <t>TIM Black C Express 107GB (107GB)</t>
        </is>
      </c>
    </row>
    <row r="11">
      <c r="A11" s="2" t="n">
        <v>7</v>
      </c>
      <c r="B11" s="3" t="n">
        <v>215</v>
      </c>
      <c r="E11" s="2" t="inlineStr">
        <is>
          <t>Vivo Pós com Travel (70GB)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49.99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70</v>
      </c>
      <c r="C20" s="6" t="n">
        <v>69.90000000000001</v>
      </c>
      <c r="D20" s="6" t="n">
        <v>59.99</v>
      </c>
      <c r="E20" s="5" t="inlineStr">
        <is>
          <t>Vivo Controle Amazon (48GB)</t>
        </is>
      </c>
      <c r="F20" s="5" t="inlineStr">
        <is>
          <t>Controle 30GB (30GB)</t>
        </is>
      </c>
      <c r="G20" s="5" t="inlineStr">
        <is>
          <t>TIM Controle Redes Sociais 46GB (46GB)</t>
        </is>
      </c>
    </row>
    <row r="21">
      <c r="A21" s="2" t="n">
        <v>3</v>
      </c>
      <c r="B21" s="3" t="n">
        <v>75</v>
      </c>
      <c r="C21" s="3" t="n">
        <v>99.90000000000001</v>
      </c>
      <c r="D21" s="3" t="n">
        <v>60.99</v>
      </c>
      <c r="E21" s="2" t="inlineStr">
        <is>
          <t>Vivo Controle (50GB)</t>
        </is>
      </c>
      <c r="F21" s="2" t="inlineStr">
        <is>
          <t>Controle 30GB (30GB)</t>
        </is>
      </c>
      <c r="G21" s="2" t="inlineStr">
        <is>
          <t>TIM Controle Light Express 45GB (45GB)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Educação (50GB)</t>
        </is>
      </c>
      <c r="F22" s="15" t="n"/>
      <c r="G22" s="5" t="inlineStr">
        <is>
          <t>TIM Controle Pro Express 46GB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Música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Saúde (50GB)</t>
        </is>
      </c>
      <c r="F24" s="15" t="n"/>
      <c r="G24" s="15" t="n"/>
    </row>
    <row r="25">
      <c r="A25" s="2" t="n">
        <v>7</v>
      </c>
      <c r="B25" s="3" t="n">
        <v>85</v>
      </c>
      <c r="E25" s="2" t="inlineStr">
        <is>
          <t>Vivo Controle Youtube Lite (50GB)</t>
        </is>
      </c>
    </row>
    <row r="26">
      <c r="A26" s="5" t="n">
        <v>8</v>
      </c>
      <c r="B26" s="6" t="n">
        <v>90</v>
      </c>
      <c r="C26" s="15" t="n"/>
      <c r="D26" s="15" t="n"/>
      <c r="E26" s="5" t="inlineStr">
        <is>
          <t>Vivo Controle Netflix (50GB)</t>
        </is>
      </c>
      <c r="F26" s="15" t="n"/>
      <c r="G26" s="15" t="n"/>
    </row>
    <row r="27">
      <c r="A27" s="2" t="n">
        <v>9</v>
      </c>
      <c r="B27" s="3" t="n">
        <v>105</v>
      </c>
      <c r="E27" s="2" t="inlineStr">
        <is>
          <t>Vivo Controle Entretenimento (50GB)</t>
        </is>
      </c>
    </row>
    <row r="29">
      <c r="A29" s="14" t="inlineStr">
        <is>
          <t>Prepaid</t>
        </is>
      </c>
    </row>
    <row r="30">
      <c r="A30" s="13" t="inlineStr">
        <is>
          <t>Note: prepaid is not a clean unit — Claro Prezão is a daily fee (R$1/dia) vs Vivo/TIM recharge amounts.</t>
        </is>
      </c>
    </row>
    <row r="31">
      <c r="A31" s="1" t="inlineStr">
        <is>
          <t>Rank</t>
        </is>
      </c>
      <c r="B31" s="1" t="inlineStr">
        <is>
          <t>Vivo R$</t>
        </is>
      </c>
      <c r="C31" s="1" t="inlineStr">
        <is>
          <t>Claro R$</t>
        </is>
      </c>
      <c r="D31" s="1" t="inlineStr">
        <is>
          <t>TIM R$</t>
        </is>
      </c>
      <c r="E31" s="1" t="inlineStr">
        <is>
          <t>Vivo plan</t>
        </is>
      </c>
      <c r="F31" s="1" t="inlineStr">
        <is>
          <t>Claro plan</t>
        </is>
      </c>
      <c r="G31" s="1" t="inlineStr">
        <is>
          <t>TIM plan</t>
        </is>
      </c>
    </row>
    <row r="32">
      <c r="A32" s="2" t="n">
        <v>1</v>
      </c>
      <c r="B32" s="3" t="n">
        <v>17</v>
      </c>
      <c r="C32" s="3" t="n">
        <v>15</v>
      </c>
      <c r="D32" s="3" t="n">
        <v>20</v>
      </c>
      <c r="E32" s="2" t="inlineStr">
        <is>
          <t>Vivo Pré (4GB)</t>
        </is>
      </c>
      <c r="F32" s="2" t="inlineStr">
        <is>
          <t>Prezão 4GB (12 dias) (4GB)</t>
        </is>
      </c>
      <c r="G32" s="2" t="inlineStr">
        <is>
          <t>TIM Pré XIP Plus 6GB (6GB)</t>
        </is>
      </c>
    </row>
    <row r="33">
      <c r="A33" s="5" t="n">
        <v>2</v>
      </c>
      <c r="B33" s="6" t="n">
        <v>20</v>
      </c>
      <c r="C33" s="6" t="n">
        <v>15</v>
      </c>
      <c r="D33" s="6" t="n">
        <v>25</v>
      </c>
      <c r="E33" s="5" t="inlineStr">
        <is>
          <t>Vivo Pré (5GB)</t>
        </is>
      </c>
      <c r="F33" s="5" t="inlineStr">
        <is>
          <t>Prezão 5GB (15 dias) (5GB)</t>
        </is>
      </c>
      <c r="G33" s="5" t="inlineStr">
        <is>
          <t>TIM Pré XIP Plus 8GB (8GB)</t>
        </is>
      </c>
    </row>
    <row r="34">
      <c r="A34" s="2" t="n">
        <v>3</v>
      </c>
      <c r="B34" s="3" t="n">
        <v>25</v>
      </c>
      <c r="C34" s="3" t="n">
        <v>20</v>
      </c>
      <c r="D34" s="3" t="n">
        <v>30</v>
      </c>
      <c r="E34" s="2" t="inlineStr">
        <is>
          <t>Vivo Pré (9GB)</t>
        </is>
      </c>
      <c r="F34" s="2" t="inlineStr">
        <is>
          <t>Prezão 6GB (20 dias) (6GB)</t>
        </is>
      </c>
      <c r="G34" s="2" t="inlineStr">
        <is>
          <t>TIM Pré XIP Plus 16GB (16GB)</t>
        </is>
      </c>
    </row>
    <row r="35">
      <c r="A35" s="5" t="n">
        <v>4</v>
      </c>
      <c r="B35" s="6" t="n">
        <v>30</v>
      </c>
      <c r="C35" s="6" t="n">
        <v>20</v>
      </c>
      <c r="D35" s="15" t="n"/>
      <c r="E35" s="5" t="inlineStr">
        <is>
          <t>Vivo Pré (25GB)</t>
        </is>
      </c>
      <c r="F35" s="5" t="inlineStr">
        <is>
          <t>Prezão 8GB (20 dias) (8GB)</t>
        </is>
      </c>
      <c r="G35" s="15" t="n"/>
    </row>
    <row r="36">
      <c r="A36" s="2" t="n">
        <v>5</v>
      </c>
      <c r="C36" s="3" t="n">
        <v>25</v>
      </c>
      <c r="F36" s="2" t="inlineStr">
        <is>
          <t>Prezão 10GB (25 dias) (10GB)</t>
        </is>
      </c>
    </row>
    <row r="37">
      <c r="A37" s="5" t="n">
        <v>6</v>
      </c>
      <c r="B37" s="15" t="n"/>
      <c r="C37" s="6" t="n">
        <v>25</v>
      </c>
      <c r="D37" s="15" t="n"/>
      <c r="E37" s="15" t="n"/>
      <c r="F37" s="5" t="inlineStr">
        <is>
          <t>Prezão 9GB (25 dias) (9GB)</t>
        </is>
      </c>
      <c r="G37" s="15" t="n"/>
    </row>
    <row r="38">
      <c r="A38" s="2" t="n">
        <v>7</v>
      </c>
      <c r="C38" s="3" t="n">
        <v>30</v>
      </c>
      <c r="F38" s="2" t="inlineStr">
        <is>
          <t>Prezão 12GB (30 dias) (12GB)</t>
        </is>
      </c>
    </row>
    <row r="40">
      <c r="A40" s="14" t="inlineStr">
        <is>
          <t>Digital</t>
        </is>
      </c>
    </row>
    <row r="41">
      <c r="A41" s="13" t="inlineStr">
        <is>
          <t>Digital = Vivo Lite + Claro Flex + TIM Fit (#28); entry-level = no-commitment versions.</t>
        </is>
      </c>
    </row>
    <row r="42">
      <c r="A42" s="1" t="inlineStr">
        <is>
          <t>Rank</t>
        </is>
      </c>
      <c r="B42" s="1" t="inlineStr">
        <is>
          <t>Vivo R$</t>
        </is>
      </c>
      <c r="C42" s="1" t="inlineStr">
        <is>
          <t>Claro R$</t>
        </is>
      </c>
      <c r="D42" s="1" t="inlineStr">
        <is>
          <t>TIM R$</t>
        </is>
      </c>
      <c r="E42" s="1" t="inlineStr">
        <is>
          <t>Vivo plan</t>
        </is>
      </c>
      <c r="F42" s="1" t="inlineStr">
        <is>
          <t>Claro plan</t>
        </is>
      </c>
      <c r="G42" s="1" t="inlineStr">
        <is>
          <t>TIM plan</t>
        </is>
      </c>
    </row>
    <row r="43">
      <c r="A43" s="2" t="n">
        <v>1</v>
      </c>
      <c r="B43" s="3" t="n">
        <v>35</v>
      </c>
      <c r="C43" s="3" t="n">
        <v>44.9</v>
      </c>
      <c r="D43" s="3" t="n">
        <v>20</v>
      </c>
      <c r="E43" s="2" t="inlineStr">
        <is>
          <t>Vivo Lite (20GB)</t>
        </is>
      </c>
      <c r="F43" s="2" t="inlineStr">
        <is>
          <t>Flex 15GB (15GB)</t>
        </is>
      </c>
      <c r="G43" s="2" t="inlineStr">
        <is>
          <t>TIM Controle Fit Mensal 1.0 (20GB)</t>
        </is>
      </c>
    </row>
    <row r="44">
      <c r="A44" s="5" t="n">
        <v>2</v>
      </c>
      <c r="B44" s="6" t="n">
        <v>45</v>
      </c>
      <c r="C44" s="6" t="n">
        <v>59.9</v>
      </c>
      <c r="D44" s="6" t="n">
        <v>45</v>
      </c>
      <c r="E44" s="5" t="inlineStr">
        <is>
          <t>Vivo Lite (30GB) · promo R$30</t>
        </is>
      </c>
      <c r="F44" s="5" t="inlineStr">
        <is>
          <t>Flex 20GB (20GB)</t>
        </is>
      </c>
      <c r="G44" s="5" t="inlineStr">
        <is>
          <t>TIM Controle Fit Mensal 2.0 (35GB)</t>
        </is>
      </c>
    </row>
    <row r="45">
      <c r="A45" s="2" t="n">
        <v>3</v>
      </c>
      <c r="B45" s="3" t="n">
        <v>55</v>
      </c>
      <c r="C45" s="3" t="n">
        <v>69.90000000000001</v>
      </c>
      <c r="E45" s="2" t="inlineStr">
        <is>
          <t>Vivo Lite (40GB) · promo R$40</t>
        </is>
      </c>
      <c r="F45" s="2" t="inlineStr">
        <is>
          <t>Flex 30GB (30GB)</t>
        </is>
      </c>
    </row>
    <row r="46">
      <c r="A46" s="5" t="n">
        <v>4</v>
      </c>
      <c r="B46" s="15" t="n"/>
      <c r="C46" s="6" t="n">
        <v>119.9</v>
      </c>
      <c r="D46" s="15" t="n"/>
      <c r="E46" s="15" t="n"/>
      <c r="F46" s="5" t="inlineStr">
        <is>
          <t>Flex 40GB (40GB)</t>
        </is>
      </c>
      <c r="G46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7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2:D38">
    <cfRule type="expression" priority="5" dxfId="1" stopIfTrue="1">
      <formula>AND(B32&lt;&gt;"",B32=MIN($B32:$D32))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3:D46">
    <cfRule type="expression" priority="7" dxfId="1" stopIfTrue="1">
      <formula>AND(B43&lt;&gt;"",B43=MIN($B43:$D43))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6 meses grátis de Gemini com AI Plus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12 meses grátis de Gemini com AI Plus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12 meses grátis de Gemini com AI Plus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12 meses grátis de Gemini com AI Plus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12 meses grátis de Gemini com AI Plus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6 meses grátis de Gemini com AI Plus</t>
        </is>
      </c>
    </row>
    <row r="16">
      <c r="A16" s="5" t="inlineStr">
        <is>
          <t>Vivo Controle Amazon</t>
        </is>
      </c>
      <c r="B16" s="6" t="n">
        <v>70</v>
      </c>
      <c r="C16" s="6" t="n"/>
      <c r="D16" s="5" t="inlineStr">
        <is>
          <t>48 GB (18 GB de franquia 30 GB de bônus)</t>
        </is>
      </c>
      <c r="E16" s="5" t="n"/>
      <c r="F16" s="5" t="n"/>
      <c r="G16" s="5" t="n"/>
      <c r="H16" s="5" t="inlineStr">
        <is>
          <t>Assinatura Amazon Prime inclusa</t>
        </is>
      </c>
    </row>
    <row r="17">
      <c r="A17" s="2" t="inlineStr">
        <is>
          <t>Vivo Controle</t>
        </is>
      </c>
      <c r="B17" s="3" t="n">
        <v>75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6 meses grátis de Gemini com AI Plus</t>
        </is>
      </c>
    </row>
    <row r="18">
      <c r="A18" s="5" t="inlineStr">
        <is>
          <t>Vivo Controle Educação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Assinatura Vivae inclusa</t>
        </is>
      </c>
    </row>
    <row r="19">
      <c r="A19" s="2" t="inlineStr">
        <is>
          <t>Vivo Controle Música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Apple Music Individual</t>
        </is>
      </c>
    </row>
    <row r="20">
      <c r="A20" s="5" t="inlineStr">
        <is>
          <t>Vivo Controle Saúde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Assinatura Vale Saúde Sempre inclusa</t>
        </is>
      </c>
    </row>
    <row r="21">
      <c r="A21" s="2" t="inlineStr">
        <is>
          <t>Vivo Controle Youtube Lite</t>
        </is>
      </c>
      <c r="B21" s="3" t="n">
        <v>85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Youtube Premium Lite Inclusa</t>
        </is>
      </c>
    </row>
    <row r="22">
      <c r="A22" s="5" t="inlineStr">
        <is>
          <t>Vivo Controle Netflix</t>
        </is>
      </c>
      <c r="B22" s="6" t="n">
        <v>90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Netflix Padrão com anúncios</t>
        </is>
      </c>
    </row>
    <row r="23">
      <c r="A23" s="2" t="inlineStr">
        <is>
          <t>Vivo Controle Entretenimento</t>
        </is>
      </c>
      <c r="B23" s="3" t="n">
        <v>105</v>
      </c>
      <c r="C23" s="3" t="n"/>
      <c r="D23" s="2" t="inlineStr">
        <is>
          <t>50 GB (20 GB de franquia 30 GB de bônus)</t>
        </is>
      </c>
      <c r="E23" s="2" t="n"/>
      <c r="F23" s="2" t="n"/>
      <c r="G23" s="2" t="n"/>
      <c r="H23" s="2" t="inlineStr">
        <is>
          <t>Assinatura Vivo TV Inicial inclusa</t>
        </is>
      </c>
    </row>
    <row r="24">
      <c r="A24" s="16" t="inlineStr">
        <is>
          <t>Digital</t>
        </is>
      </c>
      <c r="B24" s="17" t="n"/>
      <c r="C24" s="17" t="n"/>
      <c r="D24" s="17" t="n"/>
      <c r="E24" s="17" t="n"/>
      <c r="F24" s="17" t="n"/>
      <c r="G24" s="17" t="n"/>
      <c r="H24" s="17" t="n"/>
    </row>
    <row r="25">
      <c r="A25" s="2" t="inlineStr">
        <is>
          <t>Vivo Lite</t>
        </is>
      </c>
      <c r="B25" s="3" t="n">
        <v>35</v>
      </c>
      <c r="C25" s="3" t="n"/>
      <c r="D25" s="2" t="inlineStr">
        <is>
          <t>20 GB (20 GB de franquia)</t>
        </is>
      </c>
      <c r="E25" s="2" t="n"/>
      <c r="F25" s="2" t="n"/>
      <c r="G25" s="2" t="n"/>
      <c r="H25" s="2" t="n"/>
    </row>
    <row r="26">
      <c r="A26" s="5" t="inlineStr">
        <is>
          <t>Vivo Lite</t>
        </is>
      </c>
      <c r="B26" s="6" t="n">
        <v>45</v>
      </c>
      <c r="C26" s="18" t="n">
        <v>30</v>
      </c>
      <c r="D26" s="5" t="inlineStr">
        <is>
          <t>30 GB (30 GB de franquia)</t>
        </is>
      </c>
      <c r="E26" s="5" t="n"/>
      <c r="F26" s="5" t="n"/>
      <c r="G26" s="5" t="n"/>
      <c r="H26" s="5" t="inlineStr">
        <is>
          <t>preço sem fidelidade; fidelidade 12m no promo</t>
        </is>
      </c>
    </row>
    <row r="27">
      <c r="A27" s="2" t="inlineStr">
        <is>
          <t>Vivo Lite</t>
        </is>
      </c>
      <c r="B27" s="3" t="n">
        <v>55</v>
      </c>
      <c r="C27" s="18" t="n">
        <v>40</v>
      </c>
      <c r="D27" s="2" t="inlineStr">
        <is>
          <t>40 GB (40 GB de franquia)</t>
        </is>
      </c>
      <c r="E27" s="2" t="n"/>
      <c r="F27" s="2" t="n"/>
      <c r="G27" s="2" t="n"/>
      <c r="H27" s="2" t="inlineStr">
        <is>
          <t>preço sem fidelidade; fidelidade 12m no promo</t>
        </is>
      </c>
    </row>
    <row r="28">
      <c r="A28" s="16" t="inlineStr">
        <is>
          <t>Prepaid</t>
        </is>
      </c>
      <c r="B28" s="17" t="n"/>
      <c r="C28" s="17" t="n"/>
      <c r="D28" s="17" t="n"/>
      <c r="E28" s="17" t="n"/>
      <c r="F28" s="17" t="n"/>
      <c r="G28" s="17" t="n"/>
      <c r="H28" s="17" t="n"/>
    </row>
    <row r="29">
      <c r="A29" s="2" t="inlineStr">
        <is>
          <t>Vivo Pré</t>
        </is>
      </c>
      <c r="B29" s="3" t="n">
        <v>17</v>
      </c>
      <c r="C29" s="3" t="n"/>
      <c r="D29" s="2" t="inlineStr">
        <is>
          <t>4 GB (4 GB para navegar como quiser) · 15d</t>
        </is>
      </c>
      <c r="E29" s="2" t="n"/>
      <c r="F29" s="2" t="n"/>
      <c r="G29" s="2" t="n"/>
      <c r="H29" s="2" t="n"/>
    </row>
    <row r="30">
      <c r="A30" s="5" t="inlineStr">
        <is>
          <t>Vivo Pré</t>
        </is>
      </c>
      <c r="B30" s="6" t="n">
        <v>20</v>
      </c>
      <c r="C30" s="6" t="n"/>
      <c r="D30" s="5" t="inlineStr">
        <is>
          <t>5 GB (5 GB para navegar como quiser) · 17d</t>
        </is>
      </c>
      <c r="E30" s="5" t="n"/>
      <c r="F30" s="5" t="n"/>
      <c r="G30" s="5" t="n"/>
      <c r="H30" s="5" t="n"/>
    </row>
    <row r="31">
      <c r="A31" s="2" t="inlineStr">
        <is>
          <t>Vivo Pré</t>
        </is>
      </c>
      <c r="B31" s="3" t="n">
        <v>25</v>
      </c>
      <c r="C31" s="3" t="n"/>
      <c r="D31" s="2" t="inlineStr">
        <is>
          <t>9 GB (6 GB para navegar como quiser 3 GB para navegar no YouTube) · 22d</t>
        </is>
      </c>
      <c r="E31" s="2" t="n"/>
      <c r="F31" s="2" t="n"/>
      <c r="G31" s="2" t="n"/>
      <c r="H31" s="2" t="n"/>
    </row>
    <row r="32">
      <c r="A32" s="5" t="inlineStr">
        <is>
          <t>Vivo Pré</t>
        </is>
      </c>
      <c r="B32" s="6" t="n">
        <v>30</v>
      </c>
      <c r="C32" s="6" t="n"/>
      <c r="D32" s="5" t="inlineStr">
        <is>
          <t>25 GB (15 GB para navegar como quiser 5 GB de bônus 5 GB para navegar no Youtube) · 30d</t>
        </is>
      </c>
      <c r="E32" s="5" t="n"/>
      <c r="F32" s="5" t="n"/>
      <c r="G32" s="5" t="n"/>
      <c r="H32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5:B2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9:B3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WhatsApp ilimitado; Assinatura Claro musica inclusa; Roaming: Passaporte Américas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Premium 110GB</t>
        </is>
      </c>
      <c r="B7" s="3" t="n">
        <v>159.99</v>
      </c>
      <c r="C7" s="3" t="n"/>
      <c r="D7" s="2" t="inlineStr">
        <is>
          <t>110 GB</t>
        </is>
      </c>
      <c r="E7" s="2" t="n"/>
      <c r="F7" s="2" t="n"/>
      <c r="G7" s="2" t="n"/>
      <c r="H7" s="2" t="n"/>
    </row>
    <row r="8">
      <c r="A8" s="5" t="inlineStr">
        <is>
          <t>TIM Black C Express 107GB</t>
        </is>
      </c>
      <c r="B8" s="6" t="n">
        <v>164.99</v>
      </c>
      <c r="C8" s="6" t="n"/>
      <c r="D8" s="5" t="inlineStr">
        <is>
          <t>107 GB</t>
        </is>
      </c>
      <c r="E8" s="5" t="n"/>
      <c r="F8" s="5" t="n"/>
      <c r="G8" s="5" t="n"/>
      <c r="H8" s="5" t="n"/>
    </row>
    <row r="9">
      <c r="A9" s="16" t="inlineStr">
        <is>
          <t>Control</t>
        </is>
      </c>
      <c r="B9" s="17" t="n"/>
      <c r="C9" s="17" t="n"/>
      <c r="D9" s="17" t="n"/>
      <c r="E9" s="17" t="n"/>
      <c r="F9" s="17" t="n"/>
      <c r="G9" s="17" t="n"/>
      <c r="H9" s="17" t="n"/>
    </row>
    <row r="10">
      <c r="A10" s="2" t="inlineStr">
        <is>
          <t>TIM Controle 45GB</t>
        </is>
      </c>
      <c r="B10" s="3" t="n">
        <v>49.99</v>
      </c>
      <c r="C10" s="3" t="n"/>
      <c r="D10" s="2" t="inlineStr">
        <is>
          <t>45 GB</t>
        </is>
      </c>
      <c r="E10" s="2" t="n"/>
      <c r="F10" s="2" t="n"/>
      <c r="G10" s="2" t="n"/>
      <c r="H10" s="2" t="n"/>
    </row>
    <row r="11">
      <c r="A11" s="5" t="inlineStr">
        <is>
          <t>TIM Controle Redes Sociais 46GB</t>
        </is>
      </c>
      <c r="B11" s="6" t="n">
        <v>59.99</v>
      </c>
      <c r="C11" s="6" t="n"/>
      <c r="D11" s="5" t="inlineStr">
        <is>
          <t>46 GB</t>
        </is>
      </c>
      <c r="E11" s="5" t="n"/>
      <c r="F11" s="5" t="n"/>
      <c r="G11" s="5" t="n"/>
      <c r="H11" s="5" t="n"/>
    </row>
    <row r="12">
      <c r="A12" s="2" t="inlineStr">
        <is>
          <t>TIM Controle Light Express 45GB</t>
        </is>
      </c>
      <c r="B12" s="3" t="n">
        <v>60.99</v>
      </c>
      <c r="C12" s="3" t="n"/>
      <c r="D12" s="2" t="inlineStr">
        <is>
          <t>45 GB</t>
        </is>
      </c>
      <c r="E12" s="2" t="n"/>
      <c r="F12" s="2" t="n"/>
      <c r="G12" s="2" t="n"/>
      <c r="H12" s="2" t="n"/>
    </row>
    <row r="13">
      <c r="A13" s="5" t="inlineStr">
        <is>
          <t>TIM Controle Pro Express 46GB</t>
        </is>
      </c>
      <c r="B13" s="6" t="n">
        <v>64.98999999999999</v>
      </c>
      <c r="C13" s="6" t="n"/>
      <c r="D13" s="5" t="inlineStr">
        <is>
          <t>46 GB</t>
        </is>
      </c>
      <c r="E13" s="5" t="n"/>
      <c r="F13" s="5" t="n"/>
      <c r="G13" s="5" t="n"/>
      <c r="H13" s="5" t="n"/>
    </row>
    <row r="14">
      <c r="A14" s="2" t="inlineStr">
        <is>
          <t>TIM Controle Premium 55GB</t>
        </is>
      </c>
      <c r="B14" s="3" t="n">
        <v>69.98999999999999</v>
      </c>
      <c r="C14" s="3" t="n"/>
      <c r="D14" s="2" t="inlineStr">
        <is>
          <t>55 GB</t>
        </is>
      </c>
      <c r="E14" s="2" t="n"/>
      <c r="F14" s="2" t="n"/>
      <c r="G14" s="2" t="n"/>
      <c r="H14" s="2" t="n"/>
    </row>
    <row r="15">
      <c r="A15" s="16" t="inlineStr">
        <is>
          <t>Digital</t>
        </is>
      </c>
      <c r="B15" s="17" t="n"/>
      <c r="C15" s="17" t="n"/>
      <c r="D15" s="17" t="n"/>
      <c r="E15" s="17" t="n"/>
      <c r="F15" s="17" t="n"/>
      <c r="G15" s="17" t="n"/>
      <c r="H15" s="17" t="n"/>
    </row>
    <row r="16">
      <c r="A16" s="2" t="inlineStr">
        <is>
          <t>TIM Controle Fit Mensal 1.0</t>
        </is>
      </c>
      <c r="B16" s="3" t="n">
        <v>20</v>
      </c>
      <c r="C16" s="3" t="n"/>
      <c r="D16" s="2" t="inlineStr">
        <is>
          <t>20 GB</t>
        </is>
      </c>
      <c r="E16" s="2" t="n"/>
      <c r="F16" s="2" t="n"/>
      <c r="G16" s="2" t="n"/>
      <c r="H16" s="2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7">
      <c r="A17" s="5" t="inlineStr">
        <is>
          <t>TIM Controle Fit Anual 2.0</t>
        </is>
      </c>
      <c r="B17" s="6" t="n">
        <v>30</v>
      </c>
      <c r="C17" s="6" t="n"/>
      <c r="D17" s="5" t="inlineStr">
        <is>
          <t>35 GB</t>
        </is>
      </c>
      <c r="E17" s="5" t="n"/>
      <c r="F17" s="5" t="n"/>
      <c r="G17" s="5" t="n"/>
      <c r="H17" s="5" t="inlineStr">
        <is>
          <t>plano anual 12x no cartão de crédito; a etiqueta TIM informa 'sem prazo de permanência'</t>
        </is>
      </c>
    </row>
    <row r="18">
      <c r="A18" s="2" t="inlineStr">
        <is>
          <t>TIM Controle Fit Mensal 2.0</t>
        </is>
      </c>
      <c r="B18" s="3" t="n">
        <v>45</v>
      </c>
      <c r="C18" s="3" t="n"/>
      <c r="D18" s="2" t="inlineStr">
        <is>
          <t>35 GB</t>
        </is>
      </c>
      <c r="E18" s="2" t="n"/>
      <c r="F18" s="2" t="n"/>
      <c r="G18" s="2" t="n"/>
      <c r="H18" s="2" t="inlineStr">
        <is>
          <t>plano mensal, sem prazo de permanência; a etiqueta TIM informa 'sem prazo de permanência'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0:B1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6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90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2026-08-22T18:17:41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2026-08-22T18:17:41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2026-08-22T18:17:41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2026-08-22T18:17:41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2026-08-22T18:17:41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2026-08-22T18:17:41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2026-08-22T18:17:41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2026-08-22T18:17:41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2026-08-22T18:17:41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2026-08-22T18:17:41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2026-08-22T18:17:41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2026-08-22T18:17:41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2026-08-22T18:17:41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2026-08-22T18:17:41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2026-08-22T18:17:41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2026-08-22T18:17:41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2026-08-22T18:17:41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2026-08-22T18:17:41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2026-08-22T18:17:41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2026-08-22T18:17:41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2026-08-22T18:17:41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2026-08-22T18:17:41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2026-08-22T18:17:41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2026-08-22T18:17:41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2026-08-22T18:17:41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2026-08-22T18:17:41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2026-08-22T18:17:41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2026-08-22T18:17:41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  <row r="447">
      <c r="A447" s="5" t="inlineStr">
        <is>
          <t>2026-08-23</t>
        </is>
      </c>
      <c r="B447" s="5" t="inlineStr">
        <is>
          <t>2026-08-23T18:17:10</t>
        </is>
      </c>
      <c r="C447" s="5" t="inlineStr">
        <is>
          <t>claro</t>
        </is>
      </c>
      <c r="D447" s="5" t="inlineStr">
        <is>
          <t>SP</t>
        </is>
      </c>
      <c r="E447" s="5" t="inlineStr">
        <is>
          <t>1 Giga com Globoplay incluso + Claro tv+ Box + Disney+ Amazon Prime + Netflix + HBO Max + Apple TV + Globoplay</t>
        </is>
      </c>
      <c r="F447" s="5" t="inlineStr">
        <is>
          <t>claro:af8152be-4aa7-4aa8-819a-a79687a3a9a0</t>
        </is>
      </c>
      <c r="G447" s="6" t="n">
        <v>299.8</v>
      </c>
      <c r="H447" s="6" t="inlineStr"/>
      <c r="I447" s="5" t="inlineStr"/>
      <c r="J447" s="5" t="inlineStr"/>
      <c r="K447" s="5" t="inlineStr">
        <is>
          <t>tab: Fibra + TV</t>
        </is>
      </c>
      <c r="L447" s="5" t="inlineStr">
        <is>
          <t>broadband+tv</t>
        </is>
      </c>
      <c r="M447" s="5" t="inlineStr">
        <is>
          <t>Fiber + TV</t>
        </is>
      </c>
      <c r="N447" s="5" t="b">
        <v>0</v>
      </c>
      <c r="O447" s="5" t="b">
        <v>1</v>
      </c>
      <c r="P447" s="5" t="b">
        <v>1</v>
      </c>
      <c r="Q447" s="5" t="b">
        <v>0</v>
      </c>
      <c r="R447" s="7" t="n">
        <v>1000</v>
      </c>
      <c r="S447" s="7" t="inlineStr"/>
      <c r="T447" s="7" t="inlineStr"/>
      <c r="U447" s="5" t="inlineStr">
        <is>
          <t>Claro tv+ Box + Disney+ Amazon Prime + Netflix + HBO Max + Apple TV + Globoplay</t>
        </is>
      </c>
      <c r="V447" s="5" t="inlineStr"/>
      <c r="W447" s="5" t="inlineStr"/>
      <c r="X447" s="5" t="inlineStr"/>
      <c r="Y447" s="5" t="inlineStr">
        <is>
          <t>https://www.claro.com.br/multi</t>
        </is>
      </c>
      <c r="Z447" s="5" t="inlineStr">
        <is>
          <t>data/raw/claro_convergent_multi_SP.html</t>
        </is>
      </c>
    </row>
    <row r="448">
      <c r="A448" s="2" t="inlineStr">
        <is>
          <t>2026-08-23</t>
        </is>
      </c>
      <c r="B448" s="2" t="inlineStr">
        <is>
          <t>2026-08-23T18:17:10</t>
        </is>
      </c>
      <c r="C448" s="2" t="inlineStr">
        <is>
          <t>claro</t>
        </is>
      </c>
      <c r="D448" s="2" t="inlineStr">
        <is>
          <t>SP</t>
        </is>
      </c>
      <c r="E448" s="2" t="inlineStr">
        <is>
          <t>1 Giga com Globoplay incluso + Claro tv+ Soundbox + Disney+ Amazon Prime + Netflix + HBO Max + Apple TV + Globoplay</t>
        </is>
      </c>
      <c r="F448" s="2" t="inlineStr">
        <is>
          <t>claro:ceb9fd87-0897-4dd2-a2f2-e7f09e714e49</t>
        </is>
      </c>
      <c r="G448" s="3" t="n">
        <v>429.8</v>
      </c>
      <c r="H448" s="3" t="inlineStr"/>
      <c r="I448" s="2" t="inlineStr"/>
      <c r="J448" s="2" t="inlineStr"/>
      <c r="K448" s="2" t="inlineStr">
        <is>
          <t>tab: Fibra + TV</t>
        </is>
      </c>
      <c r="L448" s="2" t="inlineStr">
        <is>
          <t>broadband+tv</t>
        </is>
      </c>
      <c r="M448" s="2" t="inlineStr">
        <is>
          <t>Fiber + TV</t>
        </is>
      </c>
      <c r="N448" s="2" t="b">
        <v>0</v>
      </c>
      <c r="O448" s="2" t="b">
        <v>1</v>
      </c>
      <c r="P448" s="2" t="b">
        <v>1</v>
      </c>
      <c r="Q448" s="2" t="b">
        <v>0</v>
      </c>
      <c r="R448" s="4" t="n">
        <v>1000</v>
      </c>
      <c r="S448" s="4" t="inlineStr"/>
      <c r="T448" s="4" t="inlineStr"/>
      <c r="U448" s="2" t="inlineStr">
        <is>
          <t>Claro tv+ Soundbox + Disney+ Amazon Prime + Netflix + HBO Max + Apple TV + Globoplay</t>
        </is>
      </c>
      <c r="V448" s="2" t="inlineStr"/>
      <c r="W448" s="2" t="inlineStr"/>
      <c r="X448" s="2" t="inlineStr"/>
      <c r="Y448" s="2" t="inlineStr">
        <is>
          <t>https://www.claro.com.br/multi</t>
        </is>
      </c>
      <c r="Z448" s="2" t="inlineStr">
        <is>
          <t>data/raw/claro_convergent_multi_SP.html</t>
        </is>
      </c>
    </row>
    <row r="449">
      <c r="A449" s="5" t="inlineStr">
        <is>
          <t>2026-08-23</t>
        </is>
      </c>
      <c r="B449" s="5" t="inlineStr">
        <is>
          <t>2026-08-23T18:17:10</t>
        </is>
      </c>
      <c r="C449" s="5" t="inlineStr">
        <is>
          <t>claro</t>
        </is>
      </c>
      <c r="D449" s="5" t="inlineStr">
        <is>
          <t>SP</t>
        </is>
      </c>
      <c r="E449" s="5" t="inlineStr">
        <is>
          <t>1 Giga com Globoplay incluso + Pós 100GB</t>
        </is>
      </c>
      <c r="F449" s="5" t="inlineStr">
        <is>
          <t>claro:a1de0ac1-61bb-4e97-a744-1ae4c3541673</t>
        </is>
      </c>
      <c r="G449" s="6" t="n">
        <v>179.9</v>
      </c>
      <c r="H449" s="6" t="inlineStr"/>
      <c r="I449" s="5" t="inlineStr"/>
      <c r="J449" s="5" t="inlineStr"/>
      <c r="K449" s="5" t="inlineStr">
        <is>
          <t>tab: Fibra + Móvel</t>
        </is>
      </c>
      <c r="L449" s="5" t="inlineStr">
        <is>
          <t>mobile+broadband</t>
        </is>
      </c>
      <c r="M449" s="5" t="inlineStr">
        <is>
          <t>Fiber + Mobile</t>
        </is>
      </c>
      <c r="N449" s="5" t="b">
        <v>1</v>
      </c>
      <c r="O449" s="5" t="b">
        <v>1</v>
      </c>
      <c r="P449" s="5" t="b">
        <v>0</v>
      </c>
      <c r="Q449" s="5" t="b">
        <v>0</v>
      </c>
      <c r="R449" s="7" t="n">
        <v>1000</v>
      </c>
      <c r="S449" s="7" t="n">
        <v>100</v>
      </c>
      <c r="T449" s="7" t="n">
        <v>1</v>
      </c>
      <c r="U449" s="5" t="inlineStr"/>
      <c r="V449" s="5" t="inlineStr"/>
      <c r="W449" s="5" t="inlineStr"/>
      <c r="X449" s="5" t="inlineStr">
        <is>
          <t>Pós 100GB</t>
        </is>
      </c>
      <c r="Y449" s="5" t="inlineStr">
        <is>
          <t>https://www.claro.com.br/multi</t>
        </is>
      </c>
      <c r="Z449" s="5" t="inlineStr">
        <is>
          <t>data/raw/claro_convergent_multi_SP.html</t>
        </is>
      </c>
    </row>
    <row r="450">
      <c r="A450" s="2" t="inlineStr">
        <is>
          <t>2026-08-23</t>
        </is>
      </c>
      <c r="B450" s="2" t="inlineStr">
        <is>
          <t>2026-08-23T18:17:10</t>
        </is>
      </c>
      <c r="C450" s="2" t="inlineStr">
        <is>
          <t>claro</t>
        </is>
      </c>
      <c r="D450" s="2" t="inlineStr">
        <is>
          <t>SP</t>
        </is>
      </c>
      <c r="E450" s="2" t="inlineStr">
        <is>
          <t>1 Giga com Globoplay incluso + Pós 100GB + Claro tv+ Box + Disney+ Amazon Prime + Netflix + HBO Max + Apple TV + Globoplay</t>
        </is>
      </c>
      <c r="F450" s="2" t="inlineStr">
        <is>
          <t>claro:548c4bad-7857-4c0c-94d5-45d33d66c57f</t>
        </is>
      </c>
      <c r="G450" s="3" t="n">
        <v>279.8</v>
      </c>
      <c r="H450" s="3" t="inlineStr"/>
      <c r="I450" s="2" t="inlineStr"/>
      <c r="J450" s="2" t="inlineStr"/>
      <c r="K450" s="2" t="inlineStr">
        <is>
          <t>tab: Fibra + Móvel + TV</t>
        </is>
      </c>
      <c r="L450" s="2" t="inlineStr">
        <is>
          <t>mobile+broadband+tv</t>
        </is>
      </c>
      <c r="M450" s="2" t="inlineStr">
        <is>
          <t>Fiber + Mobile + TV</t>
        </is>
      </c>
      <c r="N450" s="2" t="b">
        <v>1</v>
      </c>
      <c r="O450" s="2" t="b">
        <v>1</v>
      </c>
      <c r="P450" s="2" t="b">
        <v>1</v>
      </c>
      <c r="Q450" s="2" t="b">
        <v>0</v>
      </c>
      <c r="R450" s="4" t="n">
        <v>1000</v>
      </c>
      <c r="S450" s="4" t="n">
        <v>100</v>
      </c>
      <c r="T450" s="4" t="n">
        <v>1</v>
      </c>
      <c r="U450" s="2" t="inlineStr">
        <is>
          <t>Claro tv+ Box + Disney+ Amazon Prime + Netflix + HBO Max + Apple TV + Globoplay</t>
        </is>
      </c>
      <c r="V450" s="2" t="inlineStr"/>
      <c r="W450" s="2" t="inlineStr"/>
      <c r="X450" s="2" t="inlineStr">
        <is>
          <t>Pós 100GB</t>
        </is>
      </c>
      <c r="Y450" s="2" t="inlineStr">
        <is>
          <t>https://www.claro.com.br/multi</t>
        </is>
      </c>
      <c r="Z450" s="2" t="inlineStr">
        <is>
          <t>data/raw/claro_convergent_multi_SP.html</t>
        </is>
      </c>
    </row>
    <row r="451">
      <c r="A451" s="5" t="inlineStr">
        <is>
          <t>2026-08-23</t>
        </is>
      </c>
      <c r="B451" s="5" t="inlineStr">
        <is>
          <t>2026-08-23T18:17:10</t>
        </is>
      </c>
      <c r="C451" s="5" t="inlineStr">
        <is>
          <t>claro</t>
        </is>
      </c>
      <c r="D451" s="5" t="inlineStr">
        <is>
          <t>SP</t>
        </is>
      </c>
      <c r="E451" s="5" t="inlineStr">
        <is>
          <t>1 Giga com Globoplay incluso + Pós 150GB</t>
        </is>
      </c>
      <c r="F451" s="5" t="inlineStr">
        <is>
          <t>claro:d47e2a3b-dfd0-410e-9c24-d07a334d01d4</t>
        </is>
      </c>
      <c r="G451" s="6" t="n">
        <v>299.9</v>
      </c>
      <c r="H451" s="6" t="inlineStr"/>
      <c r="I451" s="5" t="inlineStr"/>
      <c r="J451" s="5" t="inlineStr"/>
      <c r="K451" s="5" t="inlineStr">
        <is>
          <t>tab: Fibra + Móvel</t>
        </is>
      </c>
      <c r="L451" s="5" t="inlineStr">
        <is>
          <t>mobile+broadband</t>
        </is>
      </c>
      <c r="M451" s="5" t="inlineStr">
        <is>
          <t>Fiber + Mobile</t>
        </is>
      </c>
      <c r="N451" s="5" t="b">
        <v>1</v>
      </c>
      <c r="O451" s="5" t="b">
        <v>1</v>
      </c>
      <c r="P451" s="5" t="b">
        <v>0</v>
      </c>
      <c r="Q451" s="5" t="b">
        <v>0</v>
      </c>
      <c r="R451" s="7" t="n">
        <v>1000</v>
      </c>
      <c r="S451" s="7" t="n">
        <v>150</v>
      </c>
      <c r="T451" s="7" t="n">
        <v>2</v>
      </c>
      <c r="U451" s="5" t="inlineStr"/>
      <c r="V451" s="5" t="inlineStr"/>
      <c r="W451" s="5" t="inlineStr"/>
      <c r="X451" s="5" t="inlineStr">
        <is>
          <t>Pós 150GB</t>
        </is>
      </c>
      <c r="Y451" s="5" t="inlineStr">
        <is>
          <t>https://www.claro.com.br/multi</t>
        </is>
      </c>
      <c r="Z451" s="5" t="inlineStr">
        <is>
          <t>data/raw/claro_convergent_multi_SP.html</t>
        </is>
      </c>
    </row>
    <row r="452">
      <c r="A452" s="2" t="inlineStr">
        <is>
          <t>2026-08-23</t>
        </is>
      </c>
      <c r="B452" s="2" t="inlineStr">
        <is>
          <t>2026-08-23T18:17:10</t>
        </is>
      </c>
      <c r="C452" s="2" t="inlineStr">
        <is>
          <t>claro</t>
        </is>
      </c>
      <c r="D452" s="2" t="inlineStr">
        <is>
          <t>SP</t>
        </is>
      </c>
      <c r="E452" s="2" t="inlineStr">
        <is>
          <t>1 Giga com Globoplay incluso + Pós 150GB + Claro tv+ Box + Disney+ Amazon Prime + Netflix + HBO Max + Apple TV + Globoplay</t>
        </is>
      </c>
      <c r="F452" s="2" t="inlineStr">
        <is>
          <t>claro:7785b449-69f2-4234-9e24-8837e32a55c0</t>
        </is>
      </c>
      <c r="G452" s="3" t="n">
        <v>399.8</v>
      </c>
      <c r="H452" s="3" t="inlineStr"/>
      <c r="I452" s="2" t="inlineStr"/>
      <c r="J452" s="2" t="inlineStr"/>
      <c r="K452" s="2" t="inlineStr">
        <is>
          <t>tab: Fibra + Móvel + TV</t>
        </is>
      </c>
      <c r="L452" s="2" t="inlineStr">
        <is>
          <t>mobile+broadband+tv</t>
        </is>
      </c>
      <c r="M452" s="2" t="inlineStr">
        <is>
          <t>Fiber + Mobile + TV</t>
        </is>
      </c>
      <c r="N452" s="2" t="b">
        <v>1</v>
      </c>
      <c r="O452" s="2" t="b">
        <v>1</v>
      </c>
      <c r="P452" s="2" t="b">
        <v>1</v>
      </c>
      <c r="Q452" s="2" t="b">
        <v>0</v>
      </c>
      <c r="R452" s="4" t="n">
        <v>1000</v>
      </c>
      <c r="S452" s="4" t="n">
        <v>150</v>
      </c>
      <c r="T452" s="4" t="n">
        <v>1</v>
      </c>
      <c r="U452" s="2" t="inlineStr">
        <is>
          <t>Claro tv+ Box + Disney+ Amazon Prime + Netflix + HBO Max + Apple TV + Globoplay</t>
        </is>
      </c>
      <c r="V452" s="2" t="inlineStr"/>
      <c r="W452" s="2" t="inlineStr"/>
      <c r="X452" s="2" t="inlineStr">
        <is>
          <t>Pós 150GB</t>
        </is>
      </c>
      <c r="Y452" s="2" t="inlineStr">
        <is>
          <t>https://www.claro.com.br/multi</t>
        </is>
      </c>
      <c r="Z452" s="2" t="inlineStr">
        <is>
          <t>data/raw/claro_convergent_multi_SP.html</t>
        </is>
      </c>
    </row>
    <row r="453">
      <c r="A453" s="5" t="inlineStr">
        <is>
          <t>2026-08-23</t>
        </is>
      </c>
      <c r="B453" s="5" t="inlineStr">
        <is>
          <t>2026-08-23T18:17:10</t>
        </is>
      </c>
      <c r="C453" s="5" t="inlineStr">
        <is>
          <t>claro</t>
        </is>
      </c>
      <c r="D453" s="5" t="inlineStr">
        <is>
          <t>SP</t>
        </is>
      </c>
      <c r="E453" s="5" t="inlineStr">
        <is>
          <t>1 Giga com Globoplay incluso + Pós 200GB</t>
        </is>
      </c>
      <c r="F453" s="5" t="inlineStr">
        <is>
          <t>claro:1961a62d-3213-4ff0-a152-401a45c5b1b5</t>
        </is>
      </c>
      <c r="G453" s="6" t="n">
        <v>359.9</v>
      </c>
      <c r="H453" s="6" t="inlineStr"/>
      <c r="I453" s="5" t="inlineStr"/>
      <c r="J453" s="5" t="inlineStr"/>
      <c r="K453" s="5" t="inlineStr">
        <is>
          <t>tab: Fibra + Móvel</t>
        </is>
      </c>
      <c r="L453" s="5" t="inlineStr">
        <is>
          <t>mobile+broadband</t>
        </is>
      </c>
      <c r="M453" s="5" t="inlineStr">
        <is>
          <t>Fiber + Mobile</t>
        </is>
      </c>
      <c r="N453" s="5" t="b">
        <v>1</v>
      </c>
      <c r="O453" s="5" t="b">
        <v>1</v>
      </c>
      <c r="P453" s="5" t="b">
        <v>0</v>
      </c>
      <c r="Q453" s="5" t="b">
        <v>0</v>
      </c>
      <c r="R453" s="7" t="n">
        <v>1000</v>
      </c>
      <c r="S453" s="7" t="n">
        <v>200</v>
      </c>
      <c r="T453" s="7" t="n">
        <v>3</v>
      </c>
      <c r="U453" s="5" t="inlineStr"/>
      <c r="V453" s="5" t="inlineStr"/>
      <c r="W453" s="5" t="inlineStr"/>
      <c r="X453" s="5" t="inlineStr">
        <is>
          <t>Pós 200GB</t>
        </is>
      </c>
      <c r="Y453" s="5" t="inlineStr">
        <is>
          <t>https://www.claro.com.br/multi</t>
        </is>
      </c>
      <c r="Z453" s="5" t="inlineStr">
        <is>
          <t>data/raw/claro_convergent_multi_SP.html</t>
        </is>
      </c>
    </row>
    <row r="454">
      <c r="A454" s="2" t="inlineStr">
        <is>
          <t>2026-08-23</t>
        </is>
      </c>
      <c r="B454" s="2" t="inlineStr">
        <is>
          <t>2026-08-23T18:17:10</t>
        </is>
      </c>
      <c r="C454" s="2" t="inlineStr">
        <is>
          <t>claro</t>
        </is>
      </c>
      <c r="D454" s="2" t="inlineStr">
        <is>
          <t>SP</t>
        </is>
      </c>
      <c r="E454" s="2" t="inlineStr">
        <is>
          <t>1 Giga com Globoplay incluso + Pós 200GB + Claro tv+ Box + Disney+ Amazon Prime + Netflix + HBO Max + Apple TV + Globoplay</t>
        </is>
      </c>
      <c r="F454" s="2" t="inlineStr">
        <is>
          <t>claro:312815a2-b3a5-43bb-89a1-272d53ccb212</t>
        </is>
      </c>
      <c r="G454" s="3" t="n">
        <v>459.8</v>
      </c>
      <c r="H454" s="3" t="inlineStr"/>
      <c r="I454" s="2" t="inlineStr"/>
      <c r="J454" s="2" t="inlineStr"/>
      <c r="K454" s="2" t="inlineStr">
        <is>
          <t>tab: Fibra + Móvel + TV</t>
        </is>
      </c>
      <c r="L454" s="2" t="inlineStr">
        <is>
          <t>mobile+broadband+tv</t>
        </is>
      </c>
      <c r="M454" s="2" t="inlineStr">
        <is>
          <t>Fiber + Mobile + TV</t>
        </is>
      </c>
      <c r="N454" s="2" t="b">
        <v>1</v>
      </c>
      <c r="O454" s="2" t="b">
        <v>1</v>
      </c>
      <c r="P454" s="2" t="b">
        <v>1</v>
      </c>
      <c r="Q454" s="2" t="b">
        <v>0</v>
      </c>
      <c r="R454" s="4" t="n">
        <v>1000</v>
      </c>
      <c r="S454" s="4" t="n">
        <v>200</v>
      </c>
      <c r="T454" s="4" t="n">
        <v>1</v>
      </c>
      <c r="U454" s="2" t="inlineStr">
        <is>
          <t>Claro tv+ Box + Disney+ Amazon Prime + Netflix + HBO Max + Apple TV + Globoplay</t>
        </is>
      </c>
      <c r="V454" s="2" t="inlineStr"/>
      <c r="W454" s="2" t="inlineStr"/>
      <c r="X454" s="2" t="inlineStr">
        <is>
          <t>Pós 200GB</t>
        </is>
      </c>
      <c r="Y454" s="2" t="inlineStr">
        <is>
          <t>https://www.claro.com.br/multi</t>
        </is>
      </c>
      <c r="Z454" s="2" t="inlineStr">
        <is>
          <t>data/raw/claro_convergent_multi_SP.html</t>
        </is>
      </c>
    </row>
    <row r="455">
      <c r="A455" s="5" t="inlineStr">
        <is>
          <t>2026-08-23</t>
        </is>
      </c>
      <c r="B455" s="5" t="inlineStr">
        <is>
          <t>2026-08-23T18:17:10</t>
        </is>
      </c>
      <c r="C455" s="5" t="inlineStr">
        <is>
          <t>claro</t>
        </is>
      </c>
      <c r="D455" s="5" t="inlineStr">
        <is>
          <t>SP</t>
        </is>
      </c>
      <c r="E455" s="5" t="inlineStr">
        <is>
          <t>350 Mega com Globoplay incluso + Claro tv+ Box + Disney+ Amazon Prime + Netflix + HBO Max + Apple TV + Globoplay</t>
        </is>
      </c>
      <c r="F455" s="5" t="inlineStr">
        <is>
          <t>claro:97b00450-6f21-4349-8363-83d624b18328</t>
        </is>
      </c>
      <c r="G455" s="6" t="n">
        <v>209.8</v>
      </c>
      <c r="H455" s="6" t="inlineStr"/>
      <c r="I455" s="5" t="inlineStr"/>
      <c r="J455" s="5" t="inlineStr"/>
      <c r="K455" s="5" t="inlineStr">
        <is>
          <t>tab: Fibra + TV</t>
        </is>
      </c>
      <c r="L455" s="5" t="inlineStr">
        <is>
          <t>broadband+tv</t>
        </is>
      </c>
      <c r="M455" s="5" t="inlineStr">
        <is>
          <t>Fiber + TV</t>
        </is>
      </c>
      <c r="N455" s="5" t="b">
        <v>0</v>
      </c>
      <c r="O455" s="5" t="b">
        <v>1</v>
      </c>
      <c r="P455" s="5" t="b">
        <v>1</v>
      </c>
      <c r="Q455" s="5" t="b">
        <v>0</v>
      </c>
      <c r="R455" s="7" t="n">
        <v>350</v>
      </c>
      <c r="S455" s="7" t="inlineStr"/>
      <c r="T455" s="7" t="inlineStr"/>
      <c r="U455" s="5" t="inlineStr">
        <is>
          <t>Claro tv+ Box + Disney+ Amazon Prime + Netflix + HBO Max + Apple TV + Globoplay</t>
        </is>
      </c>
      <c r="V455" s="5" t="inlineStr"/>
      <c r="W455" s="5" t="inlineStr"/>
      <c r="X455" s="5" t="inlineStr"/>
      <c r="Y455" s="5" t="inlineStr">
        <is>
          <t>https://www.claro.com.br/multi</t>
        </is>
      </c>
      <c r="Z455" s="5" t="inlineStr">
        <is>
          <t>data/raw/claro_convergent_multi_SP.html</t>
        </is>
      </c>
    </row>
    <row r="456">
      <c r="A456" s="2" t="inlineStr">
        <is>
          <t>2026-08-23</t>
        </is>
      </c>
      <c r="B456" s="2" t="inlineStr">
        <is>
          <t>2026-08-23T18:17:10</t>
        </is>
      </c>
      <c r="C456" s="2" t="inlineStr">
        <is>
          <t>claro</t>
        </is>
      </c>
      <c r="D456" s="2" t="inlineStr">
        <is>
          <t>SP</t>
        </is>
      </c>
      <c r="E456" s="2" t="inlineStr">
        <is>
          <t>350 Mega com Globoplay incluso + Controle 40GB</t>
        </is>
      </c>
      <c r="F456" s="2" t="inlineStr">
        <is>
          <t>claro:a866ea9a-6a70-4b6e-b886-f8178086ca91</t>
        </is>
      </c>
      <c r="G456" s="3" t="n">
        <v>129.8</v>
      </c>
      <c r="H456" s="3" t="inlineStr"/>
      <c r="I456" s="2" t="inlineStr"/>
      <c r="J456" s="2" t="inlineStr">
        <is>
          <t>debit_auto</t>
        </is>
      </c>
      <c r="K456" s="2" t="inlineStr">
        <is>
          <t>tab: Fibra + Móvel; preço em débito em conta; +R$ 5.00 sem débito automático</t>
        </is>
      </c>
      <c r="L456" s="2" t="inlineStr">
        <is>
          <t>mobile+broadband</t>
        </is>
      </c>
      <c r="M456" s="2" t="inlineStr">
        <is>
          <t>Fiber + Mobile</t>
        </is>
      </c>
      <c r="N456" s="2" t="b">
        <v>1</v>
      </c>
      <c r="O456" s="2" t="b">
        <v>1</v>
      </c>
      <c r="P456" s="2" t="b">
        <v>0</v>
      </c>
      <c r="Q456" s="2" t="b">
        <v>0</v>
      </c>
      <c r="R456" s="4" t="n">
        <v>350</v>
      </c>
      <c r="S456" s="4" t="n">
        <v>40</v>
      </c>
      <c r="T456" s="4" t="n">
        <v>1</v>
      </c>
      <c r="U456" s="2" t="inlineStr"/>
      <c r="V456" s="2" t="inlineStr"/>
      <c r="W456" s="2" t="inlineStr"/>
      <c r="X456" s="2" t="inlineStr">
        <is>
          <t>Controle 40GB</t>
        </is>
      </c>
      <c r="Y456" s="2" t="inlineStr">
        <is>
          <t>https://www.claro.com.br/multi</t>
        </is>
      </c>
      <c r="Z456" s="2" t="inlineStr">
        <is>
          <t>data/raw/claro_convergent_multi_SP.html</t>
        </is>
      </c>
    </row>
    <row r="457">
      <c r="A457" s="5" t="inlineStr">
        <is>
          <t>2026-08-23</t>
        </is>
      </c>
      <c r="B457" s="5" t="inlineStr">
        <is>
          <t>2026-08-23T18:17:10</t>
        </is>
      </c>
      <c r="C457" s="5" t="inlineStr">
        <is>
          <t>claro</t>
        </is>
      </c>
      <c r="D457" s="5" t="inlineStr">
        <is>
          <t>SP</t>
        </is>
      </c>
      <c r="E457" s="5" t="inlineStr">
        <is>
          <t>350 Mega com Globoplay incluso + Pós 100GB + Claro tv+ Box + Disney+ Amazon Prime + Netflix + HBO Max + Apple TV + Globoplay</t>
        </is>
      </c>
      <c r="F457" s="5" t="inlineStr">
        <is>
          <t>claro:746fa9cf-ea2b-40de-ad2c-5803b3e0ab08</t>
        </is>
      </c>
      <c r="G457" s="6" t="n">
        <v>239.8</v>
      </c>
      <c r="H457" s="6" t="inlineStr"/>
      <c r="I457" s="5" t="inlineStr"/>
      <c r="J457" s="5" t="inlineStr"/>
      <c r="K457" s="5" t="inlineStr">
        <is>
          <t>tab: Fibra + Móvel + TV</t>
        </is>
      </c>
      <c r="L457" s="5" t="inlineStr">
        <is>
          <t>mobile+broadband+tv</t>
        </is>
      </c>
      <c r="M457" s="5" t="inlineStr">
        <is>
          <t>Fiber + Mobile + TV</t>
        </is>
      </c>
      <c r="N457" s="5" t="b">
        <v>1</v>
      </c>
      <c r="O457" s="5" t="b">
        <v>1</v>
      </c>
      <c r="P457" s="5" t="b">
        <v>1</v>
      </c>
      <c r="Q457" s="5" t="b">
        <v>0</v>
      </c>
      <c r="R457" s="7" t="n">
        <v>350</v>
      </c>
      <c r="S457" s="7" t="n">
        <v>100</v>
      </c>
      <c r="T457" s="7" t="n">
        <v>1</v>
      </c>
      <c r="U457" s="5" t="inlineStr">
        <is>
          <t>Claro tv+ Box + Disney+ Amazon Prime + Netflix + HBO Max + Apple TV + Globoplay</t>
        </is>
      </c>
      <c r="V457" s="5" t="inlineStr"/>
      <c r="W457" s="5" t="inlineStr"/>
      <c r="X457" s="5" t="inlineStr">
        <is>
          <t>Pós 100GB</t>
        </is>
      </c>
      <c r="Y457" s="5" t="inlineStr">
        <is>
          <t>https://www.claro.com.br/multi</t>
        </is>
      </c>
      <c r="Z457" s="5" t="inlineStr">
        <is>
          <t>data/raw/claro_convergent_multi_SP.html</t>
        </is>
      </c>
    </row>
    <row r="458">
      <c r="A458" s="2" t="inlineStr">
        <is>
          <t>2026-08-23</t>
        </is>
      </c>
      <c r="B458" s="2" t="inlineStr">
        <is>
          <t>2026-08-23T18:17:10</t>
        </is>
      </c>
      <c r="C458" s="2" t="inlineStr">
        <is>
          <t>claro</t>
        </is>
      </c>
      <c r="D458" s="2" t="inlineStr">
        <is>
          <t>SP</t>
        </is>
      </c>
      <c r="E458" s="2" t="inlineStr">
        <is>
          <t>600 Mega com Globoplay incluso + Claro tv+ Box + Disney+ Amazon Prime + Netflix + HBO Max + Apple TV + Globoplay</t>
        </is>
      </c>
      <c r="F458" s="2" t="inlineStr">
        <is>
          <t>claro:545261b1-2f4d-4dab-82a6-02d9e66c5d3d</t>
        </is>
      </c>
      <c r="G458" s="3" t="n">
        <v>219.8</v>
      </c>
      <c r="H458" s="3" t="inlineStr"/>
      <c r="I458" s="2" t="inlineStr"/>
      <c r="J458" s="2" t="inlineStr"/>
      <c r="K458" s="2" t="inlineStr">
        <is>
          <t>tab: Fibra + TV</t>
        </is>
      </c>
      <c r="L458" s="2" t="inlineStr">
        <is>
          <t>broadband+tv</t>
        </is>
      </c>
      <c r="M458" s="2" t="inlineStr">
        <is>
          <t>Fiber + TV</t>
        </is>
      </c>
      <c r="N458" s="2" t="b">
        <v>0</v>
      </c>
      <c r="O458" s="2" t="b">
        <v>1</v>
      </c>
      <c r="P458" s="2" t="b">
        <v>1</v>
      </c>
      <c r="Q458" s="2" t="b">
        <v>0</v>
      </c>
      <c r="R458" s="4" t="n">
        <v>600</v>
      </c>
      <c r="S458" s="4" t="inlineStr"/>
      <c r="T458" s="4" t="inlineStr"/>
      <c r="U458" s="2" t="inlineStr">
        <is>
          <t>Claro tv+ Box + Disney+ Amazon Prime + Netflix + HBO Max + Apple TV + Globoplay</t>
        </is>
      </c>
      <c r="V458" s="2" t="inlineStr"/>
      <c r="W458" s="2" t="inlineStr"/>
      <c r="X458" s="2" t="inlineStr"/>
      <c r="Y458" s="2" t="inlineStr">
        <is>
          <t>https://www.claro.com.br/multi</t>
        </is>
      </c>
      <c r="Z458" s="2" t="inlineStr">
        <is>
          <t>data/raw/claro_convergent_multi_SP.html</t>
        </is>
      </c>
    </row>
    <row r="459">
      <c r="A459" s="5" t="inlineStr">
        <is>
          <t>2026-08-23</t>
        </is>
      </c>
      <c r="B459" s="5" t="inlineStr">
        <is>
          <t>2026-08-23T18:17:10</t>
        </is>
      </c>
      <c r="C459" s="5" t="inlineStr">
        <is>
          <t>claro</t>
        </is>
      </c>
      <c r="D459" s="5" t="inlineStr">
        <is>
          <t>SP</t>
        </is>
      </c>
      <c r="E459" s="5" t="inlineStr">
        <is>
          <t>600 Mega com Globoplay incluso + Pós 100GB</t>
        </is>
      </c>
      <c r="F459" s="5" t="inlineStr">
        <is>
          <t>claro:350ac58a-533c-4858-83be-be3ea39c8874</t>
        </is>
      </c>
      <c r="G459" s="6" t="n">
        <v>159.9</v>
      </c>
      <c r="H459" s="6" t="inlineStr"/>
      <c r="I459" s="5" t="inlineStr"/>
      <c r="J459" s="5" t="inlineStr"/>
      <c r="K459" s="5" t="inlineStr">
        <is>
          <t>tab: Fibra + Móvel</t>
        </is>
      </c>
      <c r="L459" s="5" t="inlineStr">
        <is>
          <t>mobile+broadband</t>
        </is>
      </c>
      <c r="M459" s="5" t="inlineStr">
        <is>
          <t>Fiber + Mobile</t>
        </is>
      </c>
      <c r="N459" s="5" t="b">
        <v>1</v>
      </c>
      <c r="O459" s="5" t="b">
        <v>1</v>
      </c>
      <c r="P459" s="5" t="b">
        <v>0</v>
      </c>
      <c r="Q459" s="5" t="b">
        <v>0</v>
      </c>
      <c r="R459" s="7" t="n">
        <v>600</v>
      </c>
      <c r="S459" s="7" t="n">
        <v>100</v>
      </c>
      <c r="T459" s="7" t="n">
        <v>1</v>
      </c>
      <c r="U459" s="5" t="inlineStr"/>
      <c r="V459" s="5" t="inlineStr"/>
      <c r="W459" s="5" t="inlineStr"/>
      <c r="X459" s="5" t="inlineStr">
        <is>
          <t>Pós 100GB</t>
        </is>
      </c>
      <c r="Y459" s="5" t="inlineStr">
        <is>
          <t>https://www.claro.com.br/multi</t>
        </is>
      </c>
      <c r="Z459" s="5" t="inlineStr">
        <is>
          <t>data/raw/claro_convergent_multi_SP.html</t>
        </is>
      </c>
    </row>
    <row r="460">
      <c r="A460" s="2" t="inlineStr">
        <is>
          <t>2026-08-23</t>
        </is>
      </c>
      <c r="B460" s="2" t="inlineStr">
        <is>
          <t>2026-08-23T18:17:10</t>
        </is>
      </c>
      <c r="C460" s="2" t="inlineStr">
        <is>
          <t>claro</t>
        </is>
      </c>
      <c r="D460" s="2" t="inlineStr">
        <is>
          <t>SP</t>
        </is>
      </c>
      <c r="E460" s="2" t="inlineStr">
        <is>
          <t>600 Mega com Globoplay incluso + Pós 100GB + Claro tv+ Box + Disney+ Amazon Prime + Netflix + HBO Max + Apple TV + Globoplay</t>
        </is>
      </c>
      <c r="F460" s="2" t="inlineStr">
        <is>
          <t>claro:f36e7dfb-f7c9-4055-844f-7bc101699de8</t>
        </is>
      </c>
      <c r="G460" s="3" t="n">
        <v>259.8</v>
      </c>
      <c r="H460" s="3" t="inlineStr"/>
      <c r="I460" s="2" t="inlineStr"/>
      <c r="J460" s="2" t="inlineStr"/>
      <c r="K460" s="2" t="inlineStr">
        <is>
          <t>tab: Fibra + Móvel + TV</t>
        </is>
      </c>
      <c r="L460" s="2" t="inlineStr">
        <is>
          <t>mobile+broadband+tv</t>
        </is>
      </c>
      <c r="M460" s="2" t="inlineStr">
        <is>
          <t>Fiber + Mobile + TV</t>
        </is>
      </c>
      <c r="N460" s="2" t="b">
        <v>1</v>
      </c>
      <c r="O460" s="2" t="b">
        <v>1</v>
      </c>
      <c r="P460" s="2" t="b">
        <v>1</v>
      </c>
      <c r="Q460" s="2" t="b">
        <v>0</v>
      </c>
      <c r="R460" s="4" t="n">
        <v>600</v>
      </c>
      <c r="S460" s="4" t="n">
        <v>100</v>
      </c>
      <c r="T460" s="4" t="n">
        <v>1</v>
      </c>
      <c r="U460" s="2" t="inlineStr">
        <is>
          <t>Claro tv+ Box + Disney+ Amazon Prime + Netflix + HBO Max + Apple TV + Globoplay</t>
        </is>
      </c>
      <c r="V460" s="2" t="inlineStr"/>
      <c r="W460" s="2" t="inlineStr"/>
      <c r="X460" s="2" t="inlineStr">
        <is>
          <t>Pós 100GB</t>
        </is>
      </c>
      <c r="Y460" s="2" t="inlineStr">
        <is>
          <t>https://www.claro.com.br/multi</t>
        </is>
      </c>
      <c r="Z460" s="2" t="inlineStr">
        <is>
          <t>data/raw/claro_convergent_multi_SP.html</t>
        </is>
      </c>
    </row>
    <row r="461">
      <c r="A461" s="5" t="inlineStr">
        <is>
          <t>2026-08-23</t>
        </is>
      </c>
      <c r="B461" s="5" t="inlineStr">
        <is>
          <t>2026-08-23T18:17:10</t>
        </is>
      </c>
      <c r="C461" s="5" t="inlineStr">
        <is>
          <t>tim</t>
        </is>
      </c>
      <c r="D461" s="5" t="inlineStr">
        <is>
          <t>SP</t>
        </is>
      </c>
      <c r="E461" s="5" t="inlineStr">
        <is>
          <t>TIM Ultracombo 5</t>
        </is>
      </c>
      <c r="F461" s="5" t="inlineStr">
        <is>
          <t>tim:167756</t>
        </is>
      </c>
      <c r="G461" s="6" t="n">
        <v>169.99</v>
      </c>
      <c r="H461" s="6" t="inlineStr"/>
      <c r="I461" s="5" t="inlineStr"/>
      <c r="J461" s="5" t="inlineStr">
        <is>
          <t>debit_auto</t>
        </is>
      </c>
      <c r="K461" s="5" t="inlineStr">
        <is>
          <t>preço em débito automático; R$ 179,99/mês no pagamento por fatura</t>
        </is>
      </c>
      <c r="L461" s="5" t="inlineStr">
        <is>
          <t>mobile+broadband</t>
        </is>
      </c>
      <c r="M461" s="5" t="inlineStr">
        <is>
          <t>Fiber + Mobile</t>
        </is>
      </c>
      <c r="N461" s="5" t="b">
        <v>1</v>
      </c>
      <c r="O461" s="5" t="b">
        <v>1</v>
      </c>
      <c r="P461" s="5" t="b">
        <v>0</v>
      </c>
      <c r="Q461" s="5" t="b">
        <v>0</v>
      </c>
      <c r="R461" s="7" t="n">
        <v>1000</v>
      </c>
      <c r="S461" s="7" t="n">
        <v>115</v>
      </c>
      <c r="T461" s="7" t="n">
        <v>1</v>
      </c>
      <c r="U461" s="5" t="inlineStr"/>
      <c r="V461" s="5" t="inlineStr">
        <is>
          <t>Paramount+, Deezer</t>
        </is>
      </c>
      <c r="W461" s="5" t="inlineStr"/>
      <c r="X461" s="5" t="inlineStr">
        <is>
          <t>1GIGA de Ultrafibra para casa + 115GB de TIM Black C Hero para móvel: (25GB do plano + 40GB promo + 50GB bônus especial)</t>
        </is>
      </c>
      <c r="Y461" s="5" t="inlineStr">
        <is>
          <t>https://www.tim.com.br/sp/internet/tim-ultracombo</t>
        </is>
      </c>
      <c r="Z461" s="5" t="inlineStr">
        <is>
          <t>data/raw/tim_convergent_ultracombo_SP.html</t>
        </is>
      </c>
    </row>
    <row r="462">
      <c r="A462" s="2" t="inlineStr">
        <is>
          <t>2026-08-23</t>
        </is>
      </c>
      <c r="B462" s="2" t="inlineStr">
        <is>
          <t>2026-08-23T18:17:10</t>
        </is>
      </c>
      <c r="C462" s="2" t="inlineStr">
        <is>
          <t>tim</t>
        </is>
      </c>
      <c r="D462" s="2" t="inlineStr">
        <is>
          <t>SP</t>
        </is>
      </c>
      <c r="E462" s="2" t="inlineStr">
        <is>
          <t>TIM Ultracombo 6</t>
        </is>
      </c>
      <c r="F462" s="2" t="inlineStr">
        <is>
          <t>tim:167751</t>
        </is>
      </c>
      <c r="G462" s="3" t="n">
        <v>139.99</v>
      </c>
      <c r="H462" s="3" t="inlineStr"/>
      <c r="I462" s="2" t="inlineStr"/>
      <c r="J462" s="2" t="inlineStr">
        <is>
          <t>debit_auto</t>
        </is>
      </c>
      <c r="K462" s="2" t="inlineStr">
        <is>
          <t>preço em débito automático; R$ 149,99/mês no pagamento por fatura</t>
        </is>
      </c>
      <c r="L462" s="2" t="inlineStr">
        <is>
          <t>mobile+broadband</t>
        </is>
      </c>
      <c r="M462" s="2" t="inlineStr">
        <is>
          <t>Fiber + Mobile</t>
        </is>
      </c>
      <c r="N462" s="2" t="b">
        <v>1</v>
      </c>
      <c r="O462" s="2" t="b">
        <v>1</v>
      </c>
      <c r="P462" s="2" t="b">
        <v>0</v>
      </c>
      <c r="Q462" s="2" t="b">
        <v>0</v>
      </c>
      <c r="R462" s="4" t="n">
        <v>1000</v>
      </c>
      <c r="S462" s="4" t="n">
        <v>70</v>
      </c>
      <c r="T462" s="4" t="n">
        <v>1</v>
      </c>
      <c r="U462" s="2" t="inlineStr"/>
      <c r="V462" s="2" t="inlineStr">
        <is>
          <t>Paramount+, Deezer</t>
        </is>
      </c>
      <c r="W462" s="2" t="inlineStr"/>
      <c r="X462" s="2" t="inlineStr">
        <is>
          <t>1GIGA de Ultrafibra para casa + 70GB de TIM Black A para móvel: (15GB do plano + 50GB promo + 5GB bônus especial)</t>
        </is>
      </c>
      <c r="Y462" s="2" t="inlineStr">
        <is>
          <t>https://www.tim.com.br/sp/internet/tim-ultracombo</t>
        </is>
      </c>
      <c r="Z462" s="2" t="inlineStr">
        <is>
          <t>data/raw/tim_convergent_ultracombo_SP.html</t>
        </is>
      </c>
    </row>
    <row r="463">
      <c r="A463" s="5" t="inlineStr">
        <is>
          <t>2026-08-23</t>
        </is>
      </c>
      <c r="B463" s="5" t="inlineStr">
        <is>
          <t>2026-08-23T18:17:10</t>
        </is>
      </c>
      <c r="C463" s="5" t="inlineStr">
        <is>
          <t>tim</t>
        </is>
      </c>
      <c r="D463" s="5" t="inlineStr">
        <is>
          <t>SP</t>
        </is>
      </c>
      <c r="E463" s="5" t="inlineStr">
        <is>
          <t>TIM Ultracombo 7</t>
        </is>
      </c>
      <c r="F463" s="5" t="inlineStr">
        <is>
          <t>tim:167761</t>
        </is>
      </c>
      <c r="G463" s="6" t="n">
        <v>89.98999999999999</v>
      </c>
      <c r="H463" s="6" t="inlineStr"/>
      <c r="I463" s="5" t="inlineStr"/>
      <c r="J463" s="5" t="inlineStr">
        <is>
          <t>debit_auto</t>
        </is>
      </c>
      <c r="K463" s="5" t="inlineStr">
        <is>
          <t>preço em débito automático; R$ 99,99/mês no pagamento por fatura</t>
        </is>
      </c>
      <c r="L463" s="5" t="inlineStr">
        <is>
          <t>mobile+broadband</t>
        </is>
      </c>
      <c r="M463" s="5" t="inlineStr">
        <is>
          <t>Fiber + Mobile</t>
        </is>
      </c>
      <c r="N463" s="5" t="b">
        <v>1</v>
      </c>
      <c r="O463" s="5" t="b">
        <v>1</v>
      </c>
      <c r="P463" s="5" t="b">
        <v>0</v>
      </c>
      <c r="Q463" s="5" t="b">
        <v>0</v>
      </c>
      <c r="R463" s="7" t="n">
        <v>500</v>
      </c>
      <c r="S463" s="7" t="n">
        <v>65</v>
      </c>
      <c r="T463" s="7" t="n">
        <v>1</v>
      </c>
      <c r="U463" s="5" t="inlineStr"/>
      <c r="V463" s="5" t="inlineStr"/>
      <c r="W463" s="5" t="inlineStr"/>
      <c r="X463" s="5" t="inlineStr">
        <is>
          <t>500MEGA de Ultrafibra para casa + 65GB de TIM Black A Light para móvel: (10GB do plano + 50GB promo)</t>
        </is>
      </c>
      <c r="Y463" s="5" t="inlineStr">
        <is>
          <t>https://www.tim.com.br/sp/internet/tim-ultracombo</t>
        </is>
      </c>
      <c r="Z463" s="5" t="inlineStr">
        <is>
          <t>data/raw/tim_convergent_ultracombo_SP.html</t>
        </is>
      </c>
    </row>
    <row r="464">
      <c r="A464" s="2" t="inlineStr">
        <is>
          <t>2026-08-23</t>
        </is>
      </c>
      <c r="B464" s="2" t="inlineStr">
        <is>
          <t>2026-08-23T18:17:10</t>
        </is>
      </c>
      <c r="C464" s="2" t="inlineStr">
        <is>
          <t>vivo</t>
        </is>
      </c>
      <c r="D464" s="2" t="inlineStr">
        <is>
          <t>SP</t>
        </is>
      </c>
      <c r="E464" s="2" t="inlineStr">
        <is>
          <t>Vivo Família 2</t>
        </is>
      </c>
      <c r="F464" s="2" t="inlineStr">
        <is>
          <t>vivo:VIV202604028085-3-305-316-336-408-411-426-430-442</t>
        </is>
      </c>
      <c r="G464" s="3" t="n">
        <v>290</v>
      </c>
      <c r="H464" s="3" t="inlineStr"/>
      <c r="I464" s="2" t="inlineStr"/>
      <c r="J464" s="2" t="inlineStr"/>
      <c r="K464" s="2" t="inlineStr">
        <is>
          <t>instalação grátis mediante fidelização (não afeta a mensalidade)</t>
        </is>
      </c>
      <c r="L464" s="2" t="inlineStr">
        <is>
          <t>mobile+broadband+tv</t>
        </is>
      </c>
      <c r="M464" s="2" t="inlineStr">
        <is>
          <t>Fiber + Mobile + TV</t>
        </is>
      </c>
      <c r="N464" s="2" t="b">
        <v>1</v>
      </c>
      <c r="O464" s="2" t="b">
        <v>1</v>
      </c>
      <c r="P464" s="2" t="b">
        <v>1</v>
      </c>
      <c r="Q464" s="2" t="b">
        <v>0</v>
      </c>
      <c r="R464" s="4" t="n">
        <v>700</v>
      </c>
      <c r="S464" s="4" t="n">
        <v>120</v>
      </c>
      <c r="T464" s="4" t="n">
        <v>2</v>
      </c>
      <c r="U464" s="2" t="inlineStr">
        <is>
          <t>80 canais de Vivo Estendido</t>
        </is>
      </c>
      <c r="V464" s="2" t="inlineStr"/>
      <c r="W464" s="2" t="inlineStr">
        <is>
          <t>Vivo Travel américas e europa; 1 linha adicional inclusa</t>
        </is>
      </c>
      <c r="X464" s="2" t="inlineStr">
        <is>
          <t>700 Mega de Vivo Fibra</t>
        </is>
      </c>
      <c r="Y464" s="2" t="inlineStr">
        <is>
          <t>https://vivo.com.br/para-voce/produtos-e-servicos/combos/vivo-total</t>
        </is>
      </c>
      <c r="Z464" s="2" t="inlineStr">
        <is>
          <t>data/raw/vivo_convergent_total_SP.html</t>
        </is>
      </c>
    </row>
    <row r="465">
      <c r="A465" s="5" t="inlineStr">
        <is>
          <t>2026-08-23</t>
        </is>
      </c>
      <c r="B465" s="5" t="inlineStr">
        <is>
          <t>2026-08-23T18:17:10</t>
        </is>
      </c>
      <c r="C465" s="5" t="inlineStr">
        <is>
          <t>vivo</t>
        </is>
      </c>
      <c r="D465" s="5" t="inlineStr">
        <is>
          <t>SP</t>
        </is>
      </c>
      <c r="E465" s="5" t="inlineStr">
        <is>
          <t>Vivo Família 2</t>
        </is>
      </c>
      <c r="F465" s="5" t="inlineStr">
        <is>
          <t>vivo:VIV202604028065-3-9-305-316-408-411-426-430-442</t>
        </is>
      </c>
      <c r="G465" s="6" t="n">
        <v>390</v>
      </c>
      <c r="H465" s="6" t="inlineStr"/>
      <c r="I465" s="5" t="inlineStr"/>
      <c r="J465" s="5" t="inlineStr"/>
      <c r="K465" s="5" t="inlineStr">
        <is>
          <t>instalação grátis mediante fidelização (não afeta a mensalidade)</t>
        </is>
      </c>
      <c r="L465" s="5" t="inlineStr">
        <is>
          <t>mobile+broadband+tv</t>
        </is>
      </c>
      <c r="M465" s="5" t="inlineStr">
        <is>
          <t>Fiber + Mobile + TV</t>
        </is>
      </c>
      <c r="N465" s="5" t="b">
        <v>1</v>
      </c>
      <c r="O465" s="5" t="b">
        <v>1</v>
      </c>
      <c r="P465" s="5" t="b">
        <v>1</v>
      </c>
      <c r="Q465" s="5" t="b">
        <v>0</v>
      </c>
      <c r="R465" s="7" t="n">
        <v>700</v>
      </c>
      <c r="S465" s="7" t="n">
        <v>120</v>
      </c>
      <c r="T465" s="7" t="n">
        <v>2</v>
      </c>
      <c r="U465" s="5" t="inlineStr">
        <is>
          <t>120 canais de Vivo TV Avançado + 1 ponto adicional</t>
        </is>
      </c>
      <c r="V465" s="5" t="inlineStr"/>
      <c r="W465" s="5" t="inlineStr">
        <is>
          <t>Vivo Travel américas e europa; 1 linha adicional inclusa</t>
        </is>
      </c>
      <c r="X465" s="5" t="inlineStr">
        <is>
          <t>700 Mega de Vivo Fibra</t>
        </is>
      </c>
      <c r="Y465" s="5" t="inlineStr">
        <is>
          <t>https://vivo.com.br/para-voce/produtos-e-servicos/combos/vivo-total</t>
        </is>
      </c>
      <c r="Z465" s="5" t="inlineStr">
        <is>
          <t>data/raw/vivo_convergent_total_SP.html</t>
        </is>
      </c>
    </row>
    <row r="466">
      <c r="A466" s="2" t="inlineStr">
        <is>
          <t>2026-08-23</t>
        </is>
      </c>
      <c r="B466" s="2" t="inlineStr">
        <is>
          <t>2026-08-23T18:17:10</t>
        </is>
      </c>
      <c r="C466" s="2" t="inlineStr">
        <is>
          <t>vivo</t>
        </is>
      </c>
      <c r="D466" s="2" t="inlineStr">
        <is>
          <t>SP</t>
        </is>
      </c>
      <c r="E466" s="2" t="inlineStr">
        <is>
          <t>Vivo Total Família 2</t>
        </is>
      </c>
      <c r="F466" s="2" t="inlineStr">
        <is>
          <t>vivo:VIV202604028085-3-305-316-408-411-426-430-442</t>
        </is>
      </c>
      <c r="G466" s="3" t="n">
        <v>270</v>
      </c>
      <c r="H466" s="3" t="inlineStr"/>
      <c r="I466" s="2" t="inlineStr"/>
      <c r="J466" s="2" t="inlineStr"/>
      <c r="K466" s="2" t="inlineStr">
        <is>
          <t>instalação grátis mediante fidelização (não afeta a mensalidade)</t>
        </is>
      </c>
      <c r="L466" s="2" t="inlineStr">
        <is>
          <t>mobile+broadband</t>
        </is>
      </c>
      <c r="M466" s="2" t="inlineStr">
        <is>
          <t>Fiber + Mobile</t>
        </is>
      </c>
      <c r="N466" s="2" t="b">
        <v>1</v>
      </c>
      <c r="O466" s="2" t="b">
        <v>1</v>
      </c>
      <c r="P466" s="2" t="b">
        <v>0</v>
      </c>
      <c r="Q466" s="2" t="b">
        <v>0</v>
      </c>
      <c r="R466" s="4" t="n">
        <v>700</v>
      </c>
      <c r="S466" s="4" t="n">
        <v>120</v>
      </c>
      <c r="T466" s="4" t="n">
        <v>2</v>
      </c>
      <c r="U466" s="2" t="inlineStr"/>
      <c r="V466" s="2" t="inlineStr"/>
      <c r="W466" s="2" t="inlineStr">
        <is>
          <t>Vivo Travel Américas e Europa; 1 linha adicional inclusa</t>
        </is>
      </c>
      <c r="X466" s="2" t="inlineStr">
        <is>
          <t>700 Mega de Vivo Fibra</t>
        </is>
      </c>
      <c r="Y466" s="2" t="inlineStr">
        <is>
          <t>https://vivo.com.br/para-voce/produtos-e-servicos/combos/vivo-total</t>
        </is>
      </c>
      <c r="Z466" s="2" t="inlineStr">
        <is>
          <t>data/raw/vivo_convergent_total_SP.html</t>
        </is>
      </c>
    </row>
    <row r="467">
      <c r="A467" s="5" t="inlineStr">
        <is>
          <t>2026-08-23</t>
        </is>
      </c>
      <c r="B467" s="5" t="inlineStr">
        <is>
          <t>2026-08-23T18:17:10</t>
        </is>
      </c>
      <c r="C467" s="5" t="inlineStr">
        <is>
          <t>vivo</t>
        </is>
      </c>
      <c r="D467" s="5" t="inlineStr">
        <is>
          <t>SP</t>
        </is>
      </c>
      <c r="E467" s="5" t="inlineStr">
        <is>
          <t>Vivo Total Família 3</t>
        </is>
      </c>
      <c r="F467" s="5" t="inlineStr">
        <is>
          <t>vivo:VIV202604028165-4-305-316-408-411-426-430-442</t>
        </is>
      </c>
      <c r="G467" s="6" t="n">
        <v>330</v>
      </c>
      <c r="H467" s="6" t="inlineStr"/>
      <c r="I467" s="5" t="inlineStr"/>
      <c r="J467" s="5" t="inlineStr"/>
      <c r="K467" s="5" t="inlineStr">
        <is>
          <t>instalação grátis mediante fidelização (não afeta a mensalidade)</t>
        </is>
      </c>
      <c r="L467" s="5" t="inlineStr">
        <is>
          <t>mobile+broadband</t>
        </is>
      </c>
      <c r="M467" s="5" t="inlineStr">
        <is>
          <t>Fiber + Mobile</t>
        </is>
      </c>
      <c r="N467" s="5" t="b">
        <v>1</v>
      </c>
      <c r="O467" s="5" t="b">
        <v>1</v>
      </c>
      <c r="P467" s="5" t="b">
        <v>0</v>
      </c>
      <c r="Q467" s="5" t="b">
        <v>0</v>
      </c>
      <c r="R467" s="7" t="n">
        <v>700</v>
      </c>
      <c r="S467" s="7" t="n">
        <v>180</v>
      </c>
      <c r="T467" s="7" t="n">
        <v>3</v>
      </c>
      <c r="U467" s="5" t="inlineStr"/>
      <c r="V467" s="5" t="inlineStr"/>
      <c r="W467" s="5" t="inlineStr">
        <is>
          <t>Vivo Travel Américas e Europa; 2 linhas adicionais inclusas</t>
        </is>
      </c>
      <c r="X467" s="5" t="inlineStr">
        <is>
          <t>700 Mega de Vivo Fibra</t>
        </is>
      </c>
      <c r="Y467" s="5" t="inlineStr">
        <is>
          <t>https://vivo.com.br/para-voce/produtos-e-servicos/combos/vivo-total</t>
        </is>
      </c>
      <c r="Z467" s="5" t="inlineStr">
        <is>
          <t>data/raw/vivo_convergent_total_SP.html</t>
        </is>
      </c>
    </row>
    <row r="468">
      <c r="A468" s="2" t="inlineStr">
        <is>
          <t>2026-08-23</t>
        </is>
      </c>
      <c r="B468" s="2" t="inlineStr">
        <is>
          <t>2026-08-23T18:17:10</t>
        </is>
      </c>
      <c r="C468" s="2" t="inlineStr">
        <is>
          <t>vivo</t>
        </is>
      </c>
      <c r="D468" s="2" t="inlineStr">
        <is>
          <t>SP</t>
        </is>
      </c>
      <c r="E468" s="2" t="inlineStr">
        <is>
          <t>Vivo Total Família 4</t>
        </is>
      </c>
      <c r="F468" s="2" t="inlineStr">
        <is>
          <t>vivo:VIV202604028245-237-305-316-408-411-426-430-442</t>
        </is>
      </c>
      <c r="G468" s="3" t="n">
        <v>420</v>
      </c>
      <c r="H468" s="3" t="inlineStr"/>
      <c r="I468" s="2" t="inlineStr"/>
      <c r="J468" s="2" t="inlineStr"/>
      <c r="K468" s="2" t="inlineStr">
        <is>
          <t>instalação grátis mediante fidelização (não afeta a mensalidade)</t>
        </is>
      </c>
      <c r="L468" s="2" t="inlineStr">
        <is>
          <t>mobile+broadband</t>
        </is>
      </c>
      <c r="M468" s="2" t="inlineStr">
        <is>
          <t>Fiber + Mobile</t>
        </is>
      </c>
      <c r="N468" s="2" t="b">
        <v>1</v>
      </c>
      <c r="O468" s="2" t="b">
        <v>1</v>
      </c>
      <c r="P468" s="2" t="b">
        <v>0</v>
      </c>
      <c r="Q468" s="2" t="b">
        <v>0</v>
      </c>
      <c r="R468" s="4" t="n">
        <v>700</v>
      </c>
      <c r="S468" s="4" t="n">
        <v>240</v>
      </c>
      <c r="T468" s="4" t="n">
        <v>4</v>
      </c>
      <c r="U468" s="2" t="inlineStr"/>
      <c r="V468" s="2" t="inlineStr"/>
      <c r="W468" s="2" t="inlineStr">
        <is>
          <t>Vivo Travel Américas e Europa; 3 linhas adicionais inclusas</t>
        </is>
      </c>
      <c r="X468" s="2" t="inlineStr">
        <is>
          <t>700 Mega de Vivo Fibra</t>
        </is>
      </c>
      <c r="Y468" s="2" t="inlineStr">
        <is>
          <t>https://vivo.com.br/para-voce/produtos-e-servicos/combos/vivo-total</t>
        </is>
      </c>
      <c r="Z468" s="2" t="inlineStr">
        <is>
          <t>data/raw/vivo_convergent_total_SP.html</t>
        </is>
      </c>
    </row>
    <row r="469">
      <c r="A469" s="5" t="inlineStr">
        <is>
          <t>2026-08-23</t>
        </is>
      </c>
      <c r="B469" s="5" t="inlineStr">
        <is>
          <t>2026-08-23T18:17:10</t>
        </is>
      </c>
      <c r="C469" s="5" t="inlineStr">
        <is>
          <t>vivo</t>
        </is>
      </c>
      <c r="D469" s="5" t="inlineStr">
        <is>
          <t>SP</t>
        </is>
      </c>
      <c r="E469" s="5" t="inlineStr">
        <is>
          <t>Vivo Total Família 5</t>
        </is>
      </c>
      <c r="F469" s="5" t="inlineStr">
        <is>
          <t>vivo:VIV202604028325-5-305-316-408-411-426-430-442</t>
        </is>
      </c>
      <c r="G469" s="6" t="n">
        <v>520</v>
      </c>
      <c r="H469" s="6" t="inlineStr"/>
      <c r="I469" s="5" t="inlineStr"/>
      <c r="J469" s="5" t="inlineStr"/>
      <c r="K469" s="5" t="inlineStr">
        <is>
          <t>instalação grátis mediante fidelização (não afeta a mensalidade)</t>
        </is>
      </c>
      <c r="L469" s="5" t="inlineStr">
        <is>
          <t>mobile+broadband</t>
        </is>
      </c>
      <c r="M469" s="5" t="inlineStr">
        <is>
          <t>Fiber + Mobile</t>
        </is>
      </c>
      <c r="N469" s="5" t="b">
        <v>1</v>
      </c>
      <c r="O469" s="5" t="b">
        <v>1</v>
      </c>
      <c r="P469" s="5" t="b">
        <v>0</v>
      </c>
      <c r="Q469" s="5" t="b">
        <v>0</v>
      </c>
      <c r="R469" s="7" t="n">
        <v>700</v>
      </c>
      <c r="S469" s="7" t="n">
        <v>300</v>
      </c>
      <c r="T469" s="7" t="n">
        <v>5</v>
      </c>
      <c r="U469" s="5" t="inlineStr"/>
      <c r="V469" s="5" t="inlineStr"/>
      <c r="W469" s="5" t="inlineStr">
        <is>
          <t>Vivo Travel Américas e Europa; 4 linhas adicionais inclusas</t>
        </is>
      </c>
      <c r="X469" s="5" t="inlineStr">
        <is>
          <t>700 Mega de Vivo Fibra</t>
        </is>
      </c>
      <c r="Y469" s="5" t="inlineStr">
        <is>
          <t>https://vivo.com.br/para-voce/produtos-e-servicos/combos/vivo-total</t>
        </is>
      </c>
      <c r="Z469" s="5" t="inlineStr">
        <is>
          <t>data/raw/vivo_convergent_total_SP.html</t>
        </is>
      </c>
    </row>
    <row r="470">
      <c r="A470" s="2" t="inlineStr">
        <is>
          <t>2026-08-23</t>
        </is>
      </c>
      <c r="B470" s="2" t="inlineStr">
        <is>
          <t>2026-08-23T18:17:10</t>
        </is>
      </c>
      <c r="C470" s="2" t="inlineStr">
        <is>
          <t>vivo</t>
        </is>
      </c>
      <c r="D470" s="2" t="inlineStr">
        <is>
          <t>SP</t>
        </is>
      </c>
      <c r="E470" s="2" t="inlineStr">
        <is>
          <t>Vivo Total Pro</t>
        </is>
      </c>
      <c r="F470" s="2" t="inlineStr">
        <is>
          <t>vivo:VIV202604028685-2-305-308-316-326-342-411-430</t>
        </is>
      </c>
      <c r="G470" s="3" t="n">
        <v>160</v>
      </c>
      <c r="H470" s="3" t="inlineStr"/>
      <c r="I470" s="2" t="inlineStr"/>
      <c r="J470" s="2" t="inlineStr"/>
      <c r="K470" s="2" t="inlineStr">
        <is>
          <t>instalação grátis mediante fidelização (não afeta a mensalidade)</t>
        </is>
      </c>
      <c r="L470" s="2" t="inlineStr">
        <is>
          <t>mobile+broadband</t>
        </is>
      </c>
      <c r="M470" s="2" t="inlineStr">
        <is>
          <t>Fiber + Mobile</t>
        </is>
      </c>
      <c r="N470" s="2" t="b">
        <v>1</v>
      </c>
      <c r="O470" s="2" t="b">
        <v>1</v>
      </c>
      <c r="P470" s="2" t="b">
        <v>0</v>
      </c>
      <c r="Q470" s="2" t="b">
        <v>0</v>
      </c>
      <c r="R470" s="4" t="n">
        <v>500</v>
      </c>
      <c r="S470" s="4" t="n">
        <v>60</v>
      </c>
      <c r="T470" s="4" t="n">
        <v>1</v>
      </c>
      <c r="U470" s="2" t="inlineStr"/>
      <c r="V470" s="2" t="inlineStr"/>
      <c r="W470" s="2" t="inlineStr">
        <is>
          <t>Vivo Travel Américas; 50 GB de franquia + 10 GB de bônus</t>
        </is>
      </c>
      <c r="X470" s="2" t="inlineStr">
        <is>
          <t>500 Mega de Vivo Fibra</t>
        </is>
      </c>
      <c r="Y470" s="2" t="inlineStr">
        <is>
          <t>https://vivo.com.br/para-voce/produtos-e-servicos/combos/vivo-total</t>
        </is>
      </c>
      <c r="Z470" s="2" t="inlineStr">
        <is>
          <t>data/raw/vivo_convergent_total_SP.html</t>
        </is>
      </c>
    </row>
    <row r="471">
      <c r="A471" s="5" t="inlineStr">
        <is>
          <t>2026-08-23</t>
        </is>
      </c>
      <c r="B471" s="5" t="inlineStr">
        <is>
          <t>2026-08-23T18:17:10</t>
        </is>
      </c>
      <c r="C471" s="5" t="inlineStr">
        <is>
          <t>vivo</t>
        </is>
      </c>
      <c r="D471" s="5" t="inlineStr">
        <is>
          <t>SP</t>
        </is>
      </c>
      <c r="E471" s="5" t="inlineStr">
        <is>
          <t>Vivo Total Ultra</t>
        </is>
      </c>
      <c r="F471" s="5" t="inlineStr">
        <is>
          <t>vivo:VIV202604028947-305-313-316-408-411-426-430-442</t>
        </is>
      </c>
      <c r="G471" s="6" t="n">
        <v>170</v>
      </c>
      <c r="H471" s="6" t="inlineStr"/>
      <c r="I471" s="5" t="inlineStr"/>
      <c r="J471" s="5" t="inlineStr"/>
      <c r="K471" s="5" t="inlineStr">
        <is>
          <t>instalação grátis mediante fidelização (não afeta a mensalidade)</t>
        </is>
      </c>
      <c r="L471" s="5" t="inlineStr">
        <is>
          <t>mobile+broadband</t>
        </is>
      </c>
      <c r="M471" s="5" t="inlineStr">
        <is>
          <t>Fiber + Mobile</t>
        </is>
      </c>
      <c r="N471" s="5" t="b">
        <v>1</v>
      </c>
      <c r="O471" s="5" t="b">
        <v>1</v>
      </c>
      <c r="P471" s="5" t="b">
        <v>0</v>
      </c>
      <c r="Q471" s="5" t="b">
        <v>0</v>
      </c>
      <c r="R471" s="7" t="n">
        <v>700</v>
      </c>
      <c r="S471" s="7" t="n">
        <v>70</v>
      </c>
      <c r="T471" s="7" t="n">
        <v>1</v>
      </c>
      <c r="U471" s="5" t="inlineStr"/>
      <c r="V471" s="5" t="inlineStr"/>
      <c r="W471" s="5" t="inlineStr">
        <is>
          <t>Vivo Travel Américas; Exitlag e ponto cabeado incluso</t>
        </is>
      </c>
      <c r="X471" s="5" t="inlineStr">
        <is>
          <t>700 Mega de Vivo Fibra</t>
        </is>
      </c>
      <c r="Y471" s="5" t="inlineStr">
        <is>
          <t>https://vivo.com.br/para-voce/produtos-e-servicos/combos/vivo-total</t>
        </is>
      </c>
      <c r="Z471" s="5" t="inlineStr">
        <is>
          <t>data/raw/vivo_convergent_total_SP.html</t>
        </is>
      </c>
    </row>
    <row r="472">
      <c r="A472" s="2" t="inlineStr">
        <is>
          <t>2026-08-23</t>
        </is>
      </c>
      <c r="B472" s="2" t="inlineStr">
        <is>
          <t>2026-08-23T18:17:10</t>
        </is>
      </c>
      <c r="C472" s="2" t="inlineStr">
        <is>
          <t>vivo</t>
        </is>
      </c>
      <c r="D472" s="2" t="inlineStr">
        <is>
          <t>SP</t>
        </is>
      </c>
      <c r="E472" s="2" t="inlineStr">
        <is>
          <t>Vivo Total Ultra + TV</t>
        </is>
      </c>
      <c r="F472" s="2" t="inlineStr">
        <is>
          <t>vivo:VIV202604028795-9-305-313-316-408-411-426-430-442</t>
        </is>
      </c>
      <c r="G472" s="3" t="n">
        <v>310</v>
      </c>
      <c r="H472" s="3" t="inlineStr"/>
      <c r="I472" s="2" t="inlineStr"/>
      <c r="J472" s="2" t="inlineStr"/>
      <c r="K472" s="2" t="inlineStr">
        <is>
          <t>instalação grátis mediante fidelização (não afeta a mensalidade)</t>
        </is>
      </c>
      <c r="L472" s="2" t="inlineStr">
        <is>
          <t>mobile+broadband+tv</t>
        </is>
      </c>
      <c r="M472" s="2" t="inlineStr">
        <is>
          <t>Fiber + Mobile + TV</t>
        </is>
      </c>
      <c r="N472" s="2" t="b">
        <v>1</v>
      </c>
      <c r="O472" s="2" t="b">
        <v>1</v>
      </c>
      <c r="P472" s="2" t="b">
        <v>1</v>
      </c>
      <c r="Q472" s="2" t="b">
        <v>0</v>
      </c>
      <c r="R472" s="4" t="n">
        <v>700</v>
      </c>
      <c r="S472" s="4" t="n">
        <v>70</v>
      </c>
      <c r="T472" s="4" t="n">
        <v>1</v>
      </c>
      <c r="U472" s="2" t="inlineStr">
        <is>
          <t>120 canais de Vivo TV Avançado + 1 ponto adicional</t>
        </is>
      </c>
      <c r="V472" s="2" t="inlineStr"/>
      <c r="W472" s="2" t="inlineStr">
        <is>
          <t>Vivo travel américas</t>
        </is>
      </c>
      <c r="X472" s="2" t="inlineStr">
        <is>
          <t>700 Mega de Vivo Fibra</t>
        </is>
      </c>
      <c r="Y472" s="2" t="inlineStr">
        <is>
          <t>https://vivo.com.br/para-voce/produtos-e-servicos/combos/vivo-total</t>
        </is>
      </c>
      <c r="Z472" s="2" t="inlineStr">
        <is>
          <t>data/raw/vivo_convergent_total_SP.html</t>
        </is>
      </c>
    </row>
    <row r="473">
      <c r="A473" s="5" t="inlineStr">
        <is>
          <t>2026-08-23</t>
        </is>
      </c>
      <c r="B473" s="5" t="inlineStr">
        <is>
          <t>2026-08-23T18:17:10</t>
        </is>
      </c>
      <c r="C473" s="5" t="inlineStr">
        <is>
          <t>vivo</t>
        </is>
      </c>
      <c r="D473" s="5" t="inlineStr">
        <is>
          <t>SP</t>
        </is>
      </c>
      <c r="E473" s="5" t="inlineStr">
        <is>
          <t>Vivo Total Ultra + TV online</t>
        </is>
      </c>
      <c r="F473" s="5" t="inlineStr">
        <is>
          <t>vivo:VIV202604028947-305-313-316-336-408-411-426-430-442</t>
        </is>
      </c>
      <c r="G473" s="6" t="n">
        <v>210</v>
      </c>
      <c r="H473" s="6" t="inlineStr"/>
      <c r="I473" s="5" t="inlineStr"/>
      <c r="J473" s="5" t="inlineStr"/>
      <c r="K473" s="5" t="inlineStr">
        <is>
          <t>instalação grátis mediante fidelização (não afeta a mensalidade)</t>
        </is>
      </c>
      <c r="L473" s="5" t="inlineStr">
        <is>
          <t>mobile+broadband+tv</t>
        </is>
      </c>
      <c r="M473" s="5" t="inlineStr">
        <is>
          <t>Fiber + Mobile + TV</t>
        </is>
      </c>
      <c r="N473" s="5" t="b">
        <v>1</v>
      </c>
      <c r="O473" s="5" t="b">
        <v>1</v>
      </c>
      <c r="P473" s="5" t="b">
        <v>1</v>
      </c>
      <c r="Q473" s="5" t="b">
        <v>0</v>
      </c>
      <c r="R473" s="7" t="n">
        <v>700</v>
      </c>
      <c r="S473" s="7" t="n">
        <v>70</v>
      </c>
      <c r="T473" s="7" t="n">
        <v>1</v>
      </c>
      <c r="U473" s="5" t="inlineStr">
        <is>
          <t>80 canais de Vivo Estendido</t>
        </is>
      </c>
      <c r="V473" s="5" t="inlineStr"/>
      <c r="W473" s="5" t="inlineStr">
        <is>
          <t>Vivo travel américas</t>
        </is>
      </c>
      <c r="X473" s="5" t="inlineStr">
        <is>
          <t>700 Mega de Vivo Fibra</t>
        </is>
      </c>
      <c r="Y473" s="5" t="inlineStr">
        <is>
          <t>https://vivo.com.br/para-voce/produtos-e-servicos/combos/vivo-total</t>
        </is>
      </c>
      <c r="Z473" s="5" t="inlineStr">
        <is>
          <t>data/raw/vivo_convergent_total_SP.html</t>
        </is>
      </c>
    </row>
    <row r="474">
      <c r="A474" s="2" t="inlineStr">
        <is>
          <t>2026-08-23</t>
        </is>
      </c>
      <c r="B474" s="2" t="inlineStr">
        <is>
          <t>2026-08-23T18:17:10</t>
        </is>
      </c>
      <c r="C474" s="2" t="inlineStr">
        <is>
          <t>vivo</t>
        </is>
      </c>
      <c r="D474" s="2" t="inlineStr">
        <is>
          <t>SP</t>
        </is>
      </c>
      <c r="E474" s="2" t="inlineStr">
        <is>
          <t>Vivo Total V 1 Giga</t>
        </is>
      </c>
      <c r="F474" s="2" t="inlineStr">
        <is>
          <t>vivo:VIV202604029045-2-305-316-408-426-430-442</t>
        </is>
      </c>
      <c r="G474" s="3" t="n">
        <v>1200</v>
      </c>
      <c r="H474" s="3" t="inlineStr"/>
      <c r="I474" s="2" t="inlineStr"/>
      <c r="J474" s="2" t="inlineStr"/>
      <c r="K474" s="2" t="inlineStr">
        <is>
          <t>instalação grátis mediante fidelização (não afeta a mensalidade)</t>
        </is>
      </c>
      <c r="L474" s="2" t="inlineStr">
        <is>
          <t>mobile+broadband+tv</t>
        </is>
      </c>
      <c r="M474" s="2" t="inlineStr">
        <is>
          <t>Fiber + Mobile + TV</t>
        </is>
      </c>
      <c r="N474" s="2" t="b">
        <v>1</v>
      </c>
      <c r="O474" s="2" t="b">
        <v>1</v>
      </c>
      <c r="P474" s="2" t="b">
        <v>1</v>
      </c>
      <c r="Q474" s="2" t="b">
        <v>0</v>
      </c>
      <c r="R474" s="4" t="n">
        <v>1000</v>
      </c>
      <c r="S474" s="4" t="n">
        <v>600</v>
      </c>
      <c r="T474" s="4" t="n">
        <v>11</v>
      </c>
      <c r="U474" s="2" t="inlineStr">
        <is>
          <t>Vivo TV Completo com HBO Max e Telecine</t>
        </is>
      </c>
      <c r="V474" s="2" t="inlineStr"/>
      <c r="W474" s="2" t="inlineStr">
        <is>
          <t>Vivo Travel Mundo; 10 linhas adicionais inclusas; Vivo TV Completo com HBO Max e Telecine</t>
        </is>
      </c>
      <c r="X474" s="2" t="inlineStr">
        <is>
          <t>1Giga de Vivo Fibra</t>
        </is>
      </c>
      <c r="Y474" s="2" t="inlineStr">
        <is>
          <t>https://vivo.com.br/para-voce/produtos-e-servicos/combos/vivo-total</t>
        </is>
      </c>
      <c r="Z474" s="2" t="inlineStr">
        <is>
          <t>data/raw/vivo_convergent_total_SP.html</t>
        </is>
      </c>
    </row>
    <row r="475">
      <c r="A475" s="5" t="inlineStr">
        <is>
          <t>2026-08-24</t>
        </is>
      </c>
      <c r="B475" s="5" t="inlineStr">
        <is>
          <t>2026-08-24T18:24:33</t>
        </is>
      </c>
      <c r="C475" s="5" t="inlineStr">
        <is>
          <t>claro</t>
        </is>
      </c>
      <c r="D475" s="5" t="inlineStr">
        <is>
          <t>SP</t>
        </is>
      </c>
      <c r="E475" s="5" t="inlineStr">
        <is>
          <t>1 Giga com Globoplay incluso + Claro tv+ Box + Disney+ Amazon Prime + Netflix + HBO Max + Apple TV + Globoplay</t>
        </is>
      </c>
      <c r="F475" s="5" t="inlineStr">
        <is>
          <t>claro:af8152be-4aa7-4aa8-819a-a79687a3a9a0</t>
        </is>
      </c>
      <c r="G475" s="6" t="n">
        <v>299.8</v>
      </c>
      <c r="H475" s="6" t="inlineStr"/>
      <c r="I475" s="5" t="inlineStr"/>
      <c r="J475" s="5" t="inlineStr"/>
      <c r="K475" s="5" t="inlineStr">
        <is>
          <t>tab: Fibra + TV</t>
        </is>
      </c>
      <c r="L475" s="5" t="inlineStr">
        <is>
          <t>broadband+tv</t>
        </is>
      </c>
      <c r="M475" s="5" t="inlineStr">
        <is>
          <t>Fiber + TV</t>
        </is>
      </c>
      <c r="N475" s="5" t="b">
        <v>0</v>
      </c>
      <c r="O475" s="5" t="b">
        <v>1</v>
      </c>
      <c r="P475" s="5" t="b">
        <v>1</v>
      </c>
      <c r="Q475" s="5" t="b">
        <v>0</v>
      </c>
      <c r="R475" s="7" t="n">
        <v>1000</v>
      </c>
      <c r="S475" s="7" t="inlineStr"/>
      <c r="T475" s="7" t="inlineStr"/>
      <c r="U475" s="5" t="inlineStr">
        <is>
          <t>Claro tv+ Box + Disney+ Amazon Prime + Netflix + HBO Max + Apple TV + Globoplay</t>
        </is>
      </c>
      <c r="V475" s="5" t="inlineStr"/>
      <c r="W475" s="5" t="inlineStr"/>
      <c r="X475" s="5" t="inlineStr"/>
      <c r="Y475" s="5" t="inlineStr">
        <is>
          <t>https://www.claro.com.br/multi</t>
        </is>
      </c>
      <c r="Z475" s="5" t="inlineStr">
        <is>
          <t>data/raw/claro_convergent_multi_SP.html</t>
        </is>
      </c>
    </row>
    <row r="476">
      <c r="A476" s="2" t="inlineStr">
        <is>
          <t>2026-08-24</t>
        </is>
      </c>
      <c r="B476" s="2" t="inlineStr">
        <is>
          <t>2026-08-24T18:24:33</t>
        </is>
      </c>
      <c r="C476" s="2" t="inlineStr">
        <is>
          <t>claro</t>
        </is>
      </c>
      <c r="D476" s="2" t="inlineStr">
        <is>
          <t>SP</t>
        </is>
      </c>
      <c r="E476" s="2" t="inlineStr">
        <is>
          <t>1 Giga com Globoplay incluso + Claro tv+ Soundbox + Disney+ Amazon Prime + Netflix + HBO Max + Apple TV + Globoplay</t>
        </is>
      </c>
      <c r="F476" s="2" t="inlineStr">
        <is>
          <t>claro:ceb9fd87-0897-4dd2-a2f2-e7f09e714e49</t>
        </is>
      </c>
      <c r="G476" s="3" t="n">
        <v>429.8</v>
      </c>
      <c r="H476" s="3" t="inlineStr"/>
      <c r="I476" s="2" t="inlineStr"/>
      <c r="J476" s="2" t="inlineStr"/>
      <c r="K476" s="2" t="inlineStr">
        <is>
          <t>tab: Fibra + TV</t>
        </is>
      </c>
      <c r="L476" s="2" t="inlineStr">
        <is>
          <t>broadband+tv</t>
        </is>
      </c>
      <c r="M476" s="2" t="inlineStr">
        <is>
          <t>Fiber + TV</t>
        </is>
      </c>
      <c r="N476" s="2" t="b">
        <v>0</v>
      </c>
      <c r="O476" s="2" t="b">
        <v>1</v>
      </c>
      <c r="P476" s="2" t="b">
        <v>1</v>
      </c>
      <c r="Q476" s="2" t="b">
        <v>0</v>
      </c>
      <c r="R476" s="4" t="n">
        <v>1000</v>
      </c>
      <c r="S476" s="4" t="inlineStr"/>
      <c r="T476" s="4" t="inlineStr"/>
      <c r="U476" s="2" t="inlineStr">
        <is>
          <t>Claro tv+ Soundbox + Disney+ Amazon Prime + Netflix + HBO Max + Apple TV + Globoplay</t>
        </is>
      </c>
      <c r="V476" s="2" t="inlineStr"/>
      <c r="W476" s="2" t="inlineStr"/>
      <c r="X476" s="2" t="inlineStr"/>
      <c r="Y476" s="2" t="inlineStr">
        <is>
          <t>https://www.claro.com.br/multi</t>
        </is>
      </c>
      <c r="Z476" s="2" t="inlineStr">
        <is>
          <t>data/raw/claro_convergent_multi_SP.html</t>
        </is>
      </c>
    </row>
    <row r="477">
      <c r="A477" s="5" t="inlineStr">
        <is>
          <t>2026-08-24</t>
        </is>
      </c>
      <c r="B477" s="5" t="inlineStr">
        <is>
          <t>2026-08-24T18:24:33</t>
        </is>
      </c>
      <c r="C477" s="5" t="inlineStr">
        <is>
          <t>claro</t>
        </is>
      </c>
      <c r="D477" s="5" t="inlineStr">
        <is>
          <t>SP</t>
        </is>
      </c>
      <c r="E477" s="5" t="inlineStr">
        <is>
          <t>1 Giga com Globoplay incluso + Pós 100GB</t>
        </is>
      </c>
      <c r="F477" s="5" t="inlineStr">
        <is>
          <t>claro:a1de0ac1-61bb-4e97-a744-1ae4c3541673</t>
        </is>
      </c>
      <c r="G477" s="6" t="n">
        <v>179.9</v>
      </c>
      <c r="H477" s="6" t="inlineStr"/>
      <c r="I477" s="5" t="inlineStr"/>
      <c r="J477" s="5" t="inlineStr"/>
      <c r="K477" s="5" t="inlineStr">
        <is>
          <t>tab: Fibra + Móvel</t>
        </is>
      </c>
      <c r="L477" s="5" t="inlineStr">
        <is>
          <t>mobile+broadband</t>
        </is>
      </c>
      <c r="M477" s="5" t="inlineStr">
        <is>
          <t>Fiber + Mobile</t>
        </is>
      </c>
      <c r="N477" s="5" t="b">
        <v>1</v>
      </c>
      <c r="O477" s="5" t="b">
        <v>1</v>
      </c>
      <c r="P477" s="5" t="b">
        <v>0</v>
      </c>
      <c r="Q477" s="5" t="b">
        <v>0</v>
      </c>
      <c r="R477" s="7" t="n">
        <v>1000</v>
      </c>
      <c r="S477" s="7" t="n">
        <v>100</v>
      </c>
      <c r="T477" s="7" t="n">
        <v>1</v>
      </c>
      <c r="U477" s="5" t="inlineStr"/>
      <c r="V477" s="5" t="inlineStr"/>
      <c r="W477" s="5" t="inlineStr"/>
      <c r="X477" s="5" t="inlineStr">
        <is>
          <t>Pós 100GB</t>
        </is>
      </c>
      <c r="Y477" s="5" t="inlineStr">
        <is>
          <t>https://www.claro.com.br/multi</t>
        </is>
      </c>
      <c r="Z477" s="5" t="inlineStr">
        <is>
          <t>data/raw/claro_convergent_multi_SP.html</t>
        </is>
      </c>
    </row>
    <row r="478">
      <c r="A478" s="2" t="inlineStr">
        <is>
          <t>2026-08-24</t>
        </is>
      </c>
      <c r="B478" s="2" t="inlineStr">
        <is>
          <t>2026-08-24T18:24:33</t>
        </is>
      </c>
      <c r="C478" s="2" t="inlineStr">
        <is>
          <t>claro</t>
        </is>
      </c>
      <c r="D478" s="2" t="inlineStr">
        <is>
          <t>SP</t>
        </is>
      </c>
      <c r="E478" s="2" t="inlineStr">
        <is>
          <t>1 Giga com Globoplay incluso + Pós 100GB + Claro tv+ Box + Disney+ Amazon Prime + Netflix + HBO Max + Apple TV + Globoplay</t>
        </is>
      </c>
      <c r="F478" s="2" t="inlineStr">
        <is>
          <t>claro:548c4bad-7857-4c0c-94d5-45d33d66c57f</t>
        </is>
      </c>
      <c r="G478" s="3" t="n">
        <v>279.8</v>
      </c>
      <c r="H478" s="3" t="inlineStr"/>
      <c r="I478" s="2" t="inlineStr"/>
      <c r="J478" s="2" t="inlineStr"/>
      <c r="K478" s="2" t="inlineStr">
        <is>
          <t>tab: Fibra + Móvel + TV</t>
        </is>
      </c>
      <c r="L478" s="2" t="inlineStr">
        <is>
          <t>mobile+broadband+tv</t>
        </is>
      </c>
      <c r="M478" s="2" t="inlineStr">
        <is>
          <t>Fiber + Mobile + TV</t>
        </is>
      </c>
      <c r="N478" s="2" t="b">
        <v>1</v>
      </c>
      <c r="O478" s="2" t="b">
        <v>1</v>
      </c>
      <c r="P478" s="2" t="b">
        <v>1</v>
      </c>
      <c r="Q478" s="2" t="b">
        <v>0</v>
      </c>
      <c r="R478" s="4" t="n">
        <v>1000</v>
      </c>
      <c r="S478" s="4" t="n">
        <v>100</v>
      </c>
      <c r="T478" s="4" t="n">
        <v>1</v>
      </c>
      <c r="U478" s="2" t="inlineStr">
        <is>
          <t>Claro tv+ Box + Disney+ Amazon Prime + Netflix + HBO Max + Apple TV + Globoplay</t>
        </is>
      </c>
      <c r="V478" s="2" t="inlineStr"/>
      <c r="W478" s="2" t="inlineStr"/>
      <c r="X478" s="2" t="inlineStr">
        <is>
          <t>Pós 100GB</t>
        </is>
      </c>
      <c r="Y478" s="2" t="inlineStr">
        <is>
          <t>https://www.claro.com.br/multi</t>
        </is>
      </c>
      <c r="Z478" s="2" t="inlineStr">
        <is>
          <t>data/raw/claro_convergent_multi_SP.html</t>
        </is>
      </c>
    </row>
    <row r="479">
      <c r="A479" s="5" t="inlineStr">
        <is>
          <t>2026-08-24</t>
        </is>
      </c>
      <c r="B479" s="5" t="inlineStr">
        <is>
          <t>2026-08-24T18:24:33</t>
        </is>
      </c>
      <c r="C479" s="5" t="inlineStr">
        <is>
          <t>claro</t>
        </is>
      </c>
      <c r="D479" s="5" t="inlineStr">
        <is>
          <t>SP</t>
        </is>
      </c>
      <c r="E479" s="5" t="inlineStr">
        <is>
          <t>1 Giga com Globoplay incluso + Pós 150GB</t>
        </is>
      </c>
      <c r="F479" s="5" t="inlineStr">
        <is>
          <t>claro:d47e2a3b-dfd0-410e-9c24-d07a334d01d4</t>
        </is>
      </c>
      <c r="G479" s="6" t="n">
        <v>299.9</v>
      </c>
      <c r="H479" s="6" t="inlineStr"/>
      <c r="I479" s="5" t="inlineStr"/>
      <c r="J479" s="5" t="inlineStr"/>
      <c r="K479" s="5" t="inlineStr">
        <is>
          <t>tab: Fibra + Móvel</t>
        </is>
      </c>
      <c r="L479" s="5" t="inlineStr">
        <is>
          <t>mobile+broadband</t>
        </is>
      </c>
      <c r="M479" s="5" t="inlineStr">
        <is>
          <t>Fiber + Mobile</t>
        </is>
      </c>
      <c r="N479" s="5" t="b">
        <v>1</v>
      </c>
      <c r="O479" s="5" t="b">
        <v>1</v>
      </c>
      <c r="P479" s="5" t="b">
        <v>0</v>
      </c>
      <c r="Q479" s="5" t="b">
        <v>0</v>
      </c>
      <c r="R479" s="7" t="n">
        <v>1000</v>
      </c>
      <c r="S479" s="7" t="n">
        <v>150</v>
      </c>
      <c r="T479" s="7" t="n">
        <v>2</v>
      </c>
      <c r="U479" s="5" t="inlineStr"/>
      <c r="V479" s="5" t="inlineStr"/>
      <c r="W479" s="5" t="inlineStr"/>
      <c r="X479" s="5" t="inlineStr">
        <is>
          <t>Pós 150GB</t>
        </is>
      </c>
      <c r="Y479" s="5" t="inlineStr">
        <is>
          <t>https://www.claro.com.br/multi</t>
        </is>
      </c>
      <c r="Z479" s="5" t="inlineStr">
        <is>
          <t>data/raw/claro_convergent_multi_SP.html</t>
        </is>
      </c>
    </row>
    <row r="480">
      <c r="A480" s="2" t="inlineStr">
        <is>
          <t>2026-08-24</t>
        </is>
      </c>
      <c r="B480" s="2" t="inlineStr">
        <is>
          <t>2026-08-24T18:24:33</t>
        </is>
      </c>
      <c r="C480" s="2" t="inlineStr">
        <is>
          <t>claro</t>
        </is>
      </c>
      <c r="D480" s="2" t="inlineStr">
        <is>
          <t>SP</t>
        </is>
      </c>
      <c r="E480" s="2" t="inlineStr">
        <is>
          <t>1 Giga com Globoplay incluso + Pós 150GB + Claro tv+ Box + Disney+ Amazon Prime + Netflix + HBO Max + Apple TV + Globoplay</t>
        </is>
      </c>
      <c r="F480" s="2" t="inlineStr">
        <is>
          <t>claro:7785b449-69f2-4234-9e24-8837e32a55c0</t>
        </is>
      </c>
      <c r="G480" s="3" t="n">
        <v>399.8</v>
      </c>
      <c r="H480" s="3" t="inlineStr"/>
      <c r="I480" s="2" t="inlineStr"/>
      <c r="J480" s="2" t="inlineStr"/>
      <c r="K480" s="2" t="inlineStr">
        <is>
          <t>tab: Fibra + Móvel + TV</t>
        </is>
      </c>
      <c r="L480" s="2" t="inlineStr">
        <is>
          <t>mobile+broadband+tv</t>
        </is>
      </c>
      <c r="M480" s="2" t="inlineStr">
        <is>
          <t>Fiber + Mobile + TV</t>
        </is>
      </c>
      <c r="N480" s="2" t="b">
        <v>1</v>
      </c>
      <c r="O480" s="2" t="b">
        <v>1</v>
      </c>
      <c r="P480" s="2" t="b">
        <v>1</v>
      </c>
      <c r="Q480" s="2" t="b">
        <v>0</v>
      </c>
      <c r="R480" s="4" t="n">
        <v>1000</v>
      </c>
      <c r="S480" s="4" t="n">
        <v>150</v>
      </c>
      <c r="T480" s="4" t="n">
        <v>1</v>
      </c>
      <c r="U480" s="2" t="inlineStr">
        <is>
          <t>Claro tv+ Box + Disney+ Amazon Prime + Netflix + HBO Max + Apple TV + Globoplay</t>
        </is>
      </c>
      <c r="V480" s="2" t="inlineStr"/>
      <c r="W480" s="2" t="inlineStr"/>
      <c r="X480" s="2" t="inlineStr">
        <is>
          <t>Pós 150GB</t>
        </is>
      </c>
      <c r="Y480" s="2" t="inlineStr">
        <is>
          <t>https://www.claro.com.br/multi</t>
        </is>
      </c>
      <c r="Z480" s="2" t="inlineStr">
        <is>
          <t>data/raw/claro_convergent_multi_SP.html</t>
        </is>
      </c>
    </row>
    <row r="481">
      <c r="A481" s="5" t="inlineStr">
        <is>
          <t>2026-08-24</t>
        </is>
      </c>
      <c r="B481" s="5" t="inlineStr">
        <is>
          <t>2026-08-24T18:24:33</t>
        </is>
      </c>
      <c r="C481" s="5" t="inlineStr">
        <is>
          <t>claro</t>
        </is>
      </c>
      <c r="D481" s="5" t="inlineStr">
        <is>
          <t>SP</t>
        </is>
      </c>
      <c r="E481" s="5" t="inlineStr">
        <is>
          <t>1 Giga com Globoplay incluso + Pós 200GB</t>
        </is>
      </c>
      <c r="F481" s="5" t="inlineStr">
        <is>
          <t>claro:1961a62d-3213-4ff0-a152-401a45c5b1b5</t>
        </is>
      </c>
      <c r="G481" s="6" t="n">
        <v>359.9</v>
      </c>
      <c r="H481" s="6" t="inlineStr"/>
      <c r="I481" s="5" t="inlineStr"/>
      <c r="J481" s="5" t="inlineStr"/>
      <c r="K481" s="5" t="inlineStr">
        <is>
          <t>tab: Fibra + Móvel</t>
        </is>
      </c>
      <c r="L481" s="5" t="inlineStr">
        <is>
          <t>mobile+broadband</t>
        </is>
      </c>
      <c r="M481" s="5" t="inlineStr">
        <is>
          <t>Fiber + Mobile</t>
        </is>
      </c>
      <c r="N481" s="5" t="b">
        <v>1</v>
      </c>
      <c r="O481" s="5" t="b">
        <v>1</v>
      </c>
      <c r="P481" s="5" t="b">
        <v>0</v>
      </c>
      <c r="Q481" s="5" t="b">
        <v>0</v>
      </c>
      <c r="R481" s="7" t="n">
        <v>1000</v>
      </c>
      <c r="S481" s="7" t="n">
        <v>200</v>
      </c>
      <c r="T481" s="7" t="n">
        <v>3</v>
      </c>
      <c r="U481" s="5" t="inlineStr"/>
      <c r="V481" s="5" t="inlineStr"/>
      <c r="W481" s="5" t="inlineStr"/>
      <c r="X481" s="5" t="inlineStr">
        <is>
          <t>Pós 200GB</t>
        </is>
      </c>
      <c r="Y481" s="5" t="inlineStr">
        <is>
          <t>https://www.claro.com.br/multi</t>
        </is>
      </c>
      <c r="Z481" s="5" t="inlineStr">
        <is>
          <t>data/raw/claro_convergent_multi_SP.html</t>
        </is>
      </c>
    </row>
    <row r="482">
      <c r="A482" s="2" t="inlineStr">
        <is>
          <t>2026-08-24</t>
        </is>
      </c>
      <c r="B482" s="2" t="inlineStr">
        <is>
          <t>2026-08-24T18:24:33</t>
        </is>
      </c>
      <c r="C482" s="2" t="inlineStr">
        <is>
          <t>claro</t>
        </is>
      </c>
      <c r="D482" s="2" t="inlineStr">
        <is>
          <t>SP</t>
        </is>
      </c>
      <c r="E482" s="2" t="inlineStr">
        <is>
          <t>1 Giga com Globoplay incluso + Pós 200GB + Claro tv+ Box + Disney+ Amazon Prime + Netflix + HBO Max + Apple TV + Globoplay</t>
        </is>
      </c>
      <c r="F482" s="2" t="inlineStr">
        <is>
          <t>claro:312815a2-b3a5-43bb-89a1-272d53ccb212</t>
        </is>
      </c>
      <c r="G482" s="3" t="n">
        <v>459.8</v>
      </c>
      <c r="H482" s="3" t="inlineStr"/>
      <c r="I482" s="2" t="inlineStr"/>
      <c r="J482" s="2" t="inlineStr"/>
      <c r="K482" s="2" t="inlineStr">
        <is>
          <t>tab: Fibra + Móvel + TV</t>
        </is>
      </c>
      <c r="L482" s="2" t="inlineStr">
        <is>
          <t>mobile+broadband+tv</t>
        </is>
      </c>
      <c r="M482" s="2" t="inlineStr">
        <is>
          <t>Fiber + Mobile + TV</t>
        </is>
      </c>
      <c r="N482" s="2" t="b">
        <v>1</v>
      </c>
      <c r="O482" s="2" t="b">
        <v>1</v>
      </c>
      <c r="P482" s="2" t="b">
        <v>1</v>
      </c>
      <c r="Q482" s="2" t="b">
        <v>0</v>
      </c>
      <c r="R482" s="4" t="n">
        <v>1000</v>
      </c>
      <c r="S482" s="4" t="n">
        <v>200</v>
      </c>
      <c r="T482" s="4" t="n">
        <v>1</v>
      </c>
      <c r="U482" s="2" t="inlineStr">
        <is>
          <t>Claro tv+ Box + Disney+ Amazon Prime + Netflix + HBO Max + Apple TV + Globoplay</t>
        </is>
      </c>
      <c r="V482" s="2" t="inlineStr"/>
      <c r="W482" s="2" t="inlineStr"/>
      <c r="X482" s="2" t="inlineStr">
        <is>
          <t>Pós 200GB</t>
        </is>
      </c>
      <c r="Y482" s="2" t="inlineStr">
        <is>
          <t>https://www.claro.com.br/multi</t>
        </is>
      </c>
      <c r="Z482" s="2" t="inlineStr">
        <is>
          <t>data/raw/claro_convergent_multi_SP.html</t>
        </is>
      </c>
    </row>
    <row r="483">
      <c r="A483" s="5" t="inlineStr">
        <is>
          <t>2026-08-24</t>
        </is>
      </c>
      <c r="B483" s="5" t="inlineStr">
        <is>
          <t>2026-08-24T18:24:33</t>
        </is>
      </c>
      <c r="C483" s="5" t="inlineStr">
        <is>
          <t>claro</t>
        </is>
      </c>
      <c r="D483" s="5" t="inlineStr">
        <is>
          <t>SP</t>
        </is>
      </c>
      <c r="E483" s="5" t="inlineStr">
        <is>
          <t>350 Mega com Globoplay incluso + Claro tv+ Box + Disney+ Amazon Prime + Netflix + HBO Max + Apple TV + Globoplay</t>
        </is>
      </c>
      <c r="F483" s="5" t="inlineStr">
        <is>
          <t>claro:97b00450-6f21-4349-8363-83d624b18328</t>
        </is>
      </c>
      <c r="G483" s="6" t="n">
        <v>209.8</v>
      </c>
      <c r="H483" s="6" t="inlineStr"/>
      <c r="I483" s="5" t="inlineStr"/>
      <c r="J483" s="5" t="inlineStr"/>
      <c r="K483" s="5" t="inlineStr">
        <is>
          <t>tab: Fibra + TV</t>
        </is>
      </c>
      <c r="L483" s="5" t="inlineStr">
        <is>
          <t>broadband+tv</t>
        </is>
      </c>
      <c r="M483" s="5" t="inlineStr">
        <is>
          <t>Fiber + TV</t>
        </is>
      </c>
      <c r="N483" s="5" t="b">
        <v>0</v>
      </c>
      <c r="O483" s="5" t="b">
        <v>1</v>
      </c>
      <c r="P483" s="5" t="b">
        <v>1</v>
      </c>
      <c r="Q483" s="5" t="b">
        <v>0</v>
      </c>
      <c r="R483" s="7" t="n">
        <v>350</v>
      </c>
      <c r="S483" s="7" t="inlineStr"/>
      <c r="T483" s="7" t="inlineStr"/>
      <c r="U483" s="5" t="inlineStr">
        <is>
          <t>Claro tv+ Box + Disney+ Amazon Prime + Netflix + HBO Max + Apple TV + Globoplay</t>
        </is>
      </c>
      <c r="V483" s="5" t="inlineStr"/>
      <c r="W483" s="5" t="inlineStr"/>
      <c r="X483" s="5" t="inlineStr"/>
      <c r="Y483" s="5" t="inlineStr">
        <is>
          <t>https://www.claro.com.br/multi</t>
        </is>
      </c>
      <c r="Z483" s="5" t="inlineStr">
        <is>
          <t>data/raw/claro_convergent_multi_SP.html</t>
        </is>
      </c>
    </row>
    <row r="484">
      <c r="A484" s="2" t="inlineStr">
        <is>
          <t>2026-08-24</t>
        </is>
      </c>
      <c r="B484" s="2" t="inlineStr">
        <is>
          <t>2026-08-24T18:24:33</t>
        </is>
      </c>
      <c r="C484" s="2" t="inlineStr">
        <is>
          <t>claro</t>
        </is>
      </c>
      <c r="D484" s="2" t="inlineStr">
        <is>
          <t>SP</t>
        </is>
      </c>
      <c r="E484" s="2" t="inlineStr">
        <is>
          <t>350 Mega com Globoplay incluso + Controle 40GB</t>
        </is>
      </c>
      <c r="F484" s="2" t="inlineStr">
        <is>
          <t>claro:a866ea9a-6a70-4b6e-b886-f8178086ca91</t>
        </is>
      </c>
      <c r="G484" s="3" t="n">
        <v>129.8</v>
      </c>
      <c r="H484" s="3" t="inlineStr"/>
      <c r="I484" s="2" t="inlineStr"/>
      <c r="J484" s="2" t="inlineStr">
        <is>
          <t>debit_auto</t>
        </is>
      </c>
      <c r="K484" s="2" t="inlineStr">
        <is>
          <t>tab: Fibra + Móvel; preço em débito em conta; +R$ 5.00 sem débito automático</t>
        </is>
      </c>
      <c r="L484" s="2" t="inlineStr">
        <is>
          <t>mobile+broadband</t>
        </is>
      </c>
      <c r="M484" s="2" t="inlineStr">
        <is>
          <t>Fiber + Mobile</t>
        </is>
      </c>
      <c r="N484" s="2" t="b">
        <v>1</v>
      </c>
      <c r="O484" s="2" t="b">
        <v>1</v>
      </c>
      <c r="P484" s="2" t="b">
        <v>0</v>
      </c>
      <c r="Q484" s="2" t="b">
        <v>0</v>
      </c>
      <c r="R484" s="4" t="n">
        <v>350</v>
      </c>
      <c r="S484" s="4" t="n">
        <v>40</v>
      </c>
      <c r="T484" s="4" t="n">
        <v>1</v>
      </c>
      <c r="U484" s="2" t="inlineStr"/>
      <c r="V484" s="2" t="inlineStr"/>
      <c r="W484" s="2" t="inlineStr"/>
      <c r="X484" s="2" t="inlineStr">
        <is>
          <t>Controle 40GB</t>
        </is>
      </c>
      <c r="Y484" s="2" t="inlineStr">
        <is>
          <t>https://www.claro.com.br/multi</t>
        </is>
      </c>
      <c r="Z484" s="2" t="inlineStr">
        <is>
          <t>data/raw/claro_convergent_multi_SP.html</t>
        </is>
      </c>
    </row>
    <row r="485">
      <c r="A485" s="5" t="inlineStr">
        <is>
          <t>2026-08-24</t>
        </is>
      </c>
      <c r="B485" s="5" t="inlineStr">
        <is>
          <t>2026-08-24T18:24:33</t>
        </is>
      </c>
      <c r="C485" s="5" t="inlineStr">
        <is>
          <t>claro</t>
        </is>
      </c>
      <c r="D485" s="5" t="inlineStr">
        <is>
          <t>SP</t>
        </is>
      </c>
      <c r="E485" s="5" t="inlineStr">
        <is>
          <t>350 Mega com Globoplay incluso + Pós 100GB + Claro tv+ Box + Disney+ Amazon Prime + Netflix + HBO Max + Apple TV + Globoplay</t>
        </is>
      </c>
      <c r="F485" s="5" t="inlineStr">
        <is>
          <t>claro:746fa9cf-ea2b-40de-ad2c-5803b3e0ab08</t>
        </is>
      </c>
      <c r="G485" s="6" t="n">
        <v>239.8</v>
      </c>
      <c r="H485" s="6" t="inlineStr"/>
      <c r="I485" s="5" t="inlineStr"/>
      <c r="J485" s="5" t="inlineStr"/>
      <c r="K485" s="5" t="inlineStr">
        <is>
          <t>tab: Fibra + Móvel + TV</t>
        </is>
      </c>
      <c r="L485" s="5" t="inlineStr">
        <is>
          <t>mobile+broadband+tv</t>
        </is>
      </c>
      <c r="M485" s="5" t="inlineStr">
        <is>
          <t>Fiber + Mobile + TV</t>
        </is>
      </c>
      <c r="N485" s="5" t="b">
        <v>1</v>
      </c>
      <c r="O485" s="5" t="b">
        <v>1</v>
      </c>
      <c r="P485" s="5" t="b">
        <v>1</v>
      </c>
      <c r="Q485" s="5" t="b">
        <v>0</v>
      </c>
      <c r="R485" s="7" t="n">
        <v>350</v>
      </c>
      <c r="S485" s="7" t="n">
        <v>100</v>
      </c>
      <c r="T485" s="7" t="n">
        <v>1</v>
      </c>
      <c r="U485" s="5" t="inlineStr">
        <is>
          <t>Claro tv+ Box + Disney+ Amazon Prime + Netflix + HBO Max + Apple TV + Globoplay</t>
        </is>
      </c>
      <c r="V485" s="5" t="inlineStr"/>
      <c r="W485" s="5" t="inlineStr"/>
      <c r="X485" s="5" t="inlineStr">
        <is>
          <t>Pós 100GB</t>
        </is>
      </c>
      <c r="Y485" s="5" t="inlineStr">
        <is>
          <t>https://www.claro.com.br/multi</t>
        </is>
      </c>
      <c r="Z485" s="5" t="inlineStr">
        <is>
          <t>data/raw/claro_convergent_multi_SP.html</t>
        </is>
      </c>
    </row>
    <row r="486">
      <c r="A486" s="2" t="inlineStr">
        <is>
          <t>2026-08-24</t>
        </is>
      </c>
      <c r="B486" s="2" t="inlineStr">
        <is>
          <t>2026-08-24T18:24:33</t>
        </is>
      </c>
      <c r="C486" s="2" t="inlineStr">
        <is>
          <t>claro</t>
        </is>
      </c>
      <c r="D486" s="2" t="inlineStr">
        <is>
          <t>SP</t>
        </is>
      </c>
      <c r="E486" s="2" t="inlineStr">
        <is>
          <t>600 Mega com Globoplay incluso + Claro tv+ Box + Disney+ Amazon Prime + Netflix + HBO Max + Apple TV + Globoplay</t>
        </is>
      </c>
      <c r="F486" s="2" t="inlineStr">
        <is>
          <t>claro:545261b1-2f4d-4dab-82a6-02d9e66c5d3d</t>
        </is>
      </c>
      <c r="G486" s="3" t="n">
        <v>219.8</v>
      </c>
      <c r="H486" s="3" t="inlineStr"/>
      <c r="I486" s="2" t="inlineStr"/>
      <c r="J486" s="2" t="inlineStr"/>
      <c r="K486" s="2" t="inlineStr">
        <is>
          <t>tab: Fibra + TV</t>
        </is>
      </c>
      <c r="L486" s="2" t="inlineStr">
        <is>
          <t>broadband+tv</t>
        </is>
      </c>
      <c r="M486" s="2" t="inlineStr">
        <is>
          <t>Fiber + TV</t>
        </is>
      </c>
      <c r="N486" s="2" t="b">
        <v>0</v>
      </c>
      <c r="O486" s="2" t="b">
        <v>1</v>
      </c>
      <c r="P486" s="2" t="b">
        <v>1</v>
      </c>
      <c r="Q486" s="2" t="b">
        <v>0</v>
      </c>
      <c r="R486" s="4" t="n">
        <v>600</v>
      </c>
      <c r="S486" s="4" t="inlineStr"/>
      <c r="T486" s="4" t="inlineStr"/>
      <c r="U486" s="2" t="inlineStr">
        <is>
          <t>Claro tv+ Box + Disney+ Amazon Prime + Netflix + HBO Max + Apple TV + Globoplay</t>
        </is>
      </c>
      <c r="V486" s="2" t="inlineStr"/>
      <c r="W486" s="2" t="inlineStr"/>
      <c r="X486" s="2" t="inlineStr"/>
      <c r="Y486" s="2" t="inlineStr">
        <is>
          <t>https://www.claro.com.br/multi</t>
        </is>
      </c>
      <c r="Z486" s="2" t="inlineStr">
        <is>
          <t>data/raw/claro_convergent_multi_SP.html</t>
        </is>
      </c>
    </row>
    <row r="487">
      <c r="A487" s="5" t="inlineStr">
        <is>
          <t>2026-08-24</t>
        </is>
      </c>
      <c r="B487" s="5" t="inlineStr">
        <is>
          <t>2026-08-24T18:24:33</t>
        </is>
      </c>
      <c r="C487" s="5" t="inlineStr">
        <is>
          <t>claro</t>
        </is>
      </c>
      <c r="D487" s="5" t="inlineStr">
        <is>
          <t>SP</t>
        </is>
      </c>
      <c r="E487" s="5" t="inlineStr">
        <is>
          <t>600 Mega com Globoplay incluso + Pós 100GB</t>
        </is>
      </c>
      <c r="F487" s="5" t="inlineStr">
        <is>
          <t>claro:350ac58a-533c-4858-83be-be3ea39c8874</t>
        </is>
      </c>
      <c r="G487" s="6" t="n">
        <v>159.9</v>
      </c>
      <c r="H487" s="6" t="inlineStr"/>
      <c r="I487" s="5" t="inlineStr"/>
      <c r="J487" s="5" t="inlineStr"/>
      <c r="K487" s="5" t="inlineStr">
        <is>
          <t>tab: Fibra + Móvel</t>
        </is>
      </c>
      <c r="L487" s="5" t="inlineStr">
        <is>
          <t>mobile+broadband</t>
        </is>
      </c>
      <c r="M487" s="5" t="inlineStr">
        <is>
          <t>Fiber + Mobile</t>
        </is>
      </c>
      <c r="N487" s="5" t="b">
        <v>1</v>
      </c>
      <c r="O487" s="5" t="b">
        <v>1</v>
      </c>
      <c r="P487" s="5" t="b">
        <v>0</v>
      </c>
      <c r="Q487" s="5" t="b">
        <v>0</v>
      </c>
      <c r="R487" s="7" t="n">
        <v>600</v>
      </c>
      <c r="S487" s="7" t="n">
        <v>100</v>
      </c>
      <c r="T487" s="7" t="n">
        <v>1</v>
      </c>
      <c r="U487" s="5" t="inlineStr"/>
      <c r="V487" s="5" t="inlineStr"/>
      <c r="W487" s="5" t="inlineStr"/>
      <c r="X487" s="5" t="inlineStr">
        <is>
          <t>Pós 100GB</t>
        </is>
      </c>
      <c r="Y487" s="5" t="inlineStr">
        <is>
          <t>https://www.claro.com.br/multi</t>
        </is>
      </c>
      <c r="Z487" s="5" t="inlineStr">
        <is>
          <t>data/raw/claro_convergent_multi_SP.html</t>
        </is>
      </c>
    </row>
    <row r="488">
      <c r="A488" s="2" t="inlineStr">
        <is>
          <t>2026-08-24</t>
        </is>
      </c>
      <c r="B488" s="2" t="inlineStr">
        <is>
          <t>2026-08-24T18:24:33</t>
        </is>
      </c>
      <c r="C488" s="2" t="inlineStr">
        <is>
          <t>claro</t>
        </is>
      </c>
      <c r="D488" s="2" t="inlineStr">
        <is>
          <t>SP</t>
        </is>
      </c>
      <c r="E488" s="2" t="inlineStr">
        <is>
          <t>600 Mega com Globoplay incluso + Pós 100GB + Claro tv+ Box + Disney+ Amazon Prime + Netflix + HBO Max + Apple TV + Globoplay</t>
        </is>
      </c>
      <c r="F488" s="2" t="inlineStr">
        <is>
          <t>claro:f36e7dfb-f7c9-4055-844f-7bc101699de8</t>
        </is>
      </c>
      <c r="G488" s="3" t="n">
        <v>259.8</v>
      </c>
      <c r="H488" s="3" t="inlineStr"/>
      <c r="I488" s="2" t="inlineStr"/>
      <c r="J488" s="2" t="inlineStr"/>
      <c r="K488" s="2" t="inlineStr">
        <is>
          <t>tab: Fibra + Móvel + TV</t>
        </is>
      </c>
      <c r="L488" s="2" t="inlineStr">
        <is>
          <t>mobile+broadband+tv</t>
        </is>
      </c>
      <c r="M488" s="2" t="inlineStr">
        <is>
          <t>Fiber + Mobile + TV</t>
        </is>
      </c>
      <c r="N488" s="2" t="b">
        <v>1</v>
      </c>
      <c r="O488" s="2" t="b">
        <v>1</v>
      </c>
      <c r="P488" s="2" t="b">
        <v>1</v>
      </c>
      <c r="Q488" s="2" t="b">
        <v>0</v>
      </c>
      <c r="R488" s="4" t="n">
        <v>600</v>
      </c>
      <c r="S488" s="4" t="n">
        <v>100</v>
      </c>
      <c r="T488" s="4" t="n">
        <v>1</v>
      </c>
      <c r="U488" s="2" t="inlineStr">
        <is>
          <t>Claro tv+ Box + Disney+ Amazon Prime + Netflix + HBO Max + Apple TV + Globoplay</t>
        </is>
      </c>
      <c r="V488" s="2" t="inlineStr"/>
      <c r="W488" s="2" t="inlineStr"/>
      <c r="X488" s="2" t="inlineStr">
        <is>
          <t>Pós 100GB</t>
        </is>
      </c>
      <c r="Y488" s="2" t="inlineStr">
        <is>
          <t>https://www.claro.com.br/multi</t>
        </is>
      </c>
      <c r="Z488" s="2" t="inlineStr">
        <is>
          <t>data/raw/claro_convergent_multi_SP.html</t>
        </is>
      </c>
    </row>
    <row r="489">
      <c r="A489" s="5" t="inlineStr">
        <is>
          <t>2026-08-24</t>
        </is>
      </c>
      <c r="B489" s="5" t="inlineStr">
        <is>
          <t>2026-08-24T18:24:33</t>
        </is>
      </c>
      <c r="C489" s="5" t="inlineStr">
        <is>
          <t>tim</t>
        </is>
      </c>
      <c r="D489" s="5" t="inlineStr">
        <is>
          <t>SP</t>
        </is>
      </c>
      <c r="E489" s="5" t="inlineStr">
        <is>
          <t>TIM Ultracombo 5</t>
        </is>
      </c>
      <c r="F489" s="5" t="inlineStr">
        <is>
          <t>tim:167756</t>
        </is>
      </c>
      <c r="G489" s="6" t="n">
        <v>169.99</v>
      </c>
      <c r="H489" s="6" t="inlineStr"/>
      <c r="I489" s="5" t="inlineStr"/>
      <c r="J489" s="5" t="inlineStr">
        <is>
          <t>debit_auto</t>
        </is>
      </c>
      <c r="K489" s="5" t="inlineStr">
        <is>
          <t>preço em débito automático; R$ 179,99/mês no pagamento por fatura</t>
        </is>
      </c>
      <c r="L489" s="5" t="inlineStr">
        <is>
          <t>mobile+broadband</t>
        </is>
      </c>
      <c r="M489" s="5" t="inlineStr">
        <is>
          <t>Fiber + Mobile</t>
        </is>
      </c>
      <c r="N489" s="5" t="b">
        <v>1</v>
      </c>
      <c r="O489" s="5" t="b">
        <v>1</v>
      </c>
      <c r="P489" s="5" t="b">
        <v>0</v>
      </c>
      <c r="Q489" s="5" t="b">
        <v>0</v>
      </c>
      <c r="R489" s="7" t="n">
        <v>1000</v>
      </c>
      <c r="S489" s="7" t="n">
        <v>115</v>
      </c>
      <c r="T489" s="7" t="n">
        <v>1</v>
      </c>
      <c r="U489" s="5" t="inlineStr"/>
      <c r="V489" s="5" t="inlineStr">
        <is>
          <t>Paramount+, Deezer</t>
        </is>
      </c>
      <c r="W489" s="5" t="inlineStr"/>
      <c r="X489" s="5" t="inlineStr">
        <is>
          <t>1GIGA de Ultrafibra para casa + 115GB de TIM Black C Hero para móvel: (25GB do plano + 40GB promo + 50GB bônus especial)</t>
        </is>
      </c>
      <c r="Y489" s="5" t="inlineStr">
        <is>
          <t>https://www.tim.com.br/sp/internet/tim-ultracombo</t>
        </is>
      </c>
      <c r="Z489" s="5" t="inlineStr">
        <is>
          <t>data/raw/tim_convergent_ultracombo_SP.html</t>
        </is>
      </c>
    </row>
    <row r="490">
      <c r="A490" s="2" t="inlineStr">
        <is>
          <t>2026-08-24</t>
        </is>
      </c>
      <c r="B490" s="2" t="inlineStr">
        <is>
          <t>2026-08-24T18:24:33</t>
        </is>
      </c>
      <c r="C490" s="2" t="inlineStr">
        <is>
          <t>tim</t>
        </is>
      </c>
      <c r="D490" s="2" t="inlineStr">
        <is>
          <t>SP</t>
        </is>
      </c>
      <c r="E490" s="2" t="inlineStr">
        <is>
          <t>TIM Ultracombo 6</t>
        </is>
      </c>
      <c r="F490" s="2" t="inlineStr">
        <is>
          <t>tim:167751</t>
        </is>
      </c>
      <c r="G490" s="3" t="n">
        <v>139.99</v>
      </c>
      <c r="H490" s="3" t="inlineStr"/>
      <c r="I490" s="2" t="inlineStr"/>
      <c r="J490" s="2" t="inlineStr">
        <is>
          <t>debit_auto</t>
        </is>
      </c>
      <c r="K490" s="2" t="inlineStr">
        <is>
          <t>preço em débito automático; R$ 149,99/mês no pagamento por fatura</t>
        </is>
      </c>
      <c r="L490" s="2" t="inlineStr">
        <is>
          <t>mobile+broadband</t>
        </is>
      </c>
      <c r="M490" s="2" t="inlineStr">
        <is>
          <t>Fiber + Mobile</t>
        </is>
      </c>
      <c r="N490" s="2" t="b">
        <v>1</v>
      </c>
      <c r="O490" s="2" t="b">
        <v>1</v>
      </c>
      <c r="P490" s="2" t="b">
        <v>0</v>
      </c>
      <c r="Q490" s="2" t="b">
        <v>0</v>
      </c>
      <c r="R490" s="4" t="n">
        <v>1000</v>
      </c>
      <c r="S490" s="4" t="n">
        <v>70</v>
      </c>
      <c r="T490" s="4" t="n">
        <v>1</v>
      </c>
      <c r="U490" s="2" t="inlineStr"/>
      <c r="V490" s="2" t="inlineStr">
        <is>
          <t>Paramount+, Deezer</t>
        </is>
      </c>
      <c r="W490" s="2" t="inlineStr"/>
      <c r="X490" s="2" t="inlineStr">
        <is>
          <t>1GIGA de Ultrafibra para casa + 70GB de TIM Black A para móvel: (15GB do plano + 50GB promo + 5GB bônus especial)</t>
        </is>
      </c>
      <c r="Y490" s="2" t="inlineStr">
        <is>
          <t>https://www.tim.com.br/sp/internet/tim-ultracombo</t>
        </is>
      </c>
      <c r="Z490" s="2" t="inlineStr">
        <is>
          <t>data/raw/tim_convergent_ultracombo_SP.html</t>
        </is>
      </c>
    </row>
    <row r="491">
      <c r="A491" s="5" t="inlineStr">
        <is>
          <t>2026-08-24</t>
        </is>
      </c>
      <c r="B491" s="5" t="inlineStr">
        <is>
          <t>2026-08-24T18:24:33</t>
        </is>
      </c>
      <c r="C491" s="5" t="inlineStr">
        <is>
          <t>tim</t>
        </is>
      </c>
      <c r="D491" s="5" t="inlineStr">
        <is>
          <t>SP</t>
        </is>
      </c>
      <c r="E491" s="5" t="inlineStr">
        <is>
          <t>TIM Ultracombo 7</t>
        </is>
      </c>
      <c r="F491" s="5" t="inlineStr">
        <is>
          <t>tim:167761</t>
        </is>
      </c>
      <c r="G491" s="6" t="n">
        <v>89.98999999999999</v>
      </c>
      <c r="H491" s="6" t="inlineStr"/>
      <c r="I491" s="5" t="inlineStr"/>
      <c r="J491" s="5" t="inlineStr">
        <is>
          <t>debit_auto</t>
        </is>
      </c>
      <c r="K491" s="5" t="inlineStr">
        <is>
          <t>preço em débito automático; R$ 99,99/mês no pagamento por fatura</t>
        </is>
      </c>
      <c r="L491" s="5" t="inlineStr">
        <is>
          <t>mobile+broadband</t>
        </is>
      </c>
      <c r="M491" s="5" t="inlineStr">
        <is>
          <t>Fiber + Mobile</t>
        </is>
      </c>
      <c r="N491" s="5" t="b">
        <v>1</v>
      </c>
      <c r="O491" s="5" t="b">
        <v>1</v>
      </c>
      <c r="P491" s="5" t="b">
        <v>0</v>
      </c>
      <c r="Q491" s="5" t="b">
        <v>0</v>
      </c>
      <c r="R491" s="7" t="n">
        <v>500</v>
      </c>
      <c r="S491" s="7" t="n">
        <v>65</v>
      </c>
      <c r="T491" s="7" t="n">
        <v>1</v>
      </c>
      <c r="U491" s="5" t="inlineStr"/>
      <c r="V491" s="5" t="inlineStr"/>
      <c r="W491" s="5" t="inlineStr"/>
      <c r="X491" s="5" t="inlineStr">
        <is>
          <t>500MEGA de Ultrafibra para casa + 65GB de TIM Black A Light para móvel: (10GB do plano + 50GB promo)</t>
        </is>
      </c>
      <c r="Y491" s="5" t="inlineStr">
        <is>
          <t>https://www.tim.com.br/sp/internet/tim-ultracombo</t>
        </is>
      </c>
      <c r="Z491" s="5" t="inlineStr">
        <is>
          <t>data/raw/tim_convergent_ultracombo_SP.html</t>
        </is>
      </c>
    </row>
    <row r="492">
      <c r="A492" s="2" t="inlineStr">
        <is>
          <t>2026-08-24</t>
        </is>
      </c>
      <c r="B492" s="2" t="inlineStr">
        <is>
          <t>2026-08-24T18:24:33</t>
        </is>
      </c>
      <c r="C492" s="2" t="inlineStr">
        <is>
          <t>vivo</t>
        </is>
      </c>
      <c r="D492" s="2" t="inlineStr">
        <is>
          <t>SP</t>
        </is>
      </c>
      <c r="E492" s="2" t="inlineStr">
        <is>
          <t>Vivo Família 2</t>
        </is>
      </c>
      <c r="F492" s="2" t="inlineStr">
        <is>
          <t>vivo:VIV202604028085-3-305-316-336-408-411-426-430-442</t>
        </is>
      </c>
      <c r="G492" s="3" t="n">
        <v>290</v>
      </c>
      <c r="H492" s="3" t="inlineStr"/>
      <c r="I492" s="2" t="inlineStr"/>
      <c r="J492" s="2" t="inlineStr"/>
      <c r="K492" s="2" t="inlineStr">
        <is>
          <t>instalação grátis mediante fidelização (não afeta a mensalidade)</t>
        </is>
      </c>
      <c r="L492" s="2" t="inlineStr">
        <is>
          <t>mobile+broadband+tv</t>
        </is>
      </c>
      <c r="M492" s="2" t="inlineStr">
        <is>
          <t>Fiber + Mobile + TV</t>
        </is>
      </c>
      <c r="N492" s="2" t="b">
        <v>1</v>
      </c>
      <c r="O492" s="2" t="b">
        <v>1</v>
      </c>
      <c r="P492" s="2" t="b">
        <v>1</v>
      </c>
      <c r="Q492" s="2" t="b">
        <v>0</v>
      </c>
      <c r="R492" s="4" t="n">
        <v>700</v>
      </c>
      <c r="S492" s="4" t="n">
        <v>120</v>
      </c>
      <c r="T492" s="4" t="n">
        <v>2</v>
      </c>
      <c r="U492" s="2" t="inlineStr">
        <is>
          <t>80 canais de Vivo Estendido</t>
        </is>
      </c>
      <c r="V492" s="2" t="inlineStr"/>
      <c r="W492" s="2" t="inlineStr">
        <is>
          <t>Vivo Travel américas e europa; 1 linha adicional inclusa</t>
        </is>
      </c>
      <c r="X492" s="2" t="inlineStr">
        <is>
          <t>700 Mega de Vivo Fibra</t>
        </is>
      </c>
      <c r="Y492" s="2" t="inlineStr">
        <is>
          <t>https://vivo.com.br/para-voce/produtos-e-servicos/combos/vivo-total</t>
        </is>
      </c>
      <c r="Z492" s="2" t="inlineStr">
        <is>
          <t>data/raw/vivo_convergent_total_SP.html</t>
        </is>
      </c>
    </row>
    <row r="493">
      <c r="A493" s="5" t="inlineStr">
        <is>
          <t>2026-08-24</t>
        </is>
      </c>
      <c r="B493" s="5" t="inlineStr">
        <is>
          <t>2026-08-24T18:24:33</t>
        </is>
      </c>
      <c r="C493" s="5" t="inlineStr">
        <is>
          <t>vivo</t>
        </is>
      </c>
      <c r="D493" s="5" t="inlineStr">
        <is>
          <t>SP</t>
        </is>
      </c>
      <c r="E493" s="5" t="inlineStr">
        <is>
          <t>Vivo Família 2</t>
        </is>
      </c>
      <c r="F493" s="5" t="inlineStr">
        <is>
          <t>vivo:VIV202604028065-3-9-305-316-408-411-426-430-442</t>
        </is>
      </c>
      <c r="G493" s="6" t="n">
        <v>390</v>
      </c>
      <c r="H493" s="6" t="inlineStr"/>
      <c r="I493" s="5" t="inlineStr"/>
      <c r="J493" s="5" t="inlineStr"/>
      <c r="K493" s="5" t="inlineStr">
        <is>
          <t>instalação grátis mediante fidelização (não afeta a mensalidade)</t>
        </is>
      </c>
      <c r="L493" s="5" t="inlineStr">
        <is>
          <t>mobile+broadband+tv</t>
        </is>
      </c>
      <c r="M493" s="5" t="inlineStr">
        <is>
          <t>Fiber + Mobile + TV</t>
        </is>
      </c>
      <c r="N493" s="5" t="b">
        <v>1</v>
      </c>
      <c r="O493" s="5" t="b">
        <v>1</v>
      </c>
      <c r="P493" s="5" t="b">
        <v>1</v>
      </c>
      <c r="Q493" s="5" t="b">
        <v>0</v>
      </c>
      <c r="R493" s="7" t="n">
        <v>700</v>
      </c>
      <c r="S493" s="7" t="n">
        <v>120</v>
      </c>
      <c r="T493" s="7" t="n">
        <v>2</v>
      </c>
      <c r="U493" s="5" t="inlineStr">
        <is>
          <t>120 canais de Vivo TV Avançado + 1 ponto adicional</t>
        </is>
      </c>
      <c r="V493" s="5" t="inlineStr"/>
      <c r="W493" s="5" t="inlineStr">
        <is>
          <t>Vivo Travel américas e europa; 1 linha adicional inclusa</t>
        </is>
      </c>
      <c r="X493" s="5" t="inlineStr">
        <is>
          <t>700 Mega de Vivo Fibra</t>
        </is>
      </c>
      <c r="Y493" s="5" t="inlineStr">
        <is>
          <t>https://vivo.com.br/para-voce/produtos-e-servicos/combos/vivo-total</t>
        </is>
      </c>
      <c r="Z493" s="5" t="inlineStr">
        <is>
          <t>data/raw/vivo_convergent_total_SP.html</t>
        </is>
      </c>
    </row>
    <row r="494">
      <c r="A494" s="2" t="inlineStr">
        <is>
          <t>2026-08-24</t>
        </is>
      </c>
      <c r="B494" s="2" t="inlineStr">
        <is>
          <t>2026-08-24T18:24:33</t>
        </is>
      </c>
      <c r="C494" s="2" t="inlineStr">
        <is>
          <t>vivo</t>
        </is>
      </c>
      <c r="D494" s="2" t="inlineStr">
        <is>
          <t>SP</t>
        </is>
      </c>
      <c r="E494" s="2" t="inlineStr">
        <is>
          <t>Vivo Total Família 2</t>
        </is>
      </c>
      <c r="F494" s="2" t="inlineStr">
        <is>
          <t>vivo:VIV202604028085-3-305-316-408-411-426-430-442</t>
        </is>
      </c>
      <c r="G494" s="3" t="n">
        <v>270</v>
      </c>
      <c r="H494" s="3" t="inlineStr"/>
      <c r="I494" s="2" t="inlineStr"/>
      <c r="J494" s="2" t="inlineStr"/>
      <c r="K494" s="2" t="inlineStr">
        <is>
          <t>instalação grátis mediante fidelização (não afeta a mensalidade)</t>
        </is>
      </c>
      <c r="L494" s="2" t="inlineStr">
        <is>
          <t>mobile+broadband</t>
        </is>
      </c>
      <c r="M494" s="2" t="inlineStr">
        <is>
          <t>Fiber + Mobile</t>
        </is>
      </c>
      <c r="N494" s="2" t="b">
        <v>1</v>
      </c>
      <c r="O494" s="2" t="b">
        <v>1</v>
      </c>
      <c r="P494" s="2" t="b">
        <v>0</v>
      </c>
      <c r="Q494" s="2" t="b">
        <v>0</v>
      </c>
      <c r="R494" s="4" t="n">
        <v>700</v>
      </c>
      <c r="S494" s="4" t="n">
        <v>120</v>
      </c>
      <c r="T494" s="4" t="n">
        <v>2</v>
      </c>
      <c r="U494" s="2" t="inlineStr"/>
      <c r="V494" s="2" t="inlineStr"/>
      <c r="W494" s="2" t="inlineStr">
        <is>
          <t>Vivo Travel Américas e Europa; 1 linha adicional inclusa</t>
        </is>
      </c>
      <c r="X494" s="2" t="inlineStr">
        <is>
          <t>700 Mega de Vivo Fibra</t>
        </is>
      </c>
      <c r="Y494" s="2" t="inlineStr">
        <is>
          <t>https://vivo.com.br/para-voce/produtos-e-servicos/combos/vivo-total</t>
        </is>
      </c>
      <c r="Z494" s="2" t="inlineStr">
        <is>
          <t>data/raw/vivo_convergent_total_SP.html</t>
        </is>
      </c>
    </row>
    <row r="495">
      <c r="A495" s="5" t="inlineStr">
        <is>
          <t>2026-08-24</t>
        </is>
      </c>
      <c r="B495" s="5" t="inlineStr">
        <is>
          <t>2026-08-24T18:24:33</t>
        </is>
      </c>
      <c r="C495" s="5" t="inlineStr">
        <is>
          <t>vivo</t>
        </is>
      </c>
      <c r="D495" s="5" t="inlineStr">
        <is>
          <t>SP</t>
        </is>
      </c>
      <c r="E495" s="5" t="inlineStr">
        <is>
          <t>Vivo Total Família 3</t>
        </is>
      </c>
      <c r="F495" s="5" t="inlineStr">
        <is>
          <t>vivo:VIV202604028165-4-305-316-408-411-426-430-442</t>
        </is>
      </c>
      <c r="G495" s="6" t="n">
        <v>330</v>
      </c>
      <c r="H495" s="6" t="inlineStr"/>
      <c r="I495" s="5" t="inlineStr"/>
      <c r="J495" s="5" t="inlineStr"/>
      <c r="K495" s="5" t="inlineStr">
        <is>
          <t>instalação grátis mediante fidelização (não afeta a mensalidade)</t>
        </is>
      </c>
      <c r="L495" s="5" t="inlineStr">
        <is>
          <t>mobile+broadband</t>
        </is>
      </c>
      <c r="M495" s="5" t="inlineStr">
        <is>
          <t>Fiber + Mobile</t>
        </is>
      </c>
      <c r="N495" s="5" t="b">
        <v>1</v>
      </c>
      <c r="O495" s="5" t="b">
        <v>1</v>
      </c>
      <c r="P495" s="5" t="b">
        <v>0</v>
      </c>
      <c r="Q495" s="5" t="b">
        <v>0</v>
      </c>
      <c r="R495" s="7" t="n">
        <v>700</v>
      </c>
      <c r="S495" s="7" t="n">
        <v>180</v>
      </c>
      <c r="T495" s="7" t="n">
        <v>3</v>
      </c>
      <c r="U495" s="5" t="inlineStr"/>
      <c r="V495" s="5" t="inlineStr"/>
      <c r="W495" s="5" t="inlineStr">
        <is>
          <t>Vivo Travel Américas e Europa; 2 linhas adicionais inclusas</t>
        </is>
      </c>
      <c r="X495" s="5" t="inlineStr">
        <is>
          <t>700 Mega de Vivo Fibra</t>
        </is>
      </c>
      <c r="Y495" s="5" t="inlineStr">
        <is>
          <t>https://vivo.com.br/para-voce/produtos-e-servicos/combos/vivo-total</t>
        </is>
      </c>
      <c r="Z495" s="5" t="inlineStr">
        <is>
          <t>data/raw/vivo_convergent_total_SP.html</t>
        </is>
      </c>
    </row>
    <row r="496">
      <c r="A496" s="2" t="inlineStr">
        <is>
          <t>2026-08-24</t>
        </is>
      </c>
      <c r="B496" s="2" t="inlineStr">
        <is>
          <t>2026-08-24T18:24:33</t>
        </is>
      </c>
      <c r="C496" s="2" t="inlineStr">
        <is>
          <t>vivo</t>
        </is>
      </c>
      <c r="D496" s="2" t="inlineStr">
        <is>
          <t>SP</t>
        </is>
      </c>
      <c r="E496" s="2" t="inlineStr">
        <is>
          <t>Vivo Total Família 4</t>
        </is>
      </c>
      <c r="F496" s="2" t="inlineStr">
        <is>
          <t>vivo:VIV202604028245-237-305-316-408-411-426-430-442</t>
        </is>
      </c>
      <c r="G496" s="3" t="n">
        <v>420</v>
      </c>
      <c r="H496" s="3" t="inlineStr"/>
      <c r="I496" s="2" t="inlineStr"/>
      <c r="J496" s="2" t="inlineStr"/>
      <c r="K496" s="2" t="inlineStr">
        <is>
          <t>instalação grátis mediante fidelização (não afeta a mensalidade)</t>
        </is>
      </c>
      <c r="L496" s="2" t="inlineStr">
        <is>
          <t>mobile+broadband</t>
        </is>
      </c>
      <c r="M496" s="2" t="inlineStr">
        <is>
          <t>Fiber + Mobile</t>
        </is>
      </c>
      <c r="N496" s="2" t="b">
        <v>1</v>
      </c>
      <c r="O496" s="2" t="b">
        <v>1</v>
      </c>
      <c r="P496" s="2" t="b">
        <v>0</v>
      </c>
      <c r="Q496" s="2" t="b">
        <v>0</v>
      </c>
      <c r="R496" s="4" t="n">
        <v>700</v>
      </c>
      <c r="S496" s="4" t="n">
        <v>240</v>
      </c>
      <c r="T496" s="4" t="n">
        <v>4</v>
      </c>
      <c r="U496" s="2" t="inlineStr"/>
      <c r="V496" s="2" t="inlineStr"/>
      <c r="W496" s="2" t="inlineStr">
        <is>
          <t>Vivo Travel Américas e Europa; 3 linhas adicionais inclusas</t>
        </is>
      </c>
      <c r="X496" s="2" t="inlineStr">
        <is>
          <t>700 Mega de Vivo Fibra</t>
        </is>
      </c>
      <c r="Y496" s="2" t="inlineStr">
        <is>
          <t>https://vivo.com.br/para-voce/produtos-e-servicos/combos/vivo-total</t>
        </is>
      </c>
      <c r="Z496" s="2" t="inlineStr">
        <is>
          <t>data/raw/vivo_convergent_total_SP.html</t>
        </is>
      </c>
    </row>
    <row r="497">
      <c r="A497" s="5" t="inlineStr">
        <is>
          <t>2026-08-24</t>
        </is>
      </c>
      <c r="B497" s="5" t="inlineStr">
        <is>
          <t>2026-08-24T18:24:33</t>
        </is>
      </c>
      <c r="C497" s="5" t="inlineStr">
        <is>
          <t>vivo</t>
        </is>
      </c>
      <c r="D497" s="5" t="inlineStr">
        <is>
          <t>SP</t>
        </is>
      </c>
      <c r="E497" s="5" t="inlineStr">
        <is>
          <t>Vivo Total Família 5</t>
        </is>
      </c>
      <c r="F497" s="5" t="inlineStr">
        <is>
          <t>vivo:VIV202604028325-5-305-316-408-411-426-430-442</t>
        </is>
      </c>
      <c r="G497" s="6" t="n">
        <v>520</v>
      </c>
      <c r="H497" s="6" t="inlineStr"/>
      <c r="I497" s="5" t="inlineStr"/>
      <c r="J497" s="5" t="inlineStr"/>
      <c r="K497" s="5" t="inlineStr">
        <is>
          <t>instalação grátis mediante fidelização (não afeta a mensalidade)</t>
        </is>
      </c>
      <c r="L497" s="5" t="inlineStr">
        <is>
          <t>mobile+broadband</t>
        </is>
      </c>
      <c r="M497" s="5" t="inlineStr">
        <is>
          <t>Fiber + Mobile</t>
        </is>
      </c>
      <c r="N497" s="5" t="b">
        <v>1</v>
      </c>
      <c r="O497" s="5" t="b">
        <v>1</v>
      </c>
      <c r="P497" s="5" t="b">
        <v>0</v>
      </c>
      <c r="Q497" s="5" t="b">
        <v>0</v>
      </c>
      <c r="R497" s="7" t="n">
        <v>700</v>
      </c>
      <c r="S497" s="7" t="n">
        <v>300</v>
      </c>
      <c r="T497" s="7" t="n">
        <v>5</v>
      </c>
      <c r="U497" s="5" t="inlineStr"/>
      <c r="V497" s="5" t="inlineStr"/>
      <c r="W497" s="5" t="inlineStr">
        <is>
          <t>Vivo Travel Américas e Europa; 4 linhas adicionais inclusas</t>
        </is>
      </c>
      <c r="X497" s="5" t="inlineStr">
        <is>
          <t>700 Mega de Vivo Fibra</t>
        </is>
      </c>
      <c r="Y497" s="5" t="inlineStr">
        <is>
          <t>https://vivo.com.br/para-voce/produtos-e-servicos/combos/vivo-total</t>
        </is>
      </c>
      <c r="Z497" s="5" t="inlineStr">
        <is>
          <t>data/raw/vivo_convergent_total_SP.html</t>
        </is>
      </c>
    </row>
    <row r="498">
      <c r="A498" s="2" t="inlineStr">
        <is>
          <t>2026-08-24</t>
        </is>
      </c>
      <c r="B498" s="2" t="inlineStr">
        <is>
          <t>2026-08-24T18:24:33</t>
        </is>
      </c>
      <c r="C498" s="2" t="inlineStr">
        <is>
          <t>vivo</t>
        </is>
      </c>
      <c r="D498" s="2" t="inlineStr">
        <is>
          <t>SP</t>
        </is>
      </c>
      <c r="E498" s="2" t="inlineStr">
        <is>
          <t>Vivo Total Pro</t>
        </is>
      </c>
      <c r="F498" s="2" t="inlineStr">
        <is>
          <t>vivo:VIV202604028685-2-305-308-316-326-342-411-430</t>
        </is>
      </c>
      <c r="G498" s="3" t="n">
        <v>160</v>
      </c>
      <c r="H498" s="3" t="inlineStr"/>
      <c r="I498" s="2" t="inlineStr"/>
      <c r="J498" s="2" t="inlineStr"/>
      <c r="K498" s="2" t="inlineStr">
        <is>
          <t>instalação grátis mediante fidelização (não afeta a mensalidade)</t>
        </is>
      </c>
      <c r="L498" s="2" t="inlineStr">
        <is>
          <t>mobile+broadband</t>
        </is>
      </c>
      <c r="M498" s="2" t="inlineStr">
        <is>
          <t>Fiber + Mobile</t>
        </is>
      </c>
      <c r="N498" s="2" t="b">
        <v>1</v>
      </c>
      <c r="O498" s="2" t="b">
        <v>1</v>
      </c>
      <c r="P498" s="2" t="b">
        <v>0</v>
      </c>
      <c r="Q498" s="2" t="b">
        <v>0</v>
      </c>
      <c r="R498" s="4" t="n">
        <v>500</v>
      </c>
      <c r="S498" s="4" t="n">
        <v>60</v>
      </c>
      <c r="T498" s="4" t="n">
        <v>1</v>
      </c>
      <c r="U498" s="2" t="inlineStr"/>
      <c r="V498" s="2" t="inlineStr"/>
      <c r="W498" s="2" t="inlineStr">
        <is>
          <t>Vivo Travel Américas; 50 GB de franquia + 10 GB de bônus</t>
        </is>
      </c>
      <c r="X498" s="2" t="inlineStr">
        <is>
          <t>500 Mega de Vivo Fibra</t>
        </is>
      </c>
      <c r="Y498" s="2" t="inlineStr">
        <is>
          <t>https://vivo.com.br/para-voce/produtos-e-servicos/combos/vivo-total</t>
        </is>
      </c>
      <c r="Z498" s="2" t="inlineStr">
        <is>
          <t>data/raw/vivo_convergent_total_SP.html</t>
        </is>
      </c>
    </row>
    <row r="499">
      <c r="A499" s="5" t="inlineStr">
        <is>
          <t>2026-08-24</t>
        </is>
      </c>
      <c r="B499" s="5" t="inlineStr">
        <is>
          <t>2026-08-24T18:24:33</t>
        </is>
      </c>
      <c r="C499" s="5" t="inlineStr">
        <is>
          <t>vivo</t>
        </is>
      </c>
      <c r="D499" s="5" t="inlineStr">
        <is>
          <t>SP</t>
        </is>
      </c>
      <c r="E499" s="5" t="inlineStr">
        <is>
          <t>Vivo Total Ultra</t>
        </is>
      </c>
      <c r="F499" s="5" t="inlineStr">
        <is>
          <t>vivo:VIV202604028947-305-313-316-408-411-426-430-442</t>
        </is>
      </c>
      <c r="G499" s="6" t="n">
        <v>170</v>
      </c>
      <c r="H499" s="6" t="inlineStr"/>
      <c r="I499" s="5" t="inlineStr"/>
      <c r="J499" s="5" t="inlineStr"/>
      <c r="K499" s="5" t="inlineStr">
        <is>
          <t>instalação grátis mediante fidelização (não afeta a mensalidade)</t>
        </is>
      </c>
      <c r="L499" s="5" t="inlineStr">
        <is>
          <t>mobile+broadband</t>
        </is>
      </c>
      <c r="M499" s="5" t="inlineStr">
        <is>
          <t>Fiber + Mobile</t>
        </is>
      </c>
      <c r="N499" s="5" t="b">
        <v>1</v>
      </c>
      <c r="O499" s="5" t="b">
        <v>1</v>
      </c>
      <c r="P499" s="5" t="b">
        <v>0</v>
      </c>
      <c r="Q499" s="5" t="b">
        <v>0</v>
      </c>
      <c r="R499" s="7" t="n">
        <v>700</v>
      </c>
      <c r="S499" s="7" t="n">
        <v>70</v>
      </c>
      <c r="T499" s="7" t="n">
        <v>1</v>
      </c>
      <c r="U499" s="5" t="inlineStr"/>
      <c r="V499" s="5" t="inlineStr"/>
      <c r="W499" s="5" t="inlineStr">
        <is>
          <t>Vivo Travel Américas; Exitlag e ponto cabeado incluso</t>
        </is>
      </c>
      <c r="X499" s="5" t="inlineStr">
        <is>
          <t>700 Mega de Vivo Fibra</t>
        </is>
      </c>
      <c r="Y499" s="5" t="inlineStr">
        <is>
          <t>https://vivo.com.br/para-voce/produtos-e-servicos/combos/vivo-total</t>
        </is>
      </c>
      <c r="Z499" s="5" t="inlineStr">
        <is>
          <t>data/raw/vivo_convergent_total_SP.html</t>
        </is>
      </c>
    </row>
    <row r="500">
      <c r="A500" s="2" t="inlineStr">
        <is>
          <t>2026-08-24</t>
        </is>
      </c>
      <c r="B500" s="2" t="inlineStr">
        <is>
          <t>2026-08-24T18:24:33</t>
        </is>
      </c>
      <c r="C500" s="2" t="inlineStr">
        <is>
          <t>vivo</t>
        </is>
      </c>
      <c r="D500" s="2" t="inlineStr">
        <is>
          <t>SP</t>
        </is>
      </c>
      <c r="E500" s="2" t="inlineStr">
        <is>
          <t>Vivo Total Ultra + TV</t>
        </is>
      </c>
      <c r="F500" s="2" t="inlineStr">
        <is>
          <t>vivo:VIV202604028795-9-305-313-316-408-411-426-430-442</t>
        </is>
      </c>
      <c r="G500" s="3" t="n">
        <v>310</v>
      </c>
      <c r="H500" s="3" t="inlineStr"/>
      <c r="I500" s="2" t="inlineStr"/>
      <c r="J500" s="2" t="inlineStr"/>
      <c r="K500" s="2" t="inlineStr">
        <is>
          <t>instalação grátis mediante fidelização (não afeta a mensalidade)</t>
        </is>
      </c>
      <c r="L500" s="2" t="inlineStr">
        <is>
          <t>mobile+broadband+tv</t>
        </is>
      </c>
      <c r="M500" s="2" t="inlineStr">
        <is>
          <t>Fiber + Mobile + TV</t>
        </is>
      </c>
      <c r="N500" s="2" t="b">
        <v>1</v>
      </c>
      <c r="O500" s="2" t="b">
        <v>1</v>
      </c>
      <c r="P500" s="2" t="b">
        <v>1</v>
      </c>
      <c r="Q500" s="2" t="b">
        <v>0</v>
      </c>
      <c r="R500" s="4" t="n">
        <v>700</v>
      </c>
      <c r="S500" s="4" t="n">
        <v>70</v>
      </c>
      <c r="T500" s="4" t="n">
        <v>1</v>
      </c>
      <c r="U500" s="2" t="inlineStr">
        <is>
          <t>120 canais de Vivo TV Avançado + 1 ponto adicional</t>
        </is>
      </c>
      <c r="V500" s="2" t="inlineStr"/>
      <c r="W500" s="2" t="inlineStr">
        <is>
          <t>Vivo travel américas</t>
        </is>
      </c>
      <c r="X500" s="2" t="inlineStr">
        <is>
          <t>700 Mega de Vivo Fibra</t>
        </is>
      </c>
      <c r="Y500" s="2" t="inlineStr">
        <is>
          <t>https://vivo.com.br/para-voce/produtos-e-servicos/combos/vivo-total</t>
        </is>
      </c>
      <c r="Z500" s="2" t="inlineStr">
        <is>
          <t>data/raw/vivo_convergent_total_SP.html</t>
        </is>
      </c>
    </row>
    <row r="501">
      <c r="A501" s="5" t="inlineStr">
        <is>
          <t>2026-08-24</t>
        </is>
      </c>
      <c r="B501" s="5" t="inlineStr">
        <is>
          <t>2026-08-24T18:24:33</t>
        </is>
      </c>
      <c r="C501" s="5" t="inlineStr">
        <is>
          <t>vivo</t>
        </is>
      </c>
      <c r="D501" s="5" t="inlineStr">
        <is>
          <t>SP</t>
        </is>
      </c>
      <c r="E501" s="5" t="inlineStr">
        <is>
          <t>Vivo Total Ultra + TV online</t>
        </is>
      </c>
      <c r="F501" s="5" t="inlineStr">
        <is>
          <t>vivo:VIV202604028947-305-313-316-336-408-411-426-430-442</t>
        </is>
      </c>
      <c r="G501" s="6" t="n">
        <v>210</v>
      </c>
      <c r="H501" s="6" t="inlineStr"/>
      <c r="I501" s="5" t="inlineStr"/>
      <c r="J501" s="5" t="inlineStr"/>
      <c r="K501" s="5" t="inlineStr">
        <is>
          <t>instalação grátis mediante fidelização (não afeta a mensalidade)</t>
        </is>
      </c>
      <c r="L501" s="5" t="inlineStr">
        <is>
          <t>mobile+broadband+tv</t>
        </is>
      </c>
      <c r="M501" s="5" t="inlineStr">
        <is>
          <t>Fiber + Mobile + TV</t>
        </is>
      </c>
      <c r="N501" s="5" t="b">
        <v>1</v>
      </c>
      <c r="O501" s="5" t="b">
        <v>1</v>
      </c>
      <c r="P501" s="5" t="b">
        <v>1</v>
      </c>
      <c r="Q501" s="5" t="b">
        <v>0</v>
      </c>
      <c r="R501" s="7" t="n">
        <v>700</v>
      </c>
      <c r="S501" s="7" t="n">
        <v>70</v>
      </c>
      <c r="T501" s="7" t="n">
        <v>1</v>
      </c>
      <c r="U501" s="5" t="inlineStr">
        <is>
          <t>80 canais de Vivo Estendido</t>
        </is>
      </c>
      <c r="V501" s="5" t="inlineStr"/>
      <c r="W501" s="5" t="inlineStr">
        <is>
          <t>Vivo travel américas</t>
        </is>
      </c>
      <c r="X501" s="5" t="inlineStr">
        <is>
          <t>700 Mega de Vivo Fibra</t>
        </is>
      </c>
      <c r="Y501" s="5" t="inlineStr">
        <is>
          <t>https://vivo.com.br/para-voce/produtos-e-servicos/combos/vivo-total</t>
        </is>
      </c>
      <c r="Z501" s="5" t="inlineStr">
        <is>
          <t>data/raw/vivo_convergent_total_SP.html</t>
        </is>
      </c>
    </row>
    <row r="502">
      <c r="A502" s="2" t="inlineStr">
        <is>
          <t>2026-08-24</t>
        </is>
      </c>
      <c r="B502" s="2" t="inlineStr">
        <is>
          <t>2026-08-24T18:24:33</t>
        </is>
      </c>
      <c r="C502" s="2" t="inlineStr">
        <is>
          <t>vivo</t>
        </is>
      </c>
      <c r="D502" s="2" t="inlineStr">
        <is>
          <t>SP</t>
        </is>
      </c>
      <c r="E502" s="2" t="inlineStr">
        <is>
          <t>Vivo Total V 1 Giga</t>
        </is>
      </c>
      <c r="F502" s="2" t="inlineStr">
        <is>
          <t>vivo:VIV202604029045-2-305-316-408-426-430-442</t>
        </is>
      </c>
      <c r="G502" s="3" t="n">
        <v>1200</v>
      </c>
      <c r="H502" s="3" t="inlineStr"/>
      <c r="I502" s="2" t="inlineStr"/>
      <c r="J502" s="2" t="inlineStr"/>
      <c r="K502" s="2" t="inlineStr">
        <is>
          <t>instalação grátis mediante fidelização (não afeta a mensalidade)</t>
        </is>
      </c>
      <c r="L502" s="2" t="inlineStr">
        <is>
          <t>mobile+broadband+tv</t>
        </is>
      </c>
      <c r="M502" s="2" t="inlineStr">
        <is>
          <t>Fiber + Mobile + TV</t>
        </is>
      </c>
      <c r="N502" s="2" t="b">
        <v>1</v>
      </c>
      <c r="O502" s="2" t="b">
        <v>1</v>
      </c>
      <c r="P502" s="2" t="b">
        <v>1</v>
      </c>
      <c r="Q502" s="2" t="b">
        <v>0</v>
      </c>
      <c r="R502" s="4" t="n">
        <v>1000</v>
      </c>
      <c r="S502" s="4" t="n">
        <v>600</v>
      </c>
      <c r="T502" s="4" t="n">
        <v>11</v>
      </c>
      <c r="U502" s="2" t="inlineStr">
        <is>
          <t>Vivo TV Completo com HBO Max e Telecine</t>
        </is>
      </c>
      <c r="V502" s="2" t="inlineStr"/>
      <c r="W502" s="2" t="inlineStr">
        <is>
          <t>Vivo Travel Mundo; 10 linhas adicionais inclusas; Vivo TV Completo com HBO Max e Telecine</t>
        </is>
      </c>
      <c r="X502" s="2" t="inlineStr">
        <is>
          <t>1Giga de Vivo Fibra</t>
        </is>
      </c>
      <c r="Y502" s="2" t="inlineStr">
        <is>
          <t>https://vivo.com.br/para-voce/produtos-e-servicos/combos/vivo-total</t>
        </is>
      </c>
      <c r="Z502" s="2" t="inlineStr">
        <is>
          <t>data/raw/vivo_convergent_total_SP.html</t>
        </is>
      </c>
    </row>
    <row r="503">
      <c r="A503" s="5" t="inlineStr">
        <is>
          <t>2026-08-25</t>
        </is>
      </c>
      <c r="B503" s="5" t="inlineStr">
        <is>
          <t>2026-08-25T18:23:38</t>
        </is>
      </c>
      <c r="C503" s="5" t="inlineStr">
        <is>
          <t>claro</t>
        </is>
      </c>
      <c r="D503" s="5" t="inlineStr">
        <is>
          <t>SP</t>
        </is>
      </c>
      <c r="E503" s="5" t="inlineStr">
        <is>
          <t>1 Giga com Globoplay incluso + Claro tv+ Box + Disney+ Amazon Prime + Netflix + HBO Max + Apple TV + Globoplay</t>
        </is>
      </c>
      <c r="F503" s="5" t="inlineStr">
        <is>
          <t>claro:af8152be-4aa7-4aa8-819a-a79687a3a9a0</t>
        </is>
      </c>
      <c r="G503" s="6" t="n">
        <v>299.8</v>
      </c>
      <c r="H503" s="6" t="inlineStr"/>
      <c r="I503" s="5" t="inlineStr"/>
      <c r="J503" s="5" t="inlineStr"/>
      <c r="K503" s="5" t="inlineStr">
        <is>
          <t>tab: Fibra + TV</t>
        </is>
      </c>
      <c r="L503" s="5" t="inlineStr">
        <is>
          <t>broadband+tv</t>
        </is>
      </c>
      <c r="M503" s="5" t="inlineStr">
        <is>
          <t>Fiber + TV</t>
        </is>
      </c>
      <c r="N503" s="5" t="b">
        <v>0</v>
      </c>
      <c r="O503" s="5" t="b">
        <v>1</v>
      </c>
      <c r="P503" s="5" t="b">
        <v>1</v>
      </c>
      <c r="Q503" s="5" t="b">
        <v>0</v>
      </c>
      <c r="R503" s="7" t="n">
        <v>1000</v>
      </c>
      <c r="S503" s="7" t="inlineStr"/>
      <c r="T503" s="7" t="inlineStr"/>
      <c r="U503" s="5" t="inlineStr">
        <is>
          <t>Claro tv+ Box + Disney+ Amazon Prime + Netflix + HBO Max + Apple TV + Globoplay</t>
        </is>
      </c>
      <c r="V503" s="5" t="inlineStr"/>
      <c r="W503" s="5" t="inlineStr"/>
      <c r="X503" s="5" t="inlineStr"/>
      <c r="Y503" s="5" t="inlineStr">
        <is>
          <t>https://www.claro.com.br/multi</t>
        </is>
      </c>
      <c r="Z503" s="5" t="inlineStr">
        <is>
          <t>data/raw/claro_convergent_multi_SP.html</t>
        </is>
      </c>
    </row>
    <row r="504">
      <c r="A504" s="2" t="inlineStr">
        <is>
          <t>2026-08-25</t>
        </is>
      </c>
      <c r="B504" s="2" t="inlineStr">
        <is>
          <t>2026-08-25T18:23:38</t>
        </is>
      </c>
      <c r="C504" s="2" t="inlineStr">
        <is>
          <t>claro</t>
        </is>
      </c>
      <c r="D504" s="2" t="inlineStr">
        <is>
          <t>SP</t>
        </is>
      </c>
      <c r="E504" s="2" t="inlineStr">
        <is>
          <t>1 Giga com Globoplay incluso + Claro tv+ Soundbox + Disney+ Amazon Prime + Netflix + HBO Max + Apple TV + Globoplay</t>
        </is>
      </c>
      <c r="F504" s="2" t="inlineStr">
        <is>
          <t>claro:ceb9fd87-0897-4dd2-a2f2-e7f09e714e49</t>
        </is>
      </c>
      <c r="G504" s="3" t="n">
        <v>429.8</v>
      </c>
      <c r="H504" s="3" t="inlineStr"/>
      <c r="I504" s="2" t="inlineStr"/>
      <c r="J504" s="2" t="inlineStr"/>
      <c r="K504" s="2" t="inlineStr">
        <is>
          <t>tab: Fibra + TV</t>
        </is>
      </c>
      <c r="L504" s="2" t="inlineStr">
        <is>
          <t>broadband+tv</t>
        </is>
      </c>
      <c r="M504" s="2" t="inlineStr">
        <is>
          <t>Fiber + TV</t>
        </is>
      </c>
      <c r="N504" s="2" t="b">
        <v>0</v>
      </c>
      <c r="O504" s="2" t="b">
        <v>1</v>
      </c>
      <c r="P504" s="2" t="b">
        <v>1</v>
      </c>
      <c r="Q504" s="2" t="b">
        <v>0</v>
      </c>
      <c r="R504" s="4" t="n">
        <v>1000</v>
      </c>
      <c r="S504" s="4" t="inlineStr"/>
      <c r="T504" s="4" t="inlineStr"/>
      <c r="U504" s="2" t="inlineStr">
        <is>
          <t>Claro tv+ Soundbox + Disney+ Amazon Prime + Netflix + HBO Max + Apple TV + Globoplay</t>
        </is>
      </c>
      <c r="V504" s="2" t="inlineStr"/>
      <c r="W504" s="2" t="inlineStr"/>
      <c r="X504" s="2" t="inlineStr"/>
      <c r="Y504" s="2" t="inlineStr">
        <is>
          <t>https://www.claro.com.br/multi</t>
        </is>
      </c>
      <c r="Z504" s="2" t="inlineStr">
        <is>
          <t>data/raw/claro_convergent_multi_SP.html</t>
        </is>
      </c>
    </row>
    <row r="505">
      <c r="A505" s="5" t="inlineStr">
        <is>
          <t>2026-08-25</t>
        </is>
      </c>
      <c r="B505" s="5" t="inlineStr">
        <is>
          <t>2026-08-25T18:23:38</t>
        </is>
      </c>
      <c r="C505" s="5" t="inlineStr">
        <is>
          <t>claro</t>
        </is>
      </c>
      <c r="D505" s="5" t="inlineStr">
        <is>
          <t>SP</t>
        </is>
      </c>
      <c r="E505" s="5" t="inlineStr">
        <is>
          <t>1 Giga com Globoplay incluso + Pós 100GB</t>
        </is>
      </c>
      <c r="F505" s="5" t="inlineStr">
        <is>
          <t>claro:a1de0ac1-61bb-4e97-a744-1ae4c3541673</t>
        </is>
      </c>
      <c r="G505" s="6" t="n">
        <v>179.9</v>
      </c>
      <c r="H505" s="6" t="inlineStr"/>
      <c r="I505" s="5" t="inlineStr"/>
      <c r="J505" s="5" t="inlineStr"/>
      <c r="K505" s="5" t="inlineStr">
        <is>
          <t>tab: Fibra + Móvel</t>
        </is>
      </c>
      <c r="L505" s="5" t="inlineStr">
        <is>
          <t>mobile+broadband</t>
        </is>
      </c>
      <c r="M505" s="5" t="inlineStr">
        <is>
          <t>Fiber + Mobile</t>
        </is>
      </c>
      <c r="N505" s="5" t="b">
        <v>1</v>
      </c>
      <c r="O505" s="5" t="b">
        <v>1</v>
      </c>
      <c r="P505" s="5" t="b">
        <v>0</v>
      </c>
      <c r="Q505" s="5" t="b">
        <v>0</v>
      </c>
      <c r="R505" s="7" t="n">
        <v>1000</v>
      </c>
      <c r="S505" s="7" t="n">
        <v>100</v>
      </c>
      <c r="T505" s="7" t="n">
        <v>1</v>
      </c>
      <c r="U505" s="5" t="inlineStr"/>
      <c r="V505" s="5" t="inlineStr"/>
      <c r="W505" s="5" t="inlineStr"/>
      <c r="X505" s="5" t="inlineStr">
        <is>
          <t>Pós 100GB</t>
        </is>
      </c>
      <c r="Y505" s="5" t="inlineStr">
        <is>
          <t>https://www.claro.com.br/multi</t>
        </is>
      </c>
      <c r="Z505" s="5" t="inlineStr">
        <is>
          <t>data/raw/claro_convergent_multi_SP.html</t>
        </is>
      </c>
    </row>
    <row r="506">
      <c r="A506" s="2" t="inlineStr">
        <is>
          <t>2026-08-25</t>
        </is>
      </c>
      <c r="B506" s="2" t="inlineStr">
        <is>
          <t>2026-08-25T18:23:38</t>
        </is>
      </c>
      <c r="C506" s="2" t="inlineStr">
        <is>
          <t>claro</t>
        </is>
      </c>
      <c r="D506" s="2" t="inlineStr">
        <is>
          <t>SP</t>
        </is>
      </c>
      <c r="E506" s="2" t="inlineStr">
        <is>
          <t>1 Giga com Globoplay incluso + Pós 100GB + Claro tv+ Box + Disney+ Amazon Prime + Netflix + HBO Max + Apple TV + Globoplay</t>
        </is>
      </c>
      <c r="F506" s="2" t="inlineStr">
        <is>
          <t>claro:548c4bad-7857-4c0c-94d5-45d33d66c57f</t>
        </is>
      </c>
      <c r="G506" s="3" t="n">
        <v>279.8</v>
      </c>
      <c r="H506" s="3" t="inlineStr"/>
      <c r="I506" s="2" t="inlineStr"/>
      <c r="J506" s="2" t="inlineStr"/>
      <c r="K506" s="2" t="inlineStr">
        <is>
          <t>tab: Fibra + Móvel + TV</t>
        </is>
      </c>
      <c r="L506" s="2" t="inlineStr">
        <is>
          <t>mobile+broadband+tv</t>
        </is>
      </c>
      <c r="M506" s="2" t="inlineStr">
        <is>
          <t>Fiber + Mobile + TV</t>
        </is>
      </c>
      <c r="N506" s="2" t="b">
        <v>1</v>
      </c>
      <c r="O506" s="2" t="b">
        <v>1</v>
      </c>
      <c r="P506" s="2" t="b">
        <v>1</v>
      </c>
      <c r="Q506" s="2" t="b">
        <v>0</v>
      </c>
      <c r="R506" s="4" t="n">
        <v>1000</v>
      </c>
      <c r="S506" s="4" t="n">
        <v>100</v>
      </c>
      <c r="T506" s="4" t="n">
        <v>1</v>
      </c>
      <c r="U506" s="2" t="inlineStr">
        <is>
          <t>Claro tv+ Box + Disney+ Amazon Prime + Netflix + HBO Max + Apple TV + Globoplay</t>
        </is>
      </c>
      <c r="V506" s="2" t="inlineStr"/>
      <c r="W506" s="2" t="inlineStr"/>
      <c r="X506" s="2" t="inlineStr">
        <is>
          <t>Pós 100GB</t>
        </is>
      </c>
      <c r="Y506" s="2" t="inlineStr">
        <is>
          <t>https://www.claro.com.br/multi</t>
        </is>
      </c>
      <c r="Z506" s="2" t="inlineStr">
        <is>
          <t>data/raw/claro_convergent_multi_SP.html</t>
        </is>
      </c>
    </row>
    <row r="507">
      <c r="A507" s="5" t="inlineStr">
        <is>
          <t>2026-08-25</t>
        </is>
      </c>
      <c r="B507" s="5" t="inlineStr">
        <is>
          <t>2026-08-25T18:23:38</t>
        </is>
      </c>
      <c r="C507" s="5" t="inlineStr">
        <is>
          <t>claro</t>
        </is>
      </c>
      <c r="D507" s="5" t="inlineStr">
        <is>
          <t>SP</t>
        </is>
      </c>
      <c r="E507" s="5" t="inlineStr">
        <is>
          <t>1 Giga com Globoplay incluso + Pós 150GB</t>
        </is>
      </c>
      <c r="F507" s="5" t="inlineStr">
        <is>
          <t>claro:d47e2a3b-dfd0-410e-9c24-d07a334d01d4</t>
        </is>
      </c>
      <c r="G507" s="6" t="n">
        <v>299.9</v>
      </c>
      <c r="H507" s="6" t="inlineStr"/>
      <c r="I507" s="5" t="inlineStr"/>
      <c r="J507" s="5" t="inlineStr"/>
      <c r="K507" s="5" t="inlineStr">
        <is>
          <t>tab: Fibra + Móvel</t>
        </is>
      </c>
      <c r="L507" s="5" t="inlineStr">
        <is>
          <t>mobile+broadband</t>
        </is>
      </c>
      <c r="M507" s="5" t="inlineStr">
        <is>
          <t>Fiber + Mobile</t>
        </is>
      </c>
      <c r="N507" s="5" t="b">
        <v>1</v>
      </c>
      <c r="O507" s="5" t="b">
        <v>1</v>
      </c>
      <c r="P507" s="5" t="b">
        <v>0</v>
      </c>
      <c r="Q507" s="5" t="b">
        <v>0</v>
      </c>
      <c r="R507" s="7" t="n">
        <v>1000</v>
      </c>
      <c r="S507" s="7" t="n">
        <v>150</v>
      </c>
      <c r="T507" s="7" t="n">
        <v>2</v>
      </c>
      <c r="U507" s="5" t="inlineStr"/>
      <c r="V507" s="5" t="inlineStr"/>
      <c r="W507" s="5" t="inlineStr"/>
      <c r="X507" s="5" t="inlineStr">
        <is>
          <t>Pós 150GB</t>
        </is>
      </c>
      <c r="Y507" s="5" t="inlineStr">
        <is>
          <t>https://www.claro.com.br/multi</t>
        </is>
      </c>
      <c r="Z507" s="5" t="inlineStr">
        <is>
          <t>data/raw/claro_convergent_multi_SP.html</t>
        </is>
      </c>
    </row>
    <row r="508">
      <c r="A508" s="2" t="inlineStr">
        <is>
          <t>2026-08-25</t>
        </is>
      </c>
      <c r="B508" s="2" t="inlineStr">
        <is>
          <t>2026-08-25T18:23:38</t>
        </is>
      </c>
      <c r="C508" s="2" t="inlineStr">
        <is>
          <t>claro</t>
        </is>
      </c>
      <c r="D508" s="2" t="inlineStr">
        <is>
          <t>SP</t>
        </is>
      </c>
      <c r="E508" s="2" t="inlineStr">
        <is>
          <t>1 Giga com Globoplay incluso + Pós 150GB + Claro tv+ Box + Disney+ Amazon Prime + Netflix + HBO Max + Apple TV + Globoplay</t>
        </is>
      </c>
      <c r="F508" s="2" t="inlineStr">
        <is>
          <t>claro:7785b449-69f2-4234-9e24-8837e32a55c0</t>
        </is>
      </c>
      <c r="G508" s="3" t="n">
        <v>399.8</v>
      </c>
      <c r="H508" s="3" t="inlineStr"/>
      <c r="I508" s="2" t="inlineStr"/>
      <c r="J508" s="2" t="inlineStr"/>
      <c r="K508" s="2" t="inlineStr">
        <is>
          <t>tab: Fibra + Móvel + TV</t>
        </is>
      </c>
      <c r="L508" s="2" t="inlineStr">
        <is>
          <t>mobile+broadband+tv</t>
        </is>
      </c>
      <c r="M508" s="2" t="inlineStr">
        <is>
          <t>Fiber + Mobile + TV</t>
        </is>
      </c>
      <c r="N508" s="2" t="b">
        <v>1</v>
      </c>
      <c r="O508" s="2" t="b">
        <v>1</v>
      </c>
      <c r="P508" s="2" t="b">
        <v>1</v>
      </c>
      <c r="Q508" s="2" t="b">
        <v>0</v>
      </c>
      <c r="R508" s="4" t="n">
        <v>1000</v>
      </c>
      <c r="S508" s="4" t="n">
        <v>150</v>
      </c>
      <c r="T508" s="4" t="n">
        <v>1</v>
      </c>
      <c r="U508" s="2" t="inlineStr">
        <is>
          <t>Claro tv+ Box + Disney+ Amazon Prime + Netflix + HBO Max + Apple TV + Globoplay</t>
        </is>
      </c>
      <c r="V508" s="2" t="inlineStr"/>
      <c r="W508" s="2" t="inlineStr"/>
      <c r="X508" s="2" t="inlineStr">
        <is>
          <t>Pós 150GB</t>
        </is>
      </c>
      <c r="Y508" s="2" t="inlineStr">
        <is>
          <t>https://www.claro.com.br/multi</t>
        </is>
      </c>
      <c r="Z508" s="2" t="inlineStr">
        <is>
          <t>data/raw/claro_convergent_multi_SP.html</t>
        </is>
      </c>
    </row>
    <row r="509">
      <c r="A509" s="5" t="inlineStr">
        <is>
          <t>2026-08-25</t>
        </is>
      </c>
      <c r="B509" s="5" t="inlineStr">
        <is>
          <t>2026-08-25T18:23:38</t>
        </is>
      </c>
      <c r="C509" s="5" t="inlineStr">
        <is>
          <t>claro</t>
        </is>
      </c>
      <c r="D509" s="5" t="inlineStr">
        <is>
          <t>SP</t>
        </is>
      </c>
      <c r="E509" s="5" t="inlineStr">
        <is>
          <t>1 Giga com Globoplay incluso + Pós 200GB</t>
        </is>
      </c>
      <c r="F509" s="5" t="inlineStr">
        <is>
          <t>claro:1961a62d-3213-4ff0-a152-401a45c5b1b5</t>
        </is>
      </c>
      <c r="G509" s="6" t="n">
        <v>359.9</v>
      </c>
      <c r="H509" s="6" t="inlineStr"/>
      <c r="I509" s="5" t="inlineStr"/>
      <c r="J509" s="5" t="inlineStr"/>
      <c r="K509" s="5" t="inlineStr">
        <is>
          <t>tab: Fibra + Móvel</t>
        </is>
      </c>
      <c r="L509" s="5" t="inlineStr">
        <is>
          <t>mobile+broadband</t>
        </is>
      </c>
      <c r="M509" s="5" t="inlineStr">
        <is>
          <t>Fiber + Mobile</t>
        </is>
      </c>
      <c r="N509" s="5" t="b">
        <v>1</v>
      </c>
      <c r="O509" s="5" t="b">
        <v>1</v>
      </c>
      <c r="P509" s="5" t="b">
        <v>0</v>
      </c>
      <c r="Q509" s="5" t="b">
        <v>0</v>
      </c>
      <c r="R509" s="7" t="n">
        <v>1000</v>
      </c>
      <c r="S509" s="7" t="n">
        <v>200</v>
      </c>
      <c r="T509" s="7" t="n">
        <v>3</v>
      </c>
      <c r="U509" s="5" t="inlineStr"/>
      <c r="V509" s="5" t="inlineStr"/>
      <c r="W509" s="5" t="inlineStr"/>
      <c r="X509" s="5" t="inlineStr">
        <is>
          <t>Pós 200GB</t>
        </is>
      </c>
      <c r="Y509" s="5" t="inlineStr">
        <is>
          <t>https://www.claro.com.br/multi</t>
        </is>
      </c>
      <c r="Z509" s="5" t="inlineStr">
        <is>
          <t>data/raw/claro_convergent_multi_SP.html</t>
        </is>
      </c>
    </row>
    <row r="510">
      <c r="A510" s="2" t="inlineStr">
        <is>
          <t>2026-08-25</t>
        </is>
      </c>
      <c r="B510" s="2" t="inlineStr">
        <is>
          <t>2026-08-25T18:23:38</t>
        </is>
      </c>
      <c r="C510" s="2" t="inlineStr">
        <is>
          <t>claro</t>
        </is>
      </c>
      <c r="D510" s="2" t="inlineStr">
        <is>
          <t>SP</t>
        </is>
      </c>
      <c r="E510" s="2" t="inlineStr">
        <is>
          <t>1 Giga com Globoplay incluso + Pós 200GB + Claro tv+ Box + Disney+ Amazon Prime + Netflix + HBO Max + Apple TV + Globoplay</t>
        </is>
      </c>
      <c r="F510" s="2" t="inlineStr">
        <is>
          <t>claro:312815a2-b3a5-43bb-89a1-272d53ccb212</t>
        </is>
      </c>
      <c r="G510" s="3" t="n">
        <v>459.8</v>
      </c>
      <c r="H510" s="3" t="inlineStr"/>
      <c r="I510" s="2" t="inlineStr"/>
      <c r="J510" s="2" t="inlineStr"/>
      <c r="K510" s="2" t="inlineStr">
        <is>
          <t>tab: Fibra + Móvel + TV</t>
        </is>
      </c>
      <c r="L510" s="2" t="inlineStr">
        <is>
          <t>mobile+broadband+tv</t>
        </is>
      </c>
      <c r="M510" s="2" t="inlineStr">
        <is>
          <t>Fiber + Mobile + TV</t>
        </is>
      </c>
      <c r="N510" s="2" t="b">
        <v>1</v>
      </c>
      <c r="O510" s="2" t="b">
        <v>1</v>
      </c>
      <c r="P510" s="2" t="b">
        <v>1</v>
      </c>
      <c r="Q510" s="2" t="b">
        <v>0</v>
      </c>
      <c r="R510" s="4" t="n">
        <v>1000</v>
      </c>
      <c r="S510" s="4" t="n">
        <v>200</v>
      </c>
      <c r="T510" s="4" t="n">
        <v>1</v>
      </c>
      <c r="U510" s="2" t="inlineStr">
        <is>
          <t>Claro tv+ Box + Disney+ Amazon Prime + Netflix + HBO Max + Apple TV + Globoplay</t>
        </is>
      </c>
      <c r="V510" s="2" t="inlineStr"/>
      <c r="W510" s="2" t="inlineStr"/>
      <c r="X510" s="2" t="inlineStr">
        <is>
          <t>Pós 200GB</t>
        </is>
      </c>
      <c r="Y510" s="2" t="inlineStr">
        <is>
          <t>https://www.claro.com.br/multi</t>
        </is>
      </c>
      <c r="Z510" s="2" t="inlineStr">
        <is>
          <t>data/raw/claro_convergent_multi_SP.html</t>
        </is>
      </c>
    </row>
    <row r="511">
      <c r="A511" s="5" t="inlineStr">
        <is>
          <t>2026-08-25</t>
        </is>
      </c>
      <c r="B511" s="5" t="inlineStr">
        <is>
          <t>2026-08-25T18:23:38</t>
        </is>
      </c>
      <c r="C511" s="5" t="inlineStr">
        <is>
          <t>claro</t>
        </is>
      </c>
      <c r="D511" s="5" t="inlineStr">
        <is>
          <t>SP</t>
        </is>
      </c>
      <c r="E511" s="5" t="inlineStr">
        <is>
          <t>350 Mega com Globoplay incluso + Claro tv+ Box + Disney+ Amazon Prime + Netflix + HBO Max + Apple TV + Globoplay</t>
        </is>
      </c>
      <c r="F511" s="5" t="inlineStr">
        <is>
          <t>claro:97b00450-6f21-4349-8363-83d624b18328</t>
        </is>
      </c>
      <c r="G511" s="6" t="n">
        <v>209.8</v>
      </c>
      <c r="H511" s="6" t="inlineStr"/>
      <c r="I511" s="5" t="inlineStr"/>
      <c r="J511" s="5" t="inlineStr"/>
      <c r="K511" s="5" t="inlineStr">
        <is>
          <t>tab: Fibra + TV</t>
        </is>
      </c>
      <c r="L511" s="5" t="inlineStr">
        <is>
          <t>broadband+tv</t>
        </is>
      </c>
      <c r="M511" s="5" t="inlineStr">
        <is>
          <t>Fiber + TV</t>
        </is>
      </c>
      <c r="N511" s="5" t="b">
        <v>0</v>
      </c>
      <c r="O511" s="5" t="b">
        <v>1</v>
      </c>
      <c r="P511" s="5" t="b">
        <v>1</v>
      </c>
      <c r="Q511" s="5" t="b">
        <v>0</v>
      </c>
      <c r="R511" s="7" t="n">
        <v>350</v>
      </c>
      <c r="S511" s="7" t="inlineStr"/>
      <c r="T511" s="7" t="inlineStr"/>
      <c r="U511" s="5" t="inlineStr">
        <is>
          <t>Claro tv+ Box + Disney+ Amazon Prime + Netflix + HBO Max + Apple TV + Globoplay</t>
        </is>
      </c>
      <c r="V511" s="5" t="inlineStr"/>
      <c r="W511" s="5" t="inlineStr"/>
      <c r="X511" s="5" t="inlineStr"/>
      <c r="Y511" s="5" t="inlineStr">
        <is>
          <t>https://www.claro.com.br/multi</t>
        </is>
      </c>
      <c r="Z511" s="5" t="inlineStr">
        <is>
          <t>data/raw/claro_convergent_multi_SP.html</t>
        </is>
      </c>
    </row>
    <row r="512">
      <c r="A512" s="2" t="inlineStr">
        <is>
          <t>2026-08-25</t>
        </is>
      </c>
      <c r="B512" s="2" t="inlineStr">
        <is>
          <t>2026-08-25T18:23:38</t>
        </is>
      </c>
      <c r="C512" s="2" t="inlineStr">
        <is>
          <t>claro</t>
        </is>
      </c>
      <c r="D512" s="2" t="inlineStr">
        <is>
          <t>SP</t>
        </is>
      </c>
      <c r="E512" s="2" t="inlineStr">
        <is>
          <t>350 Mega com Globoplay incluso + Controle 40GB</t>
        </is>
      </c>
      <c r="F512" s="2" t="inlineStr">
        <is>
          <t>claro:a866ea9a-6a70-4b6e-b886-f8178086ca91</t>
        </is>
      </c>
      <c r="G512" s="3" t="n">
        <v>129.8</v>
      </c>
      <c r="H512" s="3" t="inlineStr"/>
      <c r="I512" s="2" t="inlineStr"/>
      <c r="J512" s="2" t="inlineStr">
        <is>
          <t>debit_auto</t>
        </is>
      </c>
      <c r="K512" s="2" t="inlineStr">
        <is>
          <t>tab: Fibra + Móvel; preço em débito em conta; +R$ 5.00 sem débito automático</t>
        </is>
      </c>
      <c r="L512" s="2" t="inlineStr">
        <is>
          <t>mobile+broadband</t>
        </is>
      </c>
      <c r="M512" s="2" t="inlineStr">
        <is>
          <t>Fiber + Mobile</t>
        </is>
      </c>
      <c r="N512" s="2" t="b">
        <v>1</v>
      </c>
      <c r="O512" s="2" t="b">
        <v>1</v>
      </c>
      <c r="P512" s="2" t="b">
        <v>0</v>
      </c>
      <c r="Q512" s="2" t="b">
        <v>0</v>
      </c>
      <c r="R512" s="4" t="n">
        <v>350</v>
      </c>
      <c r="S512" s="4" t="n">
        <v>40</v>
      </c>
      <c r="T512" s="4" t="n">
        <v>1</v>
      </c>
      <c r="U512" s="2" t="inlineStr"/>
      <c r="V512" s="2" t="inlineStr"/>
      <c r="W512" s="2" t="inlineStr"/>
      <c r="X512" s="2" t="inlineStr">
        <is>
          <t>Controle 40GB</t>
        </is>
      </c>
      <c r="Y512" s="2" t="inlineStr">
        <is>
          <t>https://www.claro.com.br/multi</t>
        </is>
      </c>
      <c r="Z512" s="2" t="inlineStr">
        <is>
          <t>data/raw/claro_convergent_multi_SP.html</t>
        </is>
      </c>
    </row>
    <row r="513">
      <c r="A513" s="5" t="inlineStr">
        <is>
          <t>2026-08-25</t>
        </is>
      </c>
      <c r="B513" s="5" t="inlineStr">
        <is>
          <t>2026-08-25T18:23:38</t>
        </is>
      </c>
      <c r="C513" s="5" t="inlineStr">
        <is>
          <t>claro</t>
        </is>
      </c>
      <c r="D513" s="5" t="inlineStr">
        <is>
          <t>SP</t>
        </is>
      </c>
      <c r="E513" s="5" t="inlineStr">
        <is>
          <t>350 Mega com Globoplay incluso + Pós 100GB + Claro tv+ Box + Disney+ Amazon Prime + Netflix + HBO Max + Apple TV + Globoplay</t>
        </is>
      </c>
      <c r="F513" s="5" t="inlineStr">
        <is>
          <t>claro:746fa9cf-ea2b-40de-ad2c-5803b3e0ab08</t>
        </is>
      </c>
      <c r="G513" s="6" t="n">
        <v>239.8</v>
      </c>
      <c r="H513" s="6" t="inlineStr"/>
      <c r="I513" s="5" t="inlineStr"/>
      <c r="J513" s="5" t="inlineStr"/>
      <c r="K513" s="5" t="inlineStr">
        <is>
          <t>tab: Fibra + Móvel + TV</t>
        </is>
      </c>
      <c r="L513" s="5" t="inlineStr">
        <is>
          <t>mobile+broadband+tv</t>
        </is>
      </c>
      <c r="M513" s="5" t="inlineStr">
        <is>
          <t>Fiber + Mobile + TV</t>
        </is>
      </c>
      <c r="N513" s="5" t="b">
        <v>1</v>
      </c>
      <c r="O513" s="5" t="b">
        <v>1</v>
      </c>
      <c r="P513" s="5" t="b">
        <v>1</v>
      </c>
      <c r="Q513" s="5" t="b">
        <v>0</v>
      </c>
      <c r="R513" s="7" t="n">
        <v>350</v>
      </c>
      <c r="S513" s="7" t="n">
        <v>100</v>
      </c>
      <c r="T513" s="7" t="n">
        <v>1</v>
      </c>
      <c r="U513" s="5" t="inlineStr">
        <is>
          <t>Claro tv+ Box + Disney+ Amazon Prime + Netflix + HBO Max + Apple TV + Globoplay</t>
        </is>
      </c>
      <c r="V513" s="5" t="inlineStr"/>
      <c r="W513" s="5" t="inlineStr"/>
      <c r="X513" s="5" t="inlineStr">
        <is>
          <t>Pós 100GB</t>
        </is>
      </c>
      <c r="Y513" s="5" t="inlineStr">
        <is>
          <t>https://www.claro.com.br/multi</t>
        </is>
      </c>
      <c r="Z513" s="5" t="inlineStr">
        <is>
          <t>data/raw/claro_convergent_multi_SP.html</t>
        </is>
      </c>
    </row>
    <row r="514">
      <c r="A514" s="2" t="inlineStr">
        <is>
          <t>2026-08-25</t>
        </is>
      </c>
      <c r="B514" s="2" t="inlineStr">
        <is>
          <t>2026-08-25T18:23:38</t>
        </is>
      </c>
      <c r="C514" s="2" t="inlineStr">
        <is>
          <t>claro</t>
        </is>
      </c>
      <c r="D514" s="2" t="inlineStr">
        <is>
          <t>SP</t>
        </is>
      </c>
      <c r="E514" s="2" t="inlineStr">
        <is>
          <t>600 Mega com Globoplay incluso + Claro tv+ Box + Disney+ Amazon Prime + Netflix + HBO Max + Apple TV + Globoplay</t>
        </is>
      </c>
      <c r="F514" s="2" t="inlineStr">
        <is>
          <t>claro:545261b1-2f4d-4dab-82a6-02d9e66c5d3d</t>
        </is>
      </c>
      <c r="G514" s="3" t="n">
        <v>219.8</v>
      </c>
      <c r="H514" s="3" t="inlineStr"/>
      <c r="I514" s="2" t="inlineStr"/>
      <c r="J514" s="2" t="inlineStr"/>
      <c r="K514" s="2" t="inlineStr">
        <is>
          <t>tab: Fibra + TV</t>
        </is>
      </c>
      <c r="L514" s="2" t="inlineStr">
        <is>
          <t>broadband+tv</t>
        </is>
      </c>
      <c r="M514" s="2" t="inlineStr">
        <is>
          <t>Fiber + TV</t>
        </is>
      </c>
      <c r="N514" s="2" t="b">
        <v>0</v>
      </c>
      <c r="O514" s="2" t="b">
        <v>1</v>
      </c>
      <c r="P514" s="2" t="b">
        <v>1</v>
      </c>
      <c r="Q514" s="2" t="b">
        <v>0</v>
      </c>
      <c r="R514" s="4" t="n">
        <v>600</v>
      </c>
      <c r="S514" s="4" t="inlineStr"/>
      <c r="T514" s="4" t="inlineStr"/>
      <c r="U514" s="2" t="inlineStr">
        <is>
          <t>Claro tv+ Box + Disney+ Amazon Prime + Netflix + HBO Max + Apple TV + Globoplay</t>
        </is>
      </c>
      <c r="V514" s="2" t="inlineStr"/>
      <c r="W514" s="2" t="inlineStr"/>
      <c r="X514" s="2" t="inlineStr"/>
      <c r="Y514" s="2" t="inlineStr">
        <is>
          <t>https://www.claro.com.br/multi</t>
        </is>
      </c>
      <c r="Z514" s="2" t="inlineStr">
        <is>
          <t>data/raw/claro_convergent_multi_SP.html</t>
        </is>
      </c>
    </row>
    <row r="515">
      <c r="A515" s="5" t="inlineStr">
        <is>
          <t>2026-08-25</t>
        </is>
      </c>
      <c r="B515" s="5" t="inlineStr">
        <is>
          <t>2026-08-25T18:23:38</t>
        </is>
      </c>
      <c r="C515" s="5" t="inlineStr">
        <is>
          <t>claro</t>
        </is>
      </c>
      <c r="D515" s="5" t="inlineStr">
        <is>
          <t>SP</t>
        </is>
      </c>
      <c r="E515" s="5" t="inlineStr">
        <is>
          <t>600 Mega com Globoplay incluso + Pós 100GB</t>
        </is>
      </c>
      <c r="F515" s="5" t="inlineStr">
        <is>
          <t>claro:350ac58a-533c-4858-83be-be3ea39c8874</t>
        </is>
      </c>
      <c r="G515" s="6" t="n">
        <v>159.9</v>
      </c>
      <c r="H515" s="6" t="inlineStr"/>
      <c r="I515" s="5" t="inlineStr"/>
      <c r="J515" s="5" t="inlineStr"/>
      <c r="K515" s="5" t="inlineStr">
        <is>
          <t>tab: Fibra + Móvel</t>
        </is>
      </c>
      <c r="L515" s="5" t="inlineStr">
        <is>
          <t>mobile+broadband</t>
        </is>
      </c>
      <c r="M515" s="5" t="inlineStr">
        <is>
          <t>Fiber + Mobile</t>
        </is>
      </c>
      <c r="N515" s="5" t="b">
        <v>1</v>
      </c>
      <c r="O515" s="5" t="b">
        <v>1</v>
      </c>
      <c r="P515" s="5" t="b">
        <v>0</v>
      </c>
      <c r="Q515" s="5" t="b">
        <v>0</v>
      </c>
      <c r="R515" s="7" t="n">
        <v>600</v>
      </c>
      <c r="S515" s="7" t="n">
        <v>100</v>
      </c>
      <c r="T515" s="7" t="n">
        <v>1</v>
      </c>
      <c r="U515" s="5" t="inlineStr"/>
      <c r="V515" s="5" t="inlineStr"/>
      <c r="W515" s="5" t="inlineStr"/>
      <c r="X515" s="5" t="inlineStr">
        <is>
          <t>Pós 100GB</t>
        </is>
      </c>
      <c r="Y515" s="5" t="inlineStr">
        <is>
          <t>https://www.claro.com.br/multi</t>
        </is>
      </c>
      <c r="Z515" s="5" t="inlineStr">
        <is>
          <t>data/raw/claro_convergent_multi_SP.html</t>
        </is>
      </c>
    </row>
    <row r="516">
      <c r="A516" s="2" t="inlineStr">
        <is>
          <t>2026-08-25</t>
        </is>
      </c>
      <c r="B516" s="2" t="inlineStr">
        <is>
          <t>2026-08-25T18:23:38</t>
        </is>
      </c>
      <c r="C516" s="2" t="inlineStr">
        <is>
          <t>claro</t>
        </is>
      </c>
      <c r="D516" s="2" t="inlineStr">
        <is>
          <t>SP</t>
        </is>
      </c>
      <c r="E516" s="2" t="inlineStr">
        <is>
          <t>600 Mega com Globoplay incluso + Pós 100GB + Claro tv+ Box + Disney+ Amazon Prime + Netflix + HBO Max + Apple TV + Globoplay</t>
        </is>
      </c>
      <c r="F516" s="2" t="inlineStr">
        <is>
          <t>claro:f36e7dfb-f7c9-4055-844f-7bc101699de8</t>
        </is>
      </c>
      <c r="G516" s="3" t="n">
        <v>259.8</v>
      </c>
      <c r="H516" s="3" t="inlineStr"/>
      <c r="I516" s="2" t="inlineStr"/>
      <c r="J516" s="2" t="inlineStr"/>
      <c r="K516" s="2" t="inlineStr">
        <is>
          <t>tab: Fibra + Móvel + TV</t>
        </is>
      </c>
      <c r="L516" s="2" t="inlineStr">
        <is>
          <t>mobile+broadband+tv</t>
        </is>
      </c>
      <c r="M516" s="2" t="inlineStr">
        <is>
          <t>Fiber + Mobile + TV</t>
        </is>
      </c>
      <c r="N516" s="2" t="b">
        <v>1</v>
      </c>
      <c r="O516" s="2" t="b">
        <v>1</v>
      </c>
      <c r="P516" s="2" t="b">
        <v>1</v>
      </c>
      <c r="Q516" s="2" t="b">
        <v>0</v>
      </c>
      <c r="R516" s="4" t="n">
        <v>600</v>
      </c>
      <c r="S516" s="4" t="n">
        <v>100</v>
      </c>
      <c r="T516" s="4" t="n">
        <v>1</v>
      </c>
      <c r="U516" s="2" t="inlineStr">
        <is>
          <t>Claro tv+ Box + Disney+ Amazon Prime + Netflix + HBO Max + Apple TV + Globoplay</t>
        </is>
      </c>
      <c r="V516" s="2" t="inlineStr"/>
      <c r="W516" s="2" t="inlineStr"/>
      <c r="X516" s="2" t="inlineStr">
        <is>
          <t>Pós 100GB</t>
        </is>
      </c>
      <c r="Y516" s="2" t="inlineStr">
        <is>
          <t>https://www.claro.com.br/multi</t>
        </is>
      </c>
      <c r="Z516" s="2" t="inlineStr">
        <is>
          <t>data/raw/claro_convergent_multi_SP.html</t>
        </is>
      </c>
    </row>
    <row r="517">
      <c r="A517" s="5" t="inlineStr">
        <is>
          <t>2026-08-25</t>
        </is>
      </c>
      <c r="B517" s="5" t="inlineStr">
        <is>
          <t>2026-08-25T18:23:38</t>
        </is>
      </c>
      <c r="C517" s="5" t="inlineStr">
        <is>
          <t>tim</t>
        </is>
      </c>
      <c r="D517" s="5" t="inlineStr">
        <is>
          <t>SP</t>
        </is>
      </c>
      <c r="E517" s="5" t="inlineStr">
        <is>
          <t>TIM Ultracombo 5</t>
        </is>
      </c>
      <c r="F517" s="5" t="inlineStr">
        <is>
          <t>tim:167756</t>
        </is>
      </c>
      <c r="G517" s="6" t="n">
        <v>169.99</v>
      </c>
      <c r="H517" s="6" t="inlineStr"/>
      <c r="I517" s="5" t="inlineStr"/>
      <c r="J517" s="5" t="inlineStr">
        <is>
          <t>debit_auto</t>
        </is>
      </c>
      <c r="K517" s="5" t="inlineStr">
        <is>
          <t>preço em débito automático; R$ 179,99/mês no pagamento por fatura</t>
        </is>
      </c>
      <c r="L517" s="5" t="inlineStr">
        <is>
          <t>mobile+broadband</t>
        </is>
      </c>
      <c r="M517" s="5" t="inlineStr">
        <is>
          <t>Fiber + Mobile</t>
        </is>
      </c>
      <c r="N517" s="5" t="b">
        <v>1</v>
      </c>
      <c r="O517" s="5" t="b">
        <v>1</v>
      </c>
      <c r="P517" s="5" t="b">
        <v>0</v>
      </c>
      <c r="Q517" s="5" t="b">
        <v>0</v>
      </c>
      <c r="R517" s="7" t="n">
        <v>1000</v>
      </c>
      <c r="S517" s="7" t="n">
        <v>115</v>
      </c>
      <c r="T517" s="7" t="n">
        <v>1</v>
      </c>
      <c r="U517" s="5" t="inlineStr"/>
      <c r="V517" s="5" t="inlineStr">
        <is>
          <t>Paramount+, Deezer</t>
        </is>
      </c>
      <c r="W517" s="5" t="inlineStr"/>
      <c r="X517" s="5" t="inlineStr">
        <is>
          <t>1GIGA de Ultrafibra para casa + 115GB de TIM Black C Hero para móvel: (25GB do plano + 40GB promo + 50GB bônus especial)</t>
        </is>
      </c>
      <c r="Y517" s="5" t="inlineStr">
        <is>
          <t>https://www.tim.com.br/sp/internet/tim-ultracombo</t>
        </is>
      </c>
      <c r="Z517" s="5" t="inlineStr">
        <is>
          <t>data/raw/tim_convergent_ultracombo_SP.html</t>
        </is>
      </c>
    </row>
    <row r="518">
      <c r="A518" s="2" t="inlineStr">
        <is>
          <t>2026-08-25</t>
        </is>
      </c>
      <c r="B518" s="2" t="inlineStr">
        <is>
          <t>2026-08-25T18:23:38</t>
        </is>
      </c>
      <c r="C518" s="2" t="inlineStr">
        <is>
          <t>tim</t>
        </is>
      </c>
      <c r="D518" s="2" t="inlineStr">
        <is>
          <t>SP</t>
        </is>
      </c>
      <c r="E518" s="2" t="inlineStr">
        <is>
          <t>TIM Ultracombo 6</t>
        </is>
      </c>
      <c r="F518" s="2" t="inlineStr">
        <is>
          <t>tim:167751</t>
        </is>
      </c>
      <c r="G518" s="3" t="n">
        <v>139.99</v>
      </c>
      <c r="H518" s="3" t="inlineStr"/>
      <c r="I518" s="2" t="inlineStr"/>
      <c r="J518" s="2" t="inlineStr">
        <is>
          <t>debit_auto</t>
        </is>
      </c>
      <c r="K518" s="2" t="inlineStr">
        <is>
          <t>preço em débito automático; R$ 149,99/mês no pagamento por fatura</t>
        </is>
      </c>
      <c r="L518" s="2" t="inlineStr">
        <is>
          <t>mobile+broadband</t>
        </is>
      </c>
      <c r="M518" s="2" t="inlineStr">
        <is>
          <t>Fiber + Mobile</t>
        </is>
      </c>
      <c r="N518" s="2" t="b">
        <v>1</v>
      </c>
      <c r="O518" s="2" t="b">
        <v>1</v>
      </c>
      <c r="P518" s="2" t="b">
        <v>0</v>
      </c>
      <c r="Q518" s="2" t="b">
        <v>0</v>
      </c>
      <c r="R518" s="4" t="n">
        <v>1000</v>
      </c>
      <c r="S518" s="4" t="n">
        <v>70</v>
      </c>
      <c r="T518" s="4" t="n">
        <v>1</v>
      </c>
      <c r="U518" s="2" t="inlineStr"/>
      <c r="V518" s="2" t="inlineStr">
        <is>
          <t>Paramount+, Deezer</t>
        </is>
      </c>
      <c r="W518" s="2" t="inlineStr"/>
      <c r="X518" s="2" t="inlineStr">
        <is>
          <t>1GIGA de Ultrafibra para casa + 70GB de TIM Black A para móvel: (15GB do plano + 50GB promo + 5GB bônus especial)</t>
        </is>
      </c>
      <c r="Y518" s="2" t="inlineStr">
        <is>
          <t>https://www.tim.com.br/sp/internet/tim-ultracombo</t>
        </is>
      </c>
      <c r="Z518" s="2" t="inlineStr">
        <is>
          <t>data/raw/tim_convergent_ultracombo_SP.html</t>
        </is>
      </c>
    </row>
    <row r="519">
      <c r="A519" s="5" t="inlineStr">
        <is>
          <t>2026-08-25</t>
        </is>
      </c>
      <c r="B519" s="5" t="inlineStr">
        <is>
          <t>2026-08-25T18:23:38</t>
        </is>
      </c>
      <c r="C519" s="5" t="inlineStr">
        <is>
          <t>tim</t>
        </is>
      </c>
      <c r="D519" s="5" t="inlineStr">
        <is>
          <t>SP</t>
        </is>
      </c>
      <c r="E519" s="5" t="inlineStr">
        <is>
          <t>TIM Ultracombo 7</t>
        </is>
      </c>
      <c r="F519" s="5" t="inlineStr">
        <is>
          <t>tim:167761</t>
        </is>
      </c>
      <c r="G519" s="6" t="n">
        <v>89.98999999999999</v>
      </c>
      <c r="H519" s="6" t="inlineStr"/>
      <c r="I519" s="5" t="inlineStr"/>
      <c r="J519" s="5" t="inlineStr">
        <is>
          <t>debit_auto</t>
        </is>
      </c>
      <c r="K519" s="5" t="inlineStr">
        <is>
          <t>preço em débito automático; R$ 99,99/mês no pagamento por fatura</t>
        </is>
      </c>
      <c r="L519" s="5" t="inlineStr">
        <is>
          <t>mobile+broadband</t>
        </is>
      </c>
      <c r="M519" s="5" t="inlineStr">
        <is>
          <t>Fiber + Mobile</t>
        </is>
      </c>
      <c r="N519" s="5" t="b">
        <v>1</v>
      </c>
      <c r="O519" s="5" t="b">
        <v>1</v>
      </c>
      <c r="P519" s="5" t="b">
        <v>0</v>
      </c>
      <c r="Q519" s="5" t="b">
        <v>0</v>
      </c>
      <c r="R519" s="7" t="n">
        <v>500</v>
      </c>
      <c r="S519" s="7" t="n">
        <v>65</v>
      </c>
      <c r="T519" s="7" t="n">
        <v>1</v>
      </c>
      <c r="U519" s="5" t="inlineStr"/>
      <c r="V519" s="5" t="inlineStr"/>
      <c r="W519" s="5" t="inlineStr"/>
      <c r="X519" s="5" t="inlineStr">
        <is>
          <t>500MEGA de Ultrafibra para casa + 65GB de TIM Black A Light para móvel: (10GB do plano + 50GB promo)</t>
        </is>
      </c>
      <c r="Y519" s="5" t="inlineStr">
        <is>
          <t>https://www.tim.com.br/sp/internet/tim-ultracombo</t>
        </is>
      </c>
      <c r="Z519" s="5" t="inlineStr">
        <is>
          <t>data/raw/tim_convergent_ultracombo_SP.html</t>
        </is>
      </c>
    </row>
    <row r="520">
      <c r="A520" s="2" t="inlineStr">
        <is>
          <t>2026-08-25</t>
        </is>
      </c>
      <c r="B520" s="2" t="inlineStr">
        <is>
          <t>2026-08-25T18:23:38</t>
        </is>
      </c>
      <c r="C520" s="2" t="inlineStr">
        <is>
          <t>vivo</t>
        </is>
      </c>
      <c r="D520" s="2" t="inlineStr">
        <is>
          <t>SP</t>
        </is>
      </c>
      <c r="E520" s="2" t="inlineStr">
        <is>
          <t>Vivo Família 2</t>
        </is>
      </c>
      <c r="F520" s="2" t="inlineStr">
        <is>
          <t>vivo:VIV202604032132-3-305-316-336-408-411-426-430-442</t>
        </is>
      </c>
      <c r="G520" s="3" t="n">
        <v>290</v>
      </c>
      <c r="H520" s="3" t="inlineStr"/>
      <c r="I520" s="2" t="inlineStr"/>
      <c r="J520" s="2" t="inlineStr"/>
      <c r="K520" s="2" t="inlineStr">
        <is>
          <t>instalação grátis mediante fidelização (não afeta a mensalidade)</t>
        </is>
      </c>
      <c r="L520" s="2" t="inlineStr">
        <is>
          <t>mobile+broadband+tv</t>
        </is>
      </c>
      <c r="M520" s="2" t="inlineStr">
        <is>
          <t>Fiber + Mobile + TV</t>
        </is>
      </c>
      <c r="N520" s="2" t="b">
        <v>1</v>
      </c>
      <c r="O520" s="2" t="b">
        <v>1</v>
      </c>
      <c r="P520" s="2" t="b">
        <v>1</v>
      </c>
      <c r="Q520" s="2" t="b">
        <v>0</v>
      </c>
      <c r="R520" s="4" t="n">
        <v>700</v>
      </c>
      <c r="S520" s="4" t="n">
        <v>120</v>
      </c>
      <c r="T520" s="4" t="n">
        <v>2</v>
      </c>
      <c r="U520" s="2" t="inlineStr">
        <is>
          <t>80 canais de Vivo Estendido</t>
        </is>
      </c>
      <c r="V520" s="2" t="inlineStr"/>
      <c r="W520" s="2" t="inlineStr">
        <is>
          <t>Vivo Travel américas e europa; 1 linha adicional inclusa</t>
        </is>
      </c>
      <c r="X520" s="2" t="inlineStr">
        <is>
          <t>700 Mega de Vivo Fibra</t>
        </is>
      </c>
      <c r="Y520" s="2" t="inlineStr">
        <is>
          <t>https://vivo.com.br/para-voce/produtos-e-servicos/combos/vivo-total</t>
        </is>
      </c>
      <c r="Z520" s="2" t="inlineStr">
        <is>
          <t>data/raw/vivo_convergent_total_SP.html</t>
        </is>
      </c>
    </row>
    <row r="521">
      <c r="A521" s="5" t="inlineStr">
        <is>
          <t>2026-08-25</t>
        </is>
      </c>
      <c r="B521" s="5" t="inlineStr">
        <is>
          <t>2026-08-25T18:23:38</t>
        </is>
      </c>
      <c r="C521" s="5" t="inlineStr">
        <is>
          <t>vivo</t>
        </is>
      </c>
      <c r="D521" s="5" t="inlineStr">
        <is>
          <t>SP</t>
        </is>
      </c>
      <c r="E521" s="5" t="inlineStr">
        <is>
          <t>Vivo Família 2</t>
        </is>
      </c>
      <c r="F521" s="5" t="inlineStr">
        <is>
          <t>vivo:VIV202604032112-3-9-305-316-408-411-426-430-442</t>
        </is>
      </c>
      <c r="G521" s="6" t="n">
        <v>390</v>
      </c>
      <c r="H521" s="6" t="inlineStr"/>
      <c r="I521" s="5" t="inlineStr"/>
      <c r="J521" s="5" t="inlineStr"/>
      <c r="K521" s="5" t="inlineStr">
        <is>
          <t>instalação grátis mediante fidelização (não afeta a mensalidade)</t>
        </is>
      </c>
      <c r="L521" s="5" t="inlineStr">
        <is>
          <t>mobile+broadband+tv</t>
        </is>
      </c>
      <c r="M521" s="5" t="inlineStr">
        <is>
          <t>Fiber + Mobile + TV</t>
        </is>
      </c>
      <c r="N521" s="5" t="b">
        <v>1</v>
      </c>
      <c r="O521" s="5" t="b">
        <v>1</v>
      </c>
      <c r="P521" s="5" t="b">
        <v>1</v>
      </c>
      <c r="Q521" s="5" t="b">
        <v>0</v>
      </c>
      <c r="R521" s="7" t="n">
        <v>700</v>
      </c>
      <c r="S521" s="7" t="n">
        <v>120</v>
      </c>
      <c r="T521" s="7" t="n">
        <v>2</v>
      </c>
      <c r="U521" s="5" t="inlineStr">
        <is>
          <t>120 canais de Vivo TV Avançado + 1 ponto adicional</t>
        </is>
      </c>
      <c r="V521" s="5" t="inlineStr"/>
      <c r="W521" s="5" t="inlineStr">
        <is>
          <t>Vivo Travel américas e europa; 1 linha adicional inclusa</t>
        </is>
      </c>
      <c r="X521" s="5" t="inlineStr">
        <is>
          <t>700 Mega de Vivo Fibra</t>
        </is>
      </c>
      <c r="Y521" s="5" t="inlineStr">
        <is>
          <t>https://vivo.com.br/para-voce/produtos-e-servicos/combos/vivo-total</t>
        </is>
      </c>
      <c r="Z521" s="5" t="inlineStr">
        <is>
          <t>data/raw/vivo_convergent_total_SP.html</t>
        </is>
      </c>
    </row>
    <row r="522">
      <c r="A522" s="2" t="inlineStr">
        <is>
          <t>2026-08-25</t>
        </is>
      </c>
      <c r="B522" s="2" t="inlineStr">
        <is>
          <t>2026-08-25T18:23:38</t>
        </is>
      </c>
      <c r="C522" s="2" t="inlineStr">
        <is>
          <t>vivo</t>
        </is>
      </c>
      <c r="D522" s="2" t="inlineStr">
        <is>
          <t>SP</t>
        </is>
      </c>
      <c r="E522" s="2" t="inlineStr">
        <is>
          <t>Vivo Total Família 2</t>
        </is>
      </c>
      <c r="F522" s="2" t="inlineStr">
        <is>
          <t>vivo:VIV202604032132-3-305-316-408-411-426-430-442</t>
        </is>
      </c>
      <c r="G522" s="3" t="n">
        <v>270</v>
      </c>
      <c r="H522" s="3" t="inlineStr"/>
      <c r="I522" s="2" t="inlineStr"/>
      <c r="J522" s="2" t="inlineStr"/>
      <c r="K522" s="2" t="inlineStr">
        <is>
          <t>instalação grátis mediante fidelização (não afeta a mensalidade)</t>
        </is>
      </c>
      <c r="L522" s="2" t="inlineStr">
        <is>
          <t>mobile+broadband</t>
        </is>
      </c>
      <c r="M522" s="2" t="inlineStr">
        <is>
          <t>Fiber + Mobile</t>
        </is>
      </c>
      <c r="N522" s="2" t="b">
        <v>1</v>
      </c>
      <c r="O522" s="2" t="b">
        <v>1</v>
      </c>
      <c r="P522" s="2" t="b">
        <v>0</v>
      </c>
      <c r="Q522" s="2" t="b">
        <v>0</v>
      </c>
      <c r="R522" s="4" t="n">
        <v>700</v>
      </c>
      <c r="S522" s="4" t="n">
        <v>120</v>
      </c>
      <c r="T522" s="4" t="n">
        <v>2</v>
      </c>
      <c r="U522" s="2" t="inlineStr"/>
      <c r="V522" s="2" t="inlineStr"/>
      <c r="W522" s="2" t="inlineStr">
        <is>
          <t>Vivo Travel Américas e Europa; 1 linha adicional inclusa</t>
        </is>
      </c>
      <c r="X522" s="2" t="inlineStr">
        <is>
          <t>700 Mega de Vivo Fibra</t>
        </is>
      </c>
      <c r="Y522" s="2" t="inlineStr">
        <is>
          <t>https://vivo.com.br/para-voce/produtos-e-servicos/combos/vivo-total</t>
        </is>
      </c>
      <c r="Z522" s="2" t="inlineStr">
        <is>
          <t>data/raw/vivo_convergent_total_SP.html</t>
        </is>
      </c>
    </row>
    <row r="523">
      <c r="A523" s="5" t="inlineStr">
        <is>
          <t>2026-08-25</t>
        </is>
      </c>
      <c r="B523" s="5" t="inlineStr">
        <is>
          <t>2026-08-25T18:23:38</t>
        </is>
      </c>
      <c r="C523" s="5" t="inlineStr">
        <is>
          <t>vivo</t>
        </is>
      </c>
      <c r="D523" s="5" t="inlineStr">
        <is>
          <t>SP</t>
        </is>
      </c>
      <c r="E523" s="5" t="inlineStr">
        <is>
          <t>Vivo Total Família 3</t>
        </is>
      </c>
      <c r="F523" s="5" t="inlineStr">
        <is>
          <t>vivo:VIV202604032212-4-305-316-408-411-426-430-442</t>
        </is>
      </c>
      <c r="G523" s="6" t="n">
        <v>330</v>
      </c>
      <c r="H523" s="6" t="inlineStr"/>
      <c r="I523" s="5" t="inlineStr"/>
      <c r="J523" s="5" t="inlineStr"/>
      <c r="K523" s="5" t="inlineStr">
        <is>
          <t>instalação grátis mediante fidelização (não afeta a mensalidade)</t>
        </is>
      </c>
      <c r="L523" s="5" t="inlineStr">
        <is>
          <t>mobile+broadband</t>
        </is>
      </c>
      <c r="M523" s="5" t="inlineStr">
        <is>
          <t>Fiber + Mobile</t>
        </is>
      </c>
      <c r="N523" s="5" t="b">
        <v>1</v>
      </c>
      <c r="O523" s="5" t="b">
        <v>1</v>
      </c>
      <c r="P523" s="5" t="b">
        <v>0</v>
      </c>
      <c r="Q523" s="5" t="b">
        <v>0</v>
      </c>
      <c r="R523" s="7" t="n">
        <v>700</v>
      </c>
      <c r="S523" s="7" t="n">
        <v>180</v>
      </c>
      <c r="T523" s="7" t="n">
        <v>3</v>
      </c>
      <c r="U523" s="5" t="inlineStr"/>
      <c r="V523" s="5" t="inlineStr"/>
      <c r="W523" s="5" t="inlineStr">
        <is>
          <t>Vivo Travel Américas e Europa; 2 linhas adicionais inclusas</t>
        </is>
      </c>
      <c r="X523" s="5" t="inlineStr">
        <is>
          <t>700 Mega de Vivo Fibra</t>
        </is>
      </c>
      <c r="Y523" s="5" t="inlineStr">
        <is>
          <t>https://vivo.com.br/para-voce/produtos-e-servicos/combos/vivo-total</t>
        </is>
      </c>
      <c r="Z523" s="5" t="inlineStr">
        <is>
          <t>data/raw/vivo_convergent_total_SP.html</t>
        </is>
      </c>
    </row>
    <row r="524">
      <c r="A524" s="2" t="inlineStr">
        <is>
          <t>2026-08-25</t>
        </is>
      </c>
      <c r="B524" s="2" t="inlineStr">
        <is>
          <t>2026-08-25T18:23:38</t>
        </is>
      </c>
      <c r="C524" s="2" t="inlineStr">
        <is>
          <t>vivo</t>
        </is>
      </c>
      <c r="D524" s="2" t="inlineStr">
        <is>
          <t>SP</t>
        </is>
      </c>
      <c r="E524" s="2" t="inlineStr">
        <is>
          <t>Vivo Total Família 4</t>
        </is>
      </c>
      <c r="F524" s="2" t="inlineStr">
        <is>
          <t>vivo:VIV202604032292-237-305-316-408-411-426-430-442</t>
        </is>
      </c>
      <c r="G524" s="3" t="n">
        <v>420</v>
      </c>
      <c r="H524" s="3" t="inlineStr"/>
      <c r="I524" s="2" t="inlineStr"/>
      <c r="J524" s="2" t="inlineStr"/>
      <c r="K524" s="2" t="inlineStr">
        <is>
          <t>instalação grátis mediante fidelização (não afeta a mensalidade)</t>
        </is>
      </c>
      <c r="L524" s="2" t="inlineStr">
        <is>
          <t>mobile+broadband</t>
        </is>
      </c>
      <c r="M524" s="2" t="inlineStr">
        <is>
          <t>Fiber + Mobile</t>
        </is>
      </c>
      <c r="N524" s="2" t="b">
        <v>1</v>
      </c>
      <c r="O524" s="2" t="b">
        <v>1</v>
      </c>
      <c r="P524" s="2" t="b">
        <v>0</v>
      </c>
      <c r="Q524" s="2" t="b">
        <v>0</v>
      </c>
      <c r="R524" s="4" t="n">
        <v>700</v>
      </c>
      <c r="S524" s="4" t="n">
        <v>240</v>
      </c>
      <c r="T524" s="4" t="n">
        <v>4</v>
      </c>
      <c r="U524" s="2" t="inlineStr"/>
      <c r="V524" s="2" t="inlineStr"/>
      <c r="W524" s="2" t="inlineStr">
        <is>
          <t>Vivo Travel Américas e Europa; 3 linhas adicionais inclusas</t>
        </is>
      </c>
      <c r="X524" s="2" t="inlineStr">
        <is>
          <t>700 Mega de Vivo Fibra</t>
        </is>
      </c>
      <c r="Y524" s="2" t="inlineStr">
        <is>
          <t>https://vivo.com.br/para-voce/produtos-e-servicos/combos/vivo-total</t>
        </is>
      </c>
      <c r="Z524" s="2" t="inlineStr">
        <is>
          <t>data/raw/vivo_convergent_total_SP.html</t>
        </is>
      </c>
    </row>
    <row r="525">
      <c r="A525" s="5" t="inlineStr">
        <is>
          <t>2026-08-25</t>
        </is>
      </c>
      <c r="B525" s="5" t="inlineStr">
        <is>
          <t>2026-08-25T18:23:38</t>
        </is>
      </c>
      <c r="C525" s="5" t="inlineStr">
        <is>
          <t>vivo</t>
        </is>
      </c>
      <c r="D525" s="5" t="inlineStr">
        <is>
          <t>SP</t>
        </is>
      </c>
      <c r="E525" s="5" t="inlineStr">
        <is>
          <t>Vivo Total Família 5</t>
        </is>
      </c>
      <c r="F525" s="5" t="inlineStr">
        <is>
          <t>vivo:VIV202604032372-5-305-316-408-411-426-430-442</t>
        </is>
      </c>
      <c r="G525" s="6" t="n">
        <v>520</v>
      </c>
      <c r="H525" s="6" t="inlineStr"/>
      <c r="I525" s="5" t="inlineStr"/>
      <c r="J525" s="5" t="inlineStr"/>
      <c r="K525" s="5" t="inlineStr">
        <is>
          <t>instalação grátis mediante fidelização (não afeta a mensalidade)</t>
        </is>
      </c>
      <c r="L525" s="5" t="inlineStr">
        <is>
          <t>mobile+broadband</t>
        </is>
      </c>
      <c r="M525" s="5" t="inlineStr">
        <is>
          <t>Fiber + Mobile</t>
        </is>
      </c>
      <c r="N525" s="5" t="b">
        <v>1</v>
      </c>
      <c r="O525" s="5" t="b">
        <v>1</v>
      </c>
      <c r="P525" s="5" t="b">
        <v>0</v>
      </c>
      <c r="Q525" s="5" t="b">
        <v>0</v>
      </c>
      <c r="R525" s="7" t="n">
        <v>700</v>
      </c>
      <c r="S525" s="7" t="n">
        <v>300</v>
      </c>
      <c r="T525" s="7" t="n">
        <v>5</v>
      </c>
      <c r="U525" s="5" t="inlineStr"/>
      <c r="V525" s="5" t="inlineStr"/>
      <c r="W525" s="5" t="inlineStr">
        <is>
          <t>Vivo Travel Américas e Europa; 4 linhas adicionais inclusas</t>
        </is>
      </c>
      <c r="X525" s="5" t="inlineStr">
        <is>
          <t>700 Mega de Vivo Fibra</t>
        </is>
      </c>
      <c r="Y525" s="5" t="inlineStr">
        <is>
          <t>https://vivo.com.br/para-voce/produtos-e-servicos/combos/vivo-total</t>
        </is>
      </c>
      <c r="Z525" s="5" t="inlineStr">
        <is>
          <t>data/raw/vivo_convergent_total_SP.html</t>
        </is>
      </c>
    </row>
    <row r="526">
      <c r="A526" s="2" t="inlineStr">
        <is>
          <t>2026-08-25</t>
        </is>
      </c>
      <c r="B526" s="2" t="inlineStr">
        <is>
          <t>2026-08-25T18:23:38</t>
        </is>
      </c>
      <c r="C526" s="2" t="inlineStr">
        <is>
          <t>vivo</t>
        </is>
      </c>
      <c r="D526" s="2" t="inlineStr">
        <is>
          <t>SP</t>
        </is>
      </c>
      <c r="E526" s="2" t="inlineStr">
        <is>
          <t>Vivo Total Pro</t>
        </is>
      </c>
      <c r="F526" s="2" t="inlineStr">
        <is>
          <t>vivo:VIV202604031772-2-305-308-316-326-342-411-430</t>
        </is>
      </c>
      <c r="G526" s="3" t="n">
        <v>160</v>
      </c>
      <c r="H526" s="3" t="inlineStr"/>
      <c r="I526" s="2" t="inlineStr"/>
      <c r="J526" s="2" t="inlineStr"/>
      <c r="K526" s="2" t="inlineStr">
        <is>
          <t>instalação grátis mediante fidelização (não afeta a mensalidade)</t>
        </is>
      </c>
      <c r="L526" s="2" t="inlineStr">
        <is>
          <t>mobile+broadband</t>
        </is>
      </c>
      <c r="M526" s="2" t="inlineStr">
        <is>
          <t>Fiber + Mobile</t>
        </is>
      </c>
      <c r="N526" s="2" t="b">
        <v>1</v>
      </c>
      <c r="O526" s="2" t="b">
        <v>1</v>
      </c>
      <c r="P526" s="2" t="b">
        <v>0</v>
      </c>
      <c r="Q526" s="2" t="b">
        <v>0</v>
      </c>
      <c r="R526" s="4" t="n">
        <v>500</v>
      </c>
      <c r="S526" s="4" t="n">
        <v>60</v>
      </c>
      <c r="T526" s="4" t="n">
        <v>1</v>
      </c>
      <c r="U526" s="2" t="inlineStr"/>
      <c r="V526" s="2" t="inlineStr"/>
      <c r="W526" s="2" t="inlineStr">
        <is>
          <t>Vivo Travel Américas; 50 GB de franquia + 10 GB de bônus</t>
        </is>
      </c>
      <c r="X526" s="2" t="inlineStr">
        <is>
          <t>500 Mega de Vivo Fibra</t>
        </is>
      </c>
      <c r="Y526" s="2" t="inlineStr">
        <is>
          <t>https://vivo.com.br/para-voce/produtos-e-servicos/combos/vivo-total</t>
        </is>
      </c>
      <c r="Z526" s="2" t="inlineStr">
        <is>
          <t>data/raw/vivo_convergent_total_SP.html</t>
        </is>
      </c>
    </row>
    <row r="527">
      <c r="A527" s="5" t="inlineStr">
        <is>
          <t>2026-08-25</t>
        </is>
      </c>
      <c r="B527" s="5" t="inlineStr">
        <is>
          <t>2026-08-25T18:23:38</t>
        </is>
      </c>
      <c r="C527" s="5" t="inlineStr">
        <is>
          <t>vivo</t>
        </is>
      </c>
      <c r="D527" s="5" t="inlineStr">
        <is>
          <t>SP</t>
        </is>
      </c>
      <c r="E527" s="5" t="inlineStr">
        <is>
          <t>Vivo Total Ultra</t>
        </is>
      </c>
      <c r="F527" s="5" t="inlineStr">
        <is>
          <t>vivo:VIV202604031940-305-313-316-408-411-426-430-442</t>
        </is>
      </c>
      <c r="G527" s="6" t="n">
        <v>170</v>
      </c>
      <c r="H527" s="6" t="inlineStr"/>
      <c r="I527" s="5" t="inlineStr"/>
      <c r="J527" s="5" t="inlineStr"/>
      <c r="K527" s="5" t="inlineStr">
        <is>
          <t>instalação grátis mediante fidelização (não afeta a mensalidade)</t>
        </is>
      </c>
      <c r="L527" s="5" t="inlineStr">
        <is>
          <t>mobile+broadband</t>
        </is>
      </c>
      <c r="M527" s="5" t="inlineStr">
        <is>
          <t>Fiber + Mobile</t>
        </is>
      </c>
      <c r="N527" s="5" t="b">
        <v>1</v>
      </c>
      <c r="O527" s="5" t="b">
        <v>1</v>
      </c>
      <c r="P527" s="5" t="b">
        <v>0</v>
      </c>
      <c r="Q527" s="5" t="b">
        <v>0</v>
      </c>
      <c r="R527" s="7" t="n">
        <v>700</v>
      </c>
      <c r="S527" s="7" t="n">
        <v>70</v>
      </c>
      <c r="T527" s="7" t="n">
        <v>1</v>
      </c>
      <c r="U527" s="5" t="inlineStr"/>
      <c r="V527" s="5" t="inlineStr"/>
      <c r="W527" s="5" t="inlineStr">
        <is>
          <t>Vivo Travel Américas; Exitlag e ponto cabeado incluso</t>
        </is>
      </c>
      <c r="X527" s="5" t="inlineStr">
        <is>
          <t>700 Mega de Vivo Fibra</t>
        </is>
      </c>
      <c r="Y527" s="5" t="inlineStr">
        <is>
          <t>https://vivo.com.br/para-voce/produtos-e-servicos/combos/vivo-total</t>
        </is>
      </c>
      <c r="Z527" s="5" t="inlineStr">
        <is>
          <t>data/raw/vivo_convergent_total_SP.html</t>
        </is>
      </c>
    </row>
    <row r="528">
      <c r="A528" s="2" t="inlineStr">
        <is>
          <t>2026-08-25</t>
        </is>
      </c>
      <c r="B528" s="2" t="inlineStr">
        <is>
          <t>2026-08-25T18:23:38</t>
        </is>
      </c>
      <c r="C528" s="2" t="inlineStr">
        <is>
          <t>vivo</t>
        </is>
      </c>
      <c r="D528" s="2" t="inlineStr">
        <is>
          <t>SP</t>
        </is>
      </c>
      <c r="E528" s="2" t="inlineStr">
        <is>
          <t>Vivo Total Ultra + TV</t>
        </is>
      </c>
      <c r="F528" s="2" t="inlineStr">
        <is>
          <t>vivo:VIV202604031882-9-305-313-316-408-411-426-430-442</t>
        </is>
      </c>
      <c r="G528" s="3" t="n">
        <v>310</v>
      </c>
      <c r="H528" s="3" t="inlineStr"/>
      <c r="I528" s="2" t="inlineStr"/>
      <c r="J528" s="2" t="inlineStr"/>
      <c r="K528" s="2" t="inlineStr">
        <is>
          <t>instalação grátis mediante fidelização (não afeta a mensalidade)</t>
        </is>
      </c>
      <c r="L528" s="2" t="inlineStr">
        <is>
          <t>mobile+broadband+tv</t>
        </is>
      </c>
      <c r="M528" s="2" t="inlineStr">
        <is>
          <t>Fiber + Mobile + TV</t>
        </is>
      </c>
      <c r="N528" s="2" t="b">
        <v>1</v>
      </c>
      <c r="O528" s="2" t="b">
        <v>1</v>
      </c>
      <c r="P528" s="2" t="b">
        <v>1</v>
      </c>
      <c r="Q528" s="2" t="b">
        <v>0</v>
      </c>
      <c r="R528" s="4" t="n">
        <v>700</v>
      </c>
      <c r="S528" s="4" t="n">
        <v>70</v>
      </c>
      <c r="T528" s="4" t="n">
        <v>1</v>
      </c>
      <c r="U528" s="2" t="inlineStr">
        <is>
          <t>120 canais de Vivo TV Avançado + 1 ponto adicional</t>
        </is>
      </c>
      <c r="V528" s="2" t="inlineStr"/>
      <c r="W528" s="2" t="inlineStr">
        <is>
          <t>Vivo travel américas</t>
        </is>
      </c>
      <c r="X528" s="2" t="inlineStr">
        <is>
          <t>700 Mega de Vivo Fibra</t>
        </is>
      </c>
      <c r="Y528" s="2" t="inlineStr">
        <is>
          <t>https://vivo.com.br/para-voce/produtos-e-servicos/combos/vivo-total</t>
        </is>
      </c>
      <c r="Z528" s="2" t="inlineStr">
        <is>
          <t>data/raw/vivo_convergent_total_SP.html</t>
        </is>
      </c>
    </row>
    <row r="529">
      <c r="A529" s="5" t="inlineStr">
        <is>
          <t>2026-08-25</t>
        </is>
      </c>
      <c r="B529" s="5" t="inlineStr">
        <is>
          <t>2026-08-25T18:23:38</t>
        </is>
      </c>
      <c r="C529" s="5" t="inlineStr">
        <is>
          <t>vivo</t>
        </is>
      </c>
      <c r="D529" s="5" t="inlineStr">
        <is>
          <t>SP</t>
        </is>
      </c>
      <c r="E529" s="5" t="inlineStr">
        <is>
          <t>Vivo Total Ultra + TV online</t>
        </is>
      </c>
      <c r="F529" s="5" t="inlineStr">
        <is>
          <t>vivo:VIV202604032034-305-313-316-336-408-411-426-430-442</t>
        </is>
      </c>
      <c r="G529" s="6" t="n">
        <v>210</v>
      </c>
      <c r="H529" s="6" t="inlineStr"/>
      <c r="I529" s="5" t="inlineStr"/>
      <c r="J529" s="5" t="inlineStr"/>
      <c r="K529" s="5" t="inlineStr">
        <is>
          <t>instalação grátis mediante fidelização (não afeta a mensalidade)</t>
        </is>
      </c>
      <c r="L529" s="5" t="inlineStr">
        <is>
          <t>mobile+broadband+tv</t>
        </is>
      </c>
      <c r="M529" s="5" t="inlineStr">
        <is>
          <t>Fiber + Mobile + TV</t>
        </is>
      </c>
      <c r="N529" s="5" t="b">
        <v>1</v>
      </c>
      <c r="O529" s="5" t="b">
        <v>1</v>
      </c>
      <c r="P529" s="5" t="b">
        <v>1</v>
      </c>
      <c r="Q529" s="5" t="b">
        <v>0</v>
      </c>
      <c r="R529" s="7" t="n">
        <v>700</v>
      </c>
      <c r="S529" s="7" t="n">
        <v>70</v>
      </c>
      <c r="T529" s="7" t="n">
        <v>1</v>
      </c>
      <c r="U529" s="5" t="inlineStr">
        <is>
          <t>80 canais de Vivo Estendido</t>
        </is>
      </c>
      <c r="V529" s="5" t="inlineStr"/>
      <c r="W529" s="5" t="inlineStr">
        <is>
          <t>Vivo travel américas</t>
        </is>
      </c>
      <c r="X529" s="5" t="inlineStr">
        <is>
          <t>700 Mega de Vivo Fibra</t>
        </is>
      </c>
      <c r="Y529" s="5" t="inlineStr">
        <is>
          <t>https://vivo.com.br/para-voce/produtos-e-servicos/combos/vivo-total</t>
        </is>
      </c>
      <c r="Z529" s="5" t="inlineStr">
        <is>
          <t>data/raw/vivo_convergent_total_SP.html</t>
        </is>
      </c>
    </row>
    <row r="530">
      <c r="A530" s="2" t="inlineStr">
        <is>
          <t>2026-08-25</t>
        </is>
      </c>
      <c r="B530" s="2" t="inlineStr">
        <is>
          <t>2026-08-25T18:23:38</t>
        </is>
      </c>
      <c r="C530" s="2" t="inlineStr">
        <is>
          <t>vivo</t>
        </is>
      </c>
      <c r="D530" s="2" t="inlineStr">
        <is>
          <t>SP</t>
        </is>
      </c>
      <c r="E530" s="2" t="inlineStr">
        <is>
          <t>Vivo Total V 1 Giga</t>
        </is>
      </c>
      <c r="F530" s="2" t="inlineStr">
        <is>
          <t>vivo:VIV202604032532-2-305-316-408-426-430-442</t>
        </is>
      </c>
      <c r="G530" s="3" t="n">
        <v>1200</v>
      </c>
      <c r="H530" s="3" t="inlineStr"/>
      <c r="I530" s="2" t="inlineStr"/>
      <c r="J530" s="2" t="inlineStr"/>
      <c r="K530" s="2" t="inlineStr">
        <is>
          <t>instalação grátis mediante fidelização (não afeta a mensalidade)</t>
        </is>
      </c>
      <c r="L530" s="2" t="inlineStr">
        <is>
          <t>mobile+broadband+tv</t>
        </is>
      </c>
      <c r="M530" s="2" t="inlineStr">
        <is>
          <t>Fiber + Mobile + TV</t>
        </is>
      </c>
      <c r="N530" s="2" t="b">
        <v>1</v>
      </c>
      <c r="O530" s="2" t="b">
        <v>1</v>
      </c>
      <c r="P530" s="2" t="b">
        <v>1</v>
      </c>
      <c r="Q530" s="2" t="b">
        <v>0</v>
      </c>
      <c r="R530" s="4" t="n">
        <v>1000</v>
      </c>
      <c r="S530" s="4" t="n">
        <v>600</v>
      </c>
      <c r="T530" s="4" t="n">
        <v>11</v>
      </c>
      <c r="U530" s="2" t="inlineStr">
        <is>
          <t>Vivo TV Completo com HBO Max e Telecine</t>
        </is>
      </c>
      <c r="V530" s="2" t="inlineStr"/>
      <c r="W530" s="2" t="inlineStr">
        <is>
          <t>Vivo Travel Mundo; 10 linhas adicionais inclusas; Vivo TV Completo com HBO Max e Telecine</t>
        </is>
      </c>
      <c r="X530" s="2" t="inlineStr">
        <is>
          <t>1Giga de Vivo Fibra</t>
        </is>
      </c>
      <c r="Y530" s="2" t="inlineStr">
        <is>
          <t>https://vivo.com.br/para-voce/produtos-e-servicos/combos/vivo-total</t>
        </is>
      </c>
      <c r="Z530" s="2" t="inlineStr">
        <is>
          <t>data/raw/vivo_convergent_total_SP.html</t>
        </is>
      </c>
    </row>
    <row r="531">
      <c r="A531" s="5" t="inlineStr">
        <is>
          <t>2026-08-26</t>
        </is>
      </c>
      <c r="B531" s="5" t="inlineStr">
        <is>
          <t>2026-08-26T21:24:35</t>
        </is>
      </c>
      <c r="C531" s="5" t="inlineStr">
        <is>
          <t>claro</t>
        </is>
      </c>
      <c r="D531" s="5" t="inlineStr">
        <is>
          <t>SP</t>
        </is>
      </c>
      <c r="E531" s="5" t="inlineStr">
        <is>
          <t>1 Giga com Globoplay incluso + Claro tv+ Box + Disney+ Amazon Prime + Netflix + HBO Max + Apple TV + Globoplay</t>
        </is>
      </c>
      <c r="F531" s="5" t="inlineStr">
        <is>
          <t>claro:af8152be-4aa7-4aa8-819a-a79687a3a9a0</t>
        </is>
      </c>
      <c r="G531" s="6" t="n">
        <v>319.8</v>
      </c>
      <c r="H531" s="6" t="inlineStr"/>
      <c r="I531" s="5" t="inlineStr"/>
      <c r="J531" s="5" t="inlineStr"/>
      <c r="K531" s="5" t="inlineStr">
        <is>
          <t>tab: Fibra + TV</t>
        </is>
      </c>
      <c r="L531" s="5" t="inlineStr">
        <is>
          <t>broadband+tv</t>
        </is>
      </c>
      <c r="M531" s="5" t="inlineStr">
        <is>
          <t>Fiber + TV</t>
        </is>
      </c>
      <c r="N531" s="5" t="b">
        <v>0</v>
      </c>
      <c r="O531" s="5" t="b">
        <v>1</v>
      </c>
      <c r="P531" s="5" t="b">
        <v>1</v>
      </c>
      <c r="Q531" s="5" t="b">
        <v>0</v>
      </c>
      <c r="R531" s="7" t="n">
        <v>1000</v>
      </c>
      <c r="S531" s="7" t="inlineStr"/>
      <c r="T531" s="7" t="inlineStr"/>
      <c r="U531" s="5" t="inlineStr">
        <is>
          <t>Claro tv+ Box + Disney+ Amazon Prime + Netflix + HBO Max + Apple TV + Globoplay</t>
        </is>
      </c>
      <c r="V531" s="5" t="inlineStr"/>
      <c r="W531" s="5" t="inlineStr"/>
      <c r="X531" s="5" t="inlineStr"/>
      <c r="Y531" s="5" t="inlineStr">
        <is>
          <t>https://www.claro.com.br/multi</t>
        </is>
      </c>
      <c r="Z531" s="5" t="inlineStr">
        <is>
          <t>data/raw/claro_convergent_multi_SP.html</t>
        </is>
      </c>
    </row>
    <row r="532">
      <c r="A532" s="2" t="inlineStr">
        <is>
          <t>2026-08-26</t>
        </is>
      </c>
      <c r="B532" s="2" t="inlineStr">
        <is>
          <t>2026-08-26T21:24:35</t>
        </is>
      </c>
      <c r="C532" s="2" t="inlineStr">
        <is>
          <t>claro</t>
        </is>
      </c>
      <c r="D532" s="2" t="inlineStr">
        <is>
          <t>SP</t>
        </is>
      </c>
      <c r="E532" s="2" t="inlineStr">
        <is>
          <t>1 Giga com Globoplay incluso + Claro tv+ Soundbox + Disney+ Amazon Prime + Netflix + HBO Max + Apple TV + Globoplay</t>
        </is>
      </c>
      <c r="F532" s="2" t="inlineStr">
        <is>
          <t>claro:ceb9fd87-0897-4dd2-a2f2-e7f09e714e49</t>
        </is>
      </c>
      <c r="G532" s="3" t="n">
        <v>429.8</v>
      </c>
      <c r="H532" s="3" t="inlineStr"/>
      <c r="I532" s="2" t="inlineStr"/>
      <c r="J532" s="2" t="inlineStr"/>
      <c r="K532" s="2" t="inlineStr">
        <is>
          <t>tab: Fibra + TV</t>
        </is>
      </c>
      <c r="L532" s="2" t="inlineStr">
        <is>
          <t>broadband+tv</t>
        </is>
      </c>
      <c r="M532" s="2" t="inlineStr">
        <is>
          <t>Fiber + TV</t>
        </is>
      </c>
      <c r="N532" s="2" t="b">
        <v>0</v>
      </c>
      <c r="O532" s="2" t="b">
        <v>1</v>
      </c>
      <c r="P532" s="2" t="b">
        <v>1</v>
      </c>
      <c r="Q532" s="2" t="b">
        <v>0</v>
      </c>
      <c r="R532" s="4" t="n">
        <v>1000</v>
      </c>
      <c r="S532" s="4" t="inlineStr"/>
      <c r="T532" s="4" t="inlineStr"/>
      <c r="U532" s="2" t="inlineStr">
        <is>
          <t>Claro tv+ Soundbox + Disney+ Amazon Prime + Netflix + HBO Max + Apple TV + Globoplay</t>
        </is>
      </c>
      <c r="V532" s="2" t="inlineStr"/>
      <c r="W532" s="2" t="inlineStr"/>
      <c r="X532" s="2" t="inlineStr"/>
      <c r="Y532" s="2" t="inlineStr">
        <is>
          <t>https://www.claro.com.br/multi</t>
        </is>
      </c>
      <c r="Z532" s="2" t="inlineStr">
        <is>
          <t>data/raw/claro_convergent_multi_SP.html</t>
        </is>
      </c>
    </row>
    <row r="533">
      <c r="A533" s="5" t="inlineStr">
        <is>
          <t>2026-08-26</t>
        </is>
      </c>
      <c r="B533" s="5" t="inlineStr">
        <is>
          <t>2026-08-26T21:24:35</t>
        </is>
      </c>
      <c r="C533" s="5" t="inlineStr">
        <is>
          <t>claro</t>
        </is>
      </c>
      <c r="D533" s="5" t="inlineStr">
        <is>
          <t>SP</t>
        </is>
      </c>
      <c r="E533" s="5" t="inlineStr">
        <is>
          <t>1 Giga com Globoplay incluso + Pós 100GB</t>
        </is>
      </c>
      <c r="F533" s="5" t="inlineStr">
        <is>
          <t>claro:a1de0ac1-61bb-4e97-a744-1ae4c3541673</t>
        </is>
      </c>
      <c r="G533" s="6" t="n">
        <v>179.9</v>
      </c>
      <c r="H533" s="6" t="inlineStr"/>
      <c r="I533" s="5" t="inlineStr"/>
      <c r="J533" s="5" t="inlineStr"/>
      <c r="K533" s="5" t="inlineStr">
        <is>
          <t>tab: Fibra + Móvel</t>
        </is>
      </c>
      <c r="L533" s="5" t="inlineStr">
        <is>
          <t>mobile+broadband</t>
        </is>
      </c>
      <c r="M533" s="5" t="inlineStr">
        <is>
          <t>Fiber + Mobile</t>
        </is>
      </c>
      <c r="N533" s="5" t="b">
        <v>1</v>
      </c>
      <c r="O533" s="5" t="b">
        <v>1</v>
      </c>
      <c r="P533" s="5" t="b">
        <v>0</v>
      </c>
      <c r="Q533" s="5" t="b">
        <v>0</v>
      </c>
      <c r="R533" s="7" t="n">
        <v>1000</v>
      </c>
      <c r="S533" s="7" t="n">
        <v>100</v>
      </c>
      <c r="T533" s="7" t="n">
        <v>1</v>
      </c>
      <c r="U533" s="5" t="inlineStr"/>
      <c r="V533" s="5" t="inlineStr"/>
      <c r="W533" s="5" t="inlineStr"/>
      <c r="X533" s="5" t="inlineStr">
        <is>
          <t>Pós 100GB</t>
        </is>
      </c>
      <c r="Y533" s="5" t="inlineStr">
        <is>
          <t>https://www.claro.com.br/multi</t>
        </is>
      </c>
      <c r="Z533" s="5" t="inlineStr">
        <is>
          <t>data/raw/claro_convergent_multi_SP.html</t>
        </is>
      </c>
    </row>
    <row r="534">
      <c r="A534" s="2" t="inlineStr">
        <is>
          <t>2026-08-26</t>
        </is>
      </c>
      <c r="B534" s="2" t="inlineStr">
        <is>
          <t>2026-08-26T21:24:35</t>
        </is>
      </c>
      <c r="C534" s="2" t="inlineStr">
        <is>
          <t>claro</t>
        </is>
      </c>
      <c r="D534" s="2" t="inlineStr">
        <is>
          <t>SP</t>
        </is>
      </c>
      <c r="E534" s="2" t="inlineStr">
        <is>
          <t>1 Giga com Globoplay incluso + Pós 100GB + Claro tv+ Box + Disney+ Amazon Prime + Netflix + HBO Max + Apple TV + Globoplay</t>
        </is>
      </c>
      <c r="F534" s="2" t="inlineStr">
        <is>
          <t>claro:548c4bad-7857-4c0c-94d5-45d33d66c57f</t>
        </is>
      </c>
      <c r="G534" s="3" t="n">
        <v>289.8</v>
      </c>
      <c r="H534" s="3" t="inlineStr"/>
      <c r="I534" s="2" t="inlineStr"/>
      <c r="J534" s="2" t="inlineStr"/>
      <c r="K534" s="2" t="inlineStr">
        <is>
          <t>tab: Fibra + Móvel + TV</t>
        </is>
      </c>
      <c r="L534" s="2" t="inlineStr">
        <is>
          <t>mobile+broadband+tv</t>
        </is>
      </c>
      <c r="M534" s="2" t="inlineStr">
        <is>
          <t>Fiber + Mobile + TV</t>
        </is>
      </c>
      <c r="N534" s="2" t="b">
        <v>1</v>
      </c>
      <c r="O534" s="2" t="b">
        <v>1</v>
      </c>
      <c r="P534" s="2" t="b">
        <v>1</v>
      </c>
      <c r="Q534" s="2" t="b">
        <v>0</v>
      </c>
      <c r="R534" s="4" t="n">
        <v>1000</v>
      </c>
      <c r="S534" s="4" t="n">
        <v>100</v>
      </c>
      <c r="T534" s="4" t="n">
        <v>1</v>
      </c>
      <c r="U534" s="2" t="inlineStr">
        <is>
          <t>Claro tv+ Box + Disney+ Amazon Prime + Netflix + HBO Max + Apple TV + Globoplay</t>
        </is>
      </c>
      <c r="V534" s="2" t="inlineStr"/>
      <c r="W534" s="2" t="inlineStr"/>
      <c r="X534" s="2" t="inlineStr">
        <is>
          <t>Pós 100GB</t>
        </is>
      </c>
      <c r="Y534" s="2" t="inlineStr">
        <is>
          <t>https://www.claro.com.br/multi</t>
        </is>
      </c>
      <c r="Z534" s="2" t="inlineStr">
        <is>
          <t>data/raw/claro_convergent_multi_SP.html</t>
        </is>
      </c>
    </row>
    <row r="535">
      <c r="A535" s="5" t="inlineStr">
        <is>
          <t>2026-08-26</t>
        </is>
      </c>
      <c r="B535" s="5" t="inlineStr">
        <is>
          <t>2026-08-26T21:24:35</t>
        </is>
      </c>
      <c r="C535" s="5" t="inlineStr">
        <is>
          <t>claro</t>
        </is>
      </c>
      <c r="D535" s="5" t="inlineStr">
        <is>
          <t>SP</t>
        </is>
      </c>
      <c r="E535" s="5" t="inlineStr">
        <is>
          <t>1 Giga com Globoplay incluso + Pós 150GB</t>
        </is>
      </c>
      <c r="F535" s="5" t="inlineStr">
        <is>
          <t>claro:d47e2a3b-dfd0-410e-9c24-d07a334d01d4</t>
        </is>
      </c>
      <c r="G535" s="6" t="n">
        <v>299.9</v>
      </c>
      <c r="H535" s="6" t="inlineStr"/>
      <c r="I535" s="5" t="inlineStr"/>
      <c r="J535" s="5" t="inlineStr"/>
      <c r="K535" s="5" t="inlineStr">
        <is>
          <t>tab: Fibra + Móvel</t>
        </is>
      </c>
      <c r="L535" s="5" t="inlineStr">
        <is>
          <t>mobile+broadband</t>
        </is>
      </c>
      <c r="M535" s="5" t="inlineStr">
        <is>
          <t>Fiber + Mobile</t>
        </is>
      </c>
      <c r="N535" s="5" t="b">
        <v>1</v>
      </c>
      <c r="O535" s="5" t="b">
        <v>1</v>
      </c>
      <c r="P535" s="5" t="b">
        <v>0</v>
      </c>
      <c r="Q535" s="5" t="b">
        <v>0</v>
      </c>
      <c r="R535" s="7" t="n">
        <v>1000</v>
      </c>
      <c r="S535" s="7" t="n">
        <v>150</v>
      </c>
      <c r="T535" s="7" t="n">
        <v>2</v>
      </c>
      <c r="U535" s="5" t="inlineStr"/>
      <c r="V535" s="5" t="inlineStr"/>
      <c r="W535" s="5" t="inlineStr"/>
      <c r="X535" s="5" t="inlineStr">
        <is>
          <t>Pós 150GB</t>
        </is>
      </c>
      <c r="Y535" s="5" t="inlineStr">
        <is>
          <t>https://www.claro.com.br/multi</t>
        </is>
      </c>
      <c r="Z535" s="5" t="inlineStr">
        <is>
          <t>data/raw/claro_convergent_multi_SP.html</t>
        </is>
      </c>
    </row>
    <row r="536">
      <c r="A536" s="2" t="inlineStr">
        <is>
          <t>2026-08-26</t>
        </is>
      </c>
      <c r="B536" s="2" t="inlineStr">
        <is>
          <t>2026-08-26T21:24:35</t>
        </is>
      </c>
      <c r="C536" s="2" t="inlineStr">
        <is>
          <t>claro</t>
        </is>
      </c>
      <c r="D536" s="2" t="inlineStr">
        <is>
          <t>SP</t>
        </is>
      </c>
      <c r="E536" s="2" t="inlineStr">
        <is>
          <t>1 Giga com Globoplay incluso + Pós 150GB + Claro tv+ Box + Disney+ Amazon Prime + Netflix + HBO Max + Apple TV + Globoplay</t>
        </is>
      </c>
      <c r="F536" s="2" t="inlineStr">
        <is>
          <t>claro:7785b449-69f2-4234-9e24-8837e32a55c0</t>
        </is>
      </c>
      <c r="G536" s="3" t="n">
        <v>409.8</v>
      </c>
      <c r="H536" s="3" t="inlineStr"/>
      <c r="I536" s="2" t="inlineStr"/>
      <c r="J536" s="2" t="inlineStr"/>
      <c r="K536" s="2" t="inlineStr">
        <is>
          <t>tab: Fibra + Móvel + TV</t>
        </is>
      </c>
      <c r="L536" s="2" t="inlineStr">
        <is>
          <t>mobile+broadband+tv</t>
        </is>
      </c>
      <c r="M536" s="2" t="inlineStr">
        <is>
          <t>Fiber + Mobile + TV</t>
        </is>
      </c>
      <c r="N536" s="2" t="b">
        <v>1</v>
      </c>
      <c r="O536" s="2" t="b">
        <v>1</v>
      </c>
      <c r="P536" s="2" t="b">
        <v>1</v>
      </c>
      <c r="Q536" s="2" t="b">
        <v>0</v>
      </c>
      <c r="R536" s="4" t="n">
        <v>1000</v>
      </c>
      <c r="S536" s="4" t="n">
        <v>150</v>
      </c>
      <c r="T536" s="4" t="n">
        <v>1</v>
      </c>
      <c r="U536" s="2" t="inlineStr">
        <is>
          <t>Claro tv+ Box + Disney+ Amazon Prime + Netflix + HBO Max + Apple TV + Globoplay</t>
        </is>
      </c>
      <c r="V536" s="2" t="inlineStr"/>
      <c r="W536" s="2" t="inlineStr"/>
      <c r="X536" s="2" t="inlineStr">
        <is>
          <t>Pós 150GB</t>
        </is>
      </c>
      <c r="Y536" s="2" t="inlineStr">
        <is>
          <t>https://www.claro.com.br/multi</t>
        </is>
      </c>
      <c r="Z536" s="2" t="inlineStr">
        <is>
          <t>data/raw/claro_convergent_multi_SP.html</t>
        </is>
      </c>
    </row>
    <row r="537">
      <c r="A537" s="5" t="inlineStr">
        <is>
          <t>2026-08-26</t>
        </is>
      </c>
      <c r="B537" s="5" t="inlineStr">
        <is>
          <t>2026-08-26T21:24:35</t>
        </is>
      </c>
      <c r="C537" s="5" t="inlineStr">
        <is>
          <t>claro</t>
        </is>
      </c>
      <c r="D537" s="5" t="inlineStr">
        <is>
          <t>SP</t>
        </is>
      </c>
      <c r="E537" s="5" t="inlineStr">
        <is>
          <t>1 Giga com Globoplay incluso + Pós 200GB</t>
        </is>
      </c>
      <c r="F537" s="5" t="inlineStr">
        <is>
          <t>claro:1961a62d-3213-4ff0-a152-401a45c5b1b5</t>
        </is>
      </c>
      <c r="G537" s="6" t="n">
        <v>359.9</v>
      </c>
      <c r="H537" s="6" t="inlineStr"/>
      <c r="I537" s="5" t="inlineStr"/>
      <c r="J537" s="5" t="inlineStr"/>
      <c r="K537" s="5" t="inlineStr">
        <is>
          <t>tab: Fibra + Móvel</t>
        </is>
      </c>
      <c r="L537" s="5" t="inlineStr">
        <is>
          <t>mobile+broadband</t>
        </is>
      </c>
      <c r="M537" s="5" t="inlineStr">
        <is>
          <t>Fiber + Mobile</t>
        </is>
      </c>
      <c r="N537" s="5" t="b">
        <v>1</v>
      </c>
      <c r="O537" s="5" t="b">
        <v>1</v>
      </c>
      <c r="P537" s="5" t="b">
        <v>0</v>
      </c>
      <c r="Q537" s="5" t="b">
        <v>0</v>
      </c>
      <c r="R537" s="7" t="n">
        <v>1000</v>
      </c>
      <c r="S537" s="7" t="n">
        <v>200</v>
      </c>
      <c r="T537" s="7" t="n">
        <v>3</v>
      </c>
      <c r="U537" s="5" t="inlineStr"/>
      <c r="V537" s="5" t="inlineStr"/>
      <c r="W537" s="5" t="inlineStr"/>
      <c r="X537" s="5" t="inlineStr">
        <is>
          <t>Pós 200GB</t>
        </is>
      </c>
      <c r="Y537" s="5" t="inlineStr">
        <is>
          <t>https://www.claro.com.br/multi</t>
        </is>
      </c>
      <c r="Z537" s="5" t="inlineStr">
        <is>
          <t>data/raw/claro_convergent_multi_SP.html</t>
        </is>
      </c>
    </row>
    <row r="538">
      <c r="A538" s="2" t="inlineStr">
        <is>
          <t>2026-08-26</t>
        </is>
      </c>
      <c r="B538" s="2" t="inlineStr">
        <is>
          <t>2026-08-26T21:24:35</t>
        </is>
      </c>
      <c r="C538" s="2" t="inlineStr">
        <is>
          <t>claro</t>
        </is>
      </c>
      <c r="D538" s="2" t="inlineStr">
        <is>
          <t>SP</t>
        </is>
      </c>
      <c r="E538" s="2" t="inlineStr">
        <is>
          <t>1 Giga com Globoplay incluso + Pós 200GB + Claro tv+ Box + Disney+ Amazon Prime + Netflix + HBO Max + Apple TV + Globoplay</t>
        </is>
      </c>
      <c r="F538" s="2" t="inlineStr">
        <is>
          <t>claro:312815a2-b3a5-43bb-89a1-272d53ccb212</t>
        </is>
      </c>
      <c r="G538" s="3" t="n">
        <v>469.8</v>
      </c>
      <c r="H538" s="3" t="inlineStr"/>
      <c r="I538" s="2" t="inlineStr"/>
      <c r="J538" s="2" t="inlineStr"/>
      <c r="K538" s="2" t="inlineStr">
        <is>
          <t>tab: Fibra + Móvel + TV</t>
        </is>
      </c>
      <c r="L538" s="2" t="inlineStr">
        <is>
          <t>mobile+broadband+tv</t>
        </is>
      </c>
      <c r="M538" s="2" t="inlineStr">
        <is>
          <t>Fiber + Mobile + TV</t>
        </is>
      </c>
      <c r="N538" s="2" t="b">
        <v>1</v>
      </c>
      <c r="O538" s="2" t="b">
        <v>1</v>
      </c>
      <c r="P538" s="2" t="b">
        <v>1</v>
      </c>
      <c r="Q538" s="2" t="b">
        <v>0</v>
      </c>
      <c r="R538" s="4" t="n">
        <v>1000</v>
      </c>
      <c r="S538" s="4" t="n">
        <v>200</v>
      </c>
      <c r="T538" s="4" t="n">
        <v>1</v>
      </c>
      <c r="U538" s="2" t="inlineStr">
        <is>
          <t>Claro tv+ Box + Disney+ Amazon Prime + Netflix + HBO Max + Apple TV + Globoplay</t>
        </is>
      </c>
      <c r="V538" s="2" t="inlineStr"/>
      <c r="W538" s="2" t="inlineStr"/>
      <c r="X538" s="2" t="inlineStr">
        <is>
          <t>Pós 200GB</t>
        </is>
      </c>
      <c r="Y538" s="2" t="inlineStr">
        <is>
          <t>https://www.claro.com.br/multi</t>
        </is>
      </c>
      <c r="Z538" s="2" t="inlineStr">
        <is>
          <t>data/raw/claro_convergent_multi_SP.html</t>
        </is>
      </c>
    </row>
    <row r="539">
      <c r="A539" s="5" t="inlineStr">
        <is>
          <t>2026-08-26</t>
        </is>
      </c>
      <c r="B539" s="5" t="inlineStr">
        <is>
          <t>2026-08-26T21:24:35</t>
        </is>
      </c>
      <c r="C539" s="5" t="inlineStr">
        <is>
          <t>claro</t>
        </is>
      </c>
      <c r="D539" s="5" t="inlineStr">
        <is>
          <t>SP</t>
        </is>
      </c>
      <c r="E539" s="5" t="inlineStr">
        <is>
          <t>350 Mega com Globoplay incluso + Claro tv+ Box + Disney+ Amazon Prime + Netflix + HBO Max + Apple TV + Globoplay</t>
        </is>
      </c>
      <c r="F539" s="5" t="inlineStr">
        <is>
          <t>claro:97b00450-6f21-4349-8363-83d624b18328</t>
        </is>
      </c>
      <c r="G539" s="6" t="n">
        <v>229.8</v>
      </c>
      <c r="H539" s="6" t="inlineStr"/>
      <c r="I539" s="5" t="inlineStr"/>
      <c r="J539" s="5" t="inlineStr"/>
      <c r="K539" s="5" t="inlineStr">
        <is>
          <t>tab: Fibra + TV</t>
        </is>
      </c>
      <c r="L539" s="5" t="inlineStr">
        <is>
          <t>broadband+tv</t>
        </is>
      </c>
      <c r="M539" s="5" t="inlineStr">
        <is>
          <t>Fiber + TV</t>
        </is>
      </c>
      <c r="N539" s="5" t="b">
        <v>0</v>
      </c>
      <c r="O539" s="5" t="b">
        <v>1</v>
      </c>
      <c r="P539" s="5" t="b">
        <v>1</v>
      </c>
      <c r="Q539" s="5" t="b">
        <v>0</v>
      </c>
      <c r="R539" s="7" t="n">
        <v>350</v>
      </c>
      <c r="S539" s="7" t="inlineStr"/>
      <c r="T539" s="7" t="inlineStr"/>
      <c r="U539" s="5" t="inlineStr">
        <is>
          <t>Claro tv+ Box + Disney+ Amazon Prime + Netflix + HBO Max + Apple TV + Globoplay</t>
        </is>
      </c>
      <c r="V539" s="5" t="inlineStr"/>
      <c r="W539" s="5" t="inlineStr"/>
      <c r="X539" s="5" t="inlineStr"/>
      <c r="Y539" s="5" t="inlineStr">
        <is>
          <t>https://www.claro.com.br/multi</t>
        </is>
      </c>
      <c r="Z539" s="5" t="inlineStr">
        <is>
          <t>data/raw/claro_convergent_multi_SP.html</t>
        </is>
      </c>
    </row>
    <row r="540">
      <c r="A540" s="2" t="inlineStr">
        <is>
          <t>2026-08-26</t>
        </is>
      </c>
      <c r="B540" s="2" t="inlineStr">
        <is>
          <t>2026-08-26T21:24:35</t>
        </is>
      </c>
      <c r="C540" s="2" t="inlineStr">
        <is>
          <t>claro</t>
        </is>
      </c>
      <c r="D540" s="2" t="inlineStr">
        <is>
          <t>SP</t>
        </is>
      </c>
      <c r="E540" s="2" t="inlineStr">
        <is>
          <t>350 Mega com Globoplay incluso + Controle 40GB</t>
        </is>
      </c>
      <c r="F540" s="2" t="inlineStr">
        <is>
          <t>claro:a866ea9a-6a70-4b6e-b886-f8178086ca91</t>
        </is>
      </c>
      <c r="G540" s="3" t="n">
        <v>129.8</v>
      </c>
      <c r="H540" s="3" t="inlineStr"/>
      <c r="I540" s="2" t="inlineStr"/>
      <c r="J540" s="2" t="inlineStr">
        <is>
          <t>debit_auto</t>
        </is>
      </c>
      <c r="K540" s="2" t="inlineStr">
        <is>
          <t>tab: Fibra + Móvel; preço em débito em conta; +R$ 5.00 sem débito automático</t>
        </is>
      </c>
      <c r="L540" s="2" t="inlineStr">
        <is>
          <t>mobile+broadband</t>
        </is>
      </c>
      <c r="M540" s="2" t="inlineStr">
        <is>
          <t>Fiber + Mobile</t>
        </is>
      </c>
      <c r="N540" s="2" t="b">
        <v>1</v>
      </c>
      <c r="O540" s="2" t="b">
        <v>1</v>
      </c>
      <c r="P540" s="2" t="b">
        <v>0</v>
      </c>
      <c r="Q540" s="2" t="b">
        <v>0</v>
      </c>
      <c r="R540" s="4" t="n">
        <v>350</v>
      </c>
      <c r="S540" s="4" t="n">
        <v>40</v>
      </c>
      <c r="T540" s="4" t="n">
        <v>1</v>
      </c>
      <c r="U540" s="2" t="inlineStr"/>
      <c r="V540" s="2" t="inlineStr"/>
      <c r="W540" s="2" t="inlineStr"/>
      <c r="X540" s="2" t="inlineStr">
        <is>
          <t>Controle 40GB</t>
        </is>
      </c>
      <c r="Y540" s="2" t="inlineStr">
        <is>
          <t>https://www.claro.com.br/multi</t>
        </is>
      </c>
      <c r="Z540" s="2" t="inlineStr">
        <is>
          <t>data/raw/claro_convergent_multi_SP.html</t>
        </is>
      </c>
    </row>
    <row r="541">
      <c r="A541" s="5" t="inlineStr">
        <is>
          <t>2026-08-26</t>
        </is>
      </c>
      <c r="B541" s="5" t="inlineStr">
        <is>
          <t>2026-08-26T21:24:35</t>
        </is>
      </c>
      <c r="C541" s="5" t="inlineStr">
        <is>
          <t>claro</t>
        </is>
      </c>
      <c r="D541" s="5" t="inlineStr">
        <is>
          <t>SP</t>
        </is>
      </c>
      <c r="E541" s="5" t="inlineStr">
        <is>
          <t>350 Mega com Globoplay incluso + Pós 100GB + Claro tv+ Box + Disney+ Amazon Prime + Netflix + HBO Max + Apple TV + Globoplay</t>
        </is>
      </c>
      <c r="F541" s="5" t="inlineStr">
        <is>
          <t>claro:746fa9cf-ea2b-40de-ad2c-5803b3e0ab08</t>
        </is>
      </c>
      <c r="G541" s="6" t="n">
        <v>249.8</v>
      </c>
      <c r="H541" s="6" t="inlineStr"/>
      <c r="I541" s="5" t="inlineStr"/>
      <c r="J541" s="5" t="inlineStr"/>
      <c r="K541" s="5" t="inlineStr">
        <is>
          <t>tab: Fibra + Móvel + TV</t>
        </is>
      </c>
      <c r="L541" s="5" t="inlineStr">
        <is>
          <t>mobile+broadband+tv</t>
        </is>
      </c>
      <c r="M541" s="5" t="inlineStr">
        <is>
          <t>Fiber + Mobile + TV</t>
        </is>
      </c>
      <c r="N541" s="5" t="b">
        <v>1</v>
      </c>
      <c r="O541" s="5" t="b">
        <v>1</v>
      </c>
      <c r="P541" s="5" t="b">
        <v>1</v>
      </c>
      <c r="Q541" s="5" t="b">
        <v>0</v>
      </c>
      <c r="R541" s="7" t="n">
        <v>350</v>
      </c>
      <c r="S541" s="7" t="n">
        <v>100</v>
      </c>
      <c r="T541" s="7" t="n">
        <v>1</v>
      </c>
      <c r="U541" s="5" t="inlineStr">
        <is>
          <t>Claro tv+ Box + Disney+ Amazon Prime + Netflix + HBO Max + Apple TV + Globoplay</t>
        </is>
      </c>
      <c r="V541" s="5" t="inlineStr"/>
      <c r="W541" s="5" t="inlineStr"/>
      <c r="X541" s="5" t="inlineStr">
        <is>
          <t>Pós 100GB</t>
        </is>
      </c>
      <c r="Y541" s="5" t="inlineStr">
        <is>
          <t>https://www.claro.com.br/multi</t>
        </is>
      </c>
      <c r="Z541" s="5" t="inlineStr">
        <is>
          <t>data/raw/claro_convergent_multi_SP.html</t>
        </is>
      </c>
    </row>
    <row r="542">
      <c r="A542" s="2" t="inlineStr">
        <is>
          <t>2026-08-26</t>
        </is>
      </c>
      <c r="B542" s="2" t="inlineStr">
        <is>
          <t>2026-08-26T21:24:35</t>
        </is>
      </c>
      <c r="C542" s="2" t="inlineStr">
        <is>
          <t>claro</t>
        </is>
      </c>
      <c r="D542" s="2" t="inlineStr">
        <is>
          <t>SP</t>
        </is>
      </c>
      <c r="E542" s="2" t="inlineStr">
        <is>
          <t>600 Mega com Globoplay incluso + Claro tv+ Box + Disney+ Amazon Prime + Netflix + HBO Max + Apple TV + Globoplay</t>
        </is>
      </c>
      <c r="F542" s="2" t="inlineStr">
        <is>
          <t>claro:545261b1-2f4d-4dab-82a6-02d9e66c5d3d</t>
        </is>
      </c>
      <c r="G542" s="3" t="n">
        <v>239.8</v>
      </c>
      <c r="H542" s="3" t="inlineStr"/>
      <c r="I542" s="2" t="inlineStr"/>
      <c r="J542" s="2" t="inlineStr"/>
      <c r="K542" s="2" t="inlineStr">
        <is>
          <t>tab: Fibra + TV</t>
        </is>
      </c>
      <c r="L542" s="2" t="inlineStr">
        <is>
          <t>broadband+tv</t>
        </is>
      </c>
      <c r="M542" s="2" t="inlineStr">
        <is>
          <t>Fiber + TV</t>
        </is>
      </c>
      <c r="N542" s="2" t="b">
        <v>0</v>
      </c>
      <c r="O542" s="2" t="b">
        <v>1</v>
      </c>
      <c r="P542" s="2" t="b">
        <v>1</v>
      </c>
      <c r="Q542" s="2" t="b">
        <v>0</v>
      </c>
      <c r="R542" s="4" t="n">
        <v>600</v>
      </c>
      <c r="S542" s="4" t="inlineStr"/>
      <c r="T542" s="4" t="inlineStr"/>
      <c r="U542" s="2" t="inlineStr">
        <is>
          <t>Claro tv+ Box + Disney+ Amazon Prime + Netflix + HBO Max + Apple TV + Globoplay</t>
        </is>
      </c>
      <c r="V542" s="2" t="inlineStr"/>
      <c r="W542" s="2" t="inlineStr"/>
      <c r="X542" s="2" t="inlineStr"/>
      <c r="Y542" s="2" t="inlineStr">
        <is>
          <t>https://www.claro.com.br/multi</t>
        </is>
      </c>
      <c r="Z542" s="2" t="inlineStr">
        <is>
          <t>data/raw/claro_convergent_multi_SP.html</t>
        </is>
      </c>
    </row>
    <row r="543">
      <c r="A543" s="5" t="inlineStr">
        <is>
          <t>2026-08-26</t>
        </is>
      </c>
      <c r="B543" s="5" t="inlineStr">
        <is>
          <t>2026-08-26T21:24:35</t>
        </is>
      </c>
      <c r="C543" s="5" t="inlineStr">
        <is>
          <t>claro</t>
        </is>
      </c>
      <c r="D543" s="5" t="inlineStr">
        <is>
          <t>SP</t>
        </is>
      </c>
      <c r="E543" s="5" t="inlineStr">
        <is>
          <t>600 Mega com Globoplay incluso + Pós 100GB</t>
        </is>
      </c>
      <c r="F543" s="5" t="inlineStr">
        <is>
          <t>claro:350ac58a-533c-4858-83be-be3ea39c8874</t>
        </is>
      </c>
      <c r="G543" s="6" t="n">
        <v>159.9</v>
      </c>
      <c r="H543" s="6" t="inlineStr"/>
      <c r="I543" s="5" t="inlineStr"/>
      <c r="J543" s="5" t="inlineStr"/>
      <c r="K543" s="5" t="inlineStr">
        <is>
          <t>tab: Fibra + Móvel</t>
        </is>
      </c>
      <c r="L543" s="5" t="inlineStr">
        <is>
          <t>mobile+broadband</t>
        </is>
      </c>
      <c r="M543" s="5" t="inlineStr">
        <is>
          <t>Fiber + Mobile</t>
        </is>
      </c>
      <c r="N543" s="5" t="b">
        <v>1</v>
      </c>
      <c r="O543" s="5" t="b">
        <v>1</v>
      </c>
      <c r="P543" s="5" t="b">
        <v>0</v>
      </c>
      <c r="Q543" s="5" t="b">
        <v>0</v>
      </c>
      <c r="R543" s="7" t="n">
        <v>600</v>
      </c>
      <c r="S543" s="7" t="n">
        <v>100</v>
      </c>
      <c r="T543" s="7" t="n">
        <v>1</v>
      </c>
      <c r="U543" s="5" t="inlineStr"/>
      <c r="V543" s="5" t="inlineStr"/>
      <c r="W543" s="5" t="inlineStr"/>
      <c r="X543" s="5" t="inlineStr">
        <is>
          <t>Pós 100GB</t>
        </is>
      </c>
      <c r="Y543" s="5" t="inlineStr">
        <is>
          <t>https://www.claro.com.br/multi</t>
        </is>
      </c>
      <c r="Z543" s="5" t="inlineStr">
        <is>
          <t>data/raw/claro_convergent_multi_SP.html</t>
        </is>
      </c>
    </row>
    <row r="544">
      <c r="A544" s="2" t="inlineStr">
        <is>
          <t>2026-08-26</t>
        </is>
      </c>
      <c r="B544" s="2" t="inlineStr">
        <is>
          <t>2026-08-26T21:24:35</t>
        </is>
      </c>
      <c r="C544" s="2" t="inlineStr">
        <is>
          <t>claro</t>
        </is>
      </c>
      <c r="D544" s="2" t="inlineStr">
        <is>
          <t>SP</t>
        </is>
      </c>
      <c r="E544" s="2" t="inlineStr">
        <is>
          <t>600 Mega com Globoplay incluso + Pós 100GB + Claro tv+ Box + Disney+ Amazon Prime + Netflix + HBO Max + Apple TV + Globoplay</t>
        </is>
      </c>
      <c r="F544" s="2" t="inlineStr">
        <is>
          <t>claro:f36e7dfb-f7c9-4055-844f-7bc101699de8</t>
        </is>
      </c>
      <c r="G544" s="3" t="n">
        <v>269.8</v>
      </c>
      <c r="H544" s="3" t="inlineStr"/>
      <c r="I544" s="2" t="inlineStr"/>
      <c r="J544" s="2" t="inlineStr"/>
      <c r="K544" s="2" t="inlineStr">
        <is>
          <t>tab: Fibra + Móvel + TV</t>
        </is>
      </c>
      <c r="L544" s="2" t="inlineStr">
        <is>
          <t>mobile+broadband+tv</t>
        </is>
      </c>
      <c r="M544" s="2" t="inlineStr">
        <is>
          <t>Fiber + Mobile + TV</t>
        </is>
      </c>
      <c r="N544" s="2" t="b">
        <v>1</v>
      </c>
      <c r="O544" s="2" t="b">
        <v>1</v>
      </c>
      <c r="P544" s="2" t="b">
        <v>1</v>
      </c>
      <c r="Q544" s="2" t="b">
        <v>0</v>
      </c>
      <c r="R544" s="4" t="n">
        <v>600</v>
      </c>
      <c r="S544" s="4" t="n">
        <v>100</v>
      </c>
      <c r="T544" s="4" t="n">
        <v>1</v>
      </c>
      <c r="U544" s="2" t="inlineStr">
        <is>
          <t>Claro tv+ Box + Disney+ Amazon Prime + Netflix + HBO Max + Apple TV + Globoplay</t>
        </is>
      </c>
      <c r="V544" s="2" t="inlineStr"/>
      <c r="W544" s="2" t="inlineStr"/>
      <c r="X544" s="2" t="inlineStr">
        <is>
          <t>Pós 100GB</t>
        </is>
      </c>
      <c r="Y544" s="2" t="inlineStr">
        <is>
          <t>https://www.claro.com.br/multi</t>
        </is>
      </c>
      <c r="Z544" s="2" t="inlineStr">
        <is>
          <t>data/raw/claro_convergent_multi_SP.html</t>
        </is>
      </c>
    </row>
    <row r="545">
      <c r="A545" s="5" t="inlineStr">
        <is>
          <t>2026-08-26</t>
        </is>
      </c>
      <c r="B545" s="5" t="inlineStr">
        <is>
          <t>2026-08-26T21:24:35</t>
        </is>
      </c>
      <c r="C545" s="5" t="inlineStr">
        <is>
          <t>tim</t>
        </is>
      </c>
      <c r="D545" s="5" t="inlineStr">
        <is>
          <t>SP</t>
        </is>
      </c>
      <c r="E545" s="5" t="inlineStr">
        <is>
          <t>TIM Ultracombo 5</t>
        </is>
      </c>
      <c r="F545" s="5" t="inlineStr">
        <is>
          <t>tim:167756</t>
        </is>
      </c>
      <c r="G545" s="6" t="n">
        <v>169.99</v>
      </c>
      <c r="H545" s="6" t="inlineStr"/>
      <c r="I545" s="5" t="inlineStr"/>
      <c r="J545" s="5" t="inlineStr">
        <is>
          <t>debit_auto</t>
        </is>
      </c>
      <c r="K545" s="5" t="inlineStr">
        <is>
          <t>preço em débito automático; R$ 179,99/mês no pagamento por fatura</t>
        </is>
      </c>
      <c r="L545" s="5" t="inlineStr">
        <is>
          <t>mobile+broadband</t>
        </is>
      </c>
      <c r="M545" s="5" t="inlineStr">
        <is>
          <t>Fiber + Mobile</t>
        </is>
      </c>
      <c r="N545" s="5" t="b">
        <v>1</v>
      </c>
      <c r="O545" s="5" t="b">
        <v>1</v>
      </c>
      <c r="P545" s="5" t="b">
        <v>0</v>
      </c>
      <c r="Q545" s="5" t="b">
        <v>0</v>
      </c>
      <c r="R545" s="7" t="n">
        <v>1000</v>
      </c>
      <c r="S545" s="7" t="n">
        <v>115</v>
      </c>
      <c r="T545" s="7" t="n">
        <v>1</v>
      </c>
      <c r="U545" s="5" t="inlineStr"/>
      <c r="V545" s="5" t="inlineStr">
        <is>
          <t>Paramount+, Deezer</t>
        </is>
      </c>
      <c r="W545" s="5" t="inlineStr"/>
      <c r="X545" s="5" t="inlineStr">
        <is>
          <t>1GIGA de Ultrafibra para casa + 115GB de TIM Black C Hero para móvel: (25GB do plano + 40GB promo + 50GB bônus especial)</t>
        </is>
      </c>
      <c r="Y545" s="5" t="inlineStr">
        <is>
          <t>https://www.tim.com.br/sp/internet/tim-ultracombo</t>
        </is>
      </c>
      <c r="Z545" s="5" t="inlineStr">
        <is>
          <t>data/raw/tim_convergent_ultracombo_SP.html</t>
        </is>
      </c>
    </row>
    <row r="546">
      <c r="A546" s="2" t="inlineStr">
        <is>
          <t>2026-08-26</t>
        </is>
      </c>
      <c r="B546" s="2" t="inlineStr">
        <is>
          <t>2026-08-26T21:24:35</t>
        </is>
      </c>
      <c r="C546" s="2" t="inlineStr">
        <is>
          <t>tim</t>
        </is>
      </c>
      <c r="D546" s="2" t="inlineStr">
        <is>
          <t>SP</t>
        </is>
      </c>
      <c r="E546" s="2" t="inlineStr">
        <is>
          <t>TIM Ultracombo 6</t>
        </is>
      </c>
      <c r="F546" s="2" t="inlineStr">
        <is>
          <t>tim:167751</t>
        </is>
      </c>
      <c r="G546" s="3" t="n">
        <v>139.99</v>
      </c>
      <c r="H546" s="3" t="inlineStr"/>
      <c r="I546" s="2" t="inlineStr"/>
      <c r="J546" s="2" t="inlineStr">
        <is>
          <t>debit_auto</t>
        </is>
      </c>
      <c r="K546" s="2" t="inlineStr">
        <is>
          <t>preço em débito automático; R$ 149,99/mês no pagamento por fatura</t>
        </is>
      </c>
      <c r="L546" s="2" t="inlineStr">
        <is>
          <t>mobile+broadband</t>
        </is>
      </c>
      <c r="M546" s="2" t="inlineStr">
        <is>
          <t>Fiber + Mobile</t>
        </is>
      </c>
      <c r="N546" s="2" t="b">
        <v>1</v>
      </c>
      <c r="O546" s="2" t="b">
        <v>1</v>
      </c>
      <c r="P546" s="2" t="b">
        <v>0</v>
      </c>
      <c r="Q546" s="2" t="b">
        <v>0</v>
      </c>
      <c r="R546" s="4" t="n">
        <v>1000</v>
      </c>
      <c r="S546" s="4" t="n">
        <v>70</v>
      </c>
      <c r="T546" s="4" t="n">
        <v>1</v>
      </c>
      <c r="U546" s="2" t="inlineStr"/>
      <c r="V546" s="2" t="inlineStr">
        <is>
          <t>Paramount+, Deezer</t>
        </is>
      </c>
      <c r="W546" s="2" t="inlineStr"/>
      <c r="X546" s="2" t="inlineStr">
        <is>
          <t>1GIGA de Ultrafibra para casa + 70GB de TIM Black A para móvel: (15GB do plano + 50GB promo + 5GB bônus especial)</t>
        </is>
      </c>
      <c r="Y546" s="2" t="inlineStr">
        <is>
          <t>https://www.tim.com.br/sp/internet/tim-ultracombo</t>
        </is>
      </c>
      <c r="Z546" s="2" t="inlineStr">
        <is>
          <t>data/raw/tim_convergent_ultracombo_SP.html</t>
        </is>
      </c>
    </row>
    <row r="547">
      <c r="A547" s="5" t="inlineStr">
        <is>
          <t>2026-08-26</t>
        </is>
      </c>
      <c r="B547" s="5" t="inlineStr">
        <is>
          <t>2026-08-26T21:24:35</t>
        </is>
      </c>
      <c r="C547" s="5" t="inlineStr">
        <is>
          <t>tim</t>
        </is>
      </c>
      <c r="D547" s="5" t="inlineStr">
        <is>
          <t>SP</t>
        </is>
      </c>
      <c r="E547" s="5" t="inlineStr">
        <is>
          <t>TIM Ultracombo 7</t>
        </is>
      </c>
      <c r="F547" s="5" t="inlineStr">
        <is>
          <t>tim:167761</t>
        </is>
      </c>
      <c r="G547" s="6" t="n">
        <v>89.98999999999999</v>
      </c>
      <c r="H547" s="6" t="inlineStr"/>
      <c r="I547" s="5" t="inlineStr"/>
      <c r="J547" s="5" t="inlineStr">
        <is>
          <t>debit_auto</t>
        </is>
      </c>
      <c r="K547" s="5" t="inlineStr">
        <is>
          <t>preço em débito automático; R$ 99,99/mês no pagamento por fatura</t>
        </is>
      </c>
      <c r="L547" s="5" t="inlineStr">
        <is>
          <t>mobile+broadband</t>
        </is>
      </c>
      <c r="M547" s="5" t="inlineStr">
        <is>
          <t>Fiber + Mobile</t>
        </is>
      </c>
      <c r="N547" s="5" t="b">
        <v>1</v>
      </c>
      <c r="O547" s="5" t="b">
        <v>1</v>
      </c>
      <c r="P547" s="5" t="b">
        <v>0</v>
      </c>
      <c r="Q547" s="5" t="b">
        <v>0</v>
      </c>
      <c r="R547" s="7" t="n">
        <v>500</v>
      </c>
      <c r="S547" s="7" t="n">
        <v>65</v>
      </c>
      <c r="T547" s="7" t="n">
        <v>1</v>
      </c>
      <c r="U547" s="5" t="inlineStr"/>
      <c r="V547" s="5" t="inlineStr"/>
      <c r="W547" s="5" t="inlineStr"/>
      <c r="X547" s="5" t="inlineStr">
        <is>
          <t>500MEGA de Ultrafibra para casa + 65GB de TIM Black A Light para móvel: (10GB do plano + 50GB promo)</t>
        </is>
      </c>
      <c r="Y547" s="5" t="inlineStr">
        <is>
          <t>https://www.tim.com.br/sp/internet/tim-ultracombo</t>
        </is>
      </c>
      <c r="Z547" s="5" t="inlineStr">
        <is>
          <t>data/raw/tim_convergent_ultracombo_SP.html</t>
        </is>
      </c>
    </row>
    <row r="548">
      <c r="A548" s="2" t="inlineStr">
        <is>
          <t>2026-08-26</t>
        </is>
      </c>
      <c r="B548" s="2" t="inlineStr">
        <is>
          <t>2026-08-26T21:24:35</t>
        </is>
      </c>
      <c r="C548" s="2" t="inlineStr">
        <is>
          <t>vivo</t>
        </is>
      </c>
      <c r="D548" s="2" t="inlineStr">
        <is>
          <t>SP</t>
        </is>
      </c>
      <c r="E548" s="2" t="inlineStr">
        <is>
          <t>Vivo Família 2</t>
        </is>
      </c>
      <c r="F548" s="2" t="inlineStr">
        <is>
          <t>vivo:VIV202604032132-3-305-316-336-408-411-426-430-442</t>
        </is>
      </c>
      <c r="G548" s="3" t="n">
        <v>290</v>
      </c>
      <c r="H548" s="3" t="inlineStr"/>
      <c r="I548" s="2" t="inlineStr"/>
      <c r="J548" s="2" t="inlineStr"/>
      <c r="K548" s="2" t="inlineStr">
        <is>
          <t>instalação grátis mediante fidelização (não afeta a mensalidade)</t>
        </is>
      </c>
      <c r="L548" s="2" t="inlineStr">
        <is>
          <t>mobile+broadband+tv</t>
        </is>
      </c>
      <c r="M548" s="2" t="inlineStr">
        <is>
          <t>Fiber + Mobile + TV</t>
        </is>
      </c>
      <c r="N548" s="2" t="b">
        <v>1</v>
      </c>
      <c r="O548" s="2" t="b">
        <v>1</v>
      </c>
      <c r="P548" s="2" t="b">
        <v>1</v>
      </c>
      <c r="Q548" s="2" t="b">
        <v>0</v>
      </c>
      <c r="R548" s="4" t="n">
        <v>700</v>
      </c>
      <c r="S548" s="4" t="n">
        <v>120</v>
      </c>
      <c r="T548" s="4" t="n">
        <v>2</v>
      </c>
      <c r="U548" s="2" t="inlineStr">
        <is>
          <t>80 canais de Vivo Estendido</t>
        </is>
      </c>
      <c r="V548" s="2" t="inlineStr"/>
      <c r="W548" s="2" t="inlineStr">
        <is>
          <t>Vivo Travel américas e europa; 1 linha adicional inclusa</t>
        </is>
      </c>
      <c r="X548" s="2" t="inlineStr">
        <is>
          <t>700 Mega de Vivo Fibra</t>
        </is>
      </c>
      <c r="Y548" s="2" t="inlineStr">
        <is>
          <t>https://vivo.com.br/para-voce/produtos-e-servicos/combos/vivo-total</t>
        </is>
      </c>
      <c r="Z548" s="2" t="inlineStr">
        <is>
          <t>data/raw/vivo_convergent_total_SP.html</t>
        </is>
      </c>
    </row>
    <row r="549">
      <c r="A549" s="5" t="inlineStr">
        <is>
          <t>2026-08-26</t>
        </is>
      </c>
      <c r="B549" s="5" t="inlineStr">
        <is>
          <t>2026-08-26T21:24:35</t>
        </is>
      </c>
      <c r="C549" s="5" t="inlineStr">
        <is>
          <t>vivo</t>
        </is>
      </c>
      <c r="D549" s="5" t="inlineStr">
        <is>
          <t>SP</t>
        </is>
      </c>
      <c r="E549" s="5" t="inlineStr">
        <is>
          <t>Vivo Família 2</t>
        </is>
      </c>
      <c r="F549" s="5" t="inlineStr">
        <is>
          <t>vivo:VIV202604032112-3-9-305-316-408-411-426-430-442</t>
        </is>
      </c>
      <c r="G549" s="6" t="n">
        <v>390</v>
      </c>
      <c r="H549" s="6" t="inlineStr"/>
      <c r="I549" s="5" t="inlineStr"/>
      <c r="J549" s="5" t="inlineStr"/>
      <c r="K549" s="5" t="inlineStr">
        <is>
          <t>instalação grátis mediante fidelização (não afeta a mensalidade)</t>
        </is>
      </c>
      <c r="L549" s="5" t="inlineStr">
        <is>
          <t>mobile+broadband+tv</t>
        </is>
      </c>
      <c r="M549" s="5" t="inlineStr">
        <is>
          <t>Fiber + Mobile + TV</t>
        </is>
      </c>
      <c r="N549" s="5" t="b">
        <v>1</v>
      </c>
      <c r="O549" s="5" t="b">
        <v>1</v>
      </c>
      <c r="P549" s="5" t="b">
        <v>1</v>
      </c>
      <c r="Q549" s="5" t="b">
        <v>0</v>
      </c>
      <c r="R549" s="7" t="n">
        <v>700</v>
      </c>
      <c r="S549" s="7" t="n">
        <v>120</v>
      </c>
      <c r="T549" s="7" t="n">
        <v>2</v>
      </c>
      <c r="U549" s="5" t="inlineStr">
        <is>
          <t>120 canais de Vivo TV Avançado + 1 ponto adicional</t>
        </is>
      </c>
      <c r="V549" s="5" t="inlineStr"/>
      <c r="W549" s="5" t="inlineStr">
        <is>
          <t>Vivo Travel américas e europa; 1 linha adicional inclusa</t>
        </is>
      </c>
      <c r="X549" s="5" t="inlineStr">
        <is>
          <t>700 Mega de Vivo Fibra</t>
        </is>
      </c>
      <c r="Y549" s="5" t="inlineStr">
        <is>
          <t>https://vivo.com.br/para-voce/produtos-e-servicos/combos/vivo-total</t>
        </is>
      </c>
      <c r="Z549" s="5" t="inlineStr">
        <is>
          <t>data/raw/vivo_convergent_total_SP.html</t>
        </is>
      </c>
    </row>
    <row r="550">
      <c r="A550" s="2" t="inlineStr">
        <is>
          <t>2026-08-26</t>
        </is>
      </c>
      <c r="B550" s="2" t="inlineStr">
        <is>
          <t>2026-08-26T21:24:35</t>
        </is>
      </c>
      <c r="C550" s="2" t="inlineStr">
        <is>
          <t>vivo</t>
        </is>
      </c>
      <c r="D550" s="2" t="inlineStr">
        <is>
          <t>SP</t>
        </is>
      </c>
      <c r="E550" s="2" t="inlineStr">
        <is>
          <t>Vivo Total Família 2</t>
        </is>
      </c>
      <c r="F550" s="2" t="inlineStr">
        <is>
          <t>vivo:VIV202604032132-3-305-316-408-411-426-430-442</t>
        </is>
      </c>
      <c r="G550" s="3" t="n">
        <v>270</v>
      </c>
      <c r="H550" s="3" t="inlineStr"/>
      <c r="I550" s="2" t="inlineStr"/>
      <c r="J550" s="2" t="inlineStr"/>
      <c r="K550" s="2" t="inlineStr">
        <is>
          <t>instalação grátis mediante fidelização (não afeta a mensalidade)</t>
        </is>
      </c>
      <c r="L550" s="2" t="inlineStr">
        <is>
          <t>mobile+broadband</t>
        </is>
      </c>
      <c r="M550" s="2" t="inlineStr">
        <is>
          <t>Fiber + Mobile</t>
        </is>
      </c>
      <c r="N550" s="2" t="b">
        <v>1</v>
      </c>
      <c r="O550" s="2" t="b">
        <v>1</v>
      </c>
      <c r="P550" s="2" t="b">
        <v>0</v>
      </c>
      <c r="Q550" s="2" t="b">
        <v>0</v>
      </c>
      <c r="R550" s="4" t="n">
        <v>700</v>
      </c>
      <c r="S550" s="4" t="n">
        <v>120</v>
      </c>
      <c r="T550" s="4" t="n">
        <v>2</v>
      </c>
      <c r="U550" s="2" t="inlineStr"/>
      <c r="V550" s="2" t="inlineStr"/>
      <c r="W550" s="2" t="inlineStr">
        <is>
          <t>Vivo Travel Américas e Europa; 1 linha adicional inclusa</t>
        </is>
      </c>
      <c r="X550" s="2" t="inlineStr">
        <is>
          <t>700 Mega de Vivo Fibra</t>
        </is>
      </c>
      <c r="Y550" s="2" t="inlineStr">
        <is>
          <t>https://vivo.com.br/para-voce/produtos-e-servicos/combos/vivo-total</t>
        </is>
      </c>
      <c r="Z550" s="2" t="inlineStr">
        <is>
          <t>data/raw/vivo_convergent_total_SP.html</t>
        </is>
      </c>
    </row>
    <row r="551">
      <c r="A551" s="5" t="inlineStr">
        <is>
          <t>2026-08-26</t>
        </is>
      </c>
      <c r="B551" s="5" t="inlineStr">
        <is>
          <t>2026-08-26T21:24:35</t>
        </is>
      </c>
      <c r="C551" s="5" t="inlineStr">
        <is>
          <t>vivo</t>
        </is>
      </c>
      <c r="D551" s="5" t="inlineStr">
        <is>
          <t>SP</t>
        </is>
      </c>
      <c r="E551" s="5" t="inlineStr">
        <is>
          <t>Vivo Total Família 3</t>
        </is>
      </c>
      <c r="F551" s="5" t="inlineStr">
        <is>
          <t>vivo:VIV202604032212-4-305-316-408-411-426-430-442</t>
        </is>
      </c>
      <c r="G551" s="6" t="n">
        <v>330</v>
      </c>
      <c r="H551" s="6" t="inlineStr"/>
      <c r="I551" s="5" t="inlineStr"/>
      <c r="J551" s="5" t="inlineStr"/>
      <c r="K551" s="5" t="inlineStr">
        <is>
          <t>instalação grátis mediante fidelização (não afeta a mensalidade)</t>
        </is>
      </c>
      <c r="L551" s="5" t="inlineStr">
        <is>
          <t>mobile+broadband</t>
        </is>
      </c>
      <c r="M551" s="5" t="inlineStr">
        <is>
          <t>Fiber + Mobile</t>
        </is>
      </c>
      <c r="N551" s="5" t="b">
        <v>1</v>
      </c>
      <c r="O551" s="5" t="b">
        <v>1</v>
      </c>
      <c r="P551" s="5" t="b">
        <v>0</v>
      </c>
      <c r="Q551" s="5" t="b">
        <v>0</v>
      </c>
      <c r="R551" s="7" t="n">
        <v>700</v>
      </c>
      <c r="S551" s="7" t="n">
        <v>180</v>
      </c>
      <c r="T551" s="7" t="n">
        <v>3</v>
      </c>
      <c r="U551" s="5" t="inlineStr"/>
      <c r="V551" s="5" t="inlineStr"/>
      <c r="W551" s="5" t="inlineStr">
        <is>
          <t>Vivo Travel Américas e Europa; 2 linhas adicionais inclusas</t>
        </is>
      </c>
      <c r="X551" s="5" t="inlineStr">
        <is>
          <t>700 Mega de Vivo Fibra</t>
        </is>
      </c>
      <c r="Y551" s="5" t="inlineStr">
        <is>
          <t>https://vivo.com.br/para-voce/produtos-e-servicos/combos/vivo-total</t>
        </is>
      </c>
      <c r="Z551" s="5" t="inlineStr">
        <is>
          <t>data/raw/vivo_convergent_total_SP.html</t>
        </is>
      </c>
    </row>
    <row r="552">
      <c r="A552" s="2" t="inlineStr">
        <is>
          <t>2026-08-26</t>
        </is>
      </c>
      <c r="B552" s="2" t="inlineStr">
        <is>
          <t>2026-08-26T21:24:35</t>
        </is>
      </c>
      <c r="C552" s="2" t="inlineStr">
        <is>
          <t>vivo</t>
        </is>
      </c>
      <c r="D552" s="2" t="inlineStr">
        <is>
          <t>SP</t>
        </is>
      </c>
      <c r="E552" s="2" t="inlineStr">
        <is>
          <t>Vivo Total Família 4</t>
        </is>
      </c>
      <c r="F552" s="2" t="inlineStr">
        <is>
          <t>vivo:VIV202604032292-237-305-316-408-411-426-430-442</t>
        </is>
      </c>
      <c r="G552" s="3" t="n">
        <v>420</v>
      </c>
      <c r="H552" s="3" t="inlineStr"/>
      <c r="I552" s="2" t="inlineStr"/>
      <c r="J552" s="2" t="inlineStr"/>
      <c r="K552" s="2" t="inlineStr">
        <is>
          <t>instalação grátis mediante fidelização (não afeta a mensalidade)</t>
        </is>
      </c>
      <c r="L552" s="2" t="inlineStr">
        <is>
          <t>mobile+broadband</t>
        </is>
      </c>
      <c r="M552" s="2" t="inlineStr">
        <is>
          <t>Fiber + Mobile</t>
        </is>
      </c>
      <c r="N552" s="2" t="b">
        <v>1</v>
      </c>
      <c r="O552" s="2" t="b">
        <v>1</v>
      </c>
      <c r="P552" s="2" t="b">
        <v>0</v>
      </c>
      <c r="Q552" s="2" t="b">
        <v>0</v>
      </c>
      <c r="R552" s="4" t="n">
        <v>700</v>
      </c>
      <c r="S552" s="4" t="n">
        <v>240</v>
      </c>
      <c r="T552" s="4" t="n">
        <v>4</v>
      </c>
      <c r="U552" s="2" t="inlineStr"/>
      <c r="V552" s="2" t="inlineStr"/>
      <c r="W552" s="2" t="inlineStr">
        <is>
          <t>Vivo Travel Américas e Europa; 3 linhas adicionais inclusas</t>
        </is>
      </c>
      <c r="X552" s="2" t="inlineStr">
        <is>
          <t>700 Mega de Vivo Fibra</t>
        </is>
      </c>
      <c r="Y552" s="2" t="inlineStr">
        <is>
          <t>https://vivo.com.br/para-voce/produtos-e-servicos/combos/vivo-total</t>
        </is>
      </c>
      <c r="Z552" s="2" t="inlineStr">
        <is>
          <t>data/raw/vivo_convergent_total_SP.html</t>
        </is>
      </c>
    </row>
    <row r="553">
      <c r="A553" s="5" t="inlineStr">
        <is>
          <t>2026-08-26</t>
        </is>
      </c>
      <c r="B553" s="5" t="inlineStr">
        <is>
          <t>2026-08-26T21:24:35</t>
        </is>
      </c>
      <c r="C553" s="5" t="inlineStr">
        <is>
          <t>vivo</t>
        </is>
      </c>
      <c r="D553" s="5" t="inlineStr">
        <is>
          <t>SP</t>
        </is>
      </c>
      <c r="E553" s="5" t="inlineStr">
        <is>
          <t>Vivo Total Família 5</t>
        </is>
      </c>
      <c r="F553" s="5" t="inlineStr">
        <is>
          <t>vivo:VIV202604032372-5-305-316-408-411-426-430-442</t>
        </is>
      </c>
      <c r="G553" s="6" t="n">
        <v>520</v>
      </c>
      <c r="H553" s="6" t="inlineStr"/>
      <c r="I553" s="5" t="inlineStr"/>
      <c r="J553" s="5" t="inlineStr"/>
      <c r="K553" s="5" t="inlineStr">
        <is>
          <t>instalação grátis mediante fidelização (não afeta a mensalidade)</t>
        </is>
      </c>
      <c r="L553" s="5" t="inlineStr">
        <is>
          <t>mobile+broadband</t>
        </is>
      </c>
      <c r="M553" s="5" t="inlineStr">
        <is>
          <t>Fiber + Mobile</t>
        </is>
      </c>
      <c r="N553" s="5" t="b">
        <v>1</v>
      </c>
      <c r="O553" s="5" t="b">
        <v>1</v>
      </c>
      <c r="P553" s="5" t="b">
        <v>0</v>
      </c>
      <c r="Q553" s="5" t="b">
        <v>0</v>
      </c>
      <c r="R553" s="7" t="n">
        <v>700</v>
      </c>
      <c r="S553" s="7" t="n">
        <v>300</v>
      </c>
      <c r="T553" s="7" t="n">
        <v>5</v>
      </c>
      <c r="U553" s="5" t="inlineStr"/>
      <c r="V553" s="5" t="inlineStr"/>
      <c r="W553" s="5" t="inlineStr">
        <is>
          <t>Vivo Travel Américas e Europa; 4 linhas adicionais inclusas</t>
        </is>
      </c>
      <c r="X553" s="5" t="inlineStr">
        <is>
          <t>700 Mega de Vivo Fibra</t>
        </is>
      </c>
      <c r="Y553" s="5" t="inlineStr">
        <is>
          <t>https://vivo.com.br/para-voce/produtos-e-servicos/combos/vivo-total</t>
        </is>
      </c>
      <c r="Z553" s="5" t="inlineStr">
        <is>
          <t>data/raw/vivo_convergent_total_SP.html</t>
        </is>
      </c>
    </row>
    <row r="554">
      <c r="A554" s="2" t="inlineStr">
        <is>
          <t>2026-08-26</t>
        </is>
      </c>
      <c r="B554" s="2" t="inlineStr">
        <is>
          <t>2026-08-26T21:24:35</t>
        </is>
      </c>
      <c r="C554" s="2" t="inlineStr">
        <is>
          <t>vivo</t>
        </is>
      </c>
      <c r="D554" s="2" t="inlineStr">
        <is>
          <t>SP</t>
        </is>
      </c>
      <c r="E554" s="2" t="inlineStr">
        <is>
          <t>Vivo Total Pro</t>
        </is>
      </c>
      <c r="F554" s="2" t="inlineStr">
        <is>
          <t>vivo:VIV202604031772-2-305-308-316-326-342-411-430</t>
        </is>
      </c>
      <c r="G554" s="3" t="n">
        <v>160</v>
      </c>
      <c r="H554" s="3" t="inlineStr"/>
      <c r="I554" s="2" t="inlineStr"/>
      <c r="J554" s="2" t="inlineStr"/>
      <c r="K554" s="2" t="inlineStr">
        <is>
          <t>instalação grátis mediante fidelização (não afeta a mensalidade)</t>
        </is>
      </c>
      <c r="L554" s="2" t="inlineStr">
        <is>
          <t>mobile+broadband</t>
        </is>
      </c>
      <c r="M554" s="2" t="inlineStr">
        <is>
          <t>Fiber + Mobile</t>
        </is>
      </c>
      <c r="N554" s="2" t="b">
        <v>1</v>
      </c>
      <c r="O554" s="2" t="b">
        <v>1</v>
      </c>
      <c r="P554" s="2" t="b">
        <v>0</v>
      </c>
      <c r="Q554" s="2" t="b">
        <v>0</v>
      </c>
      <c r="R554" s="4" t="n">
        <v>500</v>
      </c>
      <c r="S554" s="4" t="n">
        <v>60</v>
      </c>
      <c r="T554" s="4" t="n">
        <v>1</v>
      </c>
      <c r="U554" s="2" t="inlineStr"/>
      <c r="V554" s="2" t="inlineStr"/>
      <c r="W554" s="2" t="inlineStr">
        <is>
          <t>Vivo Travel Américas; 50 GB de franquia + 10 GB de bônus</t>
        </is>
      </c>
      <c r="X554" s="2" t="inlineStr">
        <is>
          <t>500 Mega de Vivo Fibra</t>
        </is>
      </c>
      <c r="Y554" s="2" t="inlineStr">
        <is>
          <t>https://vivo.com.br/para-voce/produtos-e-servicos/combos/vivo-total</t>
        </is>
      </c>
      <c r="Z554" s="2" t="inlineStr">
        <is>
          <t>data/raw/vivo_convergent_total_SP.html</t>
        </is>
      </c>
    </row>
    <row r="555">
      <c r="A555" s="5" t="inlineStr">
        <is>
          <t>2026-08-26</t>
        </is>
      </c>
      <c r="B555" s="5" t="inlineStr">
        <is>
          <t>2026-08-26T21:24:35</t>
        </is>
      </c>
      <c r="C555" s="5" t="inlineStr">
        <is>
          <t>vivo</t>
        </is>
      </c>
      <c r="D555" s="5" t="inlineStr">
        <is>
          <t>SP</t>
        </is>
      </c>
      <c r="E555" s="5" t="inlineStr">
        <is>
          <t>Vivo Total Ultra</t>
        </is>
      </c>
      <c r="F555" s="5" t="inlineStr">
        <is>
          <t>vivo:VIV202604031940-305-313-316-408-411-426-430-442</t>
        </is>
      </c>
      <c r="G555" s="6" t="n">
        <v>170</v>
      </c>
      <c r="H555" s="6" t="inlineStr"/>
      <c r="I555" s="5" t="inlineStr"/>
      <c r="J555" s="5" t="inlineStr"/>
      <c r="K555" s="5" t="inlineStr">
        <is>
          <t>instalação grátis mediante fidelização (não afeta a mensalidade)</t>
        </is>
      </c>
      <c r="L555" s="5" t="inlineStr">
        <is>
          <t>mobile+broadband</t>
        </is>
      </c>
      <c r="M555" s="5" t="inlineStr">
        <is>
          <t>Fiber + Mobile</t>
        </is>
      </c>
      <c r="N555" s="5" t="b">
        <v>1</v>
      </c>
      <c r="O555" s="5" t="b">
        <v>1</v>
      </c>
      <c r="P555" s="5" t="b">
        <v>0</v>
      </c>
      <c r="Q555" s="5" t="b">
        <v>0</v>
      </c>
      <c r="R555" s="7" t="n">
        <v>700</v>
      </c>
      <c r="S555" s="7" t="n">
        <v>70</v>
      </c>
      <c r="T555" s="7" t="n">
        <v>1</v>
      </c>
      <c r="U555" s="5" t="inlineStr"/>
      <c r="V555" s="5" t="inlineStr"/>
      <c r="W555" s="5" t="inlineStr">
        <is>
          <t>Vivo Travel Américas; Exitlag e ponto cabeado incluso</t>
        </is>
      </c>
      <c r="X555" s="5" t="inlineStr">
        <is>
          <t>700 Mega de Vivo Fibra</t>
        </is>
      </c>
      <c r="Y555" s="5" t="inlineStr">
        <is>
          <t>https://vivo.com.br/para-voce/produtos-e-servicos/combos/vivo-total</t>
        </is>
      </c>
      <c r="Z555" s="5" t="inlineStr">
        <is>
          <t>data/raw/vivo_convergent_total_SP.html</t>
        </is>
      </c>
    </row>
    <row r="556">
      <c r="A556" s="2" t="inlineStr">
        <is>
          <t>2026-08-26</t>
        </is>
      </c>
      <c r="B556" s="2" t="inlineStr">
        <is>
          <t>2026-08-26T21:24:35</t>
        </is>
      </c>
      <c r="C556" s="2" t="inlineStr">
        <is>
          <t>vivo</t>
        </is>
      </c>
      <c r="D556" s="2" t="inlineStr">
        <is>
          <t>SP</t>
        </is>
      </c>
      <c r="E556" s="2" t="inlineStr">
        <is>
          <t>Vivo Total Ultra + TV</t>
        </is>
      </c>
      <c r="F556" s="2" t="inlineStr">
        <is>
          <t>vivo:VIV202604031882-9-305-313-316-408-411-426-430-442</t>
        </is>
      </c>
      <c r="G556" s="3" t="n">
        <v>310</v>
      </c>
      <c r="H556" s="3" t="inlineStr"/>
      <c r="I556" s="2" t="inlineStr"/>
      <c r="J556" s="2" t="inlineStr"/>
      <c r="K556" s="2" t="inlineStr">
        <is>
          <t>instalação grátis mediante fidelização (não afeta a mensalidade)</t>
        </is>
      </c>
      <c r="L556" s="2" t="inlineStr">
        <is>
          <t>mobile+broadband+tv</t>
        </is>
      </c>
      <c r="M556" s="2" t="inlineStr">
        <is>
          <t>Fiber + Mobile + TV</t>
        </is>
      </c>
      <c r="N556" s="2" t="b">
        <v>1</v>
      </c>
      <c r="O556" s="2" t="b">
        <v>1</v>
      </c>
      <c r="P556" s="2" t="b">
        <v>1</v>
      </c>
      <c r="Q556" s="2" t="b">
        <v>0</v>
      </c>
      <c r="R556" s="4" t="n">
        <v>700</v>
      </c>
      <c r="S556" s="4" t="n">
        <v>70</v>
      </c>
      <c r="T556" s="4" t="n">
        <v>1</v>
      </c>
      <c r="U556" s="2" t="inlineStr">
        <is>
          <t>120 canais de Vivo TV Avançado + 1 ponto adicional</t>
        </is>
      </c>
      <c r="V556" s="2" t="inlineStr"/>
      <c r="W556" s="2" t="inlineStr">
        <is>
          <t>Vivo travel américas</t>
        </is>
      </c>
      <c r="X556" s="2" t="inlineStr">
        <is>
          <t>700 Mega de Vivo Fibra</t>
        </is>
      </c>
      <c r="Y556" s="2" t="inlineStr">
        <is>
          <t>https://vivo.com.br/para-voce/produtos-e-servicos/combos/vivo-total</t>
        </is>
      </c>
      <c r="Z556" s="2" t="inlineStr">
        <is>
          <t>data/raw/vivo_convergent_total_SP.html</t>
        </is>
      </c>
    </row>
    <row r="557">
      <c r="A557" s="5" t="inlineStr">
        <is>
          <t>2026-08-26</t>
        </is>
      </c>
      <c r="B557" s="5" t="inlineStr">
        <is>
          <t>2026-08-26T21:24:35</t>
        </is>
      </c>
      <c r="C557" s="5" t="inlineStr">
        <is>
          <t>vivo</t>
        </is>
      </c>
      <c r="D557" s="5" t="inlineStr">
        <is>
          <t>SP</t>
        </is>
      </c>
      <c r="E557" s="5" t="inlineStr">
        <is>
          <t>Vivo Total Ultra + TV online</t>
        </is>
      </c>
      <c r="F557" s="5" t="inlineStr">
        <is>
          <t>vivo:VIV202604032034-305-313-316-336-408-411-426-430-442</t>
        </is>
      </c>
      <c r="G557" s="6" t="n">
        <v>210</v>
      </c>
      <c r="H557" s="6" t="inlineStr"/>
      <c r="I557" s="5" t="inlineStr"/>
      <c r="J557" s="5" t="inlineStr"/>
      <c r="K557" s="5" t="inlineStr">
        <is>
          <t>instalação grátis mediante fidelização (não afeta a mensalidade)</t>
        </is>
      </c>
      <c r="L557" s="5" t="inlineStr">
        <is>
          <t>mobile+broadband+tv</t>
        </is>
      </c>
      <c r="M557" s="5" t="inlineStr">
        <is>
          <t>Fiber + Mobile + TV</t>
        </is>
      </c>
      <c r="N557" s="5" t="b">
        <v>1</v>
      </c>
      <c r="O557" s="5" t="b">
        <v>1</v>
      </c>
      <c r="P557" s="5" t="b">
        <v>1</v>
      </c>
      <c r="Q557" s="5" t="b">
        <v>0</v>
      </c>
      <c r="R557" s="7" t="n">
        <v>700</v>
      </c>
      <c r="S557" s="7" t="n">
        <v>70</v>
      </c>
      <c r="T557" s="7" t="n">
        <v>1</v>
      </c>
      <c r="U557" s="5" t="inlineStr">
        <is>
          <t>80 canais de Vivo Estendido</t>
        </is>
      </c>
      <c r="V557" s="5" t="inlineStr"/>
      <c r="W557" s="5" t="inlineStr">
        <is>
          <t>Vivo travel américas</t>
        </is>
      </c>
      <c r="X557" s="5" t="inlineStr">
        <is>
          <t>700 Mega de Vivo Fibra</t>
        </is>
      </c>
      <c r="Y557" s="5" t="inlineStr">
        <is>
          <t>https://vivo.com.br/para-voce/produtos-e-servicos/combos/vivo-total</t>
        </is>
      </c>
      <c r="Z557" s="5" t="inlineStr">
        <is>
          <t>data/raw/vivo_convergent_total_SP.html</t>
        </is>
      </c>
    </row>
    <row r="558">
      <c r="A558" s="2" t="inlineStr">
        <is>
          <t>2026-08-26</t>
        </is>
      </c>
      <c r="B558" s="2" t="inlineStr">
        <is>
          <t>2026-08-26T21:24:35</t>
        </is>
      </c>
      <c r="C558" s="2" t="inlineStr">
        <is>
          <t>vivo</t>
        </is>
      </c>
      <c r="D558" s="2" t="inlineStr">
        <is>
          <t>SP</t>
        </is>
      </c>
      <c r="E558" s="2" t="inlineStr">
        <is>
          <t>Vivo Total V 1 Giga</t>
        </is>
      </c>
      <c r="F558" s="2" t="inlineStr">
        <is>
          <t>vivo:VIV202604032532-2-305-316-408-426-430-442</t>
        </is>
      </c>
      <c r="G558" s="3" t="n">
        <v>1200</v>
      </c>
      <c r="H558" s="3" t="inlineStr"/>
      <c r="I558" s="2" t="inlineStr"/>
      <c r="J558" s="2" t="inlineStr"/>
      <c r="K558" s="2" t="inlineStr">
        <is>
          <t>instalação grátis mediante fidelização (não afeta a mensalidade)</t>
        </is>
      </c>
      <c r="L558" s="2" t="inlineStr">
        <is>
          <t>mobile+broadband+tv</t>
        </is>
      </c>
      <c r="M558" s="2" t="inlineStr">
        <is>
          <t>Fiber + Mobile + TV</t>
        </is>
      </c>
      <c r="N558" s="2" t="b">
        <v>1</v>
      </c>
      <c r="O558" s="2" t="b">
        <v>1</v>
      </c>
      <c r="P558" s="2" t="b">
        <v>1</v>
      </c>
      <c r="Q558" s="2" t="b">
        <v>0</v>
      </c>
      <c r="R558" s="4" t="n">
        <v>1000</v>
      </c>
      <c r="S558" s="4" t="n">
        <v>600</v>
      </c>
      <c r="T558" s="4" t="n">
        <v>11</v>
      </c>
      <c r="U558" s="2" t="inlineStr">
        <is>
          <t>Vivo TV Completo com HBO Max e Telecine</t>
        </is>
      </c>
      <c r="V558" s="2" t="inlineStr"/>
      <c r="W558" s="2" t="inlineStr">
        <is>
          <t>Vivo Travel Mundo; 10 linhas adicionais inclusas; Vivo TV Completo com HBO Max e Telecine</t>
        </is>
      </c>
      <c r="X558" s="2" t="inlineStr">
        <is>
          <t>1Giga de Vivo Fibra</t>
        </is>
      </c>
      <c r="Y558" s="2" t="inlineStr">
        <is>
          <t>https://vivo.com.br/para-voce/produtos-e-servicos/combos/vivo-total</t>
        </is>
      </c>
      <c r="Z558" s="2" t="inlineStr">
        <is>
          <t>data/raw/vivo_convergent_total_SP.html</t>
        </is>
      </c>
    </row>
    <row r="559">
      <c r="A559" s="5" t="inlineStr">
        <is>
          <t>2026-08-27</t>
        </is>
      </c>
      <c r="B559" s="5" t="inlineStr">
        <is>
          <t>2026-08-27T01:25:48</t>
        </is>
      </c>
      <c r="C559" s="5" t="inlineStr">
        <is>
          <t>claro</t>
        </is>
      </c>
      <c r="D559" s="5" t="inlineStr">
        <is>
          <t>SP</t>
        </is>
      </c>
      <c r="E559" s="5" t="inlineStr">
        <is>
          <t>1 Giga com Globoplay incluso + Claro tv+ Box + Disney+ Amazon Prime + Netflix + HBO Max + Apple TV + Globoplay</t>
        </is>
      </c>
      <c r="F559" s="5" t="inlineStr">
        <is>
          <t>claro:af8152be-4aa7-4aa8-819a-a79687a3a9a0</t>
        </is>
      </c>
      <c r="G559" s="6" t="n">
        <v>319.8</v>
      </c>
      <c r="H559" s="6" t="inlineStr"/>
      <c r="I559" s="5" t="inlineStr"/>
      <c r="J559" s="5" t="inlineStr"/>
      <c r="K559" s="5" t="inlineStr">
        <is>
          <t>tab: Fibra + TV</t>
        </is>
      </c>
      <c r="L559" s="5" t="inlineStr">
        <is>
          <t>broadband+tv</t>
        </is>
      </c>
      <c r="M559" s="5" t="inlineStr">
        <is>
          <t>Fiber + TV</t>
        </is>
      </c>
      <c r="N559" s="5" t="b">
        <v>0</v>
      </c>
      <c r="O559" s="5" t="b">
        <v>1</v>
      </c>
      <c r="P559" s="5" t="b">
        <v>1</v>
      </c>
      <c r="Q559" s="5" t="b">
        <v>0</v>
      </c>
      <c r="R559" s="7" t="n">
        <v>1000</v>
      </c>
      <c r="S559" s="7" t="inlineStr"/>
      <c r="T559" s="7" t="inlineStr"/>
      <c r="U559" s="5" t="inlineStr">
        <is>
          <t>Claro tv+ Box + Disney+ Amazon Prime + Netflix + HBO Max + Apple TV + Globoplay</t>
        </is>
      </c>
      <c r="V559" s="5" t="inlineStr"/>
      <c r="W559" s="5" t="inlineStr"/>
      <c r="X559" s="5" t="inlineStr"/>
      <c r="Y559" s="5" t="inlineStr">
        <is>
          <t>https://www.claro.com.br/multi</t>
        </is>
      </c>
      <c r="Z559" s="5" t="inlineStr">
        <is>
          <t>data/raw/claro_convergent_multi_SP.html</t>
        </is>
      </c>
    </row>
    <row r="560">
      <c r="A560" s="2" t="inlineStr">
        <is>
          <t>2026-08-27</t>
        </is>
      </c>
      <c r="B560" s="2" t="inlineStr">
        <is>
          <t>2026-08-27T01:25:48</t>
        </is>
      </c>
      <c r="C560" s="2" t="inlineStr">
        <is>
          <t>claro</t>
        </is>
      </c>
      <c r="D560" s="2" t="inlineStr">
        <is>
          <t>SP</t>
        </is>
      </c>
      <c r="E560" s="2" t="inlineStr">
        <is>
          <t>1 Giga com Globoplay incluso + Claro tv+ Soundbox + Disney+ Amazon Prime + Netflix + HBO Max + Apple TV + Globoplay</t>
        </is>
      </c>
      <c r="F560" s="2" t="inlineStr">
        <is>
          <t>claro:ceb9fd87-0897-4dd2-a2f2-e7f09e714e49</t>
        </is>
      </c>
      <c r="G560" s="3" t="n">
        <v>429.8</v>
      </c>
      <c r="H560" s="3" t="inlineStr"/>
      <c r="I560" s="2" t="inlineStr"/>
      <c r="J560" s="2" t="inlineStr"/>
      <c r="K560" s="2" t="inlineStr">
        <is>
          <t>tab: Fibra + TV</t>
        </is>
      </c>
      <c r="L560" s="2" t="inlineStr">
        <is>
          <t>broadband+tv</t>
        </is>
      </c>
      <c r="M560" s="2" t="inlineStr">
        <is>
          <t>Fiber + TV</t>
        </is>
      </c>
      <c r="N560" s="2" t="b">
        <v>0</v>
      </c>
      <c r="O560" s="2" t="b">
        <v>1</v>
      </c>
      <c r="P560" s="2" t="b">
        <v>1</v>
      </c>
      <c r="Q560" s="2" t="b">
        <v>0</v>
      </c>
      <c r="R560" s="4" t="n">
        <v>1000</v>
      </c>
      <c r="S560" s="4" t="inlineStr"/>
      <c r="T560" s="4" t="inlineStr"/>
      <c r="U560" s="2" t="inlineStr">
        <is>
          <t>Claro tv+ Soundbox + Disney+ Amazon Prime + Netflix + HBO Max + Apple TV + Globoplay</t>
        </is>
      </c>
      <c r="V560" s="2" t="inlineStr"/>
      <c r="W560" s="2" t="inlineStr"/>
      <c r="X560" s="2" t="inlineStr"/>
      <c r="Y560" s="2" t="inlineStr">
        <is>
          <t>https://www.claro.com.br/multi</t>
        </is>
      </c>
      <c r="Z560" s="2" t="inlineStr">
        <is>
          <t>data/raw/claro_convergent_multi_SP.html</t>
        </is>
      </c>
    </row>
    <row r="561">
      <c r="A561" s="5" t="inlineStr">
        <is>
          <t>2026-08-27</t>
        </is>
      </c>
      <c r="B561" s="5" t="inlineStr">
        <is>
          <t>2026-08-27T01:25:48</t>
        </is>
      </c>
      <c r="C561" s="5" t="inlineStr">
        <is>
          <t>claro</t>
        </is>
      </c>
      <c r="D561" s="5" t="inlineStr">
        <is>
          <t>SP</t>
        </is>
      </c>
      <c r="E561" s="5" t="inlineStr">
        <is>
          <t>1 Giga com Globoplay incluso + Pós 100GB</t>
        </is>
      </c>
      <c r="F561" s="5" t="inlineStr">
        <is>
          <t>claro:a1de0ac1-61bb-4e97-a744-1ae4c3541673</t>
        </is>
      </c>
      <c r="G561" s="6" t="n">
        <v>179.9</v>
      </c>
      <c r="H561" s="6" t="inlineStr"/>
      <c r="I561" s="5" t="inlineStr"/>
      <c r="J561" s="5" t="inlineStr"/>
      <c r="K561" s="5" t="inlineStr">
        <is>
          <t>tab: Fibra + Móvel</t>
        </is>
      </c>
      <c r="L561" s="5" t="inlineStr">
        <is>
          <t>mobile+broadband</t>
        </is>
      </c>
      <c r="M561" s="5" t="inlineStr">
        <is>
          <t>Fiber + Mobile</t>
        </is>
      </c>
      <c r="N561" s="5" t="b">
        <v>1</v>
      </c>
      <c r="O561" s="5" t="b">
        <v>1</v>
      </c>
      <c r="P561" s="5" t="b">
        <v>0</v>
      </c>
      <c r="Q561" s="5" t="b">
        <v>0</v>
      </c>
      <c r="R561" s="7" t="n">
        <v>1000</v>
      </c>
      <c r="S561" s="7" t="n">
        <v>100</v>
      </c>
      <c r="T561" s="7" t="n">
        <v>1</v>
      </c>
      <c r="U561" s="5" t="inlineStr"/>
      <c r="V561" s="5" t="inlineStr"/>
      <c r="W561" s="5" t="inlineStr"/>
      <c r="X561" s="5" t="inlineStr">
        <is>
          <t>Pós 100GB</t>
        </is>
      </c>
      <c r="Y561" s="5" t="inlineStr">
        <is>
          <t>https://www.claro.com.br/multi</t>
        </is>
      </c>
      <c r="Z561" s="5" t="inlineStr">
        <is>
          <t>data/raw/claro_convergent_multi_SP.html</t>
        </is>
      </c>
    </row>
    <row r="562">
      <c r="A562" s="2" t="inlineStr">
        <is>
          <t>2026-08-27</t>
        </is>
      </c>
      <c r="B562" s="2" t="inlineStr">
        <is>
          <t>2026-08-27T01:25:48</t>
        </is>
      </c>
      <c r="C562" s="2" t="inlineStr">
        <is>
          <t>claro</t>
        </is>
      </c>
      <c r="D562" s="2" t="inlineStr">
        <is>
          <t>SP</t>
        </is>
      </c>
      <c r="E562" s="2" t="inlineStr">
        <is>
          <t>1 Giga com Globoplay incluso + Pós 100GB + Claro tv+ Box + Disney+ Amazon Prime + Netflix + HBO Max + Apple TV + Globoplay</t>
        </is>
      </c>
      <c r="F562" s="2" t="inlineStr">
        <is>
          <t>claro:548c4bad-7857-4c0c-94d5-45d33d66c57f</t>
        </is>
      </c>
      <c r="G562" s="3" t="n">
        <v>289.8</v>
      </c>
      <c r="H562" s="3" t="inlineStr"/>
      <c r="I562" s="2" t="inlineStr"/>
      <c r="J562" s="2" t="inlineStr"/>
      <c r="K562" s="2" t="inlineStr">
        <is>
          <t>tab: Fibra + Móvel + TV</t>
        </is>
      </c>
      <c r="L562" s="2" t="inlineStr">
        <is>
          <t>mobile+broadband+tv</t>
        </is>
      </c>
      <c r="M562" s="2" t="inlineStr">
        <is>
          <t>Fiber + Mobile + TV</t>
        </is>
      </c>
      <c r="N562" s="2" t="b">
        <v>1</v>
      </c>
      <c r="O562" s="2" t="b">
        <v>1</v>
      </c>
      <c r="P562" s="2" t="b">
        <v>1</v>
      </c>
      <c r="Q562" s="2" t="b">
        <v>0</v>
      </c>
      <c r="R562" s="4" t="n">
        <v>1000</v>
      </c>
      <c r="S562" s="4" t="n">
        <v>100</v>
      </c>
      <c r="T562" s="4" t="n">
        <v>1</v>
      </c>
      <c r="U562" s="2" t="inlineStr">
        <is>
          <t>Claro tv+ Box + Disney+ Amazon Prime + Netflix + HBO Max + Apple TV + Globoplay</t>
        </is>
      </c>
      <c r="V562" s="2" t="inlineStr"/>
      <c r="W562" s="2" t="inlineStr"/>
      <c r="X562" s="2" t="inlineStr">
        <is>
          <t>Pós 100GB</t>
        </is>
      </c>
      <c r="Y562" s="2" t="inlineStr">
        <is>
          <t>https://www.claro.com.br/multi</t>
        </is>
      </c>
      <c r="Z562" s="2" t="inlineStr">
        <is>
          <t>data/raw/claro_convergent_multi_SP.html</t>
        </is>
      </c>
    </row>
    <row r="563">
      <c r="A563" s="5" t="inlineStr">
        <is>
          <t>2026-08-27</t>
        </is>
      </c>
      <c r="B563" s="5" t="inlineStr">
        <is>
          <t>2026-08-27T01:25:48</t>
        </is>
      </c>
      <c r="C563" s="5" t="inlineStr">
        <is>
          <t>claro</t>
        </is>
      </c>
      <c r="D563" s="5" t="inlineStr">
        <is>
          <t>SP</t>
        </is>
      </c>
      <c r="E563" s="5" t="inlineStr">
        <is>
          <t>1 Giga com Globoplay incluso + Pós 150GB</t>
        </is>
      </c>
      <c r="F563" s="5" t="inlineStr">
        <is>
          <t>claro:d47e2a3b-dfd0-410e-9c24-d07a334d01d4</t>
        </is>
      </c>
      <c r="G563" s="6" t="n">
        <v>299.9</v>
      </c>
      <c r="H563" s="6" t="inlineStr"/>
      <c r="I563" s="5" t="inlineStr"/>
      <c r="J563" s="5" t="inlineStr"/>
      <c r="K563" s="5" t="inlineStr">
        <is>
          <t>tab: Fibra + Móvel</t>
        </is>
      </c>
      <c r="L563" s="5" t="inlineStr">
        <is>
          <t>mobile+broadband</t>
        </is>
      </c>
      <c r="M563" s="5" t="inlineStr">
        <is>
          <t>Fiber + Mobile</t>
        </is>
      </c>
      <c r="N563" s="5" t="b">
        <v>1</v>
      </c>
      <c r="O563" s="5" t="b">
        <v>1</v>
      </c>
      <c r="P563" s="5" t="b">
        <v>0</v>
      </c>
      <c r="Q563" s="5" t="b">
        <v>0</v>
      </c>
      <c r="R563" s="7" t="n">
        <v>1000</v>
      </c>
      <c r="S563" s="7" t="n">
        <v>150</v>
      </c>
      <c r="T563" s="7" t="n">
        <v>2</v>
      </c>
      <c r="U563" s="5" t="inlineStr"/>
      <c r="V563" s="5" t="inlineStr"/>
      <c r="W563" s="5" t="inlineStr"/>
      <c r="X563" s="5" t="inlineStr">
        <is>
          <t>Pós 150GB</t>
        </is>
      </c>
      <c r="Y563" s="5" t="inlineStr">
        <is>
          <t>https://www.claro.com.br/multi</t>
        </is>
      </c>
      <c r="Z563" s="5" t="inlineStr">
        <is>
          <t>data/raw/claro_convergent_multi_SP.html</t>
        </is>
      </c>
    </row>
    <row r="564">
      <c r="A564" s="2" t="inlineStr">
        <is>
          <t>2026-08-27</t>
        </is>
      </c>
      <c r="B564" s="2" t="inlineStr">
        <is>
          <t>2026-08-27T01:25:48</t>
        </is>
      </c>
      <c r="C564" s="2" t="inlineStr">
        <is>
          <t>claro</t>
        </is>
      </c>
      <c r="D564" s="2" t="inlineStr">
        <is>
          <t>SP</t>
        </is>
      </c>
      <c r="E564" s="2" t="inlineStr">
        <is>
          <t>1 Giga com Globoplay incluso + Pós 150GB + Claro tv+ Box + Disney+ Amazon Prime + Netflix + HBO Max + Apple TV + Globoplay</t>
        </is>
      </c>
      <c r="F564" s="2" t="inlineStr">
        <is>
          <t>claro:7785b449-69f2-4234-9e24-8837e32a55c0</t>
        </is>
      </c>
      <c r="G564" s="3" t="n">
        <v>409.8</v>
      </c>
      <c r="H564" s="3" t="inlineStr"/>
      <c r="I564" s="2" t="inlineStr"/>
      <c r="J564" s="2" t="inlineStr"/>
      <c r="K564" s="2" t="inlineStr">
        <is>
          <t>tab: Fibra + Móvel + TV</t>
        </is>
      </c>
      <c r="L564" s="2" t="inlineStr">
        <is>
          <t>mobile+broadband+tv</t>
        </is>
      </c>
      <c r="M564" s="2" t="inlineStr">
        <is>
          <t>Fiber + Mobile + TV</t>
        </is>
      </c>
      <c r="N564" s="2" t="b">
        <v>1</v>
      </c>
      <c r="O564" s="2" t="b">
        <v>1</v>
      </c>
      <c r="P564" s="2" t="b">
        <v>1</v>
      </c>
      <c r="Q564" s="2" t="b">
        <v>0</v>
      </c>
      <c r="R564" s="4" t="n">
        <v>1000</v>
      </c>
      <c r="S564" s="4" t="n">
        <v>150</v>
      </c>
      <c r="T564" s="4" t="n">
        <v>1</v>
      </c>
      <c r="U564" s="2" t="inlineStr">
        <is>
          <t>Claro tv+ Box + Disney+ Amazon Prime + Netflix + HBO Max + Apple TV + Globoplay</t>
        </is>
      </c>
      <c r="V564" s="2" t="inlineStr"/>
      <c r="W564" s="2" t="inlineStr"/>
      <c r="X564" s="2" t="inlineStr">
        <is>
          <t>Pós 150GB</t>
        </is>
      </c>
      <c r="Y564" s="2" t="inlineStr">
        <is>
          <t>https://www.claro.com.br/multi</t>
        </is>
      </c>
      <c r="Z564" s="2" t="inlineStr">
        <is>
          <t>data/raw/claro_convergent_multi_SP.html</t>
        </is>
      </c>
    </row>
    <row r="565">
      <c r="A565" s="5" t="inlineStr">
        <is>
          <t>2026-08-27</t>
        </is>
      </c>
      <c r="B565" s="5" t="inlineStr">
        <is>
          <t>2026-08-27T01:25:48</t>
        </is>
      </c>
      <c r="C565" s="5" t="inlineStr">
        <is>
          <t>claro</t>
        </is>
      </c>
      <c r="D565" s="5" t="inlineStr">
        <is>
          <t>SP</t>
        </is>
      </c>
      <c r="E565" s="5" t="inlineStr">
        <is>
          <t>1 Giga com Globoplay incluso + Pós 200GB</t>
        </is>
      </c>
      <c r="F565" s="5" t="inlineStr">
        <is>
          <t>claro:1961a62d-3213-4ff0-a152-401a45c5b1b5</t>
        </is>
      </c>
      <c r="G565" s="6" t="n">
        <v>359.9</v>
      </c>
      <c r="H565" s="6" t="inlineStr"/>
      <c r="I565" s="5" t="inlineStr"/>
      <c r="J565" s="5" t="inlineStr"/>
      <c r="K565" s="5" t="inlineStr">
        <is>
          <t>tab: Fibra + Móvel</t>
        </is>
      </c>
      <c r="L565" s="5" t="inlineStr">
        <is>
          <t>mobile+broadband</t>
        </is>
      </c>
      <c r="M565" s="5" t="inlineStr">
        <is>
          <t>Fiber + Mobile</t>
        </is>
      </c>
      <c r="N565" s="5" t="b">
        <v>1</v>
      </c>
      <c r="O565" s="5" t="b">
        <v>1</v>
      </c>
      <c r="P565" s="5" t="b">
        <v>0</v>
      </c>
      <c r="Q565" s="5" t="b">
        <v>0</v>
      </c>
      <c r="R565" s="7" t="n">
        <v>1000</v>
      </c>
      <c r="S565" s="7" t="n">
        <v>200</v>
      </c>
      <c r="T565" s="7" t="n">
        <v>3</v>
      </c>
      <c r="U565" s="5" t="inlineStr"/>
      <c r="V565" s="5" t="inlineStr"/>
      <c r="W565" s="5" t="inlineStr"/>
      <c r="X565" s="5" t="inlineStr">
        <is>
          <t>Pós 200GB</t>
        </is>
      </c>
      <c r="Y565" s="5" t="inlineStr">
        <is>
          <t>https://www.claro.com.br/multi</t>
        </is>
      </c>
      <c r="Z565" s="5" t="inlineStr">
        <is>
          <t>data/raw/claro_convergent_multi_SP.html</t>
        </is>
      </c>
    </row>
    <row r="566">
      <c r="A566" s="2" t="inlineStr">
        <is>
          <t>2026-08-27</t>
        </is>
      </c>
      <c r="B566" s="2" t="inlineStr">
        <is>
          <t>2026-08-27T01:25:48</t>
        </is>
      </c>
      <c r="C566" s="2" t="inlineStr">
        <is>
          <t>claro</t>
        </is>
      </c>
      <c r="D566" s="2" t="inlineStr">
        <is>
          <t>SP</t>
        </is>
      </c>
      <c r="E566" s="2" t="inlineStr">
        <is>
          <t>1 Giga com Globoplay incluso + Pós 200GB + Claro tv+ Box + Disney+ Amazon Prime + Netflix + HBO Max + Apple TV + Globoplay</t>
        </is>
      </c>
      <c r="F566" s="2" t="inlineStr">
        <is>
          <t>claro:312815a2-b3a5-43bb-89a1-272d53ccb212</t>
        </is>
      </c>
      <c r="G566" s="3" t="n">
        <v>469.8</v>
      </c>
      <c r="H566" s="3" t="inlineStr"/>
      <c r="I566" s="2" t="inlineStr"/>
      <c r="J566" s="2" t="inlineStr"/>
      <c r="K566" s="2" t="inlineStr">
        <is>
          <t>tab: Fibra + Móvel + TV</t>
        </is>
      </c>
      <c r="L566" s="2" t="inlineStr">
        <is>
          <t>mobile+broadband+tv</t>
        </is>
      </c>
      <c r="M566" s="2" t="inlineStr">
        <is>
          <t>Fiber + Mobile + TV</t>
        </is>
      </c>
      <c r="N566" s="2" t="b">
        <v>1</v>
      </c>
      <c r="O566" s="2" t="b">
        <v>1</v>
      </c>
      <c r="P566" s="2" t="b">
        <v>1</v>
      </c>
      <c r="Q566" s="2" t="b">
        <v>0</v>
      </c>
      <c r="R566" s="4" t="n">
        <v>1000</v>
      </c>
      <c r="S566" s="4" t="n">
        <v>200</v>
      </c>
      <c r="T566" s="4" t="n">
        <v>1</v>
      </c>
      <c r="U566" s="2" t="inlineStr">
        <is>
          <t>Claro tv+ Box + Disney+ Amazon Prime + Netflix + HBO Max + Apple TV + Globoplay</t>
        </is>
      </c>
      <c r="V566" s="2" t="inlineStr"/>
      <c r="W566" s="2" t="inlineStr"/>
      <c r="X566" s="2" t="inlineStr">
        <is>
          <t>Pós 200GB</t>
        </is>
      </c>
      <c r="Y566" s="2" t="inlineStr">
        <is>
          <t>https://www.claro.com.br/multi</t>
        </is>
      </c>
      <c r="Z566" s="2" t="inlineStr">
        <is>
          <t>data/raw/claro_convergent_multi_SP.html</t>
        </is>
      </c>
    </row>
    <row r="567">
      <c r="A567" s="5" t="inlineStr">
        <is>
          <t>2026-08-27</t>
        </is>
      </c>
      <c r="B567" s="5" t="inlineStr">
        <is>
          <t>2026-08-27T01:25:48</t>
        </is>
      </c>
      <c r="C567" s="5" t="inlineStr">
        <is>
          <t>claro</t>
        </is>
      </c>
      <c r="D567" s="5" t="inlineStr">
        <is>
          <t>SP</t>
        </is>
      </c>
      <c r="E567" s="5" t="inlineStr">
        <is>
          <t>350 Mega com Globoplay incluso + Claro tv+ Box + Disney+ Amazon Prime + Netflix + HBO Max + Apple TV + Globoplay</t>
        </is>
      </c>
      <c r="F567" s="5" t="inlineStr">
        <is>
          <t>claro:97b00450-6f21-4349-8363-83d624b18328</t>
        </is>
      </c>
      <c r="G567" s="6" t="n">
        <v>229.8</v>
      </c>
      <c r="H567" s="6" t="inlineStr"/>
      <c r="I567" s="5" t="inlineStr"/>
      <c r="J567" s="5" t="inlineStr"/>
      <c r="K567" s="5" t="inlineStr">
        <is>
          <t>tab: Fibra + TV</t>
        </is>
      </c>
      <c r="L567" s="5" t="inlineStr">
        <is>
          <t>broadband+tv</t>
        </is>
      </c>
      <c r="M567" s="5" t="inlineStr">
        <is>
          <t>Fiber + TV</t>
        </is>
      </c>
      <c r="N567" s="5" t="b">
        <v>0</v>
      </c>
      <c r="O567" s="5" t="b">
        <v>1</v>
      </c>
      <c r="P567" s="5" t="b">
        <v>1</v>
      </c>
      <c r="Q567" s="5" t="b">
        <v>0</v>
      </c>
      <c r="R567" s="7" t="n">
        <v>350</v>
      </c>
      <c r="S567" s="7" t="inlineStr"/>
      <c r="T567" s="7" t="inlineStr"/>
      <c r="U567" s="5" t="inlineStr">
        <is>
          <t>Claro tv+ Box + Disney+ Amazon Prime + Netflix + HBO Max + Apple TV + Globoplay</t>
        </is>
      </c>
      <c r="V567" s="5" t="inlineStr"/>
      <c r="W567" s="5" t="inlineStr"/>
      <c r="X567" s="5" t="inlineStr"/>
      <c r="Y567" s="5" t="inlineStr">
        <is>
          <t>https://www.claro.com.br/multi</t>
        </is>
      </c>
      <c r="Z567" s="5" t="inlineStr">
        <is>
          <t>data/raw/claro_convergent_multi_SP.html</t>
        </is>
      </c>
    </row>
    <row r="568">
      <c r="A568" s="2" t="inlineStr">
        <is>
          <t>2026-08-27</t>
        </is>
      </c>
      <c r="B568" s="2" t="inlineStr">
        <is>
          <t>2026-08-27T01:25:48</t>
        </is>
      </c>
      <c r="C568" s="2" t="inlineStr">
        <is>
          <t>claro</t>
        </is>
      </c>
      <c r="D568" s="2" t="inlineStr">
        <is>
          <t>SP</t>
        </is>
      </c>
      <c r="E568" s="2" t="inlineStr">
        <is>
          <t>350 Mega com Globoplay incluso + Controle 40GB</t>
        </is>
      </c>
      <c r="F568" s="2" t="inlineStr">
        <is>
          <t>claro:a866ea9a-6a70-4b6e-b886-f8178086ca91</t>
        </is>
      </c>
      <c r="G568" s="3" t="n">
        <v>129.8</v>
      </c>
      <c r="H568" s="3" t="inlineStr"/>
      <c r="I568" s="2" t="inlineStr"/>
      <c r="J568" s="2" t="inlineStr">
        <is>
          <t>debit_auto</t>
        </is>
      </c>
      <c r="K568" s="2" t="inlineStr">
        <is>
          <t>tab: Fibra + Móvel; preço em débito em conta; +R$ 5.00 sem débito automático</t>
        </is>
      </c>
      <c r="L568" s="2" t="inlineStr">
        <is>
          <t>mobile+broadband</t>
        </is>
      </c>
      <c r="M568" s="2" t="inlineStr">
        <is>
          <t>Fiber + Mobile</t>
        </is>
      </c>
      <c r="N568" s="2" t="b">
        <v>1</v>
      </c>
      <c r="O568" s="2" t="b">
        <v>1</v>
      </c>
      <c r="P568" s="2" t="b">
        <v>0</v>
      </c>
      <c r="Q568" s="2" t="b">
        <v>0</v>
      </c>
      <c r="R568" s="4" t="n">
        <v>350</v>
      </c>
      <c r="S568" s="4" t="n">
        <v>40</v>
      </c>
      <c r="T568" s="4" t="n">
        <v>1</v>
      </c>
      <c r="U568" s="2" t="inlineStr"/>
      <c r="V568" s="2" t="inlineStr"/>
      <c r="W568" s="2" t="inlineStr"/>
      <c r="X568" s="2" t="inlineStr">
        <is>
          <t>Controle 40GB</t>
        </is>
      </c>
      <c r="Y568" s="2" t="inlineStr">
        <is>
          <t>https://www.claro.com.br/multi</t>
        </is>
      </c>
      <c r="Z568" s="2" t="inlineStr">
        <is>
          <t>data/raw/claro_convergent_multi_SP.html</t>
        </is>
      </c>
    </row>
    <row r="569">
      <c r="A569" s="5" t="inlineStr">
        <is>
          <t>2026-08-27</t>
        </is>
      </c>
      <c r="B569" s="5" t="inlineStr">
        <is>
          <t>2026-08-27T01:25:48</t>
        </is>
      </c>
      <c r="C569" s="5" t="inlineStr">
        <is>
          <t>claro</t>
        </is>
      </c>
      <c r="D569" s="5" t="inlineStr">
        <is>
          <t>SP</t>
        </is>
      </c>
      <c r="E569" s="5" t="inlineStr">
        <is>
          <t>350 Mega com Globoplay incluso + Pós 100GB + Claro tv+ Box + Disney+ Amazon Prime + Netflix + HBO Max + Apple TV + Globoplay</t>
        </is>
      </c>
      <c r="F569" s="5" t="inlineStr">
        <is>
          <t>claro:746fa9cf-ea2b-40de-ad2c-5803b3e0ab08</t>
        </is>
      </c>
      <c r="G569" s="6" t="n">
        <v>249.8</v>
      </c>
      <c r="H569" s="6" t="inlineStr"/>
      <c r="I569" s="5" t="inlineStr"/>
      <c r="J569" s="5" t="inlineStr"/>
      <c r="K569" s="5" t="inlineStr">
        <is>
          <t>tab: Fibra + Móvel + TV</t>
        </is>
      </c>
      <c r="L569" s="5" t="inlineStr">
        <is>
          <t>mobile+broadband+tv</t>
        </is>
      </c>
      <c r="M569" s="5" t="inlineStr">
        <is>
          <t>Fiber + Mobile + TV</t>
        </is>
      </c>
      <c r="N569" s="5" t="b">
        <v>1</v>
      </c>
      <c r="O569" s="5" t="b">
        <v>1</v>
      </c>
      <c r="P569" s="5" t="b">
        <v>1</v>
      </c>
      <c r="Q569" s="5" t="b">
        <v>0</v>
      </c>
      <c r="R569" s="7" t="n">
        <v>350</v>
      </c>
      <c r="S569" s="7" t="n">
        <v>100</v>
      </c>
      <c r="T569" s="7" t="n">
        <v>1</v>
      </c>
      <c r="U569" s="5" t="inlineStr">
        <is>
          <t>Claro tv+ Box + Disney+ Amazon Prime + Netflix + HBO Max + Apple TV + Globoplay</t>
        </is>
      </c>
      <c r="V569" s="5" t="inlineStr"/>
      <c r="W569" s="5" t="inlineStr"/>
      <c r="X569" s="5" t="inlineStr">
        <is>
          <t>Pós 100GB</t>
        </is>
      </c>
      <c r="Y569" s="5" t="inlineStr">
        <is>
          <t>https://www.claro.com.br/multi</t>
        </is>
      </c>
      <c r="Z569" s="5" t="inlineStr">
        <is>
          <t>data/raw/claro_convergent_multi_SP.html</t>
        </is>
      </c>
    </row>
    <row r="570">
      <c r="A570" s="2" t="inlineStr">
        <is>
          <t>2026-08-27</t>
        </is>
      </c>
      <c r="B570" s="2" t="inlineStr">
        <is>
          <t>2026-08-27T01:25:48</t>
        </is>
      </c>
      <c r="C570" s="2" t="inlineStr">
        <is>
          <t>claro</t>
        </is>
      </c>
      <c r="D570" s="2" t="inlineStr">
        <is>
          <t>SP</t>
        </is>
      </c>
      <c r="E570" s="2" t="inlineStr">
        <is>
          <t>600 Mega com Globoplay incluso + Claro tv+ Box + Disney+ Amazon Prime + Netflix + HBO Max + Apple TV + Globoplay</t>
        </is>
      </c>
      <c r="F570" s="2" t="inlineStr">
        <is>
          <t>claro:545261b1-2f4d-4dab-82a6-02d9e66c5d3d</t>
        </is>
      </c>
      <c r="G570" s="3" t="n">
        <v>239.8</v>
      </c>
      <c r="H570" s="3" t="inlineStr"/>
      <c r="I570" s="2" t="inlineStr"/>
      <c r="J570" s="2" t="inlineStr"/>
      <c r="K570" s="2" t="inlineStr">
        <is>
          <t>tab: Fibra + TV</t>
        </is>
      </c>
      <c r="L570" s="2" t="inlineStr">
        <is>
          <t>broadband+tv</t>
        </is>
      </c>
      <c r="M570" s="2" t="inlineStr">
        <is>
          <t>Fiber + TV</t>
        </is>
      </c>
      <c r="N570" s="2" t="b">
        <v>0</v>
      </c>
      <c r="O570" s="2" t="b">
        <v>1</v>
      </c>
      <c r="P570" s="2" t="b">
        <v>1</v>
      </c>
      <c r="Q570" s="2" t="b">
        <v>0</v>
      </c>
      <c r="R570" s="4" t="n">
        <v>600</v>
      </c>
      <c r="S570" s="4" t="inlineStr"/>
      <c r="T570" s="4" t="inlineStr"/>
      <c r="U570" s="2" t="inlineStr">
        <is>
          <t>Claro tv+ Box + Disney+ Amazon Prime + Netflix + HBO Max + Apple TV + Globoplay</t>
        </is>
      </c>
      <c r="V570" s="2" t="inlineStr"/>
      <c r="W570" s="2" t="inlineStr"/>
      <c r="X570" s="2" t="inlineStr"/>
      <c r="Y570" s="2" t="inlineStr">
        <is>
          <t>https://www.claro.com.br/multi</t>
        </is>
      </c>
      <c r="Z570" s="2" t="inlineStr">
        <is>
          <t>data/raw/claro_convergent_multi_SP.html</t>
        </is>
      </c>
    </row>
    <row r="571">
      <c r="A571" s="5" t="inlineStr">
        <is>
          <t>2026-08-27</t>
        </is>
      </c>
      <c r="B571" s="5" t="inlineStr">
        <is>
          <t>2026-08-27T01:25:48</t>
        </is>
      </c>
      <c r="C571" s="5" t="inlineStr">
        <is>
          <t>claro</t>
        </is>
      </c>
      <c r="D571" s="5" t="inlineStr">
        <is>
          <t>SP</t>
        </is>
      </c>
      <c r="E571" s="5" t="inlineStr">
        <is>
          <t>600 Mega com Globoplay incluso + Pós 100GB</t>
        </is>
      </c>
      <c r="F571" s="5" t="inlineStr">
        <is>
          <t>claro:350ac58a-533c-4858-83be-be3ea39c8874</t>
        </is>
      </c>
      <c r="G571" s="6" t="n">
        <v>159.9</v>
      </c>
      <c r="H571" s="6" t="inlineStr"/>
      <c r="I571" s="5" t="inlineStr"/>
      <c r="J571" s="5" t="inlineStr"/>
      <c r="K571" s="5" t="inlineStr">
        <is>
          <t>tab: Fibra + Móvel</t>
        </is>
      </c>
      <c r="L571" s="5" t="inlineStr">
        <is>
          <t>mobile+broadband</t>
        </is>
      </c>
      <c r="M571" s="5" t="inlineStr">
        <is>
          <t>Fiber + Mobile</t>
        </is>
      </c>
      <c r="N571" s="5" t="b">
        <v>1</v>
      </c>
      <c r="O571" s="5" t="b">
        <v>1</v>
      </c>
      <c r="P571" s="5" t="b">
        <v>0</v>
      </c>
      <c r="Q571" s="5" t="b">
        <v>0</v>
      </c>
      <c r="R571" s="7" t="n">
        <v>600</v>
      </c>
      <c r="S571" s="7" t="n">
        <v>100</v>
      </c>
      <c r="T571" s="7" t="n">
        <v>1</v>
      </c>
      <c r="U571" s="5" t="inlineStr"/>
      <c r="V571" s="5" t="inlineStr"/>
      <c r="W571" s="5" t="inlineStr"/>
      <c r="X571" s="5" t="inlineStr">
        <is>
          <t>Pós 100GB</t>
        </is>
      </c>
      <c r="Y571" s="5" t="inlineStr">
        <is>
          <t>https://www.claro.com.br/multi</t>
        </is>
      </c>
      <c r="Z571" s="5" t="inlineStr">
        <is>
          <t>data/raw/claro_convergent_multi_SP.html</t>
        </is>
      </c>
    </row>
    <row r="572">
      <c r="A572" s="2" t="inlineStr">
        <is>
          <t>2026-08-27</t>
        </is>
      </c>
      <c r="B572" s="2" t="inlineStr">
        <is>
          <t>2026-08-27T01:25:48</t>
        </is>
      </c>
      <c r="C572" s="2" t="inlineStr">
        <is>
          <t>claro</t>
        </is>
      </c>
      <c r="D572" s="2" t="inlineStr">
        <is>
          <t>SP</t>
        </is>
      </c>
      <c r="E572" s="2" t="inlineStr">
        <is>
          <t>600 Mega com Globoplay incluso + Pós 100GB + Claro tv+ Box + Disney+ Amazon Prime + Netflix + HBO Max + Apple TV + Globoplay</t>
        </is>
      </c>
      <c r="F572" s="2" t="inlineStr">
        <is>
          <t>claro:f36e7dfb-f7c9-4055-844f-7bc101699de8</t>
        </is>
      </c>
      <c r="G572" s="3" t="n">
        <v>269.8</v>
      </c>
      <c r="H572" s="3" t="inlineStr"/>
      <c r="I572" s="2" t="inlineStr"/>
      <c r="J572" s="2" t="inlineStr"/>
      <c r="K572" s="2" t="inlineStr">
        <is>
          <t>tab: Fibra + Móvel + TV</t>
        </is>
      </c>
      <c r="L572" s="2" t="inlineStr">
        <is>
          <t>mobile+broadband+tv</t>
        </is>
      </c>
      <c r="M572" s="2" t="inlineStr">
        <is>
          <t>Fiber + Mobile + TV</t>
        </is>
      </c>
      <c r="N572" s="2" t="b">
        <v>1</v>
      </c>
      <c r="O572" s="2" t="b">
        <v>1</v>
      </c>
      <c r="P572" s="2" t="b">
        <v>1</v>
      </c>
      <c r="Q572" s="2" t="b">
        <v>0</v>
      </c>
      <c r="R572" s="4" t="n">
        <v>600</v>
      </c>
      <c r="S572" s="4" t="n">
        <v>100</v>
      </c>
      <c r="T572" s="4" t="n">
        <v>1</v>
      </c>
      <c r="U572" s="2" t="inlineStr">
        <is>
          <t>Claro tv+ Box + Disney+ Amazon Prime + Netflix + HBO Max + Apple TV + Globoplay</t>
        </is>
      </c>
      <c r="V572" s="2" t="inlineStr"/>
      <c r="W572" s="2" t="inlineStr"/>
      <c r="X572" s="2" t="inlineStr">
        <is>
          <t>Pós 100GB</t>
        </is>
      </c>
      <c r="Y572" s="2" t="inlineStr">
        <is>
          <t>https://www.claro.com.br/multi</t>
        </is>
      </c>
      <c r="Z572" s="2" t="inlineStr">
        <is>
          <t>data/raw/claro_convergent_multi_SP.html</t>
        </is>
      </c>
    </row>
    <row r="573">
      <c r="A573" s="5" t="inlineStr">
        <is>
          <t>2026-08-27</t>
        </is>
      </c>
      <c r="B573" s="5" t="inlineStr">
        <is>
          <t>2026-08-27T01:25:48</t>
        </is>
      </c>
      <c r="C573" s="5" t="inlineStr">
        <is>
          <t>tim</t>
        </is>
      </c>
      <c r="D573" s="5" t="inlineStr">
        <is>
          <t>SP</t>
        </is>
      </c>
      <c r="E573" s="5" t="inlineStr">
        <is>
          <t>TIM Ultracombo 5</t>
        </is>
      </c>
      <c r="F573" s="5" t="inlineStr">
        <is>
          <t>tim:167756</t>
        </is>
      </c>
      <c r="G573" s="6" t="n">
        <v>169.99</v>
      </c>
      <c r="H573" s="6" t="inlineStr"/>
      <c r="I573" s="5" t="inlineStr"/>
      <c r="J573" s="5" t="inlineStr">
        <is>
          <t>debit_auto</t>
        </is>
      </c>
      <c r="K573" s="5" t="inlineStr">
        <is>
          <t>preço em débito automático; R$ 179,99/mês no pagamento por fatura</t>
        </is>
      </c>
      <c r="L573" s="5" t="inlineStr">
        <is>
          <t>mobile+broadband</t>
        </is>
      </c>
      <c r="M573" s="5" t="inlineStr">
        <is>
          <t>Fiber + Mobile</t>
        </is>
      </c>
      <c r="N573" s="5" t="b">
        <v>1</v>
      </c>
      <c r="O573" s="5" t="b">
        <v>1</v>
      </c>
      <c r="P573" s="5" t="b">
        <v>0</v>
      </c>
      <c r="Q573" s="5" t="b">
        <v>0</v>
      </c>
      <c r="R573" s="7" t="n">
        <v>1000</v>
      </c>
      <c r="S573" s="7" t="n">
        <v>115</v>
      </c>
      <c r="T573" s="7" t="n">
        <v>1</v>
      </c>
      <c r="U573" s="5" t="inlineStr"/>
      <c r="V573" s="5" t="inlineStr">
        <is>
          <t>Paramount+, Deezer</t>
        </is>
      </c>
      <c r="W573" s="5" t="inlineStr"/>
      <c r="X573" s="5" t="inlineStr">
        <is>
          <t>1GIGA de Ultrafibra para casa + 115GB de TIM Black C Hero para móvel: (25GB do plano + 40GB promo + 50GB bônus especial)</t>
        </is>
      </c>
      <c r="Y573" s="5" t="inlineStr">
        <is>
          <t>https://www.tim.com.br/sp/internet/tim-ultracombo</t>
        </is>
      </c>
      <c r="Z573" s="5" t="inlineStr">
        <is>
          <t>data/raw/tim_convergent_ultracombo_SP.html</t>
        </is>
      </c>
    </row>
    <row r="574">
      <c r="A574" s="2" t="inlineStr">
        <is>
          <t>2026-08-27</t>
        </is>
      </c>
      <c r="B574" s="2" t="inlineStr">
        <is>
          <t>2026-08-27T01:25:48</t>
        </is>
      </c>
      <c r="C574" s="2" t="inlineStr">
        <is>
          <t>tim</t>
        </is>
      </c>
      <c r="D574" s="2" t="inlineStr">
        <is>
          <t>SP</t>
        </is>
      </c>
      <c r="E574" s="2" t="inlineStr">
        <is>
          <t>TIM Ultracombo 6</t>
        </is>
      </c>
      <c r="F574" s="2" t="inlineStr">
        <is>
          <t>tim:167751</t>
        </is>
      </c>
      <c r="G574" s="3" t="n">
        <v>139.99</v>
      </c>
      <c r="H574" s="3" t="inlineStr"/>
      <c r="I574" s="2" t="inlineStr"/>
      <c r="J574" s="2" t="inlineStr">
        <is>
          <t>debit_auto</t>
        </is>
      </c>
      <c r="K574" s="2" t="inlineStr">
        <is>
          <t>preço em débito automático; R$ 149,99/mês no pagamento por fatura</t>
        </is>
      </c>
      <c r="L574" s="2" t="inlineStr">
        <is>
          <t>mobile+broadband</t>
        </is>
      </c>
      <c r="M574" s="2" t="inlineStr">
        <is>
          <t>Fiber + Mobile</t>
        </is>
      </c>
      <c r="N574" s="2" t="b">
        <v>1</v>
      </c>
      <c r="O574" s="2" t="b">
        <v>1</v>
      </c>
      <c r="P574" s="2" t="b">
        <v>0</v>
      </c>
      <c r="Q574" s="2" t="b">
        <v>0</v>
      </c>
      <c r="R574" s="4" t="n">
        <v>1000</v>
      </c>
      <c r="S574" s="4" t="n">
        <v>70</v>
      </c>
      <c r="T574" s="4" t="n">
        <v>1</v>
      </c>
      <c r="U574" s="2" t="inlineStr"/>
      <c r="V574" s="2" t="inlineStr">
        <is>
          <t>Paramount+, Deezer</t>
        </is>
      </c>
      <c r="W574" s="2" t="inlineStr"/>
      <c r="X574" s="2" t="inlineStr">
        <is>
          <t>1GIGA de Ultrafibra para casa + 70GB de TIM Black A para móvel: (15GB do plano + 50GB promo + 5GB bônus especial)</t>
        </is>
      </c>
      <c r="Y574" s="2" t="inlineStr">
        <is>
          <t>https://www.tim.com.br/sp/internet/tim-ultracombo</t>
        </is>
      </c>
      <c r="Z574" s="2" t="inlineStr">
        <is>
          <t>data/raw/tim_convergent_ultracombo_SP.html</t>
        </is>
      </c>
    </row>
    <row r="575">
      <c r="A575" s="5" t="inlineStr">
        <is>
          <t>2026-08-27</t>
        </is>
      </c>
      <c r="B575" s="5" t="inlineStr">
        <is>
          <t>2026-08-27T01:25:48</t>
        </is>
      </c>
      <c r="C575" s="5" t="inlineStr">
        <is>
          <t>tim</t>
        </is>
      </c>
      <c r="D575" s="5" t="inlineStr">
        <is>
          <t>SP</t>
        </is>
      </c>
      <c r="E575" s="5" t="inlineStr">
        <is>
          <t>TIM Ultracombo 7</t>
        </is>
      </c>
      <c r="F575" s="5" t="inlineStr">
        <is>
          <t>tim:167761</t>
        </is>
      </c>
      <c r="G575" s="6" t="n">
        <v>89.98999999999999</v>
      </c>
      <c r="H575" s="6" t="inlineStr"/>
      <c r="I575" s="5" t="inlineStr"/>
      <c r="J575" s="5" t="inlineStr">
        <is>
          <t>debit_auto</t>
        </is>
      </c>
      <c r="K575" s="5" t="inlineStr">
        <is>
          <t>preço em débito automático; R$ 99,99/mês no pagamento por fatura</t>
        </is>
      </c>
      <c r="L575" s="5" t="inlineStr">
        <is>
          <t>mobile+broadband</t>
        </is>
      </c>
      <c r="M575" s="5" t="inlineStr">
        <is>
          <t>Fiber + Mobile</t>
        </is>
      </c>
      <c r="N575" s="5" t="b">
        <v>1</v>
      </c>
      <c r="O575" s="5" t="b">
        <v>1</v>
      </c>
      <c r="P575" s="5" t="b">
        <v>0</v>
      </c>
      <c r="Q575" s="5" t="b">
        <v>0</v>
      </c>
      <c r="R575" s="7" t="n">
        <v>500</v>
      </c>
      <c r="S575" s="7" t="n">
        <v>65</v>
      </c>
      <c r="T575" s="7" t="n">
        <v>1</v>
      </c>
      <c r="U575" s="5" t="inlineStr"/>
      <c r="V575" s="5" t="inlineStr"/>
      <c r="W575" s="5" t="inlineStr"/>
      <c r="X575" s="5" t="inlineStr">
        <is>
          <t>500MEGA de Ultrafibra para casa + 65GB de TIM Black A Light para móvel: (10GB do plano + 50GB promo)</t>
        </is>
      </c>
      <c r="Y575" s="5" t="inlineStr">
        <is>
          <t>https://www.tim.com.br/sp/internet/tim-ultracombo</t>
        </is>
      </c>
      <c r="Z575" s="5" t="inlineStr">
        <is>
          <t>data/raw/tim_convergent_ultracombo_SP.html</t>
        </is>
      </c>
    </row>
    <row r="576">
      <c r="A576" s="2" t="inlineStr">
        <is>
          <t>2026-08-27</t>
        </is>
      </c>
      <c r="B576" s="2" t="inlineStr">
        <is>
          <t>2026-08-27T01:25:48</t>
        </is>
      </c>
      <c r="C576" s="2" t="inlineStr">
        <is>
          <t>vivo</t>
        </is>
      </c>
      <c r="D576" s="2" t="inlineStr">
        <is>
          <t>SP</t>
        </is>
      </c>
      <c r="E576" s="2" t="inlineStr">
        <is>
          <t>Vivo Família 2</t>
        </is>
      </c>
      <c r="F576" s="2" t="inlineStr">
        <is>
          <t>vivo:VIV202604032132-3-305-316-336-408-411-426-430-442</t>
        </is>
      </c>
      <c r="G576" s="3" t="n">
        <v>290</v>
      </c>
      <c r="H576" s="3" t="inlineStr"/>
      <c r="I576" s="2" t="inlineStr"/>
      <c r="J576" s="2" t="inlineStr"/>
      <c r="K576" s="2" t="inlineStr">
        <is>
          <t>instalação grátis mediante fidelização (não afeta a mensalidade)</t>
        </is>
      </c>
      <c r="L576" s="2" t="inlineStr">
        <is>
          <t>mobile+broadband+tv</t>
        </is>
      </c>
      <c r="M576" s="2" t="inlineStr">
        <is>
          <t>Fiber + Mobile + TV</t>
        </is>
      </c>
      <c r="N576" s="2" t="b">
        <v>1</v>
      </c>
      <c r="O576" s="2" t="b">
        <v>1</v>
      </c>
      <c r="P576" s="2" t="b">
        <v>1</v>
      </c>
      <c r="Q576" s="2" t="b">
        <v>0</v>
      </c>
      <c r="R576" s="4" t="n">
        <v>700</v>
      </c>
      <c r="S576" s="4" t="n">
        <v>120</v>
      </c>
      <c r="T576" s="4" t="n">
        <v>2</v>
      </c>
      <c r="U576" s="2" t="inlineStr">
        <is>
          <t>80 canais de Vivo Estendido</t>
        </is>
      </c>
      <c r="V576" s="2" t="inlineStr"/>
      <c r="W576" s="2" t="inlineStr">
        <is>
          <t>Vivo Travel américas e europa; 1 linha adicional inclusa</t>
        </is>
      </c>
      <c r="X576" s="2" t="inlineStr">
        <is>
          <t>700 Mega de Vivo Fibra</t>
        </is>
      </c>
      <c r="Y576" s="2" t="inlineStr">
        <is>
          <t>https://vivo.com.br/para-voce/produtos-e-servicos/combos/vivo-total</t>
        </is>
      </c>
      <c r="Z576" s="2" t="inlineStr">
        <is>
          <t>data/raw/vivo_convergent_total_SP.html</t>
        </is>
      </c>
    </row>
    <row r="577">
      <c r="A577" s="5" t="inlineStr">
        <is>
          <t>2026-08-27</t>
        </is>
      </c>
      <c r="B577" s="5" t="inlineStr">
        <is>
          <t>2026-08-27T01:25:48</t>
        </is>
      </c>
      <c r="C577" s="5" t="inlineStr">
        <is>
          <t>vivo</t>
        </is>
      </c>
      <c r="D577" s="5" t="inlineStr">
        <is>
          <t>SP</t>
        </is>
      </c>
      <c r="E577" s="5" t="inlineStr">
        <is>
          <t>Vivo Família 2</t>
        </is>
      </c>
      <c r="F577" s="5" t="inlineStr">
        <is>
          <t>vivo:VIV202604032112-3-9-305-316-408-411-426-430-442</t>
        </is>
      </c>
      <c r="G577" s="6" t="n">
        <v>390</v>
      </c>
      <c r="H577" s="6" t="inlineStr"/>
      <c r="I577" s="5" t="inlineStr"/>
      <c r="J577" s="5" t="inlineStr"/>
      <c r="K577" s="5" t="inlineStr">
        <is>
          <t>instalação grátis mediante fidelização (não afeta a mensalidade)</t>
        </is>
      </c>
      <c r="L577" s="5" t="inlineStr">
        <is>
          <t>mobile+broadband+tv</t>
        </is>
      </c>
      <c r="M577" s="5" t="inlineStr">
        <is>
          <t>Fiber + Mobile + TV</t>
        </is>
      </c>
      <c r="N577" s="5" t="b">
        <v>1</v>
      </c>
      <c r="O577" s="5" t="b">
        <v>1</v>
      </c>
      <c r="P577" s="5" t="b">
        <v>1</v>
      </c>
      <c r="Q577" s="5" t="b">
        <v>0</v>
      </c>
      <c r="R577" s="7" t="n">
        <v>700</v>
      </c>
      <c r="S577" s="7" t="n">
        <v>120</v>
      </c>
      <c r="T577" s="7" t="n">
        <v>2</v>
      </c>
      <c r="U577" s="5" t="inlineStr">
        <is>
          <t>120 canais de Vivo TV Avançado + 1 ponto adicional</t>
        </is>
      </c>
      <c r="V577" s="5" t="inlineStr"/>
      <c r="W577" s="5" t="inlineStr">
        <is>
          <t>Vivo Travel américas e europa; 1 linha adicional inclusa</t>
        </is>
      </c>
      <c r="X577" s="5" t="inlineStr">
        <is>
          <t>700 Mega de Vivo Fibra</t>
        </is>
      </c>
      <c r="Y577" s="5" t="inlineStr">
        <is>
          <t>https://vivo.com.br/para-voce/produtos-e-servicos/combos/vivo-total</t>
        </is>
      </c>
      <c r="Z577" s="5" t="inlineStr">
        <is>
          <t>data/raw/vivo_convergent_total_SP.html</t>
        </is>
      </c>
    </row>
    <row r="578">
      <c r="A578" s="2" t="inlineStr">
        <is>
          <t>2026-08-27</t>
        </is>
      </c>
      <c r="B578" s="2" t="inlineStr">
        <is>
          <t>2026-08-27T01:25:48</t>
        </is>
      </c>
      <c r="C578" s="2" t="inlineStr">
        <is>
          <t>vivo</t>
        </is>
      </c>
      <c r="D578" s="2" t="inlineStr">
        <is>
          <t>SP</t>
        </is>
      </c>
      <c r="E578" s="2" t="inlineStr">
        <is>
          <t>Vivo Total Família 2</t>
        </is>
      </c>
      <c r="F578" s="2" t="inlineStr">
        <is>
          <t>vivo:VIV202604032132-3-305-316-408-411-426-430-442</t>
        </is>
      </c>
      <c r="G578" s="3" t="n">
        <v>270</v>
      </c>
      <c r="H578" s="3" t="inlineStr"/>
      <c r="I578" s="2" t="inlineStr"/>
      <c r="J578" s="2" t="inlineStr"/>
      <c r="K578" s="2" t="inlineStr">
        <is>
          <t>instalação grátis mediante fidelização (não afeta a mensalidade)</t>
        </is>
      </c>
      <c r="L578" s="2" t="inlineStr">
        <is>
          <t>mobile+broadband</t>
        </is>
      </c>
      <c r="M578" s="2" t="inlineStr">
        <is>
          <t>Fiber + Mobile</t>
        </is>
      </c>
      <c r="N578" s="2" t="b">
        <v>1</v>
      </c>
      <c r="O578" s="2" t="b">
        <v>1</v>
      </c>
      <c r="P578" s="2" t="b">
        <v>0</v>
      </c>
      <c r="Q578" s="2" t="b">
        <v>0</v>
      </c>
      <c r="R578" s="4" t="n">
        <v>700</v>
      </c>
      <c r="S578" s="4" t="n">
        <v>120</v>
      </c>
      <c r="T578" s="4" t="n">
        <v>2</v>
      </c>
      <c r="U578" s="2" t="inlineStr"/>
      <c r="V578" s="2" t="inlineStr"/>
      <c r="W578" s="2" t="inlineStr">
        <is>
          <t>Vivo Travel Américas e Europa; 1 linha adicional inclusa</t>
        </is>
      </c>
      <c r="X578" s="2" t="inlineStr">
        <is>
          <t>700 Mega de Vivo Fibra</t>
        </is>
      </c>
      <c r="Y578" s="2" t="inlineStr">
        <is>
          <t>https://vivo.com.br/para-voce/produtos-e-servicos/combos/vivo-total</t>
        </is>
      </c>
      <c r="Z578" s="2" t="inlineStr">
        <is>
          <t>data/raw/vivo_convergent_total_SP.html</t>
        </is>
      </c>
    </row>
    <row r="579">
      <c r="A579" s="5" t="inlineStr">
        <is>
          <t>2026-08-27</t>
        </is>
      </c>
      <c r="B579" s="5" t="inlineStr">
        <is>
          <t>2026-08-27T01:25:48</t>
        </is>
      </c>
      <c r="C579" s="5" t="inlineStr">
        <is>
          <t>vivo</t>
        </is>
      </c>
      <c r="D579" s="5" t="inlineStr">
        <is>
          <t>SP</t>
        </is>
      </c>
      <c r="E579" s="5" t="inlineStr">
        <is>
          <t>Vivo Total Família 3</t>
        </is>
      </c>
      <c r="F579" s="5" t="inlineStr">
        <is>
          <t>vivo:VIV202604032212-4-305-316-408-411-426-430-442</t>
        </is>
      </c>
      <c r="G579" s="6" t="n">
        <v>330</v>
      </c>
      <c r="H579" s="6" t="inlineStr"/>
      <c r="I579" s="5" t="inlineStr"/>
      <c r="J579" s="5" t="inlineStr"/>
      <c r="K579" s="5" t="inlineStr">
        <is>
          <t>instalação grátis mediante fidelização (não afeta a mensalidade)</t>
        </is>
      </c>
      <c r="L579" s="5" t="inlineStr">
        <is>
          <t>mobile+broadband</t>
        </is>
      </c>
      <c r="M579" s="5" t="inlineStr">
        <is>
          <t>Fiber + Mobile</t>
        </is>
      </c>
      <c r="N579" s="5" t="b">
        <v>1</v>
      </c>
      <c r="O579" s="5" t="b">
        <v>1</v>
      </c>
      <c r="P579" s="5" t="b">
        <v>0</v>
      </c>
      <c r="Q579" s="5" t="b">
        <v>0</v>
      </c>
      <c r="R579" s="7" t="n">
        <v>700</v>
      </c>
      <c r="S579" s="7" t="n">
        <v>180</v>
      </c>
      <c r="T579" s="7" t="n">
        <v>3</v>
      </c>
      <c r="U579" s="5" t="inlineStr"/>
      <c r="V579" s="5" t="inlineStr"/>
      <c r="W579" s="5" t="inlineStr">
        <is>
          <t>Vivo Travel Américas e Europa; 2 linhas adicionais inclusas</t>
        </is>
      </c>
      <c r="X579" s="5" t="inlineStr">
        <is>
          <t>700 Mega de Vivo Fibra</t>
        </is>
      </c>
      <c r="Y579" s="5" t="inlineStr">
        <is>
          <t>https://vivo.com.br/para-voce/produtos-e-servicos/combos/vivo-total</t>
        </is>
      </c>
      <c r="Z579" s="5" t="inlineStr">
        <is>
          <t>data/raw/vivo_convergent_total_SP.html</t>
        </is>
      </c>
    </row>
    <row r="580">
      <c r="A580" s="2" t="inlineStr">
        <is>
          <t>2026-08-27</t>
        </is>
      </c>
      <c r="B580" s="2" t="inlineStr">
        <is>
          <t>2026-08-27T01:25:48</t>
        </is>
      </c>
      <c r="C580" s="2" t="inlineStr">
        <is>
          <t>vivo</t>
        </is>
      </c>
      <c r="D580" s="2" t="inlineStr">
        <is>
          <t>SP</t>
        </is>
      </c>
      <c r="E580" s="2" t="inlineStr">
        <is>
          <t>Vivo Total Família 4</t>
        </is>
      </c>
      <c r="F580" s="2" t="inlineStr">
        <is>
          <t>vivo:VIV202604032292-237-305-316-408-411-426-430-442</t>
        </is>
      </c>
      <c r="G580" s="3" t="n">
        <v>420</v>
      </c>
      <c r="H580" s="3" t="inlineStr"/>
      <c r="I580" s="2" t="inlineStr"/>
      <c r="J580" s="2" t="inlineStr"/>
      <c r="K580" s="2" t="inlineStr">
        <is>
          <t>instalação grátis mediante fidelização (não afeta a mensalidade)</t>
        </is>
      </c>
      <c r="L580" s="2" t="inlineStr">
        <is>
          <t>mobile+broadband</t>
        </is>
      </c>
      <c r="M580" s="2" t="inlineStr">
        <is>
          <t>Fiber + Mobile</t>
        </is>
      </c>
      <c r="N580" s="2" t="b">
        <v>1</v>
      </c>
      <c r="O580" s="2" t="b">
        <v>1</v>
      </c>
      <c r="P580" s="2" t="b">
        <v>0</v>
      </c>
      <c r="Q580" s="2" t="b">
        <v>0</v>
      </c>
      <c r="R580" s="4" t="n">
        <v>700</v>
      </c>
      <c r="S580" s="4" t="n">
        <v>240</v>
      </c>
      <c r="T580" s="4" t="n">
        <v>4</v>
      </c>
      <c r="U580" s="2" t="inlineStr"/>
      <c r="V580" s="2" t="inlineStr"/>
      <c r="W580" s="2" t="inlineStr">
        <is>
          <t>Vivo Travel Américas e Europa; 3 linhas adicionais inclusas</t>
        </is>
      </c>
      <c r="X580" s="2" t="inlineStr">
        <is>
          <t>700 Mega de Vivo Fibra</t>
        </is>
      </c>
      <c r="Y580" s="2" t="inlineStr">
        <is>
          <t>https://vivo.com.br/para-voce/produtos-e-servicos/combos/vivo-total</t>
        </is>
      </c>
      <c r="Z580" s="2" t="inlineStr">
        <is>
          <t>data/raw/vivo_convergent_total_SP.html</t>
        </is>
      </c>
    </row>
    <row r="581">
      <c r="A581" s="5" t="inlineStr">
        <is>
          <t>2026-08-27</t>
        </is>
      </c>
      <c r="B581" s="5" t="inlineStr">
        <is>
          <t>2026-08-27T01:25:48</t>
        </is>
      </c>
      <c r="C581" s="5" t="inlineStr">
        <is>
          <t>vivo</t>
        </is>
      </c>
      <c r="D581" s="5" t="inlineStr">
        <is>
          <t>SP</t>
        </is>
      </c>
      <c r="E581" s="5" t="inlineStr">
        <is>
          <t>Vivo Total Família 5</t>
        </is>
      </c>
      <c r="F581" s="5" t="inlineStr">
        <is>
          <t>vivo:VIV202604032372-5-305-316-408-411-426-430-442</t>
        </is>
      </c>
      <c r="G581" s="6" t="n">
        <v>520</v>
      </c>
      <c r="H581" s="6" t="inlineStr"/>
      <c r="I581" s="5" t="inlineStr"/>
      <c r="J581" s="5" t="inlineStr"/>
      <c r="K581" s="5" t="inlineStr">
        <is>
          <t>instalação grátis mediante fidelização (não afeta a mensalidade)</t>
        </is>
      </c>
      <c r="L581" s="5" t="inlineStr">
        <is>
          <t>mobile+broadband</t>
        </is>
      </c>
      <c r="M581" s="5" t="inlineStr">
        <is>
          <t>Fiber + Mobile</t>
        </is>
      </c>
      <c r="N581" s="5" t="b">
        <v>1</v>
      </c>
      <c r="O581" s="5" t="b">
        <v>1</v>
      </c>
      <c r="P581" s="5" t="b">
        <v>0</v>
      </c>
      <c r="Q581" s="5" t="b">
        <v>0</v>
      </c>
      <c r="R581" s="7" t="n">
        <v>700</v>
      </c>
      <c r="S581" s="7" t="n">
        <v>300</v>
      </c>
      <c r="T581" s="7" t="n">
        <v>5</v>
      </c>
      <c r="U581" s="5" t="inlineStr"/>
      <c r="V581" s="5" t="inlineStr"/>
      <c r="W581" s="5" t="inlineStr">
        <is>
          <t>Vivo Travel Américas e Europa; 4 linhas adicionais inclusas</t>
        </is>
      </c>
      <c r="X581" s="5" t="inlineStr">
        <is>
          <t>700 Mega de Vivo Fibra</t>
        </is>
      </c>
      <c r="Y581" s="5" t="inlineStr">
        <is>
          <t>https://vivo.com.br/para-voce/produtos-e-servicos/combos/vivo-total</t>
        </is>
      </c>
      <c r="Z581" s="5" t="inlineStr">
        <is>
          <t>data/raw/vivo_convergent_total_SP.html</t>
        </is>
      </c>
    </row>
    <row r="582">
      <c r="A582" s="2" t="inlineStr">
        <is>
          <t>2026-08-27</t>
        </is>
      </c>
      <c r="B582" s="2" t="inlineStr">
        <is>
          <t>2026-08-27T01:25:48</t>
        </is>
      </c>
      <c r="C582" s="2" t="inlineStr">
        <is>
          <t>vivo</t>
        </is>
      </c>
      <c r="D582" s="2" t="inlineStr">
        <is>
          <t>SP</t>
        </is>
      </c>
      <c r="E582" s="2" t="inlineStr">
        <is>
          <t>Vivo Total Pro</t>
        </is>
      </c>
      <c r="F582" s="2" t="inlineStr">
        <is>
          <t>vivo:VIV202604031772-2-305-308-316-326-342-411-430</t>
        </is>
      </c>
      <c r="G582" s="3" t="n">
        <v>160</v>
      </c>
      <c r="H582" s="3" t="inlineStr"/>
      <c r="I582" s="2" t="inlineStr"/>
      <c r="J582" s="2" t="inlineStr"/>
      <c r="K582" s="2" t="inlineStr">
        <is>
          <t>instalação grátis mediante fidelização (não afeta a mensalidade)</t>
        </is>
      </c>
      <c r="L582" s="2" t="inlineStr">
        <is>
          <t>mobile+broadband</t>
        </is>
      </c>
      <c r="M582" s="2" t="inlineStr">
        <is>
          <t>Fiber + Mobile</t>
        </is>
      </c>
      <c r="N582" s="2" t="b">
        <v>1</v>
      </c>
      <c r="O582" s="2" t="b">
        <v>1</v>
      </c>
      <c r="P582" s="2" t="b">
        <v>0</v>
      </c>
      <c r="Q582" s="2" t="b">
        <v>0</v>
      </c>
      <c r="R582" s="4" t="n">
        <v>500</v>
      </c>
      <c r="S582" s="4" t="n">
        <v>60</v>
      </c>
      <c r="T582" s="4" t="n">
        <v>1</v>
      </c>
      <c r="U582" s="2" t="inlineStr"/>
      <c r="V582" s="2" t="inlineStr"/>
      <c r="W582" s="2" t="inlineStr">
        <is>
          <t>Vivo Travel Américas; 50 GB de franquia + 10 GB de bônus</t>
        </is>
      </c>
      <c r="X582" s="2" t="inlineStr">
        <is>
          <t>500 Mega de Vivo Fibra</t>
        </is>
      </c>
      <c r="Y582" s="2" t="inlineStr">
        <is>
          <t>https://vivo.com.br/para-voce/produtos-e-servicos/combos/vivo-total</t>
        </is>
      </c>
      <c r="Z582" s="2" t="inlineStr">
        <is>
          <t>data/raw/vivo_convergent_total_SP.html</t>
        </is>
      </c>
    </row>
    <row r="583">
      <c r="A583" s="5" t="inlineStr">
        <is>
          <t>2026-08-27</t>
        </is>
      </c>
      <c r="B583" s="5" t="inlineStr">
        <is>
          <t>2026-08-27T01:25:48</t>
        </is>
      </c>
      <c r="C583" s="5" t="inlineStr">
        <is>
          <t>vivo</t>
        </is>
      </c>
      <c r="D583" s="5" t="inlineStr">
        <is>
          <t>SP</t>
        </is>
      </c>
      <c r="E583" s="5" t="inlineStr">
        <is>
          <t>Vivo Total Ultra</t>
        </is>
      </c>
      <c r="F583" s="5" t="inlineStr">
        <is>
          <t>vivo:VIV202604031940-305-313-316-408-411-426-430-442</t>
        </is>
      </c>
      <c r="G583" s="6" t="n">
        <v>170</v>
      </c>
      <c r="H583" s="6" t="inlineStr"/>
      <c r="I583" s="5" t="inlineStr"/>
      <c r="J583" s="5" t="inlineStr"/>
      <c r="K583" s="5" t="inlineStr">
        <is>
          <t>instalação grátis mediante fidelização (não afeta a mensalidade)</t>
        </is>
      </c>
      <c r="L583" s="5" t="inlineStr">
        <is>
          <t>mobile+broadband</t>
        </is>
      </c>
      <c r="M583" s="5" t="inlineStr">
        <is>
          <t>Fiber + Mobile</t>
        </is>
      </c>
      <c r="N583" s="5" t="b">
        <v>1</v>
      </c>
      <c r="O583" s="5" t="b">
        <v>1</v>
      </c>
      <c r="P583" s="5" t="b">
        <v>0</v>
      </c>
      <c r="Q583" s="5" t="b">
        <v>0</v>
      </c>
      <c r="R583" s="7" t="n">
        <v>700</v>
      </c>
      <c r="S583" s="7" t="n">
        <v>70</v>
      </c>
      <c r="T583" s="7" t="n">
        <v>1</v>
      </c>
      <c r="U583" s="5" t="inlineStr"/>
      <c r="V583" s="5" t="inlineStr"/>
      <c r="W583" s="5" t="inlineStr">
        <is>
          <t>Vivo Travel Américas; Exitlag e ponto cabeado incluso</t>
        </is>
      </c>
      <c r="X583" s="5" t="inlineStr">
        <is>
          <t>700 Mega de Vivo Fibra</t>
        </is>
      </c>
      <c r="Y583" s="5" t="inlineStr">
        <is>
          <t>https://vivo.com.br/para-voce/produtos-e-servicos/combos/vivo-total</t>
        </is>
      </c>
      <c r="Z583" s="5" t="inlineStr">
        <is>
          <t>data/raw/vivo_convergent_total_SP.html</t>
        </is>
      </c>
    </row>
    <row r="584">
      <c r="A584" s="2" t="inlineStr">
        <is>
          <t>2026-08-27</t>
        </is>
      </c>
      <c r="B584" s="2" t="inlineStr">
        <is>
          <t>2026-08-27T01:25:48</t>
        </is>
      </c>
      <c r="C584" s="2" t="inlineStr">
        <is>
          <t>vivo</t>
        </is>
      </c>
      <c r="D584" s="2" t="inlineStr">
        <is>
          <t>SP</t>
        </is>
      </c>
      <c r="E584" s="2" t="inlineStr">
        <is>
          <t>Vivo Total Ultra + TV</t>
        </is>
      </c>
      <c r="F584" s="2" t="inlineStr">
        <is>
          <t>vivo:VIV202604031882-9-305-313-316-408-411-426-430-442</t>
        </is>
      </c>
      <c r="G584" s="3" t="n">
        <v>310</v>
      </c>
      <c r="H584" s="3" t="inlineStr"/>
      <c r="I584" s="2" t="inlineStr"/>
      <c r="J584" s="2" t="inlineStr"/>
      <c r="K584" s="2" t="inlineStr">
        <is>
          <t>instalação grátis mediante fidelização (não afeta a mensalidade)</t>
        </is>
      </c>
      <c r="L584" s="2" t="inlineStr">
        <is>
          <t>mobile+broadband+tv</t>
        </is>
      </c>
      <c r="M584" s="2" t="inlineStr">
        <is>
          <t>Fiber + Mobile + TV</t>
        </is>
      </c>
      <c r="N584" s="2" t="b">
        <v>1</v>
      </c>
      <c r="O584" s="2" t="b">
        <v>1</v>
      </c>
      <c r="P584" s="2" t="b">
        <v>1</v>
      </c>
      <c r="Q584" s="2" t="b">
        <v>0</v>
      </c>
      <c r="R584" s="4" t="n">
        <v>700</v>
      </c>
      <c r="S584" s="4" t="n">
        <v>70</v>
      </c>
      <c r="T584" s="4" t="n">
        <v>1</v>
      </c>
      <c r="U584" s="2" t="inlineStr">
        <is>
          <t>120 canais de Vivo TV Avançado + 1 ponto adicional</t>
        </is>
      </c>
      <c r="V584" s="2" t="inlineStr"/>
      <c r="W584" s="2" t="inlineStr">
        <is>
          <t>Vivo travel américas</t>
        </is>
      </c>
      <c r="X584" s="2" t="inlineStr">
        <is>
          <t>700 Mega de Vivo Fibra</t>
        </is>
      </c>
      <c r="Y584" s="2" t="inlineStr">
        <is>
          <t>https://vivo.com.br/para-voce/produtos-e-servicos/combos/vivo-total</t>
        </is>
      </c>
      <c r="Z584" s="2" t="inlineStr">
        <is>
          <t>data/raw/vivo_convergent_total_SP.html</t>
        </is>
      </c>
    </row>
    <row r="585">
      <c r="A585" s="5" t="inlineStr">
        <is>
          <t>2026-08-27</t>
        </is>
      </c>
      <c r="B585" s="5" t="inlineStr">
        <is>
          <t>2026-08-27T01:25:48</t>
        </is>
      </c>
      <c r="C585" s="5" t="inlineStr">
        <is>
          <t>vivo</t>
        </is>
      </c>
      <c r="D585" s="5" t="inlineStr">
        <is>
          <t>SP</t>
        </is>
      </c>
      <c r="E585" s="5" t="inlineStr">
        <is>
          <t>Vivo Total Ultra + TV online</t>
        </is>
      </c>
      <c r="F585" s="5" t="inlineStr">
        <is>
          <t>vivo:VIV202604032034-305-313-316-336-408-411-426-430-442</t>
        </is>
      </c>
      <c r="G585" s="6" t="n">
        <v>210</v>
      </c>
      <c r="H585" s="6" t="inlineStr"/>
      <c r="I585" s="5" t="inlineStr"/>
      <c r="J585" s="5" t="inlineStr"/>
      <c r="K585" s="5" t="inlineStr">
        <is>
          <t>instalação grátis mediante fidelização (não afeta a mensalidade)</t>
        </is>
      </c>
      <c r="L585" s="5" t="inlineStr">
        <is>
          <t>mobile+broadband+tv</t>
        </is>
      </c>
      <c r="M585" s="5" t="inlineStr">
        <is>
          <t>Fiber + Mobile + TV</t>
        </is>
      </c>
      <c r="N585" s="5" t="b">
        <v>1</v>
      </c>
      <c r="O585" s="5" t="b">
        <v>1</v>
      </c>
      <c r="P585" s="5" t="b">
        <v>1</v>
      </c>
      <c r="Q585" s="5" t="b">
        <v>0</v>
      </c>
      <c r="R585" s="7" t="n">
        <v>700</v>
      </c>
      <c r="S585" s="7" t="n">
        <v>70</v>
      </c>
      <c r="T585" s="7" t="n">
        <v>1</v>
      </c>
      <c r="U585" s="5" t="inlineStr">
        <is>
          <t>80 canais de Vivo Estendido</t>
        </is>
      </c>
      <c r="V585" s="5" t="inlineStr"/>
      <c r="W585" s="5" t="inlineStr">
        <is>
          <t>Vivo travel américas</t>
        </is>
      </c>
      <c r="X585" s="5" t="inlineStr">
        <is>
          <t>700 Mega de Vivo Fibra</t>
        </is>
      </c>
      <c r="Y585" s="5" t="inlineStr">
        <is>
          <t>https://vivo.com.br/para-voce/produtos-e-servicos/combos/vivo-total</t>
        </is>
      </c>
      <c r="Z585" s="5" t="inlineStr">
        <is>
          <t>data/raw/vivo_convergent_total_SP.html</t>
        </is>
      </c>
    </row>
    <row r="586">
      <c r="A586" s="2" t="inlineStr">
        <is>
          <t>2026-08-27</t>
        </is>
      </c>
      <c r="B586" s="2" t="inlineStr">
        <is>
          <t>2026-08-27T01:25:48</t>
        </is>
      </c>
      <c r="C586" s="2" t="inlineStr">
        <is>
          <t>vivo</t>
        </is>
      </c>
      <c r="D586" s="2" t="inlineStr">
        <is>
          <t>SP</t>
        </is>
      </c>
      <c r="E586" s="2" t="inlineStr">
        <is>
          <t>Vivo Total V 1 Giga</t>
        </is>
      </c>
      <c r="F586" s="2" t="inlineStr">
        <is>
          <t>vivo:VIV202604032532-2-305-316-408-426-430-442</t>
        </is>
      </c>
      <c r="G586" s="3" t="n">
        <v>1200</v>
      </c>
      <c r="H586" s="3" t="inlineStr"/>
      <c r="I586" s="2" t="inlineStr"/>
      <c r="J586" s="2" t="inlineStr"/>
      <c r="K586" s="2" t="inlineStr">
        <is>
          <t>instalação grátis mediante fidelização (não afeta a mensalidade)</t>
        </is>
      </c>
      <c r="L586" s="2" t="inlineStr">
        <is>
          <t>mobile+broadband+tv</t>
        </is>
      </c>
      <c r="M586" s="2" t="inlineStr">
        <is>
          <t>Fiber + Mobile + TV</t>
        </is>
      </c>
      <c r="N586" s="2" t="b">
        <v>1</v>
      </c>
      <c r="O586" s="2" t="b">
        <v>1</v>
      </c>
      <c r="P586" s="2" t="b">
        <v>1</v>
      </c>
      <c r="Q586" s="2" t="b">
        <v>0</v>
      </c>
      <c r="R586" s="4" t="n">
        <v>1000</v>
      </c>
      <c r="S586" s="4" t="n">
        <v>600</v>
      </c>
      <c r="T586" s="4" t="n">
        <v>11</v>
      </c>
      <c r="U586" s="2" t="inlineStr">
        <is>
          <t>Vivo TV Completo com HBO Max e Telecine</t>
        </is>
      </c>
      <c r="V586" s="2" t="inlineStr"/>
      <c r="W586" s="2" t="inlineStr">
        <is>
          <t>Vivo Travel Mundo; 10 linhas adicionais inclusas; Vivo TV Completo com HBO Max e Telecine</t>
        </is>
      </c>
      <c r="X586" s="2" t="inlineStr">
        <is>
          <t>1Giga de Vivo Fibra</t>
        </is>
      </c>
      <c r="Y586" s="2" t="inlineStr">
        <is>
          <t>https://vivo.com.br/para-voce/produtos-e-servicos/combos/vivo-total</t>
        </is>
      </c>
      <c r="Z586" s="2" t="inlineStr">
        <is>
          <t>data/raw/vivo_convergent_total_SP.html</t>
        </is>
      </c>
    </row>
    <row r="587">
      <c r="A587" s="5" t="inlineStr">
        <is>
          <t>2026-08-28</t>
        </is>
      </c>
      <c r="B587" s="5" t="inlineStr">
        <is>
          <t>2026-08-28T02:04:32</t>
        </is>
      </c>
      <c r="C587" s="5" t="inlineStr">
        <is>
          <t>claro</t>
        </is>
      </c>
      <c r="D587" s="5" t="inlineStr">
        <is>
          <t>SP</t>
        </is>
      </c>
      <c r="E587" s="5" t="inlineStr">
        <is>
          <t>1 Giga com Globoplay incluso + Claro tv+ Box + Disney+ Amazon Prime + Netflix + HBO Max + Apple TV + Globoplay</t>
        </is>
      </c>
      <c r="F587" s="5" t="inlineStr">
        <is>
          <t>claro:af8152be-4aa7-4aa8-819a-a79687a3a9a0</t>
        </is>
      </c>
      <c r="G587" s="6" t="n">
        <v>319.8</v>
      </c>
      <c r="H587" s="6" t="inlineStr"/>
      <c r="I587" s="5" t="inlineStr"/>
      <c r="J587" s="5" t="inlineStr"/>
      <c r="K587" s="5" t="inlineStr">
        <is>
          <t>tab: Fibra + TV</t>
        </is>
      </c>
      <c r="L587" s="5" t="inlineStr">
        <is>
          <t>broadband+tv</t>
        </is>
      </c>
      <c r="M587" s="5" t="inlineStr">
        <is>
          <t>Fiber + TV</t>
        </is>
      </c>
      <c r="N587" s="5" t="b">
        <v>0</v>
      </c>
      <c r="O587" s="5" t="b">
        <v>1</v>
      </c>
      <c r="P587" s="5" t="b">
        <v>1</v>
      </c>
      <c r="Q587" s="5" t="b">
        <v>0</v>
      </c>
      <c r="R587" s="7" t="n">
        <v>1000</v>
      </c>
      <c r="S587" s="7" t="inlineStr"/>
      <c r="T587" s="7" t="inlineStr"/>
      <c r="U587" s="5" t="inlineStr">
        <is>
          <t>Claro tv+ Box + Disney+ Amazon Prime + Netflix + HBO Max + Apple TV + Globoplay</t>
        </is>
      </c>
      <c r="V587" s="5" t="inlineStr"/>
      <c r="W587" s="5" t="inlineStr"/>
      <c r="X587" s="5" t="inlineStr"/>
      <c r="Y587" s="5" t="inlineStr">
        <is>
          <t>https://www.claro.com.br/multi</t>
        </is>
      </c>
      <c r="Z587" s="5" t="inlineStr">
        <is>
          <t>data/raw/claro_convergent_multi_SP.html</t>
        </is>
      </c>
    </row>
    <row r="588">
      <c r="A588" s="2" t="inlineStr">
        <is>
          <t>2026-08-28</t>
        </is>
      </c>
      <c r="B588" s="2" t="inlineStr">
        <is>
          <t>2026-08-28T02:04:32</t>
        </is>
      </c>
      <c r="C588" s="2" t="inlineStr">
        <is>
          <t>claro</t>
        </is>
      </c>
      <c r="D588" s="2" t="inlineStr">
        <is>
          <t>SP</t>
        </is>
      </c>
      <c r="E588" s="2" t="inlineStr">
        <is>
          <t>1 Giga com Globoplay incluso + Claro tv+ Soundbox + Disney+ Amazon Prime + Netflix + HBO Max + Apple TV + Globoplay</t>
        </is>
      </c>
      <c r="F588" s="2" t="inlineStr">
        <is>
          <t>claro:ceb9fd87-0897-4dd2-a2f2-e7f09e714e49</t>
        </is>
      </c>
      <c r="G588" s="3" t="n">
        <v>429.8</v>
      </c>
      <c r="H588" s="3" t="inlineStr"/>
      <c r="I588" s="2" t="inlineStr"/>
      <c r="J588" s="2" t="inlineStr"/>
      <c r="K588" s="2" t="inlineStr">
        <is>
          <t>tab: Fibra + TV</t>
        </is>
      </c>
      <c r="L588" s="2" t="inlineStr">
        <is>
          <t>broadband+tv</t>
        </is>
      </c>
      <c r="M588" s="2" t="inlineStr">
        <is>
          <t>Fiber + TV</t>
        </is>
      </c>
      <c r="N588" s="2" t="b">
        <v>0</v>
      </c>
      <c r="O588" s="2" t="b">
        <v>1</v>
      </c>
      <c r="P588" s="2" t="b">
        <v>1</v>
      </c>
      <c r="Q588" s="2" t="b">
        <v>0</v>
      </c>
      <c r="R588" s="4" t="n">
        <v>1000</v>
      </c>
      <c r="S588" s="4" t="inlineStr"/>
      <c r="T588" s="4" t="inlineStr"/>
      <c r="U588" s="2" t="inlineStr">
        <is>
          <t>Claro tv+ Soundbox + Disney+ Amazon Prime + Netflix + HBO Max + Apple TV + Globoplay</t>
        </is>
      </c>
      <c r="V588" s="2" t="inlineStr"/>
      <c r="W588" s="2" t="inlineStr"/>
      <c r="X588" s="2" t="inlineStr"/>
      <c r="Y588" s="2" t="inlineStr">
        <is>
          <t>https://www.claro.com.br/multi</t>
        </is>
      </c>
      <c r="Z588" s="2" t="inlineStr">
        <is>
          <t>data/raw/claro_convergent_multi_SP.html</t>
        </is>
      </c>
    </row>
    <row r="589">
      <c r="A589" s="5" t="inlineStr">
        <is>
          <t>2026-08-28</t>
        </is>
      </c>
      <c r="B589" s="5" t="inlineStr">
        <is>
          <t>2026-08-28T02:04:32</t>
        </is>
      </c>
      <c r="C589" s="5" t="inlineStr">
        <is>
          <t>claro</t>
        </is>
      </c>
      <c r="D589" s="5" t="inlineStr">
        <is>
          <t>SP</t>
        </is>
      </c>
      <c r="E589" s="5" t="inlineStr">
        <is>
          <t>1 Giga com Globoplay incluso + Pós 100GB</t>
        </is>
      </c>
      <c r="F589" s="5" t="inlineStr">
        <is>
          <t>claro:a1de0ac1-61bb-4e97-a744-1ae4c3541673</t>
        </is>
      </c>
      <c r="G589" s="6" t="n">
        <v>179.9</v>
      </c>
      <c r="H589" s="6" t="inlineStr"/>
      <c r="I589" s="5" t="inlineStr"/>
      <c r="J589" s="5" t="inlineStr"/>
      <c r="K589" s="5" t="inlineStr">
        <is>
          <t>tab: Fibra + Móvel</t>
        </is>
      </c>
      <c r="L589" s="5" t="inlineStr">
        <is>
          <t>mobile+broadband</t>
        </is>
      </c>
      <c r="M589" s="5" t="inlineStr">
        <is>
          <t>Fiber + Mobile</t>
        </is>
      </c>
      <c r="N589" s="5" t="b">
        <v>1</v>
      </c>
      <c r="O589" s="5" t="b">
        <v>1</v>
      </c>
      <c r="P589" s="5" t="b">
        <v>0</v>
      </c>
      <c r="Q589" s="5" t="b">
        <v>0</v>
      </c>
      <c r="R589" s="7" t="n">
        <v>1000</v>
      </c>
      <c r="S589" s="7" t="n">
        <v>100</v>
      </c>
      <c r="T589" s="7" t="n">
        <v>1</v>
      </c>
      <c r="U589" s="5" t="inlineStr"/>
      <c r="V589" s="5" t="inlineStr"/>
      <c r="W589" s="5" t="inlineStr"/>
      <c r="X589" s="5" t="inlineStr">
        <is>
          <t>Pós 100GB</t>
        </is>
      </c>
      <c r="Y589" s="5" t="inlineStr">
        <is>
          <t>https://www.claro.com.br/multi</t>
        </is>
      </c>
      <c r="Z589" s="5" t="inlineStr">
        <is>
          <t>data/raw/claro_convergent_multi_SP.html</t>
        </is>
      </c>
    </row>
    <row r="590">
      <c r="A590" s="2" t="inlineStr">
        <is>
          <t>2026-08-28</t>
        </is>
      </c>
      <c r="B590" s="2" t="inlineStr">
        <is>
          <t>2026-08-28T02:04:32</t>
        </is>
      </c>
      <c r="C590" s="2" t="inlineStr">
        <is>
          <t>claro</t>
        </is>
      </c>
      <c r="D590" s="2" t="inlineStr">
        <is>
          <t>SP</t>
        </is>
      </c>
      <c r="E590" s="2" t="inlineStr">
        <is>
          <t>1 Giga com Globoplay incluso + Pós 100GB + Claro tv+ Box + Disney+ Amazon Prime + Netflix + HBO Max + Apple TV + Globoplay</t>
        </is>
      </c>
      <c r="F590" s="2" t="inlineStr">
        <is>
          <t>claro:548c4bad-7857-4c0c-94d5-45d33d66c57f</t>
        </is>
      </c>
      <c r="G590" s="3" t="n">
        <v>289.8</v>
      </c>
      <c r="H590" s="3" t="inlineStr"/>
      <c r="I590" s="2" t="inlineStr"/>
      <c r="J590" s="2" t="inlineStr"/>
      <c r="K590" s="2" t="inlineStr">
        <is>
          <t>tab: Fibra + Móvel + TV</t>
        </is>
      </c>
      <c r="L590" s="2" t="inlineStr">
        <is>
          <t>mobile+broadband+tv</t>
        </is>
      </c>
      <c r="M590" s="2" t="inlineStr">
        <is>
          <t>Fiber + Mobile + TV</t>
        </is>
      </c>
      <c r="N590" s="2" t="b">
        <v>1</v>
      </c>
      <c r="O590" s="2" t="b">
        <v>1</v>
      </c>
      <c r="P590" s="2" t="b">
        <v>1</v>
      </c>
      <c r="Q590" s="2" t="b">
        <v>0</v>
      </c>
      <c r="R590" s="4" t="n">
        <v>1000</v>
      </c>
      <c r="S590" s="4" t="n">
        <v>100</v>
      </c>
      <c r="T590" s="4" t="n">
        <v>1</v>
      </c>
      <c r="U590" s="2" t="inlineStr">
        <is>
          <t>Claro tv+ Box + Disney+ Amazon Prime + Netflix + HBO Max + Apple TV + Globoplay</t>
        </is>
      </c>
      <c r="V590" s="2" t="inlineStr"/>
      <c r="W590" s="2" t="inlineStr"/>
      <c r="X590" s="2" t="inlineStr">
        <is>
          <t>Pós 100GB</t>
        </is>
      </c>
      <c r="Y590" s="2" t="inlineStr">
        <is>
          <t>https://www.claro.com.br/multi</t>
        </is>
      </c>
      <c r="Z590" s="2" t="inlineStr">
        <is>
          <t>data/raw/claro_convergent_multi_SP.html</t>
        </is>
      </c>
    </row>
    <row r="591">
      <c r="A591" s="5" t="inlineStr">
        <is>
          <t>2026-08-28</t>
        </is>
      </c>
      <c r="B591" s="5" t="inlineStr">
        <is>
          <t>2026-08-28T02:04:32</t>
        </is>
      </c>
      <c r="C591" s="5" t="inlineStr">
        <is>
          <t>claro</t>
        </is>
      </c>
      <c r="D591" s="5" t="inlineStr">
        <is>
          <t>SP</t>
        </is>
      </c>
      <c r="E591" s="5" t="inlineStr">
        <is>
          <t>1 Giga com Globoplay incluso + Pós 150GB</t>
        </is>
      </c>
      <c r="F591" s="5" t="inlineStr">
        <is>
          <t>claro:d47e2a3b-dfd0-410e-9c24-d07a334d01d4</t>
        </is>
      </c>
      <c r="G591" s="6" t="n">
        <v>299.9</v>
      </c>
      <c r="H591" s="6" t="inlineStr"/>
      <c r="I591" s="5" t="inlineStr"/>
      <c r="J591" s="5" t="inlineStr"/>
      <c r="K591" s="5" t="inlineStr">
        <is>
          <t>tab: Fibra + Móvel</t>
        </is>
      </c>
      <c r="L591" s="5" t="inlineStr">
        <is>
          <t>mobile+broadband</t>
        </is>
      </c>
      <c r="M591" s="5" t="inlineStr">
        <is>
          <t>Fiber + Mobile</t>
        </is>
      </c>
      <c r="N591" s="5" t="b">
        <v>1</v>
      </c>
      <c r="O591" s="5" t="b">
        <v>1</v>
      </c>
      <c r="P591" s="5" t="b">
        <v>0</v>
      </c>
      <c r="Q591" s="5" t="b">
        <v>0</v>
      </c>
      <c r="R591" s="7" t="n">
        <v>1000</v>
      </c>
      <c r="S591" s="7" t="n">
        <v>150</v>
      </c>
      <c r="T591" s="7" t="n">
        <v>2</v>
      </c>
      <c r="U591" s="5" t="inlineStr"/>
      <c r="V591" s="5" t="inlineStr"/>
      <c r="W591" s="5" t="inlineStr"/>
      <c r="X591" s="5" t="inlineStr">
        <is>
          <t>Pós 150GB</t>
        </is>
      </c>
      <c r="Y591" s="5" t="inlineStr">
        <is>
          <t>https://www.claro.com.br/multi</t>
        </is>
      </c>
      <c r="Z591" s="5" t="inlineStr">
        <is>
          <t>data/raw/claro_convergent_multi_SP.html</t>
        </is>
      </c>
    </row>
    <row r="592">
      <c r="A592" s="2" t="inlineStr">
        <is>
          <t>2026-08-28</t>
        </is>
      </c>
      <c r="B592" s="2" t="inlineStr">
        <is>
          <t>2026-08-28T02:04:32</t>
        </is>
      </c>
      <c r="C592" s="2" t="inlineStr">
        <is>
          <t>claro</t>
        </is>
      </c>
      <c r="D592" s="2" t="inlineStr">
        <is>
          <t>SP</t>
        </is>
      </c>
      <c r="E592" s="2" t="inlineStr">
        <is>
          <t>1 Giga com Globoplay incluso + Pós 150GB + Claro tv+ Box + Disney+ Amazon Prime + Netflix + HBO Max + Apple TV + Globoplay</t>
        </is>
      </c>
      <c r="F592" s="2" t="inlineStr">
        <is>
          <t>claro:7785b449-69f2-4234-9e24-8837e32a55c0</t>
        </is>
      </c>
      <c r="G592" s="3" t="n">
        <v>409.8</v>
      </c>
      <c r="H592" s="3" t="inlineStr"/>
      <c r="I592" s="2" t="inlineStr"/>
      <c r="J592" s="2" t="inlineStr"/>
      <c r="K592" s="2" t="inlineStr">
        <is>
          <t>tab: Fibra + Móvel + TV</t>
        </is>
      </c>
      <c r="L592" s="2" t="inlineStr">
        <is>
          <t>mobile+broadband+tv</t>
        </is>
      </c>
      <c r="M592" s="2" t="inlineStr">
        <is>
          <t>Fiber + Mobile + TV</t>
        </is>
      </c>
      <c r="N592" s="2" t="b">
        <v>1</v>
      </c>
      <c r="O592" s="2" t="b">
        <v>1</v>
      </c>
      <c r="P592" s="2" t="b">
        <v>1</v>
      </c>
      <c r="Q592" s="2" t="b">
        <v>0</v>
      </c>
      <c r="R592" s="4" t="n">
        <v>1000</v>
      </c>
      <c r="S592" s="4" t="n">
        <v>150</v>
      </c>
      <c r="T592" s="4" t="n">
        <v>1</v>
      </c>
      <c r="U592" s="2" t="inlineStr">
        <is>
          <t>Claro tv+ Box + Disney+ Amazon Prime + Netflix + HBO Max + Apple TV + Globoplay</t>
        </is>
      </c>
      <c r="V592" s="2" t="inlineStr"/>
      <c r="W592" s="2" t="inlineStr"/>
      <c r="X592" s="2" t="inlineStr">
        <is>
          <t>Pós 150GB</t>
        </is>
      </c>
      <c r="Y592" s="2" t="inlineStr">
        <is>
          <t>https://www.claro.com.br/multi</t>
        </is>
      </c>
      <c r="Z592" s="2" t="inlineStr">
        <is>
          <t>data/raw/claro_convergent_multi_SP.html</t>
        </is>
      </c>
    </row>
    <row r="593">
      <c r="A593" s="5" t="inlineStr">
        <is>
          <t>2026-08-28</t>
        </is>
      </c>
      <c r="B593" s="5" t="inlineStr">
        <is>
          <t>2026-08-28T02:04:32</t>
        </is>
      </c>
      <c r="C593" s="5" t="inlineStr">
        <is>
          <t>claro</t>
        </is>
      </c>
      <c r="D593" s="5" t="inlineStr">
        <is>
          <t>SP</t>
        </is>
      </c>
      <c r="E593" s="5" t="inlineStr">
        <is>
          <t>1 Giga com Globoplay incluso + Pós 200GB</t>
        </is>
      </c>
      <c r="F593" s="5" t="inlineStr">
        <is>
          <t>claro:1961a62d-3213-4ff0-a152-401a45c5b1b5</t>
        </is>
      </c>
      <c r="G593" s="6" t="n">
        <v>359.9</v>
      </c>
      <c r="H593" s="6" t="inlineStr"/>
      <c r="I593" s="5" t="inlineStr"/>
      <c r="J593" s="5" t="inlineStr"/>
      <c r="K593" s="5" t="inlineStr">
        <is>
          <t>tab: Fibra + Móvel</t>
        </is>
      </c>
      <c r="L593" s="5" t="inlineStr">
        <is>
          <t>mobile+broadband</t>
        </is>
      </c>
      <c r="M593" s="5" t="inlineStr">
        <is>
          <t>Fiber + Mobile</t>
        </is>
      </c>
      <c r="N593" s="5" t="b">
        <v>1</v>
      </c>
      <c r="O593" s="5" t="b">
        <v>1</v>
      </c>
      <c r="P593" s="5" t="b">
        <v>0</v>
      </c>
      <c r="Q593" s="5" t="b">
        <v>0</v>
      </c>
      <c r="R593" s="7" t="n">
        <v>1000</v>
      </c>
      <c r="S593" s="7" t="n">
        <v>200</v>
      </c>
      <c r="T593" s="7" t="n">
        <v>3</v>
      </c>
      <c r="U593" s="5" t="inlineStr"/>
      <c r="V593" s="5" t="inlineStr"/>
      <c r="W593" s="5" t="inlineStr"/>
      <c r="X593" s="5" t="inlineStr">
        <is>
          <t>Pós 200GB</t>
        </is>
      </c>
      <c r="Y593" s="5" t="inlineStr">
        <is>
          <t>https://www.claro.com.br/multi</t>
        </is>
      </c>
      <c r="Z593" s="5" t="inlineStr">
        <is>
          <t>data/raw/claro_convergent_multi_SP.html</t>
        </is>
      </c>
    </row>
    <row r="594">
      <c r="A594" s="2" t="inlineStr">
        <is>
          <t>2026-08-28</t>
        </is>
      </c>
      <c r="B594" s="2" t="inlineStr">
        <is>
          <t>2026-08-28T02:04:32</t>
        </is>
      </c>
      <c r="C594" s="2" t="inlineStr">
        <is>
          <t>claro</t>
        </is>
      </c>
      <c r="D594" s="2" t="inlineStr">
        <is>
          <t>SP</t>
        </is>
      </c>
      <c r="E594" s="2" t="inlineStr">
        <is>
          <t>1 Giga com Globoplay incluso + Pós 200GB + Claro tv+ Box + Disney+ Amazon Prime + Netflix + HBO Max + Apple TV + Globoplay</t>
        </is>
      </c>
      <c r="F594" s="2" t="inlineStr">
        <is>
          <t>claro:312815a2-b3a5-43bb-89a1-272d53ccb212</t>
        </is>
      </c>
      <c r="G594" s="3" t="n">
        <v>469.8</v>
      </c>
      <c r="H594" s="3" t="inlineStr"/>
      <c r="I594" s="2" t="inlineStr"/>
      <c r="J594" s="2" t="inlineStr"/>
      <c r="K594" s="2" t="inlineStr">
        <is>
          <t>tab: Fibra + Móvel + TV</t>
        </is>
      </c>
      <c r="L594" s="2" t="inlineStr">
        <is>
          <t>mobile+broadband+tv</t>
        </is>
      </c>
      <c r="M594" s="2" t="inlineStr">
        <is>
          <t>Fiber + Mobile + TV</t>
        </is>
      </c>
      <c r="N594" s="2" t="b">
        <v>1</v>
      </c>
      <c r="O594" s="2" t="b">
        <v>1</v>
      </c>
      <c r="P594" s="2" t="b">
        <v>1</v>
      </c>
      <c r="Q594" s="2" t="b">
        <v>0</v>
      </c>
      <c r="R594" s="4" t="n">
        <v>1000</v>
      </c>
      <c r="S594" s="4" t="n">
        <v>200</v>
      </c>
      <c r="T594" s="4" t="n">
        <v>1</v>
      </c>
      <c r="U594" s="2" t="inlineStr">
        <is>
          <t>Claro tv+ Box + Disney+ Amazon Prime + Netflix + HBO Max + Apple TV + Globoplay</t>
        </is>
      </c>
      <c r="V594" s="2" t="inlineStr"/>
      <c r="W594" s="2" t="inlineStr"/>
      <c r="X594" s="2" t="inlineStr">
        <is>
          <t>Pós 200GB</t>
        </is>
      </c>
      <c r="Y594" s="2" t="inlineStr">
        <is>
          <t>https://www.claro.com.br/multi</t>
        </is>
      </c>
      <c r="Z594" s="2" t="inlineStr">
        <is>
          <t>data/raw/claro_convergent_multi_SP.html</t>
        </is>
      </c>
    </row>
    <row r="595">
      <c r="A595" s="5" t="inlineStr">
        <is>
          <t>2026-08-28</t>
        </is>
      </c>
      <c r="B595" s="5" t="inlineStr">
        <is>
          <t>2026-08-28T02:04:32</t>
        </is>
      </c>
      <c r="C595" s="5" t="inlineStr">
        <is>
          <t>claro</t>
        </is>
      </c>
      <c r="D595" s="5" t="inlineStr">
        <is>
          <t>SP</t>
        </is>
      </c>
      <c r="E595" s="5" t="inlineStr">
        <is>
          <t>350 Mega com Globoplay incluso + Claro tv+ Box + Disney+ Amazon Prime + Netflix + HBO Max + Apple TV + Globoplay</t>
        </is>
      </c>
      <c r="F595" s="5" t="inlineStr">
        <is>
          <t>claro:97b00450-6f21-4349-8363-83d624b18328</t>
        </is>
      </c>
      <c r="G595" s="6" t="n">
        <v>229.8</v>
      </c>
      <c r="H595" s="6" t="inlineStr"/>
      <c r="I595" s="5" t="inlineStr"/>
      <c r="J595" s="5" t="inlineStr"/>
      <c r="K595" s="5" t="inlineStr">
        <is>
          <t>tab: Fibra + TV</t>
        </is>
      </c>
      <c r="L595" s="5" t="inlineStr">
        <is>
          <t>broadband+tv</t>
        </is>
      </c>
      <c r="M595" s="5" t="inlineStr">
        <is>
          <t>Fiber + TV</t>
        </is>
      </c>
      <c r="N595" s="5" t="b">
        <v>0</v>
      </c>
      <c r="O595" s="5" t="b">
        <v>1</v>
      </c>
      <c r="P595" s="5" t="b">
        <v>1</v>
      </c>
      <c r="Q595" s="5" t="b">
        <v>0</v>
      </c>
      <c r="R595" s="7" t="n">
        <v>350</v>
      </c>
      <c r="S595" s="7" t="inlineStr"/>
      <c r="T595" s="7" t="inlineStr"/>
      <c r="U595" s="5" t="inlineStr">
        <is>
          <t>Claro tv+ Box + Disney+ Amazon Prime + Netflix + HBO Max + Apple TV + Globoplay</t>
        </is>
      </c>
      <c r="V595" s="5" t="inlineStr"/>
      <c r="W595" s="5" t="inlineStr"/>
      <c r="X595" s="5" t="inlineStr"/>
      <c r="Y595" s="5" t="inlineStr">
        <is>
          <t>https://www.claro.com.br/multi</t>
        </is>
      </c>
      <c r="Z595" s="5" t="inlineStr">
        <is>
          <t>data/raw/claro_convergent_multi_SP.html</t>
        </is>
      </c>
    </row>
    <row r="596">
      <c r="A596" s="2" t="inlineStr">
        <is>
          <t>2026-08-28</t>
        </is>
      </c>
      <c r="B596" s="2" t="inlineStr">
        <is>
          <t>2026-08-28T02:04:32</t>
        </is>
      </c>
      <c r="C596" s="2" t="inlineStr">
        <is>
          <t>claro</t>
        </is>
      </c>
      <c r="D596" s="2" t="inlineStr">
        <is>
          <t>SP</t>
        </is>
      </c>
      <c r="E596" s="2" t="inlineStr">
        <is>
          <t>350 Mega com Globoplay incluso + Controle 40GB</t>
        </is>
      </c>
      <c r="F596" s="2" t="inlineStr">
        <is>
          <t>claro:a866ea9a-6a70-4b6e-b886-f8178086ca91</t>
        </is>
      </c>
      <c r="G596" s="3" t="n">
        <v>129.8</v>
      </c>
      <c r="H596" s="3" t="inlineStr"/>
      <c r="I596" s="2" t="inlineStr"/>
      <c r="J596" s="2" t="inlineStr">
        <is>
          <t>debit_auto</t>
        </is>
      </c>
      <c r="K596" s="2" t="inlineStr">
        <is>
          <t>tab: Fibra + Móvel; preço em débito em conta; +R$ 5.00 sem débito automático</t>
        </is>
      </c>
      <c r="L596" s="2" t="inlineStr">
        <is>
          <t>mobile+broadband</t>
        </is>
      </c>
      <c r="M596" s="2" t="inlineStr">
        <is>
          <t>Fiber + Mobile</t>
        </is>
      </c>
      <c r="N596" s="2" t="b">
        <v>1</v>
      </c>
      <c r="O596" s="2" t="b">
        <v>1</v>
      </c>
      <c r="P596" s="2" t="b">
        <v>0</v>
      </c>
      <c r="Q596" s="2" t="b">
        <v>0</v>
      </c>
      <c r="R596" s="4" t="n">
        <v>350</v>
      </c>
      <c r="S596" s="4" t="n">
        <v>40</v>
      </c>
      <c r="T596" s="4" t="n">
        <v>1</v>
      </c>
      <c r="U596" s="2" t="inlineStr"/>
      <c r="V596" s="2" t="inlineStr"/>
      <c r="W596" s="2" t="inlineStr"/>
      <c r="X596" s="2" t="inlineStr">
        <is>
          <t>Controle 40GB</t>
        </is>
      </c>
      <c r="Y596" s="2" t="inlineStr">
        <is>
          <t>https://www.claro.com.br/multi</t>
        </is>
      </c>
      <c r="Z596" s="2" t="inlineStr">
        <is>
          <t>data/raw/claro_convergent_multi_SP.html</t>
        </is>
      </c>
    </row>
    <row r="597">
      <c r="A597" s="5" t="inlineStr">
        <is>
          <t>2026-08-28</t>
        </is>
      </c>
      <c r="B597" s="5" t="inlineStr">
        <is>
          <t>2026-08-28T02:04:32</t>
        </is>
      </c>
      <c r="C597" s="5" t="inlineStr">
        <is>
          <t>claro</t>
        </is>
      </c>
      <c r="D597" s="5" t="inlineStr">
        <is>
          <t>SP</t>
        </is>
      </c>
      <c r="E597" s="5" t="inlineStr">
        <is>
          <t>350 Mega com Globoplay incluso + Pós 100GB + Claro tv+ Box + Disney+ Amazon Prime + Netflix + HBO Max + Apple TV + Globoplay</t>
        </is>
      </c>
      <c r="F597" s="5" t="inlineStr">
        <is>
          <t>claro:746fa9cf-ea2b-40de-ad2c-5803b3e0ab08</t>
        </is>
      </c>
      <c r="G597" s="6" t="n">
        <v>249.8</v>
      </c>
      <c r="H597" s="6" t="inlineStr"/>
      <c r="I597" s="5" t="inlineStr"/>
      <c r="J597" s="5" t="inlineStr"/>
      <c r="K597" s="5" t="inlineStr">
        <is>
          <t>tab: Fibra + Móvel + TV</t>
        </is>
      </c>
      <c r="L597" s="5" t="inlineStr">
        <is>
          <t>mobile+broadband+tv</t>
        </is>
      </c>
      <c r="M597" s="5" t="inlineStr">
        <is>
          <t>Fiber + Mobile + TV</t>
        </is>
      </c>
      <c r="N597" s="5" t="b">
        <v>1</v>
      </c>
      <c r="O597" s="5" t="b">
        <v>1</v>
      </c>
      <c r="P597" s="5" t="b">
        <v>1</v>
      </c>
      <c r="Q597" s="5" t="b">
        <v>0</v>
      </c>
      <c r="R597" s="7" t="n">
        <v>350</v>
      </c>
      <c r="S597" s="7" t="n">
        <v>100</v>
      </c>
      <c r="T597" s="7" t="n">
        <v>1</v>
      </c>
      <c r="U597" s="5" t="inlineStr">
        <is>
          <t>Claro tv+ Box + Disney+ Amazon Prime + Netflix + HBO Max + Apple TV + Globoplay</t>
        </is>
      </c>
      <c r="V597" s="5" t="inlineStr"/>
      <c r="W597" s="5" t="inlineStr"/>
      <c r="X597" s="5" t="inlineStr">
        <is>
          <t>Pós 100GB</t>
        </is>
      </c>
      <c r="Y597" s="5" t="inlineStr">
        <is>
          <t>https://www.claro.com.br/multi</t>
        </is>
      </c>
      <c r="Z597" s="5" t="inlineStr">
        <is>
          <t>data/raw/claro_convergent_multi_SP.html</t>
        </is>
      </c>
    </row>
    <row r="598">
      <c r="A598" s="2" t="inlineStr">
        <is>
          <t>2026-08-28</t>
        </is>
      </c>
      <c r="B598" s="2" t="inlineStr">
        <is>
          <t>2026-08-28T02:04:32</t>
        </is>
      </c>
      <c r="C598" s="2" t="inlineStr">
        <is>
          <t>claro</t>
        </is>
      </c>
      <c r="D598" s="2" t="inlineStr">
        <is>
          <t>SP</t>
        </is>
      </c>
      <c r="E598" s="2" t="inlineStr">
        <is>
          <t>600 Mega com Globoplay incluso + Claro tv+ Box + Disney+ Amazon Prime + Netflix + HBO Max + Apple TV + Globoplay</t>
        </is>
      </c>
      <c r="F598" s="2" t="inlineStr">
        <is>
          <t>claro:545261b1-2f4d-4dab-82a6-02d9e66c5d3d</t>
        </is>
      </c>
      <c r="G598" s="3" t="n">
        <v>239.8</v>
      </c>
      <c r="H598" s="3" t="inlineStr"/>
      <c r="I598" s="2" t="inlineStr"/>
      <c r="J598" s="2" t="inlineStr"/>
      <c r="K598" s="2" t="inlineStr">
        <is>
          <t>tab: Fibra + TV</t>
        </is>
      </c>
      <c r="L598" s="2" t="inlineStr">
        <is>
          <t>broadband+tv</t>
        </is>
      </c>
      <c r="M598" s="2" t="inlineStr">
        <is>
          <t>Fiber + TV</t>
        </is>
      </c>
      <c r="N598" s="2" t="b">
        <v>0</v>
      </c>
      <c r="O598" s="2" t="b">
        <v>1</v>
      </c>
      <c r="P598" s="2" t="b">
        <v>1</v>
      </c>
      <c r="Q598" s="2" t="b">
        <v>0</v>
      </c>
      <c r="R598" s="4" t="n">
        <v>600</v>
      </c>
      <c r="S598" s="4" t="inlineStr"/>
      <c r="T598" s="4" t="inlineStr"/>
      <c r="U598" s="2" t="inlineStr">
        <is>
          <t>Claro tv+ Box + Disney+ Amazon Prime + Netflix + HBO Max + Apple TV + Globoplay</t>
        </is>
      </c>
      <c r="V598" s="2" t="inlineStr"/>
      <c r="W598" s="2" t="inlineStr"/>
      <c r="X598" s="2" t="inlineStr"/>
      <c r="Y598" s="2" t="inlineStr">
        <is>
          <t>https://www.claro.com.br/multi</t>
        </is>
      </c>
      <c r="Z598" s="2" t="inlineStr">
        <is>
          <t>data/raw/claro_convergent_multi_SP.html</t>
        </is>
      </c>
    </row>
    <row r="599">
      <c r="A599" s="5" t="inlineStr">
        <is>
          <t>2026-08-28</t>
        </is>
      </c>
      <c r="B599" s="5" t="inlineStr">
        <is>
          <t>2026-08-28T02:04:32</t>
        </is>
      </c>
      <c r="C599" s="5" t="inlineStr">
        <is>
          <t>claro</t>
        </is>
      </c>
      <c r="D599" s="5" t="inlineStr">
        <is>
          <t>SP</t>
        </is>
      </c>
      <c r="E599" s="5" t="inlineStr">
        <is>
          <t>600 Mega com Globoplay incluso + Pós 100GB</t>
        </is>
      </c>
      <c r="F599" s="5" t="inlineStr">
        <is>
          <t>claro:350ac58a-533c-4858-83be-be3ea39c8874</t>
        </is>
      </c>
      <c r="G599" s="6" t="n">
        <v>159.9</v>
      </c>
      <c r="H599" s="6" t="inlineStr"/>
      <c r="I599" s="5" t="inlineStr"/>
      <c r="J599" s="5" t="inlineStr"/>
      <c r="K599" s="5" t="inlineStr">
        <is>
          <t>tab: Fibra + Móvel</t>
        </is>
      </c>
      <c r="L599" s="5" t="inlineStr">
        <is>
          <t>mobile+broadband</t>
        </is>
      </c>
      <c r="M599" s="5" t="inlineStr">
        <is>
          <t>Fiber + Mobile</t>
        </is>
      </c>
      <c r="N599" s="5" t="b">
        <v>1</v>
      </c>
      <c r="O599" s="5" t="b">
        <v>1</v>
      </c>
      <c r="P599" s="5" t="b">
        <v>0</v>
      </c>
      <c r="Q599" s="5" t="b">
        <v>0</v>
      </c>
      <c r="R599" s="7" t="n">
        <v>600</v>
      </c>
      <c r="S599" s="7" t="n">
        <v>100</v>
      </c>
      <c r="T599" s="7" t="n">
        <v>1</v>
      </c>
      <c r="U599" s="5" t="inlineStr"/>
      <c r="V599" s="5" t="inlineStr"/>
      <c r="W599" s="5" t="inlineStr"/>
      <c r="X599" s="5" t="inlineStr">
        <is>
          <t>Pós 100GB</t>
        </is>
      </c>
      <c r="Y599" s="5" t="inlineStr">
        <is>
          <t>https://www.claro.com.br/multi</t>
        </is>
      </c>
      <c r="Z599" s="5" t="inlineStr">
        <is>
          <t>data/raw/claro_convergent_multi_SP.html</t>
        </is>
      </c>
    </row>
    <row r="600">
      <c r="A600" s="2" t="inlineStr">
        <is>
          <t>2026-08-28</t>
        </is>
      </c>
      <c r="B600" s="2" t="inlineStr">
        <is>
          <t>2026-08-28T02:04:32</t>
        </is>
      </c>
      <c r="C600" s="2" t="inlineStr">
        <is>
          <t>claro</t>
        </is>
      </c>
      <c r="D600" s="2" t="inlineStr">
        <is>
          <t>SP</t>
        </is>
      </c>
      <c r="E600" s="2" t="inlineStr">
        <is>
          <t>600 Mega com Globoplay incluso + Pós 100GB + Claro tv+ Box + Disney+ Amazon Prime + Netflix + HBO Max + Apple TV + Globoplay</t>
        </is>
      </c>
      <c r="F600" s="2" t="inlineStr">
        <is>
          <t>claro:f36e7dfb-f7c9-4055-844f-7bc101699de8</t>
        </is>
      </c>
      <c r="G600" s="3" t="n">
        <v>269.8</v>
      </c>
      <c r="H600" s="3" t="inlineStr"/>
      <c r="I600" s="2" t="inlineStr"/>
      <c r="J600" s="2" t="inlineStr"/>
      <c r="K600" s="2" t="inlineStr">
        <is>
          <t>tab: Fibra + Móvel + TV</t>
        </is>
      </c>
      <c r="L600" s="2" t="inlineStr">
        <is>
          <t>mobile+broadband+tv</t>
        </is>
      </c>
      <c r="M600" s="2" t="inlineStr">
        <is>
          <t>Fiber + Mobile + TV</t>
        </is>
      </c>
      <c r="N600" s="2" t="b">
        <v>1</v>
      </c>
      <c r="O600" s="2" t="b">
        <v>1</v>
      </c>
      <c r="P600" s="2" t="b">
        <v>1</v>
      </c>
      <c r="Q600" s="2" t="b">
        <v>0</v>
      </c>
      <c r="R600" s="4" t="n">
        <v>600</v>
      </c>
      <c r="S600" s="4" t="n">
        <v>100</v>
      </c>
      <c r="T600" s="4" t="n">
        <v>1</v>
      </c>
      <c r="U600" s="2" t="inlineStr">
        <is>
          <t>Claro tv+ Box + Disney+ Amazon Prime + Netflix + HBO Max + Apple TV + Globoplay</t>
        </is>
      </c>
      <c r="V600" s="2" t="inlineStr"/>
      <c r="W600" s="2" t="inlineStr"/>
      <c r="X600" s="2" t="inlineStr">
        <is>
          <t>Pós 100GB</t>
        </is>
      </c>
      <c r="Y600" s="2" t="inlineStr">
        <is>
          <t>https://www.claro.com.br/multi</t>
        </is>
      </c>
      <c r="Z600" s="2" t="inlineStr">
        <is>
          <t>data/raw/claro_convergent_multi_SP.html</t>
        </is>
      </c>
    </row>
    <row r="601">
      <c r="A601" s="5" t="inlineStr">
        <is>
          <t>2026-08-28</t>
        </is>
      </c>
      <c r="B601" s="5" t="inlineStr">
        <is>
          <t>2026-08-28T02:04:32</t>
        </is>
      </c>
      <c r="C601" s="5" t="inlineStr">
        <is>
          <t>tim</t>
        </is>
      </c>
      <c r="D601" s="5" t="inlineStr">
        <is>
          <t>SP</t>
        </is>
      </c>
      <c r="E601" s="5" t="inlineStr">
        <is>
          <t>TIM Ultracombo 5</t>
        </is>
      </c>
      <c r="F601" s="5" t="inlineStr">
        <is>
          <t>tim:167756</t>
        </is>
      </c>
      <c r="G601" s="6" t="n">
        <v>169.99</v>
      </c>
      <c r="H601" s="6" t="inlineStr"/>
      <c r="I601" s="5" t="inlineStr"/>
      <c r="J601" s="5" t="inlineStr">
        <is>
          <t>debit_auto</t>
        </is>
      </c>
      <c r="K601" s="5" t="inlineStr">
        <is>
          <t>preço em débito automático; R$ 179,99/mês no pagamento por fatura</t>
        </is>
      </c>
      <c r="L601" s="5" t="inlineStr">
        <is>
          <t>mobile+broadband</t>
        </is>
      </c>
      <c r="M601" s="5" t="inlineStr">
        <is>
          <t>Fiber + Mobile</t>
        </is>
      </c>
      <c r="N601" s="5" t="b">
        <v>1</v>
      </c>
      <c r="O601" s="5" t="b">
        <v>1</v>
      </c>
      <c r="P601" s="5" t="b">
        <v>0</v>
      </c>
      <c r="Q601" s="5" t="b">
        <v>0</v>
      </c>
      <c r="R601" s="7" t="n">
        <v>1000</v>
      </c>
      <c r="S601" s="7" t="n">
        <v>115</v>
      </c>
      <c r="T601" s="7" t="n">
        <v>1</v>
      </c>
      <c r="U601" s="5" t="inlineStr"/>
      <c r="V601" s="5" t="inlineStr">
        <is>
          <t>Paramount+, Deezer</t>
        </is>
      </c>
      <c r="W601" s="5" t="inlineStr"/>
      <c r="X601" s="5" t="inlineStr">
        <is>
          <t>1GIGA de Ultrafibra para casa + 115GB de TIM Black C Hero para móvel: (25GB do plano + 40GB promo + 50GB bônus especial)</t>
        </is>
      </c>
      <c r="Y601" s="5" t="inlineStr">
        <is>
          <t>https://www.tim.com.br/sp/internet/tim-ultracombo</t>
        </is>
      </c>
      <c r="Z601" s="5" t="inlineStr">
        <is>
          <t>data/raw/tim_convergent_ultracombo_SP.html</t>
        </is>
      </c>
    </row>
    <row r="602">
      <c r="A602" s="2" t="inlineStr">
        <is>
          <t>2026-08-28</t>
        </is>
      </c>
      <c r="B602" s="2" t="inlineStr">
        <is>
          <t>2026-08-28T02:04:32</t>
        </is>
      </c>
      <c r="C602" s="2" t="inlineStr">
        <is>
          <t>tim</t>
        </is>
      </c>
      <c r="D602" s="2" t="inlineStr">
        <is>
          <t>SP</t>
        </is>
      </c>
      <c r="E602" s="2" t="inlineStr">
        <is>
          <t>TIM Ultracombo 6</t>
        </is>
      </c>
      <c r="F602" s="2" t="inlineStr">
        <is>
          <t>tim:167751</t>
        </is>
      </c>
      <c r="G602" s="3" t="n">
        <v>139.99</v>
      </c>
      <c r="H602" s="3" t="inlineStr"/>
      <c r="I602" s="2" t="inlineStr"/>
      <c r="J602" s="2" t="inlineStr">
        <is>
          <t>debit_auto</t>
        </is>
      </c>
      <c r="K602" s="2" t="inlineStr">
        <is>
          <t>preço em débito automático; R$ 149,99/mês no pagamento por fatura</t>
        </is>
      </c>
      <c r="L602" s="2" t="inlineStr">
        <is>
          <t>mobile+broadband</t>
        </is>
      </c>
      <c r="M602" s="2" t="inlineStr">
        <is>
          <t>Fiber + Mobile</t>
        </is>
      </c>
      <c r="N602" s="2" t="b">
        <v>1</v>
      </c>
      <c r="O602" s="2" t="b">
        <v>1</v>
      </c>
      <c r="P602" s="2" t="b">
        <v>0</v>
      </c>
      <c r="Q602" s="2" t="b">
        <v>0</v>
      </c>
      <c r="R602" s="4" t="n">
        <v>1000</v>
      </c>
      <c r="S602" s="4" t="n">
        <v>70</v>
      </c>
      <c r="T602" s="4" t="n">
        <v>1</v>
      </c>
      <c r="U602" s="2" t="inlineStr"/>
      <c r="V602" s="2" t="inlineStr">
        <is>
          <t>Paramount+, Deezer</t>
        </is>
      </c>
      <c r="W602" s="2" t="inlineStr"/>
      <c r="X602" s="2" t="inlineStr">
        <is>
          <t>1GIGA de Ultrafibra para casa + 70GB de TIM Black A para móvel: (15GB do plano + 50GB promo + 5GB bônus especial)</t>
        </is>
      </c>
      <c r="Y602" s="2" t="inlineStr">
        <is>
          <t>https://www.tim.com.br/sp/internet/tim-ultracombo</t>
        </is>
      </c>
      <c r="Z602" s="2" t="inlineStr">
        <is>
          <t>data/raw/tim_convergent_ultracombo_SP.html</t>
        </is>
      </c>
    </row>
    <row r="603">
      <c r="A603" s="5" t="inlineStr">
        <is>
          <t>2026-08-28</t>
        </is>
      </c>
      <c r="B603" s="5" t="inlineStr">
        <is>
          <t>2026-08-28T02:04:32</t>
        </is>
      </c>
      <c r="C603" s="5" t="inlineStr">
        <is>
          <t>tim</t>
        </is>
      </c>
      <c r="D603" s="5" t="inlineStr">
        <is>
          <t>SP</t>
        </is>
      </c>
      <c r="E603" s="5" t="inlineStr">
        <is>
          <t>TIM Ultracombo 7</t>
        </is>
      </c>
      <c r="F603" s="5" t="inlineStr">
        <is>
          <t>tim:167761</t>
        </is>
      </c>
      <c r="G603" s="6" t="n">
        <v>89.98999999999999</v>
      </c>
      <c r="H603" s="6" t="inlineStr"/>
      <c r="I603" s="5" t="inlineStr"/>
      <c r="J603" s="5" t="inlineStr">
        <is>
          <t>debit_auto</t>
        </is>
      </c>
      <c r="K603" s="5" t="inlineStr">
        <is>
          <t>preço em débito automático; R$ 99,99/mês no pagamento por fatura</t>
        </is>
      </c>
      <c r="L603" s="5" t="inlineStr">
        <is>
          <t>mobile+broadband</t>
        </is>
      </c>
      <c r="M603" s="5" t="inlineStr">
        <is>
          <t>Fiber + Mobile</t>
        </is>
      </c>
      <c r="N603" s="5" t="b">
        <v>1</v>
      </c>
      <c r="O603" s="5" t="b">
        <v>1</v>
      </c>
      <c r="P603" s="5" t="b">
        <v>0</v>
      </c>
      <c r="Q603" s="5" t="b">
        <v>0</v>
      </c>
      <c r="R603" s="7" t="n">
        <v>500</v>
      </c>
      <c r="S603" s="7" t="n">
        <v>65</v>
      </c>
      <c r="T603" s="7" t="n">
        <v>1</v>
      </c>
      <c r="U603" s="5" t="inlineStr"/>
      <c r="V603" s="5" t="inlineStr"/>
      <c r="W603" s="5" t="inlineStr"/>
      <c r="X603" s="5" t="inlineStr">
        <is>
          <t>500MEGA de Ultrafibra para casa + 65GB de TIM Black A Light para móvel: (10GB do plano + 50GB promo)</t>
        </is>
      </c>
      <c r="Y603" s="5" t="inlineStr">
        <is>
          <t>https://www.tim.com.br/sp/internet/tim-ultracombo</t>
        </is>
      </c>
      <c r="Z603" s="5" t="inlineStr">
        <is>
          <t>data/raw/tim_convergent_ultracombo_SP.html</t>
        </is>
      </c>
    </row>
    <row r="604">
      <c r="A604" s="2" t="inlineStr">
        <is>
          <t>2026-08-28</t>
        </is>
      </c>
      <c r="B604" s="2" t="inlineStr">
        <is>
          <t>2026-08-28T02:04:32</t>
        </is>
      </c>
      <c r="C604" s="2" t="inlineStr">
        <is>
          <t>vivo</t>
        </is>
      </c>
      <c r="D604" s="2" t="inlineStr">
        <is>
          <t>SP</t>
        </is>
      </c>
      <c r="E604" s="2" t="inlineStr">
        <is>
          <t>Vivo Família 2</t>
        </is>
      </c>
      <c r="F604" s="2" t="inlineStr">
        <is>
          <t>vivo:VIV202604032132-3-305-316-336-408-411-426-430-442</t>
        </is>
      </c>
      <c r="G604" s="3" t="n">
        <v>290</v>
      </c>
      <c r="H604" s="3" t="inlineStr"/>
      <c r="I604" s="2" t="inlineStr"/>
      <c r="J604" s="2" t="inlineStr"/>
      <c r="K604" s="2" t="inlineStr">
        <is>
          <t>instalação grátis mediante fidelização (não afeta a mensalidade)</t>
        </is>
      </c>
      <c r="L604" s="2" t="inlineStr">
        <is>
          <t>mobile+broadband+tv</t>
        </is>
      </c>
      <c r="M604" s="2" t="inlineStr">
        <is>
          <t>Fiber + Mobile + TV</t>
        </is>
      </c>
      <c r="N604" s="2" t="b">
        <v>1</v>
      </c>
      <c r="O604" s="2" t="b">
        <v>1</v>
      </c>
      <c r="P604" s="2" t="b">
        <v>1</v>
      </c>
      <c r="Q604" s="2" t="b">
        <v>0</v>
      </c>
      <c r="R604" s="4" t="n">
        <v>700</v>
      </c>
      <c r="S604" s="4" t="n">
        <v>120</v>
      </c>
      <c r="T604" s="4" t="n">
        <v>2</v>
      </c>
      <c r="U604" s="2" t="inlineStr">
        <is>
          <t>80 canais de Vivo Estendido</t>
        </is>
      </c>
      <c r="V604" s="2" t="inlineStr"/>
      <c r="W604" s="2" t="inlineStr">
        <is>
          <t>Vivo Travel américas e europa; 1 linha adicional inclusa</t>
        </is>
      </c>
      <c r="X604" s="2" t="inlineStr">
        <is>
          <t>700 Mega de Vivo Fibra</t>
        </is>
      </c>
      <c r="Y604" s="2" t="inlineStr">
        <is>
          <t>https://vivo.com.br/para-voce/produtos-e-servicos/combos/vivo-total</t>
        </is>
      </c>
      <c r="Z604" s="2" t="inlineStr">
        <is>
          <t>data/raw/vivo_convergent_total_SP.html</t>
        </is>
      </c>
    </row>
    <row r="605">
      <c r="A605" s="5" t="inlineStr">
        <is>
          <t>2026-08-28</t>
        </is>
      </c>
      <c r="B605" s="5" t="inlineStr">
        <is>
          <t>2026-08-28T02:04:32</t>
        </is>
      </c>
      <c r="C605" s="5" t="inlineStr">
        <is>
          <t>vivo</t>
        </is>
      </c>
      <c r="D605" s="5" t="inlineStr">
        <is>
          <t>SP</t>
        </is>
      </c>
      <c r="E605" s="5" t="inlineStr">
        <is>
          <t>Vivo Família 2</t>
        </is>
      </c>
      <c r="F605" s="5" t="inlineStr">
        <is>
          <t>vivo:VIV202604032112-3-9-305-316-408-411-426-430-442</t>
        </is>
      </c>
      <c r="G605" s="6" t="n">
        <v>390</v>
      </c>
      <c r="H605" s="6" t="inlineStr"/>
      <c r="I605" s="5" t="inlineStr"/>
      <c r="J605" s="5" t="inlineStr"/>
      <c r="K605" s="5" t="inlineStr">
        <is>
          <t>instalação grátis mediante fidelização (não afeta a mensalidade)</t>
        </is>
      </c>
      <c r="L605" s="5" t="inlineStr">
        <is>
          <t>mobile+broadband+tv</t>
        </is>
      </c>
      <c r="M605" s="5" t="inlineStr">
        <is>
          <t>Fiber + Mobile + TV</t>
        </is>
      </c>
      <c r="N605" s="5" t="b">
        <v>1</v>
      </c>
      <c r="O605" s="5" t="b">
        <v>1</v>
      </c>
      <c r="P605" s="5" t="b">
        <v>1</v>
      </c>
      <c r="Q605" s="5" t="b">
        <v>0</v>
      </c>
      <c r="R605" s="7" t="n">
        <v>700</v>
      </c>
      <c r="S605" s="7" t="n">
        <v>120</v>
      </c>
      <c r="T605" s="7" t="n">
        <v>2</v>
      </c>
      <c r="U605" s="5" t="inlineStr">
        <is>
          <t>120 canais de Vivo TV Avançado + 1 ponto adicional</t>
        </is>
      </c>
      <c r="V605" s="5" t="inlineStr"/>
      <c r="W605" s="5" t="inlineStr">
        <is>
          <t>Vivo Travel américas e europa; 1 linha adicional inclusa</t>
        </is>
      </c>
      <c r="X605" s="5" t="inlineStr">
        <is>
          <t>700 Mega de Vivo Fibra</t>
        </is>
      </c>
      <c r="Y605" s="5" t="inlineStr">
        <is>
          <t>https://vivo.com.br/para-voce/produtos-e-servicos/combos/vivo-total</t>
        </is>
      </c>
      <c r="Z605" s="5" t="inlineStr">
        <is>
          <t>data/raw/vivo_convergent_total_SP.html</t>
        </is>
      </c>
    </row>
    <row r="606">
      <c r="A606" s="2" t="inlineStr">
        <is>
          <t>2026-08-28</t>
        </is>
      </c>
      <c r="B606" s="2" t="inlineStr">
        <is>
          <t>2026-08-28T02:04:32</t>
        </is>
      </c>
      <c r="C606" s="2" t="inlineStr">
        <is>
          <t>vivo</t>
        </is>
      </c>
      <c r="D606" s="2" t="inlineStr">
        <is>
          <t>SP</t>
        </is>
      </c>
      <c r="E606" s="2" t="inlineStr">
        <is>
          <t>Vivo Total Família 2</t>
        </is>
      </c>
      <c r="F606" s="2" t="inlineStr">
        <is>
          <t>vivo:VIV202604032132-3-305-316-408-411-426-430-442</t>
        </is>
      </c>
      <c r="G606" s="3" t="n">
        <v>270</v>
      </c>
      <c r="H606" s="3" t="inlineStr"/>
      <c r="I606" s="2" t="inlineStr"/>
      <c r="J606" s="2" t="inlineStr"/>
      <c r="K606" s="2" t="inlineStr">
        <is>
          <t>instalação grátis mediante fidelização (não afeta a mensalidade)</t>
        </is>
      </c>
      <c r="L606" s="2" t="inlineStr">
        <is>
          <t>mobile+broadband</t>
        </is>
      </c>
      <c r="M606" s="2" t="inlineStr">
        <is>
          <t>Fiber + Mobile</t>
        </is>
      </c>
      <c r="N606" s="2" t="b">
        <v>1</v>
      </c>
      <c r="O606" s="2" t="b">
        <v>1</v>
      </c>
      <c r="P606" s="2" t="b">
        <v>0</v>
      </c>
      <c r="Q606" s="2" t="b">
        <v>0</v>
      </c>
      <c r="R606" s="4" t="n">
        <v>700</v>
      </c>
      <c r="S606" s="4" t="n">
        <v>120</v>
      </c>
      <c r="T606" s="4" t="n">
        <v>2</v>
      </c>
      <c r="U606" s="2" t="inlineStr"/>
      <c r="V606" s="2" t="inlineStr"/>
      <c r="W606" s="2" t="inlineStr">
        <is>
          <t>Vivo Travel Américas e Europa; 1 linha adicional inclusa</t>
        </is>
      </c>
      <c r="X606" s="2" t="inlineStr">
        <is>
          <t>700 Mega de Vivo Fibra</t>
        </is>
      </c>
      <c r="Y606" s="2" t="inlineStr">
        <is>
          <t>https://vivo.com.br/para-voce/produtos-e-servicos/combos/vivo-total</t>
        </is>
      </c>
      <c r="Z606" s="2" t="inlineStr">
        <is>
          <t>data/raw/vivo_convergent_total_SP.html</t>
        </is>
      </c>
    </row>
    <row r="607">
      <c r="A607" s="5" t="inlineStr">
        <is>
          <t>2026-08-28</t>
        </is>
      </c>
      <c r="B607" s="5" t="inlineStr">
        <is>
          <t>2026-08-28T02:04:32</t>
        </is>
      </c>
      <c r="C607" s="5" t="inlineStr">
        <is>
          <t>vivo</t>
        </is>
      </c>
      <c r="D607" s="5" t="inlineStr">
        <is>
          <t>SP</t>
        </is>
      </c>
      <c r="E607" s="5" t="inlineStr">
        <is>
          <t>Vivo Total Família 3</t>
        </is>
      </c>
      <c r="F607" s="5" t="inlineStr">
        <is>
          <t>vivo:VIV202604032212-4-305-316-408-411-426-430-442</t>
        </is>
      </c>
      <c r="G607" s="6" t="n">
        <v>330</v>
      </c>
      <c r="H607" s="6" t="inlineStr"/>
      <c r="I607" s="5" t="inlineStr"/>
      <c r="J607" s="5" t="inlineStr"/>
      <c r="K607" s="5" t="inlineStr">
        <is>
          <t>instalação grátis mediante fidelização (não afeta a mensalidade)</t>
        </is>
      </c>
      <c r="L607" s="5" t="inlineStr">
        <is>
          <t>mobile+broadband</t>
        </is>
      </c>
      <c r="M607" s="5" t="inlineStr">
        <is>
          <t>Fiber + Mobile</t>
        </is>
      </c>
      <c r="N607" s="5" t="b">
        <v>1</v>
      </c>
      <c r="O607" s="5" t="b">
        <v>1</v>
      </c>
      <c r="P607" s="5" t="b">
        <v>0</v>
      </c>
      <c r="Q607" s="5" t="b">
        <v>0</v>
      </c>
      <c r="R607" s="7" t="n">
        <v>700</v>
      </c>
      <c r="S607" s="7" t="n">
        <v>180</v>
      </c>
      <c r="T607" s="7" t="n">
        <v>3</v>
      </c>
      <c r="U607" s="5" t="inlineStr"/>
      <c r="V607" s="5" t="inlineStr"/>
      <c r="W607" s="5" t="inlineStr">
        <is>
          <t>Vivo Travel Américas e Europa; 2 linhas adicionais inclusas</t>
        </is>
      </c>
      <c r="X607" s="5" t="inlineStr">
        <is>
          <t>700 Mega de Vivo Fibra</t>
        </is>
      </c>
      <c r="Y607" s="5" t="inlineStr">
        <is>
          <t>https://vivo.com.br/para-voce/produtos-e-servicos/combos/vivo-total</t>
        </is>
      </c>
      <c r="Z607" s="5" t="inlineStr">
        <is>
          <t>data/raw/vivo_convergent_total_SP.html</t>
        </is>
      </c>
    </row>
    <row r="608">
      <c r="A608" s="2" t="inlineStr">
        <is>
          <t>2026-08-28</t>
        </is>
      </c>
      <c r="B608" s="2" t="inlineStr">
        <is>
          <t>2026-08-28T02:04:32</t>
        </is>
      </c>
      <c r="C608" s="2" t="inlineStr">
        <is>
          <t>vivo</t>
        </is>
      </c>
      <c r="D608" s="2" t="inlineStr">
        <is>
          <t>SP</t>
        </is>
      </c>
      <c r="E608" s="2" t="inlineStr">
        <is>
          <t>Vivo Total Família 4</t>
        </is>
      </c>
      <c r="F608" s="2" t="inlineStr">
        <is>
          <t>vivo:VIV202604032292-237-305-316-408-411-426-430-442</t>
        </is>
      </c>
      <c r="G608" s="3" t="n">
        <v>420</v>
      </c>
      <c r="H608" s="3" t="inlineStr"/>
      <c r="I608" s="2" t="inlineStr"/>
      <c r="J608" s="2" t="inlineStr"/>
      <c r="K608" s="2" t="inlineStr">
        <is>
          <t>instalação grátis mediante fidelização (não afeta a mensalidade)</t>
        </is>
      </c>
      <c r="L608" s="2" t="inlineStr">
        <is>
          <t>mobile+broadband</t>
        </is>
      </c>
      <c r="M608" s="2" t="inlineStr">
        <is>
          <t>Fiber + Mobile</t>
        </is>
      </c>
      <c r="N608" s="2" t="b">
        <v>1</v>
      </c>
      <c r="O608" s="2" t="b">
        <v>1</v>
      </c>
      <c r="P608" s="2" t="b">
        <v>0</v>
      </c>
      <c r="Q608" s="2" t="b">
        <v>0</v>
      </c>
      <c r="R608" s="4" t="n">
        <v>700</v>
      </c>
      <c r="S608" s="4" t="n">
        <v>240</v>
      </c>
      <c r="T608" s="4" t="n">
        <v>4</v>
      </c>
      <c r="U608" s="2" t="inlineStr"/>
      <c r="V608" s="2" t="inlineStr"/>
      <c r="W608" s="2" t="inlineStr">
        <is>
          <t>Vivo Travel Américas e Europa; 3 linhas adicionais inclusas</t>
        </is>
      </c>
      <c r="X608" s="2" t="inlineStr">
        <is>
          <t>700 Mega de Vivo Fibra</t>
        </is>
      </c>
      <c r="Y608" s="2" t="inlineStr">
        <is>
          <t>https://vivo.com.br/para-voce/produtos-e-servicos/combos/vivo-total</t>
        </is>
      </c>
      <c r="Z608" s="2" t="inlineStr">
        <is>
          <t>data/raw/vivo_convergent_total_SP.html</t>
        </is>
      </c>
    </row>
    <row r="609">
      <c r="A609" s="5" t="inlineStr">
        <is>
          <t>2026-08-28</t>
        </is>
      </c>
      <c r="B609" s="5" t="inlineStr">
        <is>
          <t>2026-08-28T02:04:32</t>
        </is>
      </c>
      <c r="C609" s="5" t="inlineStr">
        <is>
          <t>vivo</t>
        </is>
      </c>
      <c r="D609" s="5" t="inlineStr">
        <is>
          <t>SP</t>
        </is>
      </c>
      <c r="E609" s="5" t="inlineStr">
        <is>
          <t>Vivo Total Família 5</t>
        </is>
      </c>
      <c r="F609" s="5" t="inlineStr">
        <is>
          <t>vivo:VIV202604032372-5-305-316-408-411-426-430-442</t>
        </is>
      </c>
      <c r="G609" s="6" t="n">
        <v>520</v>
      </c>
      <c r="H609" s="6" t="inlineStr"/>
      <c r="I609" s="5" t="inlineStr"/>
      <c r="J609" s="5" t="inlineStr"/>
      <c r="K609" s="5" t="inlineStr">
        <is>
          <t>instalação grátis mediante fidelização (não afeta a mensalidade)</t>
        </is>
      </c>
      <c r="L609" s="5" t="inlineStr">
        <is>
          <t>mobile+broadband</t>
        </is>
      </c>
      <c r="M609" s="5" t="inlineStr">
        <is>
          <t>Fiber + Mobile</t>
        </is>
      </c>
      <c r="N609" s="5" t="b">
        <v>1</v>
      </c>
      <c r="O609" s="5" t="b">
        <v>1</v>
      </c>
      <c r="P609" s="5" t="b">
        <v>0</v>
      </c>
      <c r="Q609" s="5" t="b">
        <v>0</v>
      </c>
      <c r="R609" s="7" t="n">
        <v>700</v>
      </c>
      <c r="S609" s="7" t="n">
        <v>300</v>
      </c>
      <c r="T609" s="7" t="n">
        <v>5</v>
      </c>
      <c r="U609" s="5" t="inlineStr"/>
      <c r="V609" s="5" t="inlineStr"/>
      <c r="W609" s="5" t="inlineStr">
        <is>
          <t>Vivo Travel Américas e Europa; 4 linhas adicionais inclusas</t>
        </is>
      </c>
      <c r="X609" s="5" t="inlineStr">
        <is>
          <t>700 Mega de Vivo Fibra</t>
        </is>
      </c>
      <c r="Y609" s="5" t="inlineStr">
        <is>
          <t>https://vivo.com.br/para-voce/produtos-e-servicos/combos/vivo-total</t>
        </is>
      </c>
      <c r="Z609" s="5" t="inlineStr">
        <is>
          <t>data/raw/vivo_convergent_total_SP.html</t>
        </is>
      </c>
    </row>
    <row r="610">
      <c r="A610" s="2" t="inlineStr">
        <is>
          <t>2026-08-28</t>
        </is>
      </c>
      <c r="B610" s="2" t="inlineStr">
        <is>
          <t>2026-08-28T02:04:32</t>
        </is>
      </c>
      <c r="C610" s="2" t="inlineStr">
        <is>
          <t>vivo</t>
        </is>
      </c>
      <c r="D610" s="2" t="inlineStr">
        <is>
          <t>SP</t>
        </is>
      </c>
      <c r="E610" s="2" t="inlineStr">
        <is>
          <t>Vivo Total Pro</t>
        </is>
      </c>
      <c r="F610" s="2" t="inlineStr">
        <is>
          <t>vivo:VIV202604031772-2-305-308-316-326-342-411-430</t>
        </is>
      </c>
      <c r="G610" s="3" t="n">
        <v>160</v>
      </c>
      <c r="H610" s="3" t="inlineStr"/>
      <c r="I610" s="2" t="inlineStr"/>
      <c r="J610" s="2" t="inlineStr"/>
      <c r="K610" s="2" t="inlineStr">
        <is>
          <t>instalação grátis mediante fidelização (não afeta a mensalidade)</t>
        </is>
      </c>
      <c r="L610" s="2" t="inlineStr">
        <is>
          <t>mobile+broadband</t>
        </is>
      </c>
      <c r="M610" s="2" t="inlineStr">
        <is>
          <t>Fiber + Mobile</t>
        </is>
      </c>
      <c r="N610" s="2" t="b">
        <v>1</v>
      </c>
      <c r="O610" s="2" t="b">
        <v>1</v>
      </c>
      <c r="P610" s="2" t="b">
        <v>0</v>
      </c>
      <c r="Q610" s="2" t="b">
        <v>0</v>
      </c>
      <c r="R610" s="4" t="n">
        <v>500</v>
      </c>
      <c r="S610" s="4" t="n">
        <v>60</v>
      </c>
      <c r="T610" s="4" t="n">
        <v>1</v>
      </c>
      <c r="U610" s="2" t="inlineStr"/>
      <c r="V610" s="2" t="inlineStr"/>
      <c r="W610" s="2" t="inlineStr">
        <is>
          <t>Vivo Travel Américas; 50 GB de franquia + 10 GB de bônus</t>
        </is>
      </c>
      <c r="X610" s="2" t="inlineStr">
        <is>
          <t>500 Mega de Vivo Fibra</t>
        </is>
      </c>
      <c r="Y610" s="2" t="inlineStr">
        <is>
          <t>https://vivo.com.br/para-voce/produtos-e-servicos/combos/vivo-total</t>
        </is>
      </c>
      <c r="Z610" s="2" t="inlineStr">
        <is>
          <t>data/raw/vivo_convergent_total_SP.html</t>
        </is>
      </c>
    </row>
    <row r="611">
      <c r="A611" s="5" t="inlineStr">
        <is>
          <t>2026-08-28</t>
        </is>
      </c>
      <c r="B611" s="5" t="inlineStr">
        <is>
          <t>2026-08-28T02:04:32</t>
        </is>
      </c>
      <c r="C611" s="5" t="inlineStr">
        <is>
          <t>vivo</t>
        </is>
      </c>
      <c r="D611" s="5" t="inlineStr">
        <is>
          <t>SP</t>
        </is>
      </c>
      <c r="E611" s="5" t="inlineStr">
        <is>
          <t>Vivo Total Ultra</t>
        </is>
      </c>
      <c r="F611" s="5" t="inlineStr">
        <is>
          <t>vivo:VIV202604031940-305-313-316-408-411-426-430-442</t>
        </is>
      </c>
      <c r="G611" s="6" t="n">
        <v>170</v>
      </c>
      <c r="H611" s="6" t="inlineStr"/>
      <c r="I611" s="5" t="inlineStr"/>
      <c r="J611" s="5" t="inlineStr"/>
      <c r="K611" s="5" t="inlineStr">
        <is>
          <t>instalação grátis mediante fidelização (não afeta a mensalidade)</t>
        </is>
      </c>
      <c r="L611" s="5" t="inlineStr">
        <is>
          <t>mobile+broadband</t>
        </is>
      </c>
      <c r="M611" s="5" t="inlineStr">
        <is>
          <t>Fiber + Mobile</t>
        </is>
      </c>
      <c r="N611" s="5" t="b">
        <v>1</v>
      </c>
      <c r="O611" s="5" t="b">
        <v>1</v>
      </c>
      <c r="P611" s="5" t="b">
        <v>0</v>
      </c>
      <c r="Q611" s="5" t="b">
        <v>0</v>
      </c>
      <c r="R611" s="7" t="n">
        <v>700</v>
      </c>
      <c r="S611" s="7" t="n">
        <v>70</v>
      </c>
      <c r="T611" s="7" t="n">
        <v>1</v>
      </c>
      <c r="U611" s="5" t="inlineStr"/>
      <c r="V611" s="5" t="inlineStr"/>
      <c r="W611" s="5" t="inlineStr">
        <is>
          <t>Vivo Travel Américas; Exitlag e ponto cabeado incluso</t>
        </is>
      </c>
      <c r="X611" s="5" t="inlineStr">
        <is>
          <t>700 Mega de Vivo Fibra</t>
        </is>
      </c>
      <c r="Y611" s="5" t="inlineStr">
        <is>
          <t>https://vivo.com.br/para-voce/produtos-e-servicos/combos/vivo-total</t>
        </is>
      </c>
      <c r="Z611" s="5" t="inlineStr">
        <is>
          <t>data/raw/vivo_convergent_total_SP.html</t>
        </is>
      </c>
    </row>
    <row r="612">
      <c r="A612" s="2" t="inlineStr">
        <is>
          <t>2026-08-28</t>
        </is>
      </c>
      <c r="B612" s="2" t="inlineStr">
        <is>
          <t>2026-08-28T02:04:32</t>
        </is>
      </c>
      <c r="C612" s="2" t="inlineStr">
        <is>
          <t>vivo</t>
        </is>
      </c>
      <c r="D612" s="2" t="inlineStr">
        <is>
          <t>SP</t>
        </is>
      </c>
      <c r="E612" s="2" t="inlineStr">
        <is>
          <t>Vivo Total Ultra + TV</t>
        </is>
      </c>
      <c r="F612" s="2" t="inlineStr">
        <is>
          <t>vivo:VIV202604031882-9-305-313-316-408-411-426-430-442</t>
        </is>
      </c>
      <c r="G612" s="3" t="n">
        <v>310</v>
      </c>
      <c r="H612" s="3" t="inlineStr"/>
      <c r="I612" s="2" t="inlineStr"/>
      <c r="J612" s="2" t="inlineStr"/>
      <c r="K612" s="2" t="inlineStr">
        <is>
          <t>instalação grátis mediante fidelização (não afeta a mensalidade)</t>
        </is>
      </c>
      <c r="L612" s="2" t="inlineStr">
        <is>
          <t>mobile+broadband+tv</t>
        </is>
      </c>
      <c r="M612" s="2" t="inlineStr">
        <is>
          <t>Fiber + Mobile + TV</t>
        </is>
      </c>
      <c r="N612" s="2" t="b">
        <v>1</v>
      </c>
      <c r="O612" s="2" t="b">
        <v>1</v>
      </c>
      <c r="P612" s="2" t="b">
        <v>1</v>
      </c>
      <c r="Q612" s="2" t="b">
        <v>0</v>
      </c>
      <c r="R612" s="4" t="n">
        <v>700</v>
      </c>
      <c r="S612" s="4" t="n">
        <v>70</v>
      </c>
      <c r="T612" s="4" t="n">
        <v>1</v>
      </c>
      <c r="U612" s="2" t="inlineStr">
        <is>
          <t>120 canais de Vivo TV Avançado + 1 ponto adicional</t>
        </is>
      </c>
      <c r="V612" s="2" t="inlineStr"/>
      <c r="W612" s="2" t="inlineStr">
        <is>
          <t>Vivo travel américas</t>
        </is>
      </c>
      <c r="X612" s="2" t="inlineStr">
        <is>
          <t>700 Mega de Vivo Fibra</t>
        </is>
      </c>
      <c r="Y612" s="2" t="inlineStr">
        <is>
          <t>https://vivo.com.br/para-voce/produtos-e-servicos/combos/vivo-total</t>
        </is>
      </c>
      <c r="Z612" s="2" t="inlineStr">
        <is>
          <t>data/raw/vivo_convergent_total_SP.html</t>
        </is>
      </c>
    </row>
    <row r="613">
      <c r="A613" s="5" t="inlineStr">
        <is>
          <t>2026-08-28</t>
        </is>
      </c>
      <c r="B613" s="5" t="inlineStr">
        <is>
          <t>2026-08-28T02:04:32</t>
        </is>
      </c>
      <c r="C613" s="5" t="inlineStr">
        <is>
          <t>vivo</t>
        </is>
      </c>
      <c r="D613" s="5" t="inlineStr">
        <is>
          <t>SP</t>
        </is>
      </c>
      <c r="E613" s="5" t="inlineStr">
        <is>
          <t>Vivo Total Ultra + TV online</t>
        </is>
      </c>
      <c r="F613" s="5" t="inlineStr">
        <is>
          <t>vivo:VIV202604032034-305-313-316-336-408-411-426-430-442</t>
        </is>
      </c>
      <c r="G613" s="6" t="n">
        <v>210</v>
      </c>
      <c r="H613" s="6" t="inlineStr"/>
      <c r="I613" s="5" t="inlineStr"/>
      <c r="J613" s="5" t="inlineStr"/>
      <c r="K613" s="5" t="inlineStr">
        <is>
          <t>instalação grátis mediante fidelização (não afeta a mensalidade)</t>
        </is>
      </c>
      <c r="L613" s="5" t="inlineStr">
        <is>
          <t>mobile+broadband+tv</t>
        </is>
      </c>
      <c r="M613" s="5" t="inlineStr">
        <is>
          <t>Fiber + Mobile + TV</t>
        </is>
      </c>
      <c r="N613" s="5" t="b">
        <v>1</v>
      </c>
      <c r="O613" s="5" t="b">
        <v>1</v>
      </c>
      <c r="P613" s="5" t="b">
        <v>1</v>
      </c>
      <c r="Q613" s="5" t="b">
        <v>0</v>
      </c>
      <c r="R613" s="7" t="n">
        <v>700</v>
      </c>
      <c r="S613" s="7" t="n">
        <v>70</v>
      </c>
      <c r="T613" s="7" t="n">
        <v>1</v>
      </c>
      <c r="U613" s="5" t="inlineStr">
        <is>
          <t>80 canais de Vivo Estendido</t>
        </is>
      </c>
      <c r="V613" s="5" t="inlineStr"/>
      <c r="W613" s="5" t="inlineStr">
        <is>
          <t>Vivo travel américas</t>
        </is>
      </c>
      <c r="X613" s="5" t="inlineStr">
        <is>
          <t>700 Mega de Vivo Fibra</t>
        </is>
      </c>
      <c r="Y613" s="5" t="inlineStr">
        <is>
          <t>https://vivo.com.br/para-voce/produtos-e-servicos/combos/vivo-total</t>
        </is>
      </c>
      <c r="Z613" s="5" t="inlineStr">
        <is>
          <t>data/raw/vivo_convergent_total_SP.html</t>
        </is>
      </c>
    </row>
    <row r="614">
      <c r="A614" s="2" t="inlineStr">
        <is>
          <t>2026-08-28</t>
        </is>
      </c>
      <c r="B614" s="2" t="inlineStr">
        <is>
          <t>2026-08-28T02:04:32</t>
        </is>
      </c>
      <c r="C614" s="2" t="inlineStr">
        <is>
          <t>vivo</t>
        </is>
      </c>
      <c r="D614" s="2" t="inlineStr">
        <is>
          <t>SP</t>
        </is>
      </c>
      <c r="E614" s="2" t="inlineStr">
        <is>
          <t>Vivo Total V 1 Giga</t>
        </is>
      </c>
      <c r="F614" s="2" t="inlineStr">
        <is>
          <t>vivo:VIV202604032532-2-305-316-408-426-430-442</t>
        </is>
      </c>
      <c r="G614" s="3" t="n">
        <v>1200</v>
      </c>
      <c r="H614" s="3" t="inlineStr"/>
      <c r="I614" s="2" t="inlineStr"/>
      <c r="J614" s="2" t="inlineStr"/>
      <c r="K614" s="2" t="inlineStr">
        <is>
          <t>instalação grátis mediante fidelização (não afeta a mensalidade)</t>
        </is>
      </c>
      <c r="L614" s="2" t="inlineStr">
        <is>
          <t>mobile+broadband+tv</t>
        </is>
      </c>
      <c r="M614" s="2" t="inlineStr">
        <is>
          <t>Fiber + Mobile + TV</t>
        </is>
      </c>
      <c r="N614" s="2" t="b">
        <v>1</v>
      </c>
      <c r="O614" s="2" t="b">
        <v>1</v>
      </c>
      <c r="P614" s="2" t="b">
        <v>1</v>
      </c>
      <c r="Q614" s="2" t="b">
        <v>0</v>
      </c>
      <c r="R614" s="4" t="n">
        <v>1000</v>
      </c>
      <c r="S614" s="4" t="n">
        <v>600</v>
      </c>
      <c r="T614" s="4" t="n">
        <v>11</v>
      </c>
      <c r="U614" s="2" t="inlineStr">
        <is>
          <t>Vivo TV Completo com HBO Max e Telecine</t>
        </is>
      </c>
      <c r="V614" s="2" t="inlineStr"/>
      <c r="W614" s="2" t="inlineStr">
        <is>
          <t>Vivo Travel Mundo; 10 linhas adicionais inclusas; Vivo TV Completo com HBO Max e Telecine</t>
        </is>
      </c>
      <c r="X614" s="2" t="inlineStr">
        <is>
          <t>1Giga de Vivo Fibra</t>
        </is>
      </c>
      <c r="Y614" s="2" t="inlineStr">
        <is>
          <t>https://vivo.com.br/para-voce/produtos-e-servicos/combos/vivo-total</t>
        </is>
      </c>
      <c r="Z614" s="2" t="inlineStr">
        <is>
          <t>data/raw/vivo_convergent_total_SP.html</t>
        </is>
      </c>
    </row>
    <row r="615">
      <c r="A615" s="5" t="inlineStr">
        <is>
          <t>2026-08-29</t>
        </is>
      </c>
      <c r="B615" s="5" t="inlineStr">
        <is>
          <t>2026-08-29T19:58:27</t>
        </is>
      </c>
      <c r="C615" s="5" t="inlineStr">
        <is>
          <t>claro</t>
        </is>
      </c>
      <c r="D615" s="5" t="inlineStr">
        <is>
          <t>SP</t>
        </is>
      </c>
      <c r="E615" s="5" t="inlineStr">
        <is>
          <t>1 Giga com Globoplay incluso + Claro tv+ Box + Disney+ Amazon Prime + Netflix + HBO Max + Apple TV + Globoplay</t>
        </is>
      </c>
      <c r="F615" s="5" t="inlineStr">
        <is>
          <t>claro:af8152be-4aa7-4aa8-819a-a79687a3a9a0</t>
        </is>
      </c>
      <c r="G615" s="6" t="n">
        <v>319.8</v>
      </c>
      <c r="H615" s="6" t="inlineStr"/>
      <c r="I615" s="5" t="inlineStr"/>
      <c r="J615" s="5" t="inlineStr"/>
      <c r="K615" s="5" t="inlineStr">
        <is>
          <t>tab: Fibra + TV</t>
        </is>
      </c>
      <c r="L615" s="5" t="inlineStr">
        <is>
          <t>broadband+tv</t>
        </is>
      </c>
      <c r="M615" s="5" t="inlineStr">
        <is>
          <t>Fiber + TV</t>
        </is>
      </c>
      <c r="N615" s="5" t="b">
        <v>0</v>
      </c>
      <c r="O615" s="5" t="b">
        <v>1</v>
      </c>
      <c r="P615" s="5" t="b">
        <v>1</v>
      </c>
      <c r="Q615" s="5" t="b">
        <v>0</v>
      </c>
      <c r="R615" s="7" t="n">
        <v>1000</v>
      </c>
      <c r="S615" s="7" t="inlineStr"/>
      <c r="T615" s="7" t="inlineStr"/>
      <c r="U615" s="5" t="inlineStr">
        <is>
          <t>Claro tv+ Box + Disney+ Amazon Prime + Netflix + HBO Max + Apple TV + Globoplay</t>
        </is>
      </c>
      <c r="V615" s="5" t="inlineStr"/>
      <c r="W615" s="5" t="inlineStr"/>
      <c r="X615" s="5" t="inlineStr"/>
      <c r="Y615" s="5" t="inlineStr">
        <is>
          <t>https://www.claro.com.br/multi</t>
        </is>
      </c>
      <c r="Z615" s="5" t="inlineStr">
        <is>
          <t>data/raw/claro_convergent_multi_SP.html</t>
        </is>
      </c>
    </row>
    <row r="616">
      <c r="A616" s="2" t="inlineStr">
        <is>
          <t>2026-08-29</t>
        </is>
      </c>
      <c r="B616" s="2" t="inlineStr">
        <is>
          <t>2026-08-29T19:58:27</t>
        </is>
      </c>
      <c r="C616" s="2" t="inlineStr">
        <is>
          <t>claro</t>
        </is>
      </c>
      <c r="D616" s="2" t="inlineStr">
        <is>
          <t>SP</t>
        </is>
      </c>
      <c r="E616" s="2" t="inlineStr">
        <is>
          <t>1 Giga com Globoplay incluso + Claro tv+ Soundbox + Disney+ Amazon Prime + Netflix + HBO Max + Apple TV + Globoplay</t>
        </is>
      </c>
      <c r="F616" s="2" t="inlineStr">
        <is>
          <t>claro:ceb9fd87-0897-4dd2-a2f2-e7f09e714e49</t>
        </is>
      </c>
      <c r="G616" s="3" t="n">
        <v>429.8</v>
      </c>
      <c r="H616" s="3" t="inlineStr"/>
      <c r="I616" s="2" t="inlineStr"/>
      <c r="J616" s="2" t="inlineStr"/>
      <c r="K616" s="2" t="inlineStr">
        <is>
          <t>tab: Fibra + TV</t>
        </is>
      </c>
      <c r="L616" s="2" t="inlineStr">
        <is>
          <t>broadband+tv</t>
        </is>
      </c>
      <c r="M616" s="2" t="inlineStr">
        <is>
          <t>Fiber + TV</t>
        </is>
      </c>
      <c r="N616" s="2" t="b">
        <v>0</v>
      </c>
      <c r="O616" s="2" t="b">
        <v>1</v>
      </c>
      <c r="P616" s="2" t="b">
        <v>1</v>
      </c>
      <c r="Q616" s="2" t="b">
        <v>0</v>
      </c>
      <c r="R616" s="4" t="n">
        <v>1000</v>
      </c>
      <c r="S616" s="4" t="inlineStr"/>
      <c r="T616" s="4" t="inlineStr"/>
      <c r="U616" s="2" t="inlineStr">
        <is>
          <t>Claro tv+ Soundbox + Disney+ Amazon Prime + Netflix + HBO Max + Apple TV + Globoplay</t>
        </is>
      </c>
      <c r="V616" s="2" t="inlineStr"/>
      <c r="W616" s="2" t="inlineStr"/>
      <c r="X616" s="2" t="inlineStr"/>
      <c r="Y616" s="2" t="inlineStr">
        <is>
          <t>https://www.claro.com.br/multi</t>
        </is>
      </c>
      <c r="Z616" s="2" t="inlineStr">
        <is>
          <t>data/raw/claro_convergent_multi_SP.html</t>
        </is>
      </c>
    </row>
    <row r="617">
      <c r="A617" s="5" t="inlineStr">
        <is>
          <t>2026-08-29</t>
        </is>
      </c>
      <c r="B617" s="5" t="inlineStr">
        <is>
          <t>2026-08-29T19:58:27</t>
        </is>
      </c>
      <c r="C617" s="5" t="inlineStr">
        <is>
          <t>claro</t>
        </is>
      </c>
      <c r="D617" s="5" t="inlineStr">
        <is>
          <t>SP</t>
        </is>
      </c>
      <c r="E617" s="5" t="inlineStr">
        <is>
          <t>1 Giga com Globoplay incluso + Pós 100GB</t>
        </is>
      </c>
      <c r="F617" s="5" t="inlineStr">
        <is>
          <t>claro:a1de0ac1-61bb-4e97-a744-1ae4c3541673</t>
        </is>
      </c>
      <c r="G617" s="6" t="n">
        <v>179.9</v>
      </c>
      <c r="H617" s="6" t="inlineStr"/>
      <c r="I617" s="5" t="inlineStr"/>
      <c r="J617" s="5" t="inlineStr"/>
      <c r="K617" s="5" t="inlineStr">
        <is>
          <t>tab: Fibra + Móvel</t>
        </is>
      </c>
      <c r="L617" s="5" t="inlineStr">
        <is>
          <t>mobile+broadband</t>
        </is>
      </c>
      <c r="M617" s="5" t="inlineStr">
        <is>
          <t>Fiber + Mobile</t>
        </is>
      </c>
      <c r="N617" s="5" t="b">
        <v>1</v>
      </c>
      <c r="O617" s="5" t="b">
        <v>1</v>
      </c>
      <c r="P617" s="5" t="b">
        <v>0</v>
      </c>
      <c r="Q617" s="5" t="b">
        <v>0</v>
      </c>
      <c r="R617" s="7" t="n">
        <v>1000</v>
      </c>
      <c r="S617" s="7" t="n">
        <v>100</v>
      </c>
      <c r="T617" s="7" t="n">
        <v>1</v>
      </c>
      <c r="U617" s="5" t="inlineStr"/>
      <c r="V617" s="5" t="inlineStr"/>
      <c r="W617" s="5" t="inlineStr"/>
      <c r="X617" s="5" t="inlineStr">
        <is>
          <t>Pós 100GB</t>
        </is>
      </c>
      <c r="Y617" s="5" t="inlineStr">
        <is>
          <t>https://www.claro.com.br/multi</t>
        </is>
      </c>
      <c r="Z617" s="5" t="inlineStr">
        <is>
          <t>data/raw/claro_convergent_multi_SP.html</t>
        </is>
      </c>
    </row>
    <row r="618">
      <c r="A618" s="2" t="inlineStr">
        <is>
          <t>2026-08-29</t>
        </is>
      </c>
      <c r="B618" s="2" t="inlineStr">
        <is>
          <t>2026-08-29T19:58:27</t>
        </is>
      </c>
      <c r="C618" s="2" t="inlineStr">
        <is>
          <t>claro</t>
        </is>
      </c>
      <c r="D618" s="2" t="inlineStr">
        <is>
          <t>SP</t>
        </is>
      </c>
      <c r="E618" s="2" t="inlineStr">
        <is>
          <t>1 Giga com Globoplay incluso + Pós 100GB + Claro tv+ Box + Disney+ Amazon Prime + Netflix + HBO Max + Apple TV + Globoplay</t>
        </is>
      </c>
      <c r="F618" s="2" t="inlineStr">
        <is>
          <t>claro:548c4bad-7857-4c0c-94d5-45d33d66c57f</t>
        </is>
      </c>
      <c r="G618" s="3" t="n">
        <v>289.8</v>
      </c>
      <c r="H618" s="3" t="inlineStr"/>
      <c r="I618" s="2" t="inlineStr"/>
      <c r="J618" s="2" t="inlineStr"/>
      <c r="K618" s="2" t="inlineStr">
        <is>
          <t>tab: Fibra + Móvel + TV</t>
        </is>
      </c>
      <c r="L618" s="2" t="inlineStr">
        <is>
          <t>mobile+broadband+tv</t>
        </is>
      </c>
      <c r="M618" s="2" t="inlineStr">
        <is>
          <t>Fiber + Mobile + TV</t>
        </is>
      </c>
      <c r="N618" s="2" t="b">
        <v>1</v>
      </c>
      <c r="O618" s="2" t="b">
        <v>1</v>
      </c>
      <c r="P618" s="2" t="b">
        <v>1</v>
      </c>
      <c r="Q618" s="2" t="b">
        <v>0</v>
      </c>
      <c r="R618" s="4" t="n">
        <v>1000</v>
      </c>
      <c r="S618" s="4" t="n">
        <v>100</v>
      </c>
      <c r="T618" s="4" t="n">
        <v>1</v>
      </c>
      <c r="U618" s="2" t="inlineStr">
        <is>
          <t>Claro tv+ Box + Disney+ Amazon Prime + Netflix + HBO Max + Apple TV + Globoplay</t>
        </is>
      </c>
      <c r="V618" s="2" t="inlineStr"/>
      <c r="W618" s="2" t="inlineStr"/>
      <c r="X618" s="2" t="inlineStr">
        <is>
          <t>Pós 100GB</t>
        </is>
      </c>
      <c r="Y618" s="2" t="inlineStr">
        <is>
          <t>https://www.claro.com.br/multi</t>
        </is>
      </c>
      <c r="Z618" s="2" t="inlineStr">
        <is>
          <t>data/raw/claro_convergent_multi_SP.html</t>
        </is>
      </c>
    </row>
    <row r="619">
      <c r="A619" s="5" t="inlineStr">
        <is>
          <t>2026-08-29</t>
        </is>
      </c>
      <c r="B619" s="5" t="inlineStr">
        <is>
          <t>2026-08-29T19:58:27</t>
        </is>
      </c>
      <c r="C619" s="5" t="inlineStr">
        <is>
          <t>claro</t>
        </is>
      </c>
      <c r="D619" s="5" t="inlineStr">
        <is>
          <t>SP</t>
        </is>
      </c>
      <c r="E619" s="5" t="inlineStr">
        <is>
          <t>1 Giga com Globoplay incluso + Pós 150GB</t>
        </is>
      </c>
      <c r="F619" s="5" t="inlineStr">
        <is>
          <t>claro:d47e2a3b-dfd0-410e-9c24-d07a334d01d4</t>
        </is>
      </c>
      <c r="G619" s="6" t="n">
        <v>299.9</v>
      </c>
      <c r="H619" s="6" t="inlineStr"/>
      <c r="I619" s="5" t="inlineStr"/>
      <c r="J619" s="5" t="inlineStr"/>
      <c r="K619" s="5" t="inlineStr">
        <is>
          <t>tab: Fibra + Móvel</t>
        </is>
      </c>
      <c r="L619" s="5" t="inlineStr">
        <is>
          <t>mobile+broadband</t>
        </is>
      </c>
      <c r="M619" s="5" t="inlineStr">
        <is>
          <t>Fiber + Mobile</t>
        </is>
      </c>
      <c r="N619" s="5" t="b">
        <v>1</v>
      </c>
      <c r="O619" s="5" t="b">
        <v>1</v>
      </c>
      <c r="P619" s="5" t="b">
        <v>0</v>
      </c>
      <c r="Q619" s="5" t="b">
        <v>0</v>
      </c>
      <c r="R619" s="7" t="n">
        <v>1000</v>
      </c>
      <c r="S619" s="7" t="n">
        <v>150</v>
      </c>
      <c r="T619" s="7" t="n">
        <v>2</v>
      </c>
      <c r="U619" s="5" t="inlineStr"/>
      <c r="V619" s="5" t="inlineStr"/>
      <c r="W619" s="5" t="inlineStr"/>
      <c r="X619" s="5" t="inlineStr">
        <is>
          <t>Pós 150GB</t>
        </is>
      </c>
      <c r="Y619" s="5" t="inlineStr">
        <is>
          <t>https://www.claro.com.br/multi</t>
        </is>
      </c>
      <c r="Z619" s="5" t="inlineStr">
        <is>
          <t>data/raw/claro_convergent_multi_SP.html</t>
        </is>
      </c>
    </row>
    <row r="620">
      <c r="A620" s="2" t="inlineStr">
        <is>
          <t>2026-08-29</t>
        </is>
      </c>
      <c r="B620" s="2" t="inlineStr">
        <is>
          <t>2026-08-29T19:58:27</t>
        </is>
      </c>
      <c r="C620" s="2" t="inlineStr">
        <is>
          <t>claro</t>
        </is>
      </c>
      <c r="D620" s="2" t="inlineStr">
        <is>
          <t>SP</t>
        </is>
      </c>
      <c r="E620" s="2" t="inlineStr">
        <is>
          <t>1 Giga com Globoplay incluso + Pós 150GB + Claro tv+ Box + Disney+ Amazon Prime + Netflix + HBO Max + Apple TV + Globoplay</t>
        </is>
      </c>
      <c r="F620" s="2" t="inlineStr">
        <is>
          <t>claro:7785b449-69f2-4234-9e24-8837e32a55c0</t>
        </is>
      </c>
      <c r="G620" s="3" t="n">
        <v>409.8</v>
      </c>
      <c r="H620" s="3" t="inlineStr"/>
      <c r="I620" s="2" t="inlineStr"/>
      <c r="J620" s="2" t="inlineStr"/>
      <c r="K620" s="2" t="inlineStr">
        <is>
          <t>tab: Fibra + Móvel + TV</t>
        </is>
      </c>
      <c r="L620" s="2" t="inlineStr">
        <is>
          <t>mobile+broadband+tv</t>
        </is>
      </c>
      <c r="M620" s="2" t="inlineStr">
        <is>
          <t>Fiber + Mobile + TV</t>
        </is>
      </c>
      <c r="N620" s="2" t="b">
        <v>1</v>
      </c>
      <c r="O620" s="2" t="b">
        <v>1</v>
      </c>
      <c r="P620" s="2" t="b">
        <v>1</v>
      </c>
      <c r="Q620" s="2" t="b">
        <v>0</v>
      </c>
      <c r="R620" s="4" t="n">
        <v>1000</v>
      </c>
      <c r="S620" s="4" t="n">
        <v>150</v>
      </c>
      <c r="T620" s="4" t="n">
        <v>1</v>
      </c>
      <c r="U620" s="2" t="inlineStr">
        <is>
          <t>Claro tv+ Box + Disney+ Amazon Prime + Netflix + HBO Max + Apple TV + Globoplay</t>
        </is>
      </c>
      <c r="V620" s="2" t="inlineStr"/>
      <c r="W620" s="2" t="inlineStr"/>
      <c r="X620" s="2" t="inlineStr">
        <is>
          <t>Pós 150GB</t>
        </is>
      </c>
      <c r="Y620" s="2" t="inlineStr">
        <is>
          <t>https://www.claro.com.br/multi</t>
        </is>
      </c>
      <c r="Z620" s="2" t="inlineStr">
        <is>
          <t>data/raw/claro_convergent_multi_SP.html</t>
        </is>
      </c>
    </row>
    <row r="621">
      <c r="A621" s="5" t="inlineStr">
        <is>
          <t>2026-08-29</t>
        </is>
      </c>
      <c r="B621" s="5" t="inlineStr">
        <is>
          <t>2026-08-29T19:58:27</t>
        </is>
      </c>
      <c r="C621" s="5" t="inlineStr">
        <is>
          <t>claro</t>
        </is>
      </c>
      <c r="D621" s="5" t="inlineStr">
        <is>
          <t>SP</t>
        </is>
      </c>
      <c r="E621" s="5" t="inlineStr">
        <is>
          <t>1 Giga com Globoplay incluso + Pós 200GB</t>
        </is>
      </c>
      <c r="F621" s="5" t="inlineStr">
        <is>
          <t>claro:1961a62d-3213-4ff0-a152-401a45c5b1b5</t>
        </is>
      </c>
      <c r="G621" s="6" t="n">
        <v>359.9</v>
      </c>
      <c r="H621" s="6" t="inlineStr"/>
      <c r="I621" s="5" t="inlineStr"/>
      <c r="J621" s="5" t="inlineStr"/>
      <c r="K621" s="5" t="inlineStr">
        <is>
          <t>tab: Fibra + Móvel</t>
        </is>
      </c>
      <c r="L621" s="5" t="inlineStr">
        <is>
          <t>mobile+broadband</t>
        </is>
      </c>
      <c r="M621" s="5" t="inlineStr">
        <is>
          <t>Fiber + Mobile</t>
        </is>
      </c>
      <c r="N621" s="5" t="b">
        <v>1</v>
      </c>
      <c r="O621" s="5" t="b">
        <v>1</v>
      </c>
      <c r="P621" s="5" t="b">
        <v>0</v>
      </c>
      <c r="Q621" s="5" t="b">
        <v>0</v>
      </c>
      <c r="R621" s="7" t="n">
        <v>1000</v>
      </c>
      <c r="S621" s="7" t="n">
        <v>200</v>
      </c>
      <c r="T621" s="7" t="n">
        <v>3</v>
      </c>
      <c r="U621" s="5" t="inlineStr"/>
      <c r="V621" s="5" t="inlineStr"/>
      <c r="W621" s="5" t="inlineStr"/>
      <c r="X621" s="5" t="inlineStr">
        <is>
          <t>Pós 200GB</t>
        </is>
      </c>
      <c r="Y621" s="5" t="inlineStr">
        <is>
          <t>https://www.claro.com.br/multi</t>
        </is>
      </c>
      <c r="Z621" s="5" t="inlineStr">
        <is>
          <t>data/raw/claro_convergent_multi_SP.html</t>
        </is>
      </c>
    </row>
    <row r="622">
      <c r="A622" s="2" t="inlineStr">
        <is>
          <t>2026-08-29</t>
        </is>
      </c>
      <c r="B622" s="2" t="inlineStr">
        <is>
          <t>2026-08-29T19:58:27</t>
        </is>
      </c>
      <c r="C622" s="2" t="inlineStr">
        <is>
          <t>claro</t>
        </is>
      </c>
      <c r="D622" s="2" t="inlineStr">
        <is>
          <t>SP</t>
        </is>
      </c>
      <c r="E622" s="2" t="inlineStr">
        <is>
          <t>1 Giga com Globoplay incluso + Pós 200GB + Claro tv+ Box + Disney+ Amazon Prime + Netflix + HBO Max + Apple TV + Globoplay</t>
        </is>
      </c>
      <c r="F622" s="2" t="inlineStr">
        <is>
          <t>claro:312815a2-b3a5-43bb-89a1-272d53ccb212</t>
        </is>
      </c>
      <c r="G622" s="3" t="n">
        <v>469.8</v>
      </c>
      <c r="H622" s="3" t="inlineStr"/>
      <c r="I622" s="2" t="inlineStr"/>
      <c r="J622" s="2" t="inlineStr"/>
      <c r="K622" s="2" t="inlineStr">
        <is>
          <t>tab: Fibra + Móvel + TV</t>
        </is>
      </c>
      <c r="L622" s="2" t="inlineStr">
        <is>
          <t>mobile+broadband+tv</t>
        </is>
      </c>
      <c r="M622" s="2" t="inlineStr">
        <is>
          <t>Fiber + Mobile + TV</t>
        </is>
      </c>
      <c r="N622" s="2" t="b">
        <v>1</v>
      </c>
      <c r="O622" s="2" t="b">
        <v>1</v>
      </c>
      <c r="P622" s="2" t="b">
        <v>1</v>
      </c>
      <c r="Q622" s="2" t="b">
        <v>0</v>
      </c>
      <c r="R622" s="4" t="n">
        <v>1000</v>
      </c>
      <c r="S622" s="4" t="n">
        <v>200</v>
      </c>
      <c r="T622" s="4" t="n">
        <v>1</v>
      </c>
      <c r="U622" s="2" t="inlineStr">
        <is>
          <t>Claro tv+ Box + Disney+ Amazon Prime + Netflix + HBO Max + Apple TV + Globoplay</t>
        </is>
      </c>
      <c r="V622" s="2" t="inlineStr"/>
      <c r="W622" s="2" t="inlineStr"/>
      <c r="X622" s="2" t="inlineStr">
        <is>
          <t>Pós 200GB</t>
        </is>
      </c>
      <c r="Y622" s="2" t="inlineStr">
        <is>
          <t>https://www.claro.com.br/multi</t>
        </is>
      </c>
      <c r="Z622" s="2" t="inlineStr">
        <is>
          <t>data/raw/claro_convergent_multi_SP.html</t>
        </is>
      </c>
    </row>
    <row r="623">
      <c r="A623" s="5" t="inlineStr">
        <is>
          <t>2026-08-29</t>
        </is>
      </c>
      <c r="B623" s="5" t="inlineStr">
        <is>
          <t>2026-08-29T19:58:27</t>
        </is>
      </c>
      <c r="C623" s="5" t="inlineStr">
        <is>
          <t>claro</t>
        </is>
      </c>
      <c r="D623" s="5" t="inlineStr">
        <is>
          <t>SP</t>
        </is>
      </c>
      <c r="E623" s="5" t="inlineStr">
        <is>
          <t>350 Mega com Globoplay incluso + Claro tv+ Box + Disney+ Amazon Prime + Netflix + HBO Max + Apple TV + Globoplay</t>
        </is>
      </c>
      <c r="F623" s="5" t="inlineStr">
        <is>
          <t>claro:97b00450-6f21-4349-8363-83d624b18328</t>
        </is>
      </c>
      <c r="G623" s="6" t="n">
        <v>229.8</v>
      </c>
      <c r="H623" s="6" t="inlineStr"/>
      <c r="I623" s="5" t="inlineStr"/>
      <c r="J623" s="5" t="inlineStr"/>
      <c r="K623" s="5" t="inlineStr">
        <is>
          <t>tab: Fibra + TV</t>
        </is>
      </c>
      <c r="L623" s="5" t="inlineStr">
        <is>
          <t>broadband+tv</t>
        </is>
      </c>
      <c r="M623" s="5" t="inlineStr">
        <is>
          <t>Fiber + TV</t>
        </is>
      </c>
      <c r="N623" s="5" t="b">
        <v>0</v>
      </c>
      <c r="O623" s="5" t="b">
        <v>1</v>
      </c>
      <c r="P623" s="5" t="b">
        <v>1</v>
      </c>
      <c r="Q623" s="5" t="b">
        <v>0</v>
      </c>
      <c r="R623" s="7" t="n">
        <v>350</v>
      </c>
      <c r="S623" s="7" t="inlineStr"/>
      <c r="T623" s="7" t="inlineStr"/>
      <c r="U623" s="5" t="inlineStr">
        <is>
          <t>Claro tv+ Box + Disney+ Amazon Prime + Netflix + HBO Max + Apple TV + Globoplay</t>
        </is>
      </c>
      <c r="V623" s="5" t="inlineStr"/>
      <c r="W623" s="5" t="inlineStr"/>
      <c r="X623" s="5" t="inlineStr"/>
      <c r="Y623" s="5" t="inlineStr">
        <is>
          <t>https://www.claro.com.br/multi</t>
        </is>
      </c>
      <c r="Z623" s="5" t="inlineStr">
        <is>
          <t>data/raw/claro_convergent_multi_SP.html</t>
        </is>
      </c>
    </row>
    <row r="624">
      <c r="A624" s="2" t="inlineStr">
        <is>
          <t>2026-08-29</t>
        </is>
      </c>
      <c r="B624" s="2" t="inlineStr">
        <is>
          <t>2026-08-29T19:58:27</t>
        </is>
      </c>
      <c r="C624" s="2" t="inlineStr">
        <is>
          <t>claro</t>
        </is>
      </c>
      <c r="D624" s="2" t="inlineStr">
        <is>
          <t>SP</t>
        </is>
      </c>
      <c r="E624" s="2" t="inlineStr">
        <is>
          <t>350 Mega com Globoplay incluso + Controle 40GB</t>
        </is>
      </c>
      <c r="F624" s="2" t="inlineStr">
        <is>
          <t>claro:a866ea9a-6a70-4b6e-b886-f8178086ca91</t>
        </is>
      </c>
      <c r="G624" s="3" t="n">
        <v>129.8</v>
      </c>
      <c r="H624" s="3" t="inlineStr"/>
      <c r="I624" s="2" t="inlineStr"/>
      <c r="J624" s="2" t="inlineStr">
        <is>
          <t>debit_auto</t>
        </is>
      </c>
      <c r="K624" s="2" t="inlineStr">
        <is>
          <t>tab: Fibra + Móvel; preço em débito em conta; +R$ 5.00 sem débito automático</t>
        </is>
      </c>
      <c r="L624" s="2" t="inlineStr">
        <is>
          <t>mobile+broadband</t>
        </is>
      </c>
      <c r="M624" s="2" t="inlineStr">
        <is>
          <t>Fiber + Mobile</t>
        </is>
      </c>
      <c r="N624" s="2" t="b">
        <v>1</v>
      </c>
      <c r="O624" s="2" t="b">
        <v>1</v>
      </c>
      <c r="P624" s="2" t="b">
        <v>0</v>
      </c>
      <c r="Q624" s="2" t="b">
        <v>0</v>
      </c>
      <c r="R624" s="4" t="n">
        <v>350</v>
      </c>
      <c r="S624" s="4" t="n">
        <v>40</v>
      </c>
      <c r="T624" s="4" t="n">
        <v>1</v>
      </c>
      <c r="U624" s="2" t="inlineStr"/>
      <c r="V624" s="2" t="inlineStr"/>
      <c r="W624" s="2" t="inlineStr"/>
      <c r="X624" s="2" t="inlineStr">
        <is>
          <t>Controle 40GB</t>
        </is>
      </c>
      <c r="Y624" s="2" t="inlineStr">
        <is>
          <t>https://www.claro.com.br/multi</t>
        </is>
      </c>
      <c r="Z624" s="2" t="inlineStr">
        <is>
          <t>data/raw/claro_convergent_multi_SP.html</t>
        </is>
      </c>
    </row>
    <row r="625">
      <c r="A625" s="5" t="inlineStr">
        <is>
          <t>2026-08-29</t>
        </is>
      </c>
      <c r="B625" s="5" t="inlineStr">
        <is>
          <t>2026-08-29T19:58:27</t>
        </is>
      </c>
      <c r="C625" s="5" t="inlineStr">
        <is>
          <t>claro</t>
        </is>
      </c>
      <c r="D625" s="5" t="inlineStr">
        <is>
          <t>SP</t>
        </is>
      </c>
      <c r="E625" s="5" t="inlineStr">
        <is>
          <t>350 Mega com Globoplay incluso + Pós 100GB + Claro tv+ Box + Disney+ Amazon Prime + Netflix + HBO Max + Apple TV + Globoplay</t>
        </is>
      </c>
      <c r="F625" s="5" t="inlineStr">
        <is>
          <t>claro:746fa9cf-ea2b-40de-ad2c-5803b3e0ab08</t>
        </is>
      </c>
      <c r="G625" s="6" t="n">
        <v>249.8</v>
      </c>
      <c r="H625" s="6" t="inlineStr"/>
      <c r="I625" s="5" t="inlineStr"/>
      <c r="J625" s="5" t="inlineStr"/>
      <c r="K625" s="5" t="inlineStr">
        <is>
          <t>tab: Fibra + Móvel + TV</t>
        </is>
      </c>
      <c r="L625" s="5" t="inlineStr">
        <is>
          <t>mobile+broadband+tv</t>
        </is>
      </c>
      <c r="M625" s="5" t="inlineStr">
        <is>
          <t>Fiber + Mobile + TV</t>
        </is>
      </c>
      <c r="N625" s="5" t="b">
        <v>1</v>
      </c>
      <c r="O625" s="5" t="b">
        <v>1</v>
      </c>
      <c r="P625" s="5" t="b">
        <v>1</v>
      </c>
      <c r="Q625" s="5" t="b">
        <v>0</v>
      </c>
      <c r="R625" s="7" t="n">
        <v>350</v>
      </c>
      <c r="S625" s="7" t="n">
        <v>100</v>
      </c>
      <c r="T625" s="7" t="n">
        <v>1</v>
      </c>
      <c r="U625" s="5" t="inlineStr">
        <is>
          <t>Claro tv+ Box + Disney+ Amazon Prime + Netflix + HBO Max + Apple TV + Globoplay</t>
        </is>
      </c>
      <c r="V625" s="5" t="inlineStr"/>
      <c r="W625" s="5" t="inlineStr"/>
      <c r="X625" s="5" t="inlineStr">
        <is>
          <t>Pós 100GB</t>
        </is>
      </c>
      <c r="Y625" s="5" t="inlineStr">
        <is>
          <t>https://www.claro.com.br/multi</t>
        </is>
      </c>
      <c r="Z625" s="5" t="inlineStr">
        <is>
          <t>data/raw/claro_convergent_multi_SP.html</t>
        </is>
      </c>
    </row>
    <row r="626">
      <c r="A626" s="2" t="inlineStr">
        <is>
          <t>2026-08-29</t>
        </is>
      </c>
      <c r="B626" s="2" t="inlineStr">
        <is>
          <t>2026-08-29T19:58:27</t>
        </is>
      </c>
      <c r="C626" s="2" t="inlineStr">
        <is>
          <t>claro</t>
        </is>
      </c>
      <c r="D626" s="2" t="inlineStr">
        <is>
          <t>SP</t>
        </is>
      </c>
      <c r="E626" s="2" t="inlineStr">
        <is>
          <t>600 Mega com Globoplay incluso + Claro tv+ Box + Disney+ Amazon Prime + Netflix + HBO Max + Apple TV + Globoplay</t>
        </is>
      </c>
      <c r="F626" s="2" t="inlineStr">
        <is>
          <t>claro:545261b1-2f4d-4dab-82a6-02d9e66c5d3d</t>
        </is>
      </c>
      <c r="G626" s="3" t="n">
        <v>239.8</v>
      </c>
      <c r="H626" s="3" t="inlineStr"/>
      <c r="I626" s="2" t="inlineStr"/>
      <c r="J626" s="2" t="inlineStr"/>
      <c r="K626" s="2" t="inlineStr">
        <is>
          <t>tab: Fibra + TV</t>
        </is>
      </c>
      <c r="L626" s="2" t="inlineStr">
        <is>
          <t>broadband+tv</t>
        </is>
      </c>
      <c r="M626" s="2" t="inlineStr">
        <is>
          <t>Fiber + TV</t>
        </is>
      </c>
      <c r="N626" s="2" t="b">
        <v>0</v>
      </c>
      <c r="O626" s="2" t="b">
        <v>1</v>
      </c>
      <c r="P626" s="2" t="b">
        <v>1</v>
      </c>
      <c r="Q626" s="2" t="b">
        <v>0</v>
      </c>
      <c r="R626" s="4" t="n">
        <v>600</v>
      </c>
      <c r="S626" s="4" t="inlineStr"/>
      <c r="T626" s="4" t="inlineStr"/>
      <c r="U626" s="2" t="inlineStr">
        <is>
          <t>Claro tv+ Box + Disney+ Amazon Prime + Netflix + HBO Max + Apple TV + Globoplay</t>
        </is>
      </c>
      <c r="V626" s="2" t="inlineStr"/>
      <c r="W626" s="2" t="inlineStr"/>
      <c r="X626" s="2" t="inlineStr"/>
      <c r="Y626" s="2" t="inlineStr">
        <is>
          <t>https://www.claro.com.br/multi</t>
        </is>
      </c>
      <c r="Z626" s="2" t="inlineStr">
        <is>
          <t>data/raw/claro_convergent_multi_SP.html</t>
        </is>
      </c>
    </row>
    <row r="627">
      <c r="A627" s="5" t="inlineStr">
        <is>
          <t>2026-08-29</t>
        </is>
      </c>
      <c r="B627" s="5" t="inlineStr">
        <is>
          <t>2026-08-29T19:58:27</t>
        </is>
      </c>
      <c r="C627" s="5" t="inlineStr">
        <is>
          <t>claro</t>
        </is>
      </c>
      <c r="D627" s="5" t="inlineStr">
        <is>
          <t>SP</t>
        </is>
      </c>
      <c r="E627" s="5" t="inlineStr">
        <is>
          <t>600 Mega com Globoplay incluso + Pós 100GB</t>
        </is>
      </c>
      <c r="F627" s="5" t="inlineStr">
        <is>
          <t>claro:350ac58a-533c-4858-83be-be3ea39c8874</t>
        </is>
      </c>
      <c r="G627" s="6" t="n">
        <v>159.9</v>
      </c>
      <c r="H627" s="6" t="inlineStr"/>
      <c r="I627" s="5" t="inlineStr"/>
      <c r="J627" s="5" t="inlineStr"/>
      <c r="K627" s="5" t="inlineStr">
        <is>
          <t>tab: Fibra + Móvel</t>
        </is>
      </c>
      <c r="L627" s="5" t="inlineStr">
        <is>
          <t>mobile+broadband</t>
        </is>
      </c>
      <c r="M627" s="5" t="inlineStr">
        <is>
          <t>Fiber + Mobile</t>
        </is>
      </c>
      <c r="N627" s="5" t="b">
        <v>1</v>
      </c>
      <c r="O627" s="5" t="b">
        <v>1</v>
      </c>
      <c r="P627" s="5" t="b">
        <v>0</v>
      </c>
      <c r="Q627" s="5" t="b">
        <v>0</v>
      </c>
      <c r="R627" s="7" t="n">
        <v>600</v>
      </c>
      <c r="S627" s="7" t="n">
        <v>100</v>
      </c>
      <c r="T627" s="7" t="n">
        <v>1</v>
      </c>
      <c r="U627" s="5" t="inlineStr"/>
      <c r="V627" s="5" t="inlineStr"/>
      <c r="W627" s="5" t="inlineStr"/>
      <c r="X627" s="5" t="inlineStr">
        <is>
          <t>Pós 100GB</t>
        </is>
      </c>
      <c r="Y627" s="5" t="inlineStr">
        <is>
          <t>https://www.claro.com.br/multi</t>
        </is>
      </c>
      <c r="Z627" s="5" t="inlineStr">
        <is>
          <t>data/raw/claro_convergent_multi_SP.html</t>
        </is>
      </c>
    </row>
    <row r="628">
      <c r="A628" s="2" t="inlineStr">
        <is>
          <t>2026-08-29</t>
        </is>
      </c>
      <c r="B628" s="2" t="inlineStr">
        <is>
          <t>2026-08-29T19:58:27</t>
        </is>
      </c>
      <c r="C628" s="2" t="inlineStr">
        <is>
          <t>claro</t>
        </is>
      </c>
      <c r="D628" s="2" t="inlineStr">
        <is>
          <t>SP</t>
        </is>
      </c>
      <c r="E628" s="2" t="inlineStr">
        <is>
          <t>600 Mega com Globoplay incluso + Pós 100GB + Claro tv+ Box + Disney+ Amazon Prime + Netflix + HBO Max + Apple TV + Globoplay</t>
        </is>
      </c>
      <c r="F628" s="2" t="inlineStr">
        <is>
          <t>claro:f36e7dfb-f7c9-4055-844f-7bc101699de8</t>
        </is>
      </c>
      <c r="G628" s="3" t="n">
        <v>269.8</v>
      </c>
      <c r="H628" s="3" t="inlineStr"/>
      <c r="I628" s="2" t="inlineStr"/>
      <c r="J628" s="2" t="inlineStr"/>
      <c r="K628" s="2" t="inlineStr">
        <is>
          <t>tab: Fibra + Móvel + TV</t>
        </is>
      </c>
      <c r="L628" s="2" t="inlineStr">
        <is>
          <t>mobile+broadband+tv</t>
        </is>
      </c>
      <c r="M628" s="2" t="inlineStr">
        <is>
          <t>Fiber + Mobile + TV</t>
        </is>
      </c>
      <c r="N628" s="2" t="b">
        <v>1</v>
      </c>
      <c r="O628" s="2" t="b">
        <v>1</v>
      </c>
      <c r="P628" s="2" t="b">
        <v>1</v>
      </c>
      <c r="Q628" s="2" t="b">
        <v>0</v>
      </c>
      <c r="R628" s="4" t="n">
        <v>600</v>
      </c>
      <c r="S628" s="4" t="n">
        <v>100</v>
      </c>
      <c r="T628" s="4" t="n">
        <v>1</v>
      </c>
      <c r="U628" s="2" t="inlineStr">
        <is>
          <t>Claro tv+ Box + Disney+ Amazon Prime + Netflix + HBO Max + Apple TV + Globoplay</t>
        </is>
      </c>
      <c r="V628" s="2" t="inlineStr"/>
      <c r="W628" s="2" t="inlineStr"/>
      <c r="X628" s="2" t="inlineStr">
        <is>
          <t>Pós 100GB</t>
        </is>
      </c>
      <c r="Y628" s="2" t="inlineStr">
        <is>
          <t>https://www.claro.com.br/multi</t>
        </is>
      </c>
      <c r="Z628" s="2" t="inlineStr">
        <is>
          <t>data/raw/claro_convergent_multi_SP.html</t>
        </is>
      </c>
    </row>
    <row r="629">
      <c r="A629" s="5" t="inlineStr">
        <is>
          <t>2026-08-29</t>
        </is>
      </c>
      <c r="B629" s="5" t="inlineStr">
        <is>
          <t>2026-08-29T19:58:27</t>
        </is>
      </c>
      <c r="C629" s="5" t="inlineStr">
        <is>
          <t>tim</t>
        </is>
      </c>
      <c r="D629" s="5" t="inlineStr">
        <is>
          <t>SP</t>
        </is>
      </c>
      <c r="E629" s="5" t="inlineStr">
        <is>
          <t>TIM Ultracombo 5</t>
        </is>
      </c>
      <c r="F629" s="5" t="inlineStr">
        <is>
          <t>tim:167756</t>
        </is>
      </c>
      <c r="G629" s="6" t="n">
        <v>169.99</v>
      </c>
      <c r="H629" s="6" t="inlineStr"/>
      <c r="I629" s="5" t="inlineStr"/>
      <c r="J629" s="5" t="inlineStr">
        <is>
          <t>debit_auto</t>
        </is>
      </c>
      <c r="K629" s="5" t="inlineStr">
        <is>
          <t>preço em débito automático; R$ 179,99/mês no pagamento por fatura</t>
        </is>
      </c>
      <c r="L629" s="5" t="inlineStr">
        <is>
          <t>mobile+broadband</t>
        </is>
      </c>
      <c r="M629" s="5" t="inlineStr">
        <is>
          <t>Fiber + Mobile</t>
        </is>
      </c>
      <c r="N629" s="5" t="b">
        <v>1</v>
      </c>
      <c r="O629" s="5" t="b">
        <v>1</v>
      </c>
      <c r="P629" s="5" t="b">
        <v>0</v>
      </c>
      <c r="Q629" s="5" t="b">
        <v>0</v>
      </c>
      <c r="R629" s="7" t="n">
        <v>1000</v>
      </c>
      <c r="S629" s="7" t="n">
        <v>115</v>
      </c>
      <c r="T629" s="7" t="n">
        <v>1</v>
      </c>
      <c r="U629" s="5" t="inlineStr"/>
      <c r="V629" s="5" t="inlineStr">
        <is>
          <t>Paramount+, Deezer</t>
        </is>
      </c>
      <c r="W629" s="5" t="inlineStr"/>
      <c r="X629" s="5" t="inlineStr">
        <is>
          <t>1GIGA de Ultrafibra para casa + 115GB de TIM Black C Hero para móvel: (25GB do plano + 40GB promo + 50GB bônus especial)</t>
        </is>
      </c>
      <c r="Y629" s="5" t="inlineStr">
        <is>
          <t>https://www.tim.com.br/sp/internet/tim-ultracombo</t>
        </is>
      </c>
      <c r="Z629" s="5" t="inlineStr">
        <is>
          <t>data/raw/tim_convergent_ultracombo_SP.html</t>
        </is>
      </c>
    </row>
    <row r="630">
      <c r="A630" s="2" t="inlineStr">
        <is>
          <t>2026-08-29</t>
        </is>
      </c>
      <c r="B630" s="2" t="inlineStr">
        <is>
          <t>2026-08-29T19:58:27</t>
        </is>
      </c>
      <c r="C630" s="2" t="inlineStr">
        <is>
          <t>tim</t>
        </is>
      </c>
      <c r="D630" s="2" t="inlineStr">
        <is>
          <t>SP</t>
        </is>
      </c>
      <c r="E630" s="2" t="inlineStr">
        <is>
          <t>TIM Ultracombo 6</t>
        </is>
      </c>
      <c r="F630" s="2" t="inlineStr">
        <is>
          <t>tim:167751</t>
        </is>
      </c>
      <c r="G630" s="3" t="n">
        <v>139.99</v>
      </c>
      <c r="H630" s="3" t="inlineStr"/>
      <c r="I630" s="2" t="inlineStr"/>
      <c r="J630" s="2" t="inlineStr">
        <is>
          <t>debit_auto</t>
        </is>
      </c>
      <c r="K630" s="2" t="inlineStr">
        <is>
          <t>preço em débito automático; R$ 149,99/mês no pagamento por fatura</t>
        </is>
      </c>
      <c r="L630" s="2" t="inlineStr">
        <is>
          <t>mobile+broadband</t>
        </is>
      </c>
      <c r="M630" s="2" t="inlineStr">
        <is>
          <t>Fiber + Mobile</t>
        </is>
      </c>
      <c r="N630" s="2" t="b">
        <v>1</v>
      </c>
      <c r="O630" s="2" t="b">
        <v>1</v>
      </c>
      <c r="P630" s="2" t="b">
        <v>0</v>
      </c>
      <c r="Q630" s="2" t="b">
        <v>0</v>
      </c>
      <c r="R630" s="4" t="n">
        <v>1000</v>
      </c>
      <c r="S630" s="4" t="n">
        <v>70</v>
      </c>
      <c r="T630" s="4" t="n">
        <v>1</v>
      </c>
      <c r="U630" s="2" t="inlineStr"/>
      <c r="V630" s="2" t="inlineStr">
        <is>
          <t>Paramount+, Deezer</t>
        </is>
      </c>
      <c r="W630" s="2" t="inlineStr"/>
      <c r="X630" s="2" t="inlineStr">
        <is>
          <t>1GIGA de Ultrafibra para casa + 70GB de TIM Black A para móvel: (15GB do plano + 50GB promo + 5GB bônus especial)</t>
        </is>
      </c>
      <c r="Y630" s="2" t="inlineStr">
        <is>
          <t>https://www.tim.com.br/sp/internet/tim-ultracombo</t>
        </is>
      </c>
      <c r="Z630" s="2" t="inlineStr">
        <is>
          <t>data/raw/tim_convergent_ultracombo_SP.html</t>
        </is>
      </c>
    </row>
    <row r="631">
      <c r="A631" s="5" t="inlineStr">
        <is>
          <t>2026-08-29</t>
        </is>
      </c>
      <c r="B631" s="5" t="inlineStr">
        <is>
          <t>2026-08-29T19:58:27</t>
        </is>
      </c>
      <c r="C631" s="5" t="inlineStr">
        <is>
          <t>tim</t>
        </is>
      </c>
      <c r="D631" s="5" t="inlineStr">
        <is>
          <t>SP</t>
        </is>
      </c>
      <c r="E631" s="5" t="inlineStr">
        <is>
          <t>TIM Ultracombo 7</t>
        </is>
      </c>
      <c r="F631" s="5" t="inlineStr">
        <is>
          <t>tim:167761</t>
        </is>
      </c>
      <c r="G631" s="6" t="n">
        <v>89.98999999999999</v>
      </c>
      <c r="H631" s="6" t="inlineStr"/>
      <c r="I631" s="5" t="inlineStr"/>
      <c r="J631" s="5" t="inlineStr">
        <is>
          <t>debit_auto</t>
        </is>
      </c>
      <c r="K631" s="5" t="inlineStr">
        <is>
          <t>preço em débito automático; R$ 99,99/mês no pagamento por fatura</t>
        </is>
      </c>
      <c r="L631" s="5" t="inlineStr">
        <is>
          <t>mobile+broadband</t>
        </is>
      </c>
      <c r="M631" s="5" t="inlineStr">
        <is>
          <t>Fiber + Mobile</t>
        </is>
      </c>
      <c r="N631" s="5" t="b">
        <v>1</v>
      </c>
      <c r="O631" s="5" t="b">
        <v>1</v>
      </c>
      <c r="P631" s="5" t="b">
        <v>0</v>
      </c>
      <c r="Q631" s="5" t="b">
        <v>0</v>
      </c>
      <c r="R631" s="7" t="n">
        <v>500</v>
      </c>
      <c r="S631" s="7" t="n">
        <v>65</v>
      </c>
      <c r="T631" s="7" t="n">
        <v>1</v>
      </c>
      <c r="U631" s="5" t="inlineStr"/>
      <c r="V631" s="5" t="inlineStr"/>
      <c r="W631" s="5" t="inlineStr"/>
      <c r="X631" s="5" t="inlineStr">
        <is>
          <t>500MEGA de Ultrafibra para casa + 65GB de TIM Black A Light para móvel: (10GB do plano + 50GB promo)</t>
        </is>
      </c>
      <c r="Y631" s="5" t="inlineStr">
        <is>
          <t>https://www.tim.com.br/sp/internet/tim-ultracombo</t>
        </is>
      </c>
      <c r="Z631" s="5" t="inlineStr">
        <is>
          <t>data/raw/tim_convergent_ultracombo_SP.html</t>
        </is>
      </c>
    </row>
    <row r="632">
      <c r="A632" s="2" t="inlineStr">
        <is>
          <t>2026-08-29</t>
        </is>
      </c>
      <c r="B632" s="2" t="inlineStr">
        <is>
          <t>2026-08-29T19:58:27</t>
        </is>
      </c>
      <c r="C632" s="2" t="inlineStr">
        <is>
          <t>vivo</t>
        </is>
      </c>
      <c r="D632" s="2" t="inlineStr">
        <is>
          <t>SP</t>
        </is>
      </c>
      <c r="E632" s="2" t="inlineStr">
        <is>
          <t>Vivo Família 2 + TV</t>
        </is>
      </c>
      <c r="F632" s="2" t="inlineStr">
        <is>
          <t>vivo:VIV202604032132-3-305-316-336-408-411-426-430-442</t>
        </is>
      </c>
      <c r="G632" s="3" t="n">
        <v>290</v>
      </c>
      <c r="H632" s="3" t="inlineStr"/>
      <c r="I632" s="2" t="inlineStr"/>
      <c r="J632" s="2" t="inlineStr"/>
      <c r="K632" s="2" t="inlineStr">
        <is>
          <t>instalação grátis mediante fidelização (não afeta a mensalidade)</t>
        </is>
      </c>
      <c r="L632" s="2" t="inlineStr">
        <is>
          <t>mobile+broadband+tv</t>
        </is>
      </c>
      <c r="M632" s="2" t="inlineStr">
        <is>
          <t>Fiber + Mobile + TV</t>
        </is>
      </c>
      <c r="N632" s="2" t="b">
        <v>1</v>
      </c>
      <c r="O632" s="2" t="b">
        <v>1</v>
      </c>
      <c r="P632" s="2" t="b">
        <v>1</v>
      </c>
      <c r="Q632" s="2" t="b">
        <v>0</v>
      </c>
      <c r="R632" s="4" t="n">
        <v>700</v>
      </c>
      <c r="S632" s="4" t="n">
        <v>120</v>
      </c>
      <c r="T632" s="4" t="n">
        <v>2</v>
      </c>
      <c r="U632" s="2" t="inlineStr">
        <is>
          <t>80 canais de Vivo Estendido</t>
        </is>
      </c>
      <c r="V632" s="2" t="inlineStr"/>
      <c r="W632" s="2" t="inlineStr">
        <is>
          <t>Vivo Travel Américas e Europa; 1 linha adicional inclusa</t>
        </is>
      </c>
      <c r="X632" s="2" t="inlineStr">
        <is>
          <t>700 Mega de Vivo Fibra</t>
        </is>
      </c>
      <c r="Y632" s="2" t="inlineStr">
        <is>
          <t>https://vivo.com.br/para-voce/produtos-e-servicos/combos/vivo-total</t>
        </is>
      </c>
      <c r="Z632" s="2" t="inlineStr">
        <is>
          <t>data/raw/vivo_convergent_total_SP.html</t>
        </is>
      </c>
    </row>
    <row r="633">
      <c r="A633" s="5" t="inlineStr">
        <is>
          <t>2026-08-29</t>
        </is>
      </c>
      <c r="B633" s="5" t="inlineStr">
        <is>
          <t>2026-08-29T19:58:27</t>
        </is>
      </c>
      <c r="C633" s="5" t="inlineStr">
        <is>
          <t>vivo</t>
        </is>
      </c>
      <c r="D633" s="5" t="inlineStr">
        <is>
          <t>SP</t>
        </is>
      </c>
      <c r="E633" s="5" t="inlineStr">
        <is>
          <t>Vivo Família 2 + TV</t>
        </is>
      </c>
      <c r="F633" s="5" t="inlineStr">
        <is>
          <t>vivo:VIV202604032112-3-9-305-316-408-411-426-430-442</t>
        </is>
      </c>
      <c r="G633" s="6" t="n">
        <v>390</v>
      </c>
      <c r="H633" s="6" t="inlineStr"/>
      <c r="I633" s="5" t="inlineStr"/>
      <c r="J633" s="5" t="inlineStr"/>
      <c r="K633" s="5" t="inlineStr">
        <is>
          <t>instalação grátis mediante fidelização (não afeta a mensalidade)</t>
        </is>
      </c>
      <c r="L633" s="5" t="inlineStr">
        <is>
          <t>mobile+broadband+tv</t>
        </is>
      </c>
      <c r="M633" s="5" t="inlineStr">
        <is>
          <t>Fiber + Mobile + TV</t>
        </is>
      </c>
      <c r="N633" s="5" t="b">
        <v>1</v>
      </c>
      <c r="O633" s="5" t="b">
        <v>1</v>
      </c>
      <c r="P633" s="5" t="b">
        <v>1</v>
      </c>
      <c r="Q633" s="5" t="b">
        <v>0</v>
      </c>
      <c r="R633" s="7" t="n">
        <v>700</v>
      </c>
      <c r="S633" s="7" t="n">
        <v>120</v>
      </c>
      <c r="T633" s="7" t="n">
        <v>2</v>
      </c>
      <c r="U633" s="5" t="inlineStr">
        <is>
          <t>120 canais de Vivo TV Avançado + 1 ponto adicional</t>
        </is>
      </c>
      <c r="V633" s="5" t="inlineStr"/>
      <c r="W633" s="5" t="inlineStr">
        <is>
          <t>Vivo Travel Américas e Europa; 1 linha adicional inclusa</t>
        </is>
      </c>
      <c r="X633" s="5" t="inlineStr">
        <is>
          <t>700 Mega de Vivo Fibra</t>
        </is>
      </c>
      <c r="Y633" s="5" t="inlineStr">
        <is>
          <t>https://vivo.com.br/para-voce/produtos-e-servicos/combos/vivo-total</t>
        </is>
      </c>
      <c r="Z633" s="5" t="inlineStr">
        <is>
          <t>data/raw/vivo_convergent_total_SP.html</t>
        </is>
      </c>
    </row>
    <row r="634">
      <c r="A634" s="2" t="inlineStr">
        <is>
          <t>2026-08-29</t>
        </is>
      </c>
      <c r="B634" s="2" t="inlineStr">
        <is>
          <t>2026-08-29T19:58:27</t>
        </is>
      </c>
      <c r="C634" s="2" t="inlineStr">
        <is>
          <t>vivo</t>
        </is>
      </c>
      <c r="D634" s="2" t="inlineStr">
        <is>
          <t>SP</t>
        </is>
      </c>
      <c r="E634" s="2" t="inlineStr">
        <is>
          <t>Vivo Total Família 2</t>
        </is>
      </c>
      <c r="F634" s="2" t="inlineStr">
        <is>
          <t>vivo:VIV202604032132-3-305-316-408-411-426-430-442</t>
        </is>
      </c>
      <c r="G634" s="3" t="n">
        <v>270</v>
      </c>
      <c r="H634" s="3" t="inlineStr"/>
      <c r="I634" s="2" t="inlineStr"/>
      <c r="J634" s="2" t="inlineStr"/>
      <c r="K634" s="2" t="inlineStr">
        <is>
          <t>instalação grátis mediante fidelização (não afeta a mensalidade)</t>
        </is>
      </c>
      <c r="L634" s="2" t="inlineStr">
        <is>
          <t>mobile+broadband</t>
        </is>
      </c>
      <c r="M634" s="2" t="inlineStr">
        <is>
          <t>Fiber + Mobile</t>
        </is>
      </c>
      <c r="N634" s="2" t="b">
        <v>1</v>
      </c>
      <c r="O634" s="2" t="b">
        <v>1</v>
      </c>
      <c r="P634" s="2" t="b">
        <v>0</v>
      </c>
      <c r="Q634" s="2" t="b">
        <v>0</v>
      </c>
      <c r="R634" s="4" t="n">
        <v>700</v>
      </c>
      <c r="S634" s="4" t="n">
        <v>120</v>
      </c>
      <c r="T634" s="4" t="n">
        <v>2</v>
      </c>
      <c r="U634" s="2" t="inlineStr"/>
      <c r="V634" s="2" t="inlineStr"/>
      <c r="W634" s="2" t="inlineStr">
        <is>
          <t>Vivo Travel Américas e Europa; 1 linha adicional inclusa</t>
        </is>
      </c>
      <c r="X634" s="2" t="inlineStr">
        <is>
          <t>700 Mega de Vivo Fibra</t>
        </is>
      </c>
      <c r="Y634" s="2" t="inlineStr">
        <is>
          <t>https://vivo.com.br/para-voce/produtos-e-servicos/combos/vivo-total</t>
        </is>
      </c>
      <c r="Z634" s="2" t="inlineStr">
        <is>
          <t>data/raw/vivo_convergent_total_SP.html</t>
        </is>
      </c>
    </row>
    <row r="635">
      <c r="A635" s="5" t="inlineStr">
        <is>
          <t>2026-08-29</t>
        </is>
      </c>
      <c r="B635" s="5" t="inlineStr">
        <is>
          <t>2026-08-29T19:58:27</t>
        </is>
      </c>
      <c r="C635" s="5" t="inlineStr">
        <is>
          <t>vivo</t>
        </is>
      </c>
      <c r="D635" s="5" t="inlineStr">
        <is>
          <t>SP</t>
        </is>
      </c>
      <c r="E635" s="5" t="inlineStr">
        <is>
          <t>Vivo Total Família 3</t>
        </is>
      </c>
      <c r="F635" s="5" t="inlineStr">
        <is>
          <t>vivo:VIV202604032212-4-305-316-408-411-426-430-442</t>
        </is>
      </c>
      <c r="G635" s="6" t="n">
        <v>330</v>
      </c>
      <c r="H635" s="6" t="inlineStr"/>
      <c r="I635" s="5" t="inlineStr"/>
      <c r="J635" s="5" t="inlineStr"/>
      <c r="K635" s="5" t="inlineStr">
        <is>
          <t>instalação grátis mediante fidelização (não afeta a mensalidade)</t>
        </is>
      </c>
      <c r="L635" s="5" t="inlineStr">
        <is>
          <t>mobile+broadband</t>
        </is>
      </c>
      <c r="M635" s="5" t="inlineStr">
        <is>
          <t>Fiber + Mobile</t>
        </is>
      </c>
      <c r="N635" s="5" t="b">
        <v>1</v>
      </c>
      <c r="O635" s="5" t="b">
        <v>1</v>
      </c>
      <c r="P635" s="5" t="b">
        <v>0</v>
      </c>
      <c r="Q635" s="5" t="b">
        <v>0</v>
      </c>
      <c r="R635" s="7" t="n">
        <v>700</v>
      </c>
      <c r="S635" s="7" t="n">
        <v>180</v>
      </c>
      <c r="T635" s="7" t="n">
        <v>3</v>
      </c>
      <c r="U635" s="5" t="inlineStr"/>
      <c r="V635" s="5" t="inlineStr"/>
      <c r="W635" s="5" t="inlineStr">
        <is>
          <t>Vivo Travel Américas e Europa; 2 linhas adicionais inclusas</t>
        </is>
      </c>
      <c r="X635" s="5" t="inlineStr">
        <is>
          <t>700 Mega de Vivo Fibra</t>
        </is>
      </c>
      <c r="Y635" s="5" t="inlineStr">
        <is>
          <t>https://vivo.com.br/para-voce/produtos-e-servicos/combos/vivo-total</t>
        </is>
      </c>
      <c r="Z635" s="5" t="inlineStr">
        <is>
          <t>data/raw/vivo_convergent_total_SP.html</t>
        </is>
      </c>
    </row>
    <row r="636">
      <c r="A636" s="2" t="inlineStr">
        <is>
          <t>2026-08-29</t>
        </is>
      </c>
      <c r="B636" s="2" t="inlineStr">
        <is>
          <t>2026-08-29T19:58:27</t>
        </is>
      </c>
      <c r="C636" s="2" t="inlineStr">
        <is>
          <t>vivo</t>
        </is>
      </c>
      <c r="D636" s="2" t="inlineStr">
        <is>
          <t>SP</t>
        </is>
      </c>
      <c r="E636" s="2" t="inlineStr">
        <is>
          <t>Vivo Total Família 4</t>
        </is>
      </c>
      <c r="F636" s="2" t="inlineStr">
        <is>
          <t>vivo:VIV202604032292-237-305-316-408-411-426-430-442</t>
        </is>
      </c>
      <c r="G636" s="3" t="n">
        <v>420</v>
      </c>
      <c r="H636" s="3" t="inlineStr"/>
      <c r="I636" s="2" t="inlineStr"/>
      <c r="J636" s="2" t="inlineStr"/>
      <c r="K636" s="2" t="inlineStr">
        <is>
          <t>instalação grátis mediante fidelização (não afeta a mensalidade)</t>
        </is>
      </c>
      <c r="L636" s="2" t="inlineStr">
        <is>
          <t>mobile+broadband</t>
        </is>
      </c>
      <c r="M636" s="2" t="inlineStr">
        <is>
          <t>Fiber + Mobile</t>
        </is>
      </c>
      <c r="N636" s="2" t="b">
        <v>1</v>
      </c>
      <c r="O636" s="2" t="b">
        <v>1</v>
      </c>
      <c r="P636" s="2" t="b">
        <v>0</v>
      </c>
      <c r="Q636" s="2" t="b">
        <v>0</v>
      </c>
      <c r="R636" s="4" t="n">
        <v>700</v>
      </c>
      <c r="S636" s="4" t="n">
        <v>240</v>
      </c>
      <c r="T636" s="4" t="n">
        <v>4</v>
      </c>
      <c r="U636" s="2" t="inlineStr"/>
      <c r="V636" s="2" t="inlineStr"/>
      <c r="W636" s="2" t="inlineStr">
        <is>
          <t>Vivo Travel Américas e Europa; 3 linhas adicionais inclusas</t>
        </is>
      </c>
      <c r="X636" s="2" t="inlineStr">
        <is>
          <t>700 Mega de Vivo Fibra</t>
        </is>
      </c>
      <c r="Y636" s="2" t="inlineStr">
        <is>
          <t>https://vivo.com.br/para-voce/produtos-e-servicos/combos/vivo-total</t>
        </is>
      </c>
      <c r="Z636" s="2" t="inlineStr">
        <is>
          <t>data/raw/vivo_convergent_total_SP.html</t>
        </is>
      </c>
    </row>
    <row r="637">
      <c r="A637" s="5" t="inlineStr">
        <is>
          <t>2026-08-29</t>
        </is>
      </c>
      <c r="B637" s="5" t="inlineStr">
        <is>
          <t>2026-08-29T19:58:27</t>
        </is>
      </c>
      <c r="C637" s="5" t="inlineStr">
        <is>
          <t>vivo</t>
        </is>
      </c>
      <c r="D637" s="5" t="inlineStr">
        <is>
          <t>SP</t>
        </is>
      </c>
      <c r="E637" s="5" t="inlineStr">
        <is>
          <t>Vivo Total Família 5</t>
        </is>
      </c>
      <c r="F637" s="5" t="inlineStr">
        <is>
          <t>vivo:VIV202604032372-5-305-316-408-411-426-430-442</t>
        </is>
      </c>
      <c r="G637" s="6" t="n">
        <v>520</v>
      </c>
      <c r="H637" s="6" t="inlineStr"/>
      <c r="I637" s="5" t="inlineStr"/>
      <c r="J637" s="5" t="inlineStr"/>
      <c r="K637" s="5" t="inlineStr">
        <is>
          <t>instalação grátis mediante fidelização (não afeta a mensalidade)</t>
        </is>
      </c>
      <c r="L637" s="5" t="inlineStr">
        <is>
          <t>mobile+broadband</t>
        </is>
      </c>
      <c r="M637" s="5" t="inlineStr">
        <is>
          <t>Fiber + Mobile</t>
        </is>
      </c>
      <c r="N637" s="5" t="b">
        <v>1</v>
      </c>
      <c r="O637" s="5" t="b">
        <v>1</v>
      </c>
      <c r="P637" s="5" t="b">
        <v>0</v>
      </c>
      <c r="Q637" s="5" t="b">
        <v>0</v>
      </c>
      <c r="R637" s="7" t="n">
        <v>700</v>
      </c>
      <c r="S637" s="7" t="n">
        <v>300</v>
      </c>
      <c r="T637" s="7" t="n">
        <v>5</v>
      </c>
      <c r="U637" s="5" t="inlineStr"/>
      <c r="V637" s="5" t="inlineStr"/>
      <c r="W637" s="5" t="inlineStr">
        <is>
          <t>Vivo Travel Américas e Europa; 4 linhas adicionais inclusas</t>
        </is>
      </c>
      <c r="X637" s="5" t="inlineStr">
        <is>
          <t>700 Mega de Vivo Fibra</t>
        </is>
      </c>
      <c r="Y637" s="5" t="inlineStr">
        <is>
          <t>https://vivo.com.br/para-voce/produtos-e-servicos/combos/vivo-total</t>
        </is>
      </c>
      <c r="Z637" s="5" t="inlineStr">
        <is>
          <t>data/raw/vivo_convergent_total_SP.html</t>
        </is>
      </c>
    </row>
    <row r="638">
      <c r="A638" s="2" t="inlineStr">
        <is>
          <t>2026-08-29</t>
        </is>
      </c>
      <c r="B638" s="2" t="inlineStr">
        <is>
          <t>2026-08-29T19:58:27</t>
        </is>
      </c>
      <c r="C638" s="2" t="inlineStr">
        <is>
          <t>vivo</t>
        </is>
      </c>
      <c r="D638" s="2" t="inlineStr">
        <is>
          <t>SP</t>
        </is>
      </c>
      <c r="E638" s="2" t="inlineStr">
        <is>
          <t>Vivo Total Pro</t>
        </is>
      </c>
      <c r="F638" s="2" t="inlineStr">
        <is>
          <t>vivo:VIV202604031772-2-305-308-316-326-342-411-430</t>
        </is>
      </c>
      <c r="G638" s="3" t="n">
        <v>160</v>
      </c>
      <c r="H638" s="3" t="inlineStr"/>
      <c r="I638" s="2" t="inlineStr"/>
      <c r="J638" s="2" t="inlineStr"/>
      <c r="K638" s="2" t="inlineStr">
        <is>
          <t>instalação grátis mediante fidelização (não afeta a mensalidade)</t>
        </is>
      </c>
      <c r="L638" s="2" t="inlineStr">
        <is>
          <t>mobile+broadband</t>
        </is>
      </c>
      <c r="M638" s="2" t="inlineStr">
        <is>
          <t>Fiber + Mobile</t>
        </is>
      </c>
      <c r="N638" s="2" t="b">
        <v>1</v>
      </c>
      <c r="O638" s="2" t="b">
        <v>1</v>
      </c>
      <c r="P638" s="2" t="b">
        <v>0</v>
      </c>
      <c r="Q638" s="2" t="b">
        <v>0</v>
      </c>
      <c r="R638" s="4" t="n">
        <v>500</v>
      </c>
      <c r="S638" s="4" t="n">
        <v>60</v>
      </c>
      <c r="T638" s="4" t="n">
        <v>1</v>
      </c>
      <c r="U638" s="2" t="inlineStr"/>
      <c r="V638" s="2" t="inlineStr"/>
      <c r="W638" s="2" t="inlineStr">
        <is>
          <t>Vivo Travel Américas; 50 GB de franquia + 10 GB de bônus</t>
        </is>
      </c>
      <c r="X638" s="2" t="inlineStr">
        <is>
          <t>500 Mega de Vivo Fibra</t>
        </is>
      </c>
      <c r="Y638" s="2" t="inlineStr">
        <is>
          <t>https://vivo.com.br/para-voce/produtos-e-servicos/combos/vivo-total</t>
        </is>
      </c>
      <c r="Z638" s="2" t="inlineStr">
        <is>
          <t>data/raw/vivo_convergent_total_SP.html</t>
        </is>
      </c>
    </row>
    <row r="639">
      <c r="A639" s="5" t="inlineStr">
        <is>
          <t>2026-08-29</t>
        </is>
      </c>
      <c r="B639" s="5" t="inlineStr">
        <is>
          <t>2026-08-29T19:58:27</t>
        </is>
      </c>
      <c r="C639" s="5" t="inlineStr">
        <is>
          <t>vivo</t>
        </is>
      </c>
      <c r="D639" s="5" t="inlineStr">
        <is>
          <t>SP</t>
        </is>
      </c>
      <c r="E639" s="5" t="inlineStr">
        <is>
          <t>Vivo Total Ultra</t>
        </is>
      </c>
      <c r="F639" s="5" t="inlineStr">
        <is>
          <t>vivo:VIV202604031940-305-313-316-408-411-426-430-442</t>
        </is>
      </c>
      <c r="G639" s="6" t="n">
        <v>170</v>
      </c>
      <c r="H639" s="6" t="inlineStr"/>
      <c r="I639" s="5" t="inlineStr"/>
      <c r="J639" s="5" t="inlineStr"/>
      <c r="K639" s="5" t="inlineStr">
        <is>
          <t>instalação grátis mediante fidelização (não afeta a mensalidade)</t>
        </is>
      </c>
      <c r="L639" s="5" t="inlineStr">
        <is>
          <t>mobile+broadband</t>
        </is>
      </c>
      <c r="M639" s="5" t="inlineStr">
        <is>
          <t>Fiber + Mobile</t>
        </is>
      </c>
      <c r="N639" s="5" t="b">
        <v>1</v>
      </c>
      <c r="O639" s="5" t="b">
        <v>1</v>
      </c>
      <c r="P639" s="5" t="b">
        <v>0</v>
      </c>
      <c r="Q639" s="5" t="b">
        <v>0</v>
      </c>
      <c r="R639" s="7" t="n">
        <v>700</v>
      </c>
      <c r="S639" s="7" t="n">
        <v>70</v>
      </c>
      <c r="T639" s="7" t="n">
        <v>1</v>
      </c>
      <c r="U639" s="5" t="inlineStr"/>
      <c r="V639" s="5" t="inlineStr"/>
      <c r="W639" s="5" t="inlineStr">
        <is>
          <t>Vivo Travel Américas; Exitlag e ponto cabeado incluso</t>
        </is>
      </c>
      <c r="X639" s="5" t="inlineStr">
        <is>
          <t>700 Mega de Vivo Fibra</t>
        </is>
      </c>
      <c r="Y639" s="5" t="inlineStr">
        <is>
          <t>https://vivo.com.br/para-voce/produtos-e-servicos/combos/vivo-total</t>
        </is>
      </c>
      <c r="Z639" s="5" t="inlineStr">
        <is>
          <t>data/raw/vivo_convergent_total_SP.html</t>
        </is>
      </c>
    </row>
    <row r="640">
      <c r="A640" s="2" t="inlineStr">
        <is>
          <t>2026-08-29</t>
        </is>
      </c>
      <c r="B640" s="2" t="inlineStr">
        <is>
          <t>2026-08-29T19:58:27</t>
        </is>
      </c>
      <c r="C640" s="2" t="inlineStr">
        <is>
          <t>vivo</t>
        </is>
      </c>
      <c r="D640" s="2" t="inlineStr">
        <is>
          <t>SP</t>
        </is>
      </c>
      <c r="E640" s="2" t="inlineStr">
        <is>
          <t>Vivo Total Ultra + TV</t>
        </is>
      </c>
      <c r="F640" s="2" t="inlineStr">
        <is>
          <t>vivo:VIV202604031882-9-305-313-316-408-411-426-430-442</t>
        </is>
      </c>
      <c r="G640" s="3" t="n">
        <v>310</v>
      </c>
      <c r="H640" s="3" t="inlineStr"/>
      <c r="I640" s="2" t="inlineStr"/>
      <c r="J640" s="2" t="inlineStr"/>
      <c r="K640" s="2" t="inlineStr">
        <is>
          <t>instalação grátis mediante fidelização (não afeta a mensalidade)</t>
        </is>
      </c>
      <c r="L640" s="2" t="inlineStr">
        <is>
          <t>mobile+broadband+tv</t>
        </is>
      </c>
      <c r="M640" s="2" t="inlineStr">
        <is>
          <t>Fiber + Mobile + TV</t>
        </is>
      </c>
      <c r="N640" s="2" t="b">
        <v>1</v>
      </c>
      <c r="O640" s="2" t="b">
        <v>1</v>
      </c>
      <c r="P640" s="2" t="b">
        <v>1</v>
      </c>
      <c r="Q640" s="2" t="b">
        <v>0</v>
      </c>
      <c r="R640" s="4" t="n">
        <v>700</v>
      </c>
      <c r="S640" s="4" t="n">
        <v>70</v>
      </c>
      <c r="T640" s="4" t="n">
        <v>1</v>
      </c>
      <c r="U640" s="2" t="inlineStr">
        <is>
          <t>120 canais de Vivo TV Avançado + 1 ponto adicional</t>
        </is>
      </c>
      <c r="V640" s="2" t="inlineStr"/>
      <c r="W640" s="2" t="inlineStr">
        <is>
          <t>Vivo Travel Américas</t>
        </is>
      </c>
      <c r="X640" s="2" t="inlineStr">
        <is>
          <t>700 Mega de Vivo Fibra</t>
        </is>
      </c>
      <c r="Y640" s="2" t="inlineStr">
        <is>
          <t>https://vivo.com.br/para-voce/produtos-e-servicos/combos/vivo-total</t>
        </is>
      </c>
      <c r="Z640" s="2" t="inlineStr">
        <is>
          <t>data/raw/vivo_convergent_total_SP.html</t>
        </is>
      </c>
    </row>
    <row r="641">
      <c r="A641" s="5" t="inlineStr">
        <is>
          <t>2026-08-29</t>
        </is>
      </c>
      <c r="B641" s="5" t="inlineStr">
        <is>
          <t>2026-08-29T19:58:27</t>
        </is>
      </c>
      <c r="C641" s="5" t="inlineStr">
        <is>
          <t>vivo</t>
        </is>
      </c>
      <c r="D641" s="5" t="inlineStr">
        <is>
          <t>SP</t>
        </is>
      </c>
      <c r="E641" s="5" t="inlineStr">
        <is>
          <t>Vivo Total Ultra + TV online</t>
        </is>
      </c>
      <c r="F641" s="5" t="inlineStr">
        <is>
          <t>vivo:VIV202604032034-305-313-316-336-408-411-426-430-442</t>
        </is>
      </c>
      <c r="G641" s="6" t="n">
        <v>210</v>
      </c>
      <c r="H641" s="6" t="inlineStr"/>
      <c r="I641" s="5" t="inlineStr"/>
      <c r="J641" s="5" t="inlineStr"/>
      <c r="K641" s="5" t="inlineStr">
        <is>
          <t>instalação grátis mediante fidelização (não afeta a mensalidade)</t>
        </is>
      </c>
      <c r="L641" s="5" t="inlineStr">
        <is>
          <t>mobile+broadband+tv</t>
        </is>
      </c>
      <c r="M641" s="5" t="inlineStr">
        <is>
          <t>Fiber + Mobile + TV</t>
        </is>
      </c>
      <c r="N641" s="5" t="b">
        <v>1</v>
      </c>
      <c r="O641" s="5" t="b">
        <v>1</v>
      </c>
      <c r="P641" s="5" t="b">
        <v>1</v>
      </c>
      <c r="Q641" s="5" t="b">
        <v>0</v>
      </c>
      <c r="R641" s="7" t="n">
        <v>700</v>
      </c>
      <c r="S641" s="7" t="n">
        <v>70</v>
      </c>
      <c r="T641" s="7" t="n">
        <v>1</v>
      </c>
      <c r="U641" s="5" t="inlineStr">
        <is>
          <t>80 canais de Vivo Estendido</t>
        </is>
      </c>
      <c r="V641" s="5" t="inlineStr"/>
      <c r="W641" s="5" t="inlineStr">
        <is>
          <t>Vivo Travel Américas</t>
        </is>
      </c>
      <c r="X641" s="5" t="inlineStr">
        <is>
          <t>700 Mega de Vivo Fibra</t>
        </is>
      </c>
      <c r="Y641" s="5" t="inlineStr">
        <is>
          <t>https://vivo.com.br/para-voce/produtos-e-servicos/combos/vivo-total</t>
        </is>
      </c>
      <c r="Z641" s="5" t="inlineStr">
        <is>
          <t>data/raw/vivo_convergent_total_SP.html</t>
        </is>
      </c>
    </row>
    <row r="642">
      <c r="A642" s="2" t="inlineStr">
        <is>
          <t>2026-08-29</t>
        </is>
      </c>
      <c r="B642" s="2" t="inlineStr">
        <is>
          <t>2026-08-29T19:58:27</t>
        </is>
      </c>
      <c r="C642" s="2" t="inlineStr">
        <is>
          <t>vivo</t>
        </is>
      </c>
      <c r="D642" s="2" t="inlineStr">
        <is>
          <t>SP</t>
        </is>
      </c>
      <c r="E642" s="2" t="inlineStr">
        <is>
          <t>Vivo Total V 1 Giga</t>
        </is>
      </c>
      <c r="F642" s="2" t="inlineStr">
        <is>
          <t>vivo:VIV202604032532-2-305-316-408-426-430-442</t>
        </is>
      </c>
      <c r="G642" s="3" t="n">
        <v>1200</v>
      </c>
      <c r="H642" s="3" t="inlineStr"/>
      <c r="I642" s="2" t="inlineStr"/>
      <c r="J642" s="2" t="inlineStr"/>
      <c r="K642" s="2" t="inlineStr">
        <is>
          <t>instalação grátis mediante fidelização (não afeta a mensalidade)</t>
        </is>
      </c>
      <c r="L642" s="2" t="inlineStr">
        <is>
          <t>mobile+broadband+tv</t>
        </is>
      </c>
      <c r="M642" s="2" t="inlineStr">
        <is>
          <t>Fiber + Mobile + TV</t>
        </is>
      </c>
      <c r="N642" s="2" t="b">
        <v>1</v>
      </c>
      <c r="O642" s="2" t="b">
        <v>1</v>
      </c>
      <c r="P642" s="2" t="b">
        <v>1</v>
      </c>
      <c r="Q642" s="2" t="b">
        <v>0</v>
      </c>
      <c r="R642" s="4" t="n">
        <v>1000</v>
      </c>
      <c r="S642" s="4" t="n">
        <v>600</v>
      </c>
      <c r="T642" s="4" t="n">
        <v>11</v>
      </c>
      <c r="U642" s="2" t="inlineStr">
        <is>
          <t>Vivo TV Completo com HBO Max e Telecine</t>
        </is>
      </c>
      <c r="V642" s="2" t="inlineStr"/>
      <c r="W642" s="2" t="inlineStr">
        <is>
          <t>Vivo Travel Mundo; 10 linhas adicionais inclusas; Vivo TV Completo com HBO Max e Telecine</t>
        </is>
      </c>
      <c r="X642" s="2" t="inlineStr">
        <is>
          <t>1Giga de Vivo Fibra</t>
        </is>
      </c>
      <c r="Y642" s="2" t="inlineStr">
        <is>
          <t>https://vivo.com.br/para-voce/produtos-e-servicos/combos/vivo-total</t>
        </is>
      </c>
      <c r="Z642" s="2" t="inlineStr">
        <is>
          <t>data/raw/vivo_convergent_total_SP.html</t>
        </is>
      </c>
    </row>
    <row r="643">
      <c r="A643" s="5" t="inlineStr">
        <is>
          <t>2026-08-30</t>
        </is>
      </c>
      <c r="B643" s="5" t="inlineStr">
        <is>
          <t>2026-08-30T20:06:52</t>
        </is>
      </c>
      <c r="C643" s="5" t="inlineStr">
        <is>
          <t>claro</t>
        </is>
      </c>
      <c r="D643" s="5" t="inlineStr">
        <is>
          <t>SP</t>
        </is>
      </c>
      <c r="E643" s="5" t="inlineStr">
        <is>
          <t>1 Giga com Globoplay incluso + Claro tv+ Box + Disney+ Amazon Prime + Netflix + HBO Max + Apple TV + Globoplay</t>
        </is>
      </c>
      <c r="F643" s="5" t="inlineStr">
        <is>
          <t>claro:af8152be-4aa7-4aa8-819a-a79687a3a9a0</t>
        </is>
      </c>
      <c r="G643" s="6" t="n">
        <v>319.8</v>
      </c>
      <c r="H643" s="6" t="inlineStr"/>
      <c r="I643" s="5" t="inlineStr"/>
      <c r="J643" s="5" t="inlineStr"/>
      <c r="K643" s="5" t="inlineStr">
        <is>
          <t>tab: Fibra + TV</t>
        </is>
      </c>
      <c r="L643" s="5" t="inlineStr">
        <is>
          <t>broadband+tv</t>
        </is>
      </c>
      <c r="M643" s="5" t="inlineStr">
        <is>
          <t>Fiber + TV</t>
        </is>
      </c>
      <c r="N643" s="5" t="b">
        <v>0</v>
      </c>
      <c r="O643" s="5" t="b">
        <v>1</v>
      </c>
      <c r="P643" s="5" t="b">
        <v>1</v>
      </c>
      <c r="Q643" s="5" t="b">
        <v>0</v>
      </c>
      <c r="R643" s="7" t="n">
        <v>1000</v>
      </c>
      <c r="S643" s="7" t="inlineStr"/>
      <c r="T643" s="7" t="inlineStr"/>
      <c r="U643" s="5" t="inlineStr">
        <is>
          <t>Claro tv+ Box + Disney+ Amazon Prime + Netflix + HBO Max + Apple TV + Globoplay</t>
        </is>
      </c>
      <c r="V643" s="5" t="inlineStr"/>
      <c r="W643" s="5" t="inlineStr"/>
      <c r="X643" s="5" t="inlineStr"/>
      <c r="Y643" s="5" t="inlineStr">
        <is>
          <t>https://www.claro.com.br/multi</t>
        </is>
      </c>
      <c r="Z643" s="5" t="inlineStr">
        <is>
          <t>data/raw/claro_convergent_multi_SP.html</t>
        </is>
      </c>
    </row>
    <row r="644">
      <c r="A644" s="2" t="inlineStr">
        <is>
          <t>2026-08-30</t>
        </is>
      </c>
      <c r="B644" s="2" t="inlineStr">
        <is>
          <t>2026-08-30T20:06:52</t>
        </is>
      </c>
      <c r="C644" s="2" t="inlineStr">
        <is>
          <t>claro</t>
        </is>
      </c>
      <c r="D644" s="2" t="inlineStr">
        <is>
          <t>SP</t>
        </is>
      </c>
      <c r="E644" s="2" t="inlineStr">
        <is>
          <t>1 Giga com Globoplay incluso + Claro tv+ Soundbox + Disney+ Amazon Prime + Netflix + HBO Max + Apple TV + Globoplay</t>
        </is>
      </c>
      <c r="F644" s="2" t="inlineStr">
        <is>
          <t>claro:ceb9fd87-0897-4dd2-a2f2-e7f09e714e49</t>
        </is>
      </c>
      <c r="G644" s="3" t="n">
        <v>429.8</v>
      </c>
      <c r="H644" s="3" t="inlineStr"/>
      <c r="I644" s="2" t="inlineStr"/>
      <c r="J644" s="2" t="inlineStr"/>
      <c r="K644" s="2" t="inlineStr">
        <is>
          <t>tab: Fibra + TV</t>
        </is>
      </c>
      <c r="L644" s="2" t="inlineStr">
        <is>
          <t>broadband+tv</t>
        </is>
      </c>
      <c r="M644" s="2" t="inlineStr">
        <is>
          <t>Fiber + TV</t>
        </is>
      </c>
      <c r="N644" s="2" t="b">
        <v>0</v>
      </c>
      <c r="O644" s="2" t="b">
        <v>1</v>
      </c>
      <c r="P644" s="2" t="b">
        <v>1</v>
      </c>
      <c r="Q644" s="2" t="b">
        <v>0</v>
      </c>
      <c r="R644" s="4" t="n">
        <v>1000</v>
      </c>
      <c r="S644" s="4" t="inlineStr"/>
      <c r="T644" s="4" t="inlineStr"/>
      <c r="U644" s="2" t="inlineStr">
        <is>
          <t>Claro tv+ Soundbox + Disney+ Amazon Prime + Netflix + HBO Max + Apple TV + Globoplay</t>
        </is>
      </c>
      <c r="V644" s="2" t="inlineStr"/>
      <c r="W644" s="2" t="inlineStr"/>
      <c r="X644" s="2" t="inlineStr"/>
      <c r="Y644" s="2" t="inlineStr">
        <is>
          <t>https://www.claro.com.br/multi</t>
        </is>
      </c>
      <c r="Z644" s="2" t="inlineStr">
        <is>
          <t>data/raw/claro_convergent_multi_SP.html</t>
        </is>
      </c>
    </row>
    <row r="645">
      <c r="A645" s="5" t="inlineStr">
        <is>
          <t>2026-08-30</t>
        </is>
      </c>
      <c r="B645" s="5" t="inlineStr">
        <is>
          <t>2026-08-30T20:06:52</t>
        </is>
      </c>
      <c r="C645" s="5" t="inlineStr">
        <is>
          <t>claro</t>
        </is>
      </c>
      <c r="D645" s="5" t="inlineStr">
        <is>
          <t>SP</t>
        </is>
      </c>
      <c r="E645" s="5" t="inlineStr">
        <is>
          <t>1 Giga com Globoplay incluso + Pós 100GB</t>
        </is>
      </c>
      <c r="F645" s="5" t="inlineStr">
        <is>
          <t>claro:a1de0ac1-61bb-4e97-a744-1ae4c3541673</t>
        </is>
      </c>
      <c r="G645" s="6" t="n">
        <v>179.9</v>
      </c>
      <c r="H645" s="6" t="inlineStr"/>
      <c r="I645" s="5" t="inlineStr"/>
      <c r="J645" s="5" t="inlineStr"/>
      <c r="K645" s="5" t="inlineStr">
        <is>
          <t>tab: Fibra + Móvel</t>
        </is>
      </c>
      <c r="L645" s="5" t="inlineStr">
        <is>
          <t>mobile+broadband</t>
        </is>
      </c>
      <c r="M645" s="5" t="inlineStr">
        <is>
          <t>Fiber + Mobile</t>
        </is>
      </c>
      <c r="N645" s="5" t="b">
        <v>1</v>
      </c>
      <c r="O645" s="5" t="b">
        <v>1</v>
      </c>
      <c r="P645" s="5" t="b">
        <v>0</v>
      </c>
      <c r="Q645" s="5" t="b">
        <v>0</v>
      </c>
      <c r="R645" s="7" t="n">
        <v>1000</v>
      </c>
      <c r="S645" s="7" t="n">
        <v>100</v>
      </c>
      <c r="T645" s="7" t="n">
        <v>1</v>
      </c>
      <c r="U645" s="5" t="inlineStr"/>
      <c r="V645" s="5" t="inlineStr"/>
      <c r="W645" s="5" t="inlineStr"/>
      <c r="X645" s="5" t="inlineStr">
        <is>
          <t>Pós 100GB</t>
        </is>
      </c>
      <c r="Y645" s="5" t="inlineStr">
        <is>
          <t>https://www.claro.com.br/multi</t>
        </is>
      </c>
      <c r="Z645" s="5" t="inlineStr">
        <is>
          <t>data/raw/claro_convergent_multi_SP.html</t>
        </is>
      </c>
    </row>
    <row r="646">
      <c r="A646" s="2" t="inlineStr">
        <is>
          <t>2026-08-30</t>
        </is>
      </c>
      <c r="B646" s="2" t="inlineStr">
        <is>
          <t>2026-08-30T20:06:52</t>
        </is>
      </c>
      <c r="C646" s="2" t="inlineStr">
        <is>
          <t>claro</t>
        </is>
      </c>
      <c r="D646" s="2" t="inlineStr">
        <is>
          <t>SP</t>
        </is>
      </c>
      <c r="E646" s="2" t="inlineStr">
        <is>
          <t>1 Giga com Globoplay incluso + Pós 100GB + Claro tv+ Box + Disney+ Amazon Prime + Netflix + HBO Max + Apple TV + Globoplay</t>
        </is>
      </c>
      <c r="F646" s="2" t="inlineStr">
        <is>
          <t>claro:548c4bad-7857-4c0c-94d5-45d33d66c57f</t>
        </is>
      </c>
      <c r="G646" s="3" t="n">
        <v>289.8</v>
      </c>
      <c r="H646" s="3" t="inlineStr"/>
      <c r="I646" s="2" t="inlineStr"/>
      <c r="J646" s="2" t="inlineStr"/>
      <c r="K646" s="2" t="inlineStr">
        <is>
          <t>tab: Fibra + Móvel + TV</t>
        </is>
      </c>
      <c r="L646" s="2" t="inlineStr">
        <is>
          <t>mobile+broadband+tv</t>
        </is>
      </c>
      <c r="M646" s="2" t="inlineStr">
        <is>
          <t>Fiber + Mobile + TV</t>
        </is>
      </c>
      <c r="N646" s="2" t="b">
        <v>1</v>
      </c>
      <c r="O646" s="2" t="b">
        <v>1</v>
      </c>
      <c r="P646" s="2" t="b">
        <v>1</v>
      </c>
      <c r="Q646" s="2" t="b">
        <v>0</v>
      </c>
      <c r="R646" s="4" t="n">
        <v>1000</v>
      </c>
      <c r="S646" s="4" t="n">
        <v>100</v>
      </c>
      <c r="T646" s="4" t="n">
        <v>1</v>
      </c>
      <c r="U646" s="2" t="inlineStr">
        <is>
          <t>Claro tv+ Box + Disney+ Amazon Prime + Netflix + HBO Max + Apple TV + Globoplay</t>
        </is>
      </c>
      <c r="V646" s="2" t="inlineStr"/>
      <c r="W646" s="2" t="inlineStr"/>
      <c r="X646" s="2" t="inlineStr">
        <is>
          <t>Pós 100GB</t>
        </is>
      </c>
      <c r="Y646" s="2" t="inlineStr">
        <is>
          <t>https://www.claro.com.br/multi</t>
        </is>
      </c>
      <c r="Z646" s="2" t="inlineStr">
        <is>
          <t>data/raw/claro_convergent_multi_SP.html</t>
        </is>
      </c>
    </row>
    <row r="647">
      <c r="A647" s="5" t="inlineStr">
        <is>
          <t>2026-08-30</t>
        </is>
      </c>
      <c r="B647" s="5" t="inlineStr">
        <is>
          <t>2026-08-30T20:06:52</t>
        </is>
      </c>
      <c r="C647" s="5" t="inlineStr">
        <is>
          <t>claro</t>
        </is>
      </c>
      <c r="D647" s="5" t="inlineStr">
        <is>
          <t>SP</t>
        </is>
      </c>
      <c r="E647" s="5" t="inlineStr">
        <is>
          <t>1 Giga com Globoplay incluso + Pós 150GB</t>
        </is>
      </c>
      <c r="F647" s="5" t="inlineStr">
        <is>
          <t>claro:d47e2a3b-dfd0-410e-9c24-d07a334d01d4</t>
        </is>
      </c>
      <c r="G647" s="6" t="n">
        <v>299.9</v>
      </c>
      <c r="H647" s="6" t="inlineStr"/>
      <c r="I647" s="5" t="inlineStr"/>
      <c r="J647" s="5" t="inlineStr"/>
      <c r="K647" s="5" t="inlineStr">
        <is>
          <t>tab: Fibra + Móvel</t>
        </is>
      </c>
      <c r="L647" s="5" t="inlineStr">
        <is>
          <t>mobile+broadband</t>
        </is>
      </c>
      <c r="M647" s="5" t="inlineStr">
        <is>
          <t>Fiber + Mobile</t>
        </is>
      </c>
      <c r="N647" s="5" t="b">
        <v>1</v>
      </c>
      <c r="O647" s="5" t="b">
        <v>1</v>
      </c>
      <c r="P647" s="5" t="b">
        <v>0</v>
      </c>
      <c r="Q647" s="5" t="b">
        <v>0</v>
      </c>
      <c r="R647" s="7" t="n">
        <v>1000</v>
      </c>
      <c r="S647" s="7" t="n">
        <v>150</v>
      </c>
      <c r="T647" s="7" t="n">
        <v>2</v>
      </c>
      <c r="U647" s="5" t="inlineStr"/>
      <c r="V647" s="5" t="inlineStr"/>
      <c r="W647" s="5" t="inlineStr"/>
      <c r="X647" s="5" t="inlineStr">
        <is>
          <t>Pós 150GB</t>
        </is>
      </c>
      <c r="Y647" s="5" t="inlineStr">
        <is>
          <t>https://www.claro.com.br/multi</t>
        </is>
      </c>
      <c r="Z647" s="5" t="inlineStr">
        <is>
          <t>data/raw/claro_convergent_multi_SP.html</t>
        </is>
      </c>
    </row>
    <row r="648">
      <c r="A648" s="2" t="inlineStr">
        <is>
          <t>2026-08-30</t>
        </is>
      </c>
      <c r="B648" s="2" t="inlineStr">
        <is>
          <t>2026-08-30T20:06:52</t>
        </is>
      </c>
      <c r="C648" s="2" t="inlineStr">
        <is>
          <t>claro</t>
        </is>
      </c>
      <c r="D648" s="2" t="inlineStr">
        <is>
          <t>SP</t>
        </is>
      </c>
      <c r="E648" s="2" t="inlineStr">
        <is>
          <t>1 Giga com Globoplay incluso + Pós 150GB + Claro tv+ Box + Disney+ Amazon Prime + Netflix + HBO Max + Apple TV + Globoplay</t>
        </is>
      </c>
      <c r="F648" s="2" t="inlineStr">
        <is>
          <t>claro:7785b449-69f2-4234-9e24-8837e32a55c0</t>
        </is>
      </c>
      <c r="G648" s="3" t="n">
        <v>409.8</v>
      </c>
      <c r="H648" s="3" t="inlineStr"/>
      <c r="I648" s="2" t="inlineStr"/>
      <c r="J648" s="2" t="inlineStr"/>
      <c r="K648" s="2" t="inlineStr">
        <is>
          <t>tab: Fibra + Móvel + TV</t>
        </is>
      </c>
      <c r="L648" s="2" t="inlineStr">
        <is>
          <t>mobile+broadband+tv</t>
        </is>
      </c>
      <c r="M648" s="2" t="inlineStr">
        <is>
          <t>Fiber + Mobile + TV</t>
        </is>
      </c>
      <c r="N648" s="2" t="b">
        <v>1</v>
      </c>
      <c r="O648" s="2" t="b">
        <v>1</v>
      </c>
      <c r="P648" s="2" t="b">
        <v>1</v>
      </c>
      <c r="Q648" s="2" t="b">
        <v>0</v>
      </c>
      <c r="R648" s="4" t="n">
        <v>1000</v>
      </c>
      <c r="S648" s="4" t="n">
        <v>150</v>
      </c>
      <c r="T648" s="4" t="n">
        <v>1</v>
      </c>
      <c r="U648" s="2" t="inlineStr">
        <is>
          <t>Claro tv+ Box + Disney+ Amazon Prime + Netflix + HBO Max + Apple TV + Globoplay</t>
        </is>
      </c>
      <c r="V648" s="2" t="inlineStr"/>
      <c r="W648" s="2" t="inlineStr"/>
      <c r="X648" s="2" t="inlineStr">
        <is>
          <t>Pós 150GB</t>
        </is>
      </c>
      <c r="Y648" s="2" t="inlineStr">
        <is>
          <t>https://www.claro.com.br/multi</t>
        </is>
      </c>
      <c r="Z648" s="2" t="inlineStr">
        <is>
          <t>data/raw/claro_convergent_multi_SP.html</t>
        </is>
      </c>
    </row>
    <row r="649">
      <c r="A649" s="5" t="inlineStr">
        <is>
          <t>2026-08-30</t>
        </is>
      </c>
      <c r="B649" s="5" t="inlineStr">
        <is>
          <t>2026-08-30T20:06:52</t>
        </is>
      </c>
      <c r="C649" s="5" t="inlineStr">
        <is>
          <t>claro</t>
        </is>
      </c>
      <c r="D649" s="5" t="inlineStr">
        <is>
          <t>SP</t>
        </is>
      </c>
      <c r="E649" s="5" t="inlineStr">
        <is>
          <t>1 Giga com Globoplay incluso + Pós 200GB</t>
        </is>
      </c>
      <c r="F649" s="5" t="inlineStr">
        <is>
          <t>claro:1961a62d-3213-4ff0-a152-401a45c5b1b5</t>
        </is>
      </c>
      <c r="G649" s="6" t="n">
        <v>359.9</v>
      </c>
      <c r="H649" s="6" t="inlineStr"/>
      <c r="I649" s="5" t="inlineStr"/>
      <c r="J649" s="5" t="inlineStr"/>
      <c r="K649" s="5" t="inlineStr">
        <is>
          <t>tab: Fibra + Móvel</t>
        </is>
      </c>
      <c r="L649" s="5" t="inlineStr">
        <is>
          <t>mobile+broadband</t>
        </is>
      </c>
      <c r="M649" s="5" t="inlineStr">
        <is>
          <t>Fiber + Mobile</t>
        </is>
      </c>
      <c r="N649" s="5" t="b">
        <v>1</v>
      </c>
      <c r="O649" s="5" t="b">
        <v>1</v>
      </c>
      <c r="P649" s="5" t="b">
        <v>0</v>
      </c>
      <c r="Q649" s="5" t="b">
        <v>0</v>
      </c>
      <c r="R649" s="7" t="n">
        <v>1000</v>
      </c>
      <c r="S649" s="7" t="n">
        <v>200</v>
      </c>
      <c r="T649" s="7" t="n">
        <v>3</v>
      </c>
      <c r="U649" s="5" t="inlineStr"/>
      <c r="V649" s="5" t="inlineStr"/>
      <c r="W649" s="5" t="inlineStr"/>
      <c r="X649" s="5" t="inlineStr">
        <is>
          <t>Pós 200GB</t>
        </is>
      </c>
      <c r="Y649" s="5" t="inlineStr">
        <is>
          <t>https://www.claro.com.br/multi</t>
        </is>
      </c>
      <c r="Z649" s="5" t="inlineStr">
        <is>
          <t>data/raw/claro_convergent_multi_SP.html</t>
        </is>
      </c>
    </row>
    <row r="650">
      <c r="A650" s="2" t="inlineStr">
        <is>
          <t>2026-08-30</t>
        </is>
      </c>
      <c r="B650" s="2" t="inlineStr">
        <is>
          <t>2026-08-30T20:06:52</t>
        </is>
      </c>
      <c r="C650" s="2" t="inlineStr">
        <is>
          <t>claro</t>
        </is>
      </c>
      <c r="D650" s="2" t="inlineStr">
        <is>
          <t>SP</t>
        </is>
      </c>
      <c r="E650" s="2" t="inlineStr">
        <is>
          <t>1 Giga com Globoplay incluso + Pós 200GB + Claro tv+ Box + Disney+ Amazon Prime + Netflix + HBO Max + Apple TV + Globoplay</t>
        </is>
      </c>
      <c r="F650" s="2" t="inlineStr">
        <is>
          <t>claro:312815a2-b3a5-43bb-89a1-272d53ccb212</t>
        </is>
      </c>
      <c r="G650" s="3" t="n">
        <v>469.8</v>
      </c>
      <c r="H650" s="3" t="inlineStr"/>
      <c r="I650" s="2" t="inlineStr"/>
      <c r="J650" s="2" t="inlineStr"/>
      <c r="K650" s="2" t="inlineStr">
        <is>
          <t>tab: Fibra + Móvel + TV</t>
        </is>
      </c>
      <c r="L650" s="2" t="inlineStr">
        <is>
          <t>mobile+broadband+tv</t>
        </is>
      </c>
      <c r="M650" s="2" t="inlineStr">
        <is>
          <t>Fiber + Mobile + TV</t>
        </is>
      </c>
      <c r="N650" s="2" t="b">
        <v>1</v>
      </c>
      <c r="O650" s="2" t="b">
        <v>1</v>
      </c>
      <c r="P650" s="2" t="b">
        <v>1</v>
      </c>
      <c r="Q650" s="2" t="b">
        <v>0</v>
      </c>
      <c r="R650" s="4" t="n">
        <v>1000</v>
      </c>
      <c r="S650" s="4" t="n">
        <v>200</v>
      </c>
      <c r="T650" s="4" t="n">
        <v>1</v>
      </c>
      <c r="U650" s="2" t="inlineStr">
        <is>
          <t>Claro tv+ Box + Disney+ Amazon Prime + Netflix + HBO Max + Apple TV + Globoplay</t>
        </is>
      </c>
      <c r="V650" s="2" t="inlineStr"/>
      <c r="W650" s="2" t="inlineStr"/>
      <c r="X650" s="2" t="inlineStr">
        <is>
          <t>Pós 200GB</t>
        </is>
      </c>
      <c r="Y650" s="2" t="inlineStr">
        <is>
          <t>https://www.claro.com.br/multi</t>
        </is>
      </c>
      <c r="Z650" s="2" t="inlineStr">
        <is>
          <t>data/raw/claro_convergent_multi_SP.html</t>
        </is>
      </c>
    </row>
    <row r="651">
      <c r="A651" s="5" t="inlineStr">
        <is>
          <t>2026-08-30</t>
        </is>
      </c>
      <c r="B651" s="5" t="inlineStr">
        <is>
          <t>2026-08-30T20:06:52</t>
        </is>
      </c>
      <c r="C651" s="5" t="inlineStr">
        <is>
          <t>claro</t>
        </is>
      </c>
      <c r="D651" s="5" t="inlineStr">
        <is>
          <t>SP</t>
        </is>
      </c>
      <c r="E651" s="5" t="inlineStr">
        <is>
          <t>350 Mega com Globoplay incluso + Claro tv+ Box + Disney+ Amazon Prime + Netflix + HBO Max + Apple TV + Globoplay</t>
        </is>
      </c>
      <c r="F651" s="5" t="inlineStr">
        <is>
          <t>claro:97b00450-6f21-4349-8363-83d624b18328</t>
        </is>
      </c>
      <c r="G651" s="6" t="n">
        <v>229.8</v>
      </c>
      <c r="H651" s="6" t="inlineStr"/>
      <c r="I651" s="5" t="inlineStr"/>
      <c r="J651" s="5" t="inlineStr"/>
      <c r="K651" s="5" t="inlineStr">
        <is>
          <t>tab: Fibra + TV</t>
        </is>
      </c>
      <c r="L651" s="5" t="inlineStr">
        <is>
          <t>broadband+tv</t>
        </is>
      </c>
      <c r="M651" s="5" t="inlineStr">
        <is>
          <t>Fiber + TV</t>
        </is>
      </c>
      <c r="N651" s="5" t="b">
        <v>0</v>
      </c>
      <c r="O651" s="5" t="b">
        <v>1</v>
      </c>
      <c r="P651" s="5" t="b">
        <v>1</v>
      </c>
      <c r="Q651" s="5" t="b">
        <v>0</v>
      </c>
      <c r="R651" s="7" t="n">
        <v>350</v>
      </c>
      <c r="S651" s="7" t="inlineStr"/>
      <c r="T651" s="7" t="inlineStr"/>
      <c r="U651" s="5" t="inlineStr">
        <is>
          <t>Claro tv+ Box + Disney+ Amazon Prime + Netflix + HBO Max + Apple TV + Globoplay</t>
        </is>
      </c>
      <c r="V651" s="5" t="inlineStr"/>
      <c r="W651" s="5" t="inlineStr"/>
      <c r="X651" s="5" t="inlineStr"/>
      <c r="Y651" s="5" t="inlineStr">
        <is>
          <t>https://www.claro.com.br/multi</t>
        </is>
      </c>
      <c r="Z651" s="5" t="inlineStr">
        <is>
          <t>data/raw/claro_convergent_multi_SP.html</t>
        </is>
      </c>
    </row>
    <row r="652">
      <c r="A652" s="2" t="inlineStr">
        <is>
          <t>2026-08-30</t>
        </is>
      </c>
      <c r="B652" s="2" t="inlineStr">
        <is>
          <t>2026-08-30T20:06:52</t>
        </is>
      </c>
      <c r="C652" s="2" t="inlineStr">
        <is>
          <t>claro</t>
        </is>
      </c>
      <c r="D652" s="2" t="inlineStr">
        <is>
          <t>SP</t>
        </is>
      </c>
      <c r="E652" s="2" t="inlineStr">
        <is>
          <t>350 Mega com Globoplay incluso + Controle 40GB</t>
        </is>
      </c>
      <c r="F652" s="2" t="inlineStr">
        <is>
          <t>claro:a866ea9a-6a70-4b6e-b886-f8178086ca91</t>
        </is>
      </c>
      <c r="G652" s="3" t="n">
        <v>129.8</v>
      </c>
      <c r="H652" s="3" t="inlineStr"/>
      <c r="I652" s="2" t="inlineStr"/>
      <c r="J652" s="2" t="inlineStr">
        <is>
          <t>debit_auto</t>
        </is>
      </c>
      <c r="K652" s="2" t="inlineStr">
        <is>
          <t>tab: Fibra + Móvel; preço em débito em conta; +R$ 5.00 sem débito automático</t>
        </is>
      </c>
      <c r="L652" s="2" t="inlineStr">
        <is>
          <t>mobile+broadband</t>
        </is>
      </c>
      <c r="M652" s="2" t="inlineStr">
        <is>
          <t>Fiber + Mobile</t>
        </is>
      </c>
      <c r="N652" s="2" t="b">
        <v>1</v>
      </c>
      <c r="O652" s="2" t="b">
        <v>1</v>
      </c>
      <c r="P652" s="2" t="b">
        <v>0</v>
      </c>
      <c r="Q652" s="2" t="b">
        <v>0</v>
      </c>
      <c r="R652" s="4" t="n">
        <v>350</v>
      </c>
      <c r="S652" s="4" t="n">
        <v>40</v>
      </c>
      <c r="T652" s="4" t="n">
        <v>1</v>
      </c>
      <c r="U652" s="2" t="inlineStr"/>
      <c r="V652" s="2" t="inlineStr"/>
      <c r="W652" s="2" t="inlineStr"/>
      <c r="X652" s="2" t="inlineStr">
        <is>
          <t>Controle 40GB</t>
        </is>
      </c>
      <c r="Y652" s="2" t="inlineStr">
        <is>
          <t>https://www.claro.com.br/multi</t>
        </is>
      </c>
      <c r="Z652" s="2" t="inlineStr">
        <is>
          <t>data/raw/claro_convergent_multi_SP.html</t>
        </is>
      </c>
    </row>
    <row r="653">
      <c r="A653" s="5" t="inlineStr">
        <is>
          <t>2026-08-30</t>
        </is>
      </c>
      <c r="B653" s="5" t="inlineStr">
        <is>
          <t>2026-08-30T20:06:52</t>
        </is>
      </c>
      <c r="C653" s="5" t="inlineStr">
        <is>
          <t>claro</t>
        </is>
      </c>
      <c r="D653" s="5" t="inlineStr">
        <is>
          <t>SP</t>
        </is>
      </c>
      <c r="E653" s="5" t="inlineStr">
        <is>
          <t>350 Mega com Globoplay incluso + Pós 100GB + Claro tv+ Box + Disney+ Amazon Prime + Netflix + HBO Max + Apple TV + Globoplay</t>
        </is>
      </c>
      <c r="F653" s="5" t="inlineStr">
        <is>
          <t>claro:746fa9cf-ea2b-40de-ad2c-5803b3e0ab08</t>
        </is>
      </c>
      <c r="G653" s="6" t="n">
        <v>249.8</v>
      </c>
      <c r="H653" s="6" t="inlineStr"/>
      <c r="I653" s="5" t="inlineStr"/>
      <c r="J653" s="5" t="inlineStr"/>
      <c r="K653" s="5" t="inlineStr">
        <is>
          <t>tab: Fibra + Móvel + TV</t>
        </is>
      </c>
      <c r="L653" s="5" t="inlineStr">
        <is>
          <t>mobile+broadband+tv</t>
        </is>
      </c>
      <c r="M653" s="5" t="inlineStr">
        <is>
          <t>Fiber + Mobile + TV</t>
        </is>
      </c>
      <c r="N653" s="5" t="b">
        <v>1</v>
      </c>
      <c r="O653" s="5" t="b">
        <v>1</v>
      </c>
      <c r="P653" s="5" t="b">
        <v>1</v>
      </c>
      <c r="Q653" s="5" t="b">
        <v>0</v>
      </c>
      <c r="R653" s="7" t="n">
        <v>350</v>
      </c>
      <c r="S653" s="7" t="n">
        <v>100</v>
      </c>
      <c r="T653" s="7" t="n">
        <v>1</v>
      </c>
      <c r="U653" s="5" t="inlineStr">
        <is>
          <t>Claro tv+ Box + Disney+ Amazon Prime + Netflix + HBO Max + Apple TV + Globoplay</t>
        </is>
      </c>
      <c r="V653" s="5" t="inlineStr"/>
      <c r="W653" s="5" t="inlineStr"/>
      <c r="X653" s="5" t="inlineStr">
        <is>
          <t>Pós 100GB</t>
        </is>
      </c>
      <c r="Y653" s="5" t="inlineStr">
        <is>
          <t>https://www.claro.com.br/multi</t>
        </is>
      </c>
      <c r="Z653" s="5" t="inlineStr">
        <is>
          <t>data/raw/claro_convergent_multi_SP.html</t>
        </is>
      </c>
    </row>
    <row r="654">
      <c r="A654" s="2" t="inlineStr">
        <is>
          <t>2026-08-30</t>
        </is>
      </c>
      <c r="B654" s="2" t="inlineStr">
        <is>
          <t>2026-08-30T20:06:52</t>
        </is>
      </c>
      <c r="C654" s="2" t="inlineStr">
        <is>
          <t>claro</t>
        </is>
      </c>
      <c r="D654" s="2" t="inlineStr">
        <is>
          <t>SP</t>
        </is>
      </c>
      <c r="E654" s="2" t="inlineStr">
        <is>
          <t>600 Mega com Globoplay incluso + Claro tv+ Box + Disney+ Amazon Prime + Netflix + HBO Max + Apple TV + Globoplay</t>
        </is>
      </c>
      <c r="F654" s="2" t="inlineStr">
        <is>
          <t>claro:545261b1-2f4d-4dab-82a6-02d9e66c5d3d</t>
        </is>
      </c>
      <c r="G654" s="3" t="n">
        <v>239.8</v>
      </c>
      <c r="H654" s="3" t="inlineStr"/>
      <c r="I654" s="2" t="inlineStr"/>
      <c r="J654" s="2" t="inlineStr"/>
      <c r="K654" s="2" t="inlineStr">
        <is>
          <t>tab: Fibra + TV</t>
        </is>
      </c>
      <c r="L654" s="2" t="inlineStr">
        <is>
          <t>broadband+tv</t>
        </is>
      </c>
      <c r="M654" s="2" t="inlineStr">
        <is>
          <t>Fiber + TV</t>
        </is>
      </c>
      <c r="N654" s="2" t="b">
        <v>0</v>
      </c>
      <c r="O654" s="2" t="b">
        <v>1</v>
      </c>
      <c r="P654" s="2" t="b">
        <v>1</v>
      </c>
      <c r="Q654" s="2" t="b">
        <v>0</v>
      </c>
      <c r="R654" s="4" t="n">
        <v>600</v>
      </c>
      <c r="S654" s="4" t="inlineStr"/>
      <c r="T654" s="4" t="inlineStr"/>
      <c r="U654" s="2" t="inlineStr">
        <is>
          <t>Claro tv+ Box + Disney+ Amazon Prime + Netflix + HBO Max + Apple TV + Globoplay</t>
        </is>
      </c>
      <c r="V654" s="2" t="inlineStr"/>
      <c r="W654" s="2" t="inlineStr"/>
      <c r="X654" s="2" t="inlineStr"/>
      <c r="Y654" s="2" t="inlineStr">
        <is>
          <t>https://www.claro.com.br/multi</t>
        </is>
      </c>
      <c r="Z654" s="2" t="inlineStr">
        <is>
          <t>data/raw/claro_convergent_multi_SP.html</t>
        </is>
      </c>
    </row>
    <row r="655">
      <c r="A655" s="5" t="inlineStr">
        <is>
          <t>2026-08-30</t>
        </is>
      </c>
      <c r="B655" s="5" t="inlineStr">
        <is>
          <t>2026-08-30T20:06:52</t>
        </is>
      </c>
      <c r="C655" s="5" t="inlineStr">
        <is>
          <t>claro</t>
        </is>
      </c>
      <c r="D655" s="5" t="inlineStr">
        <is>
          <t>SP</t>
        </is>
      </c>
      <c r="E655" s="5" t="inlineStr">
        <is>
          <t>600 Mega com Globoplay incluso + Pós 100GB</t>
        </is>
      </c>
      <c r="F655" s="5" t="inlineStr">
        <is>
          <t>claro:350ac58a-533c-4858-83be-be3ea39c8874</t>
        </is>
      </c>
      <c r="G655" s="6" t="n">
        <v>159.9</v>
      </c>
      <c r="H655" s="6" t="inlineStr"/>
      <c r="I655" s="5" t="inlineStr"/>
      <c r="J655" s="5" t="inlineStr"/>
      <c r="K655" s="5" t="inlineStr">
        <is>
          <t>tab: Fibra + Móvel</t>
        </is>
      </c>
      <c r="L655" s="5" t="inlineStr">
        <is>
          <t>mobile+broadband</t>
        </is>
      </c>
      <c r="M655" s="5" t="inlineStr">
        <is>
          <t>Fiber + Mobile</t>
        </is>
      </c>
      <c r="N655" s="5" t="b">
        <v>1</v>
      </c>
      <c r="O655" s="5" t="b">
        <v>1</v>
      </c>
      <c r="P655" s="5" t="b">
        <v>0</v>
      </c>
      <c r="Q655" s="5" t="b">
        <v>0</v>
      </c>
      <c r="R655" s="7" t="n">
        <v>600</v>
      </c>
      <c r="S655" s="7" t="n">
        <v>100</v>
      </c>
      <c r="T655" s="7" t="n">
        <v>1</v>
      </c>
      <c r="U655" s="5" t="inlineStr"/>
      <c r="V655" s="5" t="inlineStr"/>
      <c r="W655" s="5" t="inlineStr"/>
      <c r="X655" s="5" t="inlineStr">
        <is>
          <t>Pós 100GB</t>
        </is>
      </c>
      <c r="Y655" s="5" t="inlineStr">
        <is>
          <t>https://www.claro.com.br/multi</t>
        </is>
      </c>
      <c r="Z655" s="5" t="inlineStr">
        <is>
          <t>data/raw/claro_convergent_multi_SP.html</t>
        </is>
      </c>
    </row>
    <row r="656">
      <c r="A656" s="2" t="inlineStr">
        <is>
          <t>2026-08-30</t>
        </is>
      </c>
      <c r="B656" s="2" t="inlineStr">
        <is>
          <t>2026-08-30T20:06:52</t>
        </is>
      </c>
      <c r="C656" s="2" t="inlineStr">
        <is>
          <t>claro</t>
        </is>
      </c>
      <c r="D656" s="2" t="inlineStr">
        <is>
          <t>SP</t>
        </is>
      </c>
      <c r="E656" s="2" t="inlineStr">
        <is>
          <t>600 Mega com Globoplay incluso + Pós 100GB + Claro tv+ Box + Disney+ Amazon Prime + Netflix + HBO Max + Apple TV + Globoplay</t>
        </is>
      </c>
      <c r="F656" s="2" t="inlineStr">
        <is>
          <t>claro:f36e7dfb-f7c9-4055-844f-7bc101699de8</t>
        </is>
      </c>
      <c r="G656" s="3" t="n">
        <v>269.8</v>
      </c>
      <c r="H656" s="3" t="inlineStr"/>
      <c r="I656" s="2" t="inlineStr"/>
      <c r="J656" s="2" t="inlineStr"/>
      <c r="K656" s="2" t="inlineStr">
        <is>
          <t>tab: Fibra + Móvel + TV</t>
        </is>
      </c>
      <c r="L656" s="2" t="inlineStr">
        <is>
          <t>mobile+broadband+tv</t>
        </is>
      </c>
      <c r="M656" s="2" t="inlineStr">
        <is>
          <t>Fiber + Mobile + TV</t>
        </is>
      </c>
      <c r="N656" s="2" t="b">
        <v>1</v>
      </c>
      <c r="O656" s="2" t="b">
        <v>1</v>
      </c>
      <c r="P656" s="2" t="b">
        <v>1</v>
      </c>
      <c r="Q656" s="2" t="b">
        <v>0</v>
      </c>
      <c r="R656" s="4" t="n">
        <v>600</v>
      </c>
      <c r="S656" s="4" t="n">
        <v>100</v>
      </c>
      <c r="T656" s="4" t="n">
        <v>1</v>
      </c>
      <c r="U656" s="2" t="inlineStr">
        <is>
          <t>Claro tv+ Box + Disney+ Amazon Prime + Netflix + HBO Max + Apple TV + Globoplay</t>
        </is>
      </c>
      <c r="V656" s="2" t="inlineStr"/>
      <c r="W656" s="2" t="inlineStr"/>
      <c r="X656" s="2" t="inlineStr">
        <is>
          <t>Pós 100GB</t>
        </is>
      </c>
      <c r="Y656" s="2" t="inlineStr">
        <is>
          <t>https://www.claro.com.br/multi</t>
        </is>
      </c>
      <c r="Z656" s="2" t="inlineStr">
        <is>
          <t>data/raw/claro_convergent_multi_SP.html</t>
        </is>
      </c>
    </row>
    <row r="657">
      <c r="A657" s="5" t="inlineStr">
        <is>
          <t>2026-08-30</t>
        </is>
      </c>
      <c r="B657" s="5" t="inlineStr">
        <is>
          <t>2026-08-30T20:06:52</t>
        </is>
      </c>
      <c r="C657" s="5" t="inlineStr">
        <is>
          <t>tim</t>
        </is>
      </c>
      <c r="D657" s="5" t="inlineStr">
        <is>
          <t>SP</t>
        </is>
      </c>
      <c r="E657" s="5" t="inlineStr">
        <is>
          <t>TIM Ultracombo 5</t>
        </is>
      </c>
      <c r="F657" s="5" t="inlineStr">
        <is>
          <t>tim:167756</t>
        </is>
      </c>
      <c r="G657" s="6" t="n">
        <v>169.99</v>
      </c>
      <c r="H657" s="6" t="inlineStr"/>
      <c r="I657" s="5" t="inlineStr"/>
      <c r="J657" s="5" t="inlineStr">
        <is>
          <t>debit_auto</t>
        </is>
      </c>
      <c r="K657" s="5" t="inlineStr">
        <is>
          <t>preço em débito automático; R$ 179,99/mês no pagamento por fatura</t>
        </is>
      </c>
      <c r="L657" s="5" t="inlineStr">
        <is>
          <t>mobile+broadband</t>
        </is>
      </c>
      <c r="M657" s="5" t="inlineStr">
        <is>
          <t>Fiber + Mobile</t>
        </is>
      </c>
      <c r="N657" s="5" t="b">
        <v>1</v>
      </c>
      <c r="O657" s="5" t="b">
        <v>1</v>
      </c>
      <c r="P657" s="5" t="b">
        <v>0</v>
      </c>
      <c r="Q657" s="5" t="b">
        <v>0</v>
      </c>
      <c r="R657" s="7" t="n">
        <v>1000</v>
      </c>
      <c r="S657" s="7" t="n">
        <v>115</v>
      </c>
      <c r="T657" s="7" t="n">
        <v>1</v>
      </c>
      <c r="U657" s="5" t="inlineStr"/>
      <c r="V657" s="5" t="inlineStr">
        <is>
          <t>Paramount+, Deezer</t>
        </is>
      </c>
      <c r="W657" s="5" t="inlineStr"/>
      <c r="X657" s="5" t="inlineStr">
        <is>
          <t>1GIGA de Ultrafibra para casa + 115GB de TIM Black C Hero para móvel: (25GB do plano + 40GB promo + 50GB bônus especial)</t>
        </is>
      </c>
      <c r="Y657" s="5" t="inlineStr">
        <is>
          <t>https://www.tim.com.br/sp/internet/tim-ultracombo</t>
        </is>
      </c>
      <c r="Z657" s="5" t="inlineStr">
        <is>
          <t>data/raw/tim_convergent_ultracombo_SP.html</t>
        </is>
      </c>
    </row>
    <row r="658">
      <c r="A658" s="2" t="inlineStr">
        <is>
          <t>2026-08-30</t>
        </is>
      </c>
      <c r="B658" s="2" t="inlineStr">
        <is>
          <t>2026-08-30T20:06:52</t>
        </is>
      </c>
      <c r="C658" s="2" t="inlineStr">
        <is>
          <t>tim</t>
        </is>
      </c>
      <c r="D658" s="2" t="inlineStr">
        <is>
          <t>SP</t>
        </is>
      </c>
      <c r="E658" s="2" t="inlineStr">
        <is>
          <t>TIM Ultracombo 6</t>
        </is>
      </c>
      <c r="F658" s="2" t="inlineStr">
        <is>
          <t>tim:167751</t>
        </is>
      </c>
      <c r="G658" s="3" t="n">
        <v>139.99</v>
      </c>
      <c r="H658" s="3" t="inlineStr"/>
      <c r="I658" s="2" t="inlineStr"/>
      <c r="J658" s="2" t="inlineStr">
        <is>
          <t>debit_auto</t>
        </is>
      </c>
      <c r="K658" s="2" t="inlineStr">
        <is>
          <t>preço em débito automático; R$ 149,99/mês no pagamento por fatura</t>
        </is>
      </c>
      <c r="L658" s="2" t="inlineStr">
        <is>
          <t>mobile+broadband</t>
        </is>
      </c>
      <c r="M658" s="2" t="inlineStr">
        <is>
          <t>Fiber + Mobile</t>
        </is>
      </c>
      <c r="N658" s="2" t="b">
        <v>1</v>
      </c>
      <c r="O658" s="2" t="b">
        <v>1</v>
      </c>
      <c r="P658" s="2" t="b">
        <v>0</v>
      </c>
      <c r="Q658" s="2" t="b">
        <v>0</v>
      </c>
      <c r="R658" s="4" t="n">
        <v>1000</v>
      </c>
      <c r="S658" s="4" t="n">
        <v>70</v>
      </c>
      <c r="T658" s="4" t="n">
        <v>1</v>
      </c>
      <c r="U658" s="2" t="inlineStr"/>
      <c r="V658" s="2" t="inlineStr">
        <is>
          <t>Paramount+, Deezer</t>
        </is>
      </c>
      <c r="W658" s="2" t="inlineStr"/>
      <c r="X658" s="2" t="inlineStr">
        <is>
          <t>1GIGA de Ultrafibra para casa + 70GB de TIM Black A para móvel: (15GB do plano + 50GB promo + 5GB bônus especial)</t>
        </is>
      </c>
      <c r="Y658" s="2" t="inlineStr">
        <is>
          <t>https://www.tim.com.br/sp/internet/tim-ultracombo</t>
        </is>
      </c>
      <c r="Z658" s="2" t="inlineStr">
        <is>
          <t>data/raw/tim_convergent_ultracombo_SP.html</t>
        </is>
      </c>
    </row>
    <row r="659">
      <c r="A659" s="5" t="inlineStr">
        <is>
          <t>2026-08-30</t>
        </is>
      </c>
      <c r="B659" s="5" t="inlineStr">
        <is>
          <t>2026-08-30T20:06:52</t>
        </is>
      </c>
      <c r="C659" s="5" t="inlineStr">
        <is>
          <t>tim</t>
        </is>
      </c>
      <c r="D659" s="5" t="inlineStr">
        <is>
          <t>SP</t>
        </is>
      </c>
      <c r="E659" s="5" t="inlineStr">
        <is>
          <t>TIM Ultracombo 7</t>
        </is>
      </c>
      <c r="F659" s="5" t="inlineStr">
        <is>
          <t>tim:167761</t>
        </is>
      </c>
      <c r="G659" s="6" t="n">
        <v>89.98999999999999</v>
      </c>
      <c r="H659" s="6" t="inlineStr"/>
      <c r="I659" s="5" t="inlineStr"/>
      <c r="J659" s="5" t="inlineStr">
        <is>
          <t>debit_auto</t>
        </is>
      </c>
      <c r="K659" s="5" t="inlineStr">
        <is>
          <t>preço em débito automático; R$ 99,99/mês no pagamento por fatura</t>
        </is>
      </c>
      <c r="L659" s="5" t="inlineStr">
        <is>
          <t>mobile+broadband</t>
        </is>
      </c>
      <c r="M659" s="5" t="inlineStr">
        <is>
          <t>Fiber + Mobile</t>
        </is>
      </c>
      <c r="N659" s="5" t="b">
        <v>1</v>
      </c>
      <c r="O659" s="5" t="b">
        <v>1</v>
      </c>
      <c r="P659" s="5" t="b">
        <v>0</v>
      </c>
      <c r="Q659" s="5" t="b">
        <v>0</v>
      </c>
      <c r="R659" s="7" t="n">
        <v>500</v>
      </c>
      <c r="S659" s="7" t="n">
        <v>65</v>
      </c>
      <c r="T659" s="7" t="n">
        <v>1</v>
      </c>
      <c r="U659" s="5" t="inlineStr"/>
      <c r="V659" s="5" t="inlineStr"/>
      <c r="W659" s="5" t="inlineStr"/>
      <c r="X659" s="5" t="inlineStr">
        <is>
          <t>500MEGA de Ultrafibra para casa + 65GB de TIM Black A Light para móvel: (10GB do plano + 50GB promo)</t>
        </is>
      </c>
      <c r="Y659" s="5" t="inlineStr">
        <is>
          <t>https://www.tim.com.br/sp/internet/tim-ultracombo</t>
        </is>
      </c>
      <c r="Z659" s="5" t="inlineStr">
        <is>
          <t>data/raw/tim_convergent_ultracombo_SP.html</t>
        </is>
      </c>
    </row>
    <row r="660">
      <c r="A660" s="2" t="inlineStr">
        <is>
          <t>2026-08-30</t>
        </is>
      </c>
      <c r="B660" s="2" t="inlineStr">
        <is>
          <t>2026-08-30T20:06:52</t>
        </is>
      </c>
      <c r="C660" s="2" t="inlineStr">
        <is>
          <t>vivo</t>
        </is>
      </c>
      <c r="D660" s="2" t="inlineStr">
        <is>
          <t>SP</t>
        </is>
      </c>
      <c r="E660" s="2" t="inlineStr">
        <is>
          <t>Vivo Família 2 + TV</t>
        </is>
      </c>
      <c r="F660" s="2" t="inlineStr">
        <is>
          <t>vivo:VIV202604032132-3-305-316-336-408-411-426-430-442</t>
        </is>
      </c>
      <c r="G660" s="3" t="n">
        <v>290</v>
      </c>
      <c r="H660" s="3" t="inlineStr"/>
      <c r="I660" s="2" t="inlineStr"/>
      <c r="J660" s="2" t="inlineStr"/>
      <c r="K660" s="2" t="inlineStr">
        <is>
          <t>instalação grátis mediante fidelização (não afeta a mensalidade)</t>
        </is>
      </c>
      <c r="L660" s="2" t="inlineStr">
        <is>
          <t>mobile+broadband+tv</t>
        </is>
      </c>
      <c r="M660" s="2" t="inlineStr">
        <is>
          <t>Fiber + Mobile + TV</t>
        </is>
      </c>
      <c r="N660" s="2" t="b">
        <v>1</v>
      </c>
      <c r="O660" s="2" t="b">
        <v>1</v>
      </c>
      <c r="P660" s="2" t="b">
        <v>1</v>
      </c>
      <c r="Q660" s="2" t="b">
        <v>0</v>
      </c>
      <c r="R660" s="4" t="n">
        <v>700</v>
      </c>
      <c r="S660" s="4" t="n">
        <v>120</v>
      </c>
      <c r="T660" s="4" t="n">
        <v>2</v>
      </c>
      <c r="U660" s="2" t="inlineStr">
        <is>
          <t>80 canais de Vivo Estendido</t>
        </is>
      </c>
      <c r="V660" s="2" t="inlineStr"/>
      <c r="W660" s="2" t="inlineStr">
        <is>
          <t>Vivo Travel Américas e Europa; 1 linha adicional inclusa</t>
        </is>
      </c>
      <c r="X660" s="2" t="inlineStr">
        <is>
          <t>700 Mega de Vivo Fibra</t>
        </is>
      </c>
      <c r="Y660" s="2" t="inlineStr">
        <is>
          <t>https://vivo.com.br/para-voce/produtos-e-servicos/combos/vivo-total</t>
        </is>
      </c>
      <c r="Z660" s="2" t="inlineStr">
        <is>
          <t>data/raw/vivo_convergent_total_SP.html</t>
        </is>
      </c>
    </row>
    <row r="661">
      <c r="A661" s="5" t="inlineStr">
        <is>
          <t>2026-08-30</t>
        </is>
      </c>
      <c r="B661" s="5" t="inlineStr">
        <is>
          <t>2026-08-30T20:06:52</t>
        </is>
      </c>
      <c r="C661" s="5" t="inlineStr">
        <is>
          <t>vivo</t>
        </is>
      </c>
      <c r="D661" s="5" t="inlineStr">
        <is>
          <t>SP</t>
        </is>
      </c>
      <c r="E661" s="5" t="inlineStr">
        <is>
          <t>Vivo Família 2 + TV</t>
        </is>
      </c>
      <c r="F661" s="5" t="inlineStr">
        <is>
          <t>vivo:VIV202604032112-3-9-305-316-408-411-426-430-442</t>
        </is>
      </c>
      <c r="G661" s="6" t="n">
        <v>390</v>
      </c>
      <c r="H661" s="6" t="inlineStr"/>
      <c r="I661" s="5" t="inlineStr"/>
      <c r="J661" s="5" t="inlineStr"/>
      <c r="K661" s="5" t="inlineStr">
        <is>
          <t>instalação grátis mediante fidelização (não afeta a mensalidade)</t>
        </is>
      </c>
      <c r="L661" s="5" t="inlineStr">
        <is>
          <t>mobile+broadband+tv</t>
        </is>
      </c>
      <c r="M661" s="5" t="inlineStr">
        <is>
          <t>Fiber + Mobile + TV</t>
        </is>
      </c>
      <c r="N661" s="5" t="b">
        <v>1</v>
      </c>
      <c r="O661" s="5" t="b">
        <v>1</v>
      </c>
      <c r="P661" s="5" t="b">
        <v>1</v>
      </c>
      <c r="Q661" s="5" t="b">
        <v>0</v>
      </c>
      <c r="R661" s="7" t="n">
        <v>700</v>
      </c>
      <c r="S661" s="7" t="n">
        <v>120</v>
      </c>
      <c r="T661" s="7" t="n">
        <v>2</v>
      </c>
      <c r="U661" s="5" t="inlineStr">
        <is>
          <t>120 canais de Vivo TV Avançado + 1 ponto adicional</t>
        </is>
      </c>
      <c r="V661" s="5" t="inlineStr"/>
      <c r="W661" s="5" t="inlineStr">
        <is>
          <t>Vivo Travel Américas e Europa; 1 linha adicional inclusa</t>
        </is>
      </c>
      <c r="X661" s="5" t="inlineStr">
        <is>
          <t>700 Mega de Vivo Fibra</t>
        </is>
      </c>
      <c r="Y661" s="5" t="inlineStr">
        <is>
          <t>https://vivo.com.br/para-voce/produtos-e-servicos/combos/vivo-total</t>
        </is>
      </c>
      <c r="Z661" s="5" t="inlineStr">
        <is>
          <t>data/raw/vivo_convergent_total_SP.html</t>
        </is>
      </c>
    </row>
    <row r="662">
      <c r="A662" s="2" t="inlineStr">
        <is>
          <t>2026-08-30</t>
        </is>
      </c>
      <c r="B662" s="2" t="inlineStr">
        <is>
          <t>2026-08-30T20:06:52</t>
        </is>
      </c>
      <c r="C662" s="2" t="inlineStr">
        <is>
          <t>vivo</t>
        </is>
      </c>
      <c r="D662" s="2" t="inlineStr">
        <is>
          <t>SP</t>
        </is>
      </c>
      <c r="E662" s="2" t="inlineStr">
        <is>
          <t>Vivo Total Família 2</t>
        </is>
      </c>
      <c r="F662" s="2" t="inlineStr">
        <is>
          <t>vivo:VIV202604032132-3-305-316-408-411-426-430-442</t>
        </is>
      </c>
      <c r="G662" s="3" t="n">
        <v>270</v>
      </c>
      <c r="H662" s="3" t="inlineStr"/>
      <c r="I662" s="2" t="inlineStr"/>
      <c r="J662" s="2" t="inlineStr"/>
      <c r="K662" s="2" t="inlineStr">
        <is>
          <t>instalação grátis mediante fidelização (não afeta a mensalidade)</t>
        </is>
      </c>
      <c r="L662" s="2" t="inlineStr">
        <is>
          <t>mobile+broadband</t>
        </is>
      </c>
      <c r="M662" s="2" t="inlineStr">
        <is>
          <t>Fiber + Mobile</t>
        </is>
      </c>
      <c r="N662" s="2" t="b">
        <v>1</v>
      </c>
      <c r="O662" s="2" t="b">
        <v>1</v>
      </c>
      <c r="P662" s="2" t="b">
        <v>0</v>
      </c>
      <c r="Q662" s="2" t="b">
        <v>0</v>
      </c>
      <c r="R662" s="4" t="n">
        <v>700</v>
      </c>
      <c r="S662" s="4" t="n">
        <v>120</v>
      </c>
      <c r="T662" s="4" t="n">
        <v>2</v>
      </c>
      <c r="U662" s="2" t="inlineStr"/>
      <c r="V662" s="2" t="inlineStr"/>
      <c r="W662" s="2" t="inlineStr">
        <is>
          <t>Vivo Travel Américas e Europa; 1 linha adicional inclusa</t>
        </is>
      </c>
      <c r="X662" s="2" t="inlineStr">
        <is>
          <t>700 Mega de Vivo Fibra</t>
        </is>
      </c>
      <c r="Y662" s="2" t="inlineStr">
        <is>
          <t>https://vivo.com.br/para-voce/produtos-e-servicos/combos/vivo-total</t>
        </is>
      </c>
      <c r="Z662" s="2" t="inlineStr">
        <is>
          <t>data/raw/vivo_convergent_total_SP.html</t>
        </is>
      </c>
    </row>
    <row r="663">
      <c r="A663" s="5" t="inlineStr">
        <is>
          <t>2026-08-30</t>
        </is>
      </c>
      <c r="B663" s="5" t="inlineStr">
        <is>
          <t>2026-08-30T20:06:52</t>
        </is>
      </c>
      <c r="C663" s="5" t="inlineStr">
        <is>
          <t>vivo</t>
        </is>
      </c>
      <c r="D663" s="5" t="inlineStr">
        <is>
          <t>SP</t>
        </is>
      </c>
      <c r="E663" s="5" t="inlineStr">
        <is>
          <t>Vivo Total Família 3</t>
        </is>
      </c>
      <c r="F663" s="5" t="inlineStr">
        <is>
          <t>vivo:VIV202604032212-4-305-316-408-411-426-430-442</t>
        </is>
      </c>
      <c r="G663" s="6" t="n">
        <v>330</v>
      </c>
      <c r="H663" s="6" t="inlineStr"/>
      <c r="I663" s="5" t="inlineStr"/>
      <c r="J663" s="5" t="inlineStr"/>
      <c r="K663" s="5" t="inlineStr">
        <is>
          <t>instalação grátis mediante fidelização (não afeta a mensalidade)</t>
        </is>
      </c>
      <c r="L663" s="5" t="inlineStr">
        <is>
          <t>mobile+broadband</t>
        </is>
      </c>
      <c r="M663" s="5" t="inlineStr">
        <is>
          <t>Fiber + Mobile</t>
        </is>
      </c>
      <c r="N663" s="5" t="b">
        <v>1</v>
      </c>
      <c r="O663" s="5" t="b">
        <v>1</v>
      </c>
      <c r="P663" s="5" t="b">
        <v>0</v>
      </c>
      <c r="Q663" s="5" t="b">
        <v>0</v>
      </c>
      <c r="R663" s="7" t="n">
        <v>700</v>
      </c>
      <c r="S663" s="7" t="n">
        <v>180</v>
      </c>
      <c r="T663" s="7" t="n">
        <v>3</v>
      </c>
      <c r="U663" s="5" t="inlineStr"/>
      <c r="V663" s="5" t="inlineStr"/>
      <c r="W663" s="5" t="inlineStr">
        <is>
          <t>Vivo Travel Américas e Europa; 2 linhas adicionais inclusas</t>
        </is>
      </c>
      <c r="X663" s="5" t="inlineStr">
        <is>
          <t>700 Mega de Vivo Fibra</t>
        </is>
      </c>
      <c r="Y663" s="5" t="inlineStr">
        <is>
          <t>https://vivo.com.br/para-voce/produtos-e-servicos/combos/vivo-total</t>
        </is>
      </c>
      <c r="Z663" s="5" t="inlineStr">
        <is>
          <t>data/raw/vivo_convergent_total_SP.html</t>
        </is>
      </c>
    </row>
    <row r="664">
      <c r="A664" s="2" t="inlineStr">
        <is>
          <t>2026-08-30</t>
        </is>
      </c>
      <c r="B664" s="2" t="inlineStr">
        <is>
          <t>2026-08-30T20:06:52</t>
        </is>
      </c>
      <c r="C664" s="2" t="inlineStr">
        <is>
          <t>vivo</t>
        </is>
      </c>
      <c r="D664" s="2" t="inlineStr">
        <is>
          <t>SP</t>
        </is>
      </c>
      <c r="E664" s="2" t="inlineStr">
        <is>
          <t>Vivo Total Família 4</t>
        </is>
      </c>
      <c r="F664" s="2" t="inlineStr">
        <is>
          <t>vivo:VIV202604032292-237-305-316-408-411-426-430-442</t>
        </is>
      </c>
      <c r="G664" s="3" t="n">
        <v>420</v>
      </c>
      <c r="H664" s="3" t="inlineStr"/>
      <c r="I664" s="2" t="inlineStr"/>
      <c r="J664" s="2" t="inlineStr"/>
      <c r="K664" s="2" t="inlineStr">
        <is>
          <t>instalação grátis mediante fidelização (não afeta a mensalidade)</t>
        </is>
      </c>
      <c r="L664" s="2" t="inlineStr">
        <is>
          <t>mobile+broadband</t>
        </is>
      </c>
      <c r="M664" s="2" t="inlineStr">
        <is>
          <t>Fiber + Mobile</t>
        </is>
      </c>
      <c r="N664" s="2" t="b">
        <v>1</v>
      </c>
      <c r="O664" s="2" t="b">
        <v>1</v>
      </c>
      <c r="P664" s="2" t="b">
        <v>0</v>
      </c>
      <c r="Q664" s="2" t="b">
        <v>0</v>
      </c>
      <c r="R664" s="4" t="n">
        <v>700</v>
      </c>
      <c r="S664" s="4" t="n">
        <v>240</v>
      </c>
      <c r="T664" s="4" t="n">
        <v>4</v>
      </c>
      <c r="U664" s="2" t="inlineStr"/>
      <c r="V664" s="2" t="inlineStr"/>
      <c r="W664" s="2" t="inlineStr">
        <is>
          <t>Vivo Travel Américas e Europa; 3 linhas adicionais inclusas</t>
        </is>
      </c>
      <c r="X664" s="2" t="inlineStr">
        <is>
          <t>700 Mega de Vivo Fibra</t>
        </is>
      </c>
      <c r="Y664" s="2" t="inlineStr">
        <is>
          <t>https://vivo.com.br/para-voce/produtos-e-servicos/combos/vivo-total</t>
        </is>
      </c>
      <c r="Z664" s="2" t="inlineStr">
        <is>
          <t>data/raw/vivo_convergent_total_SP.html</t>
        </is>
      </c>
    </row>
    <row r="665">
      <c r="A665" s="5" t="inlineStr">
        <is>
          <t>2026-08-30</t>
        </is>
      </c>
      <c r="B665" s="5" t="inlineStr">
        <is>
          <t>2026-08-30T20:06:52</t>
        </is>
      </c>
      <c r="C665" s="5" t="inlineStr">
        <is>
          <t>vivo</t>
        </is>
      </c>
      <c r="D665" s="5" t="inlineStr">
        <is>
          <t>SP</t>
        </is>
      </c>
      <c r="E665" s="5" t="inlineStr">
        <is>
          <t>Vivo Total Família 5</t>
        </is>
      </c>
      <c r="F665" s="5" t="inlineStr">
        <is>
          <t>vivo:VIV202604032372-5-305-316-408-411-426-430-442</t>
        </is>
      </c>
      <c r="G665" s="6" t="n">
        <v>520</v>
      </c>
      <c r="H665" s="6" t="inlineStr"/>
      <c r="I665" s="5" t="inlineStr"/>
      <c r="J665" s="5" t="inlineStr"/>
      <c r="K665" s="5" t="inlineStr">
        <is>
          <t>instalação grátis mediante fidelização (não afeta a mensalidade)</t>
        </is>
      </c>
      <c r="L665" s="5" t="inlineStr">
        <is>
          <t>mobile+broadband</t>
        </is>
      </c>
      <c r="M665" s="5" t="inlineStr">
        <is>
          <t>Fiber + Mobile</t>
        </is>
      </c>
      <c r="N665" s="5" t="b">
        <v>1</v>
      </c>
      <c r="O665" s="5" t="b">
        <v>1</v>
      </c>
      <c r="P665" s="5" t="b">
        <v>0</v>
      </c>
      <c r="Q665" s="5" t="b">
        <v>0</v>
      </c>
      <c r="R665" s="7" t="n">
        <v>700</v>
      </c>
      <c r="S665" s="7" t="n">
        <v>300</v>
      </c>
      <c r="T665" s="7" t="n">
        <v>5</v>
      </c>
      <c r="U665" s="5" t="inlineStr"/>
      <c r="V665" s="5" t="inlineStr"/>
      <c r="W665" s="5" t="inlineStr">
        <is>
          <t>Vivo Travel Américas e Europa; 4 linhas adicionais inclusas</t>
        </is>
      </c>
      <c r="X665" s="5" t="inlineStr">
        <is>
          <t>700 Mega de Vivo Fibra</t>
        </is>
      </c>
      <c r="Y665" s="5" t="inlineStr">
        <is>
          <t>https://vivo.com.br/para-voce/produtos-e-servicos/combos/vivo-total</t>
        </is>
      </c>
      <c r="Z665" s="5" t="inlineStr">
        <is>
          <t>data/raw/vivo_convergent_total_SP.html</t>
        </is>
      </c>
    </row>
    <row r="666">
      <c r="A666" s="2" t="inlineStr">
        <is>
          <t>2026-08-30</t>
        </is>
      </c>
      <c r="B666" s="2" t="inlineStr">
        <is>
          <t>2026-08-30T20:06:52</t>
        </is>
      </c>
      <c r="C666" s="2" t="inlineStr">
        <is>
          <t>vivo</t>
        </is>
      </c>
      <c r="D666" s="2" t="inlineStr">
        <is>
          <t>SP</t>
        </is>
      </c>
      <c r="E666" s="2" t="inlineStr">
        <is>
          <t>Vivo Total Pro</t>
        </is>
      </c>
      <c r="F666" s="2" t="inlineStr">
        <is>
          <t>vivo:VIV202604031772-2-305-308-316-326-342-411-430</t>
        </is>
      </c>
      <c r="G666" s="3" t="n">
        <v>160</v>
      </c>
      <c r="H666" s="3" t="inlineStr"/>
      <c r="I666" s="2" t="inlineStr"/>
      <c r="J666" s="2" t="inlineStr"/>
      <c r="K666" s="2" t="inlineStr">
        <is>
          <t>instalação grátis mediante fidelização (não afeta a mensalidade)</t>
        </is>
      </c>
      <c r="L666" s="2" t="inlineStr">
        <is>
          <t>mobile+broadband</t>
        </is>
      </c>
      <c r="M666" s="2" t="inlineStr">
        <is>
          <t>Fiber + Mobile</t>
        </is>
      </c>
      <c r="N666" s="2" t="b">
        <v>1</v>
      </c>
      <c r="O666" s="2" t="b">
        <v>1</v>
      </c>
      <c r="P666" s="2" t="b">
        <v>0</v>
      </c>
      <c r="Q666" s="2" t="b">
        <v>0</v>
      </c>
      <c r="R666" s="4" t="n">
        <v>500</v>
      </c>
      <c r="S666" s="4" t="n">
        <v>60</v>
      </c>
      <c r="T666" s="4" t="n">
        <v>1</v>
      </c>
      <c r="U666" s="2" t="inlineStr"/>
      <c r="V666" s="2" t="inlineStr"/>
      <c r="W666" s="2" t="inlineStr">
        <is>
          <t>Vivo Travel Américas; 50 GB de franquia + 10 GB de bônus</t>
        </is>
      </c>
      <c r="X666" s="2" t="inlineStr">
        <is>
          <t>500 Mega de Vivo Fibra</t>
        </is>
      </c>
      <c r="Y666" s="2" t="inlineStr">
        <is>
          <t>https://vivo.com.br/para-voce/produtos-e-servicos/combos/vivo-total</t>
        </is>
      </c>
      <c r="Z666" s="2" t="inlineStr">
        <is>
          <t>data/raw/vivo_convergent_total_SP.html</t>
        </is>
      </c>
    </row>
    <row r="667">
      <c r="A667" s="5" t="inlineStr">
        <is>
          <t>2026-08-30</t>
        </is>
      </c>
      <c r="B667" s="5" t="inlineStr">
        <is>
          <t>2026-08-30T20:06:52</t>
        </is>
      </c>
      <c r="C667" s="5" t="inlineStr">
        <is>
          <t>vivo</t>
        </is>
      </c>
      <c r="D667" s="5" t="inlineStr">
        <is>
          <t>SP</t>
        </is>
      </c>
      <c r="E667" s="5" t="inlineStr">
        <is>
          <t>Vivo Total Ultra</t>
        </is>
      </c>
      <c r="F667" s="5" t="inlineStr">
        <is>
          <t>vivo:VIV202604031940-305-313-316-408-411-426-430-442</t>
        </is>
      </c>
      <c r="G667" s="6" t="n">
        <v>170</v>
      </c>
      <c r="H667" s="6" t="inlineStr"/>
      <c r="I667" s="5" t="inlineStr"/>
      <c r="J667" s="5" t="inlineStr"/>
      <c r="K667" s="5" t="inlineStr">
        <is>
          <t>instalação grátis mediante fidelização (não afeta a mensalidade)</t>
        </is>
      </c>
      <c r="L667" s="5" t="inlineStr">
        <is>
          <t>mobile+broadband</t>
        </is>
      </c>
      <c r="M667" s="5" t="inlineStr">
        <is>
          <t>Fiber + Mobile</t>
        </is>
      </c>
      <c r="N667" s="5" t="b">
        <v>1</v>
      </c>
      <c r="O667" s="5" t="b">
        <v>1</v>
      </c>
      <c r="P667" s="5" t="b">
        <v>0</v>
      </c>
      <c r="Q667" s="5" t="b">
        <v>0</v>
      </c>
      <c r="R667" s="7" t="n">
        <v>700</v>
      </c>
      <c r="S667" s="7" t="n">
        <v>70</v>
      </c>
      <c r="T667" s="7" t="n">
        <v>1</v>
      </c>
      <c r="U667" s="5" t="inlineStr"/>
      <c r="V667" s="5" t="inlineStr"/>
      <c r="W667" s="5" t="inlineStr">
        <is>
          <t>Vivo Travel Américas; Exitlag e ponto cabeado incluso</t>
        </is>
      </c>
      <c r="X667" s="5" t="inlineStr">
        <is>
          <t>700 Mega de Vivo Fibra</t>
        </is>
      </c>
      <c r="Y667" s="5" t="inlineStr">
        <is>
          <t>https://vivo.com.br/para-voce/produtos-e-servicos/combos/vivo-total</t>
        </is>
      </c>
      <c r="Z667" s="5" t="inlineStr">
        <is>
          <t>data/raw/vivo_convergent_total_SP.html</t>
        </is>
      </c>
    </row>
    <row r="668">
      <c r="A668" s="2" t="inlineStr">
        <is>
          <t>2026-08-30</t>
        </is>
      </c>
      <c r="B668" s="2" t="inlineStr">
        <is>
          <t>2026-08-30T20:06:52</t>
        </is>
      </c>
      <c r="C668" s="2" t="inlineStr">
        <is>
          <t>vivo</t>
        </is>
      </c>
      <c r="D668" s="2" t="inlineStr">
        <is>
          <t>SP</t>
        </is>
      </c>
      <c r="E668" s="2" t="inlineStr">
        <is>
          <t>Vivo Total Ultra + TV</t>
        </is>
      </c>
      <c r="F668" s="2" t="inlineStr">
        <is>
          <t>vivo:VIV202604031882-9-305-313-316-408-411-426-430-442</t>
        </is>
      </c>
      <c r="G668" s="3" t="n">
        <v>310</v>
      </c>
      <c r="H668" s="3" t="inlineStr"/>
      <c r="I668" s="2" t="inlineStr"/>
      <c r="J668" s="2" t="inlineStr"/>
      <c r="K668" s="2" t="inlineStr">
        <is>
          <t>instalação grátis mediante fidelização (não afeta a mensalidade)</t>
        </is>
      </c>
      <c r="L668" s="2" t="inlineStr">
        <is>
          <t>mobile+broadband+tv</t>
        </is>
      </c>
      <c r="M668" s="2" t="inlineStr">
        <is>
          <t>Fiber + Mobile + TV</t>
        </is>
      </c>
      <c r="N668" s="2" t="b">
        <v>1</v>
      </c>
      <c r="O668" s="2" t="b">
        <v>1</v>
      </c>
      <c r="P668" s="2" t="b">
        <v>1</v>
      </c>
      <c r="Q668" s="2" t="b">
        <v>0</v>
      </c>
      <c r="R668" s="4" t="n">
        <v>700</v>
      </c>
      <c r="S668" s="4" t="n">
        <v>70</v>
      </c>
      <c r="T668" s="4" t="n">
        <v>1</v>
      </c>
      <c r="U668" s="2" t="inlineStr">
        <is>
          <t>120 canais de Vivo TV Avançado + 1 ponto adicional</t>
        </is>
      </c>
      <c r="V668" s="2" t="inlineStr"/>
      <c r="W668" s="2" t="inlineStr">
        <is>
          <t>Vivo Travel Américas</t>
        </is>
      </c>
      <c r="X668" s="2" t="inlineStr">
        <is>
          <t>700 Mega de Vivo Fibra</t>
        </is>
      </c>
      <c r="Y668" s="2" t="inlineStr">
        <is>
          <t>https://vivo.com.br/para-voce/produtos-e-servicos/combos/vivo-total</t>
        </is>
      </c>
      <c r="Z668" s="2" t="inlineStr">
        <is>
          <t>data/raw/vivo_convergent_total_SP.html</t>
        </is>
      </c>
    </row>
    <row r="669">
      <c r="A669" s="5" t="inlineStr">
        <is>
          <t>2026-08-30</t>
        </is>
      </c>
      <c r="B669" s="5" t="inlineStr">
        <is>
          <t>2026-08-30T20:06:52</t>
        </is>
      </c>
      <c r="C669" s="5" t="inlineStr">
        <is>
          <t>vivo</t>
        </is>
      </c>
      <c r="D669" s="5" t="inlineStr">
        <is>
          <t>SP</t>
        </is>
      </c>
      <c r="E669" s="5" t="inlineStr">
        <is>
          <t>Vivo Total Ultra + TV online</t>
        </is>
      </c>
      <c r="F669" s="5" t="inlineStr">
        <is>
          <t>vivo:VIV202604032034-305-313-316-336-408-411-426-430-442</t>
        </is>
      </c>
      <c r="G669" s="6" t="n">
        <v>210</v>
      </c>
      <c r="H669" s="6" t="inlineStr"/>
      <c r="I669" s="5" t="inlineStr"/>
      <c r="J669" s="5" t="inlineStr"/>
      <c r="K669" s="5" t="inlineStr">
        <is>
          <t>instalação grátis mediante fidelização (não afeta a mensalidade)</t>
        </is>
      </c>
      <c r="L669" s="5" t="inlineStr">
        <is>
          <t>mobile+broadband+tv</t>
        </is>
      </c>
      <c r="M669" s="5" t="inlineStr">
        <is>
          <t>Fiber + Mobile + TV</t>
        </is>
      </c>
      <c r="N669" s="5" t="b">
        <v>1</v>
      </c>
      <c r="O669" s="5" t="b">
        <v>1</v>
      </c>
      <c r="P669" s="5" t="b">
        <v>1</v>
      </c>
      <c r="Q669" s="5" t="b">
        <v>0</v>
      </c>
      <c r="R669" s="7" t="n">
        <v>700</v>
      </c>
      <c r="S669" s="7" t="n">
        <v>70</v>
      </c>
      <c r="T669" s="7" t="n">
        <v>1</v>
      </c>
      <c r="U669" s="5" t="inlineStr">
        <is>
          <t>80 canais de Vivo Estendido</t>
        </is>
      </c>
      <c r="V669" s="5" t="inlineStr"/>
      <c r="W669" s="5" t="inlineStr">
        <is>
          <t>Vivo Travel Américas</t>
        </is>
      </c>
      <c r="X669" s="5" t="inlineStr">
        <is>
          <t>700 Mega de Vivo Fibra</t>
        </is>
      </c>
      <c r="Y669" s="5" t="inlineStr">
        <is>
          <t>https://vivo.com.br/para-voce/produtos-e-servicos/combos/vivo-total</t>
        </is>
      </c>
      <c r="Z669" s="5" t="inlineStr">
        <is>
          <t>data/raw/vivo_convergent_total_SP.html</t>
        </is>
      </c>
    </row>
    <row r="670">
      <c r="A670" s="2" t="inlineStr">
        <is>
          <t>2026-08-30</t>
        </is>
      </c>
      <c r="B670" s="2" t="inlineStr">
        <is>
          <t>2026-08-30T20:06:52</t>
        </is>
      </c>
      <c r="C670" s="2" t="inlineStr">
        <is>
          <t>vivo</t>
        </is>
      </c>
      <c r="D670" s="2" t="inlineStr">
        <is>
          <t>SP</t>
        </is>
      </c>
      <c r="E670" s="2" t="inlineStr">
        <is>
          <t>Vivo Total V 1 Giga</t>
        </is>
      </c>
      <c r="F670" s="2" t="inlineStr">
        <is>
          <t>vivo:VIV202604032532-2-305-316-408-426-430-442</t>
        </is>
      </c>
      <c r="G670" s="3" t="n">
        <v>1200</v>
      </c>
      <c r="H670" s="3" t="inlineStr"/>
      <c r="I670" s="2" t="inlineStr"/>
      <c r="J670" s="2" t="inlineStr"/>
      <c r="K670" s="2" t="inlineStr">
        <is>
          <t>instalação grátis mediante fidelização (não afeta a mensalidade)</t>
        </is>
      </c>
      <c r="L670" s="2" t="inlineStr">
        <is>
          <t>mobile+broadband+tv</t>
        </is>
      </c>
      <c r="M670" s="2" t="inlineStr">
        <is>
          <t>Fiber + Mobile + TV</t>
        </is>
      </c>
      <c r="N670" s="2" t="b">
        <v>1</v>
      </c>
      <c r="O670" s="2" t="b">
        <v>1</v>
      </c>
      <c r="P670" s="2" t="b">
        <v>1</v>
      </c>
      <c r="Q670" s="2" t="b">
        <v>0</v>
      </c>
      <c r="R670" s="4" t="n">
        <v>1000</v>
      </c>
      <c r="S670" s="4" t="n">
        <v>600</v>
      </c>
      <c r="T670" s="4" t="n">
        <v>11</v>
      </c>
      <c r="U670" s="2" t="inlineStr">
        <is>
          <t>Vivo TV Completo com HBO Max e Telecine</t>
        </is>
      </c>
      <c r="V670" s="2" t="inlineStr"/>
      <c r="W670" s="2" t="inlineStr">
        <is>
          <t>Vivo Travel Mundo; 10 linhas adicionais inclusas; Vivo TV Completo com HBO Max e Telecine</t>
        </is>
      </c>
      <c r="X670" s="2" t="inlineStr">
        <is>
          <t>1Giga de Vivo Fibra</t>
        </is>
      </c>
      <c r="Y670" s="2" t="inlineStr">
        <is>
          <t>https://vivo.com.br/para-voce/produtos-e-servicos/combos/vivo-total</t>
        </is>
      </c>
      <c r="Z670" s="2" t="inlineStr">
        <is>
          <t>data/raw/vivo_convergent_total_SP.html</t>
        </is>
      </c>
    </row>
    <row r="671">
      <c r="A671" s="5" t="inlineStr">
        <is>
          <t>2026-08-31</t>
        </is>
      </c>
      <c r="B671" s="5" t="inlineStr">
        <is>
          <t>2026-08-31T21:21:16</t>
        </is>
      </c>
      <c r="C671" s="5" t="inlineStr">
        <is>
          <t>claro</t>
        </is>
      </c>
      <c r="D671" s="5" t="inlineStr">
        <is>
          <t>SP</t>
        </is>
      </c>
      <c r="E671" s="5" t="inlineStr">
        <is>
          <t>1 Giga com Globoplay incluso + Claro tv+ Box + Disney+ Amazon Prime + Netflix + HBO Max + Apple TV + Globoplay</t>
        </is>
      </c>
      <c r="F671" s="5" t="inlineStr">
        <is>
          <t>claro:af8152be-4aa7-4aa8-819a-a79687a3a9a0</t>
        </is>
      </c>
      <c r="G671" s="6" t="n">
        <v>319.8</v>
      </c>
      <c r="H671" s="6" t="inlineStr"/>
      <c r="I671" s="5" t="inlineStr"/>
      <c r="J671" s="5" t="inlineStr"/>
      <c r="K671" s="5" t="inlineStr">
        <is>
          <t>tab: Fibra + TV</t>
        </is>
      </c>
      <c r="L671" s="5" t="inlineStr">
        <is>
          <t>broadband+tv</t>
        </is>
      </c>
      <c r="M671" s="5" t="inlineStr">
        <is>
          <t>Fiber + TV</t>
        </is>
      </c>
      <c r="N671" s="5" t="b">
        <v>0</v>
      </c>
      <c r="O671" s="5" t="b">
        <v>1</v>
      </c>
      <c r="P671" s="5" t="b">
        <v>1</v>
      </c>
      <c r="Q671" s="5" t="b">
        <v>0</v>
      </c>
      <c r="R671" s="7" t="n">
        <v>1000</v>
      </c>
      <c r="S671" s="7" t="inlineStr"/>
      <c r="T671" s="7" t="inlineStr"/>
      <c r="U671" s="5" t="inlineStr">
        <is>
          <t>Claro tv+ Box + Disney+ Amazon Prime + Netflix + HBO Max + Apple TV + Globoplay</t>
        </is>
      </c>
      <c r="V671" s="5" t="inlineStr"/>
      <c r="W671" s="5" t="inlineStr"/>
      <c r="X671" s="5" t="inlineStr"/>
      <c r="Y671" s="5" t="inlineStr">
        <is>
          <t>https://www.claro.com.br/multi</t>
        </is>
      </c>
      <c r="Z671" s="5" t="inlineStr">
        <is>
          <t>data/raw/claro_convergent_multi_SP.html</t>
        </is>
      </c>
    </row>
    <row r="672">
      <c r="A672" s="2" t="inlineStr">
        <is>
          <t>2026-08-31</t>
        </is>
      </c>
      <c r="B672" s="2" t="inlineStr">
        <is>
          <t>2026-08-31T21:21:16</t>
        </is>
      </c>
      <c r="C672" s="2" t="inlineStr">
        <is>
          <t>claro</t>
        </is>
      </c>
      <c r="D672" s="2" t="inlineStr">
        <is>
          <t>SP</t>
        </is>
      </c>
      <c r="E672" s="2" t="inlineStr">
        <is>
          <t>1 Giga com Globoplay incluso + Claro tv+ Soundbox + Disney+ Amazon Prime + Netflix + HBO Max + Apple TV + Globoplay</t>
        </is>
      </c>
      <c r="F672" s="2" t="inlineStr">
        <is>
          <t>claro:ceb9fd87-0897-4dd2-a2f2-e7f09e714e49</t>
        </is>
      </c>
      <c r="G672" s="3" t="n">
        <v>429.8</v>
      </c>
      <c r="H672" s="3" t="inlineStr"/>
      <c r="I672" s="2" t="inlineStr"/>
      <c r="J672" s="2" t="inlineStr"/>
      <c r="K672" s="2" t="inlineStr">
        <is>
          <t>tab: Fibra + TV</t>
        </is>
      </c>
      <c r="L672" s="2" t="inlineStr">
        <is>
          <t>broadband+tv</t>
        </is>
      </c>
      <c r="M672" s="2" t="inlineStr">
        <is>
          <t>Fiber + TV</t>
        </is>
      </c>
      <c r="N672" s="2" t="b">
        <v>0</v>
      </c>
      <c r="O672" s="2" t="b">
        <v>1</v>
      </c>
      <c r="P672" s="2" t="b">
        <v>1</v>
      </c>
      <c r="Q672" s="2" t="b">
        <v>0</v>
      </c>
      <c r="R672" s="4" t="n">
        <v>1000</v>
      </c>
      <c r="S672" s="4" t="inlineStr"/>
      <c r="T672" s="4" t="inlineStr"/>
      <c r="U672" s="2" t="inlineStr">
        <is>
          <t>Claro tv+ Soundbox + Disney+ Amazon Prime + Netflix + HBO Max + Apple TV + Globoplay</t>
        </is>
      </c>
      <c r="V672" s="2" t="inlineStr"/>
      <c r="W672" s="2" t="inlineStr"/>
      <c r="X672" s="2" t="inlineStr"/>
      <c r="Y672" s="2" t="inlineStr">
        <is>
          <t>https://www.claro.com.br/multi</t>
        </is>
      </c>
      <c r="Z672" s="2" t="inlineStr">
        <is>
          <t>data/raw/claro_convergent_multi_SP.html</t>
        </is>
      </c>
    </row>
    <row r="673">
      <c r="A673" s="5" t="inlineStr">
        <is>
          <t>2026-08-31</t>
        </is>
      </c>
      <c r="B673" s="5" t="inlineStr">
        <is>
          <t>2026-08-31T21:21:16</t>
        </is>
      </c>
      <c r="C673" s="5" t="inlineStr">
        <is>
          <t>claro</t>
        </is>
      </c>
      <c r="D673" s="5" t="inlineStr">
        <is>
          <t>SP</t>
        </is>
      </c>
      <c r="E673" s="5" t="inlineStr">
        <is>
          <t>1 Giga com Globoplay incluso + Pós 100GB</t>
        </is>
      </c>
      <c r="F673" s="5" t="inlineStr">
        <is>
          <t>claro:a1de0ac1-61bb-4e97-a744-1ae4c3541673</t>
        </is>
      </c>
      <c r="G673" s="6" t="n">
        <v>179.9</v>
      </c>
      <c r="H673" s="6" t="inlineStr"/>
      <c r="I673" s="5" t="inlineStr"/>
      <c r="J673" s="5" t="inlineStr"/>
      <c r="K673" s="5" t="inlineStr">
        <is>
          <t>tab: Fibra + Móvel</t>
        </is>
      </c>
      <c r="L673" s="5" t="inlineStr">
        <is>
          <t>mobile+broadband</t>
        </is>
      </c>
      <c r="M673" s="5" t="inlineStr">
        <is>
          <t>Fiber + Mobile</t>
        </is>
      </c>
      <c r="N673" s="5" t="b">
        <v>1</v>
      </c>
      <c r="O673" s="5" t="b">
        <v>1</v>
      </c>
      <c r="P673" s="5" t="b">
        <v>0</v>
      </c>
      <c r="Q673" s="5" t="b">
        <v>0</v>
      </c>
      <c r="R673" s="7" t="n">
        <v>1000</v>
      </c>
      <c r="S673" s="7" t="n">
        <v>100</v>
      </c>
      <c r="T673" s="7" t="n">
        <v>1</v>
      </c>
      <c r="U673" s="5" t="inlineStr"/>
      <c r="V673" s="5" t="inlineStr"/>
      <c r="W673" s="5" t="inlineStr"/>
      <c r="X673" s="5" t="inlineStr">
        <is>
          <t>Pós 100GB</t>
        </is>
      </c>
      <c r="Y673" s="5" t="inlineStr">
        <is>
          <t>https://www.claro.com.br/multi</t>
        </is>
      </c>
      <c r="Z673" s="5" t="inlineStr">
        <is>
          <t>data/raw/claro_convergent_multi_SP.html</t>
        </is>
      </c>
    </row>
    <row r="674">
      <c r="A674" s="2" t="inlineStr">
        <is>
          <t>2026-08-31</t>
        </is>
      </c>
      <c r="B674" s="2" t="inlineStr">
        <is>
          <t>2026-08-31T21:21:16</t>
        </is>
      </c>
      <c r="C674" s="2" t="inlineStr">
        <is>
          <t>claro</t>
        </is>
      </c>
      <c r="D674" s="2" t="inlineStr">
        <is>
          <t>SP</t>
        </is>
      </c>
      <c r="E674" s="2" t="inlineStr">
        <is>
          <t>1 Giga com Globoplay incluso + Pós 100GB + Claro tv+ Box + Disney+ Amazon Prime + Netflix + HBO Max + Apple TV + Globoplay</t>
        </is>
      </c>
      <c r="F674" s="2" t="inlineStr">
        <is>
          <t>claro:548c4bad-7857-4c0c-94d5-45d33d66c57f</t>
        </is>
      </c>
      <c r="G674" s="3" t="n">
        <v>289.8</v>
      </c>
      <c r="H674" s="3" t="inlineStr"/>
      <c r="I674" s="2" t="inlineStr"/>
      <c r="J674" s="2" t="inlineStr"/>
      <c r="K674" s="2" t="inlineStr">
        <is>
          <t>tab: Fibra + Móvel + TV</t>
        </is>
      </c>
      <c r="L674" s="2" t="inlineStr">
        <is>
          <t>mobile+broadband+tv</t>
        </is>
      </c>
      <c r="M674" s="2" t="inlineStr">
        <is>
          <t>Fiber + Mobile + TV</t>
        </is>
      </c>
      <c r="N674" s="2" t="b">
        <v>1</v>
      </c>
      <c r="O674" s="2" t="b">
        <v>1</v>
      </c>
      <c r="P674" s="2" t="b">
        <v>1</v>
      </c>
      <c r="Q674" s="2" t="b">
        <v>0</v>
      </c>
      <c r="R674" s="4" t="n">
        <v>1000</v>
      </c>
      <c r="S674" s="4" t="n">
        <v>100</v>
      </c>
      <c r="T674" s="4" t="n">
        <v>1</v>
      </c>
      <c r="U674" s="2" t="inlineStr">
        <is>
          <t>Claro tv+ Box + Disney+ Amazon Prime + Netflix + HBO Max + Apple TV + Globoplay</t>
        </is>
      </c>
      <c r="V674" s="2" t="inlineStr"/>
      <c r="W674" s="2" t="inlineStr"/>
      <c r="X674" s="2" t="inlineStr">
        <is>
          <t>Pós 100GB</t>
        </is>
      </c>
      <c r="Y674" s="2" t="inlineStr">
        <is>
          <t>https://www.claro.com.br/multi</t>
        </is>
      </c>
      <c r="Z674" s="2" t="inlineStr">
        <is>
          <t>data/raw/claro_convergent_multi_SP.html</t>
        </is>
      </c>
    </row>
    <row r="675">
      <c r="A675" s="5" t="inlineStr">
        <is>
          <t>2026-08-31</t>
        </is>
      </c>
      <c r="B675" s="5" t="inlineStr">
        <is>
          <t>2026-08-31T21:21:16</t>
        </is>
      </c>
      <c r="C675" s="5" t="inlineStr">
        <is>
          <t>claro</t>
        </is>
      </c>
      <c r="D675" s="5" t="inlineStr">
        <is>
          <t>SP</t>
        </is>
      </c>
      <c r="E675" s="5" t="inlineStr">
        <is>
          <t>1 Giga com Globoplay incluso + Pós 150GB</t>
        </is>
      </c>
      <c r="F675" s="5" t="inlineStr">
        <is>
          <t>claro:d47e2a3b-dfd0-410e-9c24-d07a334d01d4</t>
        </is>
      </c>
      <c r="G675" s="6" t="n">
        <v>299.9</v>
      </c>
      <c r="H675" s="6" t="inlineStr"/>
      <c r="I675" s="5" t="inlineStr"/>
      <c r="J675" s="5" t="inlineStr"/>
      <c r="K675" s="5" t="inlineStr">
        <is>
          <t>tab: Fibra + Móvel</t>
        </is>
      </c>
      <c r="L675" s="5" t="inlineStr">
        <is>
          <t>mobile+broadband</t>
        </is>
      </c>
      <c r="M675" s="5" t="inlineStr">
        <is>
          <t>Fiber + Mobile</t>
        </is>
      </c>
      <c r="N675" s="5" t="b">
        <v>1</v>
      </c>
      <c r="O675" s="5" t="b">
        <v>1</v>
      </c>
      <c r="P675" s="5" t="b">
        <v>0</v>
      </c>
      <c r="Q675" s="5" t="b">
        <v>0</v>
      </c>
      <c r="R675" s="7" t="n">
        <v>1000</v>
      </c>
      <c r="S675" s="7" t="n">
        <v>150</v>
      </c>
      <c r="T675" s="7" t="n">
        <v>2</v>
      </c>
      <c r="U675" s="5" t="inlineStr"/>
      <c r="V675" s="5" t="inlineStr"/>
      <c r="W675" s="5" t="inlineStr"/>
      <c r="X675" s="5" t="inlineStr">
        <is>
          <t>Pós 150GB</t>
        </is>
      </c>
      <c r="Y675" s="5" t="inlineStr">
        <is>
          <t>https://www.claro.com.br/multi</t>
        </is>
      </c>
      <c r="Z675" s="5" t="inlineStr">
        <is>
          <t>data/raw/claro_convergent_multi_SP.html</t>
        </is>
      </c>
    </row>
    <row r="676">
      <c r="A676" s="2" t="inlineStr">
        <is>
          <t>2026-08-31</t>
        </is>
      </c>
      <c r="B676" s="2" t="inlineStr">
        <is>
          <t>2026-08-31T21:21:16</t>
        </is>
      </c>
      <c r="C676" s="2" t="inlineStr">
        <is>
          <t>claro</t>
        </is>
      </c>
      <c r="D676" s="2" t="inlineStr">
        <is>
          <t>SP</t>
        </is>
      </c>
      <c r="E676" s="2" t="inlineStr">
        <is>
          <t>1 Giga com Globoplay incluso + Pós 150GB + Claro tv+ Box + Disney+ Amazon Prime + Netflix + HBO Max + Apple TV + Globoplay</t>
        </is>
      </c>
      <c r="F676" s="2" t="inlineStr">
        <is>
          <t>claro:7785b449-69f2-4234-9e24-8837e32a55c0</t>
        </is>
      </c>
      <c r="G676" s="3" t="n">
        <v>409.8</v>
      </c>
      <c r="H676" s="3" t="inlineStr"/>
      <c r="I676" s="2" t="inlineStr"/>
      <c r="J676" s="2" t="inlineStr"/>
      <c r="K676" s="2" t="inlineStr">
        <is>
          <t>tab: Fibra + Móvel + TV</t>
        </is>
      </c>
      <c r="L676" s="2" t="inlineStr">
        <is>
          <t>mobile+broadband+tv</t>
        </is>
      </c>
      <c r="M676" s="2" t="inlineStr">
        <is>
          <t>Fiber + Mobile + TV</t>
        </is>
      </c>
      <c r="N676" s="2" t="b">
        <v>1</v>
      </c>
      <c r="O676" s="2" t="b">
        <v>1</v>
      </c>
      <c r="P676" s="2" t="b">
        <v>1</v>
      </c>
      <c r="Q676" s="2" t="b">
        <v>0</v>
      </c>
      <c r="R676" s="4" t="n">
        <v>1000</v>
      </c>
      <c r="S676" s="4" t="n">
        <v>150</v>
      </c>
      <c r="T676" s="4" t="n">
        <v>1</v>
      </c>
      <c r="U676" s="2" t="inlineStr">
        <is>
          <t>Claro tv+ Box + Disney+ Amazon Prime + Netflix + HBO Max + Apple TV + Globoplay</t>
        </is>
      </c>
      <c r="V676" s="2" t="inlineStr"/>
      <c r="W676" s="2" t="inlineStr"/>
      <c r="X676" s="2" t="inlineStr">
        <is>
          <t>Pós 150GB</t>
        </is>
      </c>
      <c r="Y676" s="2" t="inlineStr">
        <is>
          <t>https://www.claro.com.br/multi</t>
        </is>
      </c>
      <c r="Z676" s="2" t="inlineStr">
        <is>
          <t>data/raw/claro_convergent_multi_SP.html</t>
        </is>
      </c>
    </row>
    <row r="677">
      <c r="A677" s="5" t="inlineStr">
        <is>
          <t>2026-08-31</t>
        </is>
      </c>
      <c r="B677" s="5" t="inlineStr">
        <is>
          <t>2026-08-31T21:21:16</t>
        </is>
      </c>
      <c r="C677" s="5" t="inlineStr">
        <is>
          <t>claro</t>
        </is>
      </c>
      <c r="D677" s="5" t="inlineStr">
        <is>
          <t>SP</t>
        </is>
      </c>
      <c r="E677" s="5" t="inlineStr">
        <is>
          <t>1 Giga com Globoplay incluso + Pós 200GB</t>
        </is>
      </c>
      <c r="F677" s="5" t="inlineStr">
        <is>
          <t>claro:1961a62d-3213-4ff0-a152-401a45c5b1b5</t>
        </is>
      </c>
      <c r="G677" s="6" t="n">
        <v>359.9</v>
      </c>
      <c r="H677" s="6" t="inlineStr"/>
      <c r="I677" s="5" t="inlineStr"/>
      <c r="J677" s="5" t="inlineStr"/>
      <c r="K677" s="5" t="inlineStr">
        <is>
          <t>tab: Fibra + Móvel</t>
        </is>
      </c>
      <c r="L677" s="5" t="inlineStr">
        <is>
          <t>mobile+broadband</t>
        </is>
      </c>
      <c r="M677" s="5" t="inlineStr">
        <is>
          <t>Fiber + Mobile</t>
        </is>
      </c>
      <c r="N677" s="5" t="b">
        <v>1</v>
      </c>
      <c r="O677" s="5" t="b">
        <v>1</v>
      </c>
      <c r="P677" s="5" t="b">
        <v>0</v>
      </c>
      <c r="Q677" s="5" t="b">
        <v>0</v>
      </c>
      <c r="R677" s="7" t="n">
        <v>1000</v>
      </c>
      <c r="S677" s="7" t="n">
        <v>200</v>
      </c>
      <c r="T677" s="7" t="n">
        <v>3</v>
      </c>
      <c r="U677" s="5" t="inlineStr"/>
      <c r="V677" s="5" t="inlineStr"/>
      <c r="W677" s="5" t="inlineStr"/>
      <c r="X677" s="5" t="inlineStr">
        <is>
          <t>Pós 200GB</t>
        </is>
      </c>
      <c r="Y677" s="5" t="inlineStr">
        <is>
          <t>https://www.claro.com.br/multi</t>
        </is>
      </c>
      <c r="Z677" s="5" t="inlineStr">
        <is>
          <t>data/raw/claro_convergent_multi_SP.html</t>
        </is>
      </c>
    </row>
    <row r="678">
      <c r="A678" s="2" t="inlineStr">
        <is>
          <t>2026-08-31</t>
        </is>
      </c>
      <c r="B678" s="2" t="inlineStr">
        <is>
          <t>2026-08-31T21:21:16</t>
        </is>
      </c>
      <c r="C678" s="2" t="inlineStr">
        <is>
          <t>claro</t>
        </is>
      </c>
      <c r="D678" s="2" t="inlineStr">
        <is>
          <t>SP</t>
        </is>
      </c>
      <c r="E678" s="2" t="inlineStr">
        <is>
          <t>1 Giga com Globoplay incluso + Pós 200GB + Claro tv+ Box + Disney+ Amazon Prime + Netflix + HBO Max + Apple TV + Globoplay</t>
        </is>
      </c>
      <c r="F678" s="2" t="inlineStr">
        <is>
          <t>claro:312815a2-b3a5-43bb-89a1-272d53ccb212</t>
        </is>
      </c>
      <c r="G678" s="3" t="n">
        <v>469.8</v>
      </c>
      <c r="H678" s="3" t="inlineStr"/>
      <c r="I678" s="2" t="inlineStr"/>
      <c r="J678" s="2" t="inlineStr"/>
      <c r="K678" s="2" t="inlineStr">
        <is>
          <t>tab: Fibra + Móvel + TV</t>
        </is>
      </c>
      <c r="L678" s="2" t="inlineStr">
        <is>
          <t>mobile+broadband+tv</t>
        </is>
      </c>
      <c r="M678" s="2" t="inlineStr">
        <is>
          <t>Fiber + Mobile + TV</t>
        </is>
      </c>
      <c r="N678" s="2" t="b">
        <v>1</v>
      </c>
      <c r="O678" s="2" t="b">
        <v>1</v>
      </c>
      <c r="P678" s="2" t="b">
        <v>1</v>
      </c>
      <c r="Q678" s="2" t="b">
        <v>0</v>
      </c>
      <c r="R678" s="4" t="n">
        <v>1000</v>
      </c>
      <c r="S678" s="4" t="n">
        <v>200</v>
      </c>
      <c r="T678" s="4" t="n">
        <v>1</v>
      </c>
      <c r="U678" s="2" t="inlineStr">
        <is>
          <t>Claro tv+ Box + Disney+ Amazon Prime + Netflix + HBO Max + Apple TV + Globoplay</t>
        </is>
      </c>
      <c r="V678" s="2" t="inlineStr"/>
      <c r="W678" s="2" t="inlineStr"/>
      <c r="X678" s="2" t="inlineStr">
        <is>
          <t>Pós 200GB</t>
        </is>
      </c>
      <c r="Y678" s="2" t="inlineStr">
        <is>
          <t>https://www.claro.com.br/multi</t>
        </is>
      </c>
      <c r="Z678" s="2" t="inlineStr">
        <is>
          <t>data/raw/claro_convergent_multi_SP.html</t>
        </is>
      </c>
    </row>
    <row r="679">
      <c r="A679" s="5" t="inlineStr">
        <is>
          <t>2026-08-31</t>
        </is>
      </c>
      <c r="B679" s="5" t="inlineStr">
        <is>
          <t>2026-08-31T21:21:16</t>
        </is>
      </c>
      <c r="C679" s="5" t="inlineStr">
        <is>
          <t>claro</t>
        </is>
      </c>
      <c r="D679" s="5" t="inlineStr">
        <is>
          <t>SP</t>
        </is>
      </c>
      <c r="E679" s="5" t="inlineStr">
        <is>
          <t>350 Mega com Globoplay incluso + Claro tv+ Box + Disney+ Amazon Prime + Netflix + HBO Max + Apple TV + Globoplay</t>
        </is>
      </c>
      <c r="F679" s="5" t="inlineStr">
        <is>
          <t>claro:97b00450-6f21-4349-8363-83d624b18328</t>
        </is>
      </c>
      <c r="G679" s="6" t="n">
        <v>229.8</v>
      </c>
      <c r="H679" s="6" t="inlineStr"/>
      <c r="I679" s="5" t="inlineStr"/>
      <c r="J679" s="5" t="inlineStr"/>
      <c r="K679" s="5" t="inlineStr">
        <is>
          <t>tab: Fibra + TV</t>
        </is>
      </c>
      <c r="L679" s="5" t="inlineStr">
        <is>
          <t>broadband+tv</t>
        </is>
      </c>
      <c r="M679" s="5" t="inlineStr">
        <is>
          <t>Fiber + TV</t>
        </is>
      </c>
      <c r="N679" s="5" t="b">
        <v>0</v>
      </c>
      <c r="O679" s="5" t="b">
        <v>1</v>
      </c>
      <c r="P679" s="5" t="b">
        <v>1</v>
      </c>
      <c r="Q679" s="5" t="b">
        <v>0</v>
      </c>
      <c r="R679" s="7" t="n">
        <v>350</v>
      </c>
      <c r="S679" s="7" t="inlineStr"/>
      <c r="T679" s="7" t="inlineStr"/>
      <c r="U679" s="5" t="inlineStr">
        <is>
          <t>Claro tv+ Box + Disney+ Amazon Prime + Netflix + HBO Max + Apple TV + Globoplay</t>
        </is>
      </c>
      <c r="V679" s="5" t="inlineStr"/>
      <c r="W679" s="5" t="inlineStr"/>
      <c r="X679" s="5" t="inlineStr"/>
      <c r="Y679" s="5" t="inlineStr">
        <is>
          <t>https://www.claro.com.br/multi</t>
        </is>
      </c>
      <c r="Z679" s="5" t="inlineStr">
        <is>
          <t>data/raw/claro_convergent_multi_SP.html</t>
        </is>
      </c>
    </row>
    <row r="680">
      <c r="A680" s="2" t="inlineStr">
        <is>
          <t>2026-08-31</t>
        </is>
      </c>
      <c r="B680" s="2" t="inlineStr">
        <is>
          <t>2026-08-31T21:21:16</t>
        </is>
      </c>
      <c r="C680" s="2" t="inlineStr">
        <is>
          <t>claro</t>
        </is>
      </c>
      <c r="D680" s="2" t="inlineStr">
        <is>
          <t>SP</t>
        </is>
      </c>
      <c r="E680" s="2" t="inlineStr">
        <is>
          <t>350 Mega com Globoplay incluso + Controle 40GB</t>
        </is>
      </c>
      <c r="F680" s="2" t="inlineStr">
        <is>
          <t>claro:a866ea9a-6a70-4b6e-b886-f8178086ca91</t>
        </is>
      </c>
      <c r="G680" s="3" t="n">
        <v>129.8</v>
      </c>
      <c r="H680" s="3" t="inlineStr"/>
      <c r="I680" s="2" t="inlineStr"/>
      <c r="J680" s="2" t="inlineStr">
        <is>
          <t>debit_auto</t>
        </is>
      </c>
      <c r="K680" s="2" t="inlineStr">
        <is>
          <t>tab: Fibra + Móvel; preço em débito em conta; +R$ 5.00 sem débito automático</t>
        </is>
      </c>
      <c r="L680" s="2" t="inlineStr">
        <is>
          <t>mobile+broadband</t>
        </is>
      </c>
      <c r="M680" s="2" t="inlineStr">
        <is>
          <t>Fiber + Mobile</t>
        </is>
      </c>
      <c r="N680" s="2" t="b">
        <v>1</v>
      </c>
      <c r="O680" s="2" t="b">
        <v>1</v>
      </c>
      <c r="P680" s="2" t="b">
        <v>0</v>
      </c>
      <c r="Q680" s="2" t="b">
        <v>0</v>
      </c>
      <c r="R680" s="4" t="n">
        <v>350</v>
      </c>
      <c r="S680" s="4" t="n">
        <v>40</v>
      </c>
      <c r="T680" s="4" t="n">
        <v>1</v>
      </c>
      <c r="U680" s="2" t="inlineStr"/>
      <c r="V680" s="2" t="inlineStr"/>
      <c r="W680" s="2" t="inlineStr"/>
      <c r="X680" s="2" t="inlineStr">
        <is>
          <t>Controle 40GB</t>
        </is>
      </c>
      <c r="Y680" s="2" t="inlineStr">
        <is>
          <t>https://www.claro.com.br/multi</t>
        </is>
      </c>
      <c r="Z680" s="2" t="inlineStr">
        <is>
          <t>data/raw/claro_convergent_multi_SP.html</t>
        </is>
      </c>
    </row>
    <row r="681">
      <c r="A681" s="5" t="inlineStr">
        <is>
          <t>2026-08-31</t>
        </is>
      </c>
      <c r="B681" s="5" t="inlineStr">
        <is>
          <t>2026-08-31T21:21:16</t>
        </is>
      </c>
      <c r="C681" s="5" t="inlineStr">
        <is>
          <t>claro</t>
        </is>
      </c>
      <c r="D681" s="5" t="inlineStr">
        <is>
          <t>SP</t>
        </is>
      </c>
      <c r="E681" s="5" t="inlineStr">
        <is>
          <t>350 Mega com Globoplay incluso + Pós 100GB + Claro tv+ Box + Disney+ Amazon Prime + Netflix + HBO Max + Apple TV + Globoplay</t>
        </is>
      </c>
      <c r="F681" s="5" t="inlineStr">
        <is>
          <t>claro:746fa9cf-ea2b-40de-ad2c-5803b3e0ab08</t>
        </is>
      </c>
      <c r="G681" s="6" t="n">
        <v>249.8</v>
      </c>
      <c r="H681" s="6" t="inlineStr"/>
      <c r="I681" s="5" t="inlineStr"/>
      <c r="J681" s="5" t="inlineStr"/>
      <c r="K681" s="5" t="inlineStr">
        <is>
          <t>tab: Fibra + Móvel + TV</t>
        </is>
      </c>
      <c r="L681" s="5" t="inlineStr">
        <is>
          <t>mobile+broadband+tv</t>
        </is>
      </c>
      <c r="M681" s="5" t="inlineStr">
        <is>
          <t>Fiber + Mobile + TV</t>
        </is>
      </c>
      <c r="N681" s="5" t="b">
        <v>1</v>
      </c>
      <c r="O681" s="5" t="b">
        <v>1</v>
      </c>
      <c r="P681" s="5" t="b">
        <v>1</v>
      </c>
      <c r="Q681" s="5" t="b">
        <v>0</v>
      </c>
      <c r="R681" s="7" t="n">
        <v>350</v>
      </c>
      <c r="S681" s="7" t="n">
        <v>100</v>
      </c>
      <c r="T681" s="7" t="n">
        <v>1</v>
      </c>
      <c r="U681" s="5" t="inlineStr">
        <is>
          <t>Claro tv+ Box + Disney+ Amazon Prime + Netflix + HBO Max + Apple TV + Globoplay</t>
        </is>
      </c>
      <c r="V681" s="5" t="inlineStr"/>
      <c r="W681" s="5" t="inlineStr"/>
      <c r="X681" s="5" t="inlineStr">
        <is>
          <t>Pós 100GB</t>
        </is>
      </c>
      <c r="Y681" s="5" t="inlineStr">
        <is>
          <t>https://www.claro.com.br/multi</t>
        </is>
      </c>
      <c r="Z681" s="5" t="inlineStr">
        <is>
          <t>data/raw/claro_convergent_multi_SP.html</t>
        </is>
      </c>
    </row>
    <row r="682">
      <c r="A682" s="2" t="inlineStr">
        <is>
          <t>2026-08-31</t>
        </is>
      </c>
      <c r="B682" s="2" t="inlineStr">
        <is>
          <t>2026-08-31T21:21:16</t>
        </is>
      </c>
      <c r="C682" s="2" t="inlineStr">
        <is>
          <t>claro</t>
        </is>
      </c>
      <c r="D682" s="2" t="inlineStr">
        <is>
          <t>SP</t>
        </is>
      </c>
      <c r="E682" s="2" t="inlineStr">
        <is>
          <t>600 Mega com Globoplay incluso + Claro tv+ Box + Disney+ Amazon Prime + Netflix + HBO Max + Apple TV + Globoplay</t>
        </is>
      </c>
      <c r="F682" s="2" t="inlineStr">
        <is>
          <t>claro:545261b1-2f4d-4dab-82a6-02d9e66c5d3d</t>
        </is>
      </c>
      <c r="G682" s="3" t="n">
        <v>239.8</v>
      </c>
      <c r="H682" s="3" t="inlineStr"/>
      <c r="I682" s="2" t="inlineStr"/>
      <c r="J682" s="2" t="inlineStr"/>
      <c r="K682" s="2" t="inlineStr">
        <is>
          <t>tab: Fibra + TV</t>
        </is>
      </c>
      <c r="L682" s="2" t="inlineStr">
        <is>
          <t>broadband+tv</t>
        </is>
      </c>
      <c r="M682" s="2" t="inlineStr">
        <is>
          <t>Fiber + TV</t>
        </is>
      </c>
      <c r="N682" s="2" t="b">
        <v>0</v>
      </c>
      <c r="O682" s="2" t="b">
        <v>1</v>
      </c>
      <c r="P682" s="2" t="b">
        <v>1</v>
      </c>
      <c r="Q682" s="2" t="b">
        <v>0</v>
      </c>
      <c r="R682" s="4" t="n">
        <v>600</v>
      </c>
      <c r="S682" s="4" t="inlineStr"/>
      <c r="T682" s="4" t="inlineStr"/>
      <c r="U682" s="2" t="inlineStr">
        <is>
          <t>Claro tv+ Box + Disney+ Amazon Prime + Netflix + HBO Max + Apple TV + Globoplay</t>
        </is>
      </c>
      <c r="V682" s="2" t="inlineStr"/>
      <c r="W682" s="2" t="inlineStr"/>
      <c r="X682" s="2" t="inlineStr"/>
      <c r="Y682" s="2" t="inlineStr">
        <is>
          <t>https://www.claro.com.br/multi</t>
        </is>
      </c>
      <c r="Z682" s="2" t="inlineStr">
        <is>
          <t>data/raw/claro_convergent_multi_SP.html</t>
        </is>
      </c>
    </row>
    <row r="683">
      <c r="A683" s="5" t="inlineStr">
        <is>
          <t>2026-08-31</t>
        </is>
      </c>
      <c r="B683" s="5" t="inlineStr">
        <is>
          <t>2026-08-31T21:21:16</t>
        </is>
      </c>
      <c r="C683" s="5" t="inlineStr">
        <is>
          <t>claro</t>
        </is>
      </c>
      <c r="D683" s="5" t="inlineStr">
        <is>
          <t>SP</t>
        </is>
      </c>
      <c r="E683" s="5" t="inlineStr">
        <is>
          <t>600 Mega com Globoplay incluso + Pós 100GB</t>
        </is>
      </c>
      <c r="F683" s="5" t="inlineStr">
        <is>
          <t>claro:350ac58a-533c-4858-83be-be3ea39c8874</t>
        </is>
      </c>
      <c r="G683" s="6" t="n">
        <v>159.9</v>
      </c>
      <c r="H683" s="6" t="inlineStr"/>
      <c r="I683" s="5" t="inlineStr"/>
      <c r="J683" s="5" t="inlineStr"/>
      <c r="K683" s="5" t="inlineStr">
        <is>
          <t>tab: Fibra + Móvel</t>
        </is>
      </c>
      <c r="L683" s="5" t="inlineStr">
        <is>
          <t>mobile+broadband</t>
        </is>
      </c>
      <c r="M683" s="5" t="inlineStr">
        <is>
          <t>Fiber + Mobile</t>
        </is>
      </c>
      <c r="N683" s="5" t="b">
        <v>1</v>
      </c>
      <c r="O683" s="5" t="b">
        <v>1</v>
      </c>
      <c r="P683" s="5" t="b">
        <v>0</v>
      </c>
      <c r="Q683" s="5" t="b">
        <v>0</v>
      </c>
      <c r="R683" s="7" t="n">
        <v>600</v>
      </c>
      <c r="S683" s="7" t="n">
        <v>100</v>
      </c>
      <c r="T683" s="7" t="n">
        <v>1</v>
      </c>
      <c r="U683" s="5" t="inlineStr"/>
      <c r="V683" s="5" t="inlineStr"/>
      <c r="W683" s="5" t="inlineStr"/>
      <c r="X683" s="5" t="inlineStr">
        <is>
          <t>Pós 100GB</t>
        </is>
      </c>
      <c r="Y683" s="5" t="inlineStr">
        <is>
          <t>https://www.claro.com.br/multi</t>
        </is>
      </c>
      <c r="Z683" s="5" t="inlineStr">
        <is>
          <t>data/raw/claro_convergent_multi_SP.html</t>
        </is>
      </c>
    </row>
    <row r="684">
      <c r="A684" s="2" t="inlineStr">
        <is>
          <t>2026-08-31</t>
        </is>
      </c>
      <c r="B684" s="2" t="inlineStr">
        <is>
          <t>2026-08-31T21:21:16</t>
        </is>
      </c>
      <c r="C684" s="2" t="inlineStr">
        <is>
          <t>claro</t>
        </is>
      </c>
      <c r="D684" s="2" t="inlineStr">
        <is>
          <t>SP</t>
        </is>
      </c>
      <c r="E684" s="2" t="inlineStr">
        <is>
          <t>600 Mega com Globoplay incluso + Pós 100GB + Claro tv+ Box + Disney+ Amazon Prime + Netflix + HBO Max + Apple TV + Globoplay</t>
        </is>
      </c>
      <c r="F684" s="2" t="inlineStr">
        <is>
          <t>claro:f36e7dfb-f7c9-4055-844f-7bc101699de8</t>
        </is>
      </c>
      <c r="G684" s="3" t="n">
        <v>269.8</v>
      </c>
      <c r="H684" s="3" t="inlineStr"/>
      <c r="I684" s="2" t="inlineStr"/>
      <c r="J684" s="2" t="inlineStr"/>
      <c r="K684" s="2" t="inlineStr">
        <is>
          <t>tab: Fibra + Móvel + TV</t>
        </is>
      </c>
      <c r="L684" s="2" t="inlineStr">
        <is>
          <t>mobile+broadband+tv</t>
        </is>
      </c>
      <c r="M684" s="2" t="inlineStr">
        <is>
          <t>Fiber + Mobile + TV</t>
        </is>
      </c>
      <c r="N684" s="2" t="b">
        <v>1</v>
      </c>
      <c r="O684" s="2" t="b">
        <v>1</v>
      </c>
      <c r="P684" s="2" t="b">
        <v>1</v>
      </c>
      <c r="Q684" s="2" t="b">
        <v>0</v>
      </c>
      <c r="R684" s="4" t="n">
        <v>600</v>
      </c>
      <c r="S684" s="4" t="n">
        <v>100</v>
      </c>
      <c r="T684" s="4" t="n">
        <v>1</v>
      </c>
      <c r="U684" s="2" t="inlineStr">
        <is>
          <t>Claro tv+ Box + Disney+ Amazon Prime + Netflix + HBO Max + Apple TV + Globoplay</t>
        </is>
      </c>
      <c r="V684" s="2" t="inlineStr"/>
      <c r="W684" s="2" t="inlineStr"/>
      <c r="X684" s="2" t="inlineStr">
        <is>
          <t>Pós 100GB</t>
        </is>
      </c>
      <c r="Y684" s="2" t="inlineStr">
        <is>
          <t>https://www.claro.com.br/multi</t>
        </is>
      </c>
      <c r="Z684" s="2" t="inlineStr">
        <is>
          <t>data/raw/claro_convergent_multi_SP.html</t>
        </is>
      </c>
    </row>
    <row r="685">
      <c r="A685" s="5" t="inlineStr">
        <is>
          <t>2026-08-31</t>
        </is>
      </c>
      <c r="B685" s="5" t="inlineStr">
        <is>
          <t>2026-08-31T21:21:16</t>
        </is>
      </c>
      <c r="C685" s="5" t="inlineStr">
        <is>
          <t>tim</t>
        </is>
      </c>
      <c r="D685" s="5" t="inlineStr">
        <is>
          <t>SP</t>
        </is>
      </c>
      <c r="E685" s="5" t="inlineStr">
        <is>
          <t>TIM Ultracombo 5</t>
        </is>
      </c>
      <c r="F685" s="5" t="inlineStr">
        <is>
          <t>tim:167756</t>
        </is>
      </c>
      <c r="G685" s="6" t="n">
        <v>169.99</v>
      </c>
      <c r="H685" s="6" t="inlineStr"/>
      <c r="I685" s="5" t="inlineStr"/>
      <c r="J685" s="5" t="inlineStr">
        <is>
          <t>debit_auto</t>
        </is>
      </c>
      <c r="K685" s="5" t="inlineStr">
        <is>
          <t>preço em débito automático; R$ 179,99/mês no pagamento por fatura</t>
        </is>
      </c>
      <c r="L685" s="5" t="inlineStr">
        <is>
          <t>mobile+broadband</t>
        </is>
      </c>
      <c r="M685" s="5" t="inlineStr">
        <is>
          <t>Fiber + Mobile</t>
        </is>
      </c>
      <c r="N685" s="5" t="b">
        <v>1</v>
      </c>
      <c r="O685" s="5" t="b">
        <v>1</v>
      </c>
      <c r="P685" s="5" t="b">
        <v>0</v>
      </c>
      <c r="Q685" s="5" t="b">
        <v>0</v>
      </c>
      <c r="R685" s="7" t="n">
        <v>1000</v>
      </c>
      <c r="S685" s="7" t="n">
        <v>115</v>
      </c>
      <c r="T685" s="7" t="n">
        <v>1</v>
      </c>
      <c r="U685" s="5" t="inlineStr"/>
      <c r="V685" s="5" t="inlineStr">
        <is>
          <t>Paramount+, Deezer</t>
        </is>
      </c>
      <c r="W685" s="5" t="inlineStr"/>
      <c r="X685" s="5" t="inlineStr">
        <is>
          <t>1GIGA de Ultrafibra para casa + 115GB de TIM Black C Hero para móvel: (25GB do plano + 40GB promo + 50GB bônus especial)</t>
        </is>
      </c>
      <c r="Y685" s="5" t="inlineStr">
        <is>
          <t>https://www.tim.com.br/sp/internet/tim-ultracombo</t>
        </is>
      </c>
      <c r="Z685" s="5" t="inlineStr">
        <is>
          <t>data/raw/tim_convergent_ultracombo_SP.html</t>
        </is>
      </c>
    </row>
    <row r="686">
      <c r="A686" s="2" t="inlineStr">
        <is>
          <t>2026-08-31</t>
        </is>
      </c>
      <c r="B686" s="2" t="inlineStr">
        <is>
          <t>2026-08-31T21:21:16</t>
        </is>
      </c>
      <c r="C686" s="2" t="inlineStr">
        <is>
          <t>tim</t>
        </is>
      </c>
      <c r="D686" s="2" t="inlineStr">
        <is>
          <t>SP</t>
        </is>
      </c>
      <c r="E686" s="2" t="inlineStr">
        <is>
          <t>TIM Ultracombo 6</t>
        </is>
      </c>
      <c r="F686" s="2" t="inlineStr">
        <is>
          <t>tim:167751</t>
        </is>
      </c>
      <c r="G686" s="3" t="n">
        <v>139.99</v>
      </c>
      <c r="H686" s="3" t="inlineStr"/>
      <c r="I686" s="2" t="inlineStr"/>
      <c r="J686" s="2" t="inlineStr">
        <is>
          <t>debit_auto</t>
        </is>
      </c>
      <c r="K686" s="2" t="inlineStr">
        <is>
          <t>preço em débito automático; R$ 149,99/mês no pagamento por fatura</t>
        </is>
      </c>
      <c r="L686" s="2" t="inlineStr">
        <is>
          <t>mobile+broadband</t>
        </is>
      </c>
      <c r="M686" s="2" t="inlineStr">
        <is>
          <t>Fiber + Mobile</t>
        </is>
      </c>
      <c r="N686" s="2" t="b">
        <v>1</v>
      </c>
      <c r="O686" s="2" t="b">
        <v>1</v>
      </c>
      <c r="P686" s="2" t="b">
        <v>0</v>
      </c>
      <c r="Q686" s="2" t="b">
        <v>0</v>
      </c>
      <c r="R686" s="4" t="n">
        <v>1000</v>
      </c>
      <c r="S686" s="4" t="n">
        <v>70</v>
      </c>
      <c r="T686" s="4" t="n">
        <v>1</v>
      </c>
      <c r="U686" s="2" t="inlineStr"/>
      <c r="V686" s="2" t="inlineStr">
        <is>
          <t>Paramount+, Deezer</t>
        </is>
      </c>
      <c r="W686" s="2" t="inlineStr"/>
      <c r="X686" s="2" t="inlineStr">
        <is>
          <t>1GIGA de Ultrafibra para casa + 70GB de TIM Black A para móvel: (15GB do plano + 50GB promo + 5GB bônus especial)</t>
        </is>
      </c>
      <c r="Y686" s="2" t="inlineStr">
        <is>
          <t>https://www.tim.com.br/sp/internet/tim-ultracombo</t>
        </is>
      </c>
      <c r="Z686" s="2" t="inlineStr">
        <is>
          <t>data/raw/tim_convergent_ultracombo_SP.html</t>
        </is>
      </c>
    </row>
    <row r="687">
      <c r="A687" s="5" t="inlineStr">
        <is>
          <t>2026-08-31</t>
        </is>
      </c>
      <c r="B687" s="5" t="inlineStr">
        <is>
          <t>2026-08-31T21:21:16</t>
        </is>
      </c>
      <c r="C687" s="5" t="inlineStr">
        <is>
          <t>tim</t>
        </is>
      </c>
      <c r="D687" s="5" t="inlineStr">
        <is>
          <t>SP</t>
        </is>
      </c>
      <c r="E687" s="5" t="inlineStr">
        <is>
          <t>TIM Ultracombo 7</t>
        </is>
      </c>
      <c r="F687" s="5" t="inlineStr">
        <is>
          <t>tim:167761</t>
        </is>
      </c>
      <c r="G687" s="6" t="n">
        <v>89.98999999999999</v>
      </c>
      <c r="H687" s="6" t="inlineStr"/>
      <c r="I687" s="5" t="inlineStr"/>
      <c r="J687" s="5" t="inlineStr">
        <is>
          <t>debit_auto</t>
        </is>
      </c>
      <c r="K687" s="5" t="inlineStr">
        <is>
          <t>preço em débito automático; R$ 99,99/mês no pagamento por fatura</t>
        </is>
      </c>
      <c r="L687" s="5" t="inlineStr">
        <is>
          <t>mobile+broadband</t>
        </is>
      </c>
      <c r="M687" s="5" t="inlineStr">
        <is>
          <t>Fiber + Mobile</t>
        </is>
      </c>
      <c r="N687" s="5" t="b">
        <v>1</v>
      </c>
      <c r="O687" s="5" t="b">
        <v>1</v>
      </c>
      <c r="P687" s="5" t="b">
        <v>0</v>
      </c>
      <c r="Q687" s="5" t="b">
        <v>0</v>
      </c>
      <c r="R687" s="7" t="n">
        <v>500</v>
      </c>
      <c r="S687" s="7" t="n">
        <v>65</v>
      </c>
      <c r="T687" s="7" t="n">
        <v>1</v>
      </c>
      <c r="U687" s="5" t="inlineStr"/>
      <c r="V687" s="5" t="inlineStr"/>
      <c r="W687" s="5" t="inlineStr"/>
      <c r="X687" s="5" t="inlineStr">
        <is>
          <t>500MEGA de Ultrafibra para casa + 65GB de TIM Black A Light para móvel: (10GB do plano + 50GB promo)</t>
        </is>
      </c>
      <c r="Y687" s="5" t="inlineStr">
        <is>
          <t>https://www.tim.com.br/sp/internet/tim-ultracombo</t>
        </is>
      </c>
      <c r="Z687" s="5" t="inlineStr">
        <is>
          <t>data/raw/tim_convergent_ultracombo_SP.html</t>
        </is>
      </c>
    </row>
    <row r="688">
      <c r="A688" s="2" t="inlineStr">
        <is>
          <t>2026-08-31</t>
        </is>
      </c>
      <c r="B688" s="2" t="inlineStr">
        <is>
          <t>2026-08-31T21:21:16</t>
        </is>
      </c>
      <c r="C688" s="2" t="inlineStr">
        <is>
          <t>vivo</t>
        </is>
      </c>
      <c r="D688" s="2" t="inlineStr">
        <is>
          <t>SP</t>
        </is>
      </c>
      <c r="E688" s="2" t="inlineStr">
        <is>
          <t>Vivo Família 2 + TV</t>
        </is>
      </c>
      <c r="F688" s="2" t="inlineStr">
        <is>
          <t>vivo:VIV202604032132-3-305-316-336-408-411-426-430-442</t>
        </is>
      </c>
      <c r="G688" s="3" t="n">
        <v>290</v>
      </c>
      <c r="H688" s="3" t="inlineStr"/>
      <c r="I688" s="2" t="inlineStr"/>
      <c r="J688" s="2" t="inlineStr"/>
      <c r="K688" s="2" t="inlineStr">
        <is>
          <t>instalação grátis mediante fidelização (não afeta a mensalidade)</t>
        </is>
      </c>
      <c r="L688" s="2" t="inlineStr">
        <is>
          <t>mobile+broadband+tv</t>
        </is>
      </c>
      <c r="M688" s="2" t="inlineStr">
        <is>
          <t>Fiber + Mobile + TV</t>
        </is>
      </c>
      <c r="N688" s="2" t="b">
        <v>1</v>
      </c>
      <c r="O688" s="2" t="b">
        <v>1</v>
      </c>
      <c r="P688" s="2" t="b">
        <v>1</v>
      </c>
      <c r="Q688" s="2" t="b">
        <v>0</v>
      </c>
      <c r="R688" s="4" t="n">
        <v>700</v>
      </c>
      <c r="S688" s="4" t="n">
        <v>120</v>
      </c>
      <c r="T688" s="4" t="n">
        <v>2</v>
      </c>
      <c r="U688" s="2" t="inlineStr">
        <is>
          <t>80 canais de Vivo Estendido</t>
        </is>
      </c>
      <c r="V688" s="2" t="inlineStr"/>
      <c r="W688" s="2" t="inlineStr">
        <is>
          <t>Vivo Travel Américas e Europa; 1 linha adicional inclusa</t>
        </is>
      </c>
      <c r="X688" s="2" t="inlineStr">
        <is>
          <t>700 Mega de Vivo Fibra</t>
        </is>
      </c>
      <c r="Y688" s="2" t="inlineStr">
        <is>
          <t>https://vivo.com.br/para-voce/produtos-e-servicos/combos/vivo-total</t>
        </is>
      </c>
      <c r="Z688" s="2" t="inlineStr">
        <is>
          <t>data/raw/vivo_convergent_total_SP.html</t>
        </is>
      </c>
    </row>
    <row r="689">
      <c r="A689" s="5" t="inlineStr">
        <is>
          <t>2026-08-31</t>
        </is>
      </c>
      <c r="B689" s="5" t="inlineStr">
        <is>
          <t>2026-08-31T21:21:16</t>
        </is>
      </c>
      <c r="C689" s="5" t="inlineStr">
        <is>
          <t>vivo</t>
        </is>
      </c>
      <c r="D689" s="5" t="inlineStr">
        <is>
          <t>SP</t>
        </is>
      </c>
      <c r="E689" s="5" t="inlineStr">
        <is>
          <t>Vivo Família 2 + TV</t>
        </is>
      </c>
      <c r="F689" s="5" t="inlineStr">
        <is>
          <t>vivo:VIV202604032112-3-9-305-316-408-411-426-430-442</t>
        </is>
      </c>
      <c r="G689" s="6" t="n">
        <v>390</v>
      </c>
      <c r="H689" s="6" t="inlineStr"/>
      <c r="I689" s="5" t="inlineStr"/>
      <c r="J689" s="5" t="inlineStr"/>
      <c r="K689" s="5" t="inlineStr">
        <is>
          <t>instalação grátis mediante fidelização (não afeta a mensalidade)</t>
        </is>
      </c>
      <c r="L689" s="5" t="inlineStr">
        <is>
          <t>mobile+broadband+tv</t>
        </is>
      </c>
      <c r="M689" s="5" t="inlineStr">
        <is>
          <t>Fiber + Mobile + TV</t>
        </is>
      </c>
      <c r="N689" s="5" t="b">
        <v>1</v>
      </c>
      <c r="O689" s="5" t="b">
        <v>1</v>
      </c>
      <c r="P689" s="5" t="b">
        <v>1</v>
      </c>
      <c r="Q689" s="5" t="b">
        <v>0</v>
      </c>
      <c r="R689" s="7" t="n">
        <v>700</v>
      </c>
      <c r="S689" s="7" t="n">
        <v>120</v>
      </c>
      <c r="T689" s="7" t="n">
        <v>2</v>
      </c>
      <c r="U689" s="5" t="inlineStr">
        <is>
          <t>120 canais de Vivo TV Avançado + 1 ponto adicional</t>
        </is>
      </c>
      <c r="V689" s="5" t="inlineStr"/>
      <c r="W689" s="5" t="inlineStr">
        <is>
          <t>Vivo Travel Américas e Europa; 1 linha adicional inclusa</t>
        </is>
      </c>
      <c r="X689" s="5" t="inlineStr">
        <is>
          <t>700 Mega de Vivo Fibra</t>
        </is>
      </c>
      <c r="Y689" s="5" t="inlineStr">
        <is>
          <t>https://vivo.com.br/para-voce/produtos-e-servicos/combos/vivo-total</t>
        </is>
      </c>
      <c r="Z689" s="5" t="inlineStr">
        <is>
          <t>data/raw/vivo_convergent_total_SP.html</t>
        </is>
      </c>
    </row>
    <row r="690">
      <c r="A690" s="2" t="inlineStr">
        <is>
          <t>2026-08-31</t>
        </is>
      </c>
      <c r="B690" s="2" t="inlineStr">
        <is>
          <t>2026-08-31T21:21:16</t>
        </is>
      </c>
      <c r="C690" s="2" t="inlineStr">
        <is>
          <t>vivo</t>
        </is>
      </c>
      <c r="D690" s="2" t="inlineStr">
        <is>
          <t>SP</t>
        </is>
      </c>
      <c r="E690" s="2" t="inlineStr">
        <is>
          <t>Vivo Total Família 2</t>
        </is>
      </c>
      <c r="F690" s="2" t="inlineStr">
        <is>
          <t>vivo:VIV202604032132-3-305-316-408-411-426-430-442</t>
        </is>
      </c>
      <c r="G690" s="3" t="n">
        <v>270</v>
      </c>
      <c r="H690" s="3" t="inlineStr"/>
      <c r="I690" s="2" t="inlineStr"/>
      <c r="J690" s="2" t="inlineStr"/>
      <c r="K690" s="2" t="inlineStr">
        <is>
          <t>instalação grátis mediante fidelização (não afeta a mensalidade)</t>
        </is>
      </c>
      <c r="L690" s="2" t="inlineStr">
        <is>
          <t>mobile+broadband</t>
        </is>
      </c>
      <c r="M690" s="2" t="inlineStr">
        <is>
          <t>Fiber + Mobile</t>
        </is>
      </c>
      <c r="N690" s="2" t="b">
        <v>1</v>
      </c>
      <c r="O690" s="2" t="b">
        <v>1</v>
      </c>
      <c r="P690" s="2" t="b">
        <v>0</v>
      </c>
      <c r="Q690" s="2" t="b">
        <v>0</v>
      </c>
      <c r="R690" s="4" t="n">
        <v>700</v>
      </c>
      <c r="S690" s="4" t="n">
        <v>120</v>
      </c>
      <c r="T690" s="4" t="n">
        <v>2</v>
      </c>
      <c r="U690" s="2" t="inlineStr"/>
      <c r="V690" s="2" t="inlineStr"/>
      <c r="W690" s="2" t="inlineStr">
        <is>
          <t>Vivo Travel Américas e Europa; 1 linha adicional inclusa</t>
        </is>
      </c>
      <c r="X690" s="2" t="inlineStr">
        <is>
          <t>700 Mega de Vivo Fibra</t>
        </is>
      </c>
      <c r="Y690" s="2" t="inlineStr">
        <is>
          <t>https://vivo.com.br/para-voce/produtos-e-servicos/combos/vivo-total</t>
        </is>
      </c>
      <c r="Z690" s="2" t="inlineStr">
        <is>
          <t>data/raw/vivo_convergent_total_SP.html</t>
        </is>
      </c>
    </row>
    <row r="691">
      <c r="A691" s="5" t="inlineStr">
        <is>
          <t>2026-08-31</t>
        </is>
      </c>
      <c r="B691" s="5" t="inlineStr">
        <is>
          <t>2026-08-31T21:21:16</t>
        </is>
      </c>
      <c r="C691" s="5" t="inlineStr">
        <is>
          <t>vivo</t>
        </is>
      </c>
      <c r="D691" s="5" t="inlineStr">
        <is>
          <t>SP</t>
        </is>
      </c>
      <c r="E691" s="5" t="inlineStr">
        <is>
          <t>Vivo Total Família 3</t>
        </is>
      </c>
      <c r="F691" s="5" t="inlineStr">
        <is>
          <t>vivo:VIV202604032212-4-305-316-408-411-426-430-442</t>
        </is>
      </c>
      <c r="G691" s="6" t="n">
        <v>330</v>
      </c>
      <c r="H691" s="6" t="inlineStr"/>
      <c r="I691" s="5" t="inlineStr"/>
      <c r="J691" s="5" t="inlineStr"/>
      <c r="K691" s="5" t="inlineStr">
        <is>
          <t>instalação grátis mediante fidelização (não afeta a mensalidade)</t>
        </is>
      </c>
      <c r="L691" s="5" t="inlineStr">
        <is>
          <t>mobile+broadband</t>
        </is>
      </c>
      <c r="M691" s="5" t="inlineStr">
        <is>
          <t>Fiber + Mobile</t>
        </is>
      </c>
      <c r="N691" s="5" t="b">
        <v>1</v>
      </c>
      <c r="O691" s="5" t="b">
        <v>1</v>
      </c>
      <c r="P691" s="5" t="b">
        <v>0</v>
      </c>
      <c r="Q691" s="5" t="b">
        <v>0</v>
      </c>
      <c r="R691" s="7" t="n">
        <v>700</v>
      </c>
      <c r="S691" s="7" t="n">
        <v>180</v>
      </c>
      <c r="T691" s="7" t="n">
        <v>3</v>
      </c>
      <c r="U691" s="5" t="inlineStr"/>
      <c r="V691" s="5" t="inlineStr"/>
      <c r="W691" s="5" t="inlineStr">
        <is>
          <t>Vivo Travel Américas e Europa; 2 linhas adicionais inclusas</t>
        </is>
      </c>
      <c r="X691" s="5" t="inlineStr">
        <is>
          <t>700 Mega de Vivo Fibra</t>
        </is>
      </c>
      <c r="Y691" s="5" t="inlineStr">
        <is>
          <t>https://vivo.com.br/para-voce/produtos-e-servicos/combos/vivo-total</t>
        </is>
      </c>
      <c r="Z691" s="5" t="inlineStr">
        <is>
          <t>data/raw/vivo_convergent_total_SP.html</t>
        </is>
      </c>
    </row>
    <row r="692">
      <c r="A692" s="2" t="inlineStr">
        <is>
          <t>2026-08-31</t>
        </is>
      </c>
      <c r="B692" s="2" t="inlineStr">
        <is>
          <t>2026-08-31T21:21:16</t>
        </is>
      </c>
      <c r="C692" s="2" t="inlineStr">
        <is>
          <t>vivo</t>
        </is>
      </c>
      <c r="D692" s="2" t="inlineStr">
        <is>
          <t>SP</t>
        </is>
      </c>
      <c r="E692" s="2" t="inlineStr">
        <is>
          <t>Vivo Total Família 4</t>
        </is>
      </c>
      <c r="F692" s="2" t="inlineStr">
        <is>
          <t>vivo:VIV202604032292-237-305-316-408-411-426-430-442</t>
        </is>
      </c>
      <c r="G692" s="3" t="n">
        <v>420</v>
      </c>
      <c r="H692" s="3" t="inlineStr"/>
      <c r="I692" s="2" t="inlineStr"/>
      <c r="J692" s="2" t="inlineStr"/>
      <c r="K692" s="2" t="inlineStr">
        <is>
          <t>instalação grátis mediante fidelização (não afeta a mensalidade)</t>
        </is>
      </c>
      <c r="L692" s="2" t="inlineStr">
        <is>
          <t>mobile+broadband</t>
        </is>
      </c>
      <c r="M692" s="2" t="inlineStr">
        <is>
          <t>Fiber + Mobile</t>
        </is>
      </c>
      <c r="N692" s="2" t="b">
        <v>1</v>
      </c>
      <c r="O692" s="2" t="b">
        <v>1</v>
      </c>
      <c r="P692" s="2" t="b">
        <v>0</v>
      </c>
      <c r="Q692" s="2" t="b">
        <v>0</v>
      </c>
      <c r="R692" s="4" t="n">
        <v>700</v>
      </c>
      <c r="S692" s="4" t="n">
        <v>240</v>
      </c>
      <c r="T692" s="4" t="n">
        <v>4</v>
      </c>
      <c r="U692" s="2" t="inlineStr"/>
      <c r="V692" s="2" t="inlineStr"/>
      <c r="W692" s="2" t="inlineStr">
        <is>
          <t>Vivo Travel Américas e Europa; 3 linhas adicionais inclusas</t>
        </is>
      </c>
      <c r="X692" s="2" t="inlineStr">
        <is>
          <t>700 Mega de Vivo Fibra</t>
        </is>
      </c>
      <c r="Y692" s="2" t="inlineStr">
        <is>
          <t>https://vivo.com.br/para-voce/produtos-e-servicos/combos/vivo-total</t>
        </is>
      </c>
      <c r="Z692" s="2" t="inlineStr">
        <is>
          <t>data/raw/vivo_convergent_total_SP.html</t>
        </is>
      </c>
    </row>
    <row r="693">
      <c r="A693" s="5" t="inlineStr">
        <is>
          <t>2026-08-31</t>
        </is>
      </c>
      <c r="B693" s="5" t="inlineStr">
        <is>
          <t>2026-08-31T21:21:16</t>
        </is>
      </c>
      <c r="C693" s="5" t="inlineStr">
        <is>
          <t>vivo</t>
        </is>
      </c>
      <c r="D693" s="5" t="inlineStr">
        <is>
          <t>SP</t>
        </is>
      </c>
      <c r="E693" s="5" t="inlineStr">
        <is>
          <t>Vivo Total Família 5</t>
        </is>
      </c>
      <c r="F693" s="5" t="inlineStr">
        <is>
          <t>vivo:VIV202604032372-5-305-316-408-411-426-430-442</t>
        </is>
      </c>
      <c r="G693" s="6" t="n">
        <v>520</v>
      </c>
      <c r="H693" s="6" t="inlineStr"/>
      <c r="I693" s="5" t="inlineStr"/>
      <c r="J693" s="5" t="inlineStr"/>
      <c r="K693" s="5" t="inlineStr">
        <is>
          <t>instalação grátis mediante fidelização (não afeta a mensalidade)</t>
        </is>
      </c>
      <c r="L693" s="5" t="inlineStr">
        <is>
          <t>mobile+broadband</t>
        </is>
      </c>
      <c r="M693" s="5" t="inlineStr">
        <is>
          <t>Fiber + Mobile</t>
        </is>
      </c>
      <c r="N693" s="5" t="b">
        <v>1</v>
      </c>
      <c r="O693" s="5" t="b">
        <v>1</v>
      </c>
      <c r="P693" s="5" t="b">
        <v>0</v>
      </c>
      <c r="Q693" s="5" t="b">
        <v>0</v>
      </c>
      <c r="R693" s="7" t="n">
        <v>700</v>
      </c>
      <c r="S693" s="7" t="n">
        <v>300</v>
      </c>
      <c r="T693" s="7" t="n">
        <v>5</v>
      </c>
      <c r="U693" s="5" t="inlineStr"/>
      <c r="V693" s="5" t="inlineStr"/>
      <c r="W693" s="5" t="inlineStr">
        <is>
          <t>Vivo Travel Américas e Europa; 4 linhas adicionais inclusas</t>
        </is>
      </c>
      <c r="X693" s="5" t="inlineStr">
        <is>
          <t>700 Mega de Vivo Fibra</t>
        </is>
      </c>
      <c r="Y693" s="5" t="inlineStr">
        <is>
          <t>https://vivo.com.br/para-voce/produtos-e-servicos/combos/vivo-total</t>
        </is>
      </c>
      <c r="Z693" s="5" t="inlineStr">
        <is>
          <t>data/raw/vivo_convergent_total_SP.html</t>
        </is>
      </c>
    </row>
    <row r="694">
      <c r="A694" s="2" t="inlineStr">
        <is>
          <t>2026-08-31</t>
        </is>
      </c>
      <c r="B694" s="2" t="inlineStr">
        <is>
          <t>2026-08-31T21:21:16</t>
        </is>
      </c>
      <c r="C694" s="2" t="inlineStr">
        <is>
          <t>vivo</t>
        </is>
      </c>
      <c r="D694" s="2" t="inlineStr">
        <is>
          <t>SP</t>
        </is>
      </c>
      <c r="E694" s="2" t="inlineStr">
        <is>
          <t>Vivo Total Pro</t>
        </is>
      </c>
      <c r="F694" s="2" t="inlineStr">
        <is>
          <t>vivo:VIV202604031772-2-305-308-316-326-342-411-430</t>
        </is>
      </c>
      <c r="G694" s="3" t="n">
        <v>160</v>
      </c>
      <c r="H694" s="3" t="inlineStr"/>
      <c r="I694" s="2" t="inlineStr"/>
      <c r="J694" s="2" t="inlineStr"/>
      <c r="K694" s="2" t="inlineStr">
        <is>
          <t>instalação grátis mediante fidelização (não afeta a mensalidade)</t>
        </is>
      </c>
      <c r="L694" s="2" t="inlineStr">
        <is>
          <t>mobile+broadband</t>
        </is>
      </c>
      <c r="M694" s="2" t="inlineStr">
        <is>
          <t>Fiber + Mobile</t>
        </is>
      </c>
      <c r="N694" s="2" t="b">
        <v>1</v>
      </c>
      <c r="O694" s="2" t="b">
        <v>1</v>
      </c>
      <c r="P694" s="2" t="b">
        <v>0</v>
      </c>
      <c r="Q694" s="2" t="b">
        <v>0</v>
      </c>
      <c r="R694" s="4" t="n">
        <v>500</v>
      </c>
      <c r="S694" s="4" t="n">
        <v>60</v>
      </c>
      <c r="T694" s="4" t="n">
        <v>1</v>
      </c>
      <c r="U694" s="2" t="inlineStr"/>
      <c r="V694" s="2" t="inlineStr"/>
      <c r="W694" s="2" t="inlineStr">
        <is>
          <t>Vivo Travel Américas; 50 GB de franquia + 10 GB de bônus</t>
        </is>
      </c>
      <c r="X694" s="2" t="inlineStr">
        <is>
          <t>500 Mega de Vivo Fibra</t>
        </is>
      </c>
      <c r="Y694" s="2" t="inlineStr">
        <is>
          <t>https://vivo.com.br/para-voce/produtos-e-servicos/combos/vivo-total</t>
        </is>
      </c>
      <c r="Z694" s="2" t="inlineStr">
        <is>
          <t>data/raw/vivo_convergent_total_SP.html</t>
        </is>
      </c>
    </row>
    <row r="695">
      <c r="A695" s="5" t="inlineStr">
        <is>
          <t>2026-08-31</t>
        </is>
      </c>
      <c r="B695" s="5" t="inlineStr">
        <is>
          <t>2026-08-31T21:21:16</t>
        </is>
      </c>
      <c r="C695" s="5" t="inlineStr">
        <is>
          <t>vivo</t>
        </is>
      </c>
      <c r="D695" s="5" t="inlineStr">
        <is>
          <t>SP</t>
        </is>
      </c>
      <c r="E695" s="5" t="inlineStr">
        <is>
          <t>Vivo Total Ultra</t>
        </is>
      </c>
      <c r="F695" s="5" t="inlineStr">
        <is>
          <t>vivo:VIV202604031940-305-313-316-408-411-426-430-442</t>
        </is>
      </c>
      <c r="G695" s="6" t="n">
        <v>170</v>
      </c>
      <c r="H695" s="6" t="inlineStr"/>
      <c r="I695" s="5" t="inlineStr"/>
      <c r="J695" s="5" t="inlineStr"/>
      <c r="K695" s="5" t="inlineStr">
        <is>
          <t>instalação grátis mediante fidelização (não afeta a mensalidade)</t>
        </is>
      </c>
      <c r="L695" s="5" t="inlineStr">
        <is>
          <t>mobile+broadband</t>
        </is>
      </c>
      <c r="M695" s="5" t="inlineStr">
        <is>
          <t>Fiber + Mobile</t>
        </is>
      </c>
      <c r="N695" s="5" t="b">
        <v>1</v>
      </c>
      <c r="O695" s="5" t="b">
        <v>1</v>
      </c>
      <c r="P695" s="5" t="b">
        <v>0</v>
      </c>
      <c r="Q695" s="5" t="b">
        <v>0</v>
      </c>
      <c r="R695" s="7" t="n">
        <v>700</v>
      </c>
      <c r="S695" s="7" t="n">
        <v>70</v>
      </c>
      <c r="T695" s="7" t="n">
        <v>1</v>
      </c>
      <c r="U695" s="5" t="inlineStr"/>
      <c r="V695" s="5" t="inlineStr"/>
      <c r="W695" s="5" t="inlineStr">
        <is>
          <t>Vivo Travel Américas; Exitlag e ponto cabeado incluso</t>
        </is>
      </c>
      <c r="X695" s="5" t="inlineStr">
        <is>
          <t>700 Mega de Vivo Fibra</t>
        </is>
      </c>
      <c r="Y695" s="5" t="inlineStr">
        <is>
          <t>https://vivo.com.br/para-voce/produtos-e-servicos/combos/vivo-total</t>
        </is>
      </c>
      <c r="Z695" s="5" t="inlineStr">
        <is>
          <t>data/raw/vivo_convergent_total_SP.html</t>
        </is>
      </c>
    </row>
    <row r="696">
      <c r="A696" s="2" t="inlineStr">
        <is>
          <t>2026-08-31</t>
        </is>
      </c>
      <c r="B696" s="2" t="inlineStr">
        <is>
          <t>2026-08-31T21:21:16</t>
        </is>
      </c>
      <c r="C696" s="2" t="inlineStr">
        <is>
          <t>vivo</t>
        </is>
      </c>
      <c r="D696" s="2" t="inlineStr">
        <is>
          <t>SP</t>
        </is>
      </c>
      <c r="E696" s="2" t="inlineStr">
        <is>
          <t>Vivo Total Ultra + TV</t>
        </is>
      </c>
      <c r="F696" s="2" t="inlineStr">
        <is>
          <t>vivo:VIV202604031882-9-305-313-316-408-411-426-430-442</t>
        </is>
      </c>
      <c r="G696" s="3" t="n">
        <v>310</v>
      </c>
      <c r="H696" s="3" t="inlineStr"/>
      <c r="I696" s="2" t="inlineStr"/>
      <c r="J696" s="2" t="inlineStr"/>
      <c r="K696" s="2" t="inlineStr">
        <is>
          <t>instalação grátis mediante fidelização (não afeta a mensalidade)</t>
        </is>
      </c>
      <c r="L696" s="2" t="inlineStr">
        <is>
          <t>mobile+broadband+tv</t>
        </is>
      </c>
      <c r="M696" s="2" t="inlineStr">
        <is>
          <t>Fiber + Mobile + TV</t>
        </is>
      </c>
      <c r="N696" s="2" t="b">
        <v>1</v>
      </c>
      <c r="O696" s="2" t="b">
        <v>1</v>
      </c>
      <c r="P696" s="2" t="b">
        <v>1</v>
      </c>
      <c r="Q696" s="2" t="b">
        <v>0</v>
      </c>
      <c r="R696" s="4" t="n">
        <v>700</v>
      </c>
      <c r="S696" s="4" t="n">
        <v>70</v>
      </c>
      <c r="T696" s="4" t="n">
        <v>1</v>
      </c>
      <c r="U696" s="2" t="inlineStr">
        <is>
          <t>120 canais de Vivo TV Avançado + 1 ponto adicional</t>
        </is>
      </c>
      <c r="V696" s="2" t="inlineStr"/>
      <c r="W696" s="2" t="inlineStr">
        <is>
          <t>Vivo Travel Américas</t>
        </is>
      </c>
      <c r="X696" s="2" t="inlineStr">
        <is>
          <t>700 Mega de Vivo Fibra</t>
        </is>
      </c>
      <c r="Y696" s="2" t="inlineStr">
        <is>
          <t>https://vivo.com.br/para-voce/produtos-e-servicos/combos/vivo-total</t>
        </is>
      </c>
      <c r="Z696" s="2" t="inlineStr">
        <is>
          <t>data/raw/vivo_convergent_total_SP.html</t>
        </is>
      </c>
    </row>
    <row r="697">
      <c r="A697" s="5" t="inlineStr">
        <is>
          <t>2026-08-31</t>
        </is>
      </c>
      <c r="B697" s="5" t="inlineStr">
        <is>
          <t>2026-08-31T21:21:16</t>
        </is>
      </c>
      <c r="C697" s="5" t="inlineStr">
        <is>
          <t>vivo</t>
        </is>
      </c>
      <c r="D697" s="5" t="inlineStr">
        <is>
          <t>SP</t>
        </is>
      </c>
      <c r="E697" s="5" t="inlineStr">
        <is>
          <t>Vivo Total Ultra + TV online</t>
        </is>
      </c>
      <c r="F697" s="5" t="inlineStr">
        <is>
          <t>vivo:VIV202604032034-305-313-316-336-408-411-426-430-442</t>
        </is>
      </c>
      <c r="G697" s="6" t="n">
        <v>210</v>
      </c>
      <c r="H697" s="6" t="inlineStr"/>
      <c r="I697" s="5" t="inlineStr"/>
      <c r="J697" s="5" t="inlineStr"/>
      <c r="K697" s="5" t="inlineStr">
        <is>
          <t>instalação grátis mediante fidelização (não afeta a mensalidade)</t>
        </is>
      </c>
      <c r="L697" s="5" t="inlineStr">
        <is>
          <t>mobile+broadband+tv</t>
        </is>
      </c>
      <c r="M697" s="5" t="inlineStr">
        <is>
          <t>Fiber + Mobile + TV</t>
        </is>
      </c>
      <c r="N697" s="5" t="b">
        <v>1</v>
      </c>
      <c r="O697" s="5" t="b">
        <v>1</v>
      </c>
      <c r="P697" s="5" t="b">
        <v>1</v>
      </c>
      <c r="Q697" s="5" t="b">
        <v>0</v>
      </c>
      <c r="R697" s="7" t="n">
        <v>700</v>
      </c>
      <c r="S697" s="7" t="n">
        <v>70</v>
      </c>
      <c r="T697" s="7" t="n">
        <v>1</v>
      </c>
      <c r="U697" s="5" t="inlineStr">
        <is>
          <t>80 canais de Vivo Estendido</t>
        </is>
      </c>
      <c r="V697" s="5" t="inlineStr"/>
      <c r="W697" s="5" t="inlineStr">
        <is>
          <t>Vivo Travel Américas</t>
        </is>
      </c>
      <c r="X697" s="5" t="inlineStr">
        <is>
          <t>700 Mega de Vivo Fibra</t>
        </is>
      </c>
      <c r="Y697" s="5" t="inlineStr">
        <is>
          <t>https://vivo.com.br/para-voce/produtos-e-servicos/combos/vivo-total</t>
        </is>
      </c>
      <c r="Z697" s="5" t="inlineStr">
        <is>
          <t>data/raw/vivo_convergent_total_SP.html</t>
        </is>
      </c>
    </row>
    <row r="698">
      <c r="A698" s="2" t="inlineStr">
        <is>
          <t>2026-08-31</t>
        </is>
      </c>
      <c r="B698" s="2" t="inlineStr">
        <is>
          <t>2026-08-31T21:21:16</t>
        </is>
      </c>
      <c r="C698" s="2" t="inlineStr">
        <is>
          <t>vivo</t>
        </is>
      </c>
      <c r="D698" s="2" t="inlineStr">
        <is>
          <t>SP</t>
        </is>
      </c>
      <c r="E698" s="2" t="inlineStr">
        <is>
          <t>Vivo Total V 1 Giga</t>
        </is>
      </c>
      <c r="F698" s="2" t="inlineStr">
        <is>
          <t>vivo:VIV202604032532-2-305-316-408-426-430-442</t>
        </is>
      </c>
      <c r="G698" s="3" t="n">
        <v>1200</v>
      </c>
      <c r="H698" s="3" t="inlineStr"/>
      <c r="I698" s="2" t="inlineStr"/>
      <c r="J698" s="2" t="inlineStr"/>
      <c r="K698" s="2" t="inlineStr">
        <is>
          <t>instalação grátis mediante fidelização (não afeta a mensalidade)</t>
        </is>
      </c>
      <c r="L698" s="2" t="inlineStr">
        <is>
          <t>mobile+broadband+tv</t>
        </is>
      </c>
      <c r="M698" s="2" t="inlineStr">
        <is>
          <t>Fiber + Mobile + TV</t>
        </is>
      </c>
      <c r="N698" s="2" t="b">
        <v>1</v>
      </c>
      <c r="O698" s="2" t="b">
        <v>1</v>
      </c>
      <c r="P698" s="2" t="b">
        <v>1</v>
      </c>
      <c r="Q698" s="2" t="b">
        <v>0</v>
      </c>
      <c r="R698" s="4" t="n">
        <v>1000</v>
      </c>
      <c r="S698" s="4" t="n">
        <v>600</v>
      </c>
      <c r="T698" s="4" t="n">
        <v>11</v>
      </c>
      <c r="U698" s="2" t="inlineStr">
        <is>
          <t>Vivo TV Completo com HBO Max e Telecine</t>
        </is>
      </c>
      <c r="V698" s="2" t="inlineStr"/>
      <c r="W698" s="2" t="inlineStr">
        <is>
          <t>Vivo Travel Mundo; 10 linhas adicionais inclusas; Vivo TV Completo com HBO Max e Telecine</t>
        </is>
      </c>
      <c r="X698" s="2" t="inlineStr">
        <is>
          <t>1Giga de Vivo Fibra</t>
        </is>
      </c>
      <c r="Y698" s="2" t="inlineStr">
        <is>
          <t>https://vivo.com.br/para-voce/produtos-e-servicos/combos/vivo-total</t>
        </is>
      </c>
      <c r="Z698" s="2" t="inlineStr">
        <is>
          <t>data/raw/vivo_convergent_total_SP.html</t>
        </is>
      </c>
    </row>
    <row r="699">
      <c r="A699" s="5" t="inlineStr">
        <is>
          <t>2026-09-01</t>
        </is>
      </c>
      <c r="B699" s="5" t="inlineStr">
        <is>
          <t>2026-09-01T19:58:06</t>
        </is>
      </c>
      <c r="C699" s="5" t="inlineStr">
        <is>
          <t>claro</t>
        </is>
      </c>
      <c r="D699" s="5" t="inlineStr">
        <is>
          <t>SP</t>
        </is>
      </c>
      <c r="E699" s="5" t="inlineStr">
        <is>
          <t>1 Giga com Globoplay incluso + Claro tv+ Box + Disney+ Amazon Prime + Netflix + HBO Max + Apple TV + Globoplay</t>
        </is>
      </c>
      <c r="F699" s="5" t="inlineStr">
        <is>
          <t>claro:af8152be-4aa7-4aa8-819a-a79687a3a9a0</t>
        </is>
      </c>
      <c r="G699" s="6" t="n">
        <v>319.8</v>
      </c>
      <c r="H699" s="6" t="inlineStr"/>
      <c r="I699" s="5" t="inlineStr"/>
      <c r="J699" s="5" t="inlineStr"/>
      <c r="K699" s="5" t="inlineStr">
        <is>
          <t>tab: Fibra + TV</t>
        </is>
      </c>
      <c r="L699" s="5" t="inlineStr">
        <is>
          <t>broadband+tv</t>
        </is>
      </c>
      <c r="M699" s="5" t="inlineStr">
        <is>
          <t>Fiber + TV</t>
        </is>
      </c>
      <c r="N699" s="5" t="b">
        <v>0</v>
      </c>
      <c r="O699" s="5" t="b">
        <v>1</v>
      </c>
      <c r="P699" s="5" t="b">
        <v>1</v>
      </c>
      <c r="Q699" s="5" t="b">
        <v>0</v>
      </c>
      <c r="R699" s="7" t="n">
        <v>1000</v>
      </c>
      <c r="S699" s="7" t="inlineStr"/>
      <c r="T699" s="7" t="inlineStr"/>
      <c r="U699" s="5" t="inlineStr">
        <is>
          <t>Claro tv+ Box + Disney+ Amazon Prime + Netflix + HBO Max + Apple TV + Globoplay</t>
        </is>
      </c>
      <c r="V699" s="5" t="inlineStr"/>
      <c r="W699" s="5" t="inlineStr"/>
      <c r="X699" s="5" t="inlineStr"/>
      <c r="Y699" s="5" t="inlineStr">
        <is>
          <t>https://www.claro.com.br/multi</t>
        </is>
      </c>
      <c r="Z699" s="5" t="inlineStr">
        <is>
          <t>data/raw/claro_convergent_multi_SP.html</t>
        </is>
      </c>
    </row>
    <row r="700">
      <c r="A700" s="2" t="inlineStr">
        <is>
          <t>2026-09-01</t>
        </is>
      </c>
      <c r="B700" s="2" t="inlineStr">
        <is>
          <t>2026-09-01T19:58:06</t>
        </is>
      </c>
      <c r="C700" s="2" t="inlineStr">
        <is>
          <t>claro</t>
        </is>
      </c>
      <c r="D700" s="2" t="inlineStr">
        <is>
          <t>SP</t>
        </is>
      </c>
      <c r="E700" s="2" t="inlineStr">
        <is>
          <t>1 Giga com Globoplay incluso + Claro tv+ Soundbox + Disney+ Amazon Prime + Netflix + HBO Max + Apple TV + Globoplay</t>
        </is>
      </c>
      <c r="F700" s="2" t="inlineStr">
        <is>
          <t>claro:ceb9fd87-0897-4dd2-a2f2-e7f09e714e49</t>
        </is>
      </c>
      <c r="G700" s="3" t="n">
        <v>429.8</v>
      </c>
      <c r="H700" s="3" t="inlineStr"/>
      <c r="I700" s="2" t="inlineStr"/>
      <c r="J700" s="2" t="inlineStr"/>
      <c r="K700" s="2" t="inlineStr">
        <is>
          <t>tab: Fibra + TV</t>
        </is>
      </c>
      <c r="L700" s="2" t="inlineStr">
        <is>
          <t>broadband+tv</t>
        </is>
      </c>
      <c r="M700" s="2" t="inlineStr">
        <is>
          <t>Fiber + TV</t>
        </is>
      </c>
      <c r="N700" s="2" t="b">
        <v>0</v>
      </c>
      <c r="O700" s="2" t="b">
        <v>1</v>
      </c>
      <c r="P700" s="2" t="b">
        <v>1</v>
      </c>
      <c r="Q700" s="2" t="b">
        <v>0</v>
      </c>
      <c r="R700" s="4" t="n">
        <v>1000</v>
      </c>
      <c r="S700" s="4" t="inlineStr"/>
      <c r="T700" s="4" t="inlineStr"/>
      <c r="U700" s="2" t="inlineStr">
        <is>
          <t>Claro tv+ Soundbox + Disney+ Amazon Prime + Netflix + HBO Max + Apple TV + Globoplay</t>
        </is>
      </c>
      <c r="V700" s="2" t="inlineStr"/>
      <c r="W700" s="2" t="inlineStr"/>
      <c r="X700" s="2" t="inlineStr"/>
      <c r="Y700" s="2" t="inlineStr">
        <is>
          <t>https://www.claro.com.br/multi</t>
        </is>
      </c>
      <c r="Z700" s="2" t="inlineStr">
        <is>
          <t>data/raw/claro_convergent_multi_SP.html</t>
        </is>
      </c>
    </row>
    <row r="701">
      <c r="A701" s="5" t="inlineStr">
        <is>
          <t>2026-09-01</t>
        </is>
      </c>
      <c r="B701" s="5" t="inlineStr">
        <is>
          <t>2026-09-01T19:58:06</t>
        </is>
      </c>
      <c r="C701" s="5" t="inlineStr">
        <is>
          <t>claro</t>
        </is>
      </c>
      <c r="D701" s="5" t="inlineStr">
        <is>
          <t>SP</t>
        </is>
      </c>
      <c r="E701" s="5" t="inlineStr">
        <is>
          <t>1 Giga com Globoplay incluso + Pós 100GB</t>
        </is>
      </c>
      <c r="F701" s="5" t="inlineStr">
        <is>
          <t>claro:a1de0ac1-61bb-4e97-a744-1ae4c3541673</t>
        </is>
      </c>
      <c r="G701" s="6" t="n">
        <v>179.9</v>
      </c>
      <c r="H701" s="6" t="inlineStr"/>
      <c r="I701" s="5" t="inlineStr"/>
      <c r="J701" s="5" t="inlineStr"/>
      <c r="K701" s="5" t="inlineStr">
        <is>
          <t>tab: Fibra + Móvel</t>
        </is>
      </c>
      <c r="L701" s="5" t="inlineStr">
        <is>
          <t>mobile+broadband</t>
        </is>
      </c>
      <c r="M701" s="5" t="inlineStr">
        <is>
          <t>Fiber + Mobile</t>
        </is>
      </c>
      <c r="N701" s="5" t="b">
        <v>1</v>
      </c>
      <c r="O701" s="5" t="b">
        <v>1</v>
      </c>
      <c r="P701" s="5" t="b">
        <v>0</v>
      </c>
      <c r="Q701" s="5" t="b">
        <v>0</v>
      </c>
      <c r="R701" s="7" t="n">
        <v>1000</v>
      </c>
      <c r="S701" s="7" t="n">
        <v>100</v>
      </c>
      <c r="T701" s="7" t="n">
        <v>1</v>
      </c>
      <c r="U701" s="5" t="inlineStr"/>
      <c r="V701" s="5" t="inlineStr"/>
      <c r="W701" s="5" t="inlineStr"/>
      <c r="X701" s="5" t="inlineStr">
        <is>
          <t>Pós 100GB</t>
        </is>
      </c>
      <c r="Y701" s="5" t="inlineStr">
        <is>
          <t>https://www.claro.com.br/multi</t>
        </is>
      </c>
      <c r="Z701" s="5" t="inlineStr">
        <is>
          <t>data/raw/claro_convergent_multi_SP.html</t>
        </is>
      </c>
    </row>
    <row r="702">
      <c r="A702" s="2" t="inlineStr">
        <is>
          <t>2026-09-01</t>
        </is>
      </c>
      <c r="B702" s="2" t="inlineStr">
        <is>
          <t>2026-09-01T19:58:06</t>
        </is>
      </c>
      <c r="C702" s="2" t="inlineStr">
        <is>
          <t>claro</t>
        </is>
      </c>
      <c r="D702" s="2" t="inlineStr">
        <is>
          <t>SP</t>
        </is>
      </c>
      <c r="E702" s="2" t="inlineStr">
        <is>
          <t>1 Giga com Globoplay incluso + Pós 100GB + Claro tv+ Box + Disney+ Amazon Prime + Netflix + HBO Max + Apple TV + Globoplay</t>
        </is>
      </c>
      <c r="F702" s="2" t="inlineStr">
        <is>
          <t>claro:548c4bad-7857-4c0c-94d5-45d33d66c57f</t>
        </is>
      </c>
      <c r="G702" s="3" t="n">
        <v>289.8</v>
      </c>
      <c r="H702" s="3" t="inlineStr"/>
      <c r="I702" s="2" t="inlineStr"/>
      <c r="J702" s="2" t="inlineStr"/>
      <c r="K702" s="2" t="inlineStr">
        <is>
          <t>tab: Fibra + Móvel + TV</t>
        </is>
      </c>
      <c r="L702" s="2" t="inlineStr">
        <is>
          <t>mobile+broadband+tv</t>
        </is>
      </c>
      <c r="M702" s="2" t="inlineStr">
        <is>
          <t>Fiber + Mobile + TV</t>
        </is>
      </c>
      <c r="N702" s="2" t="b">
        <v>1</v>
      </c>
      <c r="O702" s="2" t="b">
        <v>1</v>
      </c>
      <c r="P702" s="2" t="b">
        <v>1</v>
      </c>
      <c r="Q702" s="2" t="b">
        <v>0</v>
      </c>
      <c r="R702" s="4" t="n">
        <v>1000</v>
      </c>
      <c r="S702" s="4" t="n">
        <v>100</v>
      </c>
      <c r="T702" s="4" t="n">
        <v>1</v>
      </c>
      <c r="U702" s="2" t="inlineStr">
        <is>
          <t>Claro tv+ Box + Disney+ Amazon Prime + Netflix + HBO Max + Apple TV + Globoplay</t>
        </is>
      </c>
      <c r="V702" s="2" t="inlineStr"/>
      <c r="W702" s="2" t="inlineStr"/>
      <c r="X702" s="2" t="inlineStr">
        <is>
          <t>Pós 100GB</t>
        </is>
      </c>
      <c r="Y702" s="2" t="inlineStr">
        <is>
          <t>https://www.claro.com.br/multi</t>
        </is>
      </c>
      <c r="Z702" s="2" t="inlineStr">
        <is>
          <t>data/raw/claro_convergent_multi_SP.html</t>
        </is>
      </c>
    </row>
    <row r="703">
      <c r="A703" s="5" t="inlineStr">
        <is>
          <t>2026-09-01</t>
        </is>
      </c>
      <c r="B703" s="5" t="inlineStr">
        <is>
          <t>2026-09-01T19:58:06</t>
        </is>
      </c>
      <c r="C703" s="5" t="inlineStr">
        <is>
          <t>claro</t>
        </is>
      </c>
      <c r="D703" s="5" t="inlineStr">
        <is>
          <t>SP</t>
        </is>
      </c>
      <c r="E703" s="5" t="inlineStr">
        <is>
          <t>1 Giga com Globoplay incluso + Pós 150GB</t>
        </is>
      </c>
      <c r="F703" s="5" t="inlineStr">
        <is>
          <t>claro:d47e2a3b-dfd0-410e-9c24-d07a334d01d4</t>
        </is>
      </c>
      <c r="G703" s="6" t="n">
        <v>299.9</v>
      </c>
      <c r="H703" s="6" t="inlineStr"/>
      <c r="I703" s="5" t="inlineStr"/>
      <c r="J703" s="5" t="inlineStr"/>
      <c r="K703" s="5" t="inlineStr">
        <is>
          <t>tab: Fibra + Móvel</t>
        </is>
      </c>
      <c r="L703" s="5" t="inlineStr">
        <is>
          <t>mobile+broadband</t>
        </is>
      </c>
      <c r="M703" s="5" t="inlineStr">
        <is>
          <t>Fiber + Mobile</t>
        </is>
      </c>
      <c r="N703" s="5" t="b">
        <v>1</v>
      </c>
      <c r="O703" s="5" t="b">
        <v>1</v>
      </c>
      <c r="P703" s="5" t="b">
        <v>0</v>
      </c>
      <c r="Q703" s="5" t="b">
        <v>0</v>
      </c>
      <c r="R703" s="7" t="n">
        <v>1000</v>
      </c>
      <c r="S703" s="7" t="n">
        <v>150</v>
      </c>
      <c r="T703" s="7" t="n">
        <v>2</v>
      </c>
      <c r="U703" s="5" t="inlineStr"/>
      <c r="V703" s="5" t="inlineStr"/>
      <c r="W703" s="5" t="inlineStr"/>
      <c r="X703" s="5" t="inlineStr">
        <is>
          <t>Pós 150GB</t>
        </is>
      </c>
      <c r="Y703" s="5" t="inlineStr">
        <is>
          <t>https://www.claro.com.br/multi</t>
        </is>
      </c>
      <c r="Z703" s="5" t="inlineStr">
        <is>
          <t>data/raw/claro_convergent_multi_SP.html</t>
        </is>
      </c>
    </row>
    <row r="704">
      <c r="A704" s="2" t="inlineStr">
        <is>
          <t>2026-09-01</t>
        </is>
      </c>
      <c r="B704" s="2" t="inlineStr">
        <is>
          <t>2026-09-01T19:58:06</t>
        </is>
      </c>
      <c r="C704" s="2" t="inlineStr">
        <is>
          <t>claro</t>
        </is>
      </c>
      <c r="D704" s="2" t="inlineStr">
        <is>
          <t>SP</t>
        </is>
      </c>
      <c r="E704" s="2" t="inlineStr">
        <is>
          <t>1 Giga com Globoplay incluso + Pós 150GB + Claro tv+ Box + Disney+ Amazon Prime + Netflix + HBO Max + Apple TV + Globoplay</t>
        </is>
      </c>
      <c r="F704" s="2" t="inlineStr">
        <is>
          <t>claro:7785b449-69f2-4234-9e24-8837e32a55c0</t>
        </is>
      </c>
      <c r="G704" s="3" t="n">
        <v>409.8</v>
      </c>
      <c r="H704" s="3" t="inlineStr"/>
      <c r="I704" s="2" t="inlineStr"/>
      <c r="J704" s="2" t="inlineStr"/>
      <c r="K704" s="2" t="inlineStr">
        <is>
          <t>tab: Fibra + Móvel + TV</t>
        </is>
      </c>
      <c r="L704" s="2" t="inlineStr">
        <is>
          <t>mobile+broadband+tv</t>
        </is>
      </c>
      <c r="M704" s="2" t="inlineStr">
        <is>
          <t>Fiber + Mobile + TV</t>
        </is>
      </c>
      <c r="N704" s="2" t="b">
        <v>1</v>
      </c>
      <c r="O704" s="2" t="b">
        <v>1</v>
      </c>
      <c r="P704" s="2" t="b">
        <v>1</v>
      </c>
      <c r="Q704" s="2" t="b">
        <v>0</v>
      </c>
      <c r="R704" s="4" t="n">
        <v>1000</v>
      </c>
      <c r="S704" s="4" t="n">
        <v>150</v>
      </c>
      <c r="T704" s="4" t="n">
        <v>1</v>
      </c>
      <c r="U704" s="2" t="inlineStr">
        <is>
          <t>Claro tv+ Box + Disney+ Amazon Prime + Netflix + HBO Max + Apple TV + Globoplay</t>
        </is>
      </c>
      <c r="V704" s="2" t="inlineStr"/>
      <c r="W704" s="2" t="inlineStr"/>
      <c r="X704" s="2" t="inlineStr">
        <is>
          <t>Pós 150GB</t>
        </is>
      </c>
      <c r="Y704" s="2" t="inlineStr">
        <is>
          <t>https://www.claro.com.br/multi</t>
        </is>
      </c>
      <c r="Z704" s="2" t="inlineStr">
        <is>
          <t>data/raw/claro_convergent_multi_SP.html</t>
        </is>
      </c>
    </row>
    <row r="705">
      <c r="A705" s="5" t="inlineStr">
        <is>
          <t>2026-09-01</t>
        </is>
      </c>
      <c r="B705" s="5" t="inlineStr">
        <is>
          <t>2026-09-01T19:58:06</t>
        </is>
      </c>
      <c r="C705" s="5" t="inlineStr">
        <is>
          <t>claro</t>
        </is>
      </c>
      <c r="D705" s="5" t="inlineStr">
        <is>
          <t>SP</t>
        </is>
      </c>
      <c r="E705" s="5" t="inlineStr">
        <is>
          <t>1 Giga com Globoplay incluso + Pós 200GB</t>
        </is>
      </c>
      <c r="F705" s="5" t="inlineStr">
        <is>
          <t>claro:1961a62d-3213-4ff0-a152-401a45c5b1b5</t>
        </is>
      </c>
      <c r="G705" s="6" t="n">
        <v>359.9</v>
      </c>
      <c r="H705" s="6" t="inlineStr"/>
      <c r="I705" s="5" t="inlineStr"/>
      <c r="J705" s="5" t="inlineStr"/>
      <c r="K705" s="5" t="inlineStr">
        <is>
          <t>tab: Fibra + Móvel</t>
        </is>
      </c>
      <c r="L705" s="5" t="inlineStr">
        <is>
          <t>mobile+broadband</t>
        </is>
      </c>
      <c r="M705" s="5" t="inlineStr">
        <is>
          <t>Fiber + Mobile</t>
        </is>
      </c>
      <c r="N705" s="5" t="b">
        <v>1</v>
      </c>
      <c r="O705" s="5" t="b">
        <v>1</v>
      </c>
      <c r="P705" s="5" t="b">
        <v>0</v>
      </c>
      <c r="Q705" s="5" t="b">
        <v>0</v>
      </c>
      <c r="R705" s="7" t="n">
        <v>1000</v>
      </c>
      <c r="S705" s="7" t="n">
        <v>200</v>
      </c>
      <c r="T705" s="7" t="n">
        <v>3</v>
      </c>
      <c r="U705" s="5" t="inlineStr"/>
      <c r="V705" s="5" t="inlineStr"/>
      <c r="W705" s="5" t="inlineStr"/>
      <c r="X705" s="5" t="inlineStr">
        <is>
          <t>Pós 200GB</t>
        </is>
      </c>
      <c r="Y705" s="5" t="inlineStr">
        <is>
          <t>https://www.claro.com.br/multi</t>
        </is>
      </c>
      <c r="Z705" s="5" t="inlineStr">
        <is>
          <t>data/raw/claro_convergent_multi_SP.html</t>
        </is>
      </c>
    </row>
    <row r="706">
      <c r="A706" s="2" t="inlineStr">
        <is>
          <t>2026-09-01</t>
        </is>
      </c>
      <c r="B706" s="2" t="inlineStr">
        <is>
          <t>2026-09-01T19:58:06</t>
        </is>
      </c>
      <c r="C706" s="2" t="inlineStr">
        <is>
          <t>claro</t>
        </is>
      </c>
      <c r="D706" s="2" t="inlineStr">
        <is>
          <t>SP</t>
        </is>
      </c>
      <c r="E706" s="2" t="inlineStr">
        <is>
          <t>1 Giga com Globoplay incluso + Pós 200GB + Claro tv+ Box + Disney+ Amazon Prime + Netflix + HBO Max + Apple TV + Globoplay</t>
        </is>
      </c>
      <c r="F706" s="2" t="inlineStr">
        <is>
          <t>claro:312815a2-b3a5-43bb-89a1-272d53ccb212</t>
        </is>
      </c>
      <c r="G706" s="3" t="n">
        <v>469.8</v>
      </c>
      <c r="H706" s="3" t="inlineStr"/>
      <c r="I706" s="2" t="inlineStr"/>
      <c r="J706" s="2" t="inlineStr"/>
      <c r="K706" s="2" t="inlineStr">
        <is>
          <t>tab: Fibra + Móvel + TV</t>
        </is>
      </c>
      <c r="L706" s="2" t="inlineStr">
        <is>
          <t>mobile+broadband+tv</t>
        </is>
      </c>
      <c r="M706" s="2" t="inlineStr">
        <is>
          <t>Fiber + Mobile + TV</t>
        </is>
      </c>
      <c r="N706" s="2" t="b">
        <v>1</v>
      </c>
      <c r="O706" s="2" t="b">
        <v>1</v>
      </c>
      <c r="P706" s="2" t="b">
        <v>1</v>
      </c>
      <c r="Q706" s="2" t="b">
        <v>0</v>
      </c>
      <c r="R706" s="4" t="n">
        <v>1000</v>
      </c>
      <c r="S706" s="4" t="n">
        <v>200</v>
      </c>
      <c r="T706" s="4" t="n">
        <v>1</v>
      </c>
      <c r="U706" s="2" t="inlineStr">
        <is>
          <t>Claro tv+ Box + Disney+ Amazon Prime + Netflix + HBO Max + Apple TV + Globoplay</t>
        </is>
      </c>
      <c r="V706" s="2" t="inlineStr"/>
      <c r="W706" s="2" t="inlineStr"/>
      <c r="X706" s="2" t="inlineStr">
        <is>
          <t>Pós 200GB</t>
        </is>
      </c>
      <c r="Y706" s="2" t="inlineStr">
        <is>
          <t>https://www.claro.com.br/multi</t>
        </is>
      </c>
      <c r="Z706" s="2" t="inlineStr">
        <is>
          <t>data/raw/claro_convergent_multi_SP.html</t>
        </is>
      </c>
    </row>
    <row r="707">
      <c r="A707" s="5" t="inlineStr">
        <is>
          <t>2026-09-01</t>
        </is>
      </c>
      <c r="B707" s="5" t="inlineStr">
        <is>
          <t>2026-09-01T19:58:06</t>
        </is>
      </c>
      <c r="C707" s="5" t="inlineStr">
        <is>
          <t>claro</t>
        </is>
      </c>
      <c r="D707" s="5" t="inlineStr">
        <is>
          <t>SP</t>
        </is>
      </c>
      <c r="E707" s="5" t="inlineStr">
        <is>
          <t>350 Mega com Globoplay incluso + Claro tv+ Box + Disney+ Amazon Prime + Netflix + HBO Max + Apple TV + Globoplay</t>
        </is>
      </c>
      <c r="F707" s="5" t="inlineStr">
        <is>
          <t>claro:97b00450-6f21-4349-8363-83d624b18328</t>
        </is>
      </c>
      <c r="G707" s="6" t="n">
        <v>229.8</v>
      </c>
      <c r="H707" s="6" t="inlineStr"/>
      <c r="I707" s="5" t="inlineStr"/>
      <c r="J707" s="5" t="inlineStr"/>
      <c r="K707" s="5" t="inlineStr">
        <is>
          <t>tab: Fibra + TV</t>
        </is>
      </c>
      <c r="L707" s="5" t="inlineStr">
        <is>
          <t>broadband+tv</t>
        </is>
      </c>
      <c r="M707" s="5" t="inlineStr">
        <is>
          <t>Fiber + TV</t>
        </is>
      </c>
      <c r="N707" s="5" t="b">
        <v>0</v>
      </c>
      <c r="O707" s="5" t="b">
        <v>1</v>
      </c>
      <c r="P707" s="5" t="b">
        <v>1</v>
      </c>
      <c r="Q707" s="5" t="b">
        <v>0</v>
      </c>
      <c r="R707" s="7" t="n">
        <v>350</v>
      </c>
      <c r="S707" s="7" t="inlineStr"/>
      <c r="T707" s="7" t="inlineStr"/>
      <c r="U707" s="5" t="inlineStr">
        <is>
          <t>Claro tv+ Box + Disney+ Amazon Prime + Netflix + HBO Max + Apple TV + Globoplay</t>
        </is>
      </c>
      <c r="V707" s="5" t="inlineStr"/>
      <c r="W707" s="5" t="inlineStr"/>
      <c r="X707" s="5" t="inlineStr"/>
      <c r="Y707" s="5" t="inlineStr">
        <is>
          <t>https://www.claro.com.br/multi</t>
        </is>
      </c>
      <c r="Z707" s="5" t="inlineStr">
        <is>
          <t>data/raw/claro_convergent_multi_SP.html</t>
        </is>
      </c>
    </row>
    <row r="708">
      <c r="A708" s="2" t="inlineStr">
        <is>
          <t>2026-09-01</t>
        </is>
      </c>
      <c r="B708" s="2" t="inlineStr">
        <is>
          <t>2026-09-01T19:58:06</t>
        </is>
      </c>
      <c r="C708" s="2" t="inlineStr">
        <is>
          <t>claro</t>
        </is>
      </c>
      <c r="D708" s="2" t="inlineStr">
        <is>
          <t>SP</t>
        </is>
      </c>
      <c r="E708" s="2" t="inlineStr">
        <is>
          <t>350 Mega com Globoplay incluso + Controle 40GB</t>
        </is>
      </c>
      <c r="F708" s="2" t="inlineStr">
        <is>
          <t>claro:a866ea9a-6a70-4b6e-b886-f8178086ca91</t>
        </is>
      </c>
      <c r="G708" s="3" t="n">
        <v>129.8</v>
      </c>
      <c r="H708" s="3" t="inlineStr"/>
      <c r="I708" s="2" t="inlineStr"/>
      <c r="J708" s="2" t="inlineStr">
        <is>
          <t>debit_auto</t>
        </is>
      </c>
      <c r="K708" s="2" t="inlineStr">
        <is>
          <t>tab: Fibra + Móvel; preço em débito em conta; +R$ 5.00 sem débito automático</t>
        </is>
      </c>
      <c r="L708" s="2" t="inlineStr">
        <is>
          <t>mobile+broadband</t>
        </is>
      </c>
      <c r="M708" s="2" t="inlineStr">
        <is>
          <t>Fiber + Mobile</t>
        </is>
      </c>
      <c r="N708" s="2" t="b">
        <v>1</v>
      </c>
      <c r="O708" s="2" t="b">
        <v>1</v>
      </c>
      <c r="P708" s="2" t="b">
        <v>0</v>
      </c>
      <c r="Q708" s="2" t="b">
        <v>0</v>
      </c>
      <c r="R708" s="4" t="n">
        <v>350</v>
      </c>
      <c r="S708" s="4" t="n">
        <v>40</v>
      </c>
      <c r="T708" s="4" t="n">
        <v>1</v>
      </c>
      <c r="U708" s="2" t="inlineStr"/>
      <c r="V708" s="2" t="inlineStr"/>
      <c r="W708" s="2" t="inlineStr"/>
      <c r="X708" s="2" t="inlineStr">
        <is>
          <t>Controle 40GB</t>
        </is>
      </c>
      <c r="Y708" s="2" t="inlineStr">
        <is>
          <t>https://www.claro.com.br/multi</t>
        </is>
      </c>
      <c r="Z708" s="2" t="inlineStr">
        <is>
          <t>data/raw/claro_convergent_multi_SP.html</t>
        </is>
      </c>
    </row>
    <row r="709">
      <c r="A709" s="5" t="inlineStr">
        <is>
          <t>2026-09-01</t>
        </is>
      </c>
      <c r="B709" s="5" t="inlineStr">
        <is>
          <t>2026-09-01T19:58:06</t>
        </is>
      </c>
      <c r="C709" s="5" t="inlineStr">
        <is>
          <t>claro</t>
        </is>
      </c>
      <c r="D709" s="5" t="inlineStr">
        <is>
          <t>SP</t>
        </is>
      </c>
      <c r="E709" s="5" t="inlineStr">
        <is>
          <t>350 Mega com Globoplay incluso + Pós 100GB + Claro tv+ Box + Disney+ Amazon Prime + Netflix + HBO Max + Apple TV + Globoplay</t>
        </is>
      </c>
      <c r="F709" s="5" t="inlineStr">
        <is>
          <t>claro:746fa9cf-ea2b-40de-ad2c-5803b3e0ab08</t>
        </is>
      </c>
      <c r="G709" s="6" t="n">
        <v>249.8</v>
      </c>
      <c r="H709" s="6" t="inlineStr"/>
      <c r="I709" s="5" t="inlineStr"/>
      <c r="J709" s="5" t="inlineStr"/>
      <c r="K709" s="5" t="inlineStr">
        <is>
          <t>tab: Fibra + Móvel + TV</t>
        </is>
      </c>
      <c r="L709" s="5" t="inlineStr">
        <is>
          <t>mobile+broadband+tv</t>
        </is>
      </c>
      <c r="M709" s="5" t="inlineStr">
        <is>
          <t>Fiber + Mobile + TV</t>
        </is>
      </c>
      <c r="N709" s="5" t="b">
        <v>1</v>
      </c>
      <c r="O709" s="5" t="b">
        <v>1</v>
      </c>
      <c r="P709" s="5" t="b">
        <v>1</v>
      </c>
      <c r="Q709" s="5" t="b">
        <v>0</v>
      </c>
      <c r="R709" s="7" t="n">
        <v>350</v>
      </c>
      <c r="S709" s="7" t="n">
        <v>100</v>
      </c>
      <c r="T709" s="7" t="n">
        <v>1</v>
      </c>
      <c r="U709" s="5" t="inlineStr">
        <is>
          <t>Claro tv+ Box + Disney+ Amazon Prime + Netflix + HBO Max + Apple TV + Globoplay</t>
        </is>
      </c>
      <c r="V709" s="5" t="inlineStr"/>
      <c r="W709" s="5" t="inlineStr"/>
      <c r="X709" s="5" t="inlineStr">
        <is>
          <t>Pós 100GB</t>
        </is>
      </c>
      <c r="Y709" s="5" t="inlineStr">
        <is>
          <t>https://www.claro.com.br/multi</t>
        </is>
      </c>
      <c r="Z709" s="5" t="inlineStr">
        <is>
          <t>data/raw/claro_convergent_multi_SP.html</t>
        </is>
      </c>
    </row>
    <row r="710">
      <c r="A710" s="2" t="inlineStr">
        <is>
          <t>2026-09-01</t>
        </is>
      </c>
      <c r="B710" s="2" t="inlineStr">
        <is>
          <t>2026-09-01T19:58:06</t>
        </is>
      </c>
      <c r="C710" s="2" t="inlineStr">
        <is>
          <t>claro</t>
        </is>
      </c>
      <c r="D710" s="2" t="inlineStr">
        <is>
          <t>SP</t>
        </is>
      </c>
      <c r="E710" s="2" t="inlineStr">
        <is>
          <t>600 Mega com Globoplay incluso + Claro tv+ Box + Disney+ Amazon Prime + Netflix + HBO Max + Apple TV + Globoplay</t>
        </is>
      </c>
      <c r="F710" s="2" t="inlineStr">
        <is>
          <t>claro:545261b1-2f4d-4dab-82a6-02d9e66c5d3d</t>
        </is>
      </c>
      <c r="G710" s="3" t="n">
        <v>239.8</v>
      </c>
      <c r="H710" s="3" t="inlineStr"/>
      <c r="I710" s="2" t="inlineStr"/>
      <c r="J710" s="2" t="inlineStr"/>
      <c r="K710" s="2" t="inlineStr">
        <is>
          <t>tab: Fibra + TV</t>
        </is>
      </c>
      <c r="L710" s="2" t="inlineStr">
        <is>
          <t>broadband+tv</t>
        </is>
      </c>
      <c r="M710" s="2" t="inlineStr">
        <is>
          <t>Fiber + TV</t>
        </is>
      </c>
      <c r="N710" s="2" t="b">
        <v>0</v>
      </c>
      <c r="O710" s="2" t="b">
        <v>1</v>
      </c>
      <c r="P710" s="2" t="b">
        <v>1</v>
      </c>
      <c r="Q710" s="2" t="b">
        <v>0</v>
      </c>
      <c r="R710" s="4" t="n">
        <v>600</v>
      </c>
      <c r="S710" s="4" t="inlineStr"/>
      <c r="T710" s="4" t="inlineStr"/>
      <c r="U710" s="2" t="inlineStr">
        <is>
          <t>Claro tv+ Box + Disney+ Amazon Prime + Netflix + HBO Max + Apple TV + Globoplay</t>
        </is>
      </c>
      <c r="V710" s="2" t="inlineStr"/>
      <c r="W710" s="2" t="inlineStr"/>
      <c r="X710" s="2" t="inlineStr"/>
      <c r="Y710" s="2" t="inlineStr">
        <is>
          <t>https://www.claro.com.br/multi</t>
        </is>
      </c>
      <c r="Z710" s="2" t="inlineStr">
        <is>
          <t>data/raw/claro_convergent_multi_SP.html</t>
        </is>
      </c>
    </row>
    <row r="711">
      <c r="A711" s="5" t="inlineStr">
        <is>
          <t>2026-09-01</t>
        </is>
      </c>
      <c r="B711" s="5" t="inlineStr">
        <is>
          <t>2026-09-01T19:58:06</t>
        </is>
      </c>
      <c r="C711" s="5" t="inlineStr">
        <is>
          <t>claro</t>
        </is>
      </c>
      <c r="D711" s="5" t="inlineStr">
        <is>
          <t>SP</t>
        </is>
      </c>
      <c r="E711" s="5" t="inlineStr">
        <is>
          <t>600 Mega com Globoplay incluso + Pós 100GB</t>
        </is>
      </c>
      <c r="F711" s="5" t="inlineStr">
        <is>
          <t>claro:350ac58a-533c-4858-83be-be3ea39c8874</t>
        </is>
      </c>
      <c r="G711" s="6" t="n">
        <v>159.9</v>
      </c>
      <c r="H711" s="6" t="inlineStr"/>
      <c r="I711" s="5" t="inlineStr"/>
      <c r="J711" s="5" t="inlineStr"/>
      <c r="K711" s="5" t="inlineStr">
        <is>
          <t>tab: Fibra + Móvel</t>
        </is>
      </c>
      <c r="L711" s="5" t="inlineStr">
        <is>
          <t>mobile+broadband</t>
        </is>
      </c>
      <c r="M711" s="5" t="inlineStr">
        <is>
          <t>Fiber + Mobile</t>
        </is>
      </c>
      <c r="N711" s="5" t="b">
        <v>1</v>
      </c>
      <c r="O711" s="5" t="b">
        <v>1</v>
      </c>
      <c r="P711" s="5" t="b">
        <v>0</v>
      </c>
      <c r="Q711" s="5" t="b">
        <v>0</v>
      </c>
      <c r="R711" s="7" t="n">
        <v>600</v>
      </c>
      <c r="S711" s="7" t="n">
        <v>100</v>
      </c>
      <c r="T711" s="7" t="n">
        <v>1</v>
      </c>
      <c r="U711" s="5" t="inlineStr"/>
      <c r="V711" s="5" t="inlineStr"/>
      <c r="W711" s="5" t="inlineStr"/>
      <c r="X711" s="5" t="inlineStr">
        <is>
          <t>Pós 100GB</t>
        </is>
      </c>
      <c r="Y711" s="5" t="inlineStr">
        <is>
          <t>https://www.claro.com.br/multi</t>
        </is>
      </c>
      <c r="Z711" s="5" t="inlineStr">
        <is>
          <t>data/raw/claro_convergent_multi_SP.html</t>
        </is>
      </c>
    </row>
    <row r="712">
      <c r="A712" s="2" t="inlineStr">
        <is>
          <t>2026-09-01</t>
        </is>
      </c>
      <c r="B712" s="2" t="inlineStr">
        <is>
          <t>2026-09-01T19:58:06</t>
        </is>
      </c>
      <c r="C712" s="2" t="inlineStr">
        <is>
          <t>claro</t>
        </is>
      </c>
      <c r="D712" s="2" t="inlineStr">
        <is>
          <t>SP</t>
        </is>
      </c>
      <c r="E712" s="2" t="inlineStr">
        <is>
          <t>600 Mega com Globoplay incluso + Pós 100GB + Claro tv+ Box + Disney+ Amazon Prime + Netflix + HBO Max + Apple TV + Globoplay</t>
        </is>
      </c>
      <c r="F712" s="2" t="inlineStr">
        <is>
          <t>claro:f36e7dfb-f7c9-4055-844f-7bc101699de8</t>
        </is>
      </c>
      <c r="G712" s="3" t="n">
        <v>269.8</v>
      </c>
      <c r="H712" s="3" t="inlineStr"/>
      <c r="I712" s="2" t="inlineStr"/>
      <c r="J712" s="2" t="inlineStr"/>
      <c r="K712" s="2" t="inlineStr">
        <is>
          <t>tab: Fibra + Móvel + TV</t>
        </is>
      </c>
      <c r="L712" s="2" t="inlineStr">
        <is>
          <t>mobile+broadband+tv</t>
        </is>
      </c>
      <c r="M712" s="2" t="inlineStr">
        <is>
          <t>Fiber + Mobile + TV</t>
        </is>
      </c>
      <c r="N712" s="2" t="b">
        <v>1</v>
      </c>
      <c r="O712" s="2" t="b">
        <v>1</v>
      </c>
      <c r="P712" s="2" t="b">
        <v>1</v>
      </c>
      <c r="Q712" s="2" t="b">
        <v>0</v>
      </c>
      <c r="R712" s="4" t="n">
        <v>600</v>
      </c>
      <c r="S712" s="4" t="n">
        <v>100</v>
      </c>
      <c r="T712" s="4" t="n">
        <v>1</v>
      </c>
      <c r="U712" s="2" t="inlineStr">
        <is>
          <t>Claro tv+ Box + Disney+ Amazon Prime + Netflix + HBO Max + Apple TV + Globoplay</t>
        </is>
      </c>
      <c r="V712" s="2" t="inlineStr"/>
      <c r="W712" s="2" t="inlineStr"/>
      <c r="X712" s="2" t="inlineStr">
        <is>
          <t>Pós 100GB</t>
        </is>
      </c>
      <c r="Y712" s="2" t="inlineStr">
        <is>
          <t>https://www.claro.com.br/multi</t>
        </is>
      </c>
      <c r="Z712" s="2" t="inlineStr">
        <is>
          <t>data/raw/claro_convergent_multi_SP.html</t>
        </is>
      </c>
    </row>
    <row r="713">
      <c r="A713" s="5" t="inlineStr">
        <is>
          <t>2026-09-01</t>
        </is>
      </c>
      <c r="B713" s="5" t="inlineStr">
        <is>
          <t>2026-09-01T19:58:06</t>
        </is>
      </c>
      <c r="C713" s="5" t="inlineStr">
        <is>
          <t>tim</t>
        </is>
      </c>
      <c r="D713" s="5" t="inlineStr">
        <is>
          <t>SP</t>
        </is>
      </c>
      <c r="E713" s="5" t="inlineStr">
        <is>
          <t>TIM Ultracombo 5</t>
        </is>
      </c>
      <c r="F713" s="5" t="inlineStr">
        <is>
          <t>tim:167756</t>
        </is>
      </c>
      <c r="G713" s="6" t="n">
        <v>169.99</v>
      </c>
      <c r="H713" s="6" t="inlineStr"/>
      <c r="I713" s="5" t="inlineStr"/>
      <c r="J713" s="5" t="inlineStr">
        <is>
          <t>debit_auto</t>
        </is>
      </c>
      <c r="K713" s="5" t="inlineStr">
        <is>
          <t>preço em débito automático; R$ 179,99/mês no pagamento por fatura</t>
        </is>
      </c>
      <c r="L713" s="5" t="inlineStr">
        <is>
          <t>mobile+broadband</t>
        </is>
      </c>
      <c r="M713" s="5" t="inlineStr">
        <is>
          <t>Fiber + Mobile</t>
        </is>
      </c>
      <c r="N713" s="5" t="b">
        <v>1</v>
      </c>
      <c r="O713" s="5" t="b">
        <v>1</v>
      </c>
      <c r="P713" s="5" t="b">
        <v>0</v>
      </c>
      <c r="Q713" s="5" t="b">
        <v>0</v>
      </c>
      <c r="R713" s="7" t="n">
        <v>1000</v>
      </c>
      <c r="S713" s="7" t="n">
        <v>115</v>
      </c>
      <c r="T713" s="7" t="n">
        <v>1</v>
      </c>
      <c r="U713" s="5" t="inlineStr"/>
      <c r="V713" s="5" t="inlineStr">
        <is>
          <t>Paramount+, Deezer</t>
        </is>
      </c>
      <c r="W713" s="5" t="inlineStr"/>
      <c r="X713" s="5" t="inlineStr">
        <is>
          <t>1GIGA de Ultrafibra para casa + 115GB de TIM Black C Hero para móvel: (25GB do plano + 40GB promo + 50GB bônus especial)</t>
        </is>
      </c>
      <c r="Y713" s="5" t="inlineStr">
        <is>
          <t>https://www.tim.com.br/sp/internet/tim-ultracombo</t>
        </is>
      </c>
      <c r="Z713" s="5" t="inlineStr">
        <is>
          <t>data/raw/tim_convergent_ultracombo_SP.html</t>
        </is>
      </c>
    </row>
    <row r="714">
      <c r="A714" s="2" t="inlineStr">
        <is>
          <t>2026-09-01</t>
        </is>
      </c>
      <c r="B714" s="2" t="inlineStr">
        <is>
          <t>2026-09-01T19:58:06</t>
        </is>
      </c>
      <c r="C714" s="2" t="inlineStr">
        <is>
          <t>tim</t>
        </is>
      </c>
      <c r="D714" s="2" t="inlineStr">
        <is>
          <t>SP</t>
        </is>
      </c>
      <c r="E714" s="2" t="inlineStr">
        <is>
          <t>TIM Ultracombo 6</t>
        </is>
      </c>
      <c r="F714" s="2" t="inlineStr">
        <is>
          <t>tim:167751</t>
        </is>
      </c>
      <c r="G714" s="3" t="n">
        <v>139.99</v>
      </c>
      <c r="H714" s="3" t="inlineStr"/>
      <c r="I714" s="2" t="inlineStr"/>
      <c r="J714" s="2" t="inlineStr">
        <is>
          <t>debit_auto</t>
        </is>
      </c>
      <c r="K714" s="2" t="inlineStr">
        <is>
          <t>preço em débito automático; R$ 149,99/mês no pagamento por fatura</t>
        </is>
      </c>
      <c r="L714" s="2" t="inlineStr">
        <is>
          <t>mobile+broadband</t>
        </is>
      </c>
      <c r="M714" s="2" t="inlineStr">
        <is>
          <t>Fiber + Mobile</t>
        </is>
      </c>
      <c r="N714" s="2" t="b">
        <v>1</v>
      </c>
      <c r="O714" s="2" t="b">
        <v>1</v>
      </c>
      <c r="P714" s="2" t="b">
        <v>0</v>
      </c>
      <c r="Q714" s="2" t="b">
        <v>0</v>
      </c>
      <c r="R714" s="4" t="n">
        <v>1000</v>
      </c>
      <c r="S714" s="4" t="n">
        <v>70</v>
      </c>
      <c r="T714" s="4" t="n">
        <v>1</v>
      </c>
      <c r="U714" s="2" t="inlineStr"/>
      <c r="V714" s="2" t="inlineStr">
        <is>
          <t>Paramount+, Deezer</t>
        </is>
      </c>
      <c r="W714" s="2" t="inlineStr"/>
      <c r="X714" s="2" t="inlineStr">
        <is>
          <t>1GIGA de Ultrafibra para casa + 70GB de TIM Black A para móvel: (15GB do plano + 50GB promo + 5GB bônus especial)</t>
        </is>
      </c>
      <c r="Y714" s="2" t="inlineStr">
        <is>
          <t>https://www.tim.com.br/sp/internet/tim-ultracombo</t>
        </is>
      </c>
      <c r="Z714" s="2" t="inlineStr">
        <is>
          <t>data/raw/tim_convergent_ultracombo_SP.html</t>
        </is>
      </c>
    </row>
    <row r="715">
      <c r="A715" s="5" t="inlineStr">
        <is>
          <t>2026-09-01</t>
        </is>
      </c>
      <c r="B715" s="5" t="inlineStr">
        <is>
          <t>2026-09-01T19:58:06</t>
        </is>
      </c>
      <c r="C715" s="5" t="inlineStr">
        <is>
          <t>tim</t>
        </is>
      </c>
      <c r="D715" s="5" t="inlineStr">
        <is>
          <t>SP</t>
        </is>
      </c>
      <c r="E715" s="5" t="inlineStr">
        <is>
          <t>TIM Ultracombo 7</t>
        </is>
      </c>
      <c r="F715" s="5" t="inlineStr">
        <is>
          <t>tim:167761</t>
        </is>
      </c>
      <c r="G715" s="6" t="n">
        <v>89.98999999999999</v>
      </c>
      <c r="H715" s="6" t="inlineStr"/>
      <c r="I715" s="5" t="inlineStr"/>
      <c r="J715" s="5" t="inlineStr">
        <is>
          <t>debit_auto</t>
        </is>
      </c>
      <c r="K715" s="5" t="inlineStr">
        <is>
          <t>preço em débito automático; R$ 99,99/mês no pagamento por fatura</t>
        </is>
      </c>
      <c r="L715" s="5" t="inlineStr">
        <is>
          <t>mobile+broadband</t>
        </is>
      </c>
      <c r="M715" s="5" t="inlineStr">
        <is>
          <t>Fiber + Mobile</t>
        </is>
      </c>
      <c r="N715" s="5" t="b">
        <v>1</v>
      </c>
      <c r="O715" s="5" t="b">
        <v>1</v>
      </c>
      <c r="P715" s="5" t="b">
        <v>0</v>
      </c>
      <c r="Q715" s="5" t="b">
        <v>0</v>
      </c>
      <c r="R715" s="7" t="n">
        <v>500</v>
      </c>
      <c r="S715" s="7" t="n">
        <v>65</v>
      </c>
      <c r="T715" s="7" t="n">
        <v>1</v>
      </c>
      <c r="U715" s="5" t="inlineStr"/>
      <c r="V715" s="5" t="inlineStr"/>
      <c r="W715" s="5" t="inlineStr"/>
      <c r="X715" s="5" t="inlineStr">
        <is>
          <t>500MEGA de Ultrafibra para casa + 65GB de TIM Black A Light para móvel: (10GB do plano + 50GB promo)</t>
        </is>
      </c>
      <c r="Y715" s="5" t="inlineStr">
        <is>
          <t>https://www.tim.com.br/sp/internet/tim-ultracombo</t>
        </is>
      </c>
      <c r="Z715" s="5" t="inlineStr">
        <is>
          <t>data/raw/tim_convergent_ultracombo_SP.html</t>
        </is>
      </c>
    </row>
    <row r="716">
      <c r="A716" s="2" t="inlineStr">
        <is>
          <t>2026-09-01</t>
        </is>
      </c>
      <c r="B716" s="2" t="inlineStr">
        <is>
          <t>2026-09-01T19:58:06</t>
        </is>
      </c>
      <c r="C716" s="2" t="inlineStr">
        <is>
          <t>vivo</t>
        </is>
      </c>
      <c r="D716" s="2" t="inlineStr">
        <is>
          <t>SP</t>
        </is>
      </c>
      <c r="E716" s="2" t="inlineStr">
        <is>
          <t>Vivo Família 2 + TV</t>
        </is>
      </c>
      <c r="F716" s="2" t="inlineStr">
        <is>
          <t>vivo:VIV202604032132-3-305-316-336-408-411-426-430-442</t>
        </is>
      </c>
      <c r="G716" s="3" t="n">
        <v>290</v>
      </c>
      <c r="H716" s="3" t="inlineStr"/>
      <c r="I716" s="2" t="inlineStr"/>
      <c r="J716" s="2" t="inlineStr"/>
      <c r="K716" s="2" t="inlineStr">
        <is>
          <t>instalação grátis mediante fidelização (não afeta a mensalidade)</t>
        </is>
      </c>
      <c r="L716" s="2" t="inlineStr">
        <is>
          <t>mobile+broadband+tv</t>
        </is>
      </c>
      <c r="M716" s="2" t="inlineStr">
        <is>
          <t>Fiber + Mobile + TV</t>
        </is>
      </c>
      <c r="N716" s="2" t="b">
        <v>1</v>
      </c>
      <c r="O716" s="2" t="b">
        <v>1</v>
      </c>
      <c r="P716" s="2" t="b">
        <v>1</v>
      </c>
      <c r="Q716" s="2" t="b">
        <v>0</v>
      </c>
      <c r="R716" s="4" t="n">
        <v>700</v>
      </c>
      <c r="S716" s="4" t="n">
        <v>120</v>
      </c>
      <c r="T716" s="4" t="n">
        <v>2</v>
      </c>
      <c r="U716" s="2" t="inlineStr">
        <is>
          <t>80 canais de Vivo Estendido</t>
        </is>
      </c>
      <c r="V716" s="2" t="inlineStr"/>
      <c r="W716" s="2" t="inlineStr">
        <is>
          <t>Vivo Travel Américas e Europa; 1 linha adicional inclusa</t>
        </is>
      </c>
      <c r="X716" s="2" t="inlineStr">
        <is>
          <t>700 Mega de Vivo Fibra</t>
        </is>
      </c>
      <c r="Y716" s="2" t="inlineStr">
        <is>
          <t>https://vivo.com.br/para-voce/produtos-e-servicos/combos/vivo-total</t>
        </is>
      </c>
      <c r="Z716" s="2" t="inlineStr">
        <is>
          <t>data/raw/vivo_convergent_total_SP.html</t>
        </is>
      </c>
    </row>
    <row r="717">
      <c r="A717" s="5" t="inlineStr">
        <is>
          <t>2026-09-01</t>
        </is>
      </c>
      <c r="B717" s="5" t="inlineStr">
        <is>
          <t>2026-09-01T19:58:06</t>
        </is>
      </c>
      <c r="C717" s="5" t="inlineStr">
        <is>
          <t>vivo</t>
        </is>
      </c>
      <c r="D717" s="5" t="inlineStr">
        <is>
          <t>SP</t>
        </is>
      </c>
      <c r="E717" s="5" t="inlineStr">
        <is>
          <t>Vivo Família 2 + TV</t>
        </is>
      </c>
      <c r="F717" s="5" t="inlineStr">
        <is>
          <t>vivo:VIV202604032112-3-9-305-316-408-411-426-430-442</t>
        </is>
      </c>
      <c r="G717" s="6" t="n">
        <v>390</v>
      </c>
      <c r="H717" s="6" t="inlineStr"/>
      <c r="I717" s="5" t="inlineStr"/>
      <c r="J717" s="5" t="inlineStr"/>
      <c r="K717" s="5" t="inlineStr">
        <is>
          <t>instalação grátis mediante fidelização (não afeta a mensalidade)</t>
        </is>
      </c>
      <c r="L717" s="5" t="inlineStr">
        <is>
          <t>mobile+broadband+tv</t>
        </is>
      </c>
      <c r="M717" s="5" t="inlineStr">
        <is>
          <t>Fiber + Mobile + TV</t>
        </is>
      </c>
      <c r="N717" s="5" t="b">
        <v>1</v>
      </c>
      <c r="O717" s="5" t="b">
        <v>1</v>
      </c>
      <c r="P717" s="5" t="b">
        <v>1</v>
      </c>
      <c r="Q717" s="5" t="b">
        <v>0</v>
      </c>
      <c r="R717" s="7" t="n">
        <v>700</v>
      </c>
      <c r="S717" s="7" t="n">
        <v>120</v>
      </c>
      <c r="T717" s="7" t="n">
        <v>2</v>
      </c>
      <c r="U717" s="5" t="inlineStr">
        <is>
          <t>120 canais de Vivo TV Avançado + 1 ponto adicional</t>
        </is>
      </c>
      <c r="V717" s="5" t="inlineStr"/>
      <c r="W717" s="5" t="inlineStr">
        <is>
          <t>Vivo Travel Américas e Europa; 1 linha adicional inclusa</t>
        </is>
      </c>
      <c r="X717" s="5" t="inlineStr">
        <is>
          <t>700 Mega de Vivo Fibra</t>
        </is>
      </c>
      <c r="Y717" s="5" t="inlineStr">
        <is>
          <t>https://vivo.com.br/para-voce/produtos-e-servicos/combos/vivo-total</t>
        </is>
      </c>
      <c r="Z717" s="5" t="inlineStr">
        <is>
          <t>data/raw/vivo_convergent_total_SP.html</t>
        </is>
      </c>
    </row>
    <row r="718">
      <c r="A718" s="2" t="inlineStr">
        <is>
          <t>2026-09-01</t>
        </is>
      </c>
      <c r="B718" s="2" t="inlineStr">
        <is>
          <t>2026-09-01T19:58:06</t>
        </is>
      </c>
      <c r="C718" s="2" t="inlineStr">
        <is>
          <t>vivo</t>
        </is>
      </c>
      <c r="D718" s="2" t="inlineStr">
        <is>
          <t>SP</t>
        </is>
      </c>
      <c r="E718" s="2" t="inlineStr">
        <is>
          <t>Vivo Total Família 2</t>
        </is>
      </c>
      <c r="F718" s="2" t="inlineStr">
        <is>
          <t>vivo:VIV202604032132-3-305-316-408-411-426-430-442</t>
        </is>
      </c>
      <c r="G718" s="3" t="n">
        <v>270</v>
      </c>
      <c r="H718" s="3" t="inlineStr"/>
      <c r="I718" s="2" t="inlineStr"/>
      <c r="J718" s="2" t="inlineStr"/>
      <c r="K718" s="2" t="inlineStr">
        <is>
          <t>instalação grátis mediante fidelização (não afeta a mensalidade)</t>
        </is>
      </c>
      <c r="L718" s="2" t="inlineStr">
        <is>
          <t>mobile+broadband</t>
        </is>
      </c>
      <c r="M718" s="2" t="inlineStr">
        <is>
          <t>Fiber + Mobile</t>
        </is>
      </c>
      <c r="N718" s="2" t="b">
        <v>1</v>
      </c>
      <c r="O718" s="2" t="b">
        <v>1</v>
      </c>
      <c r="P718" s="2" t="b">
        <v>0</v>
      </c>
      <c r="Q718" s="2" t="b">
        <v>0</v>
      </c>
      <c r="R718" s="4" t="n">
        <v>700</v>
      </c>
      <c r="S718" s="4" t="n">
        <v>120</v>
      </c>
      <c r="T718" s="4" t="n">
        <v>2</v>
      </c>
      <c r="U718" s="2" t="inlineStr"/>
      <c r="V718" s="2" t="inlineStr"/>
      <c r="W718" s="2" t="inlineStr">
        <is>
          <t>Vivo Travel Américas e Europa; 1 linha adicional inclusa</t>
        </is>
      </c>
      <c r="X718" s="2" t="inlineStr">
        <is>
          <t>700 Mega de Vivo Fibra</t>
        </is>
      </c>
      <c r="Y718" s="2" t="inlineStr">
        <is>
          <t>https://vivo.com.br/para-voce/produtos-e-servicos/combos/vivo-total</t>
        </is>
      </c>
      <c r="Z718" s="2" t="inlineStr">
        <is>
          <t>data/raw/vivo_convergent_total_SP.html</t>
        </is>
      </c>
    </row>
    <row r="719">
      <c r="A719" s="5" t="inlineStr">
        <is>
          <t>2026-09-01</t>
        </is>
      </c>
      <c r="B719" s="5" t="inlineStr">
        <is>
          <t>2026-09-01T19:58:06</t>
        </is>
      </c>
      <c r="C719" s="5" t="inlineStr">
        <is>
          <t>vivo</t>
        </is>
      </c>
      <c r="D719" s="5" t="inlineStr">
        <is>
          <t>SP</t>
        </is>
      </c>
      <c r="E719" s="5" t="inlineStr">
        <is>
          <t>Vivo Total Família 3</t>
        </is>
      </c>
      <c r="F719" s="5" t="inlineStr">
        <is>
          <t>vivo:VIV202604032212-4-305-316-408-411-426-430-442</t>
        </is>
      </c>
      <c r="G719" s="6" t="n">
        <v>330</v>
      </c>
      <c r="H719" s="6" t="inlineStr"/>
      <c r="I719" s="5" t="inlineStr"/>
      <c r="J719" s="5" t="inlineStr"/>
      <c r="K719" s="5" t="inlineStr">
        <is>
          <t>instalação grátis mediante fidelização (não afeta a mensalidade)</t>
        </is>
      </c>
      <c r="L719" s="5" t="inlineStr">
        <is>
          <t>mobile+broadband</t>
        </is>
      </c>
      <c r="M719" s="5" t="inlineStr">
        <is>
          <t>Fiber + Mobile</t>
        </is>
      </c>
      <c r="N719" s="5" t="b">
        <v>1</v>
      </c>
      <c r="O719" s="5" t="b">
        <v>1</v>
      </c>
      <c r="P719" s="5" t="b">
        <v>0</v>
      </c>
      <c r="Q719" s="5" t="b">
        <v>0</v>
      </c>
      <c r="R719" s="7" t="n">
        <v>700</v>
      </c>
      <c r="S719" s="7" t="n">
        <v>180</v>
      </c>
      <c r="T719" s="7" t="n">
        <v>3</v>
      </c>
      <c r="U719" s="5" t="inlineStr"/>
      <c r="V719" s="5" t="inlineStr"/>
      <c r="W719" s="5" t="inlineStr">
        <is>
          <t>Vivo Travel Américas e Europa; 2 linhas adicionais inclusas</t>
        </is>
      </c>
      <c r="X719" s="5" t="inlineStr">
        <is>
          <t>700 Mega de Vivo Fibra</t>
        </is>
      </c>
      <c r="Y719" s="5" t="inlineStr">
        <is>
          <t>https://vivo.com.br/para-voce/produtos-e-servicos/combos/vivo-total</t>
        </is>
      </c>
      <c r="Z719" s="5" t="inlineStr">
        <is>
          <t>data/raw/vivo_convergent_total_SP.html</t>
        </is>
      </c>
    </row>
    <row r="720">
      <c r="A720" s="2" t="inlineStr">
        <is>
          <t>2026-09-01</t>
        </is>
      </c>
      <c r="B720" s="2" t="inlineStr">
        <is>
          <t>2026-09-01T19:58:06</t>
        </is>
      </c>
      <c r="C720" s="2" t="inlineStr">
        <is>
          <t>vivo</t>
        </is>
      </c>
      <c r="D720" s="2" t="inlineStr">
        <is>
          <t>SP</t>
        </is>
      </c>
      <c r="E720" s="2" t="inlineStr">
        <is>
          <t>Vivo Total Família 4</t>
        </is>
      </c>
      <c r="F720" s="2" t="inlineStr">
        <is>
          <t>vivo:VIV202604032292-237-305-316-408-411-426-430-442</t>
        </is>
      </c>
      <c r="G720" s="3" t="n">
        <v>420</v>
      </c>
      <c r="H720" s="3" t="inlineStr"/>
      <c r="I720" s="2" t="inlineStr"/>
      <c r="J720" s="2" t="inlineStr"/>
      <c r="K720" s="2" t="inlineStr">
        <is>
          <t>instalação grátis mediante fidelização (não afeta a mensalidade)</t>
        </is>
      </c>
      <c r="L720" s="2" t="inlineStr">
        <is>
          <t>mobile+broadband</t>
        </is>
      </c>
      <c r="M720" s="2" t="inlineStr">
        <is>
          <t>Fiber + Mobile</t>
        </is>
      </c>
      <c r="N720" s="2" t="b">
        <v>1</v>
      </c>
      <c r="O720" s="2" t="b">
        <v>1</v>
      </c>
      <c r="P720" s="2" t="b">
        <v>0</v>
      </c>
      <c r="Q720" s="2" t="b">
        <v>0</v>
      </c>
      <c r="R720" s="4" t="n">
        <v>700</v>
      </c>
      <c r="S720" s="4" t="n">
        <v>240</v>
      </c>
      <c r="T720" s="4" t="n">
        <v>4</v>
      </c>
      <c r="U720" s="2" t="inlineStr"/>
      <c r="V720" s="2" t="inlineStr"/>
      <c r="W720" s="2" t="inlineStr">
        <is>
          <t>Vivo Travel Américas e Europa; 3 linhas adicionais inclusas</t>
        </is>
      </c>
      <c r="X720" s="2" t="inlineStr">
        <is>
          <t>700 Mega de Vivo Fibra</t>
        </is>
      </c>
      <c r="Y720" s="2" t="inlineStr">
        <is>
          <t>https://vivo.com.br/para-voce/produtos-e-servicos/combos/vivo-total</t>
        </is>
      </c>
      <c r="Z720" s="2" t="inlineStr">
        <is>
          <t>data/raw/vivo_convergent_total_SP.html</t>
        </is>
      </c>
    </row>
    <row r="721">
      <c r="A721" s="5" t="inlineStr">
        <is>
          <t>2026-09-01</t>
        </is>
      </c>
      <c r="B721" s="5" t="inlineStr">
        <is>
          <t>2026-09-01T19:58:06</t>
        </is>
      </c>
      <c r="C721" s="5" t="inlineStr">
        <is>
          <t>vivo</t>
        </is>
      </c>
      <c r="D721" s="5" t="inlineStr">
        <is>
          <t>SP</t>
        </is>
      </c>
      <c r="E721" s="5" t="inlineStr">
        <is>
          <t>Vivo Total Família 5</t>
        </is>
      </c>
      <c r="F721" s="5" t="inlineStr">
        <is>
          <t>vivo:VIV202604032372-5-305-316-408-411-426-430-442</t>
        </is>
      </c>
      <c r="G721" s="6" t="n">
        <v>520</v>
      </c>
      <c r="H721" s="6" t="inlineStr"/>
      <c r="I721" s="5" t="inlineStr"/>
      <c r="J721" s="5" t="inlineStr"/>
      <c r="K721" s="5" t="inlineStr">
        <is>
          <t>instalação grátis mediante fidelização (não afeta a mensalidade)</t>
        </is>
      </c>
      <c r="L721" s="5" t="inlineStr">
        <is>
          <t>mobile+broadband</t>
        </is>
      </c>
      <c r="M721" s="5" t="inlineStr">
        <is>
          <t>Fiber + Mobile</t>
        </is>
      </c>
      <c r="N721" s="5" t="b">
        <v>1</v>
      </c>
      <c r="O721" s="5" t="b">
        <v>1</v>
      </c>
      <c r="P721" s="5" t="b">
        <v>0</v>
      </c>
      <c r="Q721" s="5" t="b">
        <v>0</v>
      </c>
      <c r="R721" s="7" t="n">
        <v>700</v>
      </c>
      <c r="S721" s="7" t="n">
        <v>300</v>
      </c>
      <c r="T721" s="7" t="n">
        <v>5</v>
      </c>
      <c r="U721" s="5" t="inlineStr"/>
      <c r="V721" s="5" t="inlineStr"/>
      <c r="W721" s="5" t="inlineStr">
        <is>
          <t>Vivo Travel Américas e Europa; 4 linhas adicionais inclusas</t>
        </is>
      </c>
      <c r="X721" s="5" t="inlineStr">
        <is>
          <t>700 Mega de Vivo Fibra</t>
        </is>
      </c>
      <c r="Y721" s="5" t="inlineStr">
        <is>
          <t>https://vivo.com.br/para-voce/produtos-e-servicos/combos/vivo-total</t>
        </is>
      </c>
      <c r="Z721" s="5" t="inlineStr">
        <is>
          <t>data/raw/vivo_convergent_total_SP.html</t>
        </is>
      </c>
    </row>
    <row r="722">
      <c r="A722" s="2" t="inlineStr">
        <is>
          <t>2026-09-01</t>
        </is>
      </c>
      <c r="B722" s="2" t="inlineStr">
        <is>
          <t>2026-09-01T19:58:06</t>
        </is>
      </c>
      <c r="C722" s="2" t="inlineStr">
        <is>
          <t>vivo</t>
        </is>
      </c>
      <c r="D722" s="2" t="inlineStr">
        <is>
          <t>SP</t>
        </is>
      </c>
      <c r="E722" s="2" t="inlineStr">
        <is>
          <t>Vivo Total Pro</t>
        </is>
      </c>
      <c r="F722" s="2" t="inlineStr">
        <is>
          <t>vivo:VIV202604031772-2-305-308-316-326-342-411-430</t>
        </is>
      </c>
      <c r="G722" s="3" t="n">
        <v>160</v>
      </c>
      <c r="H722" s="3" t="inlineStr"/>
      <c r="I722" s="2" t="inlineStr"/>
      <c r="J722" s="2" t="inlineStr"/>
      <c r="K722" s="2" t="inlineStr">
        <is>
          <t>instalação grátis mediante fidelização (não afeta a mensalidade)</t>
        </is>
      </c>
      <c r="L722" s="2" t="inlineStr">
        <is>
          <t>mobile+broadband</t>
        </is>
      </c>
      <c r="M722" s="2" t="inlineStr">
        <is>
          <t>Fiber + Mobile</t>
        </is>
      </c>
      <c r="N722" s="2" t="b">
        <v>1</v>
      </c>
      <c r="O722" s="2" t="b">
        <v>1</v>
      </c>
      <c r="P722" s="2" t="b">
        <v>0</v>
      </c>
      <c r="Q722" s="2" t="b">
        <v>0</v>
      </c>
      <c r="R722" s="4" t="n">
        <v>500</v>
      </c>
      <c r="S722" s="4" t="n">
        <v>70</v>
      </c>
      <c r="T722" s="4" t="n">
        <v>1</v>
      </c>
      <c r="U722" s="2" t="inlineStr"/>
      <c r="V722" s="2" t="inlineStr"/>
      <c r="W722" s="2" t="inlineStr">
        <is>
          <t>Vivo Travel Américas; 50 GB de franquia + 20 GB de bônus</t>
        </is>
      </c>
      <c r="X722" s="2" t="inlineStr">
        <is>
          <t>500 Mega de Vivo Fibra</t>
        </is>
      </c>
      <c r="Y722" s="2" t="inlineStr">
        <is>
          <t>https://vivo.com.br/para-voce/produtos-e-servicos/combos/vivo-total</t>
        </is>
      </c>
      <c r="Z722" s="2" t="inlineStr">
        <is>
          <t>data/raw/vivo_convergent_total_SP.html</t>
        </is>
      </c>
    </row>
    <row r="723">
      <c r="A723" s="5" t="inlineStr">
        <is>
          <t>2026-09-01</t>
        </is>
      </c>
      <c r="B723" s="5" t="inlineStr">
        <is>
          <t>2026-09-01T19:58:06</t>
        </is>
      </c>
      <c r="C723" s="5" t="inlineStr">
        <is>
          <t>vivo</t>
        </is>
      </c>
      <c r="D723" s="5" t="inlineStr">
        <is>
          <t>SP</t>
        </is>
      </c>
      <c r="E723" s="5" t="inlineStr">
        <is>
          <t>Vivo Total Ultra</t>
        </is>
      </c>
      <c r="F723" s="5" t="inlineStr">
        <is>
          <t>vivo:VIV202604032034-305-313-316-408-411-426-430-442</t>
        </is>
      </c>
      <c r="G723" s="6" t="n">
        <v>190</v>
      </c>
      <c r="H723" s="6" t="inlineStr"/>
      <c r="I723" s="5" t="inlineStr"/>
      <c r="J723" s="5" t="inlineStr"/>
      <c r="K723" s="5" t="inlineStr">
        <is>
          <t>instalação grátis mediante fidelização (não afeta a mensalidade)</t>
        </is>
      </c>
      <c r="L723" s="5" t="inlineStr">
        <is>
          <t>mobile+broadband</t>
        </is>
      </c>
      <c r="M723" s="5" t="inlineStr">
        <is>
          <t>Fiber + Mobile</t>
        </is>
      </c>
      <c r="N723" s="5" t="b">
        <v>1</v>
      </c>
      <c r="O723" s="5" t="b">
        <v>1</v>
      </c>
      <c r="P723" s="5" t="b">
        <v>0</v>
      </c>
      <c r="Q723" s="5" t="b">
        <v>0</v>
      </c>
      <c r="R723" s="7" t="n">
        <v>700</v>
      </c>
      <c r="S723" s="7" t="n">
        <v>80</v>
      </c>
      <c r="T723" s="7" t="n">
        <v>1</v>
      </c>
      <c r="U723" s="5" t="inlineStr"/>
      <c r="V723" s="5" t="inlineStr"/>
      <c r="W723" s="5" t="inlineStr">
        <is>
          <t>Vivo Travel Américas; 70 GB de franquia + 10 GB de bônus</t>
        </is>
      </c>
      <c r="X723" s="5" t="inlineStr">
        <is>
          <t>700 Mega de Vivo Fibra</t>
        </is>
      </c>
      <c r="Y723" s="5" t="inlineStr">
        <is>
          <t>https://vivo.com.br/para-voce/produtos-e-servicos/combos/vivo-total</t>
        </is>
      </c>
      <c r="Z723" s="5" t="inlineStr">
        <is>
          <t>data/raw/vivo_convergent_total_SP.html</t>
        </is>
      </c>
    </row>
    <row r="724">
      <c r="A724" s="2" t="inlineStr">
        <is>
          <t>2026-09-01</t>
        </is>
      </c>
      <c r="B724" s="2" t="inlineStr">
        <is>
          <t>2026-09-01T19:58:06</t>
        </is>
      </c>
      <c r="C724" s="2" t="inlineStr">
        <is>
          <t>vivo</t>
        </is>
      </c>
      <c r="D724" s="2" t="inlineStr">
        <is>
          <t>SP</t>
        </is>
      </c>
      <c r="E724" s="2" t="inlineStr">
        <is>
          <t>Vivo Total Ultra + TV</t>
        </is>
      </c>
      <c r="F724" s="2" t="inlineStr">
        <is>
          <t>vivo:VIV202604031882-9-305-313-316-408-411-426-430-442</t>
        </is>
      </c>
      <c r="G724" s="3" t="n">
        <v>310</v>
      </c>
      <c r="H724" s="3" t="inlineStr"/>
      <c r="I724" s="2" t="inlineStr"/>
      <c r="J724" s="2" t="inlineStr"/>
      <c r="K724" s="2" t="inlineStr">
        <is>
          <t>instalação grátis mediante fidelização (não afeta a mensalidade)</t>
        </is>
      </c>
      <c r="L724" s="2" t="inlineStr">
        <is>
          <t>mobile+broadband+tv</t>
        </is>
      </c>
      <c r="M724" s="2" t="inlineStr">
        <is>
          <t>Fiber + Mobile + TV</t>
        </is>
      </c>
      <c r="N724" s="2" t="b">
        <v>1</v>
      </c>
      <c r="O724" s="2" t="b">
        <v>1</v>
      </c>
      <c r="P724" s="2" t="b">
        <v>1</v>
      </c>
      <c r="Q724" s="2" t="b">
        <v>0</v>
      </c>
      <c r="R724" s="4" t="n">
        <v>700</v>
      </c>
      <c r="S724" s="4" t="n">
        <v>80</v>
      </c>
      <c r="T724" s="4" t="n">
        <v>1</v>
      </c>
      <c r="U724" s="2" t="inlineStr">
        <is>
          <t>120 canais de Vivo TV Avançado + 1 ponto adicional</t>
        </is>
      </c>
      <c r="V724" s="2" t="inlineStr"/>
      <c r="W724" s="2" t="inlineStr">
        <is>
          <t>Vivo Travel Américas; 70 GB de franquia + 10 GB de bônus</t>
        </is>
      </c>
      <c r="X724" s="2" t="inlineStr">
        <is>
          <t>700 Mega de Vivo Fibra</t>
        </is>
      </c>
      <c r="Y724" s="2" t="inlineStr">
        <is>
          <t>https://vivo.com.br/para-voce/produtos-e-servicos/combos/vivo-total</t>
        </is>
      </c>
      <c r="Z724" s="2" t="inlineStr">
        <is>
          <t>data/raw/vivo_convergent_total_SP.html</t>
        </is>
      </c>
    </row>
    <row r="725">
      <c r="A725" s="5" t="inlineStr">
        <is>
          <t>2026-09-01</t>
        </is>
      </c>
      <c r="B725" s="5" t="inlineStr">
        <is>
          <t>2026-09-01T19:58:06</t>
        </is>
      </c>
      <c r="C725" s="5" t="inlineStr">
        <is>
          <t>vivo</t>
        </is>
      </c>
      <c r="D725" s="5" t="inlineStr">
        <is>
          <t>SP</t>
        </is>
      </c>
      <c r="E725" s="5" t="inlineStr">
        <is>
          <t>Vivo Total Ultra + TV online</t>
        </is>
      </c>
      <c r="F725" s="5" t="inlineStr">
        <is>
          <t>vivo:VIV202604032034-305-313-316-336-408-411-426-430-442</t>
        </is>
      </c>
      <c r="G725" s="6" t="n">
        <v>210</v>
      </c>
      <c r="H725" s="6" t="inlineStr"/>
      <c r="I725" s="5" t="inlineStr"/>
      <c r="J725" s="5" t="inlineStr"/>
      <c r="K725" s="5" t="inlineStr">
        <is>
          <t>instalação grátis mediante fidelização (não afeta a mensalidade)</t>
        </is>
      </c>
      <c r="L725" s="5" t="inlineStr">
        <is>
          <t>mobile+broadband+tv</t>
        </is>
      </c>
      <c r="M725" s="5" t="inlineStr">
        <is>
          <t>Fiber + Mobile + TV</t>
        </is>
      </c>
      <c r="N725" s="5" t="b">
        <v>1</v>
      </c>
      <c r="O725" s="5" t="b">
        <v>1</v>
      </c>
      <c r="P725" s="5" t="b">
        <v>1</v>
      </c>
      <c r="Q725" s="5" t="b">
        <v>0</v>
      </c>
      <c r="R725" s="7" t="n">
        <v>700</v>
      </c>
      <c r="S725" s="7" t="n">
        <v>80</v>
      </c>
      <c r="T725" s="7" t="n">
        <v>1</v>
      </c>
      <c r="U725" s="5" t="inlineStr">
        <is>
          <t>80 canais de Vivo Estendido</t>
        </is>
      </c>
      <c r="V725" s="5" t="inlineStr"/>
      <c r="W725" s="5" t="inlineStr">
        <is>
          <t>Vivo Travel Américas; 70 GB de franquia + 10 GB de bônus</t>
        </is>
      </c>
      <c r="X725" s="5" t="inlineStr">
        <is>
          <t>700 Mega de Vivo Fibra</t>
        </is>
      </c>
      <c r="Y725" s="5" t="inlineStr">
        <is>
          <t>https://vivo.com.br/para-voce/produtos-e-servicos/combos/vivo-total</t>
        </is>
      </c>
      <c r="Z725" s="5" t="inlineStr">
        <is>
          <t>data/raw/vivo_convergent_total_SP.html</t>
        </is>
      </c>
    </row>
    <row r="726">
      <c r="A726" s="2" t="inlineStr">
        <is>
          <t>2026-09-01</t>
        </is>
      </c>
      <c r="B726" s="2" t="inlineStr">
        <is>
          <t>2026-09-01T19:58:06</t>
        </is>
      </c>
      <c r="C726" s="2" t="inlineStr">
        <is>
          <t>vivo</t>
        </is>
      </c>
      <c r="D726" s="2" t="inlineStr">
        <is>
          <t>SP</t>
        </is>
      </c>
      <c r="E726" s="2" t="inlineStr">
        <is>
          <t>Vivo Total V 1 Giga</t>
        </is>
      </c>
      <c r="F726" s="2" t="inlineStr">
        <is>
          <t>vivo:VIV202604032532-2-305-316-408-426-430-442</t>
        </is>
      </c>
      <c r="G726" s="3" t="n">
        <v>1200</v>
      </c>
      <c r="H726" s="3" t="inlineStr"/>
      <c r="I726" s="2" t="inlineStr"/>
      <c r="J726" s="2" t="inlineStr"/>
      <c r="K726" s="2" t="inlineStr">
        <is>
          <t>instalação grátis mediante fidelização (não afeta a mensalidade)</t>
        </is>
      </c>
      <c r="L726" s="2" t="inlineStr">
        <is>
          <t>mobile+broadband+tv</t>
        </is>
      </c>
      <c r="M726" s="2" t="inlineStr">
        <is>
          <t>Fiber + Mobile + TV</t>
        </is>
      </c>
      <c r="N726" s="2" t="b">
        <v>1</v>
      </c>
      <c r="O726" s="2" t="b">
        <v>1</v>
      </c>
      <c r="P726" s="2" t="b">
        <v>1</v>
      </c>
      <c r="Q726" s="2" t="b">
        <v>0</v>
      </c>
      <c r="R726" s="4" t="n">
        <v>1000</v>
      </c>
      <c r="S726" s="4" t="n">
        <v>600</v>
      </c>
      <c r="T726" s="4" t="n">
        <v>11</v>
      </c>
      <c r="U726" s="2" t="inlineStr">
        <is>
          <t>Vivo TV Completo com HBO Max e Telecine</t>
        </is>
      </c>
      <c r="V726" s="2" t="inlineStr"/>
      <c r="W726" s="2" t="inlineStr">
        <is>
          <t>Vivo Travel Mundo; 10 linhas adicionais inclusas; Vivo TV Completo com HBO Max e Telecine</t>
        </is>
      </c>
      <c r="X726" s="2" t="inlineStr">
        <is>
          <t>1Giga de Vivo Fibra</t>
        </is>
      </c>
      <c r="Y726" s="2" t="inlineStr">
        <is>
          <t>https://vivo.com.br/para-voce/produtos-e-servicos/combos/vivo-total</t>
        </is>
      </c>
      <c r="Z726" s="2" t="inlineStr">
        <is>
          <t>data/raw/vivo_convergent_total_SP.html</t>
        </is>
      </c>
    </row>
    <row r="727">
      <c r="A727" s="5" t="inlineStr">
        <is>
          <t>2026-09-02</t>
        </is>
      </c>
      <c r="B727" s="5" t="inlineStr">
        <is>
          <t>2026-09-02T19:57:51</t>
        </is>
      </c>
      <c r="C727" s="5" t="inlineStr">
        <is>
          <t>claro</t>
        </is>
      </c>
      <c r="D727" s="5" t="inlineStr">
        <is>
          <t>SP</t>
        </is>
      </c>
      <c r="E727" s="5" t="inlineStr">
        <is>
          <t>1 Giga com Globoplay incluso + Claro tv+ Box + Disney+ Amazon Prime + Netflix + HBO Max + Apple TV + Globoplay</t>
        </is>
      </c>
      <c r="F727" s="5" t="inlineStr">
        <is>
          <t>claro:af8152be-4aa7-4aa8-819a-a79687a3a9a0</t>
        </is>
      </c>
      <c r="G727" s="6" t="n">
        <v>319.8</v>
      </c>
      <c r="H727" s="6" t="inlineStr"/>
      <c r="I727" s="5" t="inlineStr"/>
      <c r="J727" s="5" t="inlineStr"/>
      <c r="K727" s="5" t="inlineStr">
        <is>
          <t>tab: Fibra + TV</t>
        </is>
      </c>
      <c r="L727" s="5" t="inlineStr">
        <is>
          <t>broadband+tv</t>
        </is>
      </c>
      <c r="M727" s="5" t="inlineStr">
        <is>
          <t>Fiber + TV</t>
        </is>
      </c>
      <c r="N727" s="5" t="b">
        <v>0</v>
      </c>
      <c r="O727" s="5" t="b">
        <v>1</v>
      </c>
      <c r="P727" s="5" t="b">
        <v>1</v>
      </c>
      <c r="Q727" s="5" t="b">
        <v>0</v>
      </c>
      <c r="R727" s="7" t="n">
        <v>1000</v>
      </c>
      <c r="S727" s="7" t="inlineStr"/>
      <c r="T727" s="7" t="inlineStr"/>
      <c r="U727" s="5" t="inlineStr">
        <is>
          <t>Claro tv+ Box + Disney+ Amazon Prime + Netflix + HBO Max + Apple TV + Globoplay</t>
        </is>
      </c>
      <c r="V727" s="5" t="inlineStr"/>
      <c r="W727" s="5" t="inlineStr"/>
      <c r="X727" s="5" t="inlineStr"/>
      <c r="Y727" s="5" t="inlineStr">
        <is>
          <t>https://www.claro.com.br/multi</t>
        </is>
      </c>
      <c r="Z727" s="5" t="inlineStr">
        <is>
          <t>data/raw/claro_convergent_multi_SP.html</t>
        </is>
      </c>
    </row>
    <row r="728">
      <c r="A728" s="2" t="inlineStr">
        <is>
          <t>2026-09-02</t>
        </is>
      </c>
      <c r="B728" s="2" t="inlineStr">
        <is>
          <t>2026-09-02T19:57:51</t>
        </is>
      </c>
      <c r="C728" s="2" t="inlineStr">
        <is>
          <t>claro</t>
        </is>
      </c>
      <c r="D728" s="2" t="inlineStr">
        <is>
          <t>SP</t>
        </is>
      </c>
      <c r="E728" s="2" t="inlineStr">
        <is>
          <t>1 Giga com Globoplay incluso + Claro tv+ Soundbox + Disney+ Amazon Prime + Netflix + HBO Max + Apple TV + Globoplay</t>
        </is>
      </c>
      <c r="F728" s="2" t="inlineStr">
        <is>
          <t>claro:ceb9fd87-0897-4dd2-a2f2-e7f09e714e49</t>
        </is>
      </c>
      <c r="G728" s="3" t="n">
        <v>429.8</v>
      </c>
      <c r="H728" s="3" t="inlineStr"/>
      <c r="I728" s="2" t="inlineStr"/>
      <c r="J728" s="2" t="inlineStr"/>
      <c r="K728" s="2" t="inlineStr">
        <is>
          <t>tab: Fibra + TV</t>
        </is>
      </c>
      <c r="L728" s="2" t="inlineStr">
        <is>
          <t>broadband+tv</t>
        </is>
      </c>
      <c r="M728" s="2" t="inlineStr">
        <is>
          <t>Fiber + TV</t>
        </is>
      </c>
      <c r="N728" s="2" t="b">
        <v>0</v>
      </c>
      <c r="O728" s="2" t="b">
        <v>1</v>
      </c>
      <c r="P728" s="2" t="b">
        <v>1</v>
      </c>
      <c r="Q728" s="2" t="b">
        <v>0</v>
      </c>
      <c r="R728" s="4" t="n">
        <v>1000</v>
      </c>
      <c r="S728" s="4" t="inlineStr"/>
      <c r="T728" s="4" t="inlineStr"/>
      <c r="U728" s="2" t="inlineStr">
        <is>
          <t>Claro tv+ Soundbox + Disney+ Amazon Prime + Netflix + HBO Max + Apple TV + Globoplay</t>
        </is>
      </c>
      <c r="V728" s="2" t="inlineStr"/>
      <c r="W728" s="2" t="inlineStr"/>
      <c r="X728" s="2" t="inlineStr"/>
      <c r="Y728" s="2" t="inlineStr">
        <is>
          <t>https://www.claro.com.br/multi</t>
        </is>
      </c>
      <c r="Z728" s="2" t="inlineStr">
        <is>
          <t>data/raw/claro_convergent_multi_SP.html</t>
        </is>
      </c>
    </row>
    <row r="729">
      <c r="A729" s="5" t="inlineStr">
        <is>
          <t>2026-09-02</t>
        </is>
      </c>
      <c r="B729" s="5" t="inlineStr">
        <is>
          <t>2026-09-02T19:57:51</t>
        </is>
      </c>
      <c r="C729" s="5" t="inlineStr">
        <is>
          <t>claro</t>
        </is>
      </c>
      <c r="D729" s="5" t="inlineStr">
        <is>
          <t>SP</t>
        </is>
      </c>
      <c r="E729" s="5" t="inlineStr">
        <is>
          <t>1 Giga com Globoplay incluso + Pós 100GB</t>
        </is>
      </c>
      <c r="F729" s="5" t="inlineStr">
        <is>
          <t>claro:a1de0ac1-61bb-4e97-a744-1ae4c3541673</t>
        </is>
      </c>
      <c r="G729" s="6" t="n">
        <v>179.9</v>
      </c>
      <c r="H729" s="6" t="inlineStr"/>
      <c r="I729" s="5" t="inlineStr"/>
      <c r="J729" s="5" t="inlineStr"/>
      <c r="K729" s="5" t="inlineStr">
        <is>
          <t>tab: Fibra + Móvel</t>
        </is>
      </c>
      <c r="L729" s="5" t="inlineStr">
        <is>
          <t>mobile+broadband</t>
        </is>
      </c>
      <c r="M729" s="5" t="inlineStr">
        <is>
          <t>Fiber + Mobile</t>
        </is>
      </c>
      <c r="N729" s="5" t="b">
        <v>1</v>
      </c>
      <c r="O729" s="5" t="b">
        <v>1</v>
      </c>
      <c r="P729" s="5" t="b">
        <v>0</v>
      </c>
      <c r="Q729" s="5" t="b">
        <v>0</v>
      </c>
      <c r="R729" s="7" t="n">
        <v>1000</v>
      </c>
      <c r="S729" s="7" t="n">
        <v>100</v>
      </c>
      <c r="T729" s="7" t="n">
        <v>1</v>
      </c>
      <c r="U729" s="5" t="inlineStr"/>
      <c r="V729" s="5" t="inlineStr"/>
      <c r="W729" s="5" t="inlineStr"/>
      <c r="X729" s="5" t="inlineStr">
        <is>
          <t>Pós 100GB</t>
        </is>
      </c>
      <c r="Y729" s="5" t="inlineStr">
        <is>
          <t>https://www.claro.com.br/multi</t>
        </is>
      </c>
      <c r="Z729" s="5" t="inlineStr">
        <is>
          <t>data/raw/claro_convergent_multi_SP.html</t>
        </is>
      </c>
    </row>
    <row r="730">
      <c r="A730" s="2" t="inlineStr">
        <is>
          <t>2026-09-02</t>
        </is>
      </c>
      <c r="B730" s="2" t="inlineStr">
        <is>
          <t>2026-09-02T19:57:51</t>
        </is>
      </c>
      <c r="C730" s="2" t="inlineStr">
        <is>
          <t>claro</t>
        </is>
      </c>
      <c r="D730" s="2" t="inlineStr">
        <is>
          <t>SP</t>
        </is>
      </c>
      <c r="E730" s="2" t="inlineStr">
        <is>
          <t>1 Giga com Globoplay incluso + Pós 100GB + Claro tv+ Box + Disney+ Amazon Prime + Netflix + HBO Max + Apple TV + Globoplay</t>
        </is>
      </c>
      <c r="F730" s="2" t="inlineStr">
        <is>
          <t>claro:548c4bad-7857-4c0c-94d5-45d33d66c57f</t>
        </is>
      </c>
      <c r="G730" s="3" t="n">
        <v>289.8</v>
      </c>
      <c r="H730" s="3" t="inlineStr"/>
      <c r="I730" s="2" t="inlineStr"/>
      <c r="J730" s="2" t="inlineStr"/>
      <c r="K730" s="2" t="inlineStr">
        <is>
          <t>tab: Fibra + Móvel + TV</t>
        </is>
      </c>
      <c r="L730" s="2" t="inlineStr">
        <is>
          <t>mobile+broadband+tv</t>
        </is>
      </c>
      <c r="M730" s="2" t="inlineStr">
        <is>
          <t>Fiber + Mobile + TV</t>
        </is>
      </c>
      <c r="N730" s="2" t="b">
        <v>1</v>
      </c>
      <c r="O730" s="2" t="b">
        <v>1</v>
      </c>
      <c r="P730" s="2" t="b">
        <v>1</v>
      </c>
      <c r="Q730" s="2" t="b">
        <v>0</v>
      </c>
      <c r="R730" s="4" t="n">
        <v>1000</v>
      </c>
      <c r="S730" s="4" t="n">
        <v>100</v>
      </c>
      <c r="T730" s="4" t="n">
        <v>1</v>
      </c>
      <c r="U730" s="2" t="inlineStr">
        <is>
          <t>Claro tv+ Box + Disney+ Amazon Prime + Netflix + HBO Max + Apple TV + Globoplay</t>
        </is>
      </c>
      <c r="V730" s="2" t="inlineStr"/>
      <c r="W730" s="2" t="inlineStr"/>
      <c r="X730" s="2" t="inlineStr">
        <is>
          <t>Pós 100GB</t>
        </is>
      </c>
      <c r="Y730" s="2" t="inlineStr">
        <is>
          <t>https://www.claro.com.br/multi</t>
        </is>
      </c>
      <c r="Z730" s="2" t="inlineStr">
        <is>
          <t>data/raw/claro_convergent_multi_SP.html</t>
        </is>
      </c>
    </row>
    <row r="731">
      <c r="A731" s="5" t="inlineStr">
        <is>
          <t>2026-09-02</t>
        </is>
      </c>
      <c r="B731" s="5" t="inlineStr">
        <is>
          <t>2026-09-02T19:57:51</t>
        </is>
      </c>
      <c r="C731" s="5" t="inlineStr">
        <is>
          <t>claro</t>
        </is>
      </c>
      <c r="D731" s="5" t="inlineStr">
        <is>
          <t>SP</t>
        </is>
      </c>
      <c r="E731" s="5" t="inlineStr">
        <is>
          <t>1 Giga com Globoplay incluso + Pós 150GB</t>
        </is>
      </c>
      <c r="F731" s="5" t="inlineStr">
        <is>
          <t>claro:d47e2a3b-dfd0-410e-9c24-d07a334d01d4</t>
        </is>
      </c>
      <c r="G731" s="6" t="n">
        <v>299.9</v>
      </c>
      <c r="H731" s="6" t="inlineStr"/>
      <c r="I731" s="5" t="inlineStr"/>
      <c r="J731" s="5" t="inlineStr"/>
      <c r="K731" s="5" t="inlineStr">
        <is>
          <t>tab: Fibra + Móvel</t>
        </is>
      </c>
      <c r="L731" s="5" t="inlineStr">
        <is>
          <t>mobile+broadband</t>
        </is>
      </c>
      <c r="M731" s="5" t="inlineStr">
        <is>
          <t>Fiber + Mobile</t>
        </is>
      </c>
      <c r="N731" s="5" t="b">
        <v>1</v>
      </c>
      <c r="O731" s="5" t="b">
        <v>1</v>
      </c>
      <c r="P731" s="5" t="b">
        <v>0</v>
      </c>
      <c r="Q731" s="5" t="b">
        <v>0</v>
      </c>
      <c r="R731" s="7" t="n">
        <v>1000</v>
      </c>
      <c r="S731" s="7" t="n">
        <v>150</v>
      </c>
      <c r="T731" s="7" t="n">
        <v>2</v>
      </c>
      <c r="U731" s="5" t="inlineStr"/>
      <c r="V731" s="5" t="inlineStr"/>
      <c r="W731" s="5" t="inlineStr"/>
      <c r="X731" s="5" t="inlineStr">
        <is>
          <t>Pós 150GB</t>
        </is>
      </c>
      <c r="Y731" s="5" t="inlineStr">
        <is>
          <t>https://www.claro.com.br/multi</t>
        </is>
      </c>
      <c r="Z731" s="5" t="inlineStr">
        <is>
          <t>data/raw/claro_convergent_multi_SP.html</t>
        </is>
      </c>
    </row>
    <row r="732">
      <c r="A732" s="2" t="inlineStr">
        <is>
          <t>2026-09-02</t>
        </is>
      </c>
      <c r="B732" s="2" t="inlineStr">
        <is>
          <t>2026-09-02T19:57:51</t>
        </is>
      </c>
      <c r="C732" s="2" t="inlineStr">
        <is>
          <t>claro</t>
        </is>
      </c>
      <c r="D732" s="2" t="inlineStr">
        <is>
          <t>SP</t>
        </is>
      </c>
      <c r="E732" s="2" t="inlineStr">
        <is>
          <t>1 Giga com Globoplay incluso + Pós 150GB + Claro tv+ Box + Disney+ Amazon Prime + Netflix + HBO Max + Apple TV + Globoplay</t>
        </is>
      </c>
      <c r="F732" s="2" t="inlineStr">
        <is>
          <t>claro:7785b449-69f2-4234-9e24-8837e32a55c0</t>
        </is>
      </c>
      <c r="G732" s="3" t="n">
        <v>409.8</v>
      </c>
      <c r="H732" s="3" t="inlineStr"/>
      <c r="I732" s="2" t="inlineStr"/>
      <c r="J732" s="2" t="inlineStr"/>
      <c r="K732" s="2" t="inlineStr">
        <is>
          <t>tab: Fibra + Móvel + TV</t>
        </is>
      </c>
      <c r="L732" s="2" t="inlineStr">
        <is>
          <t>mobile+broadband+tv</t>
        </is>
      </c>
      <c r="M732" s="2" t="inlineStr">
        <is>
          <t>Fiber + Mobile + TV</t>
        </is>
      </c>
      <c r="N732" s="2" t="b">
        <v>1</v>
      </c>
      <c r="O732" s="2" t="b">
        <v>1</v>
      </c>
      <c r="P732" s="2" t="b">
        <v>1</v>
      </c>
      <c r="Q732" s="2" t="b">
        <v>0</v>
      </c>
      <c r="R732" s="4" t="n">
        <v>1000</v>
      </c>
      <c r="S732" s="4" t="n">
        <v>150</v>
      </c>
      <c r="T732" s="4" t="n">
        <v>1</v>
      </c>
      <c r="U732" s="2" t="inlineStr">
        <is>
          <t>Claro tv+ Box + Disney+ Amazon Prime + Netflix + HBO Max + Apple TV + Globoplay</t>
        </is>
      </c>
      <c r="V732" s="2" t="inlineStr"/>
      <c r="W732" s="2" t="inlineStr"/>
      <c r="X732" s="2" t="inlineStr">
        <is>
          <t>Pós 150GB</t>
        </is>
      </c>
      <c r="Y732" s="2" t="inlineStr">
        <is>
          <t>https://www.claro.com.br/multi</t>
        </is>
      </c>
      <c r="Z732" s="2" t="inlineStr">
        <is>
          <t>data/raw/claro_convergent_multi_SP.html</t>
        </is>
      </c>
    </row>
    <row r="733">
      <c r="A733" s="5" t="inlineStr">
        <is>
          <t>2026-09-02</t>
        </is>
      </c>
      <c r="B733" s="5" t="inlineStr">
        <is>
          <t>2026-09-02T19:57:51</t>
        </is>
      </c>
      <c r="C733" s="5" t="inlineStr">
        <is>
          <t>claro</t>
        </is>
      </c>
      <c r="D733" s="5" t="inlineStr">
        <is>
          <t>SP</t>
        </is>
      </c>
      <c r="E733" s="5" t="inlineStr">
        <is>
          <t>1 Giga com Globoplay incluso + Pós 200GB</t>
        </is>
      </c>
      <c r="F733" s="5" t="inlineStr">
        <is>
          <t>claro:1961a62d-3213-4ff0-a152-401a45c5b1b5</t>
        </is>
      </c>
      <c r="G733" s="6" t="n">
        <v>359.9</v>
      </c>
      <c r="H733" s="6" t="inlineStr"/>
      <c r="I733" s="5" t="inlineStr"/>
      <c r="J733" s="5" t="inlineStr"/>
      <c r="K733" s="5" t="inlineStr">
        <is>
          <t>tab: Fibra + Móvel</t>
        </is>
      </c>
      <c r="L733" s="5" t="inlineStr">
        <is>
          <t>mobile+broadband</t>
        </is>
      </c>
      <c r="M733" s="5" t="inlineStr">
        <is>
          <t>Fiber + Mobile</t>
        </is>
      </c>
      <c r="N733" s="5" t="b">
        <v>1</v>
      </c>
      <c r="O733" s="5" t="b">
        <v>1</v>
      </c>
      <c r="P733" s="5" t="b">
        <v>0</v>
      </c>
      <c r="Q733" s="5" t="b">
        <v>0</v>
      </c>
      <c r="R733" s="7" t="n">
        <v>1000</v>
      </c>
      <c r="S733" s="7" t="n">
        <v>200</v>
      </c>
      <c r="T733" s="7" t="n">
        <v>3</v>
      </c>
      <c r="U733" s="5" t="inlineStr"/>
      <c r="V733" s="5" t="inlineStr"/>
      <c r="W733" s="5" t="inlineStr"/>
      <c r="X733" s="5" t="inlineStr">
        <is>
          <t>Pós 200GB</t>
        </is>
      </c>
      <c r="Y733" s="5" t="inlineStr">
        <is>
          <t>https://www.claro.com.br/multi</t>
        </is>
      </c>
      <c r="Z733" s="5" t="inlineStr">
        <is>
          <t>data/raw/claro_convergent_multi_SP.html</t>
        </is>
      </c>
    </row>
    <row r="734">
      <c r="A734" s="2" t="inlineStr">
        <is>
          <t>2026-09-02</t>
        </is>
      </c>
      <c r="B734" s="2" t="inlineStr">
        <is>
          <t>2026-09-02T19:57:51</t>
        </is>
      </c>
      <c r="C734" s="2" t="inlineStr">
        <is>
          <t>claro</t>
        </is>
      </c>
      <c r="D734" s="2" t="inlineStr">
        <is>
          <t>SP</t>
        </is>
      </c>
      <c r="E734" s="2" t="inlineStr">
        <is>
          <t>1 Giga com Globoplay incluso + Pós 200GB + Claro tv+ Box + Disney+ Amazon Prime + Netflix + HBO Max + Apple TV + Globoplay</t>
        </is>
      </c>
      <c r="F734" s="2" t="inlineStr">
        <is>
          <t>claro:312815a2-b3a5-43bb-89a1-272d53ccb212</t>
        </is>
      </c>
      <c r="G734" s="3" t="n">
        <v>469.8</v>
      </c>
      <c r="H734" s="3" t="inlineStr"/>
      <c r="I734" s="2" t="inlineStr"/>
      <c r="J734" s="2" t="inlineStr"/>
      <c r="K734" s="2" t="inlineStr">
        <is>
          <t>tab: Fibra + Móvel + TV</t>
        </is>
      </c>
      <c r="L734" s="2" t="inlineStr">
        <is>
          <t>mobile+broadband+tv</t>
        </is>
      </c>
      <c r="M734" s="2" t="inlineStr">
        <is>
          <t>Fiber + Mobile + TV</t>
        </is>
      </c>
      <c r="N734" s="2" t="b">
        <v>1</v>
      </c>
      <c r="O734" s="2" t="b">
        <v>1</v>
      </c>
      <c r="P734" s="2" t="b">
        <v>1</v>
      </c>
      <c r="Q734" s="2" t="b">
        <v>0</v>
      </c>
      <c r="R734" s="4" t="n">
        <v>1000</v>
      </c>
      <c r="S734" s="4" t="n">
        <v>200</v>
      </c>
      <c r="T734" s="4" t="n">
        <v>1</v>
      </c>
      <c r="U734" s="2" t="inlineStr">
        <is>
          <t>Claro tv+ Box + Disney+ Amazon Prime + Netflix + HBO Max + Apple TV + Globoplay</t>
        </is>
      </c>
      <c r="V734" s="2" t="inlineStr"/>
      <c r="W734" s="2" t="inlineStr"/>
      <c r="X734" s="2" t="inlineStr">
        <is>
          <t>Pós 200GB</t>
        </is>
      </c>
      <c r="Y734" s="2" t="inlineStr">
        <is>
          <t>https://www.claro.com.br/multi</t>
        </is>
      </c>
      <c r="Z734" s="2" t="inlineStr">
        <is>
          <t>data/raw/claro_convergent_multi_SP.html</t>
        </is>
      </c>
    </row>
    <row r="735">
      <c r="A735" s="5" t="inlineStr">
        <is>
          <t>2026-09-02</t>
        </is>
      </c>
      <c r="B735" s="5" t="inlineStr">
        <is>
          <t>2026-09-02T19:57:51</t>
        </is>
      </c>
      <c r="C735" s="5" t="inlineStr">
        <is>
          <t>claro</t>
        </is>
      </c>
      <c r="D735" s="5" t="inlineStr">
        <is>
          <t>SP</t>
        </is>
      </c>
      <c r="E735" s="5" t="inlineStr">
        <is>
          <t>350 Mega com Globoplay incluso + Claro tv+ Box + Disney+ Amazon Prime + Netflix + HBO Max + Apple TV + Globoplay</t>
        </is>
      </c>
      <c r="F735" s="5" t="inlineStr">
        <is>
          <t>claro:97b00450-6f21-4349-8363-83d624b18328</t>
        </is>
      </c>
      <c r="G735" s="6" t="n">
        <v>229.8</v>
      </c>
      <c r="H735" s="6" t="inlineStr"/>
      <c r="I735" s="5" t="inlineStr"/>
      <c r="J735" s="5" t="inlineStr"/>
      <c r="K735" s="5" t="inlineStr">
        <is>
          <t>tab: Fibra + TV</t>
        </is>
      </c>
      <c r="L735" s="5" t="inlineStr">
        <is>
          <t>broadband+tv</t>
        </is>
      </c>
      <c r="M735" s="5" t="inlineStr">
        <is>
          <t>Fiber + TV</t>
        </is>
      </c>
      <c r="N735" s="5" t="b">
        <v>0</v>
      </c>
      <c r="O735" s="5" t="b">
        <v>1</v>
      </c>
      <c r="P735" s="5" t="b">
        <v>1</v>
      </c>
      <c r="Q735" s="5" t="b">
        <v>0</v>
      </c>
      <c r="R735" s="7" t="n">
        <v>350</v>
      </c>
      <c r="S735" s="7" t="inlineStr"/>
      <c r="T735" s="7" t="inlineStr"/>
      <c r="U735" s="5" t="inlineStr">
        <is>
          <t>Claro tv+ Box + Disney+ Amazon Prime + Netflix + HBO Max + Apple TV + Globoplay</t>
        </is>
      </c>
      <c r="V735" s="5" t="inlineStr"/>
      <c r="W735" s="5" t="inlineStr"/>
      <c r="X735" s="5" t="inlineStr"/>
      <c r="Y735" s="5" t="inlineStr">
        <is>
          <t>https://www.claro.com.br/multi</t>
        </is>
      </c>
      <c r="Z735" s="5" t="inlineStr">
        <is>
          <t>data/raw/claro_convergent_multi_SP.html</t>
        </is>
      </c>
    </row>
    <row r="736">
      <c r="A736" s="2" t="inlineStr">
        <is>
          <t>2026-09-02</t>
        </is>
      </c>
      <c r="B736" s="2" t="inlineStr">
        <is>
          <t>2026-09-02T19:57:51</t>
        </is>
      </c>
      <c r="C736" s="2" t="inlineStr">
        <is>
          <t>claro</t>
        </is>
      </c>
      <c r="D736" s="2" t="inlineStr">
        <is>
          <t>SP</t>
        </is>
      </c>
      <c r="E736" s="2" t="inlineStr">
        <is>
          <t>350 Mega com Globoplay incluso + Controle 40GB</t>
        </is>
      </c>
      <c r="F736" s="2" t="inlineStr">
        <is>
          <t>claro:a866ea9a-6a70-4b6e-b886-f8178086ca91</t>
        </is>
      </c>
      <c r="G736" s="3" t="n">
        <v>129.8</v>
      </c>
      <c r="H736" s="3" t="inlineStr"/>
      <c r="I736" s="2" t="inlineStr"/>
      <c r="J736" s="2" t="inlineStr">
        <is>
          <t>debit_auto</t>
        </is>
      </c>
      <c r="K736" s="2" t="inlineStr">
        <is>
          <t>tab: Fibra + Móvel; preço em débito em conta; +R$ 5.00 sem débito automático</t>
        </is>
      </c>
      <c r="L736" s="2" t="inlineStr">
        <is>
          <t>mobile+broadband</t>
        </is>
      </c>
      <c r="M736" s="2" t="inlineStr">
        <is>
          <t>Fiber + Mobile</t>
        </is>
      </c>
      <c r="N736" s="2" t="b">
        <v>1</v>
      </c>
      <c r="O736" s="2" t="b">
        <v>1</v>
      </c>
      <c r="P736" s="2" t="b">
        <v>0</v>
      </c>
      <c r="Q736" s="2" t="b">
        <v>0</v>
      </c>
      <c r="R736" s="4" t="n">
        <v>350</v>
      </c>
      <c r="S736" s="4" t="n">
        <v>40</v>
      </c>
      <c r="T736" s="4" t="n">
        <v>1</v>
      </c>
      <c r="U736" s="2" t="inlineStr"/>
      <c r="V736" s="2" t="inlineStr"/>
      <c r="W736" s="2" t="inlineStr"/>
      <c r="X736" s="2" t="inlineStr">
        <is>
          <t>Controle 40GB</t>
        </is>
      </c>
      <c r="Y736" s="2" t="inlineStr">
        <is>
          <t>https://www.claro.com.br/multi</t>
        </is>
      </c>
      <c r="Z736" s="2" t="inlineStr">
        <is>
          <t>data/raw/claro_convergent_multi_SP.html</t>
        </is>
      </c>
    </row>
    <row r="737">
      <c r="A737" s="5" t="inlineStr">
        <is>
          <t>2026-09-02</t>
        </is>
      </c>
      <c r="B737" s="5" t="inlineStr">
        <is>
          <t>2026-09-02T19:57:51</t>
        </is>
      </c>
      <c r="C737" s="5" t="inlineStr">
        <is>
          <t>claro</t>
        </is>
      </c>
      <c r="D737" s="5" t="inlineStr">
        <is>
          <t>SP</t>
        </is>
      </c>
      <c r="E737" s="5" t="inlineStr">
        <is>
          <t>350 Mega com Globoplay incluso + Pós 100GB + Claro tv+ Box + Disney+ Amazon Prime + Netflix + HBO Max + Apple TV + Globoplay</t>
        </is>
      </c>
      <c r="F737" s="5" t="inlineStr">
        <is>
          <t>claro:746fa9cf-ea2b-40de-ad2c-5803b3e0ab08</t>
        </is>
      </c>
      <c r="G737" s="6" t="n">
        <v>249.8</v>
      </c>
      <c r="H737" s="6" t="inlineStr"/>
      <c r="I737" s="5" t="inlineStr"/>
      <c r="J737" s="5" t="inlineStr"/>
      <c r="K737" s="5" t="inlineStr">
        <is>
          <t>tab: Fibra + Móvel + TV</t>
        </is>
      </c>
      <c r="L737" s="5" t="inlineStr">
        <is>
          <t>mobile+broadband+tv</t>
        </is>
      </c>
      <c r="M737" s="5" t="inlineStr">
        <is>
          <t>Fiber + Mobile + TV</t>
        </is>
      </c>
      <c r="N737" s="5" t="b">
        <v>1</v>
      </c>
      <c r="O737" s="5" t="b">
        <v>1</v>
      </c>
      <c r="P737" s="5" t="b">
        <v>1</v>
      </c>
      <c r="Q737" s="5" t="b">
        <v>0</v>
      </c>
      <c r="R737" s="7" t="n">
        <v>350</v>
      </c>
      <c r="S737" s="7" t="n">
        <v>100</v>
      </c>
      <c r="T737" s="7" t="n">
        <v>1</v>
      </c>
      <c r="U737" s="5" t="inlineStr">
        <is>
          <t>Claro tv+ Box + Disney+ Amazon Prime + Netflix + HBO Max + Apple TV + Globoplay</t>
        </is>
      </c>
      <c r="V737" s="5" t="inlineStr"/>
      <c r="W737" s="5" t="inlineStr"/>
      <c r="X737" s="5" t="inlineStr">
        <is>
          <t>Pós 100GB</t>
        </is>
      </c>
      <c r="Y737" s="5" t="inlineStr">
        <is>
          <t>https://www.claro.com.br/multi</t>
        </is>
      </c>
      <c r="Z737" s="5" t="inlineStr">
        <is>
          <t>data/raw/claro_convergent_multi_SP.html</t>
        </is>
      </c>
    </row>
    <row r="738">
      <c r="A738" s="2" t="inlineStr">
        <is>
          <t>2026-09-02</t>
        </is>
      </c>
      <c r="B738" s="2" t="inlineStr">
        <is>
          <t>2026-09-02T19:57:51</t>
        </is>
      </c>
      <c r="C738" s="2" t="inlineStr">
        <is>
          <t>claro</t>
        </is>
      </c>
      <c r="D738" s="2" t="inlineStr">
        <is>
          <t>SP</t>
        </is>
      </c>
      <c r="E738" s="2" t="inlineStr">
        <is>
          <t>600 Mega com Globoplay incluso + Claro tv+ Box + Disney+ Amazon Prime + Netflix + HBO Max + Apple TV + Globoplay</t>
        </is>
      </c>
      <c r="F738" s="2" t="inlineStr">
        <is>
          <t>claro:545261b1-2f4d-4dab-82a6-02d9e66c5d3d</t>
        </is>
      </c>
      <c r="G738" s="3" t="n">
        <v>239.8</v>
      </c>
      <c r="H738" s="3" t="inlineStr"/>
      <c r="I738" s="2" t="inlineStr"/>
      <c r="J738" s="2" t="inlineStr"/>
      <c r="K738" s="2" t="inlineStr">
        <is>
          <t>tab: Fibra + TV</t>
        </is>
      </c>
      <c r="L738" s="2" t="inlineStr">
        <is>
          <t>broadband+tv</t>
        </is>
      </c>
      <c r="M738" s="2" t="inlineStr">
        <is>
          <t>Fiber + TV</t>
        </is>
      </c>
      <c r="N738" s="2" t="b">
        <v>0</v>
      </c>
      <c r="O738" s="2" t="b">
        <v>1</v>
      </c>
      <c r="P738" s="2" t="b">
        <v>1</v>
      </c>
      <c r="Q738" s="2" t="b">
        <v>0</v>
      </c>
      <c r="R738" s="4" t="n">
        <v>600</v>
      </c>
      <c r="S738" s="4" t="inlineStr"/>
      <c r="T738" s="4" t="inlineStr"/>
      <c r="U738" s="2" t="inlineStr">
        <is>
          <t>Claro tv+ Box + Disney+ Amazon Prime + Netflix + HBO Max + Apple TV + Globoplay</t>
        </is>
      </c>
      <c r="V738" s="2" t="inlineStr"/>
      <c r="W738" s="2" t="inlineStr"/>
      <c r="X738" s="2" t="inlineStr"/>
      <c r="Y738" s="2" t="inlineStr">
        <is>
          <t>https://www.claro.com.br/multi</t>
        </is>
      </c>
      <c r="Z738" s="2" t="inlineStr">
        <is>
          <t>data/raw/claro_convergent_multi_SP.html</t>
        </is>
      </c>
    </row>
    <row r="739">
      <c r="A739" s="5" t="inlineStr">
        <is>
          <t>2026-09-02</t>
        </is>
      </c>
      <c r="B739" s="5" t="inlineStr">
        <is>
          <t>2026-09-02T19:57:51</t>
        </is>
      </c>
      <c r="C739" s="5" t="inlineStr">
        <is>
          <t>claro</t>
        </is>
      </c>
      <c r="D739" s="5" t="inlineStr">
        <is>
          <t>SP</t>
        </is>
      </c>
      <c r="E739" s="5" t="inlineStr">
        <is>
          <t>600 Mega com Globoplay incluso + Pós 100GB</t>
        </is>
      </c>
      <c r="F739" s="5" t="inlineStr">
        <is>
          <t>claro:350ac58a-533c-4858-83be-be3ea39c8874</t>
        </is>
      </c>
      <c r="G739" s="6" t="n">
        <v>159.9</v>
      </c>
      <c r="H739" s="6" t="inlineStr"/>
      <c r="I739" s="5" t="inlineStr"/>
      <c r="J739" s="5" t="inlineStr"/>
      <c r="K739" s="5" t="inlineStr">
        <is>
          <t>tab: Fibra + Móvel</t>
        </is>
      </c>
      <c r="L739" s="5" t="inlineStr">
        <is>
          <t>mobile+broadband</t>
        </is>
      </c>
      <c r="M739" s="5" t="inlineStr">
        <is>
          <t>Fiber + Mobile</t>
        </is>
      </c>
      <c r="N739" s="5" t="b">
        <v>1</v>
      </c>
      <c r="O739" s="5" t="b">
        <v>1</v>
      </c>
      <c r="P739" s="5" t="b">
        <v>0</v>
      </c>
      <c r="Q739" s="5" t="b">
        <v>0</v>
      </c>
      <c r="R739" s="7" t="n">
        <v>600</v>
      </c>
      <c r="S739" s="7" t="n">
        <v>100</v>
      </c>
      <c r="T739" s="7" t="n">
        <v>1</v>
      </c>
      <c r="U739" s="5" t="inlineStr"/>
      <c r="V739" s="5" t="inlineStr"/>
      <c r="W739" s="5" t="inlineStr"/>
      <c r="X739" s="5" t="inlineStr">
        <is>
          <t>Pós 100GB</t>
        </is>
      </c>
      <c r="Y739" s="5" t="inlineStr">
        <is>
          <t>https://www.claro.com.br/multi</t>
        </is>
      </c>
      <c r="Z739" s="5" t="inlineStr">
        <is>
          <t>data/raw/claro_convergent_multi_SP.html</t>
        </is>
      </c>
    </row>
    <row r="740">
      <c r="A740" s="2" t="inlineStr">
        <is>
          <t>2026-09-02</t>
        </is>
      </c>
      <c r="B740" s="2" t="inlineStr">
        <is>
          <t>2026-09-02T19:57:51</t>
        </is>
      </c>
      <c r="C740" s="2" t="inlineStr">
        <is>
          <t>claro</t>
        </is>
      </c>
      <c r="D740" s="2" t="inlineStr">
        <is>
          <t>SP</t>
        </is>
      </c>
      <c r="E740" s="2" t="inlineStr">
        <is>
          <t>600 Mega com Globoplay incluso + Pós 100GB + Claro tv+ Box + Disney+ Amazon Prime + Netflix + HBO Max + Apple TV + Globoplay</t>
        </is>
      </c>
      <c r="F740" s="2" t="inlineStr">
        <is>
          <t>claro:f36e7dfb-f7c9-4055-844f-7bc101699de8</t>
        </is>
      </c>
      <c r="G740" s="3" t="n">
        <v>269.8</v>
      </c>
      <c r="H740" s="3" t="inlineStr"/>
      <c r="I740" s="2" t="inlineStr"/>
      <c r="J740" s="2" t="inlineStr"/>
      <c r="K740" s="2" t="inlineStr">
        <is>
          <t>tab: Fibra + Móvel + TV</t>
        </is>
      </c>
      <c r="L740" s="2" t="inlineStr">
        <is>
          <t>mobile+broadband+tv</t>
        </is>
      </c>
      <c r="M740" s="2" t="inlineStr">
        <is>
          <t>Fiber + Mobile + TV</t>
        </is>
      </c>
      <c r="N740" s="2" t="b">
        <v>1</v>
      </c>
      <c r="O740" s="2" t="b">
        <v>1</v>
      </c>
      <c r="P740" s="2" t="b">
        <v>1</v>
      </c>
      <c r="Q740" s="2" t="b">
        <v>0</v>
      </c>
      <c r="R740" s="4" t="n">
        <v>600</v>
      </c>
      <c r="S740" s="4" t="n">
        <v>100</v>
      </c>
      <c r="T740" s="4" t="n">
        <v>1</v>
      </c>
      <c r="U740" s="2" t="inlineStr">
        <is>
          <t>Claro tv+ Box + Disney+ Amazon Prime + Netflix + HBO Max + Apple TV + Globoplay</t>
        </is>
      </c>
      <c r="V740" s="2" t="inlineStr"/>
      <c r="W740" s="2" t="inlineStr"/>
      <c r="X740" s="2" t="inlineStr">
        <is>
          <t>Pós 100GB</t>
        </is>
      </c>
      <c r="Y740" s="2" t="inlineStr">
        <is>
          <t>https://www.claro.com.br/multi</t>
        </is>
      </c>
      <c r="Z740" s="2" t="inlineStr">
        <is>
          <t>data/raw/claro_convergent_multi_SP.html</t>
        </is>
      </c>
    </row>
    <row r="741">
      <c r="A741" s="5" t="inlineStr">
        <is>
          <t>2026-09-02</t>
        </is>
      </c>
      <c r="B741" s="5" t="inlineStr">
        <is>
          <t>2026-09-02T19:57:51</t>
        </is>
      </c>
      <c r="C741" s="5" t="inlineStr">
        <is>
          <t>tim</t>
        </is>
      </c>
      <c r="D741" s="5" t="inlineStr">
        <is>
          <t>SP</t>
        </is>
      </c>
      <c r="E741" s="5" t="inlineStr">
        <is>
          <t>TIM Ultracombo 5</t>
        </is>
      </c>
      <c r="F741" s="5" t="inlineStr">
        <is>
          <t>tim:167756</t>
        </is>
      </c>
      <c r="G741" s="6" t="n">
        <v>169.99</v>
      </c>
      <c r="H741" s="6" t="inlineStr"/>
      <c r="I741" s="5" t="inlineStr"/>
      <c r="J741" s="5" t="inlineStr">
        <is>
          <t>debit_auto</t>
        </is>
      </c>
      <c r="K741" s="5" t="inlineStr">
        <is>
          <t>preço em débito automático; R$ 179,99/mês no pagamento por fatura</t>
        </is>
      </c>
      <c r="L741" s="5" t="inlineStr">
        <is>
          <t>mobile+broadband</t>
        </is>
      </c>
      <c r="M741" s="5" t="inlineStr">
        <is>
          <t>Fiber + Mobile</t>
        </is>
      </c>
      <c r="N741" s="5" t="b">
        <v>1</v>
      </c>
      <c r="O741" s="5" t="b">
        <v>1</v>
      </c>
      <c r="P741" s="5" t="b">
        <v>0</v>
      </c>
      <c r="Q741" s="5" t="b">
        <v>0</v>
      </c>
      <c r="R741" s="7" t="n">
        <v>1000</v>
      </c>
      <c r="S741" s="7" t="n">
        <v>115</v>
      </c>
      <c r="T741" s="7" t="n">
        <v>1</v>
      </c>
      <c r="U741" s="5" t="inlineStr"/>
      <c r="V741" s="5" t="inlineStr">
        <is>
          <t>Paramount+, Deezer</t>
        </is>
      </c>
      <c r="W741" s="5" t="inlineStr"/>
      <c r="X741" s="5" t="inlineStr">
        <is>
          <t>1GIGA de Ultrafibra para casa + 115GB de TIM Black C Hero para móvel: (25GB do plano + 40GB promo + 50GB bônus especial)</t>
        </is>
      </c>
      <c r="Y741" s="5" t="inlineStr">
        <is>
          <t>https://www.tim.com.br/sp/internet/tim-ultracombo</t>
        </is>
      </c>
      <c r="Z741" s="5" t="inlineStr">
        <is>
          <t>data/raw/tim_convergent_ultracombo_SP.html</t>
        </is>
      </c>
    </row>
    <row r="742">
      <c r="A742" s="2" t="inlineStr">
        <is>
          <t>2026-09-02</t>
        </is>
      </c>
      <c r="B742" s="2" t="inlineStr">
        <is>
          <t>2026-09-02T19:57:51</t>
        </is>
      </c>
      <c r="C742" s="2" t="inlineStr">
        <is>
          <t>tim</t>
        </is>
      </c>
      <c r="D742" s="2" t="inlineStr">
        <is>
          <t>SP</t>
        </is>
      </c>
      <c r="E742" s="2" t="inlineStr">
        <is>
          <t>TIM Ultracombo 6</t>
        </is>
      </c>
      <c r="F742" s="2" t="inlineStr">
        <is>
          <t>tim:167751</t>
        </is>
      </c>
      <c r="G742" s="3" t="n">
        <v>139.99</v>
      </c>
      <c r="H742" s="3" t="inlineStr"/>
      <c r="I742" s="2" t="inlineStr"/>
      <c r="J742" s="2" t="inlineStr">
        <is>
          <t>debit_auto</t>
        </is>
      </c>
      <c r="K742" s="2" t="inlineStr">
        <is>
          <t>preço em débito automático; R$ 149,99/mês no pagamento por fatura</t>
        </is>
      </c>
      <c r="L742" s="2" t="inlineStr">
        <is>
          <t>mobile+broadband</t>
        </is>
      </c>
      <c r="M742" s="2" t="inlineStr">
        <is>
          <t>Fiber + Mobile</t>
        </is>
      </c>
      <c r="N742" s="2" t="b">
        <v>1</v>
      </c>
      <c r="O742" s="2" t="b">
        <v>1</v>
      </c>
      <c r="P742" s="2" t="b">
        <v>0</v>
      </c>
      <c r="Q742" s="2" t="b">
        <v>0</v>
      </c>
      <c r="R742" s="4" t="n">
        <v>1000</v>
      </c>
      <c r="S742" s="4" t="n">
        <v>70</v>
      </c>
      <c r="T742" s="4" t="n">
        <v>1</v>
      </c>
      <c r="U742" s="2" t="inlineStr"/>
      <c r="V742" s="2" t="inlineStr">
        <is>
          <t>Paramount+, Deezer</t>
        </is>
      </c>
      <c r="W742" s="2" t="inlineStr"/>
      <c r="X742" s="2" t="inlineStr">
        <is>
          <t>1GIGA de Ultrafibra para casa + 70GB de TIM Black A para móvel: (15GB do plano + 50GB promo + 5GB bônus especial)</t>
        </is>
      </c>
      <c r="Y742" s="2" t="inlineStr">
        <is>
          <t>https://www.tim.com.br/sp/internet/tim-ultracombo</t>
        </is>
      </c>
      <c r="Z742" s="2" t="inlineStr">
        <is>
          <t>data/raw/tim_convergent_ultracombo_SP.html</t>
        </is>
      </c>
    </row>
    <row r="743">
      <c r="A743" s="5" t="inlineStr">
        <is>
          <t>2026-09-02</t>
        </is>
      </c>
      <c r="B743" s="5" t="inlineStr">
        <is>
          <t>2026-09-02T19:57:51</t>
        </is>
      </c>
      <c r="C743" s="5" t="inlineStr">
        <is>
          <t>tim</t>
        </is>
      </c>
      <c r="D743" s="5" t="inlineStr">
        <is>
          <t>SP</t>
        </is>
      </c>
      <c r="E743" s="5" t="inlineStr">
        <is>
          <t>TIM Ultracombo 7</t>
        </is>
      </c>
      <c r="F743" s="5" t="inlineStr">
        <is>
          <t>tim:167761</t>
        </is>
      </c>
      <c r="G743" s="6" t="n">
        <v>89.98999999999999</v>
      </c>
      <c r="H743" s="6" t="inlineStr"/>
      <c r="I743" s="5" t="inlineStr"/>
      <c r="J743" s="5" t="inlineStr">
        <is>
          <t>debit_auto</t>
        </is>
      </c>
      <c r="K743" s="5" t="inlineStr">
        <is>
          <t>preço em débito automático; R$ 99,99/mês no pagamento por fatura</t>
        </is>
      </c>
      <c r="L743" s="5" t="inlineStr">
        <is>
          <t>mobile+broadband</t>
        </is>
      </c>
      <c r="M743" s="5" t="inlineStr">
        <is>
          <t>Fiber + Mobile</t>
        </is>
      </c>
      <c r="N743" s="5" t="b">
        <v>1</v>
      </c>
      <c r="O743" s="5" t="b">
        <v>1</v>
      </c>
      <c r="P743" s="5" t="b">
        <v>0</v>
      </c>
      <c r="Q743" s="5" t="b">
        <v>0</v>
      </c>
      <c r="R743" s="7" t="n">
        <v>500</v>
      </c>
      <c r="S743" s="7" t="n">
        <v>65</v>
      </c>
      <c r="T743" s="7" t="n">
        <v>1</v>
      </c>
      <c r="U743" s="5" t="inlineStr"/>
      <c r="V743" s="5" t="inlineStr"/>
      <c r="W743" s="5" t="inlineStr"/>
      <c r="X743" s="5" t="inlineStr">
        <is>
          <t>500MEGA de Ultrafibra para casa + 65GB de TIM Black A Light para móvel: (10GB do plano + 50GB promo)</t>
        </is>
      </c>
      <c r="Y743" s="5" t="inlineStr">
        <is>
          <t>https://www.tim.com.br/sp/internet/tim-ultracombo</t>
        </is>
      </c>
      <c r="Z743" s="5" t="inlineStr">
        <is>
          <t>data/raw/tim_convergent_ultracombo_SP.html</t>
        </is>
      </c>
    </row>
    <row r="744">
      <c r="A744" s="2" t="inlineStr">
        <is>
          <t>2026-09-02</t>
        </is>
      </c>
      <c r="B744" s="2" t="inlineStr">
        <is>
          <t>2026-09-02T19:57:51</t>
        </is>
      </c>
      <c r="C744" s="2" t="inlineStr">
        <is>
          <t>vivo</t>
        </is>
      </c>
      <c r="D744" s="2" t="inlineStr">
        <is>
          <t>SP</t>
        </is>
      </c>
      <c r="E744" s="2" t="inlineStr">
        <is>
          <t>Vivo Família 2 + TV</t>
        </is>
      </c>
      <c r="F744" s="2" t="inlineStr">
        <is>
          <t>vivo:VIV202604032132-3-305-316-336-408-411-426-430-442</t>
        </is>
      </c>
      <c r="G744" s="3" t="n">
        <v>290</v>
      </c>
      <c r="H744" s="3" t="inlineStr"/>
      <c r="I744" s="2" t="inlineStr"/>
      <c r="J744" s="2" t="inlineStr"/>
      <c r="K744" s="2" t="inlineStr">
        <is>
          <t>instalação grátis mediante fidelização (não afeta a mensalidade)</t>
        </is>
      </c>
      <c r="L744" s="2" t="inlineStr">
        <is>
          <t>mobile+broadband+tv</t>
        </is>
      </c>
      <c r="M744" s="2" t="inlineStr">
        <is>
          <t>Fiber + Mobile + TV</t>
        </is>
      </c>
      <c r="N744" s="2" t="b">
        <v>1</v>
      </c>
      <c r="O744" s="2" t="b">
        <v>1</v>
      </c>
      <c r="P744" s="2" t="b">
        <v>1</v>
      </c>
      <c r="Q744" s="2" t="b">
        <v>0</v>
      </c>
      <c r="R744" s="4" t="n">
        <v>700</v>
      </c>
      <c r="S744" s="4" t="n">
        <v>120</v>
      </c>
      <c r="T744" s="4" t="n">
        <v>2</v>
      </c>
      <c r="U744" s="2" t="inlineStr">
        <is>
          <t>80 canais de Vivo Estendido</t>
        </is>
      </c>
      <c r="V744" s="2" t="inlineStr"/>
      <c r="W744" s="2" t="inlineStr">
        <is>
          <t>Vivo Travel Américas e Europa; 1 linha adicional inclusa</t>
        </is>
      </c>
      <c r="X744" s="2" t="inlineStr">
        <is>
          <t>700 Mega de Vivo Fibra</t>
        </is>
      </c>
      <c r="Y744" s="2" t="inlineStr">
        <is>
          <t>https://vivo.com.br/para-voce/produtos-e-servicos/combos/vivo-total</t>
        </is>
      </c>
      <c r="Z744" s="2" t="inlineStr">
        <is>
          <t>data/raw/vivo_convergent_total_SP.html</t>
        </is>
      </c>
    </row>
    <row r="745">
      <c r="A745" s="5" t="inlineStr">
        <is>
          <t>2026-09-02</t>
        </is>
      </c>
      <c r="B745" s="5" t="inlineStr">
        <is>
          <t>2026-09-02T19:57:51</t>
        </is>
      </c>
      <c r="C745" s="5" t="inlineStr">
        <is>
          <t>vivo</t>
        </is>
      </c>
      <c r="D745" s="5" t="inlineStr">
        <is>
          <t>SP</t>
        </is>
      </c>
      <c r="E745" s="5" t="inlineStr">
        <is>
          <t>Vivo Família 2 + TV</t>
        </is>
      </c>
      <c r="F745" s="5" t="inlineStr">
        <is>
          <t>vivo:VIV202604032112-3-9-305-316-408-411-426-430-442</t>
        </is>
      </c>
      <c r="G745" s="6" t="n">
        <v>390</v>
      </c>
      <c r="H745" s="6" t="inlineStr"/>
      <c r="I745" s="5" t="inlineStr"/>
      <c r="J745" s="5" t="inlineStr"/>
      <c r="K745" s="5" t="inlineStr">
        <is>
          <t>instalação grátis mediante fidelização (não afeta a mensalidade)</t>
        </is>
      </c>
      <c r="L745" s="5" t="inlineStr">
        <is>
          <t>mobile+broadband+tv</t>
        </is>
      </c>
      <c r="M745" s="5" t="inlineStr">
        <is>
          <t>Fiber + Mobile + TV</t>
        </is>
      </c>
      <c r="N745" s="5" t="b">
        <v>1</v>
      </c>
      <c r="O745" s="5" t="b">
        <v>1</v>
      </c>
      <c r="P745" s="5" t="b">
        <v>1</v>
      </c>
      <c r="Q745" s="5" t="b">
        <v>0</v>
      </c>
      <c r="R745" s="7" t="n">
        <v>700</v>
      </c>
      <c r="S745" s="7" t="n">
        <v>120</v>
      </c>
      <c r="T745" s="7" t="n">
        <v>2</v>
      </c>
      <c r="U745" s="5" t="inlineStr">
        <is>
          <t>120 canais de Vivo TV Avançado + 1 ponto adicional</t>
        </is>
      </c>
      <c r="V745" s="5" t="inlineStr"/>
      <c r="W745" s="5" t="inlineStr">
        <is>
          <t>Vivo Travel Américas e Europa; 1 linha adicional inclusa</t>
        </is>
      </c>
      <c r="X745" s="5" t="inlineStr">
        <is>
          <t>700 Mega de Vivo Fibra</t>
        </is>
      </c>
      <c r="Y745" s="5" t="inlineStr">
        <is>
          <t>https://vivo.com.br/para-voce/produtos-e-servicos/combos/vivo-total</t>
        </is>
      </c>
      <c r="Z745" s="5" t="inlineStr">
        <is>
          <t>data/raw/vivo_convergent_total_SP.html</t>
        </is>
      </c>
    </row>
    <row r="746">
      <c r="A746" s="2" t="inlineStr">
        <is>
          <t>2026-09-02</t>
        </is>
      </c>
      <c r="B746" s="2" t="inlineStr">
        <is>
          <t>2026-09-02T19:57:51</t>
        </is>
      </c>
      <c r="C746" s="2" t="inlineStr">
        <is>
          <t>vivo</t>
        </is>
      </c>
      <c r="D746" s="2" t="inlineStr">
        <is>
          <t>SP</t>
        </is>
      </c>
      <c r="E746" s="2" t="inlineStr">
        <is>
          <t>Vivo Total Família 2</t>
        </is>
      </c>
      <c r="F746" s="2" t="inlineStr">
        <is>
          <t>vivo:VIV202604032132-3-305-316-408-411-426-430-442</t>
        </is>
      </c>
      <c r="G746" s="3" t="n">
        <v>270</v>
      </c>
      <c r="H746" s="3" t="inlineStr"/>
      <c r="I746" s="2" t="inlineStr"/>
      <c r="J746" s="2" t="inlineStr"/>
      <c r="K746" s="2" t="inlineStr">
        <is>
          <t>instalação grátis mediante fidelização (não afeta a mensalidade)</t>
        </is>
      </c>
      <c r="L746" s="2" t="inlineStr">
        <is>
          <t>mobile+broadband</t>
        </is>
      </c>
      <c r="M746" s="2" t="inlineStr">
        <is>
          <t>Fiber + Mobile</t>
        </is>
      </c>
      <c r="N746" s="2" t="b">
        <v>1</v>
      </c>
      <c r="O746" s="2" t="b">
        <v>1</v>
      </c>
      <c r="P746" s="2" t="b">
        <v>0</v>
      </c>
      <c r="Q746" s="2" t="b">
        <v>0</v>
      </c>
      <c r="R746" s="4" t="n">
        <v>700</v>
      </c>
      <c r="S746" s="4" t="n">
        <v>120</v>
      </c>
      <c r="T746" s="4" t="n">
        <v>2</v>
      </c>
      <c r="U746" s="2" t="inlineStr"/>
      <c r="V746" s="2" t="inlineStr"/>
      <c r="W746" s="2" t="inlineStr">
        <is>
          <t>Vivo Travel Américas e Europa; 1 linha adicional inclusa</t>
        </is>
      </c>
      <c r="X746" s="2" t="inlineStr">
        <is>
          <t>700 Mega de Vivo Fibra</t>
        </is>
      </c>
      <c r="Y746" s="2" t="inlineStr">
        <is>
          <t>https://vivo.com.br/para-voce/produtos-e-servicos/combos/vivo-total</t>
        </is>
      </c>
      <c r="Z746" s="2" t="inlineStr">
        <is>
          <t>data/raw/vivo_convergent_total_SP.html</t>
        </is>
      </c>
    </row>
    <row r="747">
      <c r="A747" s="5" t="inlineStr">
        <is>
          <t>2026-09-02</t>
        </is>
      </c>
      <c r="B747" s="5" t="inlineStr">
        <is>
          <t>2026-09-02T19:57:51</t>
        </is>
      </c>
      <c r="C747" s="5" t="inlineStr">
        <is>
          <t>vivo</t>
        </is>
      </c>
      <c r="D747" s="5" t="inlineStr">
        <is>
          <t>SP</t>
        </is>
      </c>
      <c r="E747" s="5" t="inlineStr">
        <is>
          <t>Vivo Total Família 3</t>
        </is>
      </c>
      <c r="F747" s="5" t="inlineStr">
        <is>
          <t>vivo:VIV202604032212-4-305-316-408-411-426-430-442</t>
        </is>
      </c>
      <c r="G747" s="6" t="n">
        <v>330</v>
      </c>
      <c r="H747" s="6" t="inlineStr"/>
      <c r="I747" s="5" t="inlineStr"/>
      <c r="J747" s="5" t="inlineStr"/>
      <c r="K747" s="5" t="inlineStr">
        <is>
          <t>instalação grátis mediante fidelização (não afeta a mensalidade)</t>
        </is>
      </c>
      <c r="L747" s="5" t="inlineStr">
        <is>
          <t>mobile+broadband</t>
        </is>
      </c>
      <c r="M747" s="5" t="inlineStr">
        <is>
          <t>Fiber + Mobile</t>
        </is>
      </c>
      <c r="N747" s="5" t="b">
        <v>1</v>
      </c>
      <c r="O747" s="5" t="b">
        <v>1</v>
      </c>
      <c r="P747" s="5" t="b">
        <v>0</v>
      </c>
      <c r="Q747" s="5" t="b">
        <v>0</v>
      </c>
      <c r="R747" s="7" t="n">
        <v>700</v>
      </c>
      <c r="S747" s="7" t="n">
        <v>180</v>
      </c>
      <c r="T747" s="7" t="n">
        <v>3</v>
      </c>
      <c r="U747" s="5" t="inlineStr"/>
      <c r="V747" s="5" t="inlineStr"/>
      <c r="W747" s="5" t="inlineStr">
        <is>
          <t>Vivo Travel Américas e Europa; 2 linhas adicionais inclusas</t>
        </is>
      </c>
      <c r="X747" s="5" t="inlineStr">
        <is>
          <t>700 Mega de Vivo Fibra</t>
        </is>
      </c>
      <c r="Y747" s="5" t="inlineStr">
        <is>
          <t>https://vivo.com.br/para-voce/produtos-e-servicos/combos/vivo-total</t>
        </is>
      </c>
      <c r="Z747" s="5" t="inlineStr">
        <is>
          <t>data/raw/vivo_convergent_total_SP.html</t>
        </is>
      </c>
    </row>
    <row r="748">
      <c r="A748" s="2" t="inlineStr">
        <is>
          <t>2026-09-02</t>
        </is>
      </c>
      <c r="B748" s="2" t="inlineStr">
        <is>
          <t>2026-09-02T19:57:51</t>
        </is>
      </c>
      <c r="C748" s="2" t="inlineStr">
        <is>
          <t>vivo</t>
        </is>
      </c>
      <c r="D748" s="2" t="inlineStr">
        <is>
          <t>SP</t>
        </is>
      </c>
      <c r="E748" s="2" t="inlineStr">
        <is>
          <t>Vivo Total Família 4</t>
        </is>
      </c>
      <c r="F748" s="2" t="inlineStr">
        <is>
          <t>vivo:VIV202604032292-237-305-316-408-411-426-430-442</t>
        </is>
      </c>
      <c r="G748" s="3" t="n">
        <v>420</v>
      </c>
      <c r="H748" s="3" t="inlineStr"/>
      <c r="I748" s="2" t="inlineStr"/>
      <c r="J748" s="2" t="inlineStr"/>
      <c r="K748" s="2" t="inlineStr">
        <is>
          <t>instalação grátis mediante fidelização (não afeta a mensalidade)</t>
        </is>
      </c>
      <c r="L748" s="2" t="inlineStr">
        <is>
          <t>mobile+broadband</t>
        </is>
      </c>
      <c r="M748" s="2" t="inlineStr">
        <is>
          <t>Fiber + Mobile</t>
        </is>
      </c>
      <c r="N748" s="2" t="b">
        <v>1</v>
      </c>
      <c r="O748" s="2" t="b">
        <v>1</v>
      </c>
      <c r="P748" s="2" t="b">
        <v>0</v>
      </c>
      <c r="Q748" s="2" t="b">
        <v>0</v>
      </c>
      <c r="R748" s="4" t="n">
        <v>700</v>
      </c>
      <c r="S748" s="4" t="n">
        <v>240</v>
      </c>
      <c r="T748" s="4" t="n">
        <v>4</v>
      </c>
      <c r="U748" s="2" t="inlineStr"/>
      <c r="V748" s="2" t="inlineStr"/>
      <c r="W748" s="2" t="inlineStr">
        <is>
          <t>Vivo Travel Américas e Europa; 3 linhas adicionais inclusas</t>
        </is>
      </c>
      <c r="X748" s="2" t="inlineStr">
        <is>
          <t>700 Mega de Vivo Fibra</t>
        </is>
      </c>
      <c r="Y748" s="2" t="inlineStr">
        <is>
          <t>https://vivo.com.br/para-voce/produtos-e-servicos/combos/vivo-total</t>
        </is>
      </c>
      <c r="Z748" s="2" t="inlineStr">
        <is>
          <t>data/raw/vivo_convergent_total_SP.html</t>
        </is>
      </c>
    </row>
    <row r="749">
      <c r="A749" s="5" t="inlineStr">
        <is>
          <t>2026-09-02</t>
        </is>
      </c>
      <c r="B749" s="5" t="inlineStr">
        <is>
          <t>2026-09-02T19:57:51</t>
        </is>
      </c>
      <c r="C749" s="5" t="inlineStr">
        <is>
          <t>vivo</t>
        </is>
      </c>
      <c r="D749" s="5" t="inlineStr">
        <is>
          <t>SP</t>
        </is>
      </c>
      <c r="E749" s="5" t="inlineStr">
        <is>
          <t>Vivo Total Família 5</t>
        </is>
      </c>
      <c r="F749" s="5" t="inlineStr">
        <is>
          <t>vivo:VIV202604032372-5-305-316-408-411-426-430-442</t>
        </is>
      </c>
      <c r="G749" s="6" t="n">
        <v>520</v>
      </c>
      <c r="H749" s="6" t="inlineStr"/>
      <c r="I749" s="5" t="inlineStr"/>
      <c r="J749" s="5" t="inlineStr"/>
      <c r="K749" s="5" t="inlineStr">
        <is>
          <t>instalação grátis mediante fidelização (não afeta a mensalidade)</t>
        </is>
      </c>
      <c r="L749" s="5" t="inlineStr">
        <is>
          <t>mobile+broadband</t>
        </is>
      </c>
      <c r="M749" s="5" t="inlineStr">
        <is>
          <t>Fiber + Mobile</t>
        </is>
      </c>
      <c r="N749" s="5" t="b">
        <v>1</v>
      </c>
      <c r="O749" s="5" t="b">
        <v>1</v>
      </c>
      <c r="P749" s="5" t="b">
        <v>0</v>
      </c>
      <c r="Q749" s="5" t="b">
        <v>0</v>
      </c>
      <c r="R749" s="7" t="n">
        <v>700</v>
      </c>
      <c r="S749" s="7" t="n">
        <v>300</v>
      </c>
      <c r="T749" s="7" t="n">
        <v>5</v>
      </c>
      <c r="U749" s="5" t="inlineStr"/>
      <c r="V749" s="5" t="inlineStr"/>
      <c r="W749" s="5" t="inlineStr">
        <is>
          <t>Vivo Travel Américas e Europa; 4 linhas adicionais inclusas</t>
        </is>
      </c>
      <c r="X749" s="5" t="inlineStr">
        <is>
          <t>700 Mega de Vivo Fibra</t>
        </is>
      </c>
      <c r="Y749" s="5" t="inlineStr">
        <is>
          <t>https://vivo.com.br/para-voce/produtos-e-servicos/combos/vivo-total</t>
        </is>
      </c>
      <c r="Z749" s="5" t="inlineStr">
        <is>
          <t>data/raw/vivo_convergent_total_SP.html</t>
        </is>
      </c>
    </row>
    <row r="750">
      <c r="A750" s="2" t="inlineStr">
        <is>
          <t>2026-09-02</t>
        </is>
      </c>
      <c r="B750" s="2" t="inlineStr">
        <is>
          <t>2026-09-02T19:57:51</t>
        </is>
      </c>
      <c r="C750" s="2" t="inlineStr">
        <is>
          <t>vivo</t>
        </is>
      </c>
      <c r="D750" s="2" t="inlineStr">
        <is>
          <t>SP</t>
        </is>
      </c>
      <c r="E750" s="2" t="inlineStr">
        <is>
          <t>Vivo Total Pro</t>
        </is>
      </c>
      <c r="F750" s="2" t="inlineStr">
        <is>
          <t>vivo:VIV202604031772-2-305-308-316-326-342-411-430</t>
        </is>
      </c>
      <c r="G750" s="3" t="n">
        <v>160</v>
      </c>
      <c r="H750" s="3" t="inlineStr"/>
      <c r="I750" s="2" t="inlineStr"/>
      <c r="J750" s="2" t="inlineStr"/>
      <c r="K750" s="2" t="inlineStr">
        <is>
          <t>instalação grátis mediante fidelização (não afeta a mensalidade)</t>
        </is>
      </c>
      <c r="L750" s="2" t="inlineStr">
        <is>
          <t>mobile+broadband</t>
        </is>
      </c>
      <c r="M750" s="2" t="inlineStr">
        <is>
          <t>Fiber + Mobile</t>
        </is>
      </c>
      <c r="N750" s="2" t="b">
        <v>1</v>
      </c>
      <c r="O750" s="2" t="b">
        <v>1</v>
      </c>
      <c r="P750" s="2" t="b">
        <v>0</v>
      </c>
      <c r="Q750" s="2" t="b">
        <v>0</v>
      </c>
      <c r="R750" s="4" t="n">
        <v>500</v>
      </c>
      <c r="S750" s="4" t="n">
        <v>70</v>
      </c>
      <c r="T750" s="4" t="n">
        <v>1</v>
      </c>
      <c r="U750" s="2" t="inlineStr"/>
      <c r="V750" s="2" t="inlineStr"/>
      <c r="W750" s="2" t="inlineStr">
        <is>
          <t>Vivo Travel Américas; 50 GB de franquia + 20 GB de bônus</t>
        </is>
      </c>
      <c r="X750" s="2" t="inlineStr">
        <is>
          <t>500 Mega de Vivo Fibra</t>
        </is>
      </c>
      <c r="Y750" s="2" t="inlineStr">
        <is>
          <t>https://vivo.com.br/para-voce/produtos-e-servicos/combos/vivo-total</t>
        </is>
      </c>
      <c r="Z750" s="2" t="inlineStr">
        <is>
          <t>data/raw/vivo_convergent_total_SP.html</t>
        </is>
      </c>
    </row>
    <row r="751">
      <c r="A751" s="5" t="inlineStr">
        <is>
          <t>2026-09-02</t>
        </is>
      </c>
      <c r="B751" s="5" t="inlineStr">
        <is>
          <t>2026-09-02T19:57:51</t>
        </is>
      </c>
      <c r="C751" s="5" t="inlineStr">
        <is>
          <t>vivo</t>
        </is>
      </c>
      <c r="D751" s="5" t="inlineStr">
        <is>
          <t>SP</t>
        </is>
      </c>
      <c r="E751" s="5" t="inlineStr">
        <is>
          <t>Vivo Total Ultra</t>
        </is>
      </c>
      <c r="F751" s="5" t="inlineStr">
        <is>
          <t>vivo:VIV202604032034-305-313-316-408-411-426-430-442</t>
        </is>
      </c>
      <c r="G751" s="6" t="n">
        <v>190</v>
      </c>
      <c r="H751" s="6" t="inlineStr"/>
      <c r="I751" s="5" t="inlineStr"/>
      <c r="J751" s="5" t="inlineStr"/>
      <c r="K751" s="5" t="inlineStr">
        <is>
          <t>instalação grátis mediante fidelização (não afeta a mensalidade)</t>
        </is>
      </c>
      <c r="L751" s="5" t="inlineStr">
        <is>
          <t>mobile+broadband</t>
        </is>
      </c>
      <c r="M751" s="5" t="inlineStr">
        <is>
          <t>Fiber + Mobile</t>
        </is>
      </c>
      <c r="N751" s="5" t="b">
        <v>1</v>
      </c>
      <c r="O751" s="5" t="b">
        <v>1</v>
      </c>
      <c r="P751" s="5" t="b">
        <v>0</v>
      </c>
      <c r="Q751" s="5" t="b">
        <v>0</v>
      </c>
      <c r="R751" s="7" t="n">
        <v>700</v>
      </c>
      <c r="S751" s="7" t="n">
        <v>80</v>
      </c>
      <c r="T751" s="7" t="n">
        <v>1</v>
      </c>
      <c r="U751" s="5" t="inlineStr"/>
      <c r="V751" s="5" t="inlineStr"/>
      <c r="W751" s="5" t="inlineStr">
        <is>
          <t>Vivo Travel Américas; 70 GB de franquia + 10 GB de bônus</t>
        </is>
      </c>
      <c r="X751" s="5" t="inlineStr">
        <is>
          <t>700 Mega de Vivo Fibra</t>
        </is>
      </c>
      <c r="Y751" s="5" t="inlineStr">
        <is>
          <t>https://vivo.com.br/para-voce/produtos-e-servicos/combos/vivo-total</t>
        </is>
      </c>
      <c r="Z751" s="5" t="inlineStr">
        <is>
          <t>data/raw/vivo_convergent_total_SP.html</t>
        </is>
      </c>
    </row>
    <row r="752">
      <c r="A752" s="2" t="inlineStr">
        <is>
          <t>2026-09-02</t>
        </is>
      </c>
      <c r="B752" s="2" t="inlineStr">
        <is>
          <t>2026-09-02T19:57:51</t>
        </is>
      </c>
      <c r="C752" s="2" t="inlineStr">
        <is>
          <t>vivo</t>
        </is>
      </c>
      <c r="D752" s="2" t="inlineStr">
        <is>
          <t>SP</t>
        </is>
      </c>
      <c r="E752" s="2" t="inlineStr">
        <is>
          <t>Vivo Total Ultra + TV</t>
        </is>
      </c>
      <c r="F752" s="2" t="inlineStr">
        <is>
          <t>vivo:VIV202604031882-9-305-313-316-408-411-426-430-442</t>
        </is>
      </c>
      <c r="G752" s="3" t="n">
        <v>310</v>
      </c>
      <c r="H752" s="3" t="inlineStr"/>
      <c r="I752" s="2" t="inlineStr"/>
      <c r="J752" s="2" t="inlineStr"/>
      <c r="K752" s="2" t="inlineStr">
        <is>
          <t>instalação grátis mediante fidelização (não afeta a mensalidade)</t>
        </is>
      </c>
      <c r="L752" s="2" t="inlineStr">
        <is>
          <t>mobile+broadband+tv</t>
        </is>
      </c>
      <c r="M752" s="2" t="inlineStr">
        <is>
          <t>Fiber + Mobile + TV</t>
        </is>
      </c>
      <c r="N752" s="2" t="b">
        <v>1</v>
      </c>
      <c r="O752" s="2" t="b">
        <v>1</v>
      </c>
      <c r="P752" s="2" t="b">
        <v>1</v>
      </c>
      <c r="Q752" s="2" t="b">
        <v>0</v>
      </c>
      <c r="R752" s="4" t="n">
        <v>700</v>
      </c>
      <c r="S752" s="4" t="n">
        <v>80</v>
      </c>
      <c r="T752" s="4" t="n">
        <v>1</v>
      </c>
      <c r="U752" s="2" t="inlineStr">
        <is>
          <t>120 canais de Vivo TV Avançado + 1 ponto adicional</t>
        </is>
      </c>
      <c r="V752" s="2" t="inlineStr"/>
      <c r="W752" s="2" t="inlineStr">
        <is>
          <t>Vivo Travel Américas; 70 GB de franquia + 10 GB de bônus</t>
        </is>
      </c>
      <c r="X752" s="2" t="inlineStr">
        <is>
          <t>700 Mega de Vivo Fibra</t>
        </is>
      </c>
      <c r="Y752" s="2" t="inlineStr">
        <is>
          <t>https://vivo.com.br/para-voce/produtos-e-servicos/combos/vivo-total</t>
        </is>
      </c>
      <c r="Z752" s="2" t="inlineStr">
        <is>
          <t>data/raw/vivo_convergent_total_SP.html</t>
        </is>
      </c>
    </row>
    <row r="753">
      <c r="A753" s="5" t="inlineStr">
        <is>
          <t>2026-09-02</t>
        </is>
      </c>
      <c r="B753" s="5" t="inlineStr">
        <is>
          <t>2026-09-02T19:57:51</t>
        </is>
      </c>
      <c r="C753" s="5" t="inlineStr">
        <is>
          <t>vivo</t>
        </is>
      </c>
      <c r="D753" s="5" t="inlineStr">
        <is>
          <t>SP</t>
        </is>
      </c>
      <c r="E753" s="5" t="inlineStr">
        <is>
          <t>Vivo Total Ultra + TV online</t>
        </is>
      </c>
      <c r="F753" s="5" t="inlineStr">
        <is>
          <t>vivo:VIV202604032034-305-313-316-336-408-411-426-430-442</t>
        </is>
      </c>
      <c r="G753" s="6" t="n">
        <v>210</v>
      </c>
      <c r="H753" s="6" t="inlineStr"/>
      <c r="I753" s="5" t="inlineStr"/>
      <c r="J753" s="5" t="inlineStr"/>
      <c r="K753" s="5" t="inlineStr">
        <is>
          <t>instalação grátis mediante fidelização (não afeta a mensalidade)</t>
        </is>
      </c>
      <c r="L753" s="5" t="inlineStr">
        <is>
          <t>mobile+broadband+tv</t>
        </is>
      </c>
      <c r="M753" s="5" t="inlineStr">
        <is>
          <t>Fiber + Mobile + TV</t>
        </is>
      </c>
      <c r="N753" s="5" t="b">
        <v>1</v>
      </c>
      <c r="O753" s="5" t="b">
        <v>1</v>
      </c>
      <c r="P753" s="5" t="b">
        <v>1</v>
      </c>
      <c r="Q753" s="5" t="b">
        <v>0</v>
      </c>
      <c r="R753" s="7" t="n">
        <v>700</v>
      </c>
      <c r="S753" s="7" t="n">
        <v>80</v>
      </c>
      <c r="T753" s="7" t="n">
        <v>1</v>
      </c>
      <c r="U753" s="5" t="inlineStr">
        <is>
          <t>80 canais de Vivo Estendido</t>
        </is>
      </c>
      <c r="V753" s="5" t="inlineStr"/>
      <c r="W753" s="5" t="inlineStr">
        <is>
          <t>Vivo Travel Américas; 70 GB de franquia + 10 GB de bônus</t>
        </is>
      </c>
      <c r="X753" s="5" t="inlineStr">
        <is>
          <t>700 Mega de Vivo Fibra</t>
        </is>
      </c>
      <c r="Y753" s="5" t="inlineStr">
        <is>
          <t>https://vivo.com.br/para-voce/produtos-e-servicos/combos/vivo-total</t>
        </is>
      </c>
      <c r="Z753" s="5" t="inlineStr">
        <is>
          <t>data/raw/vivo_convergent_total_SP.html</t>
        </is>
      </c>
    </row>
    <row r="754">
      <c r="A754" s="2" t="inlineStr">
        <is>
          <t>2026-09-02</t>
        </is>
      </c>
      <c r="B754" s="2" t="inlineStr">
        <is>
          <t>2026-09-02T19:57:51</t>
        </is>
      </c>
      <c r="C754" s="2" t="inlineStr">
        <is>
          <t>vivo</t>
        </is>
      </c>
      <c r="D754" s="2" t="inlineStr">
        <is>
          <t>SP</t>
        </is>
      </c>
      <c r="E754" s="2" t="inlineStr">
        <is>
          <t>Vivo Total V 1 Giga</t>
        </is>
      </c>
      <c r="F754" s="2" t="inlineStr">
        <is>
          <t>vivo:VIV202604032532-2-305-316-408-426-430-442</t>
        </is>
      </c>
      <c r="G754" s="3" t="n">
        <v>1200</v>
      </c>
      <c r="H754" s="3" t="inlineStr"/>
      <c r="I754" s="2" t="inlineStr"/>
      <c r="J754" s="2" t="inlineStr"/>
      <c r="K754" s="2" t="inlineStr">
        <is>
          <t>instalação grátis mediante fidelização (não afeta a mensalidade)</t>
        </is>
      </c>
      <c r="L754" s="2" t="inlineStr">
        <is>
          <t>mobile+broadband+tv</t>
        </is>
      </c>
      <c r="M754" s="2" t="inlineStr">
        <is>
          <t>Fiber + Mobile + TV</t>
        </is>
      </c>
      <c r="N754" s="2" t="b">
        <v>1</v>
      </c>
      <c r="O754" s="2" t="b">
        <v>1</v>
      </c>
      <c r="P754" s="2" t="b">
        <v>1</v>
      </c>
      <c r="Q754" s="2" t="b">
        <v>0</v>
      </c>
      <c r="R754" s="4" t="n">
        <v>1000</v>
      </c>
      <c r="S754" s="4" t="n">
        <v>600</v>
      </c>
      <c r="T754" s="4" t="n">
        <v>11</v>
      </c>
      <c r="U754" s="2" t="inlineStr">
        <is>
          <t>Vivo TV Completo com HBO Max e Telecine</t>
        </is>
      </c>
      <c r="V754" s="2" t="inlineStr"/>
      <c r="W754" s="2" t="inlineStr">
        <is>
          <t>Vivo Travel Mundo; 10 linhas adicionais inclusas; Vivo TV Completo com HBO Max e Telecine</t>
        </is>
      </c>
      <c r="X754" s="2" t="inlineStr">
        <is>
          <t>1Giga de Vivo Fibra</t>
        </is>
      </c>
      <c r="Y754" s="2" t="inlineStr">
        <is>
          <t>https://vivo.com.br/para-voce/produtos-e-servicos/combos/vivo-total</t>
        </is>
      </c>
      <c r="Z754" s="2" t="inlineStr">
        <is>
          <t>data/raw/vivo_convergent_total_SP.html</t>
        </is>
      </c>
    </row>
    <row r="755">
      <c r="A755" s="5" t="inlineStr">
        <is>
          <t>2026-09-03</t>
        </is>
      </c>
      <c r="B755" s="5" t="inlineStr">
        <is>
          <t>2026-09-03T19:57:11</t>
        </is>
      </c>
      <c r="C755" s="5" t="inlineStr">
        <is>
          <t>claro</t>
        </is>
      </c>
      <c r="D755" s="5" t="inlineStr">
        <is>
          <t>SP</t>
        </is>
      </c>
      <c r="E755" s="5" t="inlineStr">
        <is>
          <t>1 Giga com Globoplay incluso + Claro tv+ Box + Disney+ Amazon Prime + Netflix + HBO Max + Apple TV + Globoplay</t>
        </is>
      </c>
      <c r="F755" s="5" t="inlineStr">
        <is>
          <t>claro:af8152be-4aa7-4aa8-819a-a79687a3a9a0</t>
        </is>
      </c>
      <c r="G755" s="6" t="n">
        <v>319.8</v>
      </c>
      <c r="H755" s="6" t="inlineStr"/>
      <c r="I755" s="5" t="inlineStr"/>
      <c r="J755" s="5" t="inlineStr"/>
      <c r="K755" s="5" t="inlineStr">
        <is>
          <t>tab: Fibra + TV</t>
        </is>
      </c>
      <c r="L755" s="5" t="inlineStr">
        <is>
          <t>broadband+tv</t>
        </is>
      </c>
      <c r="M755" s="5" t="inlineStr">
        <is>
          <t>Fiber + TV</t>
        </is>
      </c>
      <c r="N755" s="5" t="b">
        <v>0</v>
      </c>
      <c r="O755" s="5" t="b">
        <v>1</v>
      </c>
      <c r="P755" s="5" t="b">
        <v>1</v>
      </c>
      <c r="Q755" s="5" t="b">
        <v>0</v>
      </c>
      <c r="R755" s="7" t="n">
        <v>1000</v>
      </c>
      <c r="S755" s="7" t="inlineStr"/>
      <c r="T755" s="7" t="inlineStr"/>
      <c r="U755" s="5" t="inlineStr">
        <is>
          <t>Claro tv+ Box + Disney+ Amazon Prime + Netflix + HBO Max + Apple TV + Globoplay</t>
        </is>
      </c>
      <c r="V755" s="5" t="inlineStr"/>
      <c r="W755" s="5" t="inlineStr"/>
      <c r="X755" s="5" t="inlineStr"/>
      <c r="Y755" s="5" t="inlineStr">
        <is>
          <t>https://www.claro.com.br/multi</t>
        </is>
      </c>
      <c r="Z755" s="5" t="inlineStr">
        <is>
          <t>data/raw/claro_convergent_multi_SP.html</t>
        </is>
      </c>
    </row>
    <row r="756">
      <c r="A756" s="2" t="inlineStr">
        <is>
          <t>2026-09-03</t>
        </is>
      </c>
      <c r="B756" s="2" t="inlineStr">
        <is>
          <t>2026-09-03T19:57:11</t>
        </is>
      </c>
      <c r="C756" s="2" t="inlineStr">
        <is>
          <t>claro</t>
        </is>
      </c>
      <c r="D756" s="2" t="inlineStr">
        <is>
          <t>SP</t>
        </is>
      </c>
      <c r="E756" s="2" t="inlineStr">
        <is>
          <t>1 Giga com Globoplay incluso + Claro tv+ Soundbox + Disney+ Amazon Prime + Netflix + HBO Max + Apple TV + Globoplay</t>
        </is>
      </c>
      <c r="F756" s="2" t="inlineStr">
        <is>
          <t>claro:ceb9fd87-0897-4dd2-a2f2-e7f09e714e49</t>
        </is>
      </c>
      <c r="G756" s="3" t="n">
        <v>429.8</v>
      </c>
      <c r="H756" s="3" t="inlineStr"/>
      <c r="I756" s="2" t="inlineStr"/>
      <c r="J756" s="2" t="inlineStr"/>
      <c r="K756" s="2" t="inlineStr">
        <is>
          <t>tab: Fibra + TV</t>
        </is>
      </c>
      <c r="L756" s="2" t="inlineStr">
        <is>
          <t>broadband+tv</t>
        </is>
      </c>
      <c r="M756" s="2" t="inlineStr">
        <is>
          <t>Fiber + TV</t>
        </is>
      </c>
      <c r="N756" s="2" t="b">
        <v>0</v>
      </c>
      <c r="O756" s="2" t="b">
        <v>1</v>
      </c>
      <c r="P756" s="2" t="b">
        <v>1</v>
      </c>
      <c r="Q756" s="2" t="b">
        <v>0</v>
      </c>
      <c r="R756" s="4" t="n">
        <v>1000</v>
      </c>
      <c r="S756" s="4" t="inlineStr"/>
      <c r="T756" s="4" t="inlineStr"/>
      <c r="U756" s="2" t="inlineStr">
        <is>
          <t>Claro tv+ Soundbox + Disney+ Amazon Prime + Netflix + HBO Max + Apple TV + Globoplay</t>
        </is>
      </c>
      <c r="V756" s="2" t="inlineStr"/>
      <c r="W756" s="2" t="inlineStr"/>
      <c r="X756" s="2" t="inlineStr"/>
      <c r="Y756" s="2" t="inlineStr">
        <is>
          <t>https://www.claro.com.br/multi</t>
        </is>
      </c>
      <c r="Z756" s="2" t="inlineStr">
        <is>
          <t>data/raw/claro_convergent_multi_SP.html</t>
        </is>
      </c>
    </row>
    <row r="757">
      <c r="A757" s="5" t="inlineStr">
        <is>
          <t>2026-09-03</t>
        </is>
      </c>
      <c r="B757" s="5" t="inlineStr">
        <is>
          <t>2026-09-03T19:57:11</t>
        </is>
      </c>
      <c r="C757" s="5" t="inlineStr">
        <is>
          <t>claro</t>
        </is>
      </c>
      <c r="D757" s="5" t="inlineStr">
        <is>
          <t>SP</t>
        </is>
      </c>
      <c r="E757" s="5" t="inlineStr">
        <is>
          <t>1 Giga com Globoplay incluso + Pós 100GB</t>
        </is>
      </c>
      <c r="F757" s="5" t="inlineStr">
        <is>
          <t>claro:a1de0ac1-61bb-4e97-a744-1ae4c3541673</t>
        </is>
      </c>
      <c r="G757" s="6" t="n">
        <v>179.9</v>
      </c>
      <c r="H757" s="6" t="inlineStr"/>
      <c r="I757" s="5" t="inlineStr"/>
      <c r="J757" s="5" t="inlineStr"/>
      <c r="K757" s="5" t="inlineStr">
        <is>
          <t>tab: Fibra + Móvel</t>
        </is>
      </c>
      <c r="L757" s="5" t="inlineStr">
        <is>
          <t>mobile+broadband</t>
        </is>
      </c>
      <c r="M757" s="5" t="inlineStr">
        <is>
          <t>Fiber + Mobile</t>
        </is>
      </c>
      <c r="N757" s="5" t="b">
        <v>1</v>
      </c>
      <c r="O757" s="5" t="b">
        <v>1</v>
      </c>
      <c r="P757" s="5" t="b">
        <v>0</v>
      </c>
      <c r="Q757" s="5" t="b">
        <v>0</v>
      </c>
      <c r="R757" s="7" t="n">
        <v>1000</v>
      </c>
      <c r="S757" s="7" t="n">
        <v>100</v>
      </c>
      <c r="T757" s="7" t="n">
        <v>1</v>
      </c>
      <c r="U757" s="5" t="inlineStr"/>
      <c r="V757" s="5" t="inlineStr"/>
      <c r="W757" s="5" t="inlineStr"/>
      <c r="X757" s="5" t="inlineStr">
        <is>
          <t>Pós 100GB</t>
        </is>
      </c>
      <c r="Y757" s="5" t="inlineStr">
        <is>
          <t>https://www.claro.com.br/multi</t>
        </is>
      </c>
      <c r="Z757" s="5" t="inlineStr">
        <is>
          <t>data/raw/claro_convergent_multi_SP.html</t>
        </is>
      </c>
    </row>
    <row r="758">
      <c r="A758" s="2" t="inlineStr">
        <is>
          <t>2026-09-03</t>
        </is>
      </c>
      <c r="B758" s="2" t="inlineStr">
        <is>
          <t>2026-09-03T19:57:11</t>
        </is>
      </c>
      <c r="C758" s="2" t="inlineStr">
        <is>
          <t>claro</t>
        </is>
      </c>
      <c r="D758" s="2" t="inlineStr">
        <is>
          <t>SP</t>
        </is>
      </c>
      <c r="E758" s="2" t="inlineStr">
        <is>
          <t>1 Giga com Globoplay incluso + Pós 100GB + Claro tv+ Box + Disney+ Amazon Prime + Netflix + HBO Max + Apple TV + Globoplay</t>
        </is>
      </c>
      <c r="F758" s="2" t="inlineStr">
        <is>
          <t>claro:548c4bad-7857-4c0c-94d5-45d33d66c57f</t>
        </is>
      </c>
      <c r="G758" s="3" t="n">
        <v>289.8</v>
      </c>
      <c r="H758" s="3" t="inlineStr"/>
      <c r="I758" s="2" t="inlineStr"/>
      <c r="J758" s="2" t="inlineStr"/>
      <c r="K758" s="2" t="inlineStr">
        <is>
          <t>tab: Fibra + Móvel + TV</t>
        </is>
      </c>
      <c r="L758" s="2" t="inlineStr">
        <is>
          <t>mobile+broadband+tv</t>
        </is>
      </c>
      <c r="M758" s="2" t="inlineStr">
        <is>
          <t>Fiber + Mobile + TV</t>
        </is>
      </c>
      <c r="N758" s="2" t="b">
        <v>1</v>
      </c>
      <c r="O758" s="2" t="b">
        <v>1</v>
      </c>
      <c r="P758" s="2" t="b">
        <v>1</v>
      </c>
      <c r="Q758" s="2" t="b">
        <v>0</v>
      </c>
      <c r="R758" s="4" t="n">
        <v>1000</v>
      </c>
      <c r="S758" s="4" t="n">
        <v>100</v>
      </c>
      <c r="T758" s="4" t="n">
        <v>1</v>
      </c>
      <c r="U758" s="2" t="inlineStr">
        <is>
          <t>Claro tv+ Box + Disney+ Amazon Prime + Netflix + HBO Max + Apple TV + Globoplay</t>
        </is>
      </c>
      <c r="V758" s="2" t="inlineStr"/>
      <c r="W758" s="2" t="inlineStr"/>
      <c r="X758" s="2" t="inlineStr">
        <is>
          <t>Pós 100GB</t>
        </is>
      </c>
      <c r="Y758" s="2" t="inlineStr">
        <is>
          <t>https://www.claro.com.br/multi</t>
        </is>
      </c>
      <c r="Z758" s="2" t="inlineStr">
        <is>
          <t>data/raw/claro_convergent_multi_SP.html</t>
        </is>
      </c>
    </row>
    <row r="759">
      <c r="A759" s="5" t="inlineStr">
        <is>
          <t>2026-09-03</t>
        </is>
      </c>
      <c r="B759" s="5" t="inlineStr">
        <is>
          <t>2026-09-03T19:57:11</t>
        </is>
      </c>
      <c r="C759" s="5" t="inlineStr">
        <is>
          <t>claro</t>
        </is>
      </c>
      <c r="D759" s="5" t="inlineStr">
        <is>
          <t>SP</t>
        </is>
      </c>
      <c r="E759" s="5" t="inlineStr">
        <is>
          <t>1 Giga com Globoplay incluso + Pós 150GB</t>
        </is>
      </c>
      <c r="F759" s="5" t="inlineStr">
        <is>
          <t>claro:d47e2a3b-dfd0-410e-9c24-d07a334d01d4</t>
        </is>
      </c>
      <c r="G759" s="6" t="n">
        <v>299.9</v>
      </c>
      <c r="H759" s="6" t="inlineStr"/>
      <c r="I759" s="5" t="inlineStr"/>
      <c r="J759" s="5" t="inlineStr"/>
      <c r="K759" s="5" t="inlineStr">
        <is>
          <t>tab: Fibra + Móvel</t>
        </is>
      </c>
      <c r="L759" s="5" t="inlineStr">
        <is>
          <t>mobile+broadband</t>
        </is>
      </c>
      <c r="M759" s="5" t="inlineStr">
        <is>
          <t>Fiber + Mobile</t>
        </is>
      </c>
      <c r="N759" s="5" t="b">
        <v>1</v>
      </c>
      <c r="O759" s="5" t="b">
        <v>1</v>
      </c>
      <c r="P759" s="5" t="b">
        <v>0</v>
      </c>
      <c r="Q759" s="5" t="b">
        <v>0</v>
      </c>
      <c r="R759" s="7" t="n">
        <v>1000</v>
      </c>
      <c r="S759" s="7" t="n">
        <v>150</v>
      </c>
      <c r="T759" s="7" t="n">
        <v>2</v>
      </c>
      <c r="U759" s="5" t="inlineStr"/>
      <c r="V759" s="5" t="inlineStr"/>
      <c r="W759" s="5" t="inlineStr"/>
      <c r="X759" s="5" t="inlineStr">
        <is>
          <t>Pós 150GB</t>
        </is>
      </c>
      <c r="Y759" s="5" t="inlineStr">
        <is>
          <t>https://www.claro.com.br/multi</t>
        </is>
      </c>
      <c r="Z759" s="5" t="inlineStr">
        <is>
          <t>data/raw/claro_convergent_multi_SP.html</t>
        </is>
      </c>
    </row>
    <row r="760">
      <c r="A760" s="2" t="inlineStr">
        <is>
          <t>2026-09-03</t>
        </is>
      </c>
      <c r="B760" s="2" t="inlineStr">
        <is>
          <t>2026-09-03T19:57:11</t>
        </is>
      </c>
      <c r="C760" s="2" t="inlineStr">
        <is>
          <t>claro</t>
        </is>
      </c>
      <c r="D760" s="2" t="inlineStr">
        <is>
          <t>SP</t>
        </is>
      </c>
      <c r="E760" s="2" t="inlineStr">
        <is>
          <t>1 Giga com Globoplay incluso + Pós 150GB + Claro tv+ Box + Disney+ Amazon Prime + Netflix + HBO Max + Apple TV + Globoplay</t>
        </is>
      </c>
      <c r="F760" s="2" t="inlineStr">
        <is>
          <t>claro:7785b449-69f2-4234-9e24-8837e32a55c0</t>
        </is>
      </c>
      <c r="G760" s="3" t="n">
        <v>409.8</v>
      </c>
      <c r="H760" s="3" t="inlineStr"/>
      <c r="I760" s="2" t="inlineStr"/>
      <c r="J760" s="2" t="inlineStr"/>
      <c r="K760" s="2" t="inlineStr">
        <is>
          <t>tab: Fibra + Móvel + TV</t>
        </is>
      </c>
      <c r="L760" s="2" t="inlineStr">
        <is>
          <t>mobile+broadband+tv</t>
        </is>
      </c>
      <c r="M760" s="2" t="inlineStr">
        <is>
          <t>Fiber + Mobile + TV</t>
        </is>
      </c>
      <c r="N760" s="2" t="b">
        <v>1</v>
      </c>
      <c r="O760" s="2" t="b">
        <v>1</v>
      </c>
      <c r="P760" s="2" t="b">
        <v>1</v>
      </c>
      <c r="Q760" s="2" t="b">
        <v>0</v>
      </c>
      <c r="R760" s="4" t="n">
        <v>1000</v>
      </c>
      <c r="S760" s="4" t="n">
        <v>150</v>
      </c>
      <c r="T760" s="4" t="n">
        <v>1</v>
      </c>
      <c r="U760" s="2" t="inlineStr">
        <is>
          <t>Claro tv+ Box + Disney+ Amazon Prime + Netflix + HBO Max + Apple TV + Globoplay</t>
        </is>
      </c>
      <c r="V760" s="2" t="inlineStr"/>
      <c r="W760" s="2" t="inlineStr"/>
      <c r="X760" s="2" t="inlineStr">
        <is>
          <t>Pós 150GB</t>
        </is>
      </c>
      <c r="Y760" s="2" t="inlineStr">
        <is>
          <t>https://www.claro.com.br/multi</t>
        </is>
      </c>
      <c r="Z760" s="2" t="inlineStr">
        <is>
          <t>data/raw/claro_convergent_multi_SP.html</t>
        </is>
      </c>
    </row>
    <row r="761">
      <c r="A761" s="5" t="inlineStr">
        <is>
          <t>2026-09-03</t>
        </is>
      </c>
      <c r="B761" s="5" t="inlineStr">
        <is>
          <t>2026-09-03T19:57:11</t>
        </is>
      </c>
      <c r="C761" s="5" t="inlineStr">
        <is>
          <t>claro</t>
        </is>
      </c>
      <c r="D761" s="5" t="inlineStr">
        <is>
          <t>SP</t>
        </is>
      </c>
      <c r="E761" s="5" t="inlineStr">
        <is>
          <t>1 Giga com Globoplay incluso + Pós 200GB</t>
        </is>
      </c>
      <c r="F761" s="5" t="inlineStr">
        <is>
          <t>claro:1961a62d-3213-4ff0-a152-401a45c5b1b5</t>
        </is>
      </c>
      <c r="G761" s="6" t="n">
        <v>359.9</v>
      </c>
      <c r="H761" s="6" t="inlineStr"/>
      <c r="I761" s="5" t="inlineStr"/>
      <c r="J761" s="5" t="inlineStr"/>
      <c r="K761" s="5" t="inlineStr">
        <is>
          <t>tab: Fibra + Móvel</t>
        </is>
      </c>
      <c r="L761" s="5" t="inlineStr">
        <is>
          <t>mobile+broadband</t>
        </is>
      </c>
      <c r="M761" s="5" t="inlineStr">
        <is>
          <t>Fiber + Mobile</t>
        </is>
      </c>
      <c r="N761" s="5" t="b">
        <v>1</v>
      </c>
      <c r="O761" s="5" t="b">
        <v>1</v>
      </c>
      <c r="P761" s="5" t="b">
        <v>0</v>
      </c>
      <c r="Q761" s="5" t="b">
        <v>0</v>
      </c>
      <c r="R761" s="7" t="n">
        <v>1000</v>
      </c>
      <c r="S761" s="7" t="n">
        <v>200</v>
      </c>
      <c r="T761" s="7" t="n">
        <v>3</v>
      </c>
      <c r="U761" s="5" t="inlineStr"/>
      <c r="V761" s="5" t="inlineStr"/>
      <c r="W761" s="5" t="inlineStr"/>
      <c r="X761" s="5" t="inlineStr">
        <is>
          <t>Pós 200GB</t>
        </is>
      </c>
      <c r="Y761" s="5" t="inlineStr">
        <is>
          <t>https://www.claro.com.br/multi</t>
        </is>
      </c>
      <c r="Z761" s="5" t="inlineStr">
        <is>
          <t>data/raw/claro_convergent_multi_SP.html</t>
        </is>
      </c>
    </row>
    <row r="762">
      <c r="A762" s="2" t="inlineStr">
        <is>
          <t>2026-09-03</t>
        </is>
      </c>
      <c r="B762" s="2" t="inlineStr">
        <is>
          <t>2026-09-03T19:57:11</t>
        </is>
      </c>
      <c r="C762" s="2" t="inlineStr">
        <is>
          <t>claro</t>
        </is>
      </c>
      <c r="D762" s="2" t="inlineStr">
        <is>
          <t>SP</t>
        </is>
      </c>
      <c r="E762" s="2" t="inlineStr">
        <is>
          <t>1 Giga com Globoplay incluso + Pós 200GB + Claro tv+ Box + Disney+ Amazon Prime + Netflix + HBO Max + Apple TV + Globoplay</t>
        </is>
      </c>
      <c r="F762" s="2" t="inlineStr">
        <is>
          <t>claro:312815a2-b3a5-43bb-89a1-272d53ccb212</t>
        </is>
      </c>
      <c r="G762" s="3" t="n">
        <v>469.8</v>
      </c>
      <c r="H762" s="3" t="inlineStr"/>
      <c r="I762" s="2" t="inlineStr"/>
      <c r="J762" s="2" t="inlineStr"/>
      <c r="K762" s="2" t="inlineStr">
        <is>
          <t>tab: Fibra + Móvel + TV</t>
        </is>
      </c>
      <c r="L762" s="2" t="inlineStr">
        <is>
          <t>mobile+broadband+tv</t>
        </is>
      </c>
      <c r="M762" s="2" t="inlineStr">
        <is>
          <t>Fiber + Mobile + TV</t>
        </is>
      </c>
      <c r="N762" s="2" t="b">
        <v>1</v>
      </c>
      <c r="O762" s="2" t="b">
        <v>1</v>
      </c>
      <c r="P762" s="2" t="b">
        <v>1</v>
      </c>
      <c r="Q762" s="2" t="b">
        <v>0</v>
      </c>
      <c r="R762" s="4" t="n">
        <v>1000</v>
      </c>
      <c r="S762" s="4" t="n">
        <v>200</v>
      </c>
      <c r="T762" s="4" t="n">
        <v>1</v>
      </c>
      <c r="U762" s="2" t="inlineStr">
        <is>
          <t>Claro tv+ Box + Disney+ Amazon Prime + Netflix + HBO Max + Apple TV + Globoplay</t>
        </is>
      </c>
      <c r="V762" s="2" t="inlineStr"/>
      <c r="W762" s="2" t="inlineStr"/>
      <c r="X762" s="2" t="inlineStr">
        <is>
          <t>Pós 200GB</t>
        </is>
      </c>
      <c r="Y762" s="2" t="inlineStr">
        <is>
          <t>https://www.claro.com.br/multi</t>
        </is>
      </c>
      <c r="Z762" s="2" t="inlineStr">
        <is>
          <t>data/raw/claro_convergent_multi_SP.html</t>
        </is>
      </c>
    </row>
    <row r="763">
      <c r="A763" s="5" t="inlineStr">
        <is>
          <t>2026-09-03</t>
        </is>
      </c>
      <c r="B763" s="5" t="inlineStr">
        <is>
          <t>2026-09-03T19:57:11</t>
        </is>
      </c>
      <c r="C763" s="5" t="inlineStr">
        <is>
          <t>claro</t>
        </is>
      </c>
      <c r="D763" s="5" t="inlineStr">
        <is>
          <t>SP</t>
        </is>
      </c>
      <c r="E763" s="5" t="inlineStr">
        <is>
          <t>350 Mega com Globoplay incluso + Claro tv+ Box + Disney+ Amazon Prime + Netflix + HBO Max + Apple TV + Globoplay</t>
        </is>
      </c>
      <c r="F763" s="5" t="inlineStr">
        <is>
          <t>claro:97b00450-6f21-4349-8363-83d624b18328</t>
        </is>
      </c>
      <c r="G763" s="6" t="n">
        <v>229.8</v>
      </c>
      <c r="H763" s="6" t="inlineStr"/>
      <c r="I763" s="5" t="inlineStr"/>
      <c r="J763" s="5" t="inlineStr"/>
      <c r="K763" s="5" t="inlineStr">
        <is>
          <t>tab: Fibra + TV</t>
        </is>
      </c>
      <c r="L763" s="5" t="inlineStr">
        <is>
          <t>broadband+tv</t>
        </is>
      </c>
      <c r="M763" s="5" t="inlineStr">
        <is>
          <t>Fiber + TV</t>
        </is>
      </c>
      <c r="N763" s="5" t="b">
        <v>0</v>
      </c>
      <c r="O763" s="5" t="b">
        <v>1</v>
      </c>
      <c r="P763" s="5" t="b">
        <v>1</v>
      </c>
      <c r="Q763" s="5" t="b">
        <v>0</v>
      </c>
      <c r="R763" s="7" t="n">
        <v>350</v>
      </c>
      <c r="S763" s="7" t="inlineStr"/>
      <c r="T763" s="7" t="inlineStr"/>
      <c r="U763" s="5" t="inlineStr">
        <is>
          <t>Claro tv+ Box + Disney+ Amazon Prime + Netflix + HBO Max + Apple TV + Globoplay</t>
        </is>
      </c>
      <c r="V763" s="5" t="inlineStr"/>
      <c r="W763" s="5" t="inlineStr"/>
      <c r="X763" s="5" t="inlineStr"/>
      <c r="Y763" s="5" t="inlineStr">
        <is>
          <t>https://www.claro.com.br/multi</t>
        </is>
      </c>
      <c r="Z763" s="5" t="inlineStr">
        <is>
          <t>data/raw/claro_convergent_multi_SP.html</t>
        </is>
      </c>
    </row>
    <row r="764">
      <c r="A764" s="2" t="inlineStr">
        <is>
          <t>2026-09-03</t>
        </is>
      </c>
      <c r="B764" s="2" t="inlineStr">
        <is>
          <t>2026-09-03T19:57:11</t>
        </is>
      </c>
      <c r="C764" s="2" t="inlineStr">
        <is>
          <t>claro</t>
        </is>
      </c>
      <c r="D764" s="2" t="inlineStr">
        <is>
          <t>SP</t>
        </is>
      </c>
      <c r="E764" s="2" t="inlineStr">
        <is>
          <t>350 Mega com Globoplay incluso + Controle 40GB</t>
        </is>
      </c>
      <c r="F764" s="2" t="inlineStr">
        <is>
          <t>claro:a866ea9a-6a70-4b6e-b886-f8178086ca91</t>
        </is>
      </c>
      <c r="G764" s="3" t="n">
        <v>129.8</v>
      </c>
      <c r="H764" s="3" t="inlineStr"/>
      <c r="I764" s="2" t="inlineStr"/>
      <c r="J764" s="2" t="inlineStr">
        <is>
          <t>debit_auto</t>
        </is>
      </c>
      <c r="K764" s="2" t="inlineStr">
        <is>
          <t>tab: Fibra + Móvel; preço em débito em conta; +R$ 5.00 sem débito automático</t>
        </is>
      </c>
      <c r="L764" s="2" t="inlineStr">
        <is>
          <t>mobile+broadband</t>
        </is>
      </c>
      <c r="M764" s="2" t="inlineStr">
        <is>
          <t>Fiber + Mobile</t>
        </is>
      </c>
      <c r="N764" s="2" t="b">
        <v>1</v>
      </c>
      <c r="O764" s="2" t="b">
        <v>1</v>
      </c>
      <c r="P764" s="2" t="b">
        <v>0</v>
      </c>
      <c r="Q764" s="2" t="b">
        <v>0</v>
      </c>
      <c r="R764" s="4" t="n">
        <v>350</v>
      </c>
      <c r="S764" s="4" t="n">
        <v>40</v>
      </c>
      <c r="T764" s="4" t="n">
        <v>1</v>
      </c>
      <c r="U764" s="2" t="inlineStr"/>
      <c r="V764" s="2" t="inlineStr"/>
      <c r="W764" s="2" t="inlineStr"/>
      <c r="X764" s="2" t="inlineStr">
        <is>
          <t>Controle 40GB</t>
        </is>
      </c>
      <c r="Y764" s="2" t="inlineStr">
        <is>
          <t>https://www.claro.com.br/multi</t>
        </is>
      </c>
      <c r="Z764" s="2" t="inlineStr">
        <is>
          <t>data/raw/claro_convergent_multi_SP.html</t>
        </is>
      </c>
    </row>
    <row r="765">
      <c r="A765" s="5" t="inlineStr">
        <is>
          <t>2026-09-03</t>
        </is>
      </c>
      <c r="B765" s="5" t="inlineStr">
        <is>
          <t>2026-09-03T19:57:11</t>
        </is>
      </c>
      <c r="C765" s="5" t="inlineStr">
        <is>
          <t>claro</t>
        </is>
      </c>
      <c r="D765" s="5" t="inlineStr">
        <is>
          <t>SP</t>
        </is>
      </c>
      <c r="E765" s="5" t="inlineStr">
        <is>
          <t>350 Mega com Globoplay incluso + Pós 100GB + Claro tv+ Box + Disney+ Amazon Prime + Netflix + HBO Max + Apple TV + Globoplay</t>
        </is>
      </c>
      <c r="F765" s="5" t="inlineStr">
        <is>
          <t>claro:746fa9cf-ea2b-40de-ad2c-5803b3e0ab08</t>
        </is>
      </c>
      <c r="G765" s="6" t="n">
        <v>249.8</v>
      </c>
      <c r="H765" s="6" t="inlineStr"/>
      <c r="I765" s="5" t="inlineStr"/>
      <c r="J765" s="5" t="inlineStr"/>
      <c r="K765" s="5" t="inlineStr">
        <is>
          <t>tab: Fibra + Móvel + TV</t>
        </is>
      </c>
      <c r="L765" s="5" t="inlineStr">
        <is>
          <t>mobile+broadband+tv</t>
        </is>
      </c>
      <c r="M765" s="5" t="inlineStr">
        <is>
          <t>Fiber + Mobile + TV</t>
        </is>
      </c>
      <c r="N765" s="5" t="b">
        <v>1</v>
      </c>
      <c r="O765" s="5" t="b">
        <v>1</v>
      </c>
      <c r="P765" s="5" t="b">
        <v>1</v>
      </c>
      <c r="Q765" s="5" t="b">
        <v>0</v>
      </c>
      <c r="R765" s="7" t="n">
        <v>350</v>
      </c>
      <c r="S765" s="7" t="n">
        <v>100</v>
      </c>
      <c r="T765" s="7" t="n">
        <v>1</v>
      </c>
      <c r="U765" s="5" t="inlineStr">
        <is>
          <t>Claro tv+ Box + Disney+ Amazon Prime + Netflix + HBO Max + Apple TV + Globoplay</t>
        </is>
      </c>
      <c r="V765" s="5" t="inlineStr"/>
      <c r="W765" s="5" t="inlineStr"/>
      <c r="X765" s="5" t="inlineStr">
        <is>
          <t>Pós 100GB</t>
        </is>
      </c>
      <c r="Y765" s="5" t="inlineStr">
        <is>
          <t>https://www.claro.com.br/multi</t>
        </is>
      </c>
      <c r="Z765" s="5" t="inlineStr">
        <is>
          <t>data/raw/claro_convergent_multi_SP.html</t>
        </is>
      </c>
    </row>
    <row r="766">
      <c r="A766" s="2" t="inlineStr">
        <is>
          <t>2026-09-03</t>
        </is>
      </c>
      <c r="B766" s="2" t="inlineStr">
        <is>
          <t>2026-09-03T19:57:11</t>
        </is>
      </c>
      <c r="C766" s="2" t="inlineStr">
        <is>
          <t>claro</t>
        </is>
      </c>
      <c r="D766" s="2" t="inlineStr">
        <is>
          <t>SP</t>
        </is>
      </c>
      <c r="E766" s="2" t="inlineStr">
        <is>
          <t>600 Mega com Globoplay incluso + Claro tv+ Box + Disney+ Amazon Prime + Netflix + HBO Max + Apple TV + Globoplay</t>
        </is>
      </c>
      <c r="F766" s="2" t="inlineStr">
        <is>
          <t>claro:545261b1-2f4d-4dab-82a6-02d9e66c5d3d</t>
        </is>
      </c>
      <c r="G766" s="3" t="n">
        <v>239.8</v>
      </c>
      <c r="H766" s="3" t="inlineStr"/>
      <c r="I766" s="2" t="inlineStr"/>
      <c r="J766" s="2" t="inlineStr"/>
      <c r="K766" s="2" t="inlineStr">
        <is>
          <t>tab: Fibra + TV</t>
        </is>
      </c>
      <c r="L766" s="2" t="inlineStr">
        <is>
          <t>broadband+tv</t>
        </is>
      </c>
      <c r="M766" s="2" t="inlineStr">
        <is>
          <t>Fiber + TV</t>
        </is>
      </c>
      <c r="N766" s="2" t="b">
        <v>0</v>
      </c>
      <c r="O766" s="2" t="b">
        <v>1</v>
      </c>
      <c r="P766" s="2" t="b">
        <v>1</v>
      </c>
      <c r="Q766" s="2" t="b">
        <v>0</v>
      </c>
      <c r="R766" s="4" t="n">
        <v>600</v>
      </c>
      <c r="S766" s="4" t="inlineStr"/>
      <c r="T766" s="4" t="inlineStr"/>
      <c r="U766" s="2" t="inlineStr">
        <is>
          <t>Claro tv+ Box + Disney+ Amazon Prime + Netflix + HBO Max + Apple TV + Globoplay</t>
        </is>
      </c>
      <c r="V766" s="2" t="inlineStr"/>
      <c r="W766" s="2" t="inlineStr"/>
      <c r="X766" s="2" t="inlineStr"/>
      <c r="Y766" s="2" t="inlineStr">
        <is>
          <t>https://www.claro.com.br/multi</t>
        </is>
      </c>
      <c r="Z766" s="2" t="inlineStr">
        <is>
          <t>data/raw/claro_convergent_multi_SP.html</t>
        </is>
      </c>
    </row>
    <row r="767">
      <c r="A767" s="5" t="inlineStr">
        <is>
          <t>2026-09-03</t>
        </is>
      </c>
      <c r="B767" s="5" t="inlineStr">
        <is>
          <t>2026-09-03T19:57:11</t>
        </is>
      </c>
      <c r="C767" s="5" t="inlineStr">
        <is>
          <t>claro</t>
        </is>
      </c>
      <c r="D767" s="5" t="inlineStr">
        <is>
          <t>SP</t>
        </is>
      </c>
      <c r="E767" s="5" t="inlineStr">
        <is>
          <t>600 Mega com Globoplay incluso + Pós 100GB</t>
        </is>
      </c>
      <c r="F767" s="5" t="inlineStr">
        <is>
          <t>claro:350ac58a-533c-4858-83be-be3ea39c8874</t>
        </is>
      </c>
      <c r="G767" s="6" t="n">
        <v>159.9</v>
      </c>
      <c r="H767" s="6" t="inlineStr"/>
      <c r="I767" s="5" t="inlineStr"/>
      <c r="J767" s="5" t="inlineStr"/>
      <c r="K767" s="5" t="inlineStr">
        <is>
          <t>tab: Fibra + Móvel</t>
        </is>
      </c>
      <c r="L767" s="5" t="inlineStr">
        <is>
          <t>mobile+broadband</t>
        </is>
      </c>
      <c r="M767" s="5" t="inlineStr">
        <is>
          <t>Fiber + Mobile</t>
        </is>
      </c>
      <c r="N767" s="5" t="b">
        <v>1</v>
      </c>
      <c r="O767" s="5" t="b">
        <v>1</v>
      </c>
      <c r="P767" s="5" t="b">
        <v>0</v>
      </c>
      <c r="Q767" s="5" t="b">
        <v>0</v>
      </c>
      <c r="R767" s="7" t="n">
        <v>600</v>
      </c>
      <c r="S767" s="7" t="n">
        <v>100</v>
      </c>
      <c r="T767" s="7" t="n">
        <v>1</v>
      </c>
      <c r="U767" s="5" t="inlineStr"/>
      <c r="V767" s="5" t="inlineStr"/>
      <c r="W767" s="5" t="inlineStr"/>
      <c r="X767" s="5" t="inlineStr">
        <is>
          <t>Pós 100GB</t>
        </is>
      </c>
      <c r="Y767" s="5" t="inlineStr">
        <is>
          <t>https://www.claro.com.br/multi</t>
        </is>
      </c>
      <c r="Z767" s="5" t="inlineStr">
        <is>
          <t>data/raw/claro_convergent_multi_SP.html</t>
        </is>
      </c>
    </row>
    <row r="768">
      <c r="A768" s="2" t="inlineStr">
        <is>
          <t>2026-09-03</t>
        </is>
      </c>
      <c r="B768" s="2" t="inlineStr">
        <is>
          <t>2026-09-03T19:57:11</t>
        </is>
      </c>
      <c r="C768" s="2" t="inlineStr">
        <is>
          <t>claro</t>
        </is>
      </c>
      <c r="D768" s="2" t="inlineStr">
        <is>
          <t>SP</t>
        </is>
      </c>
      <c r="E768" s="2" t="inlineStr">
        <is>
          <t>600 Mega com Globoplay incluso + Pós 100GB + Claro tv+ Box + Disney+ Amazon Prime + Netflix + HBO Max + Apple TV + Globoplay</t>
        </is>
      </c>
      <c r="F768" s="2" t="inlineStr">
        <is>
          <t>claro:f36e7dfb-f7c9-4055-844f-7bc101699de8</t>
        </is>
      </c>
      <c r="G768" s="3" t="n">
        <v>269.8</v>
      </c>
      <c r="H768" s="3" t="inlineStr"/>
      <c r="I768" s="2" t="inlineStr"/>
      <c r="J768" s="2" t="inlineStr"/>
      <c r="K768" s="2" t="inlineStr">
        <is>
          <t>tab: Fibra + Móvel + TV</t>
        </is>
      </c>
      <c r="L768" s="2" t="inlineStr">
        <is>
          <t>mobile+broadband+tv</t>
        </is>
      </c>
      <c r="M768" s="2" t="inlineStr">
        <is>
          <t>Fiber + Mobile + TV</t>
        </is>
      </c>
      <c r="N768" s="2" t="b">
        <v>1</v>
      </c>
      <c r="O768" s="2" t="b">
        <v>1</v>
      </c>
      <c r="P768" s="2" t="b">
        <v>1</v>
      </c>
      <c r="Q768" s="2" t="b">
        <v>0</v>
      </c>
      <c r="R768" s="4" t="n">
        <v>600</v>
      </c>
      <c r="S768" s="4" t="n">
        <v>100</v>
      </c>
      <c r="T768" s="4" t="n">
        <v>1</v>
      </c>
      <c r="U768" s="2" t="inlineStr">
        <is>
          <t>Claro tv+ Box + Disney+ Amazon Prime + Netflix + HBO Max + Apple TV + Globoplay</t>
        </is>
      </c>
      <c r="V768" s="2" t="inlineStr"/>
      <c r="W768" s="2" t="inlineStr"/>
      <c r="X768" s="2" t="inlineStr">
        <is>
          <t>Pós 100GB</t>
        </is>
      </c>
      <c r="Y768" s="2" t="inlineStr">
        <is>
          <t>https://www.claro.com.br/multi</t>
        </is>
      </c>
      <c r="Z768" s="2" t="inlineStr">
        <is>
          <t>data/raw/claro_convergent_multi_SP.html</t>
        </is>
      </c>
    </row>
    <row r="769">
      <c r="A769" s="5" t="inlineStr">
        <is>
          <t>2026-09-03</t>
        </is>
      </c>
      <c r="B769" s="5" t="inlineStr">
        <is>
          <t>2026-09-03T19:57:11</t>
        </is>
      </c>
      <c r="C769" s="5" t="inlineStr">
        <is>
          <t>tim</t>
        </is>
      </c>
      <c r="D769" s="5" t="inlineStr">
        <is>
          <t>SP</t>
        </is>
      </c>
      <c r="E769" s="5" t="inlineStr">
        <is>
          <t>TIM Ultracombo 5</t>
        </is>
      </c>
      <c r="F769" s="5" t="inlineStr">
        <is>
          <t>tim:167756</t>
        </is>
      </c>
      <c r="G769" s="6" t="n">
        <v>169.99</v>
      </c>
      <c r="H769" s="6" t="inlineStr"/>
      <c r="I769" s="5" t="inlineStr"/>
      <c r="J769" s="5" t="inlineStr">
        <is>
          <t>debit_auto</t>
        </is>
      </c>
      <c r="K769" s="5" t="inlineStr">
        <is>
          <t>preço em débito automático; R$ 179,99/mês no pagamento por fatura</t>
        </is>
      </c>
      <c r="L769" s="5" t="inlineStr">
        <is>
          <t>mobile+broadband</t>
        </is>
      </c>
      <c r="M769" s="5" t="inlineStr">
        <is>
          <t>Fiber + Mobile</t>
        </is>
      </c>
      <c r="N769" s="5" t="b">
        <v>1</v>
      </c>
      <c r="O769" s="5" t="b">
        <v>1</v>
      </c>
      <c r="P769" s="5" t="b">
        <v>0</v>
      </c>
      <c r="Q769" s="5" t="b">
        <v>0</v>
      </c>
      <c r="R769" s="7" t="n">
        <v>1000</v>
      </c>
      <c r="S769" s="7" t="n">
        <v>115</v>
      </c>
      <c r="T769" s="7" t="n">
        <v>1</v>
      </c>
      <c r="U769" s="5" t="inlineStr"/>
      <c r="V769" s="5" t="inlineStr">
        <is>
          <t>Paramount+, Deezer</t>
        </is>
      </c>
      <c r="W769" s="5" t="inlineStr"/>
      <c r="X769" s="5" t="inlineStr">
        <is>
          <t>1GIGA de Ultrafibra para casa + 115GB de TIM Black C Hero para móvel: (25GB do plano + 40GB promo + 50GB bônus especial)</t>
        </is>
      </c>
      <c r="Y769" s="5" t="inlineStr">
        <is>
          <t>https://www.tim.com.br/sp/internet/tim-ultracombo</t>
        </is>
      </c>
      <c r="Z769" s="5" t="inlineStr">
        <is>
          <t>data/raw/tim_convergent_ultracombo_SP.html</t>
        </is>
      </c>
    </row>
    <row r="770">
      <c r="A770" s="2" t="inlineStr">
        <is>
          <t>2026-09-03</t>
        </is>
      </c>
      <c r="B770" s="2" t="inlineStr">
        <is>
          <t>2026-09-03T19:57:11</t>
        </is>
      </c>
      <c r="C770" s="2" t="inlineStr">
        <is>
          <t>tim</t>
        </is>
      </c>
      <c r="D770" s="2" t="inlineStr">
        <is>
          <t>SP</t>
        </is>
      </c>
      <c r="E770" s="2" t="inlineStr">
        <is>
          <t>TIM Ultracombo 6</t>
        </is>
      </c>
      <c r="F770" s="2" t="inlineStr">
        <is>
          <t>tim:167751</t>
        </is>
      </c>
      <c r="G770" s="3" t="n">
        <v>139.99</v>
      </c>
      <c r="H770" s="3" t="inlineStr"/>
      <c r="I770" s="2" t="inlineStr"/>
      <c r="J770" s="2" t="inlineStr">
        <is>
          <t>debit_auto</t>
        </is>
      </c>
      <c r="K770" s="2" t="inlineStr">
        <is>
          <t>preço em débito automático; R$ 149,99/mês no pagamento por fatura</t>
        </is>
      </c>
      <c r="L770" s="2" t="inlineStr">
        <is>
          <t>mobile+broadband</t>
        </is>
      </c>
      <c r="M770" s="2" t="inlineStr">
        <is>
          <t>Fiber + Mobile</t>
        </is>
      </c>
      <c r="N770" s="2" t="b">
        <v>1</v>
      </c>
      <c r="O770" s="2" t="b">
        <v>1</v>
      </c>
      <c r="P770" s="2" t="b">
        <v>0</v>
      </c>
      <c r="Q770" s="2" t="b">
        <v>0</v>
      </c>
      <c r="R770" s="4" t="n">
        <v>1000</v>
      </c>
      <c r="S770" s="4" t="n">
        <v>70</v>
      </c>
      <c r="T770" s="4" t="n">
        <v>1</v>
      </c>
      <c r="U770" s="2" t="inlineStr"/>
      <c r="V770" s="2" t="inlineStr">
        <is>
          <t>Paramount+, Deezer</t>
        </is>
      </c>
      <c r="W770" s="2" t="inlineStr"/>
      <c r="X770" s="2" t="inlineStr">
        <is>
          <t>1GIGA de Ultrafibra para casa + 70GB de TIM Black A para móvel: (15GB do plano + 50GB promo + 5GB bônus especial)</t>
        </is>
      </c>
      <c r="Y770" s="2" t="inlineStr">
        <is>
          <t>https://www.tim.com.br/sp/internet/tim-ultracombo</t>
        </is>
      </c>
      <c r="Z770" s="2" t="inlineStr">
        <is>
          <t>data/raw/tim_convergent_ultracombo_SP.html</t>
        </is>
      </c>
    </row>
    <row r="771">
      <c r="A771" s="5" t="inlineStr">
        <is>
          <t>2026-09-03</t>
        </is>
      </c>
      <c r="B771" s="5" t="inlineStr">
        <is>
          <t>2026-09-03T19:57:11</t>
        </is>
      </c>
      <c r="C771" s="5" t="inlineStr">
        <is>
          <t>tim</t>
        </is>
      </c>
      <c r="D771" s="5" t="inlineStr">
        <is>
          <t>SP</t>
        </is>
      </c>
      <c r="E771" s="5" t="inlineStr">
        <is>
          <t>TIM Ultracombo 7</t>
        </is>
      </c>
      <c r="F771" s="5" t="inlineStr">
        <is>
          <t>tim:167761</t>
        </is>
      </c>
      <c r="G771" s="6" t="n">
        <v>89.98999999999999</v>
      </c>
      <c r="H771" s="6" t="inlineStr"/>
      <c r="I771" s="5" t="inlineStr"/>
      <c r="J771" s="5" t="inlineStr">
        <is>
          <t>debit_auto</t>
        </is>
      </c>
      <c r="K771" s="5" t="inlineStr">
        <is>
          <t>preço em débito automático; R$ 99,99/mês no pagamento por fatura</t>
        </is>
      </c>
      <c r="L771" s="5" t="inlineStr">
        <is>
          <t>mobile+broadband</t>
        </is>
      </c>
      <c r="M771" s="5" t="inlineStr">
        <is>
          <t>Fiber + Mobile</t>
        </is>
      </c>
      <c r="N771" s="5" t="b">
        <v>1</v>
      </c>
      <c r="O771" s="5" t="b">
        <v>1</v>
      </c>
      <c r="P771" s="5" t="b">
        <v>0</v>
      </c>
      <c r="Q771" s="5" t="b">
        <v>0</v>
      </c>
      <c r="R771" s="7" t="n">
        <v>500</v>
      </c>
      <c r="S771" s="7" t="n">
        <v>65</v>
      </c>
      <c r="T771" s="7" t="n">
        <v>1</v>
      </c>
      <c r="U771" s="5" t="inlineStr"/>
      <c r="V771" s="5" t="inlineStr"/>
      <c r="W771" s="5" t="inlineStr"/>
      <c r="X771" s="5" t="inlineStr">
        <is>
          <t>500MEGA de Ultrafibra para casa + 65GB de TIM Black A Light para móvel: (10GB do plano + 50GB promo)</t>
        </is>
      </c>
      <c r="Y771" s="5" t="inlineStr">
        <is>
          <t>https://www.tim.com.br/sp/internet/tim-ultracombo</t>
        </is>
      </c>
      <c r="Z771" s="5" t="inlineStr">
        <is>
          <t>data/raw/tim_convergent_ultracombo_SP.html</t>
        </is>
      </c>
    </row>
    <row r="772">
      <c r="A772" s="2" t="inlineStr">
        <is>
          <t>2026-09-03</t>
        </is>
      </c>
      <c r="B772" s="2" t="inlineStr">
        <is>
          <t>2026-09-03T19:57:11</t>
        </is>
      </c>
      <c r="C772" s="2" t="inlineStr">
        <is>
          <t>vivo</t>
        </is>
      </c>
      <c r="D772" s="2" t="inlineStr">
        <is>
          <t>SP</t>
        </is>
      </c>
      <c r="E772" s="2" t="inlineStr">
        <is>
          <t>Vivo Família 2 + TV</t>
        </is>
      </c>
      <c r="F772" s="2" t="inlineStr">
        <is>
          <t>vivo:VIV202604032132-3-305-316-336-408-411-426-430-442</t>
        </is>
      </c>
      <c r="G772" s="3" t="n">
        <v>290</v>
      </c>
      <c r="H772" s="3" t="inlineStr"/>
      <c r="I772" s="2" t="inlineStr"/>
      <c r="J772" s="2" t="inlineStr"/>
      <c r="K772" s="2" t="inlineStr">
        <is>
          <t>instalação grátis mediante fidelização (não afeta a mensalidade)</t>
        </is>
      </c>
      <c r="L772" s="2" t="inlineStr">
        <is>
          <t>mobile+broadband+tv</t>
        </is>
      </c>
      <c r="M772" s="2" t="inlineStr">
        <is>
          <t>Fiber + Mobile + TV</t>
        </is>
      </c>
      <c r="N772" s="2" t="b">
        <v>1</v>
      </c>
      <c r="O772" s="2" t="b">
        <v>1</v>
      </c>
      <c r="P772" s="2" t="b">
        <v>1</v>
      </c>
      <c r="Q772" s="2" t="b">
        <v>0</v>
      </c>
      <c r="R772" s="4" t="n">
        <v>700</v>
      </c>
      <c r="S772" s="4" t="n">
        <v>120</v>
      </c>
      <c r="T772" s="4" t="n">
        <v>2</v>
      </c>
      <c r="U772" s="2" t="inlineStr">
        <is>
          <t>80 canais de Vivo Estendido</t>
        </is>
      </c>
      <c r="V772" s="2" t="inlineStr"/>
      <c r="W772" s="2" t="inlineStr">
        <is>
          <t>Vivo Travel Américas e Europa; 1 linha adicional inclusa</t>
        </is>
      </c>
      <c r="X772" s="2" t="inlineStr">
        <is>
          <t>700 Mega de Vivo Fibra</t>
        </is>
      </c>
      <c r="Y772" s="2" t="inlineStr">
        <is>
          <t>https://vivo.com.br/para-voce/produtos-e-servicos/combos/vivo-total</t>
        </is>
      </c>
      <c r="Z772" s="2" t="inlineStr">
        <is>
          <t>data/raw/vivo_convergent_total_SP.html</t>
        </is>
      </c>
    </row>
    <row r="773">
      <c r="A773" s="5" t="inlineStr">
        <is>
          <t>2026-09-03</t>
        </is>
      </c>
      <c r="B773" s="5" t="inlineStr">
        <is>
          <t>2026-09-03T19:57:11</t>
        </is>
      </c>
      <c r="C773" s="5" t="inlineStr">
        <is>
          <t>vivo</t>
        </is>
      </c>
      <c r="D773" s="5" t="inlineStr">
        <is>
          <t>SP</t>
        </is>
      </c>
      <c r="E773" s="5" t="inlineStr">
        <is>
          <t>Vivo Família 2 + TV</t>
        </is>
      </c>
      <c r="F773" s="5" t="inlineStr">
        <is>
          <t>vivo:VIV202604032112-3-9-305-316-408-411-426-430-442</t>
        </is>
      </c>
      <c r="G773" s="6" t="n">
        <v>390</v>
      </c>
      <c r="H773" s="6" t="inlineStr"/>
      <c r="I773" s="5" t="inlineStr"/>
      <c r="J773" s="5" t="inlineStr"/>
      <c r="K773" s="5" t="inlineStr">
        <is>
          <t>instalação grátis mediante fidelização (não afeta a mensalidade)</t>
        </is>
      </c>
      <c r="L773" s="5" t="inlineStr">
        <is>
          <t>mobile+broadband+tv</t>
        </is>
      </c>
      <c r="M773" s="5" t="inlineStr">
        <is>
          <t>Fiber + Mobile + TV</t>
        </is>
      </c>
      <c r="N773" s="5" t="b">
        <v>1</v>
      </c>
      <c r="O773" s="5" t="b">
        <v>1</v>
      </c>
      <c r="P773" s="5" t="b">
        <v>1</v>
      </c>
      <c r="Q773" s="5" t="b">
        <v>0</v>
      </c>
      <c r="R773" s="7" t="n">
        <v>700</v>
      </c>
      <c r="S773" s="7" t="n">
        <v>120</v>
      </c>
      <c r="T773" s="7" t="n">
        <v>2</v>
      </c>
      <c r="U773" s="5" t="inlineStr">
        <is>
          <t>120 canais de Vivo TV Avançado + 1 ponto adicional</t>
        </is>
      </c>
      <c r="V773" s="5" t="inlineStr"/>
      <c r="W773" s="5" t="inlineStr">
        <is>
          <t>Vivo Travel Américas e Europa; 1 linha adicional inclusa</t>
        </is>
      </c>
      <c r="X773" s="5" t="inlineStr">
        <is>
          <t>700 Mega de Vivo Fibra</t>
        </is>
      </c>
      <c r="Y773" s="5" t="inlineStr">
        <is>
          <t>https://vivo.com.br/para-voce/produtos-e-servicos/combos/vivo-total</t>
        </is>
      </c>
      <c r="Z773" s="5" t="inlineStr">
        <is>
          <t>data/raw/vivo_convergent_total_SP.html</t>
        </is>
      </c>
    </row>
    <row r="774">
      <c r="A774" s="2" t="inlineStr">
        <is>
          <t>2026-09-03</t>
        </is>
      </c>
      <c r="B774" s="2" t="inlineStr">
        <is>
          <t>2026-09-03T19:57:11</t>
        </is>
      </c>
      <c r="C774" s="2" t="inlineStr">
        <is>
          <t>vivo</t>
        </is>
      </c>
      <c r="D774" s="2" t="inlineStr">
        <is>
          <t>SP</t>
        </is>
      </c>
      <c r="E774" s="2" t="inlineStr">
        <is>
          <t>Vivo Total Família 2</t>
        </is>
      </c>
      <c r="F774" s="2" t="inlineStr">
        <is>
          <t>vivo:VIV202604032132-3-305-316-408-411-426-430-442</t>
        </is>
      </c>
      <c r="G774" s="3" t="n">
        <v>270</v>
      </c>
      <c r="H774" s="3" t="inlineStr"/>
      <c r="I774" s="2" t="inlineStr"/>
      <c r="J774" s="2" t="inlineStr"/>
      <c r="K774" s="2" t="inlineStr">
        <is>
          <t>instalação grátis mediante fidelização (não afeta a mensalidade)</t>
        </is>
      </c>
      <c r="L774" s="2" t="inlineStr">
        <is>
          <t>mobile+broadband</t>
        </is>
      </c>
      <c r="M774" s="2" t="inlineStr">
        <is>
          <t>Fiber + Mobile</t>
        </is>
      </c>
      <c r="N774" s="2" t="b">
        <v>1</v>
      </c>
      <c r="O774" s="2" t="b">
        <v>1</v>
      </c>
      <c r="P774" s="2" t="b">
        <v>0</v>
      </c>
      <c r="Q774" s="2" t="b">
        <v>0</v>
      </c>
      <c r="R774" s="4" t="n">
        <v>700</v>
      </c>
      <c r="S774" s="4" t="n">
        <v>120</v>
      </c>
      <c r="T774" s="4" t="n">
        <v>2</v>
      </c>
      <c r="U774" s="2" t="inlineStr"/>
      <c r="V774" s="2" t="inlineStr"/>
      <c r="W774" s="2" t="inlineStr">
        <is>
          <t>Vivo Travel Américas e Europa; 1 linha adicional inclusa</t>
        </is>
      </c>
      <c r="X774" s="2" t="inlineStr">
        <is>
          <t>700 Mega de Vivo Fibra</t>
        </is>
      </c>
      <c r="Y774" s="2" t="inlineStr">
        <is>
          <t>https://vivo.com.br/para-voce/produtos-e-servicos/combos/vivo-total</t>
        </is>
      </c>
      <c r="Z774" s="2" t="inlineStr">
        <is>
          <t>data/raw/vivo_convergent_total_SP.html</t>
        </is>
      </c>
    </row>
    <row r="775">
      <c r="A775" s="5" t="inlineStr">
        <is>
          <t>2026-09-03</t>
        </is>
      </c>
      <c r="B775" s="5" t="inlineStr">
        <is>
          <t>2026-09-03T19:57:11</t>
        </is>
      </c>
      <c r="C775" s="5" t="inlineStr">
        <is>
          <t>vivo</t>
        </is>
      </c>
      <c r="D775" s="5" t="inlineStr">
        <is>
          <t>SP</t>
        </is>
      </c>
      <c r="E775" s="5" t="inlineStr">
        <is>
          <t>Vivo Total Família 3</t>
        </is>
      </c>
      <c r="F775" s="5" t="inlineStr">
        <is>
          <t>vivo:VIV202604032212-4-305-316-408-411-426-430-442</t>
        </is>
      </c>
      <c r="G775" s="6" t="n">
        <v>330</v>
      </c>
      <c r="H775" s="6" t="inlineStr"/>
      <c r="I775" s="5" t="inlineStr"/>
      <c r="J775" s="5" t="inlineStr"/>
      <c r="K775" s="5" t="inlineStr">
        <is>
          <t>instalação grátis mediante fidelização (não afeta a mensalidade)</t>
        </is>
      </c>
      <c r="L775" s="5" t="inlineStr">
        <is>
          <t>mobile+broadband</t>
        </is>
      </c>
      <c r="M775" s="5" t="inlineStr">
        <is>
          <t>Fiber + Mobile</t>
        </is>
      </c>
      <c r="N775" s="5" t="b">
        <v>1</v>
      </c>
      <c r="O775" s="5" t="b">
        <v>1</v>
      </c>
      <c r="P775" s="5" t="b">
        <v>0</v>
      </c>
      <c r="Q775" s="5" t="b">
        <v>0</v>
      </c>
      <c r="R775" s="7" t="n">
        <v>700</v>
      </c>
      <c r="S775" s="7" t="n">
        <v>180</v>
      </c>
      <c r="T775" s="7" t="n">
        <v>3</v>
      </c>
      <c r="U775" s="5" t="inlineStr"/>
      <c r="V775" s="5" t="inlineStr"/>
      <c r="W775" s="5" t="inlineStr">
        <is>
          <t>Vivo Travel Américas e Europa; 2 linhas adicionais inclusas</t>
        </is>
      </c>
      <c r="X775" s="5" t="inlineStr">
        <is>
          <t>700 Mega de Vivo Fibra</t>
        </is>
      </c>
      <c r="Y775" s="5" t="inlineStr">
        <is>
          <t>https://vivo.com.br/para-voce/produtos-e-servicos/combos/vivo-total</t>
        </is>
      </c>
      <c r="Z775" s="5" t="inlineStr">
        <is>
          <t>data/raw/vivo_convergent_total_SP.html</t>
        </is>
      </c>
    </row>
    <row r="776">
      <c r="A776" s="2" t="inlineStr">
        <is>
          <t>2026-09-03</t>
        </is>
      </c>
      <c r="B776" s="2" t="inlineStr">
        <is>
          <t>2026-09-03T19:57:11</t>
        </is>
      </c>
      <c r="C776" s="2" t="inlineStr">
        <is>
          <t>vivo</t>
        </is>
      </c>
      <c r="D776" s="2" t="inlineStr">
        <is>
          <t>SP</t>
        </is>
      </c>
      <c r="E776" s="2" t="inlineStr">
        <is>
          <t>Vivo Total Família 4</t>
        </is>
      </c>
      <c r="F776" s="2" t="inlineStr">
        <is>
          <t>vivo:VIV202604032292-237-305-316-408-411-426-430-442</t>
        </is>
      </c>
      <c r="G776" s="3" t="n">
        <v>420</v>
      </c>
      <c r="H776" s="3" t="inlineStr"/>
      <c r="I776" s="2" t="inlineStr"/>
      <c r="J776" s="2" t="inlineStr"/>
      <c r="K776" s="2" t="inlineStr">
        <is>
          <t>instalação grátis mediante fidelização (não afeta a mensalidade)</t>
        </is>
      </c>
      <c r="L776" s="2" t="inlineStr">
        <is>
          <t>mobile+broadband</t>
        </is>
      </c>
      <c r="M776" s="2" t="inlineStr">
        <is>
          <t>Fiber + Mobile</t>
        </is>
      </c>
      <c r="N776" s="2" t="b">
        <v>1</v>
      </c>
      <c r="O776" s="2" t="b">
        <v>1</v>
      </c>
      <c r="P776" s="2" t="b">
        <v>0</v>
      </c>
      <c r="Q776" s="2" t="b">
        <v>0</v>
      </c>
      <c r="R776" s="4" t="n">
        <v>700</v>
      </c>
      <c r="S776" s="4" t="n">
        <v>240</v>
      </c>
      <c r="T776" s="4" t="n">
        <v>4</v>
      </c>
      <c r="U776" s="2" t="inlineStr"/>
      <c r="V776" s="2" t="inlineStr"/>
      <c r="W776" s="2" t="inlineStr">
        <is>
          <t>Vivo Travel Américas e Europa; 3 linhas adicionais inclusas</t>
        </is>
      </c>
      <c r="X776" s="2" t="inlineStr">
        <is>
          <t>700 Mega de Vivo Fibra</t>
        </is>
      </c>
      <c r="Y776" s="2" t="inlineStr">
        <is>
          <t>https://vivo.com.br/para-voce/produtos-e-servicos/combos/vivo-total</t>
        </is>
      </c>
      <c r="Z776" s="2" t="inlineStr">
        <is>
          <t>data/raw/vivo_convergent_total_SP.html</t>
        </is>
      </c>
    </row>
    <row r="777">
      <c r="A777" s="5" t="inlineStr">
        <is>
          <t>2026-09-03</t>
        </is>
      </c>
      <c r="B777" s="5" t="inlineStr">
        <is>
          <t>2026-09-03T19:57:11</t>
        </is>
      </c>
      <c r="C777" s="5" t="inlineStr">
        <is>
          <t>vivo</t>
        </is>
      </c>
      <c r="D777" s="5" t="inlineStr">
        <is>
          <t>SP</t>
        </is>
      </c>
      <c r="E777" s="5" t="inlineStr">
        <is>
          <t>Vivo Total Família 5</t>
        </is>
      </c>
      <c r="F777" s="5" t="inlineStr">
        <is>
          <t>vivo:VIV202604032372-5-305-316-408-411-426-430-442</t>
        </is>
      </c>
      <c r="G777" s="6" t="n">
        <v>520</v>
      </c>
      <c r="H777" s="6" t="inlineStr"/>
      <c r="I777" s="5" t="inlineStr"/>
      <c r="J777" s="5" t="inlineStr"/>
      <c r="K777" s="5" t="inlineStr">
        <is>
          <t>instalação grátis mediante fidelização (não afeta a mensalidade)</t>
        </is>
      </c>
      <c r="L777" s="5" t="inlineStr">
        <is>
          <t>mobile+broadband</t>
        </is>
      </c>
      <c r="M777" s="5" t="inlineStr">
        <is>
          <t>Fiber + Mobile</t>
        </is>
      </c>
      <c r="N777" s="5" t="b">
        <v>1</v>
      </c>
      <c r="O777" s="5" t="b">
        <v>1</v>
      </c>
      <c r="P777" s="5" t="b">
        <v>0</v>
      </c>
      <c r="Q777" s="5" t="b">
        <v>0</v>
      </c>
      <c r="R777" s="7" t="n">
        <v>700</v>
      </c>
      <c r="S777" s="7" t="n">
        <v>300</v>
      </c>
      <c r="T777" s="7" t="n">
        <v>5</v>
      </c>
      <c r="U777" s="5" t="inlineStr"/>
      <c r="V777" s="5" t="inlineStr"/>
      <c r="W777" s="5" t="inlineStr">
        <is>
          <t>Vivo Travel Américas e Europa; 4 linhas adicionais inclusas</t>
        </is>
      </c>
      <c r="X777" s="5" t="inlineStr">
        <is>
          <t>700 Mega de Vivo Fibra</t>
        </is>
      </c>
      <c r="Y777" s="5" t="inlineStr">
        <is>
          <t>https://vivo.com.br/para-voce/produtos-e-servicos/combos/vivo-total</t>
        </is>
      </c>
      <c r="Z777" s="5" t="inlineStr">
        <is>
          <t>data/raw/vivo_convergent_total_SP.html</t>
        </is>
      </c>
    </row>
    <row r="778">
      <c r="A778" s="2" t="inlineStr">
        <is>
          <t>2026-09-03</t>
        </is>
      </c>
      <c r="B778" s="2" t="inlineStr">
        <is>
          <t>2026-09-03T19:57:11</t>
        </is>
      </c>
      <c r="C778" s="2" t="inlineStr">
        <is>
          <t>vivo</t>
        </is>
      </c>
      <c r="D778" s="2" t="inlineStr">
        <is>
          <t>SP</t>
        </is>
      </c>
      <c r="E778" s="2" t="inlineStr">
        <is>
          <t>Vivo Total Pro</t>
        </is>
      </c>
      <c r="F778" s="2" t="inlineStr">
        <is>
          <t>vivo:VIV202604031772-2-305-308-316-326-342-411-430</t>
        </is>
      </c>
      <c r="G778" s="3" t="n">
        <v>160</v>
      </c>
      <c r="H778" s="3" t="inlineStr"/>
      <c r="I778" s="2" t="inlineStr"/>
      <c r="J778" s="2" t="inlineStr"/>
      <c r="K778" s="2" t="inlineStr">
        <is>
          <t>instalação grátis mediante fidelização (não afeta a mensalidade)</t>
        </is>
      </c>
      <c r="L778" s="2" t="inlineStr">
        <is>
          <t>mobile+broadband</t>
        </is>
      </c>
      <c r="M778" s="2" t="inlineStr">
        <is>
          <t>Fiber + Mobile</t>
        </is>
      </c>
      <c r="N778" s="2" t="b">
        <v>1</v>
      </c>
      <c r="O778" s="2" t="b">
        <v>1</v>
      </c>
      <c r="P778" s="2" t="b">
        <v>0</v>
      </c>
      <c r="Q778" s="2" t="b">
        <v>0</v>
      </c>
      <c r="R778" s="4" t="n">
        <v>500</v>
      </c>
      <c r="S778" s="4" t="n">
        <v>70</v>
      </c>
      <c r="T778" s="4" t="n">
        <v>1</v>
      </c>
      <c r="U778" s="2" t="inlineStr"/>
      <c r="V778" s="2" t="inlineStr"/>
      <c r="W778" s="2" t="inlineStr">
        <is>
          <t>Vivo Travel Américas; 50 GB de franquia + 20 GB de bônus</t>
        </is>
      </c>
      <c r="X778" s="2" t="inlineStr">
        <is>
          <t>500 Mega de Vivo Fibra</t>
        </is>
      </c>
      <c r="Y778" s="2" t="inlineStr">
        <is>
          <t>https://vivo.com.br/para-voce/produtos-e-servicos/combos/vivo-total</t>
        </is>
      </c>
      <c r="Z778" s="2" t="inlineStr">
        <is>
          <t>data/raw/vivo_convergent_total_SP.html</t>
        </is>
      </c>
    </row>
    <row r="779">
      <c r="A779" s="5" t="inlineStr">
        <is>
          <t>2026-09-03</t>
        </is>
      </c>
      <c r="B779" s="5" t="inlineStr">
        <is>
          <t>2026-09-03T19:57:11</t>
        </is>
      </c>
      <c r="C779" s="5" t="inlineStr">
        <is>
          <t>vivo</t>
        </is>
      </c>
      <c r="D779" s="5" t="inlineStr">
        <is>
          <t>SP</t>
        </is>
      </c>
      <c r="E779" s="5" t="inlineStr">
        <is>
          <t>Vivo Total Ultra</t>
        </is>
      </c>
      <c r="F779" s="5" t="inlineStr">
        <is>
          <t>vivo:VIV202604032034-305-313-316-408-411-426-430-442</t>
        </is>
      </c>
      <c r="G779" s="6" t="n">
        <v>190</v>
      </c>
      <c r="H779" s="6" t="inlineStr"/>
      <c r="I779" s="5" t="inlineStr"/>
      <c r="J779" s="5" t="inlineStr"/>
      <c r="K779" s="5" t="inlineStr">
        <is>
          <t>instalação grátis mediante fidelização (não afeta a mensalidade)</t>
        </is>
      </c>
      <c r="L779" s="5" t="inlineStr">
        <is>
          <t>mobile+broadband</t>
        </is>
      </c>
      <c r="M779" s="5" t="inlineStr">
        <is>
          <t>Fiber + Mobile</t>
        </is>
      </c>
      <c r="N779" s="5" t="b">
        <v>1</v>
      </c>
      <c r="O779" s="5" t="b">
        <v>1</v>
      </c>
      <c r="P779" s="5" t="b">
        <v>0</v>
      </c>
      <c r="Q779" s="5" t="b">
        <v>0</v>
      </c>
      <c r="R779" s="7" t="n">
        <v>700</v>
      </c>
      <c r="S779" s="7" t="n">
        <v>80</v>
      </c>
      <c r="T779" s="7" t="n">
        <v>1</v>
      </c>
      <c r="U779" s="5" t="inlineStr"/>
      <c r="V779" s="5" t="inlineStr"/>
      <c r="W779" s="5" t="inlineStr">
        <is>
          <t>Vivo Travel Américas; 70 GB de franquia + 10 GB de bônus</t>
        </is>
      </c>
      <c r="X779" s="5" t="inlineStr">
        <is>
          <t>700 Mega de Vivo Fibra</t>
        </is>
      </c>
      <c r="Y779" s="5" t="inlineStr">
        <is>
          <t>https://vivo.com.br/para-voce/produtos-e-servicos/combos/vivo-total</t>
        </is>
      </c>
      <c r="Z779" s="5" t="inlineStr">
        <is>
          <t>data/raw/vivo_convergent_total_SP.html</t>
        </is>
      </c>
    </row>
    <row r="780">
      <c r="A780" s="2" t="inlineStr">
        <is>
          <t>2026-09-03</t>
        </is>
      </c>
      <c r="B780" s="2" t="inlineStr">
        <is>
          <t>2026-09-03T19:57:11</t>
        </is>
      </c>
      <c r="C780" s="2" t="inlineStr">
        <is>
          <t>vivo</t>
        </is>
      </c>
      <c r="D780" s="2" t="inlineStr">
        <is>
          <t>SP</t>
        </is>
      </c>
      <c r="E780" s="2" t="inlineStr">
        <is>
          <t>Vivo Total Ultra + TV</t>
        </is>
      </c>
      <c r="F780" s="2" t="inlineStr">
        <is>
          <t>vivo:VIV202604031882-9-305-313-316-408-411-426-430-442</t>
        </is>
      </c>
      <c r="G780" s="3" t="n">
        <v>310</v>
      </c>
      <c r="H780" s="3" t="inlineStr"/>
      <c r="I780" s="2" t="inlineStr"/>
      <c r="J780" s="2" t="inlineStr"/>
      <c r="K780" s="2" t="inlineStr">
        <is>
          <t>instalação grátis mediante fidelização (não afeta a mensalidade)</t>
        </is>
      </c>
      <c r="L780" s="2" t="inlineStr">
        <is>
          <t>mobile+broadband+tv</t>
        </is>
      </c>
      <c r="M780" s="2" t="inlineStr">
        <is>
          <t>Fiber + Mobile + TV</t>
        </is>
      </c>
      <c r="N780" s="2" t="b">
        <v>1</v>
      </c>
      <c r="O780" s="2" t="b">
        <v>1</v>
      </c>
      <c r="P780" s="2" t="b">
        <v>1</v>
      </c>
      <c r="Q780" s="2" t="b">
        <v>0</v>
      </c>
      <c r="R780" s="4" t="n">
        <v>700</v>
      </c>
      <c r="S780" s="4" t="n">
        <v>80</v>
      </c>
      <c r="T780" s="4" t="n">
        <v>1</v>
      </c>
      <c r="U780" s="2" t="inlineStr">
        <is>
          <t>120 canais de Vivo TV Avançado + 1 ponto adicional</t>
        </is>
      </c>
      <c r="V780" s="2" t="inlineStr"/>
      <c r="W780" s="2" t="inlineStr">
        <is>
          <t>Vivo Travel Américas; 70 GB de franquia + 10 GB de bônus</t>
        </is>
      </c>
      <c r="X780" s="2" t="inlineStr">
        <is>
          <t>700 Mega de Vivo Fibra</t>
        </is>
      </c>
      <c r="Y780" s="2" t="inlineStr">
        <is>
          <t>https://vivo.com.br/para-voce/produtos-e-servicos/combos/vivo-total</t>
        </is>
      </c>
      <c r="Z780" s="2" t="inlineStr">
        <is>
          <t>data/raw/vivo_convergent_total_SP.html</t>
        </is>
      </c>
    </row>
    <row r="781">
      <c r="A781" s="5" t="inlineStr">
        <is>
          <t>2026-09-03</t>
        </is>
      </c>
      <c r="B781" s="5" t="inlineStr">
        <is>
          <t>2026-09-03T19:57:11</t>
        </is>
      </c>
      <c r="C781" s="5" t="inlineStr">
        <is>
          <t>vivo</t>
        </is>
      </c>
      <c r="D781" s="5" t="inlineStr">
        <is>
          <t>SP</t>
        </is>
      </c>
      <c r="E781" s="5" t="inlineStr">
        <is>
          <t>Vivo Total Ultra + TV online</t>
        </is>
      </c>
      <c r="F781" s="5" t="inlineStr">
        <is>
          <t>vivo:VIV202604032034-305-313-316-336-408-411-426-430-442</t>
        </is>
      </c>
      <c r="G781" s="6" t="n">
        <v>210</v>
      </c>
      <c r="H781" s="6" t="inlineStr"/>
      <c r="I781" s="5" t="inlineStr"/>
      <c r="J781" s="5" t="inlineStr"/>
      <c r="K781" s="5" t="inlineStr">
        <is>
          <t>instalação grátis mediante fidelização (não afeta a mensalidade)</t>
        </is>
      </c>
      <c r="L781" s="5" t="inlineStr">
        <is>
          <t>mobile+broadband+tv</t>
        </is>
      </c>
      <c r="M781" s="5" t="inlineStr">
        <is>
          <t>Fiber + Mobile + TV</t>
        </is>
      </c>
      <c r="N781" s="5" t="b">
        <v>1</v>
      </c>
      <c r="O781" s="5" t="b">
        <v>1</v>
      </c>
      <c r="P781" s="5" t="b">
        <v>1</v>
      </c>
      <c r="Q781" s="5" t="b">
        <v>0</v>
      </c>
      <c r="R781" s="7" t="n">
        <v>700</v>
      </c>
      <c r="S781" s="7" t="n">
        <v>80</v>
      </c>
      <c r="T781" s="7" t="n">
        <v>1</v>
      </c>
      <c r="U781" s="5" t="inlineStr">
        <is>
          <t>80 canais de Vivo Estendido</t>
        </is>
      </c>
      <c r="V781" s="5" t="inlineStr"/>
      <c r="W781" s="5" t="inlineStr">
        <is>
          <t>Vivo Travel Américas; 70 GB de franquia + 10 GB de bônus</t>
        </is>
      </c>
      <c r="X781" s="5" t="inlineStr">
        <is>
          <t>700 Mega de Vivo Fibra</t>
        </is>
      </c>
      <c r="Y781" s="5" t="inlineStr">
        <is>
          <t>https://vivo.com.br/para-voce/produtos-e-servicos/combos/vivo-total</t>
        </is>
      </c>
      <c r="Z781" s="5" t="inlineStr">
        <is>
          <t>data/raw/vivo_convergent_total_SP.html</t>
        </is>
      </c>
    </row>
    <row r="782">
      <c r="A782" s="2" t="inlineStr">
        <is>
          <t>2026-09-03</t>
        </is>
      </c>
      <c r="B782" s="2" t="inlineStr">
        <is>
          <t>2026-09-03T19:57:11</t>
        </is>
      </c>
      <c r="C782" s="2" t="inlineStr">
        <is>
          <t>vivo</t>
        </is>
      </c>
      <c r="D782" s="2" t="inlineStr">
        <is>
          <t>SP</t>
        </is>
      </c>
      <c r="E782" s="2" t="inlineStr">
        <is>
          <t>Vivo Total V 1 Giga</t>
        </is>
      </c>
      <c r="F782" s="2" t="inlineStr">
        <is>
          <t>vivo:VIV202604032532-2-305-316-408-426-430-442</t>
        </is>
      </c>
      <c r="G782" s="3" t="n">
        <v>1200</v>
      </c>
      <c r="H782" s="3" t="inlineStr"/>
      <c r="I782" s="2" t="inlineStr"/>
      <c r="J782" s="2" t="inlineStr"/>
      <c r="K782" s="2" t="inlineStr">
        <is>
          <t>instalação grátis mediante fidelização (não afeta a mensalidade)</t>
        </is>
      </c>
      <c r="L782" s="2" t="inlineStr">
        <is>
          <t>mobile+broadband+tv</t>
        </is>
      </c>
      <c r="M782" s="2" t="inlineStr">
        <is>
          <t>Fiber + Mobile + TV</t>
        </is>
      </c>
      <c r="N782" s="2" t="b">
        <v>1</v>
      </c>
      <c r="O782" s="2" t="b">
        <v>1</v>
      </c>
      <c r="P782" s="2" t="b">
        <v>1</v>
      </c>
      <c r="Q782" s="2" t="b">
        <v>0</v>
      </c>
      <c r="R782" s="4" t="n">
        <v>1000</v>
      </c>
      <c r="S782" s="4" t="n">
        <v>600</v>
      </c>
      <c r="T782" s="4" t="n">
        <v>11</v>
      </c>
      <c r="U782" s="2" t="inlineStr">
        <is>
          <t>Vivo TV Completo com HBO Max e Telecine</t>
        </is>
      </c>
      <c r="V782" s="2" t="inlineStr"/>
      <c r="W782" s="2" t="inlineStr">
        <is>
          <t>Vivo Travel Mundo; 10 linhas adicionais inclusas; Vivo TV Completo com HBO Max e Telecine</t>
        </is>
      </c>
      <c r="X782" s="2" t="inlineStr">
        <is>
          <t>1Giga de Vivo Fibra</t>
        </is>
      </c>
      <c r="Y782" s="2" t="inlineStr">
        <is>
          <t>https://vivo.com.br/para-voce/produtos-e-servicos/combos/vivo-total</t>
        </is>
      </c>
      <c r="Z782" s="2" t="inlineStr">
        <is>
          <t>data/raw/vivo_convergent_total_SP.html</t>
        </is>
      </c>
    </row>
    <row r="783">
      <c r="A783" s="5" t="inlineStr">
        <is>
          <t>2026-09-04</t>
        </is>
      </c>
      <c r="B783" s="5" t="inlineStr">
        <is>
          <t>2026-09-04T19:45:10</t>
        </is>
      </c>
      <c r="C783" s="5" t="inlineStr">
        <is>
          <t>claro</t>
        </is>
      </c>
      <c r="D783" s="5" t="inlineStr">
        <is>
          <t>SP</t>
        </is>
      </c>
      <c r="E783" s="5" t="inlineStr">
        <is>
          <t>1 Giga com Globoplay incluso + Claro tv+ Box + Disney+ Amazon Prime + Netflix + HBO Max + Apple TV + Globoplay</t>
        </is>
      </c>
      <c r="F783" s="5" t="inlineStr">
        <is>
          <t>claro:af8152be-4aa7-4aa8-819a-a79687a3a9a0</t>
        </is>
      </c>
      <c r="G783" s="6" t="n">
        <v>319.8</v>
      </c>
      <c r="H783" s="6" t="inlineStr"/>
      <c r="I783" s="5" t="inlineStr"/>
      <c r="J783" s="5" t="inlineStr"/>
      <c r="K783" s="5" t="inlineStr">
        <is>
          <t>tab: Fibra + TV</t>
        </is>
      </c>
      <c r="L783" s="5" t="inlineStr">
        <is>
          <t>broadband+tv</t>
        </is>
      </c>
      <c r="M783" s="5" t="inlineStr">
        <is>
          <t>Fiber + TV</t>
        </is>
      </c>
      <c r="N783" s="5" t="b">
        <v>0</v>
      </c>
      <c r="O783" s="5" t="b">
        <v>1</v>
      </c>
      <c r="P783" s="5" t="b">
        <v>1</v>
      </c>
      <c r="Q783" s="5" t="b">
        <v>0</v>
      </c>
      <c r="R783" s="7" t="n">
        <v>1000</v>
      </c>
      <c r="S783" s="7" t="inlineStr"/>
      <c r="T783" s="7" t="inlineStr"/>
      <c r="U783" s="5" t="inlineStr">
        <is>
          <t>Claro tv+ Box + Disney+ Amazon Prime + Netflix + HBO Max + Apple TV + Globoplay</t>
        </is>
      </c>
      <c r="V783" s="5" t="inlineStr"/>
      <c r="W783" s="5" t="inlineStr"/>
      <c r="X783" s="5" t="inlineStr"/>
      <c r="Y783" s="5" t="inlineStr">
        <is>
          <t>https://www.claro.com.br/multi</t>
        </is>
      </c>
      <c r="Z783" s="5" t="inlineStr">
        <is>
          <t>data/raw/claro_convergent_multi_SP.html</t>
        </is>
      </c>
    </row>
    <row r="784">
      <c r="A784" s="2" t="inlineStr">
        <is>
          <t>2026-09-04</t>
        </is>
      </c>
      <c r="B784" s="2" t="inlineStr">
        <is>
          <t>2026-09-04T19:45:10</t>
        </is>
      </c>
      <c r="C784" s="2" t="inlineStr">
        <is>
          <t>claro</t>
        </is>
      </c>
      <c r="D784" s="2" t="inlineStr">
        <is>
          <t>SP</t>
        </is>
      </c>
      <c r="E784" s="2" t="inlineStr">
        <is>
          <t>1 Giga com Globoplay incluso + Claro tv+ Soundbox + Disney+ Amazon Prime + Netflix + HBO Max + Apple TV + Globoplay</t>
        </is>
      </c>
      <c r="F784" s="2" t="inlineStr">
        <is>
          <t>claro:ceb9fd87-0897-4dd2-a2f2-e7f09e714e49</t>
        </is>
      </c>
      <c r="G784" s="3" t="n">
        <v>429.8</v>
      </c>
      <c r="H784" s="3" t="inlineStr"/>
      <c r="I784" s="2" t="inlineStr"/>
      <c r="J784" s="2" t="inlineStr"/>
      <c r="K784" s="2" t="inlineStr">
        <is>
          <t>tab: Fibra + TV</t>
        </is>
      </c>
      <c r="L784" s="2" t="inlineStr">
        <is>
          <t>broadband+tv</t>
        </is>
      </c>
      <c r="M784" s="2" t="inlineStr">
        <is>
          <t>Fiber + TV</t>
        </is>
      </c>
      <c r="N784" s="2" t="b">
        <v>0</v>
      </c>
      <c r="O784" s="2" t="b">
        <v>1</v>
      </c>
      <c r="P784" s="2" t="b">
        <v>1</v>
      </c>
      <c r="Q784" s="2" t="b">
        <v>0</v>
      </c>
      <c r="R784" s="4" t="n">
        <v>1000</v>
      </c>
      <c r="S784" s="4" t="inlineStr"/>
      <c r="T784" s="4" t="inlineStr"/>
      <c r="U784" s="2" t="inlineStr">
        <is>
          <t>Claro tv+ Soundbox + Disney+ Amazon Prime + Netflix + HBO Max + Apple TV + Globoplay</t>
        </is>
      </c>
      <c r="V784" s="2" t="inlineStr"/>
      <c r="W784" s="2" t="inlineStr"/>
      <c r="X784" s="2" t="inlineStr"/>
      <c r="Y784" s="2" t="inlineStr">
        <is>
          <t>https://www.claro.com.br/multi</t>
        </is>
      </c>
      <c r="Z784" s="2" t="inlineStr">
        <is>
          <t>data/raw/claro_convergent_multi_SP.html</t>
        </is>
      </c>
    </row>
    <row r="785">
      <c r="A785" s="5" t="inlineStr">
        <is>
          <t>2026-09-04</t>
        </is>
      </c>
      <c r="B785" s="5" t="inlineStr">
        <is>
          <t>2026-09-04T19:45:10</t>
        </is>
      </c>
      <c r="C785" s="5" t="inlineStr">
        <is>
          <t>claro</t>
        </is>
      </c>
      <c r="D785" s="5" t="inlineStr">
        <is>
          <t>SP</t>
        </is>
      </c>
      <c r="E785" s="5" t="inlineStr">
        <is>
          <t>1 Giga com Globoplay incluso + Pós 100GB</t>
        </is>
      </c>
      <c r="F785" s="5" t="inlineStr">
        <is>
          <t>claro:a1de0ac1-61bb-4e97-a744-1ae4c3541673</t>
        </is>
      </c>
      <c r="G785" s="6" t="n">
        <v>179.9</v>
      </c>
      <c r="H785" s="6" t="inlineStr"/>
      <c r="I785" s="5" t="inlineStr"/>
      <c r="J785" s="5" t="inlineStr"/>
      <c r="K785" s="5" t="inlineStr">
        <is>
          <t>tab: Fibra + Móvel</t>
        </is>
      </c>
      <c r="L785" s="5" t="inlineStr">
        <is>
          <t>mobile+broadband</t>
        </is>
      </c>
      <c r="M785" s="5" t="inlineStr">
        <is>
          <t>Fiber + Mobile</t>
        </is>
      </c>
      <c r="N785" s="5" t="b">
        <v>1</v>
      </c>
      <c r="O785" s="5" t="b">
        <v>1</v>
      </c>
      <c r="P785" s="5" t="b">
        <v>0</v>
      </c>
      <c r="Q785" s="5" t="b">
        <v>0</v>
      </c>
      <c r="R785" s="7" t="n">
        <v>1000</v>
      </c>
      <c r="S785" s="7" t="n">
        <v>100</v>
      </c>
      <c r="T785" s="7" t="n">
        <v>1</v>
      </c>
      <c r="U785" s="5" t="inlineStr"/>
      <c r="V785" s="5" t="inlineStr"/>
      <c r="W785" s="5" t="inlineStr"/>
      <c r="X785" s="5" t="inlineStr">
        <is>
          <t>Pós 100GB</t>
        </is>
      </c>
      <c r="Y785" s="5" t="inlineStr">
        <is>
          <t>https://www.claro.com.br/multi</t>
        </is>
      </c>
      <c r="Z785" s="5" t="inlineStr">
        <is>
          <t>data/raw/claro_convergent_multi_SP.html</t>
        </is>
      </c>
    </row>
    <row r="786">
      <c r="A786" s="2" t="inlineStr">
        <is>
          <t>2026-09-04</t>
        </is>
      </c>
      <c r="B786" s="2" t="inlineStr">
        <is>
          <t>2026-09-04T19:45:10</t>
        </is>
      </c>
      <c r="C786" s="2" t="inlineStr">
        <is>
          <t>claro</t>
        </is>
      </c>
      <c r="D786" s="2" t="inlineStr">
        <is>
          <t>SP</t>
        </is>
      </c>
      <c r="E786" s="2" t="inlineStr">
        <is>
          <t>1 Giga com Globoplay incluso + Pós 100GB + Claro tv+ Box + Disney+ Amazon Prime + Netflix + HBO Max + Apple TV + Globoplay</t>
        </is>
      </c>
      <c r="F786" s="2" t="inlineStr">
        <is>
          <t>claro:548c4bad-7857-4c0c-94d5-45d33d66c57f</t>
        </is>
      </c>
      <c r="G786" s="3" t="n">
        <v>289.8</v>
      </c>
      <c r="H786" s="3" t="inlineStr"/>
      <c r="I786" s="2" t="inlineStr"/>
      <c r="J786" s="2" t="inlineStr"/>
      <c r="K786" s="2" t="inlineStr">
        <is>
          <t>tab: Fibra + Móvel + TV</t>
        </is>
      </c>
      <c r="L786" s="2" t="inlineStr">
        <is>
          <t>mobile+broadband+tv</t>
        </is>
      </c>
      <c r="M786" s="2" t="inlineStr">
        <is>
          <t>Fiber + Mobile + TV</t>
        </is>
      </c>
      <c r="N786" s="2" t="b">
        <v>1</v>
      </c>
      <c r="O786" s="2" t="b">
        <v>1</v>
      </c>
      <c r="P786" s="2" t="b">
        <v>1</v>
      </c>
      <c r="Q786" s="2" t="b">
        <v>0</v>
      </c>
      <c r="R786" s="4" t="n">
        <v>1000</v>
      </c>
      <c r="S786" s="4" t="n">
        <v>100</v>
      </c>
      <c r="T786" s="4" t="n">
        <v>1</v>
      </c>
      <c r="U786" s="2" t="inlineStr">
        <is>
          <t>Claro tv+ Box + Disney+ Amazon Prime + Netflix + HBO Max + Apple TV + Globoplay</t>
        </is>
      </c>
      <c r="V786" s="2" t="inlineStr"/>
      <c r="W786" s="2" t="inlineStr"/>
      <c r="X786" s="2" t="inlineStr">
        <is>
          <t>Pós 100GB</t>
        </is>
      </c>
      <c r="Y786" s="2" t="inlineStr">
        <is>
          <t>https://www.claro.com.br/multi</t>
        </is>
      </c>
      <c r="Z786" s="2" t="inlineStr">
        <is>
          <t>data/raw/claro_convergent_multi_SP.html</t>
        </is>
      </c>
    </row>
    <row r="787">
      <c r="A787" s="5" t="inlineStr">
        <is>
          <t>2026-09-04</t>
        </is>
      </c>
      <c r="B787" s="5" t="inlineStr">
        <is>
          <t>2026-09-04T19:45:10</t>
        </is>
      </c>
      <c r="C787" s="5" t="inlineStr">
        <is>
          <t>claro</t>
        </is>
      </c>
      <c r="D787" s="5" t="inlineStr">
        <is>
          <t>SP</t>
        </is>
      </c>
      <c r="E787" s="5" t="inlineStr">
        <is>
          <t>1 Giga com Globoplay incluso + Pós 150GB</t>
        </is>
      </c>
      <c r="F787" s="5" t="inlineStr">
        <is>
          <t>claro:d47e2a3b-dfd0-410e-9c24-d07a334d01d4</t>
        </is>
      </c>
      <c r="G787" s="6" t="n">
        <v>299.9</v>
      </c>
      <c r="H787" s="6" t="inlineStr"/>
      <c r="I787" s="5" t="inlineStr"/>
      <c r="J787" s="5" t="inlineStr"/>
      <c r="K787" s="5" t="inlineStr">
        <is>
          <t>tab: Fibra + Móvel</t>
        </is>
      </c>
      <c r="L787" s="5" t="inlineStr">
        <is>
          <t>mobile+broadband</t>
        </is>
      </c>
      <c r="M787" s="5" t="inlineStr">
        <is>
          <t>Fiber + Mobile</t>
        </is>
      </c>
      <c r="N787" s="5" t="b">
        <v>1</v>
      </c>
      <c r="O787" s="5" t="b">
        <v>1</v>
      </c>
      <c r="P787" s="5" t="b">
        <v>0</v>
      </c>
      <c r="Q787" s="5" t="b">
        <v>0</v>
      </c>
      <c r="R787" s="7" t="n">
        <v>1000</v>
      </c>
      <c r="S787" s="7" t="n">
        <v>150</v>
      </c>
      <c r="T787" s="7" t="n">
        <v>2</v>
      </c>
      <c r="U787" s="5" t="inlineStr"/>
      <c r="V787" s="5" t="inlineStr"/>
      <c r="W787" s="5" t="inlineStr"/>
      <c r="X787" s="5" t="inlineStr">
        <is>
          <t>Pós 150GB</t>
        </is>
      </c>
      <c r="Y787" s="5" t="inlineStr">
        <is>
          <t>https://www.claro.com.br/multi</t>
        </is>
      </c>
      <c r="Z787" s="5" t="inlineStr">
        <is>
          <t>data/raw/claro_convergent_multi_SP.html</t>
        </is>
      </c>
    </row>
    <row r="788">
      <c r="A788" s="2" t="inlineStr">
        <is>
          <t>2026-09-04</t>
        </is>
      </c>
      <c r="B788" s="2" t="inlineStr">
        <is>
          <t>2026-09-04T19:45:10</t>
        </is>
      </c>
      <c r="C788" s="2" t="inlineStr">
        <is>
          <t>claro</t>
        </is>
      </c>
      <c r="D788" s="2" t="inlineStr">
        <is>
          <t>SP</t>
        </is>
      </c>
      <c r="E788" s="2" t="inlineStr">
        <is>
          <t>1 Giga com Globoplay incluso + Pós 150GB + Claro tv+ Box + Disney+ Amazon Prime + Netflix + HBO Max + Apple TV + Globoplay</t>
        </is>
      </c>
      <c r="F788" s="2" t="inlineStr">
        <is>
          <t>claro:7785b449-69f2-4234-9e24-8837e32a55c0</t>
        </is>
      </c>
      <c r="G788" s="3" t="n">
        <v>409.8</v>
      </c>
      <c r="H788" s="3" t="inlineStr"/>
      <c r="I788" s="2" t="inlineStr"/>
      <c r="J788" s="2" t="inlineStr"/>
      <c r="K788" s="2" t="inlineStr">
        <is>
          <t>tab: Fibra + Móvel + TV</t>
        </is>
      </c>
      <c r="L788" s="2" t="inlineStr">
        <is>
          <t>mobile+broadband+tv</t>
        </is>
      </c>
      <c r="M788" s="2" t="inlineStr">
        <is>
          <t>Fiber + Mobile + TV</t>
        </is>
      </c>
      <c r="N788" s="2" t="b">
        <v>1</v>
      </c>
      <c r="O788" s="2" t="b">
        <v>1</v>
      </c>
      <c r="P788" s="2" t="b">
        <v>1</v>
      </c>
      <c r="Q788" s="2" t="b">
        <v>0</v>
      </c>
      <c r="R788" s="4" t="n">
        <v>1000</v>
      </c>
      <c r="S788" s="4" t="n">
        <v>150</v>
      </c>
      <c r="T788" s="4" t="n">
        <v>1</v>
      </c>
      <c r="U788" s="2" t="inlineStr">
        <is>
          <t>Claro tv+ Box + Disney+ Amazon Prime + Netflix + HBO Max + Apple TV + Globoplay</t>
        </is>
      </c>
      <c r="V788" s="2" t="inlineStr"/>
      <c r="W788" s="2" t="inlineStr"/>
      <c r="X788" s="2" t="inlineStr">
        <is>
          <t>Pós 150GB</t>
        </is>
      </c>
      <c r="Y788" s="2" t="inlineStr">
        <is>
          <t>https://www.claro.com.br/multi</t>
        </is>
      </c>
      <c r="Z788" s="2" t="inlineStr">
        <is>
          <t>data/raw/claro_convergent_multi_SP.html</t>
        </is>
      </c>
    </row>
    <row r="789">
      <c r="A789" s="5" t="inlineStr">
        <is>
          <t>2026-09-04</t>
        </is>
      </c>
      <c r="B789" s="5" t="inlineStr">
        <is>
          <t>2026-09-04T19:45:10</t>
        </is>
      </c>
      <c r="C789" s="5" t="inlineStr">
        <is>
          <t>claro</t>
        </is>
      </c>
      <c r="D789" s="5" t="inlineStr">
        <is>
          <t>SP</t>
        </is>
      </c>
      <c r="E789" s="5" t="inlineStr">
        <is>
          <t>1 Giga com Globoplay incluso + Pós 200GB</t>
        </is>
      </c>
      <c r="F789" s="5" t="inlineStr">
        <is>
          <t>claro:1961a62d-3213-4ff0-a152-401a45c5b1b5</t>
        </is>
      </c>
      <c r="G789" s="6" t="n">
        <v>359.9</v>
      </c>
      <c r="H789" s="6" t="inlineStr"/>
      <c r="I789" s="5" t="inlineStr"/>
      <c r="J789" s="5" t="inlineStr"/>
      <c r="K789" s="5" t="inlineStr">
        <is>
          <t>tab: Fibra + Móvel</t>
        </is>
      </c>
      <c r="L789" s="5" t="inlineStr">
        <is>
          <t>mobile+broadband</t>
        </is>
      </c>
      <c r="M789" s="5" t="inlineStr">
        <is>
          <t>Fiber + Mobile</t>
        </is>
      </c>
      <c r="N789" s="5" t="b">
        <v>1</v>
      </c>
      <c r="O789" s="5" t="b">
        <v>1</v>
      </c>
      <c r="P789" s="5" t="b">
        <v>0</v>
      </c>
      <c r="Q789" s="5" t="b">
        <v>0</v>
      </c>
      <c r="R789" s="7" t="n">
        <v>1000</v>
      </c>
      <c r="S789" s="7" t="n">
        <v>200</v>
      </c>
      <c r="T789" s="7" t="n">
        <v>3</v>
      </c>
      <c r="U789" s="5" t="inlineStr"/>
      <c r="V789" s="5" t="inlineStr"/>
      <c r="W789" s="5" t="inlineStr"/>
      <c r="X789" s="5" t="inlineStr">
        <is>
          <t>Pós 200GB</t>
        </is>
      </c>
      <c r="Y789" s="5" t="inlineStr">
        <is>
          <t>https://www.claro.com.br/multi</t>
        </is>
      </c>
      <c r="Z789" s="5" t="inlineStr">
        <is>
          <t>data/raw/claro_convergent_multi_SP.html</t>
        </is>
      </c>
    </row>
    <row r="790">
      <c r="A790" s="2" t="inlineStr">
        <is>
          <t>2026-09-04</t>
        </is>
      </c>
      <c r="B790" s="2" t="inlineStr">
        <is>
          <t>2026-09-04T19:45:10</t>
        </is>
      </c>
      <c r="C790" s="2" t="inlineStr">
        <is>
          <t>claro</t>
        </is>
      </c>
      <c r="D790" s="2" t="inlineStr">
        <is>
          <t>SP</t>
        </is>
      </c>
      <c r="E790" s="2" t="inlineStr">
        <is>
          <t>1 Giga com Globoplay incluso + Pós 200GB + Claro tv+ Box + Disney+ Amazon Prime + Netflix + HBO Max + Apple TV + Globoplay</t>
        </is>
      </c>
      <c r="F790" s="2" t="inlineStr">
        <is>
          <t>claro:312815a2-b3a5-43bb-89a1-272d53ccb212</t>
        </is>
      </c>
      <c r="G790" s="3" t="n">
        <v>469.8</v>
      </c>
      <c r="H790" s="3" t="inlineStr"/>
      <c r="I790" s="2" t="inlineStr"/>
      <c r="J790" s="2" t="inlineStr"/>
      <c r="K790" s="2" t="inlineStr">
        <is>
          <t>tab: Fibra + Móvel + TV</t>
        </is>
      </c>
      <c r="L790" s="2" t="inlineStr">
        <is>
          <t>mobile+broadband+tv</t>
        </is>
      </c>
      <c r="M790" s="2" t="inlineStr">
        <is>
          <t>Fiber + Mobile + TV</t>
        </is>
      </c>
      <c r="N790" s="2" t="b">
        <v>1</v>
      </c>
      <c r="O790" s="2" t="b">
        <v>1</v>
      </c>
      <c r="P790" s="2" t="b">
        <v>1</v>
      </c>
      <c r="Q790" s="2" t="b">
        <v>0</v>
      </c>
      <c r="R790" s="4" t="n">
        <v>1000</v>
      </c>
      <c r="S790" s="4" t="n">
        <v>200</v>
      </c>
      <c r="T790" s="4" t="n">
        <v>1</v>
      </c>
      <c r="U790" s="2" t="inlineStr">
        <is>
          <t>Claro tv+ Box + Disney+ Amazon Prime + Netflix + HBO Max + Apple TV + Globoplay</t>
        </is>
      </c>
      <c r="V790" s="2" t="inlineStr"/>
      <c r="W790" s="2" t="inlineStr"/>
      <c r="X790" s="2" t="inlineStr">
        <is>
          <t>Pós 200GB</t>
        </is>
      </c>
      <c r="Y790" s="2" t="inlineStr">
        <is>
          <t>https://www.claro.com.br/multi</t>
        </is>
      </c>
      <c r="Z790" s="2" t="inlineStr">
        <is>
          <t>data/raw/claro_convergent_multi_SP.html</t>
        </is>
      </c>
    </row>
    <row r="791">
      <c r="A791" s="5" t="inlineStr">
        <is>
          <t>2026-09-04</t>
        </is>
      </c>
      <c r="B791" s="5" t="inlineStr">
        <is>
          <t>2026-09-04T19:45:10</t>
        </is>
      </c>
      <c r="C791" s="5" t="inlineStr">
        <is>
          <t>claro</t>
        </is>
      </c>
      <c r="D791" s="5" t="inlineStr">
        <is>
          <t>SP</t>
        </is>
      </c>
      <c r="E791" s="5" t="inlineStr">
        <is>
          <t>350 Mega com Globoplay incluso + Claro tv+ Box + Disney+ Amazon Prime + Netflix + HBO Max + Apple TV + Globoplay</t>
        </is>
      </c>
      <c r="F791" s="5" t="inlineStr">
        <is>
          <t>claro:97b00450-6f21-4349-8363-83d624b18328</t>
        </is>
      </c>
      <c r="G791" s="6" t="n">
        <v>229.8</v>
      </c>
      <c r="H791" s="6" t="inlineStr"/>
      <c r="I791" s="5" t="inlineStr"/>
      <c r="J791" s="5" t="inlineStr"/>
      <c r="K791" s="5" t="inlineStr">
        <is>
          <t>tab: Fibra + TV</t>
        </is>
      </c>
      <c r="L791" s="5" t="inlineStr">
        <is>
          <t>broadband+tv</t>
        </is>
      </c>
      <c r="M791" s="5" t="inlineStr">
        <is>
          <t>Fiber + TV</t>
        </is>
      </c>
      <c r="N791" s="5" t="b">
        <v>0</v>
      </c>
      <c r="O791" s="5" t="b">
        <v>1</v>
      </c>
      <c r="P791" s="5" t="b">
        <v>1</v>
      </c>
      <c r="Q791" s="5" t="b">
        <v>0</v>
      </c>
      <c r="R791" s="7" t="n">
        <v>350</v>
      </c>
      <c r="S791" s="7" t="inlineStr"/>
      <c r="T791" s="7" t="inlineStr"/>
      <c r="U791" s="5" t="inlineStr">
        <is>
          <t>Claro tv+ Box + Disney+ Amazon Prime + Netflix + HBO Max + Apple TV + Globoplay</t>
        </is>
      </c>
      <c r="V791" s="5" t="inlineStr"/>
      <c r="W791" s="5" t="inlineStr"/>
      <c r="X791" s="5" t="inlineStr"/>
      <c r="Y791" s="5" t="inlineStr">
        <is>
          <t>https://www.claro.com.br/multi</t>
        </is>
      </c>
      <c r="Z791" s="5" t="inlineStr">
        <is>
          <t>data/raw/claro_convergent_multi_SP.html</t>
        </is>
      </c>
    </row>
    <row r="792">
      <c r="A792" s="2" t="inlineStr">
        <is>
          <t>2026-09-04</t>
        </is>
      </c>
      <c r="B792" s="2" t="inlineStr">
        <is>
          <t>2026-09-04T19:45:10</t>
        </is>
      </c>
      <c r="C792" s="2" t="inlineStr">
        <is>
          <t>claro</t>
        </is>
      </c>
      <c r="D792" s="2" t="inlineStr">
        <is>
          <t>SP</t>
        </is>
      </c>
      <c r="E792" s="2" t="inlineStr">
        <is>
          <t>350 Mega com Globoplay incluso + Controle 40GB</t>
        </is>
      </c>
      <c r="F792" s="2" t="inlineStr">
        <is>
          <t>claro:a866ea9a-6a70-4b6e-b886-f8178086ca91</t>
        </is>
      </c>
      <c r="G792" s="3" t="n">
        <v>129.8</v>
      </c>
      <c r="H792" s="3" t="inlineStr"/>
      <c r="I792" s="2" t="inlineStr"/>
      <c r="J792" s="2" t="inlineStr">
        <is>
          <t>debit_auto</t>
        </is>
      </c>
      <c r="K792" s="2" t="inlineStr">
        <is>
          <t>tab: Fibra + Móvel; preço em débito em conta; +R$ 5.00 sem débito automático</t>
        </is>
      </c>
      <c r="L792" s="2" t="inlineStr">
        <is>
          <t>mobile+broadband</t>
        </is>
      </c>
      <c r="M792" s="2" t="inlineStr">
        <is>
          <t>Fiber + Mobile</t>
        </is>
      </c>
      <c r="N792" s="2" t="b">
        <v>1</v>
      </c>
      <c r="O792" s="2" t="b">
        <v>1</v>
      </c>
      <c r="P792" s="2" t="b">
        <v>0</v>
      </c>
      <c r="Q792" s="2" t="b">
        <v>0</v>
      </c>
      <c r="R792" s="4" t="n">
        <v>350</v>
      </c>
      <c r="S792" s="4" t="n">
        <v>40</v>
      </c>
      <c r="T792" s="4" t="n">
        <v>1</v>
      </c>
      <c r="U792" s="2" t="inlineStr"/>
      <c r="V792" s="2" t="inlineStr"/>
      <c r="W792" s="2" t="inlineStr"/>
      <c r="X792" s="2" t="inlineStr">
        <is>
          <t>Controle 40GB</t>
        </is>
      </c>
      <c r="Y792" s="2" t="inlineStr">
        <is>
          <t>https://www.claro.com.br/multi</t>
        </is>
      </c>
      <c r="Z792" s="2" t="inlineStr">
        <is>
          <t>data/raw/claro_convergent_multi_SP.html</t>
        </is>
      </c>
    </row>
    <row r="793">
      <c r="A793" s="5" t="inlineStr">
        <is>
          <t>2026-09-04</t>
        </is>
      </c>
      <c r="B793" s="5" t="inlineStr">
        <is>
          <t>2026-09-04T19:45:10</t>
        </is>
      </c>
      <c r="C793" s="5" t="inlineStr">
        <is>
          <t>claro</t>
        </is>
      </c>
      <c r="D793" s="5" t="inlineStr">
        <is>
          <t>SP</t>
        </is>
      </c>
      <c r="E793" s="5" t="inlineStr">
        <is>
          <t>350 Mega com Globoplay incluso + Pós 100GB + Claro tv+ Box + Disney+ Amazon Prime + Netflix + HBO Max + Apple TV + Globoplay</t>
        </is>
      </c>
      <c r="F793" s="5" t="inlineStr">
        <is>
          <t>claro:746fa9cf-ea2b-40de-ad2c-5803b3e0ab08</t>
        </is>
      </c>
      <c r="G793" s="6" t="n">
        <v>249.8</v>
      </c>
      <c r="H793" s="6" t="inlineStr"/>
      <c r="I793" s="5" t="inlineStr"/>
      <c r="J793" s="5" t="inlineStr"/>
      <c r="K793" s="5" t="inlineStr">
        <is>
          <t>tab: Fibra + Móvel + TV</t>
        </is>
      </c>
      <c r="L793" s="5" t="inlineStr">
        <is>
          <t>mobile+broadband+tv</t>
        </is>
      </c>
      <c r="M793" s="5" t="inlineStr">
        <is>
          <t>Fiber + Mobile + TV</t>
        </is>
      </c>
      <c r="N793" s="5" t="b">
        <v>1</v>
      </c>
      <c r="O793" s="5" t="b">
        <v>1</v>
      </c>
      <c r="P793" s="5" t="b">
        <v>1</v>
      </c>
      <c r="Q793" s="5" t="b">
        <v>0</v>
      </c>
      <c r="R793" s="7" t="n">
        <v>350</v>
      </c>
      <c r="S793" s="7" t="n">
        <v>100</v>
      </c>
      <c r="T793" s="7" t="n">
        <v>1</v>
      </c>
      <c r="U793" s="5" t="inlineStr">
        <is>
          <t>Claro tv+ Box + Disney+ Amazon Prime + Netflix + HBO Max + Apple TV + Globoplay</t>
        </is>
      </c>
      <c r="V793" s="5" t="inlineStr"/>
      <c r="W793" s="5" t="inlineStr"/>
      <c r="X793" s="5" t="inlineStr">
        <is>
          <t>Pós 100GB</t>
        </is>
      </c>
      <c r="Y793" s="5" t="inlineStr">
        <is>
          <t>https://www.claro.com.br/multi</t>
        </is>
      </c>
      <c r="Z793" s="5" t="inlineStr">
        <is>
          <t>data/raw/claro_convergent_multi_SP.html</t>
        </is>
      </c>
    </row>
    <row r="794">
      <c r="A794" s="2" t="inlineStr">
        <is>
          <t>2026-09-04</t>
        </is>
      </c>
      <c r="B794" s="2" t="inlineStr">
        <is>
          <t>2026-09-04T19:45:10</t>
        </is>
      </c>
      <c r="C794" s="2" t="inlineStr">
        <is>
          <t>claro</t>
        </is>
      </c>
      <c r="D794" s="2" t="inlineStr">
        <is>
          <t>SP</t>
        </is>
      </c>
      <c r="E794" s="2" t="inlineStr">
        <is>
          <t>600 Mega com Globoplay incluso + Claro tv+ Box + Disney+ Amazon Prime + Netflix + HBO Max + Apple TV + Globoplay</t>
        </is>
      </c>
      <c r="F794" s="2" t="inlineStr">
        <is>
          <t>claro:545261b1-2f4d-4dab-82a6-02d9e66c5d3d</t>
        </is>
      </c>
      <c r="G794" s="3" t="n">
        <v>239.8</v>
      </c>
      <c r="H794" s="3" t="inlineStr"/>
      <c r="I794" s="2" t="inlineStr"/>
      <c r="J794" s="2" t="inlineStr"/>
      <c r="K794" s="2" t="inlineStr">
        <is>
          <t>tab: Fibra + TV</t>
        </is>
      </c>
      <c r="L794" s="2" t="inlineStr">
        <is>
          <t>broadband+tv</t>
        </is>
      </c>
      <c r="M794" s="2" t="inlineStr">
        <is>
          <t>Fiber + TV</t>
        </is>
      </c>
      <c r="N794" s="2" t="b">
        <v>0</v>
      </c>
      <c r="O794" s="2" t="b">
        <v>1</v>
      </c>
      <c r="P794" s="2" t="b">
        <v>1</v>
      </c>
      <c r="Q794" s="2" t="b">
        <v>0</v>
      </c>
      <c r="R794" s="4" t="n">
        <v>600</v>
      </c>
      <c r="S794" s="4" t="inlineStr"/>
      <c r="T794" s="4" t="inlineStr"/>
      <c r="U794" s="2" t="inlineStr">
        <is>
          <t>Claro tv+ Box + Disney+ Amazon Prime + Netflix + HBO Max + Apple TV + Globoplay</t>
        </is>
      </c>
      <c r="V794" s="2" t="inlineStr"/>
      <c r="W794" s="2" t="inlineStr"/>
      <c r="X794" s="2" t="inlineStr"/>
      <c r="Y794" s="2" t="inlineStr">
        <is>
          <t>https://www.claro.com.br/multi</t>
        </is>
      </c>
      <c r="Z794" s="2" t="inlineStr">
        <is>
          <t>data/raw/claro_convergent_multi_SP.html</t>
        </is>
      </c>
    </row>
    <row r="795">
      <c r="A795" s="5" t="inlineStr">
        <is>
          <t>2026-09-04</t>
        </is>
      </c>
      <c r="B795" s="5" t="inlineStr">
        <is>
          <t>2026-09-04T19:45:10</t>
        </is>
      </c>
      <c r="C795" s="5" t="inlineStr">
        <is>
          <t>claro</t>
        </is>
      </c>
      <c r="D795" s="5" t="inlineStr">
        <is>
          <t>SP</t>
        </is>
      </c>
      <c r="E795" s="5" t="inlineStr">
        <is>
          <t>600 Mega com Globoplay incluso + Pós 100GB</t>
        </is>
      </c>
      <c r="F795" s="5" t="inlineStr">
        <is>
          <t>claro:350ac58a-533c-4858-83be-be3ea39c8874</t>
        </is>
      </c>
      <c r="G795" s="6" t="n">
        <v>159.9</v>
      </c>
      <c r="H795" s="6" t="inlineStr"/>
      <c r="I795" s="5" t="inlineStr"/>
      <c r="J795" s="5" t="inlineStr"/>
      <c r="K795" s="5" t="inlineStr">
        <is>
          <t>tab: Fibra + Móvel</t>
        </is>
      </c>
      <c r="L795" s="5" t="inlineStr">
        <is>
          <t>mobile+broadband</t>
        </is>
      </c>
      <c r="M795" s="5" t="inlineStr">
        <is>
          <t>Fiber + Mobile</t>
        </is>
      </c>
      <c r="N795" s="5" t="b">
        <v>1</v>
      </c>
      <c r="O795" s="5" t="b">
        <v>1</v>
      </c>
      <c r="P795" s="5" t="b">
        <v>0</v>
      </c>
      <c r="Q795" s="5" t="b">
        <v>0</v>
      </c>
      <c r="R795" s="7" t="n">
        <v>600</v>
      </c>
      <c r="S795" s="7" t="n">
        <v>100</v>
      </c>
      <c r="T795" s="7" t="n">
        <v>1</v>
      </c>
      <c r="U795" s="5" t="inlineStr"/>
      <c r="V795" s="5" t="inlineStr"/>
      <c r="W795" s="5" t="inlineStr"/>
      <c r="X795" s="5" t="inlineStr">
        <is>
          <t>Pós 100GB</t>
        </is>
      </c>
      <c r="Y795" s="5" t="inlineStr">
        <is>
          <t>https://www.claro.com.br/multi</t>
        </is>
      </c>
      <c r="Z795" s="5" t="inlineStr">
        <is>
          <t>data/raw/claro_convergent_multi_SP.html</t>
        </is>
      </c>
    </row>
    <row r="796">
      <c r="A796" s="2" t="inlineStr">
        <is>
          <t>2026-09-04</t>
        </is>
      </c>
      <c r="B796" s="2" t="inlineStr">
        <is>
          <t>2026-09-04T19:45:10</t>
        </is>
      </c>
      <c r="C796" s="2" t="inlineStr">
        <is>
          <t>claro</t>
        </is>
      </c>
      <c r="D796" s="2" t="inlineStr">
        <is>
          <t>SP</t>
        </is>
      </c>
      <c r="E796" s="2" t="inlineStr">
        <is>
          <t>600 Mega com Globoplay incluso + Pós 100GB + Claro tv+ Box + Disney+ Amazon Prime + Netflix + HBO Max + Apple TV + Globoplay</t>
        </is>
      </c>
      <c r="F796" s="2" t="inlineStr">
        <is>
          <t>claro:f36e7dfb-f7c9-4055-844f-7bc101699de8</t>
        </is>
      </c>
      <c r="G796" s="3" t="n">
        <v>269.8</v>
      </c>
      <c r="H796" s="3" t="inlineStr"/>
      <c r="I796" s="2" t="inlineStr"/>
      <c r="J796" s="2" t="inlineStr"/>
      <c r="K796" s="2" t="inlineStr">
        <is>
          <t>tab: Fibra + Móvel + TV</t>
        </is>
      </c>
      <c r="L796" s="2" t="inlineStr">
        <is>
          <t>mobile+broadband+tv</t>
        </is>
      </c>
      <c r="M796" s="2" t="inlineStr">
        <is>
          <t>Fiber + Mobile + TV</t>
        </is>
      </c>
      <c r="N796" s="2" t="b">
        <v>1</v>
      </c>
      <c r="O796" s="2" t="b">
        <v>1</v>
      </c>
      <c r="P796" s="2" t="b">
        <v>1</v>
      </c>
      <c r="Q796" s="2" t="b">
        <v>0</v>
      </c>
      <c r="R796" s="4" t="n">
        <v>600</v>
      </c>
      <c r="S796" s="4" t="n">
        <v>100</v>
      </c>
      <c r="T796" s="4" t="n">
        <v>1</v>
      </c>
      <c r="U796" s="2" t="inlineStr">
        <is>
          <t>Claro tv+ Box + Disney+ Amazon Prime + Netflix + HBO Max + Apple TV + Globoplay</t>
        </is>
      </c>
      <c r="V796" s="2" t="inlineStr"/>
      <c r="W796" s="2" t="inlineStr"/>
      <c r="X796" s="2" t="inlineStr">
        <is>
          <t>Pós 100GB</t>
        </is>
      </c>
      <c r="Y796" s="2" t="inlineStr">
        <is>
          <t>https://www.claro.com.br/multi</t>
        </is>
      </c>
      <c r="Z796" s="2" t="inlineStr">
        <is>
          <t>data/raw/claro_convergent_multi_SP.html</t>
        </is>
      </c>
    </row>
    <row r="797">
      <c r="A797" s="5" t="inlineStr">
        <is>
          <t>2026-09-04</t>
        </is>
      </c>
      <c r="B797" s="5" t="inlineStr">
        <is>
          <t>2026-09-04T19:45:10</t>
        </is>
      </c>
      <c r="C797" s="5" t="inlineStr">
        <is>
          <t>tim</t>
        </is>
      </c>
      <c r="D797" s="5" t="inlineStr">
        <is>
          <t>SP</t>
        </is>
      </c>
      <c r="E797" s="5" t="inlineStr">
        <is>
          <t>TIM Ultracombo 5</t>
        </is>
      </c>
      <c r="F797" s="5" t="inlineStr">
        <is>
          <t>tim:167756</t>
        </is>
      </c>
      <c r="G797" s="6" t="n">
        <v>169.99</v>
      </c>
      <c r="H797" s="6" t="inlineStr"/>
      <c r="I797" s="5" t="inlineStr"/>
      <c r="J797" s="5" t="inlineStr">
        <is>
          <t>debit_auto</t>
        </is>
      </c>
      <c r="K797" s="5" t="inlineStr">
        <is>
          <t>preço em débito automático; R$ 179,99/mês no pagamento por fatura</t>
        </is>
      </c>
      <c r="L797" s="5" t="inlineStr">
        <is>
          <t>mobile+broadband</t>
        </is>
      </c>
      <c r="M797" s="5" t="inlineStr">
        <is>
          <t>Fiber + Mobile</t>
        </is>
      </c>
      <c r="N797" s="5" t="b">
        <v>1</v>
      </c>
      <c r="O797" s="5" t="b">
        <v>1</v>
      </c>
      <c r="P797" s="5" t="b">
        <v>0</v>
      </c>
      <c r="Q797" s="5" t="b">
        <v>0</v>
      </c>
      <c r="R797" s="7" t="n">
        <v>1000</v>
      </c>
      <c r="S797" s="7" t="n">
        <v>115</v>
      </c>
      <c r="T797" s="7" t="n">
        <v>1</v>
      </c>
      <c r="U797" s="5" t="inlineStr"/>
      <c r="V797" s="5" t="inlineStr">
        <is>
          <t>Paramount+, Deezer</t>
        </is>
      </c>
      <c r="W797" s="5" t="inlineStr"/>
      <c r="X797" s="5" t="inlineStr">
        <is>
          <t>1GIGA de Ultrafibra para casa + 115GB de TIM Black C Hero para móvel: (25GB do plano + 40GB promo + 50GB bônus especial)</t>
        </is>
      </c>
      <c r="Y797" s="5" t="inlineStr">
        <is>
          <t>https://www.tim.com.br/sp/internet/tim-ultracombo</t>
        </is>
      </c>
      <c r="Z797" s="5" t="inlineStr">
        <is>
          <t>data/raw/tim_convergent_ultracombo_SP.html</t>
        </is>
      </c>
    </row>
    <row r="798">
      <c r="A798" s="2" t="inlineStr">
        <is>
          <t>2026-09-04</t>
        </is>
      </c>
      <c r="B798" s="2" t="inlineStr">
        <is>
          <t>2026-09-04T19:45:10</t>
        </is>
      </c>
      <c r="C798" s="2" t="inlineStr">
        <is>
          <t>tim</t>
        </is>
      </c>
      <c r="D798" s="2" t="inlineStr">
        <is>
          <t>SP</t>
        </is>
      </c>
      <c r="E798" s="2" t="inlineStr">
        <is>
          <t>TIM Ultracombo 6</t>
        </is>
      </c>
      <c r="F798" s="2" t="inlineStr">
        <is>
          <t>tim:167751</t>
        </is>
      </c>
      <c r="G798" s="3" t="n">
        <v>139.99</v>
      </c>
      <c r="H798" s="3" t="inlineStr"/>
      <c r="I798" s="2" t="inlineStr"/>
      <c r="J798" s="2" t="inlineStr">
        <is>
          <t>debit_auto</t>
        </is>
      </c>
      <c r="K798" s="2" t="inlineStr">
        <is>
          <t>preço em débito automático; R$ 149,99/mês no pagamento por fatura</t>
        </is>
      </c>
      <c r="L798" s="2" t="inlineStr">
        <is>
          <t>mobile+broadband</t>
        </is>
      </c>
      <c r="M798" s="2" t="inlineStr">
        <is>
          <t>Fiber + Mobile</t>
        </is>
      </c>
      <c r="N798" s="2" t="b">
        <v>1</v>
      </c>
      <c r="O798" s="2" t="b">
        <v>1</v>
      </c>
      <c r="P798" s="2" t="b">
        <v>0</v>
      </c>
      <c r="Q798" s="2" t="b">
        <v>0</v>
      </c>
      <c r="R798" s="4" t="n">
        <v>1000</v>
      </c>
      <c r="S798" s="4" t="n">
        <v>70</v>
      </c>
      <c r="T798" s="4" t="n">
        <v>1</v>
      </c>
      <c r="U798" s="2" t="inlineStr"/>
      <c r="V798" s="2" t="inlineStr">
        <is>
          <t>Paramount+, Deezer</t>
        </is>
      </c>
      <c r="W798" s="2" t="inlineStr"/>
      <c r="X798" s="2" t="inlineStr">
        <is>
          <t>1GIGA de Ultrafibra para casa + 70GB de TIM Black A para móvel: (15GB do plano + 50GB promo + 5GB bônus especial)</t>
        </is>
      </c>
      <c r="Y798" s="2" t="inlineStr">
        <is>
          <t>https://www.tim.com.br/sp/internet/tim-ultracombo</t>
        </is>
      </c>
      <c r="Z798" s="2" t="inlineStr">
        <is>
          <t>data/raw/tim_convergent_ultracombo_SP.html</t>
        </is>
      </c>
    </row>
    <row r="799">
      <c r="A799" s="5" t="inlineStr">
        <is>
          <t>2026-09-04</t>
        </is>
      </c>
      <c r="B799" s="5" t="inlineStr">
        <is>
          <t>2026-09-04T19:45:10</t>
        </is>
      </c>
      <c r="C799" s="5" t="inlineStr">
        <is>
          <t>tim</t>
        </is>
      </c>
      <c r="D799" s="5" t="inlineStr">
        <is>
          <t>SP</t>
        </is>
      </c>
      <c r="E799" s="5" t="inlineStr">
        <is>
          <t>TIM Ultracombo 7</t>
        </is>
      </c>
      <c r="F799" s="5" t="inlineStr">
        <is>
          <t>tim:167761</t>
        </is>
      </c>
      <c r="G799" s="6" t="n">
        <v>89.98999999999999</v>
      </c>
      <c r="H799" s="6" t="inlineStr"/>
      <c r="I799" s="5" t="inlineStr"/>
      <c r="J799" s="5" t="inlineStr">
        <is>
          <t>debit_auto</t>
        </is>
      </c>
      <c r="K799" s="5" t="inlineStr">
        <is>
          <t>preço em débito automático; R$ 99,99/mês no pagamento por fatura</t>
        </is>
      </c>
      <c r="L799" s="5" t="inlineStr">
        <is>
          <t>mobile+broadband</t>
        </is>
      </c>
      <c r="M799" s="5" t="inlineStr">
        <is>
          <t>Fiber + Mobile</t>
        </is>
      </c>
      <c r="N799" s="5" t="b">
        <v>1</v>
      </c>
      <c r="O799" s="5" t="b">
        <v>1</v>
      </c>
      <c r="P799" s="5" t="b">
        <v>0</v>
      </c>
      <c r="Q799" s="5" t="b">
        <v>0</v>
      </c>
      <c r="R799" s="7" t="n">
        <v>500</v>
      </c>
      <c r="S799" s="7" t="n">
        <v>65</v>
      </c>
      <c r="T799" s="7" t="n">
        <v>1</v>
      </c>
      <c r="U799" s="5" t="inlineStr"/>
      <c r="V799" s="5" t="inlineStr"/>
      <c r="W799" s="5" t="inlineStr"/>
      <c r="X799" s="5" t="inlineStr">
        <is>
          <t>500MEGA de Ultrafibra para casa + 65GB de TIM Black A Light para móvel: (10GB do plano + 50GB promo)</t>
        </is>
      </c>
      <c r="Y799" s="5" t="inlineStr">
        <is>
          <t>https://www.tim.com.br/sp/internet/tim-ultracombo</t>
        </is>
      </c>
      <c r="Z799" s="5" t="inlineStr">
        <is>
          <t>data/raw/tim_convergent_ultracombo_SP.html</t>
        </is>
      </c>
    </row>
    <row r="800">
      <c r="A800" s="2" t="inlineStr">
        <is>
          <t>2026-09-04</t>
        </is>
      </c>
      <c r="B800" s="2" t="inlineStr">
        <is>
          <t>2026-09-04T19:45:10</t>
        </is>
      </c>
      <c r="C800" s="2" t="inlineStr">
        <is>
          <t>vivo</t>
        </is>
      </c>
      <c r="D800" s="2" t="inlineStr">
        <is>
          <t>SP</t>
        </is>
      </c>
      <c r="E800" s="2" t="inlineStr">
        <is>
          <t>Vivo Família 2 + TV</t>
        </is>
      </c>
      <c r="F800" s="2" t="inlineStr">
        <is>
          <t>vivo:VIV202604032132-3-305-316-336-408-411-426-430-442</t>
        </is>
      </c>
      <c r="G800" s="3" t="n">
        <v>290</v>
      </c>
      <c r="H800" s="3" t="inlineStr"/>
      <c r="I800" s="2" t="inlineStr"/>
      <c r="J800" s="2" t="inlineStr"/>
      <c r="K800" s="2" t="inlineStr">
        <is>
          <t>instalação grátis mediante fidelização (não afeta a mensalidade)</t>
        </is>
      </c>
      <c r="L800" s="2" t="inlineStr">
        <is>
          <t>mobile+broadband+tv</t>
        </is>
      </c>
      <c r="M800" s="2" t="inlineStr">
        <is>
          <t>Fiber + Mobile + TV</t>
        </is>
      </c>
      <c r="N800" s="2" t="b">
        <v>1</v>
      </c>
      <c r="O800" s="2" t="b">
        <v>1</v>
      </c>
      <c r="P800" s="2" t="b">
        <v>1</v>
      </c>
      <c r="Q800" s="2" t="b">
        <v>0</v>
      </c>
      <c r="R800" s="4" t="n">
        <v>700</v>
      </c>
      <c r="S800" s="4" t="n">
        <v>120</v>
      </c>
      <c r="T800" s="4" t="n">
        <v>2</v>
      </c>
      <c r="U800" s="2" t="inlineStr">
        <is>
          <t>80 canais de Vivo Estendido</t>
        </is>
      </c>
      <c r="V800" s="2" t="inlineStr"/>
      <c r="W800" s="2" t="inlineStr">
        <is>
          <t>Vivo Travel Américas e Europa; 1 linha adicional inclusa</t>
        </is>
      </c>
      <c r="X800" s="2" t="inlineStr">
        <is>
          <t>700 Mega de Vivo Fibra</t>
        </is>
      </c>
      <c r="Y800" s="2" t="inlineStr">
        <is>
          <t>https://vivo.com.br/para-voce/produtos-e-servicos/combos/vivo-total</t>
        </is>
      </c>
      <c r="Z800" s="2" t="inlineStr">
        <is>
          <t>data/raw/vivo_convergent_total_SP.html</t>
        </is>
      </c>
    </row>
    <row r="801">
      <c r="A801" s="5" t="inlineStr">
        <is>
          <t>2026-09-04</t>
        </is>
      </c>
      <c r="B801" s="5" t="inlineStr">
        <is>
          <t>2026-09-04T19:45:10</t>
        </is>
      </c>
      <c r="C801" s="5" t="inlineStr">
        <is>
          <t>vivo</t>
        </is>
      </c>
      <c r="D801" s="5" t="inlineStr">
        <is>
          <t>SP</t>
        </is>
      </c>
      <c r="E801" s="5" t="inlineStr">
        <is>
          <t>Vivo Família 2 + TV</t>
        </is>
      </c>
      <c r="F801" s="5" t="inlineStr">
        <is>
          <t>vivo:VIV202604032112-3-9-305-316-408-411-426-430-442</t>
        </is>
      </c>
      <c r="G801" s="6" t="n">
        <v>390</v>
      </c>
      <c r="H801" s="6" t="inlineStr"/>
      <c r="I801" s="5" t="inlineStr"/>
      <c r="J801" s="5" t="inlineStr"/>
      <c r="K801" s="5" t="inlineStr">
        <is>
          <t>instalação grátis mediante fidelização (não afeta a mensalidade)</t>
        </is>
      </c>
      <c r="L801" s="5" t="inlineStr">
        <is>
          <t>mobile+broadband+tv</t>
        </is>
      </c>
      <c r="M801" s="5" t="inlineStr">
        <is>
          <t>Fiber + Mobile + TV</t>
        </is>
      </c>
      <c r="N801" s="5" t="b">
        <v>1</v>
      </c>
      <c r="O801" s="5" t="b">
        <v>1</v>
      </c>
      <c r="P801" s="5" t="b">
        <v>1</v>
      </c>
      <c r="Q801" s="5" t="b">
        <v>0</v>
      </c>
      <c r="R801" s="7" t="n">
        <v>700</v>
      </c>
      <c r="S801" s="7" t="n">
        <v>120</v>
      </c>
      <c r="T801" s="7" t="n">
        <v>2</v>
      </c>
      <c r="U801" s="5" t="inlineStr">
        <is>
          <t>120 canais de Vivo TV Avançado + 1 ponto adicional</t>
        </is>
      </c>
      <c r="V801" s="5" t="inlineStr"/>
      <c r="W801" s="5" t="inlineStr">
        <is>
          <t>Vivo Travel Américas e Europa; 1 linha adicional inclusa</t>
        </is>
      </c>
      <c r="X801" s="5" t="inlineStr">
        <is>
          <t>700 Mega de Vivo Fibra</t>
        </is>
      </c>
      <c r="Y801" s="5" t="inlineStr">
        <is>
          <t>https://vivo.com.br/para-voce/produtos-e-servicos/combos/vivo-total</t>
        </is>
      </c>
      <c r="Z801" s="5" t="inlineStr">
        <is>
          <t>data/raw/vivo_convergent_total_SP.html</t>
        </is>
      </c>
    </row>
    <row r="802">
      <c r="A802" s="2" t="inlineStr">
        <is>
          <t>2026-09-04</t>
        </is>
      </c>
      <c r="B802" s="2" t="inlineStr">
        <is>
          <t>2026-09-04T19:45:10</t>
        </is>
      </c>
      <c r="C802" s="2" t="inlineStr">
        <is>
          <t>vivo</t>
        </is>
      </c>
      <c r="D802" s="2" t="inlineStr">
        <is>
          <t>SP</t>
        </is>
      </c>
      <c r="E802" s="2" t="inlineStr">
        <is>
          <t>Vivo Total Família 2</t>
        </is>
      </c>
      <c r="F802" s="2" t="inlineStr">
        <is>
          <t>vivo:VIV202604032132-3-305-316-408-411-426-430-442</t>
        </is>
      </c>
      <c r="G802" s="3" t="n">
        <v>270</v>
      </c>
      <c r="H802" s="3" t="inlineStr"/>
      <c r="I802" s="2" t="inlineStr"/>
      <c r="J802" s="2" t="inlineStr"/>
      <c r="K802" s="2" t="inlineStr">
        <is>
          <t>instalação grátis mediante fidelização (não afeta a mensalidade)</t>
        </is>
      </c>
      <c r="L802" s="2" t="inlineStr">
        <is>
          <t>mobile+broadband</t>
        </is>
      </c>
      <c r="M802" s="2" t="inlineStr">
        <is>
          <t>Fiber + Mobile</t>
        </is>
      </c>
      <c r="N802" s="2" t="b">
        <v>1</v>
      </c>
      <c r="O802" s="2" t="b">
        <v>1</v>
      </c>
      <c r="P802" s="2" t="b">
        <v>0</v>
      </c>
      <c r="Q802" s="2" t="b">
        <v>0</v>
      </c>
      <c r="R802" s="4" t="n">
        <v>700</v>
      </c>
      <c r="S802" s="4" t="n">
        <v>120</v>
      </c>
      <c r="T802" s="4" t="n">
        <v>2</v>
      </c>
      <c r="U802" s="2" t="inlineStr"/>
      <c r="V802" s="2" t="inlineStr"/>
      <c r="W802" s="2" t="inlineStr">
        <is>
          <t>Vivo Travel Américas e Europa; 1 linha adicional inclusa</t>
        </is>
      </c>
      <c r="X802" s="2" t="inlineStr">
        <is>
          <t>700 Mega de Vivo Fibra</t>
        </is>
      </c>
      <c r="Y802" s="2" t="inlineStr">
        <is>
          <t>https://vivo.com.br/para-voce/produtos-e-servicos/combos/vivo-total</t>
        </is>
      </c>
      <c r="Z802" s="2" t="inlineStr">
        <is>
          <t>data/raw/vivo_convergent_total_SP.html</t>
        </is>
      </c>
    </row>
    <row r="803">
      <c r="A803" s="5" t="inlineStr">
        <is>
          <t>2026-09-04</t>
        </is>
      </c>
      <c r="B803" s="5" t="inlineStr">
        <is>
          <t>2026-09-04T19:45:10</t>
        </is>
      </c>
      <c r="C803" s="5" t="inlineStr">
        <is>
          <t>vivo</t>
        </is>
      </c>
      <c r="D803" s="5" t="inlineStr">
        <is>
          <t>SP</t>
        </is>
      </c>
      <c r="E803" s="5" t="inlineStr">
        <is>
          <t>Vivo Total Família 3</t>
        </is>
      </c>
      <c r="F803" s="5" t="inlineStr">
        <is>
          <t>vivo:VIV202604032212-4-305-316-408-411-426-430-442</t>
        </is>
      </c>
      <c r="G803" s="6" t="n">
        <v>330</v>
      </c>
      <c r="H803" s="6" t="inlineStr"/>
      <c r="I803" s="5" t="inlineStr"/>
      <c r="J803" s="5" t="inlineStr"/>
      <c r="K803" s="5" t="inlineStr">
        <is>
          <t>instalação grátis mediante fidelização (não afeta a mensalidade)</t>
        </is>
      </c>
      <c r="L803" s="5" t="inlineStr">
        <is>
          <t>mobile+broadband</t>
        </is>
      </c>
      <c r="M803" s="5" t="inlineStr">
        <is>
          <t>Fiber + Mobile</t>
        </is>
      </c>
      <c r="N803" s="5" t="b">
        <v>1</v>
      </c>
      <c r="O803" s="5" t="b">
        <v>1</v>
      </c>
      <c r="P803" s="5" t="b">
        <v>0</v>
      </c>
      <c r="Q803" s="5" t="b">
        <v>0</v>
      </c>
      <c r="R803" s="7" t="n">
        <v>700</v>
      </c>
      <c r="S803" s="7" t="n">
        <v>180</v>
      </c>
      <c r="T803" s="7" t="n">
        <v>3</v>
      </c>
      <c r="U803" s="5" t="inlineStr"/>
      <c r="V803" s="5" t="inlineStr"/>
      <c r="W803" s="5" t="inlineStr">
        <is>
          <t>Vivo Travel Américas e Europa; 2 linhas adicionais inclusas</t>
        </is>
      </c>
      <c r="X803" s="5" t="inlineStr">
        <is>
          <t>700 Mega de Vivo Fibra</t>
        </is>
      </c>
      <c r="Y803" s="5" t="inlineStr">
        <is>
          <t>https://vivo.com.br/para-voce/produtos-e-servicos/combos/vivo-total</t>
        </is>
      </c>
      <c r="Z803" s="5" t="inlineStr">
        <is>
          <t>data/raw/vivo_convergent_total_SP.html</t>
        </is>
      </c>
    </row>
    <row r="804">
      <c r="A804" s="2" t="inlineStr">
        <is>
          <t>2026-09-04</t>
        </is>
      </c>
      <c r="B804" s="2" t="inlineStr">
        <is>
          <t>2026-09-04T19:45:10</t>
        </is>
      </c>
      <c r="C804" s="2" t="inlineStr">
        <is>
          <t>vivo</t>
        </is>
      </c>
      <c r="D804" s="2" t="inlineStr">
        <is>
          <t>SP</t>
        </is>
      </c>
      <c r="E804" s="2" t="inlineStr">
        <is>
          <t>Vivo Total Família 4</t>
        </is>
      </c>
      <c r="F804" s="2" t="inlineStr">
        <is>
          <t>vivo:VIV202604032292-237-305-316-408-411-426-430-442</t>
        </is>
      </c>
      <c r="G804" s="3" t="n">
        <v>420</v>
      </c>
      <c r="H804" s="3" t="inlineStr"/>
      <c r="I804" s="2" t="inlineStr"/>
      <c r="J804" s="2" t="inlineStr"/>
      <c r="K804" s="2" t="inlineStr">
        <is>
          <t>instalação grátis mediante fidelização (não afeta a mensalidade)</t>
        </is>
      </c>
      <c r="L804" s="2" t="inlineStr">
        <is>
          <t>mobile+broadband</t>
        </is>
      </c>
      <c r="M804" s="2" t="inlineStr">
        <is>
          <t>Fiber + Mobile</t>
        </is>
      </c>
      <c r="N804" s="2" t="b">
        <v>1</v>
      </c>
      <c r="O804" s="2" t="b">
        <v>1</v>
      </c>
      <c r="P804" s="2" t="b">
        <v>0</v>
      </c>
      <c r="Q804" s="2" t="b">
        <v>0</v>
      </c>
      <c r="R804" s="4" t="n">
        <v>700</v>
      </c>
      <c r="S804" s="4" t="n">
        <v>240</v>
      </c>
      <c r="T804" s="4" t="n">
        <v>4</v>
      </c>
      <c r="U804" s="2" t="inlineStr"/>
      <c r="V804" s="2" t="inlineStr"/>
      <c r="W804" s="2" t="inlineStr">
        <is>
          <t>Vivo Travel Américas e Europa; 3 linhas adicionais inclusas</t>
        </is>
      </c>
      <c r="X804" s="2" t="inlineStr">
        <is>
          <t>700 Mega de Vivo Fibra</t>
        </is>
      </c>
      <c r="Y804" s="2" t="inlineStr">
        <is>
          <t>https://vivo.com.br/para-voce/produtos-e-servicos/combos/vivo-total</t>
        </is>
      </c>
      <c r="Z804" s="2" t="inlineStr">
        <is>
          <t>data/raw/vivo_convergent_total_SP.html</t>
        </is>
      </c>
    </row>
    <row r="805">
      <c r="A805" s="5" t="inlineStr">
        <is>
          <t>2026-09-04</t>
        </is>
      </c>
      <c r="B805" s="5" t="inlineStr">
        <is>
          <t>2026-09-04T19:45:10</t>
        </is>
      </c>
      <c r="C805" s="5" t="inlineStr">
        <is>
          <t>vivo</t>
        </is>
      </c>
      <c r="D805" s="5" t="inlineStr">
        <is>
          <t>SP</t>
        </is>
      </c>
      <c r="E805" s="5" t="inlineStr">
        <is>
          <t>Vivo Total Família 5</t>
        </is>
      </c>
      <c r="F805" s="5" t="inlineStr">
        <is>
          <t>vivo:VIV202604032372-5-305-316-408-411-426-430-442</t>
        </is>
      </c>
      <c r="G805" s="6" t="n">
        <v>520</v>
      </c>
      <c r="H805" s="6" t="inlineStr"/>
      <c r="I805" s="5" t="inlineStr"/>
      <c r="J805" s="5" t="inlineStr"/>
      <c r="K805" s="5" t="inlineStr">
        <is>
          <t>instalação grátis mediante fidelização (não afeta a mensalidade)</t>
        </is>
      </c>
      <c r="L805" s="5" t="inlineStr">
        <is>
          <t>mobile+broadband</t>
        </is>
      </c>
      <c r="M805" s="5" t="inlineStr">
        <is>
          <t>Fiber + Mobile</t>
        </is>
      </c>
      <c r="N805" s="5" t="b">
        <v>1</v>
      </c>
      <c r="O805" s="5" t="b">
        <v>1</v>
      </c>
      <c r="P805" s="5" t="b">
        <v>0</v>
      </c>
      <c r="Q805" s="5" t="b">
        <v>0</v>
      </c>
      <c r="R805" s="7" t="n">
        <v>700</v>
      </c>
      <c r="S805" s="7" t="n">
        <v>300</v>
      </c>
      <c r="T805" s="7" t="n">
        <v>5</v>
      </c>
      <c r="U805" s="5" t="inlineStr"/>
      <c r="V805" s="5" t="inlineStr"/>
      <c r="W805" s="5" t="inlineStr">
        <is>
          <t>Vivo Travel Américas e Europa; 4 linhas adicionais inclusas</t>
        </is>
      </c>
      <c r="X805" s="5" t="inlineStr">
        <is>
          <t>700 Mega de Vivo Fibra</t>
        </is>
      </c>
      <c r="Y805" s="5" t="inlineStr">
        <is>
          <t>https://vivo.com.br/para-voce/produtos-e-servicos/combos/vivo-total</t>
        </is>
      </c>
      <c r="Z805" s="5" t="inlineStr">
        <is>
          <t>data/raw/vivo_convergent_total_SP.html</t>
        </is>
      </c>
    </row>
    <row r="806">
      <c r="A806" s="2" t="inlineStr">
        <is>
          <t>2026-09-04</t>
        </is>
      </c>
      <c r="B806" s="2" t="inlineStr">
        <is>
          <t>2026-09-04T19:45:10</t>
        </is>
      </c>
      <c r="C806" s="2" t="inlineStr">
        <is>
          <t>vivo</t>
        </is>
      </c>
      <c r="D806" s="2" t="inlineStr">
        <is>
          <t>SP</t>
        </is>
      </c>
      <c r="E806" s="2" t="inlineStr">
        <is>
          <t>Vivo Total Pro</t>
        </is>
      </c>
      <c r="F806" s="2" t="inlineStr">
        <is>
          <t>vivo:VIV202604031772-2-305-308-316-326-342-411-430</t>
        </is>
      </c>
      <c r="G806" s="3" t="n">
        <v>160</v>
      </c>
      <c r="H806" s="3" t="inlineStr"/>
      <c r="I806" s="2" t="inlineStr"/>
      <c r="J806" s="2" t="inlineStr"/>
      <c r="K806" s="2" t="inlineStr">
        <is>
          <t>instalação grátis mediante fidelização (não afeta a mensalidade)</t>
        </is>
      </c>
      <c r="L806" s="2" t="inlineStr">
        <is>
          <t>mobile+broadband</t>
        </is>
      </c>
      <c r="M806" s="2" t="inlineStr">
        <is>
          <t>Fiber + Mobile</t>
        </is>
      </c>
      <c r="N806" s="2" t="b">
        <v>1</v>
      </c>
      <c r="O806" s="2" t="b">
        <v>1</v>
      </c>
      <c r="P806" s="2" t="b">
        <v>0</v>
      </c>
      <c r="Q806" s="2" t="b">
        <v>0</v>
      </c>
      <c r="R806" s="4" t="n">
        <v>500</v>
      </c>
      <c r="S806" s="4" t="n">
        <v>70</v>
      </c>
      <c r="T806" s="4" t="n">
        <v>1</v>
      </c>
      <c r="U806" s="2" t="inlineStr"/>
      <c r="V806" s="2" t="inlineStr"/>
      <c r="W806" s="2" t="inlineStr">
        <is>
          <t>Vivo Travel Américas; 50 GB de franquia + 20 GB de bônus</t>
        </is>
      </c>
      <c r="X806" s="2" t="inlineStr">
        <is>
          <t>500 Mega de Vivo Fibra</t>
        </is>
      </c>
      <c r="Y806" s="2" t="inlineStr">
        <is>
          <t>https://vivo.com.br/para-voce/produtos-e-servicos/combos/vivo-total</t>
        </is>
      </c>
      <c r="Z806" s="2" t="inlineStr">
        <is>
          <t>data/raw/vivo_convergent_total_SP.html</t>
        </is>
      </c>
    </row>
    <row r="807">
      <c r="A807" s="5" t="inlineStr">
        <is>
          <t>2026-09-04</t>
        </is>
      </c>
      <c r="B807" s="5" t="inlineStr">
        <is>
          <t>2026-09-04T19:45:10</t>
        </is>
      </c>
      <c r="C807" s="5" t="inlineStr">
        <is>
          <t>vivo</t>
        </is>
      </c>
      <c r="D807" s="5" t="inlineStr">
        <is>
          <t>SP</t>
        </is>
      </c>
      <c r="E807" s="5" t="inlineStr">
        <is>
          <t>Vivo Total Ultra</t>
        </is>
      </c>
      <c r="F807" s="5" t="inlineStr">
        <is>
          <t>vivo:VIV202604032034-305-313-316-408-411-426-430-442</t>
        </is>
      </c>
      <c r="G807" s="6" t="n">
        <v>190</v>
      </c>
      <c r="H807" s="6" t="inlineStr"/>
      <c r="I807" s="5" t="inlineStr"/>
      <c r="J807" s="5" t="inlineStr"/>
      <c r="K807" s="5" t="inlineStr">
        <is>
          <t>instalação grátis mediante fidelização (não afeta a mensalidade)</t>
        </is>
      </c>
      <c r="L807" s="5" t="inlineStr">
        <is>
          <t>mobile+broadband</t>
        </is>
      </c>
      <c r="M807" s="5" t="inlineStr">
        <is>
          <t>Fiber + Mobile</t>
        </is>
      </c>
      <c r="N807" s="5" t="b">
        <v>1</v>
      </c>
      <c r="O807" s="5" t="b">
        <v>1</v>
      </c>
      <c r="P807" s="5" t="b">
        <v>0</v>
      </c>
      <c r="Q807" s="5" t="b">
        <v>0</v>
      </c>
      <c r="R807" s="7" t="n">
        <v>700</v>
      </c>
      <c r="S807" s="7" t="n">
        <v>80</v>
      </c>
      <c r="T807" s="7" t="n">
        <v>1</v>
      </c>
      <c r="U807" s="5" t="inlineStr"/>
      <c r="V807" s="5" t="inlineStr"/>
      <c r="W807" s="5" t="inlineStr">
        <is>
          <t>Vivo Travel Américas; 70 GB de franquia + 10 GB de bônus</t>
        </is>
      </c>
      <c r="X807" s="5" t="inlineStr">
        <is>
          <t>700 Mega de Vivo Fibra</t>
        </is>
      </c>
      <c r="Y807" s="5" t="inlineStr">
        <is>
          <t>https://vivo.com.br/para-voce/produtos-e-servicos/combos/vivo-total</t>
        </is>
      </c>
      <c r="Z807" s="5" t="inlineStr">
        <is>
          <t>data/raw/vivo_convergent_total_SP.html</t>
        </is>
      </c>
    </row>
    <row r="808">
      <c r="A808" s="2" t="inlineStr">
        <is>
          <t>2026-09-04</t>
        </is>
      </c>
      <c r="B808" s="2" t="inlineStr">
        <is>
          <t>2026-09-04T19:45:10</t>
        </is>
      </c>
      <c r="C808" s="2" t="inlineStr">
        <is>
          <t>vivo</t>
        </is>
      </c>
      <c r="D808" s="2" t="inlineStr">
        <is>
          <t>SP</t>
        </is>
      </c>
      <c r="E808" s="2" t="inlineStr">
        <is>
          <t>Vivo Total Ultra + TV</t>
        </is>
      </c>
      <c r="F808" s="2" t="inlineStr">
        <is>
          <t>vivo:VIV202604031882-9-305-313-316-408-411-426-430-442</t>
        </is>
      </c>
      <c r="G808" s="3" t="n">
        <v>310</v>
      </c>
      <c r="H808" s="3" t="inlineStr"/>
      <c r="I808" s="2" t="inlineStr"/>
      <c r="J808" s="2" t="inlineStr"/>
      <c r="K808" s="2" t="inlineStr">
        <is>
          <t>instalação grátis mediante fidelização (não afeta a mensalidade)</t>
        </is>
      </c>
      <c r="L808" s="2" t="inlineStr">
        <is>
          <t>mobile+broadband+tv</t>
        </is>
      </c>
      <c r="M808" s="2" t="inlineStr">
        <is>
          <t>Fiber + Mobile + TV</t>
        </is>
      </c>
      <c r="N808" s="2" t="b">
        <v>1</v>
      </c>
      <c r="O808" s="2" t="b">
        <v>1</v>
      </c>
      <c r="P808" s="2" t="b">
        <v>1</v>
      </c>
      <c r="Q808" s="2" t="b">
        <v>0</v>
      </c>
      <c r="R808" s="4" t="n">
        <v>700</v>
      </c>
      <c r="S808" s="4" t="n">
        <v>80</v>
      </c>
      <c r="T808" s="4" t="n">
        <v>1</v>
      </c>
      <c r="U808" s="2" t="inlineStr">
        <is>
          <t>120 canais de Vivo TV Avançado + 1 ponto adicional</t>
        </is>
      </c>
      <c r="V808" s="2" t="inlineStr"/>
      <c r="W808" s="2" t="inlineStr">
        <is>
          <t>Vivo Travel Américas; 70 GB de franquia + 10 GB de bônus</t>
        </is>
      </c>
      <c r="X808" s="2" t="inlineStr">
        <is>
          <t>700 Mega de Vivo Fibra</t>
        </is>
      </c>
      <c r="Y808" s="2" t="inlineStr">
        <is>
          <t>https://vivo.com.br/para-voce/produtos-e-servicos/combos/vivo-total</t>
        </is>
      </c>
      <c r="Z808" s="2" t="inlineStr">
        <is>
          <t>data/raw/vivo_convergent_total_SP.html</t>
        </is>
      </c>
    </row>
    <row r="809">
      <c r="A809" s="5" t="inlineStr">
        <is>
          <t>2026-09-04</t>
        </is>
      </c>
      <c r="B809" s="5" t="inlineStr">
        <is>
          <t>2026-09-04T19:45:10</t>
        </is>
      </c>
      <c r="C809" s="5" t="inlineStr">
        <is>
          <t>vivo</t>
        </is>
      </c>
      <c r="D809" s="5" t="inlineStr">
        <is>
          <t>SP</t>
        </is>
      </c>
      <c r="E809" s="5" t="inlineStr">
        <is>
          <t>Vivo Total Ultra + TV online</t>
        </is>
      </c>
      <c r="F809" s="5" t="inlineStr">
        <is>
          <t>vivo:VIV202604032034-305-313-316-336-408-411-426-430-442</t>
        </is>
      </c>
      <c r="G809" s="6" t="n">
        <v>210</v>
      </c>
      <c r="H809" s="6" t="inlineStr"/>
      <c r="I809" s="5" t="inlineStr"/>
      <c r="J809" s="5" t="inlineStr"/>
      <c r="K809" s="5" t="inlineStr">
        <is>
          <t>instalação grátis mediante fidelização (não afeta a mensalidade)</t>
        </is>
      </c>
      <c r="L809" s="5" t="inlineStr">
        <is>
          <t>mobile+broadband+tv</t>
        </is>
      </c>
      <c r="M809" s="5" t="inlineStr">
        <is>
          <t>Fiber + Mobile + TV</t>
        </is>
      </c>
      <c r="N809" s="5" t="b">
        <v>1</v>
      </c>
      <c r="O809" s="5" t="b">
        <v>1</v>
      </c>
      <c r="P809" s="5" t="b">
        <v>1</v>
      </c>
      <c r="Q809" s="5" t="b">
        <v>0</v>
      </c>
      <c r="R809" s="7" t="n">
        <v>700</v>
      </c>
      <c r="S809" s="7" t="n">
        <v>80</v>
      </c>
      <c r="T809" s="7" t="n">
        <v>1</v>
      </c>
      <c r="U809" s="5" t="inlineStr">
        <is>
          <t>80 canais de Vivo Estendido</t>
        </is>
      </c>
      <c r="V809" s="5" t="inlineStr"/>
      <c r="W809" s="5" t="inlineStr">
        <is>
          <t>Vivo Travel Américas; 70 GB de franquia + 10 GB de bônus</t>
        </is>
      </c>
      <c r="X809" s="5" t="inlineStr">
        <is>
          <t>700 Mega de Vivo Fibra</t>
        </is>
      </c>
      <c r="Y809" s="5" t="inlineStr">
        <is>
          <t>https://vivo.com.br/para-voce/produtos-e-servicos/combos/vivo-total</t>
        </is>
      </c>
      <c r="Z809" s="5" t="inlineStr">
        <is>
          <t>data/raw/vivo_convergent_total_SP.html</t>
        </is>
      </c>
    </row>
    <row r="810">
      <c r="A810" s="2" t="inlineStr">
        <is>
          <t>2026-09-04</t>
        </is>
      </c>
      <c r="B810" s="2" t="inlineStr">
        <is>
          <t>2026-09-04T19:45:10</t>
        </is>
      </c>
      <c r="C810" s="2" t="inlineStr">
        <is>
          <t>vivo</t>
        </is>
      </c>
      <c r="D810" s="2" t="inlineStr">
        <is>
          <t>SP</t>
        </is>
      </c>
      <c r="E810" s="2" t="inlineStr">
        <is>
          <t>Vivo Total V 1 Giga</t>
        </is>
      </c>
      <c r="F810" s="2" t="inlineStr">
        <is>
          <t>vivo:VIV202604032532-2-305-316-408-426-430-442</t>
        </is>
      </c>
      <c r="G810" s="3" t="n">
        <v>1200</v>
      </c>
      <c r="H810" s="3" t="inlineStr"/>
      <c r="I810" s="2" t="inlineStr"/>
      <c r="J810" s="2" t="inlineStr"/>
      <c r="K810" s="2" t="inlineStr">
        <is>
          <t>instalação grátis mediante fidelização (não afeta a mensalidade)</t>
        </is>
      </c>
      <c r="L810" s="2" t="inlineStr">
        <is>
          <t>mobile+broadband+tv</t>
        </is>
      </c>
      <c r="M810" s="2" t="inlineStr">
        <is>
          <t>Fiber + Mobile + TV</t>
        </is>
      </c>
      <c r="N810" s="2" t="b">
        <v>1</v>
      </c>
      <c r="O810" s="2" t="b">
        <v>1</v>
      </c>
      <c r="P810" s="2" t="b">
        <v>1</v>
      </c>
      <c r="Q810" s="2" t="b">
        <v>0</v>
      </c>
      <c r="R810" s="4" t="n">
        <v>1000</v>
      </c>
      <c r="S810" s="4" t="n">
        <v>600</v>
      </c>
      <c r="T810" s="4" t="n">
        <v>11</v>
      </c>
      <c r="U810" s="2" t="inlineStr">
        <is>
          <t>Vivo TV Completo com HBO Max e Telecine</t>
        </is>
      </c>
      <c r="V810" s="2" t="inlineStr"/>
      <c r="W810" s="2" t="inlineStr">
        <is>
          <t>Vivo Travel Mundo; 10 linhas adicionais inclusas; Vivo TV Completo com HBO Max e Telecine</t>
        </is>
      </c>
      <c r="X810" s="2" t="inlineStr">
        <is>
          <t>1Giga de Vivo Fibra</t>
        </is>
      </c>
      <c r="Y810" s="2" t="inlineStr">
        <is>
          <t>https://vivo.com.br/para-voce/produtos-e-servicos/combos/vivo-total</t>
        </is>
      </c>
      <c r="Z810" s="2" t="inlineStr">
        <is>
          <t>data/raw/vivo_convergent_total_SP.html</t>
        </is>
      </c>
    </row>
    <row r="811">
      <c r="A811" s="5" t="inlineStr">
        <is>
          <t>2026-09-05</t>
        </is>
      </c>
      <c r="B811" s="5" t="inlineStr">
        <is>
          <t>2026-09-05T19:37:33</t>
        </is>
      </c>
      <c r="C811" s="5" t="inlineStr">
        <is>
          <t>claro</t>
        </is>
      </c>
      <c r="D811" s="5" t="inlineStr">
        <is>
          <t>SP</t>
        </is>
      </c>
      <c r="E811" s="5" t="inlineStr">
        <is>
          <t>1 Giga com Globoplay incluso + Claro tv+ Box + Disney+ Amazon Prime + Netflix + HBO Max + Apple TV + Globoplay</t>
        </is>
      </c>
      <c r="F811" s="5" t="inlineStr">
        <is>
          <t>claro:af8152be-4aa7-4aa8-819a-a79687a3a9a0</t>
        </is>
      </c>
      <c r="G811" s="6" t="n">
        <v>319.8</v>
      </c>
      <c r="H811" s="6" t="inlineStr"/>
      <c r="I811" s="5" t="inlineStr"/>
      <c r="J811" s="5" t="inlineStr"/>
      <c r="K811" s="5" t="inlineStr">
        <is>
          <t>tab: Fibra + TV</t>
        </is>
      </c>
      <c r="L811" s="5" t="inlineStr">
        <is>
          <t>broadband+tv</t>
        </is>
      </c>
      <c r="M811" s="5" t="inlineStr">
        <is>
          <t>Fiber + TV</t>
        </is>
      </c>
      <c r="N811" s="5" t="b">
        <v>0</v>
      </c>
      <c r="O811" s="5" t="b">
        <v>1</v>
      </c>
      <c r="P811" s="5" t="b">
        <v>1</v>
      </c>
      <c r="Q811" s="5" t="b">
        <v>0</v>
      </c>
      <c r="R811" s="7" t="n">
        <v>1000</v>
      </c>
      <c r="S811" s="7" t="inlineStr"/>
      <c r="T811" s="7" t="inlineStr"/>
      <c r="U811" s="5" t="inlineStr">
        <is>
          <t>Claro tv+ Box + Disney+ Amazon Prime + Netflix + HBO Max + Apple TV + Globoplay</t>
        </is>
      </c>
      <c r="V811" s="5" t="inlineStr"/>
      <c r="W811" s="5" t="inlineStr"/>
      <c r="X811" s="5" t="inlineStr"/>
      <c r="Y811" s="5" t="inlineStr">
        <is>
          <t>https://www.claro.com.br/multi</t>
        </is>
      </c>
      <c r="Z811" s="5" t="inlineStr">
        <is>
          <t>data/raw/claro_convergent_multi_SP.html</t>
        </is>
      </c>
    </row>
    <row r="812">
      <c r="A812" s="2" t="inlineStr">
        <is>
          <t>2026-09-05</t>
        </is>
      </c>
      <c r="B812" s="2" t="inlineStr">
        <is>
          <t>2026-09-05T19:37:33</t>
        </is>
      </c>
      <c r="C812" s="2" t="inlineStr">
        <is>
          <t>claro</t>
        </is>
      </c>
      <c r="D812" s="2" t="inlineStr">
        <is>
          <t>SP</t>
        </is>
      </c>
      <c r="E812" s="2" t="inlineStr">
        <is>
          <t>1 Giga com Globoplay incluso + Claro tv+ Soundbox + Disney+ Amazon Prime + Netflix + HBO Max + Apple TV + Globoplay</t>
        </is>
      </c>
      <c r="F812" s="2" t="inlineStr">
        <is>
          <t>claro:ceb9fd87-0897-4dd2-a2f2-e7f09e714e49</t>
        </is>
      </c>
      <c r="G812" s="3" t="n">
        <v>429.8</v>
      </c>
      <c r="H812" s="3" t="inlineStr"/>
      <c r="I812" s="2" t="inlineStr"/>
      <c r="J812" s="2" t="inlineStr"/>
      <c r="K812" s="2" t="inlineStr">
        <is>
          <t>tab: Fibra + TV</t>
        </is>
      </c>
      <c r="L812" s="2" t="inlineStr">
        <is>
          <t>broadband+tv</t>
        </is>
      </c>
      <c r="M812" s="2" t="inlineStr">
        <is>
          <t>Fiber + TV</t>
        </is>
      </c>
      <c r="N812" s="2" t="b">
        <v>0</v>
      </c>
      <c r="O812" s="2" t="b">
        <v>1</v>
      </c>
      <c r="P812" s="2" t="b">
        <v>1</v>
      </c>
      <c r="Q812" s="2" t="b">
        <v>0</v>
      </c>
      <c r="R812" s="4" t="n">
        <v>1000</v>
      </c>
      <c r="S812" s="4" t="inlineStr"/>
      <c r="T812" s="4" t="inlineStr"/>
      <c r="U812" s="2" t="inlineStr">
        <is>
          <t>Claro tv+ Soundbox + Disney+ Amazon Prime + Netflix + HBO Max + Apple TV + Globoplay</t>
        </is>
      </c>
      <c r="V812" s="2" t="inlineStr"/>
      <c r="W812" s="2" t="inlineStr"/>
      <c r="X812" s="2" t="inlineStr"/>
      <c r="Y812" s="2" t="inlineStr">
        <is>
          <t>https://www.claro.com.br/multi</t>
        </is>
      </c>
      <c r="Z812" s="2" t="inlineStr">
        <is>
          <t>data/raw/claro_convergent_multi_SP.html</t>
        </is>
      </c>
    </row>
    <row r="813">
      <c r="A813" s="5" t="inlineStr">
        <is>
          <t>2026-09-05</t>
        </is>
      </c>
      <c r="B813" s="5" t="inlineStr">
        <is>
          <t>2026-09-05T19:37:33</t>
        </is>
      </c>
      <c r="C813" s="5" t="inlineStr">
        <is>
          <t>claro</t>
        </is>
      </c>
      <c r="D813" s="5" t="inlineStr">
        <is>
          <t>SP</t>
        </is>
      </c>
      <c r="E813" s="5" t="inlineStr">
        <is>
          <t>1 Giga com Globoplay incluso + Pós 100GB</t>
        </is>
      </c>
      <c r="F813" s="5" t="inlineStr">
        <is>
          <t>claro:a1de0ac1-61bb-4e97-a744-1ae4c3541673</t>
        </is>
      </c>
      <c r="G813" s="6" t="n">
        <v>179.9</v>
      </c>
      <c r="H813" s="6" t="inlineStr"/>
      <c r="I813" s="5" t="inlineStr"/>
      <c r="J813" s="5" t="inlineStr"/>
      <c r="K813" s="5" t="inlineStr">
        <is>
          <t>tab: Fibra + Móvel</t>
        </is>
      </c>
      <c r="L813" s="5" t="inlineStr">
        <is>
          <t>mobile+broadband</t>
        </is>
      </c>
      <c r="M813" s="5" t="inlineStr">
        <is>
          <t>Fiber + Mobile</t>
        </is>
      </c>
      <c r="N813" s="5" t="b">
        <v>1</v>
      </c>
      <c r="O813" s="5" t="b">
        <v>1</v>
      </c>
      <c r="P813" s="5" t="b">
        <v>0</v>
      </c>
      <c r="Q813" s="5" t="b">
        <v>0</v>
      </c>
      <c r="R813" s="7" t="n">
        <v>1000</v>
      </c>
      <c r="S813" s="7" t="n">
        <v>100</v>
      </c>
      <c r="T813" s="7" t="n">
        <v>1</v>
      </c>
      <c r="U813" s="5" t="inlineStr"/>
      <c r="V813" s="5" t="inlineStr"/>
      <c r="W813" s="5" t="inlineStr"/>
      <c r="X813" s="5" t="inlineStr">
        <is>
          <t>Pós 100GB</t>
        </is>
      </c>
      <c r="Y813" s="5" t="inlineStr">
        <is>
          <t>https://www.claro.com.br/multi</t>
        </is>
      </c>
      <c r="Z813" s="5" t="inlineStr">
        <is>
          <t>data/raw/claro_convergent_multi_SP.html</t>
        </is>
      </c>
    </row>
    <row r="814">
      <c r="A814" s="2" t="inlineStr">
        <is>
          <t>2026-09-05</t>
        </is>
      </c>
      <c r="B814" s="2" t="inlineStr">
        <is>
          <t>2026-09-05T19:37:33</t>
        </is>
      </c>
      <c r="C814" s="2" t="inlineStr">
        <is>
          <t>claro</t>
        </is>
      </c>
      <c r="D814" s="2" t="inlineStr">
        <is>
          <t>SP</t>
        </is>
      </c>
      <c r="E814" s="2" t="inlineStr">
        <is>
          <t>1 Giga com Globoplay incluso + Pós 100GB + Claro tv+ Box + Disney+ Amazon Prime + Netflix + HBO Max + Apple TV + Globoplay</t>
        </is>
      </c>
      <c r="F814" s="2" t="inlineStr">
        <is>
          <t>claro:548c4bad-7857-4c0c-94d5-45d33d66c57f</t>
        </is>
      </c>
      <c r="G814" s="3" t="n">
        <v>289.8</v>
      </c>
      <c r="H814" s="3" t="inlineStr"/>
      <c r="I814" s="2" t="inlineStr"/>
      <c r="J814" s="2" t="inlineStr"/>
      <c r="K814" s="2" t="inlineStr">
        <is>
          <t>tab: Fibra + Móvel + TV</t>
        </is>
      </c>
      <c r="L814" s="2" t="inlineStr">
        <is>
          <t>mobile+broadband+tv</t>
        </is>
      </c>
      <c r="M814" s="2" t="inlineStr">
        <is>
          <t>Fiber + Mobile + TV</t>
        </is>
      </c>
      <c r="N814" s="2" t="b">
        <v>1</v>
      </c>
      <c r="O814" s="2" t="b">
        <v>1</v>
      </c>
      <c r="P814" s="2" t="b">
        <v>1</v>
      </c>
      <c r="Q814" s="2" t="b">
        <v>0</v>
      </c>
      <c r="R814" s="4" t="n">
        <v>1000</v>
      </c>
      <c r="S814" s="4" t="n">
        <v>100</v>
      </c>
      <c r="T814" s="4" t="n">
        <v>1</v>
      </c>
      <c r="U814" s="2" t="inlineStr">
        <is>
          <t>Claro tv+ Box + Disney+ Amazon Prime + Netflix + HBO Max + Apple TV + Globoplay</t>
        </is>
      </c>
      <c r="V814" s="2" t="inlineStr"/>
      <c r="W814" s="2" t="inlineStr"/>
      <c r="X814" s="2" t="inlineStr">
        <is>
          <t>Pós 100GB</t>
        </is>
      </c>
      <c r="Y814" s="2" t="inlineStr">
        <is>
          <t>https://www.claro.com.br/multi</t>
        </is>
      </c>
      <c r="Z814" s="2" t="inlineStr">
        <is>
          <t>data/raw/claro_convergent_multi_SP.html</t>
        </is>
      </c>
    </row>
    <row r="815">
      <c r="A815" s="5" t="inlineStr">
        <is>
          <t>2026-09-05</t>
        </is>
      </c>
      <c r="B815" s="5" t="inlineStr">
        <is>
          <t>2026-09-05T19:37:33</t>
        </is>
      </c>
      <c r="C815" s="5" t="inlineStr">
        <is>
          <t>claro</t>
        </is>
      </c>
      <c r="D815" s="5" t="inlineStr">
        <is>
          <t>SP</t>
        </is>
      </c>
      <c r="E815" s="5" t="inlineStr">
        <is>
          <t>1 Giga com Globoplay incluso + Pós 150GB</t>
        </is>
      </c>
      <c r="F815" s="5" t="inlineStr">
        <is>
          <t>claro:d47e2a3b-dfd0-410e-9c24-d07a334d01d4</t>
        </is>
      </c>
      <c r="G815" s="6" t="n">
        <v>299.9</v>
      </c>
      <c r="H815" s="6" t="inlineStr"/>
      <c r="I815" s="5" t="inlineStr"/>
      <c r="J815" s="5" t="inlineStr"/>
      <c r="K815" s="5" t="inlineStr">
        <is>
          <t>tab: Fibra + Móvel</t>
        </is>
      </c>
      <c r="L815" s="5" t="inlineStr">
        <is>
          <t>mobile+broadband</t>
        </is>
      </c>
      <c r="M815" s="5" t="inlineStr">
        <is>
          <t>Fiber + Mobile</t>
        </is>
      </c>
      <c r="N815" s="5" t="b">
        <v>1</v>
      </c>
      <c r="O815" s="5" t="b">
        <v>1</v>
      </c>
      <c r="P815" s="5" t="b">
        <v>0</v>
      </c>
      <c r="Q815" s="5" t="b">
        <v>0</v>
      </c>
      <c r="R815" s="7" t="n">
        <v>1000</v>
      </c>
      <c r="S815" s="7" t="n">
        <v>150</v>
      </c>
      <c r="T815" s="7" t="n">
        <v>2</v>
      </c>
      <c r="U815" s="5" t="inlineStr"/>
      <c r="V815" s="5" t="inlineStr"/>
      <c r="W815" s="5" t="inlineStr"/>
      <c r="X815" s="5" t="inlineStr">
        <is>
          <t>Pós 150GB</t>
        </is>
      </c>
      <c r="Y815" s="5" t="inlineStr">
        <is>
          <t>https://www.claro.com.br/multi</t>
        </is>
      </c>
      <c r="Z815" s="5" t="inlineStr">
        <is>
          <t>data/raw/claro_convergent_multi_SP.html</t>
        </is>
      </c>
    </row>
    <row r="816">
      <c r="A816" s="2" t="inlineStr">
        <is>
          <t>2026-09-05</t>
        </is>
      </c>
      <c r="B816" s="2" t="inlineStr">
        <is>
          <t>2026-09-05T19:37:33</t>
        </is>
      </c>
      <c r="C816" s="2" t="inlineStr">
        <is>
          <t>claro</t>
        </is>
      </c>
      <c r="D816" s="2" t="inlineStr">
        <is>
          <t>SP</t>
        </is>
      </c>
      <c r="E816" s="2" t="inlineStr">
        <is>
          <t>1 Giga com Globoplay incluso + Pós 150GB + Claro tv+ Box + Disney+ Amazon Prime + Netflix + HBO Max + Apple TV + Globoplay</t>
        </is>
      </c>
      <c r="F816" s="2" t="inlineStr">
        <is>
          <t>claro:7785b449-69f2-4234-9e24-8837e32a55c0</t>
        </is>
      </c>
      <c r="G816" s="3" t="n">
        <v>409.8</v>
      </c>
      <c r="H816" s="3" t="inlineStr"/>
      <c r="I816" s="2" t="inlineStr"/>
      <c r="J816" s="2" t="inlineStr"/>
      <c r="K816" s="2" t="inlineStr">
        <is>
          <t>tab: Fibra + Móvel + TV</t>
        </is>
      </c>
      <c r="L816" s="2" t="inlineStr">
        <is>
          <t>mobile+broadband+tv</t>
        </is>
      </c>
      <c r="M816" s="2" t="inlineStr">
        <is>
          <t>Fiber + Mobile + TV</t>
        </is>
      </c>
      <c r="N816" s="2" t="b">
        <v>1</v>
      </c>
      <c r="O816" s="2" t="b">
        <v>1</v>
      </c>
      <c r="P816" s="2" t="b">
        <v>1</v>
      </c>
      <c r="Q816" s="2" t="b">
        <v>0</v>
      </c>
      <c r="R816" s="4" t="n">
        <v>1000</v>
      </c>
      <c r="S816" s="4" t="n">
        <v>150</v>
      </c>
      <c r="T816" s="4" t="n">
        <v>1</v>
      </c>
      <c r="U816" s="2" t="inlineStr">
        <is>
          <t>Claro tv+ Box + Disney+ Amazon Prime + Netflix + HBO Max + Apple TV + Globoplay</t>
        </is>
      </c>
      <c r="V816" s="2" t="inlineStr"/>
      <c r="W816" s="2" t="inlineStr"/>
      <c r="X816" s="2" t="inlineStr">
        <is>
          <t>Pós 150GB</t>
        </is>
      </c>
      <c r="Y816" s="2" t="inlineStr">
        <is>
          <t>https://www.claro.com.br/multi</t>
        </is>
      </c>
      <c r="Z816" s="2" t="inlineStr">
        <is>
          <t>data/raw/claro_convergent_multi_SP.html</t>
        </is>
      </c>
    </row>
    <row r="817">
      <c r="A817" s="5" t="inlineStr">
        <is>
          <t>2026-09-05</t>
        </is>
      </c>
      <c r="B817" s="5" t="inlineStr">
        <is>
          <t>2026-09-05T19:37:33</t>
        </is>
      </c>
      <c r="C817" s="5" t="inlineStr">
        <is>
          <t>claro</t>
        </is>
      </c>
      <c r="D817" s="5" t="inlineStr">
        <is>
          <t>SP</t>
        </is>
      </c>
      <c r="E817" s="5" t="inlineStr">
        <is>
          <t>1 Giga com Globoplay incluso + Pós 200GB</t>
        </is>
      </c>
      <c r="F817" s="5" t="inlineStr">
        <is>
          <t>claro:1961a62d-3213-4ff0-a152-401a45c5b1b5</t>
        </is>
      </c>
      <c r="G817" s="6" t="n">
        <v>359.9</v>
      </c>
      <c r="H817" s="6" t="inlineStr"/>
      <c r="I817" s="5" t="inlineStr"/>
      <c r="J817" s="5" t="inlineStr"/>
      <c r="K817" s="5" t="inlineStr">
        <is>
          <t>tab: Fibra + Móvel</t>
        </is>
      </c>
      <c r="L817" s="5" t="inlineStr">
        <is>
          <t>mobile+broadband</t>
        </is>
      </c>
      <c r="M817" s="5" t="inlineStr">
        <is>
          <t>Fiber + Mobile</t>
        </is>
      </c>
      <c r="N817" s="5" t="b">
        <v>1</v>
      </c>
      <c r="O817" s="5" t="b">
        <v>1</v>
      </c>
      <c r="P817" s="5" t="b">
        <v>0</v>
      </c>
      <c r="Q817" s="5" t="b">
        <v>0</v>
      </c>
      <c r="R817" s="7" t="n">
        <v>1000</v>
      </c>
      <c r="S817" s="7" t="n">
        <v>200</v>
      </c>
      <c r="T817" s="7" t="n">
        <v>3</v>
      </c>
      <c r="U817" s="5" t="inlineStr"/>
      <c r="V817" s="5" t="inlineStr"/>
      <c r="W817" s="5" t="inlineStr"/>
      <c r="X817" s="5" t="inlineStr">
        <is>
          <t>Pós 200GB</t>
        </is>
      </c>
      <c r="Y817" s="5" t="inlineStr">
        <is>
          <t>https://www.claro.com.br/multi</t>
        </is>
      </c>
      <c r="Z817" s="5" t="inlineStr">
        <is>
          <t>data/raw/claro_convergent_multi_SP.html</t>
        </is>
      </c>
    </row>
    <row r="818">
      <c r="A818" s="2" t="inlineStr">
        <is>
          <t>2026-09-05</t>
        </is>
      </c>
      <c r="B818" s="2" t="inlineStr">
        <is>
          <t>2026-09-05T19:37:33</t>
        </is>
      </c>
      <c r="C818" s="2" t="inlineStr">
        <is>
          <t>claro</t>
        </is>
      </c>
      <c r="D818" s="2" t="inlineStr">
        <is>
          <t>SP</t>
        </is>
      </c>
      <c r="E818" s="2" t="inlineStr">
        <is>
          <t>1 Giga com Globoplay incluso + Pós 200GB + Claro tv+ Box + Disney+ Amazon Prime + Netflix + HBO Max + Apple TV + Globoplay</t>
        </is>
      </c>
      <c r="F818" s="2" t="inlineStr">
        <is>
          <t>claro:312815a2-b3a5-43bb-89a1-272d53ccb212</t>
        </is>
      </c>
      <c r="G818" s="3" t="n">
        <v>469.8</v>
      </c>
      <c r="H818" s="3" t="inlineStr"/>
      <c r="I818" s="2" t="inlineStr"/>
      <c r="J818" s="2" t="inlineStr"/>
      <c r="K818" s="2" t="inlineStr">
        <is>
          <t>tab: Fibra + Móvel + TV</t>
        </is>
      </c>
      <c r="L818" s="2" t="inlineStr">
        <is>
          <t>mobile+broadband+tv</t>
        </is>
      </c>
      <c r="M818" s="2" t="inlineStr">
        <is>
          <t>Fiber + Mobile + TV</t>
        </is>
      </c>
      <c r="N818" s="2" t="b">
        <v>1</v>
      </c>
      <c r="O818" s="2" t="b">
        <v>1</v>
      </c>
      <c r="P818" s="2" t="b">
        <v>1</v>
      </c>
      <c r="Q818" s="2" t="b">
        <v>0</v>
      </c>
      <c r="R818" s="4" t="n">
        <v>1000</v>
      </c>
      <c r="S818" s="4" t="n">
        <v>200</v>
      </c>
      <c r="T818" s="4" t="n">
        <v>1</v>
      </c>
      <c r="U818" s="2" t="inlineStr">
        <is>
          <t>Claro tv+ Box + Disney+ Amazon Prime + Netflix + HBO Max + Apple TV + Globoplay</t>
        </is>
      </c>
      <c r="V818" s="2" t="inlineStr"/>
      <c r="W818" s="2" t="inlineStr"/>
      <c r="X818" s="2" t="inlineStr">
        <is>
          <t>Pós 200GB</t>
        </is>
      </c>
      <c r="Y818" s="2" t="inlineStr">
        <is>
          <t>https://www.claro.com.br/multi</t>
        </is>
      </c>
      <c r="Z818" s="2" t="inlineStr">
        <is>
          <t>data/raw/claro_convergent_multi_SP.html</t>
        </is>
      </c>
    </row>
    <row r="819">
      <c r="A819" s="5" t="inlineStr">
        <is>
          <t>2026-09-05</t>
        </is>
      </c>
      <c r="B819" s="5" t="inlineStr">
        <is>
          <t>2026-09-05T19:37:33</t>
        </is>
      </c>
      <c r="C819" s="5" t="inlineStr">
        <is>
          <t>claro</t>
        </is>
      </c>
      <c r="D819" s="5" t="inlineStr">
        <is>
          <t>SP</t>
        </is>
      </c>
      <c r="E819" s="5" t="inlineStr">
        <is>
          <t>350 Mega com Globoplay incluso + Claro tv+ Box + Disney+ Amazon Prime + Netflix + HBO Max + Apple TV + Globoplay</t>
        </is>
      </c>
      <c r="F819" s="5" t="inlineStr">
        <is>
          <t>claro:97b00450-6f21-4349-8363-83d624b18328</t>
        </is>
      </c>
      <c r="G819" s="6" t="n">
        <v>229.8</v>
      </c>
      <c r="H819" s="6" t="inlineStr"/>
      <c r="I819" s="5" t="inlineStr"/>
      <c r="J819" s="5" t="inlineStr"/>
      <c r="K819" s="5" t="inlineStr">
        <is>
          <t>tab: Fibra + TV</t>
        </is>
      </c>
      <c r="L819" s="5" t="inlineStr">
        <is>
          <t>broadband+tv</t>
        </is>
      </c>
      <c r="M819" s="5" t="inlineStr">
        <is>
          <t>Fiber + TV</t>
        </is>
      </c>
      <c r="N819" s="5" t="b">
        <v>0</v>
      </c>
      <c r="O819" s="5" t="b">
        <v>1</v>
      </c>
      <c r="P819" s="5" t="b">
        <v>1</v>
      </c>
      <c r="Q819" s="5" t="b">
        <v>0</v>
      </c>
      <c r="R819" s="7" t="n">
        <v>350</v>
      </c>
      <c r="S819" s="7" t="inlineStr"/>
      <c r="T819" s="7" t="inlineStr"/>
      <c r="U819" s="5" t="inlineStr">
        <is>
          <t>Claro tv+ Box + Disney+ Amazon Prime + Netflix + HBO Max + Apple TV + Globoplay</t>
        </is>
      </c>
      <c r="V819" s="5" t="inlineStr"/>
      <c r="W819" s="5" t="inlineStr"/>
      <c r="X819" s="5" t="inlineStr"/>
      <c r="Y819" s="5" t="inlineStr">
        <is>
          <t>https://www.claro.com.br/multi</t>
        </is>
      </c>
      <c r="Z819" s="5" t="inlineStr">
        <is>
          <t>data/raw/claro_convergent_multi_SP.html</t>
        </is>
      </c>
    </row>
    <row r="820">
      <c r="A820" s="2" t="inlineStr">
        <is>
          <t>2026-09-05</t>
        </is>
      </c>
      <c r="B820" s="2" t="inlineStr">
        <is>
          <t>2026-09-05T19:37:33</t>
        </is>
      </c>
      <c r="C820" s="2" t="inlineStr">
        <is>
          <t>claro</t>
        </is>
      </c>
      <c r="D820" s="2" t="inlineStr">
        <is>
          <t>SP</t>
        </is>
      </c>
      <c r="E820" s="2" t="inlineStr">
        <is>
          <t>350 Mega com Globoplay incluso + Controle 40GB</t>
        </is>
      </c>
      <c r="F820" s="2" t="inlineStr">
        <is>
          <t>claro:a866ea9a-6a70-4b6e-b886-f8178086ca91</t>
        </is>
      </c>
      <c r="G820" s="3" t="n">
        <v>129.8</v>
      </c>
      <c r="H820" s="3" t="inlineStr"/>
      <c r="I820" s="2" t="inlineStr"/>
      <c r="J820" s="2" t="inlineStr">
        <is>
          <t>debit_auto</t>
        </is>
      </c>
      <c r="K820" s="2" t="inlineStr">
        <is>
          <t>tab: Fibra + Móvel; preço em débito em conta; +R$ 5.00 sem débito automático</t>
        </is>
      </c>
      <c r="L820" s="2" t="inlineStr">
        <is>
          <t>mobile+broadband</t>
        </is>
      </c>
      <c r="M820" s="2" t="inlineStr">
        <is>
          <t>Fiber + Mobile</t>
        </is>
      </c>
      <c r="N820" s="2" t="b">
        <v>1</v>
      </c>
      <c r="O820" s="2" t="b">
        <v>1</v>
      </c>
      <c r="P820" s="2" t="b">
        <v>0</v>
      </c>
      <c r="Q820" s="2" t="b">
        <v>0</v>
      </c>
      <c r="R820" s="4" t="n">
        <v>350</v>
      </c>
      <c r="S820" s="4" t="n">
        <v>40</v>
      </c>
      <c r="T820" s="4" t="n">
        <v>1</v>
      </c>
      <c r="U820" s="2" t="inlineStr"/>
      <c r="V820" s="2" t="inlineStr"/>
      <c r="W820" s="2" t="inlineStr"/>
      <c r="X820" s="2" t="inlineStr">
        <is>
          <t>Controle 40GB</t>
        </is>
      </c>
      <c r="Y820" s="2" t="inlineStr">
        <is>
          <t>https://www.claro.com.br/multi</t>
        </is>
      </c>
      <c r="Z820" s="2" t="inlineStr">
        <is>
          <t>data/raw/claro_convergent_multi_SP.html</t>
        </is>
      </c>
    </row>
    <row r="821">
      <c r="A821" s="5" t="inlineStr">
        <is>
          <t>2026-09-05</t>
        </is>
      </c>
      <c r="B821" s="5" t="inlineStr">
        <is>
          <t>2026-09-05T19:37:33</t>
        </is>
      </c>
      <c r="C821" s="5" t="inlineStr">
        <is>
          <t>claro</t>
        </is>
      </c>
      <c r="D821" s="5" t="inlineStr">
        <is>
          <t>SP</t>
        </is>
      </c>
      <c r="E821" s="5" t="inlineStr">
        <is>
          <t>350 Mega com Globoplay incluso + Pós 100GB + Claro tv+ Box + Disney+ Amazon Prime + Netflix + HBO Max + Apple TV + Globoplay</t>
        </is>
      </c>
      <c r="F821" s="5" t="inlineStr">
        <is>
          <t>claro:746fa9cf-ea2b-40de-ad2c-5803b3e0ab08</t>
        </is>
      </c>
      <c r="G821" s="6" t="n">
        <v>249.8</v>
      </c>
      <c r="H821" s="6" t="inlineStr"/>
      <c r="I821" s="5" t="inlineStr"/>
      <c r="J821" s="5" t="inlineStr"/>
      <c r="K821" s="5" t="inlineStr">
        <is>
          <t>tab: Fibra + Móvel + TV</t>
        </is>
      </c>
      <c r="L821" s="5" t="inlineStr">
        <is>
          <t>mobile+broadband+tv</t>
        </is>
      </c>
      <c r="M821" s="5" t="inlineStr">
        <is>
          <t>Fiber + Mobile + TV</t>
        </is>
      </c>
      <c r="N821" s="5" t="b">
        <v>1</v>
      </c>
      <c r="O821" s="5" t="b">
        <v>1</v>
      </c>
      <c r="P821" s="5" t="b">
        <v>1</v>
      </c>
      <c r="Q821" s="5" t="b">
        <v>0</v>
      </c>
      <c r="R821" s="7" t="n">
        <v>350</v>
      </c>
      <c r="S821" s="7" t="n">
        <v>100</v>
      </c>
      <c r="T821" s="7" t="n">
        <v>1</v>
      </c>
      <c r="U821" s="5" t="inlineStr">
        <is>
          <t>Claro tv+ Box + Disney+ Amazon Prime + Netflix + HBO Max + Apple TV + Globoplay</t>
        </is>
      </c>
      <c r="V821" s="5" t="inlineStr"/>
      <c r="W821" s="5" t="inlineStr"/>
      <c r="X821" s="5" t="inlineStr">
        <is>
          <t>Pós 100GB</t>
        </is>
      </c>
      <c r="Y821" s="5" t="inlineStr">
        <is>
          <t>https://www.claro.com.br/multi</t>
        </is>
      </c>
      <c r="Z821" s="5" t="inlineStr">
        <is>
          <t>data/raw/claro_convergent_multi_SP.html</t>
        </is>
      </c>
    </row>
    <row r="822">
      <c r="A822" s="2" t="inlineStr">
        <is>
          <t>2026-09-05</t>
        </is>
      </c>
      <c r="B822" s="2" t="inlineStr">
        <is>
          <t>2026-09-05T19:37:33</t>
        </is>
      </c>
      <c r="C822" s="2" t="inlineStr">
        <is>
          <t>claro</t>
        </is>
      </c>
      <c r="D822" s="2" t="inlineStr">
        <is>
          <t>SP</t>
        </is>
      </c>
      <c r="E822" s="2" t="inlineStr">
        <is>
          <t>600 Mega com Globoplay incluso + Claro tv+ Box + Disney+ Amazon Prime + Netflix + HBO Max + Apple TV + Globoplay</t>
        </is>
      </c>
      <c r="F822" s="2" t="inlineStr">
        <is>
          <t>claro:545261b1-2f4d-4dab-82a6-02d9e66c5d3d</t>
        </is>
      </c>
      <c r="G822" s="3" t="n">
        <v>239.8</v>
      </c>
      <c r="H822" s="3" t="inlineStr"/>
      <c r="I822" s="2" t="inlineStr"/>
      <c r="J822" s="2" t="inlineStr"/>
      <c r="K822" s="2" t="inlineStr">
        <is>
          <t>tab: Fibra + TV</t>
        </is>
      </c>
      <c r="L822" s="2" t="inlineStr">
        <is>
          <t>broadband+tv</t>
        </is>
      </c>
      <c r="M822" s="2" t="inlineStr">
        <is>
          <t>Fiber + TV</t>
        </is>
      </c>
      <c r="N822" s="2" t="b">
        <v>0</v>
      </c>
      <c r="O822" s="2" t="b">
        <v>1</v>
      </c>
      <c r="P822" s="2" t="b">
        <v>1</v>
      </c>
      <c r="Q822" s="2" t="b">
        <v>0</v>
      </c>
      <c r="R822" s="4" t="n">
        <v>600</v>
      </c>
      <c r="S822" s="4" t="inlineStr"/>
      <c r="T822" s="4" t="inlineStr"/>
      <c r="U822" s="2" t="inlineStr">
        <is>
          <t>Claro tv+ Box + Disney+ Amazon Prime + Netflix + HBO Max + Apple TV + Globoplay</t>
        </is>
      </c>
      <c r="V822" s="2" t="inlineStr"/>
      <c r="W822" s="2" t="inlineStr"/>
      <c r="X822" s="2" t="inlineStr"/>
      <c r="Y822" s="2" t="inlineStr">
        <is>
          <t>https://www.claro.com.br/multi</t>
        </is>
      </c>
      <c r="Z822" s="2" t="inlineStr">
        <is>
          <t>data/raw/claro_convergent_multi_SP.html</t>
        </is>
      </c>
    </row>
    <row r="823">
      <c r="A823" s="5" t="inlineStr">
        <is>
          <t>2026-09-05</t>
        </is>
      </c>
      <c r="B823" s="5" t="inlineStr">
        <is>
          <t>2026-09-05T19:37:33</t>
        </is>
      </c>
      <c r="C823" s="5" t="inlineStr">
        <is>
          <t>claro</t>
        </is>
      </c>
      <c r="D823" s="5" t="inlineStr">
        <is>
          <t>SP</t>
        </is>
      </c>
      <c r="E823" s="5" t="inlineStr">
        <is>
          <t>600 Mega com Globoplay incluso + Pós 100GB</t>
        </is>
      </c>
      <c r="F823" s="5" t="inlineStr">
        <is>
          <t>claro:350ac58a-533c-4858-83be-be3ea39c8874</t>
        </is>
      </c>
      <c r="G823" s="6" t="n">
        <v>159.9</v>
      </c>
      <c r="H823" s="6" t="inlineStr"/>
      <c r="I823" s="5" t="inlineStr"/>
      <c r="J823" s="5" t="inlineStr"/>
      <c r="K823" s="5" t="inlineStr">
        <is>
          <t>tab: Fibra + Móvel</t>
        </is>
      </c>
      <c r="L823" s="5" t="inlineStr">
        <is>
          <t>mobile+broadband</t>
        </is>
      </c>
      <c r="M823" s="5" t="inlineStr">
        <is>
          <t>Fiber + Mobile</t>
        </is>
      </c>
      <c r="N823" s="5" t="b">
        <v>1</v>
      </c>
      <c r="O823" s="5" t="b">
        <v>1</v>
      </c>
      <c r="P823" s="5" t="b">
        <v>0</v>
      </c>
      <c r="Q823" s="5" t="b">
        <v>0</v>
      </c>
      <c r="R823" s="7" t="n">
        <v>600</v>
      </c>
      <c r="S823" s="7" t="n">
        <v>100</v>
      </c>
      <c r="T823" s="7" t="n">
        <v>1</v>
      </c>
      <c r="U823" s="5" t="inlineStr"/>
      <c r="V823" s="5" t="inlineStr"/>
      <c r="W823" s="5" t="inlineStr"/>
      <c r="X823" s="5" t="inlineStr">
        <is>
          <t>Pós 100GB</t>
        </is>
      </c>
      <c r="Y823" s="5" t="inlineStr">
        <is>
          <t>https://www.claro.com.br/multi</t>
        </is>
      </c>
      <c r="Z823" s="5" t="inlineStr">
        <is>
          <t>data/raw/claro_convergent_multi_SP.html</t>
        </is>
      </c>
    </row>
    <row r="824">
      <c r="A824" s="2" t="inlineStr">
        <is>
          <t>2026-09-05</t>
        </is>
      </c>
      <c r="B824" s="2" t="inlineStr">
        <is>
          <t>2026-09-05T19:37:33</t>
        </is>
      </c>
      <c r="C824" s="2" t="inlineStr">
        <is>
          <t>claro</t>
        </is>
      </c>
      <c r="D824" s="2" t="inlineStr">
        <is>
          <t>SP</t>
        </is>
      </c>
      <c r="E824" s="2" t="inlineStr">
        <is>
          <t>600 Mega com Globoplay incluso + Pós 100GB + Claro tv+ Box + Disney+ Amazon Prime + Netflix + HBO Max + Apple TV + Globoplay</t>
        </is>
      </c>
      <c r="F824" s="2" t="inlineStr">
        <is>
          <t>claro:f36e7dfb-f7c9-4055-844f-7bc101699de8</t>
        </is>
      </c>
      <c r="G824" s="3" t="n">
        <v>269.8</v>
      </c>
      <c r="H824" s="3" t="inlineStr"/>
      <c r="I824" s="2" t="inlineStr"/>
      <c r="J824" s="2" t="inlineStr"/>
      <c r="K824" s="2" t="inlineStr">
        <is>
          <t>tab: Fibra + Móvel + TV</t>
        </is>
      </c>
      <c r="L824" s="2" t="inlineStr">
        <is>
          <t>mobile+broadband+tv</t>
        </is>
      </c>
      <c r="M824" s="2" t="inlineStr">
        <is>
          <t>Fiber + Mobile + TV</t>
        </is>
      </c>
      <c r="N824" s="2" t="b">
        <v>1</v>
      </c>
      <c r="O824" s="2" t="b">
        <v>1</v>
      </c>
      <c r="P824" s="2" t="b">
        <v>1</v>
      </c>
      <c r="Q824" s="2" t="b">
        <v>0</v>
      </c>
      <c r="R824" s="4" t="n">
        <v>600</v>
      </c>
      <c r="S824" s="4" t="n">
        <v>100</v>
      </c>
      <c r="T824" s="4" t="n">
        <v>1</v>
      </c>
      <c r="U824" s="2" t="inlineStr">
        <is>
          <t>Claro tv+ Box + Disney+ Amazon Prime + Netflix + HBO Max + Apple TV + Globoplay</t>
        </is>
      </c>
      <c r="V824" s="2" t="inlineStr"/>
      <c r="W824" s="2" t="inlineStr"/>
      <c r="X824" s="2" t="inlineStr">
        <is>
          <t>Pós 100GB</t>
        </is>
      </c>
      <c r="Y824" s="2" t="inlineStr">
        <is>
          <t>https://www.claro.com.br/multi</t>
        </is>
      </c>
      <c r="Z824" s="2" t="inlineStr">
        <is>
          <t>data/raw/claro_convergent_multi_SP.html</t>
        </is>
      </c>
    </row>
    <row r="825">
      <c r="A825" s="5" t="inlineStr">
        <is>
          <t>2026-09-05</t>
        </is>
      </c>
      <c r="B825" s="5" t="inlineStr">
        <is>
          <t>2026-09-05T19:37:33</t>
        </is>
      </c>
      <c r="C825" s="5" t="inlineStr">
        <is>
          <t>tim</t>
        </is>
      </c>
      <c r="D825" s="5" t="inlineStr">
        <is>
          <t>SP</t>
        </is>
      </c>
      <c r="E825" s="5" t="inlineStr">
        <is>
          <t>TIM Ultracombo 5</t>
        </is>
      </c>
      <c r="F825" s="5" t="inlineStr">
        <is>
          <t>tim:167756</t>
        </is>
      </c>
      <c r="G825" s="6" t="n">
        <v>169.99</v>
      </c>
      <c r="H825" s="6" t="inlineStr"/>
      <c r="I825" s="5" t="inlineStr"/>
      <c r="J825" s="5" t="inlineStr">
        <is>
          <t>debit_auto</t>
        </is>
      </c>
      <c r="K825" s="5" t="inlineStr">
        <is>
          <t>preço em débito automático; R$ 179,99/mês no pagamento por fatura</t>
        </is>
      </c>
      <c r="L825" s="5" t="inlineStr">
        <is>
          <t>mobile+broadband</t>
        </is>
      </c>
      <c r="M825" s="5" t="inlineStr">
        <is>
          <t>Fiber + Mobile</t>
        </is>
      </c>
      <c r="N825" s="5" t="b">
        <v>1</v>
      </c>
      <c r="O825" s="5" t="b">
        <v>1</v>
      </c>
      <c r="P825" s="5" t="b">
        <v>0</v>
      </c>
      <c r="Q825" s="5" t="b">
        <v>0</v>
      </c>
      <c r="R825" s="7" t="n">
        <v>1000</v>
      </c>
      <c r="S825" s="7" t="n">
        <v>115</v>
      </c>
      <c r="T825" s="7" t="n">
        <v>1</v>
      </c>
      <c r="U825" s="5" t="inlineStr"/>
      <c r="V825" s="5" t="inlineStr">
        <is>
          <t>Paramount+, Deezer</t>
        </is>
      </c>
      <c r="W825" s="5" t="inlineStr"/>
      <c r="X825" s="5" t="inlineStr">
        <is>
          <t>1GIGA de Ultrafibra para casa + 115GB de TIM Black C Hero para móvel: (25GB do plano + 40GB promo + 50GB bônus especial)</t>
        </is>
      </c>
      <c r="Y825" s="5" t="inlineStr">
        <is>
          <t>https://www.tim.com.br/sp/internet/tim-ultracombo</t>
        </is>
      </c>
      <c r="Z825" s="5" t="inlineStr">
        <is>
          <t>data/raw/tim_convergent_ultracombo_SP.html</t>
        </is>
      </c>
    </row>
    <row r="826">
      <c r="A826" s="2" t="inlineStr">
        <is>
          <t>2026-09-05</t>
        </is>
      </c>
      <c r="B826" s="2" t="inlineStr">
        <is>
          <t>2026-09-05T19:37:33</t>
        </is>
      </c>
      <c r="C826" s="2" t="inlineStr">
        <is>
          <t>tim</t>
        </is>
      </c>
      <c r="D826" s="2" t="inlineStr">
        <is>
          <t>SP</t>
        </is>
      </c>
      <c r="E826" s="2" t="inlineStr">
        <is>
          <t>TIM Ultracombo 6</t>
        </is>
      </c>
      <c r="F826" s="2" t="inlineStr">
        <is>
          <t>tim:167751</t>
        </is>
      </c>
      <c r="G826" s="3" t="n">
        <v>139.99</v>
      </c>
      <c r="H826" s="3" t="inlineStr"/>
      <c r="I826" s="2" t="inlineStr"/>
      <c r="J826" s="2" t="inlineStr">
        <is>
          <t>debit_auto</t>
        </is>
      </c>
      <c r="K826" s="2" t="inlineStr">
        <is>
          <t>preço em débito automático; R$ 149,99/mês no pagamento por fatura</t>
        </is>
      </c>
      <c r="L826" s="2" t="inlineStr">
        <is>
          <t>mobile+broadband</t>
        </is>
      </c>
      <c r="M826" s="2" t="inlineStr">
        <is>
          <t>Fiber + Mobile</t>
        </is>
      </c>
      <c r="N826" s="2" t="b">
        <v>1</v>
      </c>
      <c r="O826" s="2" t="b">
        <v>1</v>
      </c>
      <c r="P826" s="2" t="b">
        <v>0</v>
      </c>
      <c r="Q826" s="2" t="b">
        <v>0</v>
      </c>
      <c r="R826" s="4" t="n">
        <v>1000</v>
      </c>
      <c r="S826" s="4" t="n">
        <v>70</v>
      </c>
      <c r="T826" s="4" t="n">
        <v>1</v>
      </c>
      <c r="U826" s="2" t="inlineStr"/>
      <c r="V826" s="2" t="inlineStr">
        <is>
          <t>Paramount+, Deezer</t>
        </is>
      </c>
      <c r="W826" s="2" t="inlineStr"/>
      <c r="X826" s="2" t="inlineStr">
        <is>
          <t>1GIGA de Ultrafibra para casa + 70GB de TIM Black A para móvel: (15GB do plano + 50GB promo + 5GB bônus especial)</t>
        </is>
      </c>
      <c r="Y826" s="2" t="inlineStr">
        <is>
          <t>https://www.tim.com.br/sp/internet/tim-ultracombo</t>
        </is>
      </c>
      <c r="Z826" s="2" t="inlineStr">
        <is>
          <t>data/raw/tim_convergent_ultracombo_SP.html</t>
        </is>
      </c>
    </row>
    <row r="827">
      <c r="A827" s="5" t="inlineStr">
        <is>
          <t>2026-09-05</t>
        </is>
      </c>
      <c r="B827" s="5" t="inlineStr">
        <is>
          <t>2026-09-05T19:37:33</t>
        </is>
      </c>
      <c r="C827" s="5" t="inlineStr">
        <is>
          <t>tim</t>
        </is>
      </c>
      <c r="D827" s="5" t="inlineStr">
        <is>
          <t>SP</t>
        </is>
      </c>
      <c r="E827" s="5" t="inlineStr">
        <is>
          <t>TIM Ultracombo 7</t>
        </is>
      </c>
      <c r="F827" s="5" t="inlineStr">
        <is>
          <t>tim:167761</t>
        </is>
      </c>
      <c r="G827" s="6" t="n">
        <v>89.98999999999999</v>
      </c>
      <c r="H827" s="6" t="inlineStr"/>
      <c r="I827" s="5" t="inlineStr"/>
      <c r="J827" s="5" t="inlineStr">
        <is>
          <t>debit_auto</t>
        </is>
      </c>
      <c r="K827" s="5" t="inlineStr">
        <is>
          <t>preço em débito automático; R$ 99,99/mês no pagamento por fatura</t>
        </is>
      </c>
      <c r="L827" s="5" t="inlineStr">
        <is>
          <t>mobile+broadband</t>
        </is>
      </c>
      <c r="M827" s="5" t="inlineStr">
        <is>
          <t>Fiber + Mobile</t>
        </is>
      </c>
      <c r="N827" s="5" t="b">
        <v>1</v>
      </c>
      <c r="O827" s="5" t="b">
        <v>1</v>
      </c>
      <c r="P827" s="5" t="b">
        <v>0</v>
      </c>
      <c r="Q827" s="5" t="b">
        <v>0</v>
      </c>
      <c r="R827" s="7" t="n">
        <v>500</v>
      </c>
      <c r="S827" s="7" t="n">
        <v>65</v>
      </c>
      <c r="T827" s="7" t="n">
        <v>1</v>
      </c>
      <c r="U827" s="5" t="inlineStr"/>
      <c r="V827" s="5" t="inlineStr"/>
      <c r="W827" s="5" t="inlineStr"/>
      <c r="X827" s="5" t="inlineStr">
        <is>
          <t>500MEGA de Ultrafibra para casa + 65GB de TIM Black A Light para móvel: (10GB do plano + 50GB promo)</t>
        </is>
      </c>
      <c r="Y827" s="5" t="inlineStr">
        <is>
          <t>https://www.tim.com.br/sp/internet/tim-ultracombo</t>
        </is>
      </c>
      <c r="Z827" s="5" t="inlineStr">
        <is>
          <t>data/raw/tim_convergent_ultracombo_SP.html</t>
        </is>
      </c>
    </row>
    <row r="828">
      <c r="A828" s="2" t="inlineStr">
        <is>
          <t>2026-09-05</t>
        </is>
      </c>
      <c r="B828" s="2" t="inlineStr">
        <is>
          <t>2026-09-05T19:37:33</t>
        </is>
      </c>
      <c r="C828" s="2" t="inlineStr">
        <is>
          <t>vivo</t>
        </is>
      </c>
      <c r="D828" s="2" t="inlineStr">
        <is>
          <t>SP</t>
        </is>
      </c>
      <c r="E828" s="2" t="inlineStr">
        <is>
          <t>Vivo Família 2 + TV</t>
        </is>
      </c>
      <c r="F828" s="2" t="inlineStr">
        <is>
          <t>vivo:VIV202604032132-3-305-316-336-408-411-426-430-442</t>
        </is>
      </c>
      <c r="G828" s="3" t="n">
        <v>290</v>
      </c>
      <c r="H828" s="3" t="inlineStr"/>
      <c r="I828" s="2" t="inlineStr"/>
      <c r="J828" s="2" t="inlineStr"/>
      <c r="K828" s="2" t="inlineStr">
        <is>
          <t>instalação grátis mediante fidelização (não afeta a mensalidade)</t>
        </is>
      </c>
      <c r="L828" s="2" t="inlineStr">
        <is>
          <t>mobile+broadband+tv</t>
        </is>
      </c>
      <c r="M828" s="2" t="inlineStr">
        <is>
          <t>Fiber + Mobile + TV</t>
        </is>
      </c>
      <c r="N828" s="2" t="b">
        <v>1</v>
      </c>
      <c r="O828" s="2" t="b">
        <v>1</v>
      </c>
      <c r="P828" s="2" t="b">
        <v>1</v>
      </c>
      <c r="Q828" s="2" t="b">
        <v>0</v>
      </c>
      <c r="R828" s="4" t="n">
        <v>700</v>
      </c>
      <c r="S828" s="4" t="n">
        <v>120</v>
      </c>
      <c r="T828" s="4" t="n">
        <v>2</v>
      </c>
      <c r="U828" s="2" t="inlineStr">
        <is>
          <t>80 canais de Vivo Estendido</t>
        </is>
      </c>
      <c r="V828" s="2" t="inlineStr"/>
      <c r="W828" s="2" t="inlineStr">
        <is>
          <t>Vivo Travel Américas e Europa; 1 linha adicional inclusa</t>
        </is>
      </c>
      <c r="X828" s="2" t="inlineStr">
        <is>
          <t>700 Mega de Vivo Fibra</t>
        </is>
      </c>
      <c r="Y828" s="2" t="inlineStr">
        <is>
          <t>https://vivo.com.br/para-voce/produtos-e-servicos/combos/vivo-total</t>
        </is>
      </c>
      <c r="Z828" s="2" t="inlineStr">
        <is>
          <t>data/raw/vivo_convergent_total_SP.html</t>
        </is>
      </c>
    </row>
    <row r="829">
      <c r="A829" s="5" t="inlineStr">
        <is>
          <t>2026-09-05</t>
        </is>
      </c>
      <c r="B829" s="5" t="inlineStr">
        <is>
          <t>2026-09-05T19:37:33</t>
        </is>
      </c>
      <c r="C829" s="5" t="inlineStr">
        <is>
          <t>vivo</t>
        </is>
      </c>
      <c r="D829" s="5" t="inlineStr">
        <is>
          <t>SP</t>
        </is>
      </c>
      <c r="E829" s="5" t="inlineStr">
        <is>
          <t>Vivo Família 2 + TV</t>
        </is>
      </c>
      <c r="F829" s="5" t="inlineStr">
        <is>
          <t>vivo:VIV202604032112-3-9-305-316-408-411-426-430-442</t>
        </is>
      </c>
      <c r="G829" s="6" t="n">
        <v>390</v>
      </c>
      <c r="H829" s="6" t="inlineStr"/>
      <c r="I829" s="5" t="inlineStr"/>
      <c r="J829" s="5" t="inlineStr"/>
      <c r="K829" s="5" t="inlineStr">
        <is>
          <t>instalação grátis mediante fidelização (não afeta a mensalidade)</t>
        </is>
      </c>
      <c r="L829" s="5" t="inlineStr">
        <is>
          <t>mobile+broadband+tv</t>
        </is>
      </c>
      <c r="M829" s="5" t="inlineStr">
        <is>
          <t>Fiber + Mobile + TV</t>
        </is>
      </c>
      <c r="N829" s="5" t="b">
        <v>1</v>
      </c>
      <c r="O829" s="5" t="b">
        <v>1</v>
      </c>
      <c r="P829" s="5" t="b">
        <v>1</v>
      </c>
      <c r="Q829" s="5" t="b">
        <v>0</v>
      </c>
      <c r="R829" s="7" t="n">
        <v>700</v>
      </c>
      <c r="S829" s="7" t="n">
        <v>120</v>
      </c>
      <c r="T829" s="7" t="n">
        <v>2</v>
      </c>
      <c r="U829" s="5" t="inlineStr">
        <is>
          <t>120 canais de Vivo TV Avançado + 1 ponto adicional</t>
        </is>
      </c>
      <c r="V829" s="5" t="inlineStr"/>
      <c r="W829" s="5" t="inlineStr">
        <is>
          <t>Vivo Travel Américas e Europa; 1 linha adicional inclusa</t>
        </is>
      </c>
      <c r="X829" s="5" t="inlineStr">
        <is>
          <t>700 Mega de Vivo Fibra</t>
        </is>
      </c>
      <c r="Y829" s="5" t="inlineStr">
        <is>
          <t>https://vivo.com.br/para-voce/produtos-e-servicos/combos/vivo-total</t>
        </is>
      </c>
      <c r="Z829" s="5" t="inlineStr">
        <is>
          <t>data/raw/vivo_convergent_total_SP.html</t>
        </is>
      </c>
    </row>
    <row r="830">
      <c r="A830" s="2" t="inlineStr">
        <is>
          <t>2026-09-05</t>
        </is>
      </c>
      <c r="B830" s="2" t="inlineStr">
        <is>
          <t>2026-09-05T19:37:33</t>
        </is>
      </c>
      <c r="C830" s="2" t="inlineStr">
        <is>
          <t>vivo</t>
        </is>
      </c>
      <c r="D830" s="2" t="inlineStr">
        <is>
          <t>SP</t>
        </is>
      </c>
      <c r="E830" s="2" t="inlineStr">
        <is>
          <t>Vivo Total Família 2</t>
        </is>
      </c>
      <c r="F830" s="2" t="inlineStr">
        <is>
          <t>vivo:VIV202604032132-3-305-316-408-411-426-430-442</t>
        </is>
      </c>
      <c r="G830" s="3" t="n">
        <v>270</v>
      </c>
      <c r="H830" s="3" t="inlineStr"/>
      <c r="I830" s="2" t="inlineStr"/>
      <c r="J830" s="2" t="inlineStr"/>
      <c r="K830" s="2" t="inlineStr">
        <is>
          <t>instalação grátis mediante fidelização (não afeta a mensalidade)</t>
        </is>
      </c>
      <c r="L830" s="2" t="inlineStr">
        <is>
          <t>mobile+broadband</t>
        </is>
      </c>
      <c r="M830" s="2" t="inlineStr">
        <is>
          <t>Fiber + Mobile</t>
        </is>
      </c>
      <c r="N830" s="2" t="b">
        <v>1</v>
      </c>
      <c r="O830" s="2" t="b">
        <v>1</v>
      </c>
      <c r="P830" s="2" t="b">
        <v>0</v>
      </c>
      <c r="Q830" s="2" t="b">
        <v>0</v>
      </c>
      <c r="R830" s="4" t="n">
        <v>700</v>
      </c>
      <c r="S830" s="4" t="n">
        <v>120</v>
      </c>
      <c r="T830" s="4" t="n">
        <v>2</v>
      </c>
      <c r="U830" s="2" t="inlineStr"/>
      <c r="V830" s="2" t="inlineStr"/>
      <c r="W830" s="2" t="inlineStr">
        <is>
          <t>Vivo Travel Américas e Europa; 1 linha adicional inclusa</t>
        </is>
      </c>
      <c r="X830" s="2" t="inlineStr">
        <is>
          <t>700 Mega de Vivo Fibra</t>
        </is>
      </c>
      <c r="Y830" s="2" t="inlineStr">
        <is>
          <t>https://vivo.com.br/para-voce/produtos-e-servicos/combos/vivo-total</t>
        </is>
      </c>
      <c r="Z830" s="2" t="inlineStr">
        <is>
          <t>data/raw/vivo_convergent_total_SP.html</t>
        </is>
      </c>
    </row>
    <row r="831">
      <c r="A831" s="5" t="inlineStr">
        <is>
          <t>2026-09-05</t>
        </is>
      </c>
      <c r="B831" s="5" t="inlineStr">
        <is>
          <t>2026-09-05T19:37:33</t>
        </is>
      </c>
      <c r="C831" s="5" t="inlineStr">
        <is>
          <t>vivo</t>
        </is>
      </c>
      <c r="D831" s="5" t="inlineStr">
        <is>
          <t>SP</t>
        </is>
      </c>
      <c r="E831" s="5" t="inlineStr">
        <is>
          <t>Vivo Total Família 3</t>
        </is>
      </c>
      <c r="F831" s="5" t="inlineStr">
        <is>
          <t>vivo:VIV202604032212-4-305-316-408-411-426-430-442</t>
        </is>
      </c>
      <c r="G831" s="6" t="n">
        <v>330</v>
      </c>
      <c r="H831" s="6" t="inlineStr"/>
      <c r="I831" s="5" t="inlineStr"/>
      <c r="J831" s="5" t="inlineStr"/>
      <c r="K831" s="5" t="inlineStr">
        <is>
          <t>instalação grátis mediante fidelização (não afeta a mensalidade)</t>
        </is>
      </c>
      <c r="L831" s="5" t="inlineStr">
        <is>
          <t>mobile+broadband</t>
        </is>
      </c>
      <c r="M831" s="5" t="inlineStr">
        <is>
          <t>Fiber + Mobile</t>
        </is>
      </c>
      <c r="N831" s="5" t="b">
        <v>1</v>
      </c>
      <c r="O831" s="5" t="b">
        <v>1</v>
      </c>
      <c r="P831" s="5" t="b">
        <v>0</v>
      </c>
      <c r="Q831" s="5" t="b">
        <v>0</v>
      </c>
      <c r="R831" s="7" t="n">
        <v>700</v>
      </c>
      <c r="S831" s="7" t="n">
        <v>180</v>
      </c>
      <c r="T831" s="7" t="n">
        <v>3</v>
      </c>
      <c r="U831" s="5" t="inlineStr"/>
      <c r="V831" s="5" t="inlineStr"/>
      <c r="W831" s="5" t="inlineStr">
        <is>
          <t>Vivo Travel Américas e Europa; 2 linhas adicionais inclusas</t>
        </is>
      </c>
      <c r="X831" s="5" t="inlineStr">
        <is>
          <t>700 Mega de Vivo Fibra</t>
        </is>
      </c>
      <c r="Y831" s="5" t="inlineStr">
        <is>
          <t>https://vivo.com.br/para-voce/produtos-e-servicos/combos/vivo-total</t>
        </is>
      </c>
      <c r="Z831" s="5" t="inlineStr">
        <is>
          <t>data/raw/vivo_convergent_total_SP.html</t>
        </is>
      </c>
    </row>
    <row r="832">
      <c r="A832" s="2" t="inlineStr">
        <is>
          <t>2026-09-05</t>
        </is>
      </c>
      <c r="B832" s="2" t="inlineStr">
        <is>
          <t>2026-09-05T19:37:33</t>
        </is>
      </c>
      <c r="C832" s="2" t="inlineStr">
        <is>
          <t>vivo</t>
        </is>
      </c>
      <c r="D832" s="2" t="inlineStr">
        <is>
          <t>SP</t>
        </is>
      </c>
      <c r="E832" s="2" t="inlineStr">
        <is>
          <t>Vivo Total Família 4</t>
        </is>
      </c>
      <c r="F832" s="2" t="inlineStr">
        <is>
          <t>vivo:VIV202604032292-237-305-316-408-411-426-430-442</t>
        </is>
      </c>
      <c r="G832" s="3" t="n">
        <v>420</v>
      </c>
      <c r="H832" s="3" t="inlineStr"/>
      <c r="I832" s="2" t="inlineStr"/>
      <c r="J832" s="2" t="inlineStr"/>
      <c r="K832" s="2" t="inlineStr">
        <is>
          <t>instalação grátis mediante fidelização (não afeta a mensalidade)</t>
        </is>
      </c>
      <c r="L832" s="2" t="inlineStr">
        <is>
          <t>mobile+broadband</t>
        </is>
      </c>
      <c r="M832" s="2" t="inlineStr">
        <is>
          <t>Fiber + Mobile</t>
        </is>
      </c>
      <c r="N832" s="2" t="b">
        <v>1</v>
      </c>
      <c r="O832" s="2" t="b">
        <v>1</v>
      </c>
      <c r="P832" s="2" t="b">
        <v>0</v>
      </c>
      <c r="Q832" s="2" t="b">
        <v>0</v>
      </c>
      <c r="R832" s="4" t="n">
        <v>700</v>
      </c>
      <c r="S832" s="4" t="n">
        <v>240</v>
      </c>
      <c r="T832" s="4" t="n">
        <v>4</v>
      </c>
      <c r="U832" s="2" t="inlineStr"/>
      <c r="V832" s="2" t="inlineStr"/>
      <c r="W832" s="2" t="inlineStr">
        <is>
          <t>Vivo Travel Américas e Europa; 3 linhas adicionais inclusas</t>
        </is>
      </c>
      <c r="X832" s="2" t="inlineStr">
        <is>
          <t>700 Mega de Vivo Fibra</t>
        </is>
      </c>
      <c r="Y832" s="2" t="inlineStr">
        <is>
          <t>https://vivo.com.br/para-voce/produtos-e-servicos/combos/vivo-total</t>
        </is>
      </c>
      <c r="Z832" s="2" t="inlineStr">
        <is>
          <t>data/raw/vivo_convergent_total_SP.html</t>
        </is>
      </c>
    </row>
    <row r="833">
      <c r="A833" s="5" t="inlineStr">
        <is>
          <t>2026-09-05</t>
        </is>
      </c>
      <c r="B833" s="5" t="inlineStr">
        <is>
          <t>2026-09-05T19:37:33</t>
        </is>
      </c>
      <c r="C833" s="5" t="inlineStr">
        <is>
          <t>vivo</t>
        </is>
      </c>
      <c r="D833" s="5" t="inlineStr">
        <is>
          <t>SP</t>
        </is>
      </c>
      <c r="E833" s="5" t="inlineStr">
        <is>
          <t>Vivo Total Família 5</t>
        </is>
      </c>
      <c r="F833" s="5" t="inlineStr">
        <is>
          <t>vivo:VIV202604032372-5-305-316-408-411-426-430-442</t>
        </is>
      </c>
      <c r="G833" s="6" t="n">
        <v>520</v>
      </c>
      <c r="H833" s="6" t="inlineStr"/>
      <c r="I833" s="5" t="inlineStr"/>
      <c r="J833" s="5" t="inlineStr"/>
      <c r="K833" s="5" t="inlineStr">
        <is>
          <t>instalação grátis mediante fidelização (não afeta a mensalidade)</t>
        </is>
      </c>
      <c r="L833" s="5" t="inlineStr">
        <is>
          <t>mobile+broadband</t>
        </is>
      </c>
      <c r="M833" s="5" t="inlineStr">
        <is>
          <t>Fiber + Mobile</t>
        </is>
      </c>
      <c r="N833" s="5" t="b">
        <v>1</v>
      </c>
      <c r="O833" s="5" t="b">
        <v>1</v>
      </c>
      <c r="P833" s="5" t="b">
        <v>0</v>
      </c>
      <c r="Q833" s="5" t="b">
        <v>0</v>
      </c>
      <c r="R833" s="7" t="n">
        <v>700</v>
      </c>
      <c r="S833" s="7" t="n">
        <v>300</v>
      </c>
      <c r="T833" s="7" t="n">
        <v>5</v>
      </c>
      <c r="U833" s="5" t="inlineStr"/>
      <c r="V833" s="5" t="inlineStr"/>
      <c r="W833" s="5" t="inlineStr">
        <is>
          <t>Vivo Travel Américas e Europa; 4 linhas adicionais inclusas</t>
        </is>
      </c>
      <c r="X833" s="5" t="inlineStr">
        <is>
          <t>700 Mega de Vivo Fibra</t>
        </is>
      </c>
      <c r="Y833" s="5" t="inlineStr">
        <is>
          <t>https://vivo.com.br/para-voce/produtos-e-servicos/combos/vivo-total</t>
        </is>
      </c>
      <c r="Z833" s="5" t="inlineStr">
        <is>
          <t>data/raw/vivo_convergent_total_SP.html</t>
        </is>
      </c>
    </row>
    <row r="834">
      <c r="A834" s="2" t="inlineStr">
        <is>
          <t>2026-09-05</t>
        </is>
      </c>
      <c r="B834" s="2" t="inlineStr">
        <is>
          <t>2026-09-05T19:37:33</t>
        </is>
      </c>
      <c r="C834" s="2" t="inlineStr">
        <is>
          <t>vivo</t>
        </is>
      </c>
      <c r="D834" s="2" t="inlineStr">
        <is>
          <t>SP</t>
        </is>
      </c>
      <c r="E834" s="2" t="inlineStr">
        <is>
          <t>Vivo Total Pro</t>
        </is>
      </c>
      <c r="F834" s="2" t="inlineStr">
        <is>
          <t>vivo:VIV202604031772-2-305-308-316-326-342-411-430</t>
        </is>
      </c>
      <c r="G834" s="3" t="n">
        <v>160</v>
      </c>
      <c r="H834" s="3" t="inlineStr"/>
      <c r="I834" s="2" t="inlineStr"/>
      <c r="J834" s="2" t="inlineStr"/>
      <c r="K834" s="2" t="inlineStr">
        <is>
          <t>instalação grátis mediante fidelização (não afeta a mensalidade)</t>
        </is>
      </c>
      <c r="L834" s="2" t="inlineStr">
        <is>
          <t>mobile+broadband</t>
        </is>
      </c>
      <c r="M834" s="2" t="inlineStr">
        <is>
          <t>Fiber + Mobile</t>
        </is>
      </c>
      <c r="N834" s="2" t="b">
        <v>1</v>
      </c>
      <c r="O834" s="2" t="b">
        <v>1</v>
      </c>
      <c r="P834" s="2" t="b">
        <v>0</v>
      </c>
      <c r="Q834" s="2" t="b">
        <v>0</v>
      </c>
      <c r="R834" s="4" t="n">
        <v>500</v>
      </c>
      <c r="S834" s="4" t="n">
        <v>70</v>
      </c>
      <c r="T834" s="4" t="n">
        <v>1</v>
      </c>
      <c r="U834" s="2" t="inlineStr"/>
      <c r="V834" s="2" t="inlineStr"/>
      <c r="W834" s="2" t="inlineStr">
        <is>
          <t>Vivo Travel Américas; 50 GB de franquia + 20 GB de bônus</t>
        </is>
      </c>
      <c r="X834" s="2" t="inlineStr">
        <is>
          <t>500 Mega de Vivo Fibra</t>
        </is>
      </c>
      <c r="Y834" s="2" t="inlineStr">
        <is>
          <t>https://vivo.com.br/para-voce/produtos-e-servicos/combos/vivo-total</t>
        </is>
      </c>
      <c r="Z834" s="2" t="inlineStr">
        <is>
          <t>data/raw/vivo_convergent_total_SP.html</t>
        </is>
      </c>
    </row>
    <row r="835">
      <c r="A835" s="5" t="inlineStr">
        <is>
          <t>2026-09-05</t>
        </is>
      </c>
      <c r="B835" s="5" t="inlineStr">
        <is>
          <t>2026-09-05T19:37:33</t>
        </is>
      </c>
      <c r="C835" s="5" t="inlineStr">
        <is>
          <t>vivo</t>
        </is>
      </c>
      <c r="D835" s="5" t="inlineStr">
        <is>
          <t>SP</t>
        </is>
      </c>
      <c r="E835" s="5" t="inlineStr">
        <is>
          <t>Vivo Total Ultra</t>
        </is>
      </c>
      <c r="F835" s="5" t="inlineStr">
        <is>
          <t>vivo:VIV202604032034-305-313-316-408-411-426-430-442</t>
        </is>
      </c>
      <c r="G835" s="6" t="n">
        <v>190</v>
      </c>
      <c r="H835" s="6" t="inlineStr"/>
      <c r="I835" s="5" t="inlineStr"/>
      <c r="J835" s="5" t="inlineStr"/>
      <c r="K835" s="5" t="inlineStr">
        <is>
          <t>instalação grátis mediante fidelização (não afeta a mensalidade)</t>
        </is>
      </c>
      <c r="L835" s="5" t="inlineStr">
        <is>
          <t>mobile+broadband</t>
        </is>
      </c>
      <c r="M835" s="5" t="inlineStr">
        <is>
          <t>Fiber + Mobile</t>
        </is>
      </c>
      <c r="N835" s="5" t="b">
        <v>1</v>
      </c>
      <c r="O835" s="5" t="b">
        <v>1</v>
      </c>
      <c r="P835" s="5" t="b">
        <v>0</v>
      </c>
      <c r="Q835" s="5" t="b">
        <v>0</v>
      </c>
      <c r="R835" s="7" t="n">
        <v>700</v>
      </c>
      <c r="S835" s="7" t="n">
        <v>80</v>
      </c>
      <c r="T835" s="7" t="n">
        <v>1</v>
      </c>
      <c r="U835" s="5" t="inlineStr"/>
      <c r="V835" s="5" t="inlineStr"/>
      <c r="W835" s="5" t="inlineStr">
        <is>
          <t>Vivo Travel Américas; 70 GB de franquia + 10 GB de bônus</t>
        </is>
      </c>
      <c r="X835" s="5" t="inlineStr">
        <is>
          <t>700 Mega de Vivo Fibra</t>
        </is>
      </c>
      <c r="Y835" s="5" t="inlineStr">
        <is>
          <t>https://vivo.com.br/para-voce/produtos-e-servicos/combos/vivo-total</t>
        </is>
      </c>
      <c r="Z835" s="5" t="inlineStr">
        <is>
          <t>data/raw/vivo_convergent_total_SP.html</t>
        </is>
      </c>
    </row>
    <row r="836">
      <c r="A836" s="2" t="inlineStr">
        <is>
          <t>2026-09-05</t>
        </is>
      </c>
      <c r="B836" s="2" t="inlineStr">
        <is>
          <t>2026-09-05T19:37:33</t>
        </is>
      </c>
      <c r="C836" s="2" t="inlineStr">
        <is>
          <t>vivo</t>
        </is>
      </c>
      <c r="D836" s="2" t="inlineStr">
        <is>
          <t>SP</t>
        </is>
      </c>
      <c r="E836" s="2" t="inlineStr">
        <is>
          <t>Vivo Total Ultra + TV</t>
        </is>
      </c>
      <c r="F836" s="2" t="inlineStr">
        <is>
          <t>vivo:VIV202604031882-9-305-313-316-408-411-426-430-442</t>
        </is>
      </c>
      <c r="G836" s="3" t="n">
        <v>310</v>
      </c>
      <c r="H836" s="3" t="inlineStr"/>
      <c r="I836" s="2" t="inlineStr"/>
      <c r="J836" s="2" t="inlineStr"/>
      <c r="K836" s="2" t="inlineStr">
        <is>
          <t>instalação grátis mediante fidelização (não afeta a mensalidade)</t>
        </is>
      </c>
      <c r="L836" s="2" t="inlineStr">
        <is>
          <t>mobile+broadband+tv</t>
        </is>
      </c>
      <c r="M836" s="2" t="inlineStr">
        <is>
          <t>Fiber + Mobile + TV</t>
        </is>
      </c>
      <c r="N836" s="2" t="b">
        <v>1</v>
      </c>
      <c r="O836" s="2" t="b">
        <v>1</v>
      </c>
      <c r="P836" s="2" t="b">
        <v>1</v>
      </c>
      <c r="Q836" s="2" t="b">
        <v>0</v>
      </c>
      <c r="R836" s="4" t="n">
        <v>700</v>
      </c>
      <c r="S836" s="4" t="n">
        <v>80</v>
      </c>
      <c r="T836" s="4" t="n">
        <v>1</v>
      </c>
      <c r="U836" s="2" t="inlineStr">
        <is>
          <t>120 canais de Vivo TV Avançado + 1 ponto adicional</t>
        </is>
      </c>
      <c r="V836" s="2" t="inlineStr"/>
      <c r="W836" s="2" t="inlineStr">
        <is>
          <t>Vivo Travel Américas; 70 GB de franquia + 10 GB de bônus</t>
        </is>
      </c>
      <c r="X836" s="2" t="inlineStr">
        <is>
          <t>700 Mega de Vivo Fibra</t>
        </is>
      </c>
      <c r="Y836" s="2" t="inlineStr">
        <is>
          <t>https://vivo.com.br/para-voce/produtos-e-servicos/combos/vivo-total</t>
        </is>
      </c>
      <c r="Z836" s="2" t="inlineStr">
        <is>
          <t>data/raw/vivo_convergent_total_SP.html</t>
        </is>
      </c>
    </row>
    <row r="837">
      <c r="A837" s="5" t="inlineStr">
        <is>
          <t>2026-09-05</t>
        </is>
      </c>
      <c r="B837" s="5" t="inlineStr">
        <is>
          <t>2026-09-05T19:37:33</t>
        </is>
      </c>
      <c r="C837" s="5" t="inlineStr">
        <is>
          <t>vivo</t>
        </is>
      </c>
      <c r="D837" s="5" t="inlineStr">
        <is>
          <t>SP</t>
        </is>
      </c>
      <c r="E837" s="5" t="inlineStr">
        <is>
          <t>Vivo Total Ultra + TV online</t>
        </is>
      </c>
      <c r="F837" s="5" t="inlineStr">
        <is>
          <t>vivo:VIV202604032034-305-313-316-336-408-411-426-430-442</t>
        </is>
      </c>
      <c r="G837" s="6" t="n">
        <v>210</v>
      </c>
      <c r="H837" s="6" t="inlineStr"/>
      <c r="I837" s="5" t="inlineStr"/>
      <c r="J837" s="5" t="inlineStr"/>
      <c r="K837" s="5" t="inlineStr">
        <is>
          <t>instalação grátis mediante fidelização (não afeta a mensalidade)</t>
        </is>
      </c>
      <c r="L837" s="5" t="inlineStr">
        <is>
          <t>mobile+broadband+tv</t>
        </is>
      </c>
      <c r="M837" s="5" t="inlineStr">
        <is>
          <t>Fiber + Mobile + TV</t>
        </is>
      </c>
      <c r="N837" s="5" t="b">
        <v>1</v>
      </c>
      <c r="O837" s="5" t="b">
        <v>1</v>
      </c>
      <c r="P837" s="5" t="b">
        <v>1</v>
      </c>
      <c r="Q837" s="5" t="b">
        <v>0</v>
      </c>
      <c r="R837" s="7" t="n">
        <v>700</v>
      </c>
      <c r="S837" s="7" t="n">
        <v>80</v>
      </c>
      <c r="T837" s="7" t="n">
        <v>1</v>
      </c>
      <c r="U837" s="5" t="inlineStr">
        <is>
          <t>80 canais de Vivo Estendido</t>
        </is>
      </c>
      <c r="V837" s="5" t="inlineStr"/>
      <c r="W837" s="5" t="inlineStr">
        <is>
          <t>Vivo Travel Américas; 70 GB de franquia + 10 GB de bônus</t>
        </is>
      </c>
      <c r="X837" s="5" t="inlineStr">
        <is>
          <t>700 Mega de Vivo Fibra</t>
        </is>
      </c>
      <c r="Y837" s="5" t="inlineStr">
        <is>
          <t>https://vivo.com.br/para-voce/produtos-e-servicos/combos/vivo-total</t>
        </is>
      </c>
      <c r="Z837" s="5" t="inlineStr">
        <is>
          <t>data/raw/vivo_convergent_total_SP.html</t>
        </is>
      </c>
    </row>
    <row r="838">
      <c r="A838" s="2" t="inlineStr">
        <is>
          <t>2026-09-05</t>
        </is>
      </c>
      <c r="B838" s="2" t="inlineStr">
        <is>
          <t>2026-09-05T19:37:33</t>
        </is>
      </c>
      <c r="C838" s="2" t="inlineStr">
        <is>
          <t>vivo</t>
        </is>
      </c>
      <c r="D838" s="2" t="inlineStr">
        <is>
          <t>SP</t>
        </is>
      </c>
      <c r="E838" s="2" t="inlineStr">
        <is>
          <t>Vivo Total V 1 Giga</t>
        </is>
      </c>
      <c r="F838" s="2" t="inlineStr">
        <is>
          <t>vivo:VIV202604032532-2-305-316-408-426-430-442</t>
        </is>
      </c>
      <c r="G838" s="3" t="n">
        <v>1200</v>
      </c>
      <c r="H838" s="3" t="inlineStr"/>
      <c r="I838" s="2" t="inlineStr"/>
      <c r="J838" s="2" t="inlineStr"/>
      <c r="K838" s="2" t="inlineStr">
        <is>
          <t>instalação grátis mediante fidelização (não afeta a mensalidade)</t>
        </is>
      </c>
      <c r="L838" s="2" t="inlineStr">
        <is>
          <t>mobile+broadband+tv</t>
        </is>
      </c>
      <c r="M838" s="2" t="inlineStr">
        <is>
          <t>Fiber + Mobile + TV</t>
        </is>
      </c>
      <c r="N838" s="2" t="b">
        <v>1</v>
      </c>
      <c r="O838" s="2" t="b">
        <v>1</v>
      </c>
      <c r="P838" s="2" t="b">
        <v>1</v>
      </c>
      <c r="Q838" s="2" t="b">
        <v>0</v>
      </c>
      <c r="R838" s="4" t="n">
        <v>1000</v>
      </c>
      <c r="S838" s="4" t="n">
        <v>600</v>
      </c>
      <c r="T838" s="4" t="n">
        <v>11</v>
      </c>
      <c r="U838" s="2" t="inlineStr">
        <is>
          <t>Vivo TV Completo com HBO Max e Telecine</t>
        </is>
      </c>
      <c r="V838" s="2" t="inlineStr"/>
      <c r="W838" s="2" t="inlineStr">
        <is>
          <t>Vivo Travel Mundo; 10 linhas adicionais inclusas; Vivo TV Completo com HBO Max e Telecine</t>
        </is>
      </c>
      <c r="X838" s="2" t="inlineStr">
        <is>
          <t>1Giga de Vivo Fibra</t>
        </is>
      </c>
      <c r="Y838" s="2" t="inlineStr">
        <is>
          <t>https://vivo.com.br/para-voce/produtos-e-servicos/combos/vivo-total</t>
        </is>
      </c>
      <c r="Z838" s="2" t="inlineStr">
        <is>
          <t>data/raw/vivo_convergent_total_SP.html</t>
        </is>
      </c>
    </row>
    <row r="839">
      <c r="A839" s="5" t="inlineStr">
        <is>
          <t>2026-09-06</t>
        </is>
      </c>
      <c r="B839" s="5" t="inlineStr">
        <is>
          <t>2026-09-06T19:39:36</t>
        </is>
      </c>
      <c r="C839" s="5" t="inlineStr">
        <is>
          <t>tim</t>
        </is>
      </c>
      <c r="D839" s="5" t="inlineStr">
        <is>
          <t>SP</t>
        </is>
      </c>
      <c r="E839" s="5" t="inlineStr">
        <is>
          <t>TIM Ultracombo 5</t>
        </is>
      </c>
      <c r="F839" s="5" t="inlineStr">
        <is>
          <t>tim:167756</t>
        </is>
      </c>
      <c r="G839" s="6" t="n">
        <v>169.99</v>
      </c>
      <c r="H839" s="6" t="inlineStr"/>
      <c r="I839" s="5" t="inlineStr"/>
      <c r="J839" s="5" t="inlineStr">
        <is>
          <t>debit_auto</t>
        </is>
      </c>
      <c r="K839" s="5" t="inlineStr">
        <is>
          <t>preço em débito automático; R$ 179,99/mês no pagamento por fatura</t>
        </is>
      </c>
      <c r="L839" s="5" t="inlineStr">
        <is>
          <t>mobile+broadband</t>
        </is>
      </c>
      <c r="M839" s="5" t="inlineStr">
        <is>
          <t>Fiber + Mobile</t>
        </is>
      </c>
      <c r="N839" s="5" t="b">
        <v>1</v>
      </c>
      <c r="O839" s="5" t="b">
        <v>1</v>
      </c>
      <c r="P839" s="5" t="b">
        <v>0</v>
      </c>
      <c r="Q839" s="5" t="b">
        <v>0</v>
      </c>
      <c r="R839" s="7" t="n">
        <v>1000</v>
      </c>
      <c r="S839" s="7" t="n">
        <v>115</v>
      </c>
      <c r="T839" s="7" t="n">
        <v>1</v>
      </c>
      <c r="U839" s="5" t="inlineStr"/>
      <c r="V839" s="5" t="inlineStr">
        <is>
          <t>Paramount+, Deezer</t>
        </is>
      </c>
      <c r="W839" s="5" t="inlineStr"/>
      <c r="X839" s="5" t="inlineStr">
        <is>
          <t>1GIGA de Ultrafibra para casa + 115GB de TIM Black C Hero para móvel: (25GB do plano + 40GB promo + 50GB bônus especial)</t>
        </is>
      </c>
      <c r="Y839" s="5" t="inlineStr">
        <is>
          <t>https://www.tim.com.br/sp/internet/tim-ultracombo</t>
        </is>
      </c>
      <c r="Z839" s="5" t="inlineStr">
        <is>
          <t>data/raw/tim_convergent_ultracombo_SP.html</t>
        </is>
      </c>
    </row>
    <row r="840">
      <c r="A840" s="2" t="inlineStr">
        <is>
          <t>2026-09-06</t>
        </is>
      </c>
      <c r="B840" s="2" t="inlineStr">
        <is>
          <t>2026-09-06T19:39:36</t>
        </is>
      </c>
      <c r="C840" s="2" t="inlineStr">
        <is>
          <t>tim</t>
        </is>
      </c>
      <c r="D840" s="2" t="inlineStr">
        <is>
          <t>SP</t>
        </is>
      </c>
      <c r="E840" s="2" t="inlineStr">
        <is>
          <t>TIM Ultracombo 6</t>
        </is>
      </c>
      <c r="F840" s="2" t="inlineStr">
        <is>
          <t>tim:167751</t>
        </is>
      </c>
      <c r="G840" s="3" t="n">
        <v>139.99</v>
      </c>
      <c r="H840" s="3" t="inlineStr"/>
      <c r="I840" s="2" t="inlineStr"/>
      <c r="J840" s="2" t="inlineStr">
        <is>
          <t>debit_auto</t>
        </is>
      </c>
      <c r="K840" s="2" t="inlineStr">
        <is>
          <t>preço em débito automático; R$ 149,99/mês no pagamento por fatura</t>
        </is>
      </c>
      <c r="L840" s="2" t="inlineStr">
        <is>
          <t>mobile+broadband</t>
        </is>
      </c>
      <c r="M840" s="2" t="inlineStr">
        <is>
          <t>Fiber + Mobile</t>
        </is>
      </c>
      <c r="N840" s="2" t="b">
        <v>1</v>
      </c>
      <c r="O840" s="2" t="b">
        <v>1</v>
      </c>
      <c r="P840" s="2" t="b">
        <v>0</v>
      </c>
      <c r="Q840" s="2" t="b">
        <v>0</v>
      </c>
      <c r="R840" s="4" t="n">
        <v>1000</v>
      </c>
      <c r="S840" s="4" t="n">
        <v>70</v>
      </c>
      <c r="T840" s="4" t="n">
        <v>1</v>
      </c>
      <c r="U840" s="2" t="inlineStr"/>
      <c r="V840" s="2" t="inlineStr">
        <is>
          <t>Paramount+, Deezer</t>
        </is>
      </c>
      <c r="W840" s="2" t="inlineStr"/>
      <c r="X840" s="2" t="inlineStr">
        <is>
          <t>1GIGA de Ultrafibra para casa + 70GB de TIM Black A para móvel: (15GB do plano + 50GB promo + 5GB bônus especial)</t>
        </is>
      </c>
      <c r="Y840" s="2" t="inlineStr">
        <is>
          <t>https://www.tim.com.br/sp/internet/tim-ultracombo</t>
        </is>
      </c>
      <c r="Z840" s="2" t="inlineStr">
        <is>
          <t>data/raw/tim_convergent_ultracombo_SP.html</t>
        </is>
      </c>
    </row>
    <row r="841">
      <c r="A841" s="5" t="inlineStr">
        <is>
          <t>2026-09-06</t>
        </is>
      </c>
      <c r="B841" s="5" t="inlineStr">
        <is>
          <t>2026-09-06T19:39:36</t>
        </is>
      </c>
      <c r="C841" s="5" t="inlineStr">
        <is>
          <t>tim</t>
        </is>
      </c>
      <c r="D841" s="5" t="inlineStr">
        <is>
          <t>SP</t>
        </is>
      </c>
      <c r="E841" s="5" t="inlineStr">
        <is>
          <t>TIM Ultracombo 7</t>
        </is>
      </c>
      <c r="F841" s="5" t="inlineStr">
        <is>
          <t>tim:167761</t>
        </is>
      </c>
      <c r="G841" s="6" t="n">
        <v>89.98999999999999</v>
      </c>
      <c r="H841" s="6" t="inlineStr"/>
      <c r="I841" s="5" t="inlineStr"/>
      <c r="J841" s="5" t="inlineStr">
        <is>
          <t>debit_auto</t>
        </is>
      </c>
      <c r="K841" s="5" t="inlineStr">
        <is>
          <t>preço em débito automático; R$ 99,99/mês no pagamento por fatura</t>
        </is>
      </c>
      <c r="L841" s="5" t="inlineStr">
        <is>
          <t>mobile+broadband</t>
        </is>
      </c>
      <c r="M841" s="5" t="inlineStr">
        <is>
          <t>Fiber + Mobile</t>
        </is>
      </c>
      <c r="N841" s="5" t="b">
        <v>1</v>
      </c>
      <c r="O841" s="5" t="b">
        <v>1</v>
      </c>
      <c r="P841" s="5" t="b">
        <v>0</v>
      </c>
      <c r="Q841" s="5" t="b">
        <v>0</v>
      </c>
      <c r="R841" s="7" t="n">
        <v>500</v>
      </c>
      <c r="S841" s="7" t="n">
        <v>65</v>
      </c>
      <c r="T841" s="7" t="n">
        <v>1</v>
      </c>
      <c r="U841" s="5" t="inlineStr"/>
      <c r="V841" s="5" t="inlineStr"/>
      <c r="W841" s="5" t="inlineStr"/>
      <c r="X841" s="5" t="inlineStr">
        <is>
          <t>500MEGA de Ultrafibra para casa + 65GB de TIM Black A Light para móvel: (10GB do plano + 50GB promo)</t>
        </is>
      </c>
      <c r="Y841" s="5" t="inlineStr">
        <is>
          <t>https://www.tim.com.br/sp/internet/tim-ultracombo</t>
        </is>
      </c>
      <c r="Z841" s="5" t="inlineStr">
        <is>
          <t>data/raw/tim_convergent_ultracombo_SP.html</t>
        </is>
      </c>
    </row>
    <row r="842">
      <c r="A842" s="2" t="inlineStr">
        <is>
          <t>2026-09-06</t>
        </is>
      </c>
      <c r="B842" s="2" t="inlineStr">
        <is>
          <t>2026-09-06T19:39:36</t>
        </is>
      </c>
      <c r="C842" s="2" t="inlineStr">
        <is>
          <t>vivo</t>
        </is>
      </c>
      <c r="D842" s="2" t="inlineStr">
        <is>
          <t>SP</t>
        </is>
      </c>
      <c r="E842" s="2" t="inlineStr">
        <is>
          <t>Vivo Família 2 + TV</t>
        </is>
      </c>
      <c r="F842" s="2" t="inlineStr">
        <is>
          <t>vivo:VIV202604032132-3-305-316-336-408-411-426-430-442</t>
        </is>
      </c>
      <c r="G842" s="3" t="n">
        <v>290</v>
      </c>
      <c r="H842" s="3" t="inlineStr"/>
      <c r="I842" s="2" t="inlineStr"/>
      <c r="J842" s="2" t="inlineStr"/>
      <c r="K842" s="2" t="inlineStr">
        <is>
          <t>instalação grátis mediante fidelização (não afeta a mensalidade)</t>
        </is>
      </c>
      <c r="L842" s="2" t="inlineStr">
        <is>
          <t>mobile+broadband+tv</t>
        </is>
      </c>
      <c r="M842" s="2" t="inlineStr">
        <is>
          <t>Fiber + Mobile + TV</t>
        </is>
      </c>
      <c r="N842" s="2" t="b">
        <v>1</v>
      </c>
      <c r="O842" s="2" t="b">
        <v>1</v>
      </c>
      <c r="P842" s="2" t="b">
        <v>1</v>
      </c>
      <c r="Q842" s="2" t="b">
        <v>0</v>
      </c>
      <c r="R842" s="4" t="n">
        <v>700</v>
      </c>
      <c r="S842" s="4" t="n">
        <v>120</v>
      </c>
      <c r="T842" s="4" t="n">
        <v>2</v>
      </c>
      <c r="U842" s="2" t="inlineStr">
        <is>
          <t>80 canais de Vivo Estendido</t>
        </is>
      </c>
      <c r="V842" s="2" t="inlineStr"/>
      <c r="W842" s="2" t="inlineStr">
        <is>
          <t>Vivo Travel Américas e Europa; 1 linha adicional inclusa</t>
        </is>
      </c>
      <c r="X842" s="2" t="inlineStr">
        <is>
          <t>700 Mega de Vivo Fibra</t>
        </is>
      </c>
      <c r="Y842" s="2" t="inlineStr">
        <is>
          <t>https://vivo.com.br/para-voce/produtos-e-servicos/combos/vivo-total</t>
        </is>
      </c>
      <c r="Z842" s="2" t="inlineStr">
        <is>
          <t>data/raw/vivo_convergent_total_SP.html</t>
        </is>
      </c>
    </row>
    <row r="843">
      <c r="A843" s="5" t="inlineStr">
        <is>
          <t>2026-09-06</t>
        </is>
      </c>
      <c r="B843" s="5" t="inlineStr">
        <is>
          <t>2026-09-06T19:39:36</t>
        </is>
      </c>
      <c r="C843" s="5" t="inlineStr">
        <is>
          <t>vivo</t>
        </is>
      </c>
      <c r="D843" s="5" t="inlineStr">
        <is>
          <t>SP</t>
        </is>
      </c>
      <c r="E843" s="5" t="inlineStr">
        <is>
          <t>Vivo Família 2 + TV</t>
        </is>
      </c>
      <c r="F843" s="5" t="inlineStr">
        <is>
          <t>vivo:VIV202604032112-3-9-305-316-408-411-426-430-442</t>
        </is>
      </c>
      <c r="G843" s="6" t="n">
        <v>390</v>
      </c>
      <c r="H843" s="6" t="inlineStr"/>
      <c r="I843" s="5" t="inlineStr"/>
      <c r="J843" s="5" t="inlineStr"/>
      <c r="K843" s="5" t="inlineStr">
        <is>
          <t>instalação grátis mediante fidelização (não afeta a mensalidade)</t>
        </is>
      </c>
      <c r="L843" s="5" t="inlineStr">
        <is>
          <t>mobile+broadband+tv</t>
        </is>
      </c>
      <c r="M843" s="5" t="inlineStr">
        <is>
          <t>Fiber + Mobile + TV</t>
        </is>
      </c>
      <c r="N843" s="5" t="b">
        <v>1</v>
      </c>
      <c r="O843" s="5" t="b">
        <v>1</v>
      </c>
      <c r="P843" s="5" t="b">
        <v>1</v>
      </c>
      <c r="Q843" s="5" t="b">
        <v>0</v>
      </c>
      <c r="R843" s="7" t="n">
        <v>700</v>
      </c>
      <c r="S843" s="7" t="n">
        <v>120</v>
      </c>
      <c r="T843" s="7" t="n">
        <v>2</v>
      </c>
      <c r="U843" s="5" t="inlineStr">
        <is>
          <t>120 canais de Vivo TV Avançado + 1 ponto adicional</t>
        </is>
      </c>
      <c r="V843" s="5" t="inlineStr"/>
      <c r="W843" s="5" t="inlineStr">
        <is>
          <t>Vivo Travel Américas e Europa; 1 linha adicional inclusa</t>
        </is>
      </c>
      <c r="X843" s="5" t="inlineStr">
        <is>
          <t>700 Mega de Vivo Fibra</t>
        </is>
      </c>
      <c r="Y843" s="5" t="inlineStr">
        <is>
          <t>https://vivo.com.br/para-voce/produtos-e-servicos/combos/vivo-total</t>
        </is>
      </c>
      <c r="Z843" s="5" t="inlineStr">
        <is>
          <t>data/raw/vivo_convergent_total_SP.html</t>
        </is>
      </c>
    </row>
    <row r="844">
      <c r="A844" s="2" t="inlineStr">
        <is>
          <t>2026-09-06</t>
        </is>
      </c>
      <c r="B844" s="2" t="inlineStr">
        <is>
          <t>2026-09-06T19:39:36</t>
        </is>
      </c>
      <c r="C844" s="2" t="inlineStr">
        <is>
          <t>vivo</t>
        </is>
      </c>
      <c r="D844" s="2" t="inlineStr">
        <is>
          <t>SP</t>
        </is>
      </c>
      <c r="E844" s="2" t="inlineStr">
        <is>
          <t>Vivo Total Família 2</t>
        </is>
      </c>
      <c r="F844" s="2" t="inlineStr">
        <is>
          <t>vivo:VIV202604032132-3-305-316-408-411-426-430-442</t>
        </is>
      </c>
      <c r="G844" s="3" t="n">
        <v>270</v>
      </c>
      <c r="H844" s="3" t="inlineStr"/>
      <c r="I844" s="2" t="inlineStr"/>
      <c r="J844" s="2" t="inlineStr"/>
      <c r="K844" s="2" t="inlineStr">
        <is>
          <t>instalação grátis mediante fidelização (não afeta a mensalidade)</t>
        </is>
      </c>
      <c r="L844" s="2" t="inlineStr">
        <is>
          <t>mobile+broadband</t>
        </is>
      </c>
      <c r="M844" s="2" t="inlineStr">
        <is>
          <t>Fiber + Mobile</t>
        </is>
      </c>
      <c r="N844" s="2" t="b">
        <v>1</v>
      </c>
      <c r="O844" s="2" t="b">
        <v>1</v>
      </c>
      <c r="P844" s="2" t="b">
        <v>0</v>
      </c>
      <c r="Q844" s="2" t="b">
        <v>0</v>
      </c>
      <c r="R844" s="4" t="n">
        <v>700</v>
      </c>
      <c r="S844" s="4" t="n">
        <v>120</v>
      </c>
      <c r="T844" s="4" t="n">
        <v>2</v>
      </c>
      <c r="U844" s="2" t="inlineStr"/>
      <c r="V844" s="2" t="inlineStr"/>
      <c r="W844" s="2" t="inlineStr">
        <is>
          <t>Vivo Travel Américas e Europa; 1 linha adicional inclusa</t>
        </is>
      </c>
      <c r="X844" s="2" t="inlineStr">
        <is>
          <t>700 Mega de Vivo Fibra</t>
        </is>
      </c>
      <c r="Y844" s="2" t="inlineStr">
        <is>
          <t>https://vivo.com.br/para-voce/produtos-e-servicos/combos/vivo-total</t>
        </is>
      </c>
      <c r="Z844" s="2" t="inlineStr">
        <is>
          <t>data/raw/vivo_convergent_total_SP.html</t>
        </is>
      </c>
    </row>
    <row r="845">
      <c r="A845" s="5" t="inlineStr">
        <is>
          <t>2026-09-06</t>
        </is>
      </c>
      <c r="B845" s="5" t="inlineStr">
        <is>
          <t>2026-09-06T19:39:36</t>
        </is>
      </c>
      <c r="C845" s="5" t="inlineStr">
        <is>
          <t>vivo</t>
        </is>
      </c>
      <c r="D845" s="5" t="inlineStr">
        <is>
          <t>SP</t>
        </is>
      </c>
      <c r="E845" s="5" t="inlineStr">
        <is>
          <t>Vivo Total Família 3</t>
        </is>
      </c>
      <c r="F845" s="5" t="inlineStr">
        <is>
          <t>vivo:VIV202604032212-4-305-316-408-411-426-430-442</t>
        </is>
      </c>
      <c r="G845" s="6" t="n">
        <v>330</v>
      </c>
      <c r="H845" s="6" t="inlineStr"/>
      <c r="I845" s="5" t="inlineStr"/>
      <c r="J845" s="5" t="inlineStr"/>
      <c r="K845" s="5" t="inlineStr">
        <is>
          <t>instalação grátis mediante fidelização (não afeta a mensalidade)</t>
        </is>
      </c>
      <c r="L845" s="5" t="inlineStr">
        <is>
          <t>mobile+broadband</t>
        </is>
      </c>
      <c r="M845" s="5" t="inlineStr">
        <is>
          <t>Fiber + Mobile</t>
        </is>
      </c>
      <c r="N845" s="5" t="b">
        <v>1</v>
      </c>
      <c r="O845" s="5" t="b">
        <v>1</v>
      </c>
      <c r="P845" s="5" t="b">
        <v>0</v>
      </c>
      <c r="Q845" s="5" t="b">
        <v>0</v>
      </c>
      <c r="R845" s="7" t="n">
        <v>700</v>
      </c>
      <c r="S845" s="7" t="n">
        <v>180</v>
      </c>
      <c r="T845" s="7" t="n">
        <v>3</v>
      </c>
      <c r="U845" s="5" t="inlineStr"/>
      <c r="V845" s="5" t="inlineStr"/>
      <c r="W845" s="5" t="inlineStr">
        <is>
          <t>Vivo Travel Américas e Europa; 2 linhas adicionais inclusas</t>
        </is>
      </c>
      <c r="X845" s="5" t="inlineStr">
        <is>
          <t>700 Mega de Vivo Fibra</t>
        </is>
      </c>
      <c r="Y845" s="5" t="inlineStr">
        <is>
          <t>https://vivo.com.br/para-voce/produtos-e-servicos/combos/vivo-total</t>
        </is>
      </c>
      <c r="Z845" s="5" t="inlineStr">
        <is>
          <t>data/raw/vivo_convergent_total_SP.html</t>
        </is>
      </c>
    </row>
    <row r="846">
      <c r="A846" s="2" t="inlineStr">
        <is>
          <t>2026-09-06</t>
        </is>
      </c>
      <c r="B846" s="2" t="inlineStr">
        <is>
          <t>2026-09-06T19:39:36</t>
        </is>
      </c>
      <c r="C846" s="2" t="inlineStr">
        <is>
          <t>vivo</t>
        </is>
      </c>
      <c r="D846" s="2" t="inlineStr">
        <is>
          <t>SP</t>
        </is>
      </c>
      <c r="E846" s="2" t="inlineStr">
        <is>
          <t>Vivo Total Família 4</t>
        </is>
      </c>
      <c r="F846" s="2" t="inlineStr">
        <is>
          <t>vivo:VIV202604032292-237-305-316-408-411-426-430-442</t>
        </is>
      </c>
      <c r="G846" s="3" t="n">
        <v>420</v>
      </c>
      <c r="H846" s="3" t="inlineStr"/>
      <c r="I846" s="2" t="inlineStr"/>
      <c r="J846" s="2" t="inlineStr"/>
      <c r="K846" s="2" t="inlineStr">
        <is>
          <t>instalação grátis mediante fidelização (não afeta a mensalidade)</t>
        </is>
      </c>
      <c r="L846" s="2" t="inlineStr">
        <is>
          <t>mobile+broadband</t>
        </is>
      </c>
      <c r="M846" s="2" t="inlineStr">
        <is>
          <t>Fiber + Mobile</t>
        </is>
      </c>
      <c r="N846" s="2" t="b">
        <v>1</v>
      </c>
      <c r="O846" s="2" t="b">
        <v>1</v>
      </c>
      <c r="P846" s="2" t="b">
        <v>0</v>
      </c>
      <c r="Q846" s="2" t="b">
        <v>0</v>
      </c>
      <c r="R846" s="4" t="n">
        <v>700</v>
      </c>
      <c r="S846" s="4" t="n">
        <v>240</v>
      </c>
      <c r="T846" s="4" t="n">
        <v>4</v>
      </c>
      <c r="U846" s="2" t="inlineStr"/>
      <c r="V846" s="2" t="inlineStr"/>
      <c r="W846" s="2" t="inlineStr">
        <is>
          <t>Vivo Travel Américas e Europa; 3 linhas adicionais inclusas</t>
        </is>
      </c>
      <c r="X846" s="2" t="inlineStr">
        <is>
          <t>700 Mega de Vivo Fibra</t>
        </is>
      </c>
      <c r="Y846" s="2" t="inlineStr">
        <is>
          <t>https://vivo.com.br/para-voce/produtos-e-servicos/combos/vivo-total</t>
        </is>
      </c>
      <c r="Z846" s="2" t="inlineStr">
        <is>
          <t>data/raw/vivo_convergent_total_SP.html</t>
        </is>
      </c>
    </row>
    <row r="847">
      <c r="A847" s="5" t="inlineStr">
        <is>
          <t>2026-09-06</t>
        </is>
      </c>
      <c r="B847" s="5" t="inlineStr">
        <is>
          <t>2026-09-06T19:39:36</t>
        </is>
      </c>
      <c r="C847" s="5" t="inlineStr">
        <is>
          <t>vivo</t>
        </is>
      </c>
      <c r="D847" s="5" t="inlineStr">
        <is>
          <t>SP</t>
        </is>
      </c>
      <c r="E847" s="5" t="inlineStr">
        <is>
          <t>Vivo Total Família 5</t>
        </is>
      </c>
      <c r="F847" s="5" t="inlineStr">
        <is>
          <t>vivo:VIV202604032372-5-305-316-408-411-426-430-442</t>
        </is>
      </c>
      <c r="G847" s="6" t="n">
        <v>520</v>
      </c>
      <c r="H847" s="6" t="inlineStr"/>
      <c r="I847" s="5" t="inlineStr"/>
      <c r="J847" s="5" t="inlineStr"/>
      <c r="K847" s="5" t="inlineStr">
        <is>
          <t>instalação grátis mediante fidelização (não afeta a mensalidade)</t>
        </is>
      </c>
      <c r="L847" s="5" t="inlineStr">
        <is>
          <t>mobile+broadband</t>
        </is>
      </c>
      <c r="M847" s="5" t="inlineStr">
        <is>
          <t>Fiber + Mobile</t>
        </is>
      </c>
      <c r="N847" s="5" t="b">
        <v>1</v>
      </c>
      <c r="O847" s="5" t="b">
        <v>1</v>
      </c>
      <c r="P847" s="5" t="b">
        <v>0</v>
      </c>
      <c r="Q847" s="5" t="b">
        <v>0</v>
      </c>
      <c r="R847" s="7" t="n">
        <v>700</v>
      </c>
      <c r="S847" s="7" t="n">
        <v>300</v>
      </c>
      <c r="T847" s="7" t="n">
        <v>5</v>
      </c>
      <c r="U847" s="5" t="inlineStr"/>
      <c r="V847" s="5" t="inlineStr"/>
      <c r="W847" s="5" t="inlineStr">
        <is>
          <t>Vivo Travel Américas e Europa; 4 linhas adicionais inclusas</t>
        </is>
      </c>
      <c r="X847" s="5" t="inlineStr">
        <is>
          <t>700 Mega de Vivo Fibra</t>
        </is>
      </c>
      <c r="Y847" s="5" t="inlineStr">
        <is>
          <t>https://vivo.com.br/para-voce/produtos-e-servicos/combos/vivo-total</t>
        </is>
      </c>
      <c r="Z847" s="5" t="inlineStr">
        <is>
          <t>data/raw/vivo_convergent_total_SP.html</t>
        </is>
      </c>
    </row>
    <row r="848">
      <c r="A848" s="2" t="inlineStr">
        <is>
          <t>2026-09-06</t>
        </is>
      </c>
      <c r="B848" s="2" t="inlineStr">
        <is>
          <t>2026-09-06T19:39:36</t>
        </is>
      </c>
      <c r="C848" s="2" t="inlineStr">
        <is>
          <t>vivo</t>
        </is>
      </c>
      <c r="D848" s="2" t="inlineStr">
        <is>
          <t>SP</t>
        </is>
      </c>
      <c r="E848" s="2" t="inlineStr">
        <is>
          <t>Vivo Total Pro</t>
        </is>
      </c>
      <c r="F848" s="2" t="inlineStr">
        <is>
          <t>vivo:VIV202604031772-2-305-308-316-326-342-411-430</t>
        </is>
      </c>
      <c r="G848" s="3" t="n">
        <v>160</v>
      </c>
      <c r="H848" s="3" t="inlineStr"/>
      <c r="I848" s="2" t="inlineStr"/>
      <c r="J848" s="2" t="inlineStr"/>
      <c r="K848" s="2" t="inlineStr">
        <is>
          <t>instalação grátis mediante fidelização (não afeta a mensalidade)</t>
        </is>
      </c>
      <c r="L848" s="2" t="inlineStr">
        <is>
          <t>mobile+broadband</t>
        </is>
      </c>
      <c r="M848" s="2" t="inlineStr">
        <is>
          <t>Fiber + Mobile</t>
        </is>
      </c>
      <c r="N848" s="2" t="b">
        <v>1</v>
      </c>
      <c r="O848" s="2" t="b">
        <v>1</v>
      </c>
      <c r="P848" s="2" t="b">
        <v>0</v>
      </c>
      <c r="Q848" s="2" t="b">
        <v>0</v>
      </c>
      <c r="R848" s="4" t="n">
        <v>500</v>
      </c>
      <c r="S848" s="4" t="n">
        <v>70</v>
      </c>
      <c r="T848" s="4" t="n">
        <v>1</v>
      </c>
      <c r="U848" s="2" t="inlineStr"/>
      <c r="V848" s="2" t="inlineStr"/>
      <c r="W848" s="2" t="inlineStr">
        <is>
          <t>Vivo Travel Américas; 50 GB de franquia + 20 GB de bônus</t>
        </is>
      </c>
      <c r="X848" s="2" t="inlineStr">
        <is>
          <t>500 Mega de Vivo Fibra</t>
        </is>
      </c>
      <c r="Y848" s="2" t="inlineStr">
        <is>
          <t>https://vivo.com.br/para-voce/produtos-e-servicos/combos/vivo-total</t>
        </is>
      </c>
      <c r="Z848" s="2" t="inlineStr">
        <is>
          <t>data/raw/vivo_convergent_total_SP.html</t>
        </is>
      </c>
    </row>
    <row r="849">
      <c r="A849" s="5" t="inlineStr">
        <is>
          <t>2026-09-06</t>
        </is>
      </c>
      <c r="B849" s="5" t="inlineStr">
        <is>
          <t>2026-09-06T19:39:36</t>
        </is>
      </c>
      <c r="C849" s="5" t="inlineStr">
        <is>
          <t>vivo</t>
        </is>
      </c>
      <c r="D849" s="5" t="inlineStr">
        <is>
          <t>SP</t>
        </is>
      </c>
      <c r="E849" s="5" t="inlineStr">
        <is>
          <t>Vivo Total Ultra</t>
        </is>
      </c>
      <c r="F849" s="5" t="inlineStr">
        <is>
          <t>vivo:VIV202604032034-305-313-316-408-411-426-430-442</t>
        </is>
      </c>
      <c r="G849" s="6" t="n">
        <v>190</v>
      </c>
      <c r="H849" s="6" t="inlineStr"/>
      <c r="I849" s="5" t="inlineStr"/>
      <c r="J849" s="5" t="inlineStr"/>
      <c r="K849" s="5" t="inlineStr">
        <is>
          <t>instalação grátis mediante fidelização (não afeta a mensalidade)</t>
        </is>
      </c>
      <c r="L849" s="5" t="inlineStr">
        <is>
          <t>mobile+broadband</t>
        </is>
      </c>
      <c r="M849" s="5" t="inlineStr">
        <is>
          <t>Fiber + Mobile</t>
        </is>
      </c>
      <c r="N849" s="5" t="b">
        <v>1</v>
      </c>
      <c r="O849" s="5" t="b">
        <v>1</v>
      </c>
      <c r="P849" s="5" t="b">
        <v>0</v>
      </c>
      <c r="Q849" s="5" t="b">
        <v>0</v>
      </c>
      <c r="R849" s="7" t="n">
        <v>700</v>
      </c>
      <c r="S849" s="7" t="n">
        <v>80</v>
      </c>
      <c r="T849" s="7" t="n">
        <v>1</v>
      </c>
      <c r="U849" s="5" t="inlineStr"/>
      <c r="V849" s="5" t="inlineStr"/>
      <c r="W849" s="5" t="inlineStr">
        <is>
          <t>Vivo Travel Américas; 70 GB de franquia + 10 GB de bônus</t>
        </is>
      </c>
      <c r="X849" s="5" t="inlineStr">
        <is>
          <t>700 Mega de Vivo Fibra</t>
        </is>
      </c>
      <c r="Y849" s="5" t="inlineStr">
        <is>
          <t>https://vivo.com.br/para-voce/produtos-e-servicos/combos/vivo-total</t>
        </is>
      </c>
      <c r="Z849" s="5" t="inlineStr">
        <is>
          <t>data/raw/vivo_convergent_total_SP.html</t>
        </is>
      </c>
    </row>
    <row r="850">
      <c r="A850" s="2" t="inlineStr">
        <is>
          <t>2026-09-06</t>
        </is>
      </c>
      <c r="B850" s="2" t="inlineStr">
        <is>
          <t>2026-09-06T19:39:36</t>
        </is>
      </c>
      <c r="C850" s="2" t="inlineStr">
        <is>
          <t>vivo</t>
        </is>
      </c>
      <c r="D850" s="2" t="inlineStr">
        <is>
          <t>SP</t>
        </is>
      </c>
      <c r="E850" s="2" t="inlineStr">
        <is>
          <t>Vivo Total Ultra + TV</t>
        </is>
      </c>
      <c r="F850" s="2" t="inlineStr">
        <is>
          <t>vivo:VIV202604031882-9-305-313-316-408-411-426-430-442</t>
        </is>
      </c>
      <c r="G850" s="3" t="n">
        <v>310</v>
      </c>
      <c r="H850" s="3" t="inlineStr"/>
      <c r="I850" s="2" t="inlineStr"/>
      <c r="J850" s="2" t="inlineStr"/>
      <c r="K850" s="2" t="inlineStr">
        <is>
          <t>instalação grátis mediante fidelização (não afeta a mensalidade)</t>
        </is>
      </c>
      <c r="L850" s="2" t="inlineStr">
        <is>
          <t>mobile+broadband+tv</t>
        </is>
      </c>
      <c r="M850" s="2" t="inlineStr">
        <is>
          <t>Fiber + Mobile + TV</t>
        </is>
      </c>
      <c r="N850" s="2" t="b">
        <v>1</v>
      </c>
      <c r="O850" s="2" t="b">
        <v>1</v>
      </c>
      <c r="P850" s="2" t="b">
        <v>1</v>
      </c>
      <c r="Q850" s="2" t="b">
        <v>0</v>
      </c>
      <c r="R850" s="4" t="n">
        <v>700</v>
      </c>
      <c r="S850" s="4" t="n">
        <v>80</v>
      </c>
      <c r="T850" s="4" t="n">
        <v>1</v>
      </c>
      <c r="U850" s="2" t="inlineStr">
        <is>
          <t>120 canais de Vivo TV Avançado + 1 ponto adicional</t>
        </is>
      </c>
      <c r="V850" s="2" t="inlineStr"/>
      <c r="W850" s="2" t="inlineStr">
        <is>
          <t>Vivo Travel Américas; 70 GB de franquia + 10 GB de bônus</t>
        </is>
      </c>
      <c r="X850" s="2" t="inlineStr">
        <is>
          <t>700 Mega de Vivo Fibra</t>
        </is>
      </c>
      <c r="Y850" s="2" t="inlineStr">
        <is>
          <t>https://vivo.com.br/para-voce/produtos-e-servicos/combos/vivo-total</t>
        </is>
      </c>
      <c r="Z850" s="2" t="inlineStr">
        <is>
          <t>data/raw/vivo_convergent_total_SP.html</t>
        </is>
      </c>
    </row>
    <row r="851">
      <c r="A851" s="5" t="inlineStr">
        <is>
          <t>2026-09-06</t>
        </is>
      </c>
      <c r="B851" s="5" t="inlineStr">
        <is>
          <t>2026-09-06T19:39:36</t>
        </is>
      </c>
      <c r="C851" s="5" t="inlineStr">
        <is>
          <t>vivo</t>
        </is>
      </c>
      <c r="D851" s="5" t="inlineStr">
        <is>
          <t>SP</t>
        </is>
      </c>
      <c r="E851" s="5" t="inlineStr">
        <is>
          <t>Vivo Total Ultra + TV online</t>
        </is>
      </c>
      <c r="F851" s="5" t="inlineStr">
        <is>
          <t>vivo:VIV202604032034-305-313-316-336-408-411-426-430-442</t>
        </is>
      </c>
      <c r="G851" s="6" t="n">
        <v>210</v>
      </c>
      <c r="H851" s="6" t="inlineStr"/>
      <c r="I851" s="5" t="inlineStr"/>
      <c r="J851" s="5" t="inlineStr"/>
      <c r="K851" s="5" t="inlineStr">
        <is>
          <t>instalação grátis mediante fidelização (não afeta a mensalidade)</t>
        </is>
      </c>
      <c r="L851" s="5" t="inlineStr">
        <is>
          <t>mobile+broadband+tv</t>
        </is>
      </c>
      <c r="M851" s="5" t="inlineStr">
        <is>
          <t>Fiber + Mobile + TV</t>
        </is>
      </c>
      <c r="N851" s="5" t="b">
        <v>1</v>
      </c>
      <c r="O851" s="5" t="b">
        <v>1</v>
      </c>
      <c r="P851" s="5" t="b">
        <v>1</v>
      </c>
      <c r="Q851" s="5" t="b">
        <v>0</v>
      </c>
      <c r="R851" s="7" t="n">
        <v>700</v>
      </c>
      <c r="S851" s="7" t="n">
        <v>80</v>
      </c>
      <c r="T851" s="7" t="n">
        <v>1</v>
      </c>
      <c r="U851" s="5" t="inlineStr">
        <is>
          <t>80 canais de Vivo Estendido</t>
        </is>
      </c>
      <c r="V851" s="5" t="inlineStr"/>
      <c r="W851" s="5" t="inlineStr">
        <is>
          <t>Vivo Travel Américas; 70 GB de franquia + 10 GB de bônus</t>
        </is>
      </c>
      <c r="X851" s="5" t="inlineStr">
        <is>
          <t>700 Mega de Vivo Fibra</t>
        </is>
      </c>
      <c r="Y851" s="5" t="inlineStr">
        <is>
          <t>https://vivo.com.br/para-voce/produtos-e-servicos/combos/vivo-total</t>
        </is>
      </c>
      <c r="Z851" s="5" t="inlineStr">
        <is>
          <t>data/raw/vivo_convergent_total_SP.html</t>
        </is>
      </c>
    </row>
    <row r="852">
      <c r="A852" s="2" t="inlineStr">
        <is>
          <t>2026-09-06</t>
        </is>
      </c>
      <c r="B852" s="2" t="inlineStr">
        <is>
          <t>2026-09-06T19:39:36</t>
        </is>
      </c>
      <c r="C852" s="2" t="inlineStr">
        <is>
          <t>vivo</t>
        </is>
      </c>
      <c r="D852" s="2" t="inlineStr">
        <is>
          <t>SP</t>
        </is>
      </c>
      <c r="E852" s="2" t="inlineStr">
        <is>
          <t>Vivo Total V 1 Giga</t>
        </is>
      </c>
      <c r="F852" s="2" t="inlineStr">
        <is>
          <t>vivo:VIV202604032532-2-305-316-408-426-430-442</t>
        </is>
      </c>
      <c r="G852" s="3" t="n">
        <v>1200</v>
      </c>
      <c r="H852" s="3" t="inlineStr"/>
      <c r="I852" s="2" t="inlineStr"/>
      <c r="J852" s="2" t="inlineStr"/>
      <c r="K852" s="2" t="inlineStr">
        <is>
          <t>instalação grátis mediante fidelização (não afeta a mensalidade)</t>
        </is>
      </c>
      <c r="L852" s="2" t="inlineStr">
        <is>
          <t>mobile+broadband+tv</t>
        </is>
      </c>
      <c r="M852" s="2" t="inlineStr">
        <is>
          <t>Fiber + Mobile + TV</t>
        </is>
      </c>
      <c r="N852" s="2" t="b">
        <v>1</v>
      </c>
      <c r="O852" s="2" t="b">
        <v>1</v>
      </c>
      <c r="P852" s="2" t="b">
        <v>1</v>
      </c>
      <c r="Q852" s="2" t="b">
        <v>0</v>
      </c>
      <c r="R852" s="4" t="n">
        <v>1000</v>
      </c>
      <c r="S852" s="4" t="n">
        <v>600</v>
      </c>
      <c r="T852" s="4" t="n">
        <v>11</v>
      </c>
      <c r="U852" s="2" t="inlineStr">
        <is>
          <t>Vivo TV Completo com HBO Max e Telecine</t>
        </is>
      </c>
      <c r="V852" s="2" t="inlineStr"/>
      <c r="W852" s="2" t="inlineStr">
        <is>
          <t>Vivo Travel Mundo; 10 linhas adicionais inclusas; Vivo TV Completo com HBO Max e Telecine</t>
        </is>
      </c>
      <c r="X852" s="2" t="inlineStr">
        <is>
          <t>1Giga de Vivo Fibra</t>
        </is>
      </c>
      <c r="Y852" s="2" t="inlineStr">
        <is>
          <t>https://vivo.com.br/para-voce/produtos-e-servicos/combos/vivo-total</t>
        </is>
      </c>
      <c r="Z852" s="2" t="inlineStr">
        <is>
          <t>data/raw/vivo_convergent_total_SP.html</t>
        </is>
      </c>
    </row>
    <row r="853">
      <c r="A853" s="5" t="inlineStr">
        <is>
          <t>2026-09-07</t>
        </is>
      </c>
      <c r="B853" s="5" t="inlineStr">
        <is>
          <t>2026-09-07T20:15:39</t>
        </is>
      </c>
      <c r="C853" s="5" t="inlineStr">
        <is>
          <t>claro</t>
        </is>
      </c>
      <c r="D853" s="5" t="inlineStr">
        <is>
          <t>SP</t>
        </is>
      </c>
      <c r="E853" s="5" t="inlineStr">
        <is>
          <t>1 Giga com Globoplay incluso + Claro tv+ Box + Disney+ Amazon Prime + Netflix + HBO Max + Apple TV + Globoplay</t>
        </is>
      </c>
      <c r="F853" s="5" t="inlineStr">
        <is>
          <t>claro:af8152be-4aa7-4aa8-819a-a79687a3a9a0</t>
        </is>
      </c>
      <c r="G853" s="6" t="n">
        <v>319.8</v>
      </c>
      <c r="H853" s="6" t="inlineStr"/>
      <c r="I853" s="5" t="inlineStr"/>
      <c r="J853" s="5" t="inlineStr"/>
      <c r="K853" s="5" t="inlineStr">
        <is>
          <t>tab: Fibra + TV</t>
        </is>
      </c>
      <c r="L853" s="5" t="inlineStr">
        <is>
          <t>broadband+tv</t>
        </is>
      </c>
      <c r="M853" s="5" t="inlineStr">
        <is>
          <t>Fiber + TV</t>
        </is>
      </c>
      <c r="N853" s="5" t="b">
        <v>0</v>
      </c>
      <c r="O853" s="5" t="b">
        <v>1</v>
      </c>
      <c r="P853" s="5" t="b">
        <v>1</v>
      </c>
      <c r="Q853" s="5" t="b">
        <v>0</v>
      </c>
      <c r="R853" s="7" t="n">
        <v>1000</v>
      </c>
      <c r="S853" s="7" t="inlineStr"/>
      <c r="T853" s="7" t="inlineStr"/>
      <c r="U853" s="5" t="inlineStr">
        <is>
          <t>Claro tv+ Box + Disney+ Amazon Prime + Netflix + HBO Max + Apple TV + Globoplay</t>
        </is>
      </c>
      <c r="V853" s="5" t="inlineStr"/>
      <c r="W853" s="5" t="inlineStr"/>
      <c r="X853" s="5" t="inlineStr"/>
      <c r="Y853" s="5" t="inlineStr">
        <is>
          <t>https://www.claro.com.br/multi</t>
        </is>
      </c>
      <c r="Z853" s="5" t="inlineStr">
        <is>
          <t>data/raw/claro_convergent_multi_SP.html</t>
        </is>
      </c>
    </row>
    <row r="854">
      <c r="A854" s="2" t="inlineStr">
        <is>
          <t>2026-09-07</t>
        </is>
      </c>
      <c r="B854" s="2" t="inlineStr">
        <is>
          <t>2026-09-07T20:15:39</t>
        </is>
      </c>
      <c r="C854" s="2" t="inlineStr">
        <is>
          <t>claro</t>
        </is>
      </c>
      <c r="D854" s="2" t="inlineStr">
        <is>
          <t>SP</t>
        </is>
      </c>
      <c r="E854" s="2" t="inlineStr">
        <is>
          <t>1 Giga com Globoplay incluso + Claro tv+ Soundbox + Disney+ Amazon Prime + Netflix + HBO Max + Apple TV + Globoplay</t>
        </is>
      </c>
      <c r="F854" s="2" t="inlineStr">
        <is>
          <t>claro:ceb9fd87-0897-4dd2-a2f2-e7f09e714e49</t>
        </is>
      </c>
      <c r="G854" s="3" t="n">
        <v>429.8</v>
      </c>
      <c r="H854" s="3" t="inlineStr"/>
      <c r="I854" s="2" t="inlineStr"/>
      <c r="J854" s="2" t="inlineStr"/>
      <c r="K854" s="2" t="inlineStr">
        <is>
          <t>tab: Fibra + TV</t>
        </is>
      </c>
      <c r="L854" s="2" t="inlineStr">
        <is>
          <t>broadband+tv</t>
        </is>
      </c>
      <c r="M854" s="2" t="inlineStr">
        <is>
          <t>Fiber + TV</t>
        </is>
      </c>
      <c r="N854" s="2" t="b">
        <v>0</v>
      </c>
      <c r="O854" s="2" t="b">
        <v>1</v>
      </c>
      <c r="P854" s="2" t="b">
        <v>1</v>
      </c>
      <c r="Q854" s="2" t="b">
        <v>0</v>
      </c>
      <c r="R854" s="4" t="n">
        <v>1000</v>
      </c>
      <c r="S854" s="4" t="inlineStr"/>
      <c r="T854" s="4" t="inlineStr"/>
      <c r="U854" s="2" t="inlineStr">
        <is>
          <t>Claro tv+ Soundbox + Disney+ Amazon Prime + Netflix + HBO Max + Apple TV + Globoplay</t>
        </is>
      </c>
      <c r="V854" s="2" t="inlineStr"/>
      <c r="W854" s="2" t="inlineStr"/>
      <c r="X854" s="2" t="inlineStr"/>
      <c r="Y854" s="2" t="inlineStr">
        <is>
          <t>https://www.claro.com.br/multi</t>
        </is>
      </c>
      <c r="Z854" s="2" t="inlineStr">
        <is>
          <t>data/raw/claro_convergent_multi_SP.html</t>
        </is>
      </c>
    </row>
    <row r="855">
      <c r="A855" s="5" t="inlineStr">
        <is>
          <t>2026-09-07</t>
        </is>
      </c>
      <c r="B855" s="5" t="inlineStr">
        <is>
          <t>2026-09-07T20:15:39</t>
        </is>
      </c>
      <c r="C855" s="5" t="inlineStr">
        <is>
          <t>claro</t>
        </is>
      </c>
      <c r="D855" s="5" t="inlineStr">
        <is>
          <t>SP</t>
        </is>
      </c>
      <c r="E855" s="5" t="inlineStr">
        <is>
          <t>1 Giga com Globoplay incluso + Pós 100GB</t>
        </is>
      </c>
      <c r="F855" s="5" t="inlineStr">
        <is>
          <t>claro:a1de0ac1-61bb-4e97-a744-1ae4c3541673</t>
        </is>
      </c>
      <c r="G855" s="6" t="n">
        <v>179.9</v>
      </c>
      <c r="H855" s="6" t="inlineStr"/>
      <c r="I855" s="5" t="inlineStr"/>
      <c r="J855" s="5" t="inlineStr"/>
      <c r="K855" s="5" t="inlineStr">
        <is>
          <t>tab: Fibra + Móvel</t>
        </is>
      </c>
      <c r="L855" s="5" t="inlineStr">
        <is>
          <t>mobile+broadband</t>
        </is>
      </c>
      <c r="M855" s="5" t="inlineStr">
        <is>
          <t>Fiber + Mobile</t>
        </is>
      </c>
      <c r="N855" s="5" t="b">
        <v>1</v>
      </c>
      <c r="O855" s="5" t="b">
        <v>1</v>
      </c>
      <c r="P855" s="5" t="b">
        <v>0</v>
      </c>
      <c r="Q855" s="5" t="b">
        <v>0</v>
      </c>
      <c r="R855" s="7" t="n">
        <v>1000</v>
      </c>
      <c r="S855" s="7" t="n">
        <v>100</v>
      </c>
      <c r="T855" s="7" t="n">
        <v>1</v>
      </c>
      <c r="U855" s="5" t="inlineStr"/>
      <c r="V855" s="5" t="inlineStr"/>
      <c r="W855" s="5" t="inlineStr"/>
      <c r="X855" s="5" t="inlineStr">
        <is>
          <t>Pós 100GB</t>
        </is>
      </c>
      <c r="Y855" s="5" t="inlineStr">
        <is>
          <t>https://www.claro.com.br/multi</t>
        </is>
      </c>
      <c r="Z855" s="5" t="inlineStr">
        <is>
          <t>data/raw/claro_convergent_multi_SP.html</t>
        </is>
      </c>
    </row>
    <row r="856">
      <c r="A856" s="2" t="inlineStr">
        <is>
          <t>2026-09-07</t>
        </is>
      </c>
      <c r="B856" s="2" t="inlineStr">
        <is>
          <t>2026-09-07T20:15:39</t>
        </is>
      </c>
      <c r="C856" s="2" t="inlineStr">
        <is>
          <t>claro</t>
        </is>
      </c>
      <c r="D856" s="2" t="inlineStr">
        <is>
          <t>SP</t>
        </is>
      </c>
      <c r="E856" s="2" t="inlineStr">
        <is>
          <t>1 Giga com Globoplay incluso + Pós 100GB + Claro tv+ Box + Disney+ Amazon Prime + Netflix + HBO Max + Apple TV + Globoplay</t>
        </is>
      </c>
      <c r="F856" s="2" t="inlineStr">
        <is>
          <t>claro:548c4bad-7857-4c0c-94d5-45d33d66c57f</t>
        </is>
      </c>
      <c r="G856" s="3" t="n">
        <v>289.8</v>
      </c>
      <c r="H856" s="3" t="inlineStr"/>
      <c r="I856" s="2" t="inlineStr"/>
      <c r="J856" s="2" t="inlineStr"/>
      <c r="K856" s="2" t="inlineStr">
        <is>
          <t>tab: Fibra + Móvel + TV</t>
        </is>
      </c>
      <c r="L856" s="2" t="inlineStr">
        <is>
          <t>mobile+broadband+tv</t>
        </is>
      </c>
      <c r="M856" s="2" t="inlineStr">
        <is>
          <t>Fiber + Mobile + TV</t>
        </is>
      </c>
      <c r="N856" s="2" t="b">
        <v>1</v>
      </c>
      <c r="O856" s="2" t="b">
        <v>1</v>
      </c>
      <c r="P856" s="2" t="b">
        <v>1</v>
      </c>
      <c r="Q856" s="2" t="b">
        <v>0</v>
      </c>
      <c r="R856" s="4" t="n">
        <v>1000</v>
      </c>
      <c r="S856" s="4" t="n">
        <v>100</v>
      </c>
      <c r="T856" s="4" t="n">
        <v>1</v>
      </c>
      <c r="U856" s="2" t="inlineStr">
        <is>
          <t>Claro tv+ Box + Disney+ Amazon Prime + Netflix + HBO Max + Apple TV + Globoplay</t>
        </is>
      </c>
      <c r="V856" s="2" t="inlineStr"/>
      <c r="W856" s="2" t="inlineStr"/>
      <c r="X856" s="2" t="inlineStr">
        <is>
          <t>Pós 100GB</t>
        </is>
      </c>
      <c r="Y856" s="2" t="inlineStr">
        <is>
          <t>https://www.claro.com.br/multi</t>
        </is>
      </c>
      <c r="Z856" s="2" t="inlineStr">
        <is>
          <t>data/raw/claro_convergent_multi_SP.html</t>
        </is>
      </c>
    </row>
    <row r="857">
      <c r="A857" s="5" t="inlineStr">
        <is>
          <t>2026-09-07</t>
        </is>
      </c>
      <c r="B857" s="5" t="inlineStr">
        <is>
          <t>2026-09-07T20:15:39</t>
        </is>
      </c>
      <c r="C857" s="5" t="inlineStr">
        <is>
          <t>claro</t>
        </is>
      </c>
      <c r="D857" s="5" t="inlineStr">
        <is>
          <t>SP</t>
        </is>
      </c>
      <c r="E857" s="5" t="inlineStr">
        <is>
          <t>1 Giga com Globoplay incluso + Pós 150GB</t>
        </is>
      </c>
      <c r="F857" s="5" t="inlineStr">
        <is>
          <t>claro:d47e2a3b-dfd0-410e-9c24-d07a334d01d4</t>
        </is>
      </c>
      <c r="G857" s="6" t="n">
        <v>299.9</v>
      </c>
      <c r="H857" s="6" t="inlineStr"/>
      <c r="I857" s="5" t="inlineStr"/>
      <c r="J857" s="5" t="inlineStr"/>
      <c r="K857" s="5" t="inlineStr">
        <is>
          <t>tab: Fibra + Móvel</t>
        </is>
      </c>
      <c r="L857" s="5" t="inlineStr">
        <is>
          <t>mobile+broadband</t>
        </is>
      </c>
      <c r="M857" s="5" t="inlineStr">
        <is>
          <t>Fiber + Mobile</t>
        </is>
      </c>
      <c r="N857" s="5" t="b">
        <v>1</v>
      </c>
      <c r="O857" s="5" t="b">
        <v>1</v>
      </c>
      <c r="P857" s="5" t="b">
        <v>0</v>
      </c>
      <c r="Q857" s="5" t="b">
        <v>0</v>
      </c>
      <c r="R857" s="7" t="n">
        <v>1000</v>
      </c>
      <c r="S857" s="7" t="n">
        <v>150</v>
      </c>
      <c r="T857" s="7" t="n">
        <v>2</v>
      </c>
      <c r="U857" s="5" t="inlineStr"/>
      <c r="V857" s="5" t="inlineStr"/>
      <c r="W857" s="5" t="inlineStr"/>
      <c r="X857" s="5" t="inlineStr">
        <is>
          <t>Pós 150GB</t>
        </is>
      </c>
      <c r="Y857" s="5" t="inlineStr">
        <is>
          <t>https://www.claro.com.br/multi</t>
        </is>
      </c>
      <c r="Z857" s="5" t="inlineStr">
        <is>
          <t>data/raw/claro_convergent_multi_SP.html</t>
        </is>
      </c>
    </row>
    <row r="858">
      <c r="A858" s="2" t="inlineStr">
        <is>
          <t>2026-09-07</t>
        </is>
      </c>
      <c r="B858" s="2" t="inlineStr">
        <is>
          <t>2026-09-07T20:15:39</t>
        </is>
      </c>
      <c r="C858" s="2" t="inlineStr">
        <is>
          <t>claro</t>
        </is>
      </c>
      <c r="D858" s="2" t="inlineStr">
        <is>
          <t>SP</t>
        </is>
      </c>
      <c r="E858" s="2" t="inlineStr">
        <is>
          <t>1 Giga com Globoplay incluso + Pós 150GB + Claro tv+ Box + Disney+ Amazon Prime + Netflix + HBO Max + Apple TV + Globoplay</t>
        </is>
      </c>
      <c r="F858" s="2" t="inlineStr">
        <is>
          <t>claro:7785b449-69f2-4234-9e24-8837e32a55c0</t>
        </is>
      </c>
      <c r="G858" s="3" t="n">
        <v>409.8</v>
      </c>
      <c r="H858" s="3" t="inlineStr"/>
      <c r="I858" s="2" t="inlineStr"/>
      <c r="J858" s="2" t="inlineStr"/>
      <c r="K858" s="2" t="inlineStr">
        <is>
          <t>tab: Fibra + Móvel + TV</t>
        </is>
      </c>
      <c r="L858" s="2" t="inlineStr">
        <is>
          <t>mobile+broadband+tv</t>
        </is>
      </c>
      <c r="M858" s="2" t="inlineStr">
        <is>
          <t>Fiber + Mobile + TV</t>
        </is>
      </c>
      <c r="N858" s="2" t="b">
        <v>1</v>
      </c>
      <c r="O858" s="2" t="b">
        <v>1</v>
      </c>
      <c r="P858" s="2" t="b">
        <v>1</v>
      </c>
      <c r="Q858" s="2" t="b">
        <v>0</v>
      </c>
      <c r="R858" s="4" t="n">
        <v>1000</v>
      </c>
      <c r="S858" s="4" t="n">
        <v>150</v>
      </c>
      <c r="T858" s="4" t="n">
        <v>1</v>
      </c>
      <c r="U858" s="2" t="inlineStr">
        <is>
          <t>Claro tv+ Box + Disney+ Amazon Prime + Netflix + HBO Max + Apple TV + Globoplay</t>
        </is>
      </c>
      <c r="V858" s="2" t="inlineStr"/>
      <c r="W858" s="2" t="inlineStr"/>
      <c r="X858" s="2" t="inlineStr">
        <is>
          <t>Pós 150GB</t>
        </is>
      </c>
      <c r="Y858" s="2" t="inlineStr">
        <is>
          <t>https://www.claro.com.br/multi</t>
        </is>
      </c>
      <c r="Z858" s="2" t="inlineStr">
        <is>
          <t>data/raw/claro_convergent_multi_SP.html</t>
        </is>
      </c>
    </row>
    <row r="859">
      <c r="A859" s="5" t="inlineStr">
        <is>
          <t>2026-09-07</t>
        </is>
      </c>
      <c r="B859" s="5" t="inlineStr">
        <is>
          <t>2026-09-07T20:15:39</t>
        </is>
      </c>
      <c r="C859" s="5" t="inlineStr">
        <is>
          <t>claro</t>
        </is>
      </c>
      <c r="D859" s="5" t="inlineStr">
        <is>
          <t>SP</t>
        </is>
      </c>
      <c r="E859" s="5" t="inlineStr">
        <is>
          <t>1 Giga com Globoplay incluso + Pós 200GB</t>
        </is>
      </c>
      <c r="F859" s="5" t="inlineStr">
        <is>
          <t>claro:1961a62d-3213-4ff0-a152-401a45c5b1b5</t>
        </is>
      </c>
      <c r="G859" s="6" t="n">
        <v>359.9</v>
      </c>
      <c r="H859" s="6" t="inlineStr"/>
      <c r="I859" s="5" t="inlineStr"/>
      <c r="J859" s="5" t="inlineStr"/>
      <c r="K859" s="5" t="inlineStr">
        <is>
          <t>tab: Fibra + Móvel</t>
        </is>
      </c>
      <c r="L859" s="5" t="inlineStr">
        <is>
          <t>mobile+broadband</t>
        </is>
      </c>
      <c r="M859" s="5" t="inlineStr">
        <is>
          <t>Fiber + Mobile</t>
        </is>
      </c>
      <c r="N859" s="5" t="b">
        <v>1</v>
      </c>
      <c r="O859" s="5" t="b">
        <v>1</v>
      </c>
      <c r="P859" s="5" t="b">
        <v>0</v>
      </c>
      <c r="Q859" s="5" t="b">
        <v>0</v>
      </c>
      <c r="R859" s="7" t="n">
        <v>1000</v>
      </c>
      <c r="S859" s="7" t="n">
        <v>200</v>
      </c>
      <c r="T859" s="7" t="n">
        <v>3</v>
      </c>
      <c r="U859" s="5" t="inlineStr"/>
      <c r="V859" s="5" t="inlineStr"/>
      <c r="W859" s="5" t="inlineStr"/>
      <c r="X859" s="5" t="inlineStr">
        <is>
          <t>Pós 200GB</t>
        </is>
      </c>
      <c r="Y859" s="5" t="inlineStr">
        <is>
          <t>https://www.claro.com.br/multi</t>
        </is>
      </c>
      <c r="Z859" s="5" t="inlineStr">
        <is>
          <t>data/raw/claro_convergent_multi_SP.html</t>
        </is>
      </c>
    </row>
    <row r="860">
      <c r="A860" s="2" t="inlineStr">
        <is>
          <t>2026-09-07</t>
        </is>
      </c>
      <c r="B860" s="2" t="inlineStr">
        <is>
          <t>2026-09-07T20:15:39</t>
        </is>
      </c>
      <c r="C860" s="2" t="inlineStr">
        <is>
          <t>claro</t>
        </is>
      </c>
      <c r="D860" s="2" t="inlineStr">
        <is>
          <t>SP</t>
        </is>
      </c>
      <c r="E860" s="2" t="inlineStr">
        <is>
          <t>1 Giga com Globoplay incluso + Pós 200GB + Claro tv+ Box + Disney+ Amazon Prime + Netflix + HBO Max + Apple TV + Globoplay</t>
        </is>
      </c>
      <c r="F860" s="2" t="inlineStr">
        <is>
          <t>claro:312815a2-b3a5-43bb-89a1-272d53ccb212</t>
        </is>
      </c>
      <c r="G860" s="3" t="n">
        <v>469.8</v>
      </c>
      <c r="H860" s="3" t="inlineStr"/>
      <c r="I860" s="2" t="inlineStr"/>
      <c r="J860" s="2" t="inlineStr"/>
      <c r="K860" s="2" t="inlineStr">
        <is>
          <t>tab: Fibra + Móvel + TV</t>
        </is>
      </c>
      <c r="L860" s="2" t="inlineStr">
        <is>
          <t>mobile+broadband+tv</t>
        </is>
      </c>
      <c r="M860" s="2" t="inlineStr">
        <is>
          <t>Fiber + Mobile + TV</t>
        </is>
      </c>
      <c r="N860" s="2" t="b">
        <v>1</v>
      </c>
      <c r="O860" s="2" t="b">
        <v>1</v>
      </c>
      <c r="P860" s="2" t="b">
        <v>1</v>
      </c>
      <c r="Q860" s="2" t="b">
        <v>0</v>
      </c>
      <c r="R860" s="4" t="n">
        <v>1000</v>
      </c>
      <c r="S860" s="4" t="n">
        <v>200</v>
      </c>
      <c r="T860" s="4" t="n">
        <v>1</v>
      </c>
      <c r="U860" s="2" t="inlineStr">
        <is>
          <t>Claro tv+ Box + Disney+ Amazon Prime + Netflix + HBO Max + Apple TV + Globoplay</t>
        </is>
      </c>
      <c r="V860" s="2" t="inlineStr"/>
      <c r="W860" s="2" t="inlineStr"/>
      <c r="X860" s="2" t="inlineStr">
        <is>
          <t>Pós 200GB</t>
        </is>
      </c>
      <c r="Y860" s="2" t="inlineStr">
        <is>
          <t>https://www.claro.com.br/multi</t>
        </is>
      </c>
      <c r="Z860" s="2" t="inlineStr">
        <is>
          <t>data/raw/claro_convergent_multi_SP.html</t>
        </is>
      </c>
    </row>
    <row r="861">
      <c r="A861" s="5" t="inlineStr">
        <is>
          <t>2026-09-07</t>
        </is>
      </c>
      <c r="B861" s="5" t="inlineStr">
        <is>
          <t>2026-09-07T20:15:39</t>
        </is>
      </c>
      <c r="C861" s="5" t="inlineStr">
        <is>
          <t>claro</t>
        </is>
      </c>
      <c r="D861" s="5" t="inlineStr">
        <is>
          <t>SP</t>
        </is>
      </c>
      <c r="E861" s="5" t="inlineStr">
        <is>
          <t>350 Mega com Globoplay incluso + Claro tv+ Box + Disney+ Amazon Prime + Netflix + HBO Max + Apple TV + Globoplay</t>
        </is>
      </c>
      <c r="F861" s="5" t="inlineStr">
        <is>
          <t>claro:97b00450-6f21-4349-8363-83d624b18328</t>
        </is>
      </c>
      <c r="G861" s="6" t="n">
        <v>229.8</v>
      </c>
      <c r="H861" s="6" t="inlineStr"/>
      <c r="I861" s="5" t="inlineStr"/>
      <c r="J861" s="5" t="inlineStr"/>
      <c r="K861" s="5" t="inlineStr">
        <is>
          <t>tab: Fibra + TV</t>
        </is>
      </c>
      <c r="L861" s="5" t="inlineStr">
        <is>
          <t>broadband+tv</t>
        </is>
      </c>
      <c r="M861" s="5" t="inlineStr">
        <is>
          <t>Fiber + TV</t>
        </is>
      </c>
      <c r="N861" s="5" t="b">
        <v>0</v>
      </c>
      <c r="O861" s="5" t="b">
        <v>1</v>
      </c>
      <c r="P861" s="5" t="b">
        <v>1</v>
      </c>
      <c r="Q861" s="5" t="b">
        <v>0</v>
      </c>
      <c r="R861" s="7" t="n">
        <v>350</v>
      </c>
      <c r="S861" s="7" t="inlineStr"/>
      <c r="T861" s="7" t="inlineStr"/>
      <c r="U861" s="5" t="inlineStr">
        <is>
          <t>Claro tv+ Box + Disney+ Amazon Prime + Netflix + HBO Max + Apple TV + Globoplay</t>
        </is>
      </c>
      <c r="V861" s="5" t="inlineStr"/>
      <c r="W861" s="5" t="inlineStr"/>
      <c r="X861" s="5" t="inlineStr"/>
      <c r="Y861" s="5" t="inlineStr">
        <is>
          <t>https://www.claro.com.br/multi</t>
        </is>
      </c>
      <c r="Z861" s="5" t="inlineStr">
        <is>
          <t>data/raw/claro_convergent_multi_SP.html</t>
        </is>
      </c>
    </row>
    <row r="862">
      <c r="A862" s="2" t="inlineStr">
        <is>
          <t>2026-09-07</t>
        </is>
      </c>
      <c r="B862" s="2" t="inlineStr">
        <is>
          <t>2026-09-07T20:15:39</t>
        </is>
      </c>
      <c r="C862" s="2" t="inlineStr">
        <is>
          <t>claro</t>
        </is>
      </c>
      <c r="D862" s="2" t="inlineStr">
        <is>
          <t>SP</t>
        </is>
      </c>
      <c r="E862" s="2" t="inlineStr">
        <is>
          <t>350 Mega com Globoplay incluso + Controle 40GB</t>
        </is>
      </c>
      <c r="F862" s="2" t="inlineStr">
        <is>
          <t>claro:a866ea9a-6a70-4b6e-b886-f8178086ca91</t>
        </is>
      </c>
      <c r="G862" s="3" t="n">
        <v>129.8</v>
      </c>
      <c r="H862" s="3" t="inlineStr"/>
      <c r="I862" s="2" t="inlineStr"/>
      <c r="J862" s="2" t="inlineStr">
        <is>
          <t>debit_auto</t>
        </is>
      </c>
      <c r="K862" s="2" t="inlineStr">
        <is>
          <t>tab: Fibra + Móvel; preço em débito em conta; +R$ 5.00 sem débito automático</t>
        </is>
      </c>
      <c r="L862" s="2" t="inlineStr">
        <is>
          <t>mobile+broadband</t>
        </is>
      </c>
      <c r="M862" s="2" t="inlineStr">
        <is>
          <t>Fiber + Mobile</t>
        </is>
      </c>
      <c r="N862" s="2" t="b">
        <v>1</v>
      </c>
      <c r="O862" s="2" t="b">
        <v>1</v>
      </c>
      <c r="P862" s="2" t="b">
        <v>0</v>
      </c>
      <c r="Q862" s="2" t="b">
        <v>0</v>
      </c>
      <c r="R862" s="4" t="n">
        <v>350</v>
      </c>
      <c r="S862" s="4" t="n">
        <v>40</v>
      </c>
      <c r="T862" s="4" t="n">
        <v>1</v>
      </c>
      <c r="U862" s="2" t="inlineStr"/>
      <c r="V862" s="2" t="inlineStr"/>
      <c r="W862" s="2" t="inlineStr"/>
      <c r="X862" s="2" t="inlineStr">
        <is>
          <t>Controle 40GB</t>
        </is>
      </c>
      <c r="Y862" s="2" t="inlineStr">
        <is>
          <t>https://www.claro.com.br/multi</t>
        </is>
      </c>
      <c r="Z862" s="2" t="inlineStr">
        <is>
          <t>data/raw/claro_convergent_multi_SP.html</t>
        </is>
      </c>
    </row>
    <row r="863">
      <c r="A863" s="5" t="inlineStr">
        <is>
          <t>2026-09-07</t>
        </is>
      </c>
      <c r="B863" s="5" t="inlineStr">
        <is>
          <t>2026-09-07T20:15:39</t>
        </is>
      </c>
      <c r="C863" s="5" t="inlineStr">
        <is>
          <t>claro</t>
        </is>
      </c>
      <c r="D863" s="5" t="inlineStr">
        <is>
          <t>SP</t>
        </is>
      </c>
      <c r="E863" s="5" t="inlineStr">
        <is>
          <t>350 Mega com Globoplay incluso + Pós 100GB + Claro tv+ Box + Disney+ Amazon Prime + Netflix + HBO Max + Apple TV + Globoplay</t>
        </is>
      </c>
      <c r="F863" s="5" t="inlineStr">
        <is>
          <t>claro:746fa9cf-ea2b-40de-ad2c-5803b3e0ab08</t>
        </is>
      </c>
      <c r="G863" s="6" t="n">
        <v>249.8</v>
      </c>
      <c r="H863" s="6" t="inlineStr"/>
      <c r="I863" s="5" t="inlineStr"/>
      <c r="J863" s="5" t="inlineStr"/>
      <c r="K863" s="5" t="inlineStr">
        <is>
          <t>tab: Fibra + Móvel + TV</t>
        </is>
      </c>
      <c r="L863" s="5" t="inlineStr">
        <is>
          <t>mobile+broadband+tv</t>
        </is>
      </c>
      <c r="M863" s="5" t="inlineStr">
        <is>
          <t>Fiber + Mobile + TV</t>
        </is>
      </c>
      <c r="N863" s="5" t="b">
        <v>1</v>
      </c>
      <c r="O863" s="5" t="b">
        <v>1</v>
      </c>
      <c r="P863" s="5" t="b">
        <v>1</v>
      </c>
      <c r="Q863" s="5" t="b">
        <v>0</v>
      </c>
      <c r="R863" s="7" t="n">
        <v>350</v>
      </c>
      <c r="S863" s="7" t="n">
        <v>100</v>
      </c>
      <c r="T863" s="7" t="n">
        <v>1</v>
      </c>
      <c r="U863" s="5" t="inlineStr">
        <is>
          <t>Claro tv+ Box + Disney+ Amazon Prime + Netflix + HBO Max + Apple TV + Globoplay</t>
        </is>
      </c>
      <c r="V863" s="5" t="inlineStr"/>
      <c r="W863" s="5" t="inlineStr"/>
      <c r="X863" s="5" t="inlineStr">
        <is>
          <t>Pós 100GB</t>
        </is>
      </c>
      <c r="Y863" s="5" t="inlineStr">
        <is>
          <t>https://www.claro.com.br/multi</t>
        </is>
      </c>
      <c r="Z863" s="5" t="inlineStr">
        <is>
          <t>data/raw/claro_convergent_multi_SP.html</t>
        </is>
      </c>
    </row>
    <row r="864">
      <c r="A864" s="2" t="inlineStr">
        <is>
          <t>2026-09-07</t>
        </is>
      </c>
      <c r="B864" s="2" t="inlineStr">
        <is>
          <t>2026-09-07T20:15:39</t>
        </is>
      </c>
      <c r="C864" s="2" t="inlineStr">
        <is>
          <t>claro</t>
        </is>
      </c>
      <c r="D864" s="2" t="inlineStr">
        <is>
          <t>SP</t>
        </is>
      </c>
      <c r="E864" s="2" t="inlineStr">
        <is>
          <t>600 Mega com Globoplay incluso + Claro tv+ Box + Disney+ Amazon Prime + Netflix + HBO Max + Apple TV + Globoplay</t>
        </is>
      </c>
      <c r="F864" s="2" t="inlineStr">
        <is>
          <t>claro:545261b1-2f4d-4dab-82a6-02d9e66c5d3d</t>
        </is>
      </c>
      <c r="G864" s="3" t="n">
        <v>239.8</v>
      </c>
      <c r="H864" s="3" t="inlineStr"/>
      <c r="I864" s="2" t="inlineStr"/>
      <c r="J864" s="2" t="inlineStr"/>
      <c r="K864" s="2" t="inlineStr">
        <is>
          <t>tab: Fibra + TV</t>
        </is>
      </c>
      <c r="L864" s="2" t="inlineStr">
        <is>
          <t>broadband+tv</t>
        </is>
      </c>
      <c r="M864" s="2" t="inlineStr">
        <is>
          <t>Fiber + TV</t>
        </is>
      </c>
      <c r="N864" s="2" t="b">
        <v>0</v>
      </c>
      <c r="O864" s="2" t="b">
        <v>1</v>
      </c>
      <c r="P864" s="2" t="b">
        <v>1</v>
      </c>
      <c r="Q864" s="2" t="b">
        <v>0</v>
      </c>
      <c r="R864" s="4" t="n">
        <v>600</v>
      </c>
      <c r="S864" s="4" t="inlineStr"/>
      <c r="T864" s="4" t="inlineStr"/>
      <c r="U864" s="2" t="inlineStr">
        <is>
          <t>Claro tv+ Box + Disney+ Amazon Prime + Netflix + HBO Max + Apple TV + Globoplay</t>
        </is>
      </c>
      <c r="V864" s="2" t="inlineStr"/>
      <c r="W864" s="2" t="inlineStr"/>
      <c r="X864" s="2" t="inlineStr"/>
      <c r="Y864" s="2" t="inlineStr">
        <is>
          <t>https://www.claro.com.br/multi</t>
        </is>
      </c>
      <c r="Z864" s="2" t="inlineStr">
        <is>
          <t>data/raw/claro_convergent_multi_SP.html</t>
        </is>
      </c>
    </row>
    <row r="865">
      <c r="A865" s="5" t="inlineStr">
        <is>
          <t>2026-09-07</t>
        </is>
      </c>
      <c r="B865" s="5" t="inlineStr">
        <is>
          <t>2026-09-07T20:15:39</t>
        </is>
      </c>
      <c r="C865" s="5" t="inlineStr">
        <is>
          <t>claro</t>
        </is>
      </c>
      <c r="D865" s="5" t="inlineStr">
        <is>
          <t>SP</t>
        </is>
      </c>
      <c r="E865" s="5" t="inlineStr">
        <is>
          <t>600 Mega com Globoplay incluso + Pós 100GB</t>
        </is>
      </c>
      <c r="F865" s="5" t="inlineStr">
        <is>
          <t>claro:350ac58a-533c-4858-83be-be3ea39c8874</t>
        </is>
      </c>
      <c r="G865" s="6" t="n">
        <v>159.9</v>
      </c>
      <c r="H865" s="6" t="inlineStr"/>
      <c r="I865" s="5" t="inlineStr"/>
      <c r="J865" s="5" t="inlineStr"/>
      <c r="K865" s="5" t="inlineStr">
        <is>
          <t>tab: Fibra + Móvel</t>
        </is>
      </c>
      <c r="L865" s="5" t="inlineStr">
        <is>
          <t>mobile+broadband</t>
        </is>
      </c>
      <c r="M865" s="5" t="inlineStr">
        <is>
          <t>Fiber + Mobile</t>
        </is>
      </c>
      <c r="N865" s="5" t="b">
        <v>1</v>
      </c>
      <c r="O865" s="5" t="b">
        <v>1</v>
      </c>
      <c r="P865" s="5" t="b">
        <v>0</v>
      </c>
      <c r="Q865" s="5" t="b">
        <v>0</v>
      </c>
      <c r="R865" s="7" t="n">
        <v>600</v>
      </c>
      <c r="S865" s="7" t="n">
        <v>100</v>
      </c>
      <c r="T865" s="7" t="n">
        <v>1</v>
      </c>
      <c r="U865" s="5" t="inlineStr"/>
      <c r="V865" s="5" t="inlineStr"/>
      <c r="W865" s="5" t="inlineStr"/>
      <c r="X865" s="5" t="inlineStr">
        <is>
          <t>Pós 100GB</t>
        </is>
      </c>
      <c r="Y865" s="5" t="inlineStr">
        <is>
          <t>https://www.claro.com.br/multi</t>
        </is>
      </c>
      <c r="Z865" s="5" t="inlineStr">
        <is>
          <t>data/raw/claro_convergent_multi_SP.html</t>
        </is>
      </c>
    </row>
    <row r="866">
      <c r="A866" s="2" t="inlineStr">
        <is>
          <t>2026-09-07</t>
        </is>
      </c>
      <c r="B866" s="2" t="inlineStr">
        <is>
          <t>2026-09-07T20:15:39</t>
        </is>
      </c>
      <c r="C866" s="2" t="inlineStr">
        <is>
          <t>claro</t>
        </is>
      </c>
      <c r="D866" s="2" t="inlineStr">
        <is>
          <t>SP</t>
        </is>
      </c>
      <c r="E866" s="2" t="inlineStr">
        <is>
          <t>600 Mega com Globoplay incluso + Pós 100GB + Claro tv+ Box + Disney+ Amazon Prime + Netflix + HBO Max + Apple TV + Globoplay</t>
        </is>
      </c>
      <c r="F866" s="2" t="inlineStr">
        <is>
          <t>claro:f36e7dfb-f7c9-4055-844f-7bc101699de8</t>
        </is>
      </c>
      <c r="G866" s="3" t="n">
        <v>269.8</v>
      </c>
      <c r="H866" s="3" t="inlineStr"/>
      <c r="I866" s="2" t="inlineStr"/>
      <c r="J866" s="2" t="inlineStr"/>
      <c r="K866" s="2" t="inlineStr">
        <is>
          <t>tab: Fibra + Móvel + TV</t>
        </is>
      </c>
      <c r="L866" s="2" t="inlineStr">
        <is>
          <t>mobile+broadband+tv</t>
        </is>
      </c>
      <c r="M866" s="2" t="inlineStr">
        <is>
          <t>Fiber + Mobile + TV</t>
        </is>
      </c>
      <c r="N866" s="2" t="b">
        <v>1</v>
      </c>
      <c r="O866" s="2" t="b">
        <v>1</v>
      </c>
      <c r="P866" s="2" t="b">
        <v>1</v>
      </c>
      <c r="Q866" s="2" t="b">
        <v>0</v>
      </c>
      <c r="R866" s="4" t="n">
        <v>600</v>
      </c>
      <c r="S866" s="4" t="n">
        <v>100</v>
      </c>
      <c r="T866" s="4" t="n">
        <v>1</v>
      </c>
      <c r="U866" s="2" t="inlineStr">
        <is>
          <t>Claro tv+ Box + Disney+ Amazon Prime + Netflix + HBO Max + Apple TV + Globoplay</t>
        </is>
      </c>
      <c r="V866" s="2" t="inlineStr"/>
      <c r="W866" s="2" t="inlineStr"/>
      <c r="X866" s="2" t="inlineStr">
        <is>
          <t>Pós 100GB</t>
        </is>
      </c>
      <c r="Y866" s="2" t="inlineStr">
        <is>
          <t>https://www.claro.com.br/multi</t>
        </is>
      </c>
      <c r="Z866" s="2" t="inlineStr">
        <is>
          <t>data/raw/claro_convergent_multi_SP.html</t>
        </is>
      </c>
    </row>
    <row r="867">
      <c r="A867" s="5" t="inlineStr">
        <is>
          <t>2026-09-07</t>
        </is>
      </c>
      <c r="B867" s="5" t="inlineStr">
        <is>
          <t>2026-09-07T20:15:39</t>
        </is>
      </c>
      <c r="C867" s="5" t="inlineStr">
        <is>
          <t>tim</t>
        </is>
      </c>
      <c r="D867" s="5" t="inlineStr">
        <is>
          <t>SP</t>
        </is>
      </c>
      <c r="E867" s="5" t="inlineStr">
        <is>
          <t>TIM Ultracombo 5</t>
        </is>
      </c>
      <c r="F867" s="5" t="inlineStr">
        <is>
          <t>tim:167756</t>
        </is>
      </c>
      <c r="G867" s="6" t="n">
        <v>169.99</v>
      </c>
      <c r="H867" s="6" t="inlineStr"/>
      <c r="I867" s="5" t="inlineStr"/>
      <c r="J867" s="5" t="inlineStr">
        <is>
          <t>debit_auto</t>
        </is>
      </c>
      <c r="K867" s="5" t="inlineStr">
        <is>
          <t>preço em débito automático; R$ 179,99/mês no pagamento por fatura</t>
        </is>
      </c>
      <c r="L867" s="5" t="inlineStr">
        <is>
          <t>mobile+broadband</t>
        </is>
      </c>
      <c r="M867" s="5" t="inlineStr">
        <is>
          <t>Fiber + Mobile</t>
        </is>
      </c>
      <c r="N867" s="5" t="b">
        <v>1</v>
      </c>
      <c r="O867" s="5" t="b">
        <v>1</v>
      </c>
      <c r="P867" s="5" t="b">
        <v>0</v>
      </c>
      <c r="Q867" s="5" t="b">
        <v>0</v>
      </c>
      <c r="R867" s="7" t="n">
        <v>1000</v>
      </c>
      <c r="S867" s="7" t="n">
        <v>115</v>
      </c>
      <c r="T867" s="7" t="n">
        <v>1</v>
      </c>
      <c r="U867" s="5" t="inlineStr"/>
      <c r="V867" s="5" t="inlineStr">
        <is>
          <t>Paramount+, Deezer</t>
        </is>
      </c>
      <c r="W867" s="5" t="inlineStr"/>
      <c r="X867" s="5" t="inlineStr">
        <is>
          <t>1GIGA de Ultrafibra para casa + 115GB de TIM Black C Hero para móvel: (25GB do plano + 40GB promo + 50GB bônus especial)</t>
        </is>
      </c>
      <c r="Y867" s="5" t="inlineStr">
        <is>
          <t>https://www.tim.com.br/sp/internet/tim-ultracombo</t>
        </is>
      </c>
      <c r="Z867" s="5" t="inlineStr">
        <is>
          <t>data/raw/tim_convergent_ultracombo_SP.html</t>
        </is>
      </c>
    </row>
    <row r="868">
      <c r="A868" s="2" t="inlineStr">
        <is>
          <t>2026-09-07</t>
        </is>
      </c>
      <c r="B868" s="2" t="inlineStr">
        <is>
          <t>2026-09-07T20:15:39</t>
        </is>
      </c>
      <c r="C868" s="2" t="inlineStr">
        <is>
          <t>tim</t>
        </is>
      </c>
      <c r="D868" s="2" t="inlineStr">
        <is>
          <t>SP</t>
        </is>
      </c>
      <c r="E868" s="2" t="inlineStr">
        <is>
          <t>TIM Ultracombo 6</t>
        </is>
      </c>
      <c r="F868" s="2" t="inlineStr">
        <is>
          <t>tim:167751</t>
        </is>
      </c>
      <c r="G868" s="3" t="n">
        <v>139.99</v>
      </c>
      <c r="H868" s="3" t="inlineStr"/>
      <c r="I868" s="2" t="inlineStr"/>
      <c r="J868" s="2" t="inlineStr">
        <is>
          <t>debit_auto</t>
        </is>
      </c>
      <c r="K868" s="2" t="inlineStr">
        <is>
          <t>preço em débito automático; R$ 149,99/mês no pagamento por fatura</t>
        </is>
      </c>
      <c r="L868" s="2" t="inlineStr">
        <is>
          <t>mobile+broadband</t>
        </is>
      </c>
      <c r="M868" s="2" t="inlineStr">
        <is>
          <t>Fiber + Mobile</t>
        </is>
      </c>
      <c r="N868" s="2" t="b">
        <v>1</v>
      </c>
      <c r="O868" s="2" t="b">
        <v>1</v>
      </c>
      <c r="P868" s="2" t="b">
        <v>0</v>
      </c>
      <c r="Q868" s="2" t="b">
        <v>0</v>
      </c>
      <c r="R868" s="4" t="n">
        <v>1000</v>
      </c>
      <c r="S868" s="4" t="n">
        <v>70</v>
      </c>
      <c r="T868" s="4" t="n">
        <v>1</v>
      </c>
      <c r="U868" s="2" t="inlineStr"/>
      <c r="V868" s="2" t="inlineStr">
        <is>
          <t>Paramount+, Deezer</t>
        </is>
      </c>
      <c r="W868" s="2" t="inlineStr"/>
      <c r="X868" s="2" t="inlineStr">
        <is>
          <t>1GIGA de Ultrafibra para casa + 70GB de TIM Black A para móvel: (15GB do plano + 50GB promo + 5GB bônus especial)</t>
        </is>
      </c>
      <c r="Y868" s="2" t="inlineStr">
        <is>
          <t>https://www.tim.com.br/sp/internet/tim-ultracombo</t>
        </is>
      </c>
      <c r="Z868" s="2" t="inlineStr">
        <is>
          <t>data/raw/tim_convergent_ultracombo_SP.html</t>
        </is>
      </c>
    </row>
    <row r="869">
      <c r="A869" s="5" t="inlineStr">
        <is>
          <t>2026-09-07</t>
        </is>
      </c>
      <c r="B869" s="5" t="inlineStr">
        <is>
          <t>2026-09-07T20:15:39</t>
        </is>
      </c>
      <c r="C869" s="5" t="inlineStr">
        <is>
          <t>tim</t>
        </is>
      </c>
      <c r="D869" s="5" t="inlineStr">
        <is>
          <t>SP</t>
        </is>
      </c>
      <c r="E869" s="5" t="inlineStr">
        <is>
          <t>TIM Ultracombo 7</t>
        </is>
      </c>
      <c r="F869" s="5" t="inlineStr">
        <is>
          <t>tim:167761</t>
        </is>
      </c>
      <c r="G869" s="6" t="n">
        <v>89.98999999999999</v>
      </c>
      <c r="H869" s="6" t="inlineStr"/>
      <c r="I869" s="5" t="inlineStr"/>
      <c r="J869" s="5" t="inlineStr">
        <is>
          <t>debit_auto</t>
        </is>
      </c>
      <c r="K869" s="5" t="inlineStr">
        <is>
          <t>preço em débito automático; R$ 99,99/mês no pagamento por fatura</t>
        </is>
      </c>
      <c r="L869" s="5" t="inlineStr">
        <is>
          <t>mobile+broadband</t>
        </is>
      </c>
      <c r="M869" s="5" t="inlineStr">
        <is>
          <t>Fiber + Mobile</t>
        </is>
      </c>
      <c r="N869" s="5" t="b">
        <v>1</v>
      </c>
      <c r="O869" s="5" t="b">
        <v>1</v>
      </c>
      <c r="P869" s="5" t="b">
        <v>0</v>
      </c>
      <c r="Q869" s="5" t="b">
        <v>0</v>
      </c>
      <c r="R869" s="7" t="n">
        <v>500</v>
      </c>
      <c r="S869" s="7" t="n">
        <v>65</v>
      </c>
      <c r="T869" s="7" t="n">
        <v>1</v>
      </c>
      <c r="U869" s="5" t="inlineStr"/>
      <c r="V869" s="5" t="inlineStr"/>
      <c r="W869" s="5" t="inlineStr"/>
      <c r="X869" s="5" t="inlineStr">
        <is>
          <t>500MEGA de Ultrafibra para casa + 65GB de TIM Black A Light para móvel: (10GB do plano + 50GB promo)</t>
        </is>
      </c>
      <c r="Y869" s="5" t="inlineStr">
        <is>
          <t>https://www.tim.com.br/sp/internet/tim-ultracombo</t>
        </is>
      </c>
      <c r="Z869" s="5" t="inlineStr">
        <is>
          <t>data/raw/tim_convergent_ultracombo_SP.html</t>
        </is>
      </c>
    </row>
    <row r="870">
      <c r="A870" s="2" t="inlineStr">
        <is>
          <t>2026-09-07</t>
        </is>
      </c>
      <c r="B870" s="2" t="inlineStr">
        <is>
          <t>2026-09-07T20:15:39</t>
        </is>
      </c>
      <c r="C870" s="2" t="inlineStr">
        <is>
          <t>vivo</t>
        </is>
      </c>
      <c r="D870" s="2" t="inlineStr">
        <is>
          <t>SP</t>
        </is>
      </c>
      <c r="E870" s="2" t="inlineStr">
        <is>
          <t>Vivo Família 2 + TV</t>
        </is>
      </c>
      <c r="F870" s="2" t="inlineStr">
        <is>
          <t>vivo:VIV202604032132-3-305-316-336-408-411-426-430-442</t>
        </is>
      </c>
      <c r="G870" s="3" t="n">
        <v>290</v>
      </c>
      <c r="H870" s="3" t="inlineStr"/>
      <c r="I870" s="2" t="inlineStr"/>
      <c r="J870" s="2" t="inlineStr"/>
      <c r="K870" s="2" t="inlineStr">
        <is>
          <t>instalação grátis mediante fidelização (não afeta a mensalidade)</t>
        </is>
      </c>
      <c r="L870" s="2" t="inlineStr">
        <is>
          <t>mobile+broadband+tv</t>
        </is>
      </c>
      <c r="M870" s="2" t="inlineStr">
        <is>
          <t>Fiber + Mobile + TV</t>
        </is>
      </c>
      <c r="N870" s="2" t="b">
        <v>1</v>
      </c>
      <c r="O870" s="2" t="b">
        <v>1</v>
      </c>
      <c r="P870" s="2" t="b">
        <v>1</v>
      </c>
      <c r="Q870" s="2" t="b">
        <v>0</v>
      </c>
      <c r="R870" s="4" t="n">
        <v>700</v>
      </c>
      <c r="S870" s="4" t="n">
        <v>120</v>
      </c>
      <c r="T870" s="4" t="n">
        <v>2</v>
      </c>
      <c r="U870" s="2" t="inlineStr">
        <is>
          <t>80 canais de Vivo Estendido</t>
        </is>
      </c>
      <c r="V870" s="2" t="inlineStr"/>
      <c r="W870" s="2" t="inlineStr">
        <is>
          <t>Vivo Travel Américas e Europa; 1 linha adicional inclusa</t>
        </is>
      </c>
      <c r="X870" s="2" t="inlineStr">
        <is>
          <t>700 Mega de Vivo Fibra</t>
        </is>
      </c>
      <c r="Y870" s="2" t="inlineStr">
        <is>
          <t>https://vivo.com.br/para-voce/produtos-e-servicos/combos/vivo-total</t>
        </is>
      </c>
      <c r="Z870" s="2" t="inlineStr">
        <is>
          <t>data/raw/vivo_convergent_total_SP.html</t>
        </is>
      </c>
    </row>
    <row r="871">
      <c r="A871" s="5" t="inlineStr">
        <is>
          <t>2026-09-07</t>
        </is>
      </c>
      <c r="B871" s="5" t="inlineStr">
        <is>
          <t>2026-09-07T20:15:39</t>
        </is>
      </c>
      <c r="C871" s="5" t="inlineStr">
        <is>
          <t>vivo</t>
        </is>
      </c>
      <c r="D871" s="5" t="inlineStr">
        <is>
          <t>SP</t>
        </is>
      </c>
      <c r="E871" s="5" t="inlineStr">
        <is>
          <t>Vivo Família 2 + TV</t>
        </is>
      </c>
      <c r="F871" s="5" t="inlineStr">
        <is>
          <t>vivo:VIV202604032112-3-9-305-316-408-411-426-430-442</t>
        </is>
      </c>
      <c r="G871" s="6" t="n">
        <v>390</v>
      </c>
      <c r="H871" s="6" t="inlineStr"/>
      <c r="I871" s="5" t="inlineStr"/>
      <c r="J871" s="5" t="inlineStr"/>
      <c r="K871" s="5" t="inlineStr">
        <is>
          <t>instalação grátis mediante fidelização (não afeta a mensalidade)</t>
        </is>
      </c>
      <c r="L871" s="5" t="inlineStr">
        <is>
          <t>mobile+broadband+tv</t>
        </is>
      </c>
      <c r="M871" s="5" t="inlineStr">
        <is>
          <t>Fiber + Mobile + TV</t>
        </is>
      </c>
      <c r="N871" s="5" t="b">
        <v>1</v>
      </c>
      <c r="O871" s="5" t="b">
        <v>1</v>
      </c>
      <c r="P871" s="5" t="b">
        <v>1</v>
      </c>
      <c r="Q871" s="5" t="b">
        <v>0</v>
      </c>
      <c r="R871" s="7" t="n">
        <v>700</v>
      </c>
      <c r="S871" s="7" t="n">
        <v>120</v>
      </c>
      <c r="T871" s="7" t="n">
        <v>2</v>
      </c>
      <c r="U871" s="5" t="inlineStr">
        <is>
          <t>120 canais de Vivo TV Avançado + 1 ponto adicional</t>
        </is>
      </c>
      <c r="V871" s="5" t="inlineStr"/>
      <c r="W871" s="5" t="inlineStr">
        <is>
          <t>Vivo Travel Américas e Europa; 1 linha adicional inclusa</t>
        </is>
      </c>
      <c r="X871" s="5" t="inlineStr">
        <is>
          <t>700 Mega de Vivo Fibra</t>
        </is>
      </c>
      <c r="Y871" s="5" t="inlineStr">
        <is>
          <t>https://vivo.com.br/para-voce/produtos-e-servicos/combos/vivo-total</t>
        </is>
      </c>
      <c r="Z871" s="5" t="inlineStr">
        <is>
          <t>data/raw/vivo_convergent_total_SP.html</t>
        </is>
      </c>
    </row>
    <row r="872">
      <c r="A872" s="2" t="inlineStr">
        <is>
          <t>2026-09-07</t>
        </is>
      </c>
      <c r="B872" s="2" t="inlineStr">
        <is>
          <t>2026-09-07T20:15:39</t>
        </is>
      </c>
      <c r="C872" s="2" t="inlineStr">
        <is>
          <t>vivo</t>
        </is>
      </c>
      <c r="D872" s="2" t="inlineStr">
        <is>
          <t>SP</t>
        </is>
      </c>
      <c r="E872" s="2" t="inlineStr">
        <is>
          <t>Vivo Total Família 2</t>
        </is>
      </c>
      <c r="F872" s="2" t="inlineStr">
        <is>
          <t>vivo:VIV202604032132-3-305-316-408-411-426-430-442</t>
        </is>
      </c>
      <c r="G872" s="3" t="n">
        <v>270</v>
      </c>
      <c r="H872" s="3" t="inlineStr"/>
      <c r="I872" s="2" t="inlineStr"/>
      <c r="J872" s="2" t="inlineStr"/>
      <c r="K872" s="2" t="inlineStr">
        <is>
          <t>instalação grátis mediante fidelização (não afeta a mensalidade)</t>
        </is>
      </c>
      <c r="L872" s="2" t="inlineStr">
        <is>
          <t>mobile+broadband</t>
        </is>
      </c>
      <c r="M872" s="2" t="inlineStr">
        <is>
          <t>Fiber + Mobile</t>
        </is>
      </c>
      <c r="N872" s="2" t="b">
        <v>1</v>
      </c>
      <c r="O872" s="2" t="b">
        <v>1</v>
      </c>
      <c r="P872" s="2" t="b">
        <v>0</v>
      </c>
      <c r="Q872" s="2" t="b">
        <v>0</v>
      </c>
      <c r="R872" s="4" t="n">
        <v>700</v>
      </c>
      <c r="S872" s="4" t="n">
        <v>120</v>
      </c>
      <c r="T872" s="4" t="n">
        <v>2</v>
      </c>
      <c r="U872" s="2" t="inlineStr"/>
      <c r="V872" s="2" t="inlineStr"/>
      <c r="W872" s="2" t="inlineStr">
        <is>
          <t>Vivo Travel Américas e Europa; 1 linha adicional inclusa</t>
        </is>
      </c>
      <c r="X872" s="2" t="inlineStr">
        <is>
          <t>700 Mega de Vivo Fibra</t>
        </is>
      </c>
      <c r="Y872" s="2" t="inlineStr">
        <is>
          <t>https://vivo.com.br/para-voce/produtos-e-servicos/combos/vivo-total</t>
        </is>
      </c>
      <c r="Z872" s="2" t="inlineStr">
        <is>
          <t>data/raw/vivo_convergent_total_SP.html</t>
        </is>
      </c>
    </row>
    <row r="873">
      <c r="A873" s="5" t="inlineStr">
        <is>
          <t>2026-09-07</t>
        </is>
      </c>
      <c r="B873" s="5" t="inlineStr">
        <is>
          <t>2026-09-07T20:15:39</t>
        </is>
      </c>
      <c r="C873" s="5" t="inlineStr">
        <is>
          <t>vivo</t>
        </is>
      </c>
      <c r="D873" s="5" t="inlineStr">
        <is>
          <t>SP</t>
        </is>
      </c>
      <c r="E873" s="5" t="inlineStr">
        <is>
          <t>Vivo Total Família 3</t>
        </is>
      </c>
      <c r="F873" s="5" t="inlineStr">
        <is>
          <t>vivo:VIV202604032212-4-305-316-408-411-426-430-442</t>
        </is>
      </c>
      <c r="G873" s="6" t="n">
        <v>330</v>
      </c>
      <c r="H873" s="6" t="inlineStr"/>
      <c r="I873" s="5" t="inlineStr"/>
      <c r="J873" s="5" t="inlineStr"/>
      <c r="K873" s="5" t="inlineStr">
        <is>
          <t>instalação grátis mediante fidelização (não afeta a mensalidade)</t>
        </is>
      </c>
      <c r="L873" s="5" t="inlineStr">
        <is>
          <t>mobile+broadband</t>
        </is>
      </c>
      <c r="M873" s="5" t="inlineStr">
        <is>
          <t>Fiber + Mobile</t>
        </is>
      </c>
      <c r="N873" s="5" t="b">
        <v>1</v>
      </c>
      <c r="O873" s="5" t="b">
        <v>1</v>
      </c>
      <c r="P873" s="5" t="b">
        <v>0</v>
      </c>
      <c r="Q873" s="5" t="b">
        <v>0</v>
      </c>
      <c r="R873" s="7" t="n">
        <v>700</v>
      </c>
      <c r="S873" s="7" t="n">
        <v>180</v>
      </c>
      <c r="T873" s="7" t="n">
        <v>3</v>
      </c>
      <c r="U873" s="5" t="inlineStr"/>
      <c r="V873" s="5" t="inlineStr"/>
      <c r="W873" s="5" t="inlineStr">
        <is>
          <t>Vivo Travel Américas e Europa; 2 linhas adicionais inclusas</t>
        </is>
      </c>
      <c r="X873" s="5" t="inlineStr">
        <is>
          <t>700 Mega de Vivo Fibra</t>
        </is>
      </c>
      <c r="Y873" s="5" t="inlineStr">
        <is>
          <t>https://vivo.com.br/para-voce/produtos-e-servicos/combos/vivo-total</t>
        </is>
      </c>
      <c r="Z873" s="5" t="inlineStr">
        <is>
          <t>data/raw/vivo_convergent_total_SP.html</t>
        </is>
      </c>
    </row>
    <row r="874">
      <c r="A874" s="2" t="inlineStr">
        <is>
          <t>2026-09-07</t>
        </is>
      </c>
      <c r="B874" s="2" t="inlineStr">
        <is>
          <t>2026-09-07T20:15:39</t>
        </is>
      </c>
      <c r="C874" s="2" t="inlineStr">
        <is>
          <t>vivo</t>
        </is>
      </c>
      <c r="D874" s="2" t="inlineStr">
        <is>
          <t>SP</t>
        </is>
      </c>
      <c r="E874" s="2" t="inlineStr">
        <is>
          <t>Vivo Total Família 4</t>
        </is>
      </c>
      <c r="F874" s="2" t="inlineStr">
        <is>
          <t>vivo:VIV202604032292-237-305-316-408-411-426-430-442</t>
        </is>
      </c>
      <c r="G874" s="3" t="n">
        <v>420</v>
      </c>
      <c r="H874" s="3" t="inlineStr"/>
      <c r="I874" s="2" t="inlineStr"/>
      <c r="J874" s="2" t="inlineStr"/>
      <c r="K874" s="2" t="inlineStr">
        <is>
          <t>instalação grátis mediante fidelização (não afeta a mensalidade)</t>
        </is>
      </c>
      <c r="L874" s="2" t="inlineStr">
        <is>
          <t>mobile+broadband</t>
        </is>
      </c>
      <c r="M874" s="2" t="inlineStr">
        <is>
          <t>Fiber + Mobile</t>
        </is>
      </c>
      <c r="N874" s="2" t="b">
        <v>1</v>
      </c>
      <c r="O874" s="2" t="b">
        <v>1</v>
      </c>
      <c r="P874" s="2" t="b">
        <v>0</v>
      </c>
      <c r="Q874" s="2" t="b">
        <v>0</v>
      </c>
      <c r="R874" s="4" t="n">
        <v>700</v>
      </c>
      <c r="S874" s="4" t="n">
        <v>240</v>
      </c>
      <c r="T874" s="4" t="n">
        <v>4</v>
      </c>
      <c r="U874" s="2" t="inlineStr"/>
      <c r="V874" s="2" t="inlineStr"/>
      <c r="W874" s="2" t="inlineStr">
        <is>
          <t>Vivo Travel Américas e Europa; 3 linhas adicionais inclusas</t>
        </is>
      </c>
      <c r="X874" s="2" t="inlineStr">
        <is>
          <t>700 Mega de Vivo Fibra</t>
        </is>
      </c>
      <c r="Y874" s="2" t="inlineStr">
        <is>
          <t>https://vivo.com.br/para-voce/produtos-e-servicos/combos/vivo-total</t>
        </is>
      </c>
      <c r="Z874" s="2" t="inlineStr">
        <is>
          <t>data/raw/vivo_convergent_total_SP.html</t>
        </is>
      </c>
    </row>
    <row r="875">
      <c r="A875" s="5" t="inlineStr">
        <is>
          <t>2026-09-07</t>
        </is>
      </c>
      <c r="B875" s="5" t="inlineStr">
        <is>
          <t>2026-09-07T20:15:39</t>
        </is>
      </c>
      <c r="C875" s="5" t="inlineStr">
        <is>
          <t>vivo</t>
        </is>
      </c>
      <c r="D875" s="5" t="inlineStr">
        <is>
          <t>SP</t>
        </is>
      </c>
      <c r="E875" s="5" t="inlineStr">
        <is>
          <t>Vivo Total Família 5</t>
        </is>
      </c>
      <c r="F875" s="5" t="inlineStr">
        <is>
          <t>vivo:VIV202604032372-5-305-316-408-411-426-430-442</t>
        </is>
      </c>
      <c r="G875" s="6" t="n">
        <v>520</v>
      </c>
      <c r="H875" s="6" t="inlineStr"/>
      <c r="I875" s="5" t="inlineStr"/>
      <c r="J875" s="5" t="inlineStr"/>
      <c r="K875" s="5" t="inlineStr">
        <is>
          <t>instalação grátis mediante fidelização (não afeta a mensalidade)</t>
        </is>
      </c>
      <c r="L875" s="5" t="inlineStr">
        <is>
          <t>mobile+broadband</t>
        </is>
      </c>
      <c r="M875" s="5" t="inlineStr">
        <is>
          <t>Fiber + Mobile</t>
        </is>
      </c>
      <c r="N875" s="5" t="b">
        <v>1</v>
      </c>
      <c r="O875" s="5" t="b">
        <v>1</v>
      </c>
      <c r="P875" s="5" t="b">
        <v>0</v>
      </c>
      <c r="Q875" s="5" t="b">
        <v>0</v>
      </c>
      <c r="R875" s="7" t="n">
        <v>700</v>
      </c>
      <c r="S875" s="7" t="n">
        <v>300</v>
      </c>
      <c r="T875" s="7" t="n">
        <v>5</v>
      </c>
      <c r="U875" s="5" t="inlineStr"/>
      <c r="V875" s="5" t="inlineStr"/>
      <c r="W875" s="5" t="inlineStr">
        <is>
          <t>Vivo Travel Américas e Europa; 4 linhas adicionais inclusas</t>
        </is>
      </c>
      <c r="X875" s="5" t="inlineStr">
        <is>
          <t>700 Mega de Vivo Fibra</t>
        </is>
      </c>
      <c r="Y875" s="5" t="inlineStr">
        <is>
          <t>https://vivo.com.br/para-voce/produtos-e-servicos/combos/vivo-total</t>
        </is>
      </c>
      <c r="Z875" s="5" t="inlineStr">
        <is>
          <t>data/raw/vivo_convergent_total_SP.html</t>
        </is>
      </c>
    </row>
    <row r="876">
      <c r="A876" s="2" t="inlineStr">
        <is>
          <t>2026-09-07</t>
        </is>
      </c>
      <c r="B876" s="2" t="inlineStr">
        <is>
          <t>2026-09-07T20:15:39</t>
        </is>
      </c>
      <c r="C876" s="2" t="inlineStr">
        <is>
          <t>vivo</t>
        </is>
      </c>
      <c r="D876" s="2" t="inlineStr">
        <is>
          <t>SP</t>
        </is>
      </c>
      <c r="E876" s="2" t="inlineStr">
        <is>
          <t>Vivo Total Pro</t>
        </is>
      </c>
      <c r="F876" s="2" t="inlineStr">
        <is>
          <t>vivo:VIV202604031772-2-305-308-316-326-342-411-430</t>
        </is>
      </c>
      <c r="G876" s="3" t="n">
        <v>160</v>
      </c>
      <c r="H876" s="3" t="inlineStr"/>
      <c r="I876" s="2" t="inlineStr"/>
      <c r="J876" s="2" t="inlineStr"/>
      <c r="K876" s="2" t="inlineStr">
        <is>
          <t>instalação grátis mediante fidelização (não afeta a mensalidade)</t>
        </is>
      </c>
      <c r="L876" s="2" t="inlineStr">
        <is>
          <t>mobile+broadband</t>
        </is>
      </c>
      <c r="M876" s="2" t="inlineStr">
        <is>
          <t>Fiber + Mobile</t>
        </is>
      </c>
      <c r="N876" s="2" t="b">
        <v>1</v>
      </c>
      <c r="O876" s="2" t="b">
        <v>1</v>
      </c>
      <c r="P876" s="2" t="b">
        <v>0</v>
      </c>
      <c r="Q876" s="2" t="b">
        <v>0</v>
      </c>
      <c r="R876" s="4" t="n">
        <v>500</v>
      </c>
      <c r="S876" s="4" t="n">
        <v>70</v>
      </c>
      <c r="T876" s="4" t="n">
        <v>1</v>
      </c>
      <c r="U876" s="2" t="inlineStr"/>
      <c r="V876" s="2" t="inlineStr"/>
      <c r="W876" s="2" t="inlineStr">
        <is>
          <t>Vivo Travel Américas; 50 GB de franquia + 20 GB de bônus</t>
        </is>
      </c>
      <c r="X876" s="2" t="inlineStr">
        <is>
          <t>500 Mega de Vivo Fibra</t>
        </is>
      </c>
      <c r="Y876" s="2" t="inlineStr">
        <is>
          <t>https://vivo.com.br/para-voce/produtos-e-servicos/combos/vivo-total</t>
        </is>
      </c>
      <c r="Z876" s="2" t="inlineStr">
        <is>
          <t>data/raw/vivo_convergent_total_SP.html</t>
        </is>
      </c>
    </row>
    <row r="877">
      <c r="A877" s="5" t="inlineStr">
        <is>
          <t>2026-09-07</t>
        </is>
      </c>
      <c r="B877" s="5" t="inlineStr">
        <is>
          <t>2026-09-07T20:15:39</t>
        </is>
      </c>
      <c r="C877" s="5" t="inlineStr">
        <is>
          <t>vivo</t>
        </is>
      </c>
      <c r="D877" s="5" t="inlineStr">
        <is>
          <t>SP</t>
        </is>
      </c>
      <c r="E877" s="5" t="inlineStr">
        <is>
          <t>Vivo Total Ultra</t>
        </is>
      </c>
      <c r="F877" s="5" t="inlineStr">
        <is>
          <t>vivo:VIV202604032034-305-313-316-408-411-426-430-442</t>
        </is>
      </c>
      <c r="G877" s="6" t="n">
        <v>190</v>
      </c>
      <c r="H877" s="6" t="inlineStr"/>
      <c r="I877" s="5" t="inlineStr"/>
      <c r="J877" s="5" t="inlineStr"/>
      <c r="K877" s="5" t="inlineStr">
        <is>
          <t>instalação grátis mediante fidelização (não afeta a mensalidade)</t>
        </is>
      </c>
      <c r="L877" s="5" t="inlineStr">
        <is>
          <t>mobile+broadband</t>
        </is>
      </c>
      <c r="M877" s="5" t="inlineStr">
        <is>
          <t>Fiber + Mobile</t>
        </is>
      </c>
      <c r="N877" s="5" t="b">
        <v>1</v>
      </c>
      <c r="O877" s="5" t="b">
        <v>1</v>
      </c>
      <c r="P877" s="5" t="b">
        <v>0</v>
      </c>
      <c r="Q877" s="5" t="b">
        <v>0</v>
      </c>
      <c r="R877" s="7" t="n">
        <v>700</v>
      </c>
      <c r="S877" s="7" t="n">
        <v>80</v>
      </c>
      <c r="T877" s="7" t="n">
        <v>1</v>
      </c>
      <c r="U877" s="5" t="inlineStr"/>
      <c r="V877" s="5" t="inlineStr"/>
      <c r="W877" s="5" t="inlineStr">
        <is>
          <t>Vivo Travel Américas; 70 GB de franquia + 10 GB de bônus</t>
        </is>
      </c>
      <c r="X877" s="5" t="inlineStr">
        <is>
          <t>700 Mega de Vivo Fibra</t>
        </is>
      </c>
      <c r="Y877" s="5" t="inlineStr">
        <is>
          <t>https://vivo.com.br/para-voce/produtos-e-servicos/combos/vivo-total</t>
        </is>
      </c>
      <c r="Z877" s="5" t="inlineStr">
        <is>
          <t>data/raw/vivo_convergent_total_SP.html</t>
        </is>
      </c>
    </row>
    <row r="878">
      <c r="A878" s="2" t="inlineStr">
        <is>
          <t>2026-09-07</t>
        </is>
      </c>
      <c r="B878" s="2" t="inlineStr">
        <is>
          <t>2026-09-07T20:15:39</t>
        </is>
      </c>
      <c r="C878" s="2" t="inlineStr">
        <is>
          <t>vivo</t>
        </is>
      </c>
      <c r="D878" s="2" t="inlineStr">
        <is>
          <t>SP</t>
        </is>
      </c>
      <c r="E878" s="2" t="inlineStr">
        <is>
          <t>Vivo Total Ultra + TV</t>
        </is>
      </c>
      <c r="F878" s="2" t="inlineStr">
        <is>
          <t>vivo:VIV202604031882-9-305-313-316-408-411-426-430-442</t>
        </is>
      </c>
      <c r="G878" s="3" t="n">
        <v>310</v>
      </c>
      <c r="H878" s="3" t="inlineStr"/>
      <c r="I878" s="2" t="inlineStr"/>
      <c r="J878" s="2" t="inlineStr"/>
      <c r="K878" s="2" t="inlineStr">
        <is>
          <t>instalação grátis mediante fidelização (não afeta a mensalidade)</t>
        </is>
      </c>
      <c r="L878" s="2" t="inlineStr">
        <is>
          <t>mobile+broadband+tv</t>
        </is>
      </c>
      <c r="M878" s="2" t="inlineStr">
        <is>
          <t>Fiber + Mobile + TV</t>
        </is>
      </c>
      <c r="N878" s="2" t="b">
        <v>1</v>
      </c>
      <c r="O878" s="2" t="b">
        <v>1</v>
      </c>
      <c r="P878" s="2" t="b">
        <v>1</v>
      </c>
      <c r="Q878" s="2" t="b">
        <v>0</v>
      </c>
      <c r="R878" s="4" t="n">
        <v>700</v>
      </c>
      <c r="S878" s="4" t="n">
        <v>80</v>
      </c>
      <c r="T878" s="4" t="n">
        <v>1</v>
      </c>
      <c r="U878" s="2" t="inlineStr">
        <is>
          <t>120 canais de Vivo TV Avançado + 1 ponto adicional</t>
        </is>
      </c>
      <c r="V878" s="2" t="inlineStr"/>
      <c r="W878" s="2" t="inlineStr">
        <is>
          <t>Vivo Travel Américas; 70 GB de franquia + 10 GB de bônus</t>
        </is>
      </c>
      <c r="X878" s="2" t="inlineStr">
        <is>
          <t>700 Mega de Vivo Fibra</t>
        </is>
      </c>
      <c r="Y878" s="2" t="inlineStr">
        <is>
          <t>https://vivo.com.br/para-voce/produtos-e-servicos/combos/vivo-total</t>
        </is>
      </c>
      <c r="Z878" s="2" t="inlineStr">
        <is>
          <t>data/raw/vivo_convergent_total_SP.html</t>
        </is>
      </c>
    </row>
    <row r="879">
      <c r="A879" s="5" t="inlineStr">
        <is>
          <t>2026-09-07</t>
        </is>
      </c>
      <c r="B879" s="5" t="inlineStr">
        <is>
          <t>2026-09-07T20:15:39</t>
        </is>
      </c>
      <c r="C879" s="5" t="inlineStr">
        <is>
          <t>vivo</t>
        </is>
      </c>
      <c r="D879" s="5" t="inlineStr">
        <is>
          <t>SP</t>
        </is>
      </c>
      <c r="E879" s="5" t="inlineStr">
        <is>
          <t>Vivo Total Ultra + TV online</t>
        </is>
      </c>
      <c r="F879" s="5" t="inlineStr">
        <is>
          <t>vivo:VIV202604032034-305-313-316-336-408-411-426-430-442</t>
        </is>
      </c>
      <c r="G879" s="6" t="n">
        <v>210</v>
      </c>
      <c r="H879" s="6" t="inlineStr"/>
      <c r="I879" s="5" t="inlineStr"/>
      <c r="J879" s="5" t="inlineStr"/>
      <c r="K879" s="5" t="inlineStr">
        <is>
          <t>instalação grátis mediante fidelização (não afeta a mensalidade)</t>
        </is>
      </c>
      <c r="L879" s="5" t="inlineStr">
        <is>
          <t>mobile+broadband+tv</t>
        </is>
      </c>
      <c r="M879" s="5" t="inlineStr">
        <is>
          <t>Fiber + Mobile + TV</t>
        </is>
      </c>
      <c r="N879" s="5" t="b">
        <v>1</v>
      </c>
      <c r="O879" s="5" t="b">
        <v>1</v>
      </c>
      <c r="P879" s="5" t="b">
        <v>1</v>
      </c>
      <c r="Q879" s="5" t="b">
        <v>0</v>
      </c>
      <c r="R879" s="7" t="n">
        <v>700</v>
      </c>
      <c r="S879" s="7" t="n">
        <v>80</v>
      </c>
      <c r="T879" s="7" t="n">
        <v>1</v>
      </c>
      <c r="U879" s="5" t="inlineStr">
        <is>
          <t>80 canais de Vivo Estendido</t>
        </is>
      </c>
      <c r="V879" s="5" t="inlineStr"/>
      <c r="W879" s="5" t="inlineStr">
        <is>
          <t>Vivo Travel Américas; 70 GB de franquia + 10 GB de bônus</t>
        </is>
      </c>
      <c r="X879" s="5" t="inlineStr">
        <is>
          <t>700 Mega de Vivo Fibra</t>
        </is>
      </c>
      <c r="Y879" s="5" t="inlineStr">
        <is>
          <t>https://vivo.com.br/para-voce/produtos-e-servicos/combos/vivo-total</t>
        </is>
      </c>
      <c r="Z879" s="5" t="inlineStr">
        <is>
          <t>data/raw/vivo_convergent_total_SP.html</t>
        </is>
      </c>
    </row>
    <row r="880">
      <c r="A880" s="2" t="inlineStr">
        <is>
          <t>2026-09-07</t>
        </is>
      </c>
      <c r="B880" s="2" t="inlineStr">
        <is>
          <t>2026-09-07T20:15:39</t>
        </is>
      </c>
      <c r="C880" s="2" t="inlineStr">
        <is>
          <t>vivo</t>
        </is>
      </c>
      <c r="D880" s="2" t="inlineStr">
        <is>
          <t>SP</t>
        </is>
      </c>
      <c r="E880" s="2" t="inlineStr">
        <is>
          <t>Vivo Total V 1 Giga</t>
        </is>
      </c>
      <c r="F880" s="2" t="inlineStr">
        <is>
          <t>vivo:VIV202604032532-2-305-316-408-426-430-442</t>
        </is>
      </c>
      <c r="G880" s="3" t="n">
        <v>1200</v>
      </c>
      <c r="H880" s="3" t="inlineStr"/>
      <c r="I880" s="2" t="inlineStr"/>
      <c r="J880" s="2" t="inlineStr"/>
      <c r="K880" s="2" t="inlineStr">
        <is>
          <t>instalação grátis mediante fidelização (não afeta a mensalidade)</t>
        </is>
      </c>
      <c r="L880" s="2" t="inlineStr">
        <is>
          <t>mobile+broadband+tv</t>
        </is>
      </c>
      <c r="M880" s="2" t="inlineStr">
        <is>
          <t>Fiber + Mobile + TV</t>
        </is>
      </c>
      <c r="N880" s="2" t="b">
        <v>1</v>
      </c>
      <c r="O880" s="2" t="b">
        <v>1</v>
      </c>
      <c r="P880" s="2" t="b">
        <v>1</v>
      </c>
      <c r="Q880" s="2" t="b">
        <v>0</v>
      </c>
      <c r="R880" s="4" t="n">
        <v>1000</v>
      </c>
      <c r="S880" s="4" t="n">
        <v>600</v>
      </c>
      <c r="T880" s="4" t="n">
        <v>11</v>
      </c>
      <c r="U880" s="2" t="inlineStr">
        <is>
          <t>Vivo TV Completo com HBO Max e Telecine</t>
        </is>
      </c>
      <c r="V880" s="2" t="inlineStr"/>
      <c r="W880" s="2" t="inlineStr">
        <is>
          <t>Vivo Travel Mundo; 10 linhas adicionais inclusas; Vivo TV Completo com HBO Max e Telecine</t>
        </is>
      </c>
      <c r="X880" s="2" t="inlineStr">
        <is>
          <t>1Giga de Vivo Fibra</t>
        </is>
      </c>
      <c r="Y880" s="2" t="inlineStr">
        <is>
          <t>https://vivo.com.br/para-voce/produtos-e-servicos/combos/vivo-total</t>
        </is>
      </c>
      <c r="Z880" s="2" t="inlineStr">
        <is>
          <t>data/raw/vivo_convergent_total_SP.html</t>
        </is>
      </c>
    </row>
    <row r="881">
      <c r="A881" s="5" t="inlineStr">
        <is>
          <t>2026-09-08</t>
        </is>
      </c>
      <c r="B881" s="5" t="inlineStr">
        <is>
          <t>2026-09-08T20:09:02</t>
        </is>
      </c>
      <c r="C881" s="5" t="inlineStr">
        <is>
          <t>claro</t>
        </is>
      </c>
      <c r="D881" s="5" t="inlineStr">
        <is>
          <t>SP</t>
        </is>
      </c>
      <c r="E881" s="5" t="inlineStr">
        <is>
          <t>1 Giga + Claro tv+ Box + Disney+ Amazon Prime + Netflix + HBO Max + Apple TV + Globoplay</t>
        </is>
      </c>
      <c r="F881" s="5" t="inlineStr">
        <is>
          <t>claro:af8152be-4aa7-4aa8-819a-a79687a3a9a0</t>
        </is>
      </c>
      <c r="G881" s="6" t="n">
        <v>319.8</v>
      </c>
      <c r="H881" s="6" t="inlineStr"/>
      <c r="I881" s="5" t="inlineStr"/>
      <c r="J881" s="5" t="inlineStr"/>
      <c r="K881" s="5" t="inlineStr">
        <is>
          <t>tab: Fibra + TV</t>
        </is>
      </c>
      <c r="L881" s="5" t="inlineStr">
        <is>
          <t>broadband+tv</t>
        </is>
      </c>
      <c r="M881" s="5" t="inlineStr">
        <is>
          <t>Fiber + TV</t>
        </is>
      </c>
      <c r="N881" s="5" t="b">
        <v>0</v>
      </c>
      <c r="O881" s="5" t="b">
        <v>1</v>
      </c>
      <c r="P881" s="5" t="b">
        <v>1</v>
      </c>
      <c r="Q881" s="5" t="b">
        <v>0</v>
      </c>
      <c r="R881" s="7" t="n">
        <v>1000</v>
      </c>
      <c r="S881" s="7" t="inlineStr"/>
      <c r="T881" s="7" t="inlineStr"/>
      <c r="U881" s="5" t="inlineStr">
        <is>
          <t>Claro tv+ Box + Disney+ Amazon Prime + Netflix + HBO Max + Apple TV + Globoplay</t>
        </is>
      </c>
      <c r="V881" s="5" t="inlineStr"/>
      <c r="W881" s="5" t="inlineStr"/>
      <c r="X881" s="5" t="inlineStr"/>
      <c r="Y881" s="5" t="inlineStr">
        <is>
          <t>https://www.claro.com.br/multi</t>
        </is>
      </c>
      <c r="Z881" s="5" t="inlineStr">
        <is>
          <t>data/raw/claro_convergent_multi_SP.html</t>
        </is>
      </c>
    </row>
    <row r="882">
      <c r="A882" s="2" t="inlineStr">
        <is>
          <t>2026-09-08</t>
        </is>
      </c>
      <c r="B882" s="2" t="inlineStr">
        <is>
          <t>2026-09-08T20:09:02</t>
        </is>
      </c>
      <c r="C882" s="2" t="inlineStr">
        <is>
          <t>claro</t>
        </is>
      </c>
      <c r="D882" s="2" t="inlineStr">
        <is>
          <t>SP</t>
        </is>
      </c>
      <c r="E882" s="2" t="inlineStr">
        <is>
          <t>1 Giga + Claro tv+ Soundbox + Disney+ Amazon Prime + Netflix + HBO Max + Apple TV + Globoplay</t>
        </is>
      </c>
      <c r="F882" s="2" t="inlineStr">
        <is>
          <t>claro:ceb9fd87-0897-4dd2-a2f2-e7f09e714e49</t>
        </is>
      </c>
      <c r="G882" s="3" t="n">
        <v>429.8</v>
      </c>
      <c r="H882" s="3" t="inlineStr"/>
      <c r="I882" s="2" t="inlineStr"/>
      <c r="J882" s="2" t="inlineStr"/>
      <c r="K882" s="2" t="inlineStr">
        <is>
          <t>tab: Fibra + TV</t>
        </is>
      </c>
      <c r="L882" s="2" t="inlineStr">
        <is>
          <t>broadband+tv</t>
        </is>
      </c>
      <c r="M882" s="2" t="inlineStr">
        <is>
          <t>Fiber + TV</t>
        </is>
      </c>
      <c r="N882" s="2" t="b">
        <v>0</v>
      </c>
      <c r="O882" s="2" t="b">
        <v>1</v>
      </c>
      <c r="P882" s="2" t="b">
        <v>1</v>
      </c>
      <c r="Q882" s="2" t="b">
        <v>0</v>
      </c>
      <c r="R882" s="4" t="n">
        <v>1000</v>
      </c>
      <c r="S882" s="4" t="inlineStr"/>
      <c r="T882" s="4" t="inlineStr"/>
      <c r="U882" s="2" t="inlineStr">
        <is>
          <t>Claro tv+ Soundbox + Disney+ Amazon Prime + Netflix + HBO Max + Apple TV + Globoplay</t>
        </is>
      </c>
      <c r="V882" s="2" t="inlineStr"/>
      <c r="W882" s="2" t="inlineStr"/>
      <c r="X882" s="2" t="inlineStr"/>
      <c r="Y882" s="2" t="inlineStr">
        <is>
          <t>https://www.claro.com.br/multi</t>
        </is>
      </c>
      <c r="Z882" s="2" t="inlineStr">
        <is>
          <t>data/raw/claro_convergent_multi_SP.html</t>
        </is>
      </c>
    </row>
    <row r="883">
      <c r="A883" s="5" t="inlineStr">
        <is>
          <t>2026-09-08</t>
        </is>
      </c>
      <c r="B883" s="5" t="inlineStr">
        <is>
          <t>2026-09-08T20:09:02</t>
        </is>
      </c>
      <c r="C883" s="5" t="inlineStr">
        <is>
          <t>claro</t>
        </is>
      </c>
      <c r="D883" s="5" t="inlineStr">
        <is>
          <t>SP</t>
        </is>
      </c>
      <c r="E883" s="5" t="inlineStr">
        <is>
          <t>1 Giga + Pós 100GB</t>
        </is>
      </c>
      <c r="F883" s="5" t="inlineStr">
        <is>
          <t>claro:a1de0ac1-61bb-4e97-a744-1ae4c3541673</t>
        </is>
      </c>
      <c r="G883" s="6" t="n">
        <v>179.9</v>
      </c>
      <c r="H883" s="6" t="inlineStr"/>
      <c r="I883" s="5" t="inlineStr"/>
      <c r="J883" s="5" t="inlineStr"/>
      <c r="K883" s="5" t="inlineStr">
        <is>
          <t>tab: Fibra + Móvel</t>
        </is>
      </c>
      <c r="L883" s="5" t="inlineStr">
        <is>
          <t>mobile+broadband</t>
        </is>
      </c>
      <c r="M883" s="5" t="inlineStr">
        <is>
          <t>Fiber + Mobile</t>
        </is>
      </c>
      <c r="N883" s="5" t="b">
        <v>1</v>
      </c>
      <c r="O883" s="5" t="b">
        <v>1</v>
      </c>
      <c r="P883" s="5" t="b">
        <v>0</v>
      </c>
      <c r="Q883" s="5" t="b">
        <v>0</v>
      </c>
      <c r="R883" s="7" t="n">
        <v>1000</v>
      </c>
      <c r="S883" s="7" t="n">
        <v>100</v>
      </c>
      <c r="T883" s="7" t="n">
        <v>1</v>
      </c>
      <c r="U883" s="5" t="inlineStr"/>
      <c r="V883" s="5" t="inlineStr"/>
      <c r="W883" s="5" t="inlineStr"/>
      <c r="X883" s="5" t="inlineStr">
        <is>
          <t>Pós 100GB</t>
        </is>
      </c>
      <c r="Y883" s="5" t="inlineStr">
        <is>
          <t>https://www.claro.com.br/multi</t>
        </is>
      </c>
      <c r="Z883" s="5" t="inlineStr">
        <is>
          <t>data/raw/claro_convergent_multi_SP.html</t>
        </is>
      </c>
    </row>
    <row r="884">
      <c r="A884" s="2" t="inlineStr">
        <is>
          <t>2026-09-08</t>
        </is>
      </c>
      <c r="B884" s="2" t="inlineStr">
        <is>
          <t>2026-09-08T20:09:02</t>
        </is>
      </c>
      <c r="C884" s="2" t="inlineStr">
        <is>
          <t>claro</t>
        </is>
      </c>
      <c r="D884" s="2" t="inlineStr">
        <is>
          <t>SP</t>
        </is>
      </c>
      <c r="E884" s="2" t="inlineStr">
        <is>
          <t>1 Giga + Pós 100GB + Claro tv+ Box + Disney+ Amazon Prime + Netflix + HBO Max + Apple TV + Globoplay</t>
        </is>
      </c>
      <c r="F884" s="2" t="inlineStr">
        <is>
          <t>claro:548c4bad-7857-4c0c-94d5-45d33d66c57f</t>
        </is>
      </c>
      <c r="G884" s="3" t="n">
        <v>289.8</v>
      </c>
      <c r="H884" s="3" t="inlineStr"/>
      <c r="I884" s="2" t="inlineStr"/>
      <c r="J884" s="2" t="inlineStr"/>
      <c r="K884" s="2" t="inlineStr">
        <is>
          <t>tab: Fibra + Móvel + TV</t>
        </is>
      </c>
      <c r="L884" s="2" t="inlineStr">
        <is>
          <t>mobile+broadband+tv</t>
        </is>
      </c>
      <c r="M884" s="2" t="inlineStr">
        <is>
          <t>Fiber + Mobile + TV</t>
        </is>
      </c>
      <c r="N884" s="2" t="b">
        <v>1</v>
      </c>
      <c r="O884" s="2" t="b">
        <v>1</v>
      </c>
      <c r="P884" s="2" t="b">
        <v>1</v>
      </c>
      <c r="Q884" s="2" t="b">
        <v>0</v>
      </c>
      <c r="R884" s="4" t="n">
        <v>1000</v>
      </c>
      <c r="S884" s="4" t="n">
        <v>100</v>
      </c>
      <c r="T884" s="4" t="n">
        <v>1</v>
      </c>
      <c r="U884" s="2" t="inlineStr">
        <is>
          <t>Claro tv+ Box + Disney+ Amazon Prime + Netflix + HBO Max + Apple TV + Globoplay</t>
        </is>
      </c>
      <c r="V884" s="2" t="inlineStr"/>
      <c r="W884" s="2" t="inlineStr"/>
      <c r="X884" s="2" t="inlineStr">
        <is>
          <t>Pós 100GB</t>
        </is>
      </c>
      <c r="Y884" s="2" t="inlineStr">
        <is>
          <t>https://www.claro.com.br/multi</t>
        </is>
      </c>
      <c r="Z884" s="2" t="inlineStr">
        <is>
          <t>data/raw/claro_convergent_multi_SP.html</t>
        </is>
      </c>
    </row>
    <row r="885">
      <c r="A885" s="5" t="inlineStr">
        <is>
          <t>2026-09-08</t>
        </is>
      </c>
      <c r="B885" s="5" t="inlineStr">
        <is>
          <t>2026-09-08T20:09:02</t>
        </is>
      </c>
      <c r="C885" s="5" t="inlineStr">
        <is>
          <t>claro</t>
        </is>
      </c>
      <c r="D885" s="5" t="inlineStr">
        <is>
          <t>SP</t>
        </is>
      </c>
      <c r="E885" s="5" t="inlineStr">
        <is>
          <t>1 Giga + Pós 150GB</t>
        </is>
      </c>
      <c r="F885" s="5" t="inlineStr">
        <is>
          <t>claro:d47e2a3b-dfd0-410e-9c24-d07a334d01d4</t>
        </is>
      </c>
      <c r="G885" s="6" t="n">
        <v>299.9</v>
      </c>
      <c r="H885" s="6" t="inlineStr"/>
      <c r="I885" s="5" t="inlineStr"/>
      <c r="J885" s="5" t="inlineStr"/>
      <c r="K885" s="5" t="inlineStr">
        <is>
          <t>tab: Fibra + Móvel</t>
        </is>
      </c>
      <c r="L885" s="5" t="inlineStr">
        <is>
          <t>mobile+broadband</t>
        </is>
      </c>
      <c r="M885" s="5" t="inlineStr">
        <is>
          <t>Fiber + Mobile</t>
        </is>
      </c>
      <c r="N885" s="5" t="b">
        <v>1</v>
      </c>
      <c r="O885" s="5" t="b">
        <v>1</v>
      </c>
      <c r="P885" s="5" t="b">
        <v>0</v>
      </c>
      <c r="Q885" s="5" t="b">
        <v>0</v>
      </c>
      <c r="R885" s="7" t="n">
        <v>1000</v>
      </c>
      <c r="S885" s="7" t="n">
        <v>150</v>
      </c>
      <c r="T885" s="7" t="n">
        <v>2</v>
      </c>
      <c r="U885" s="5" t="inlineStr"/>
      <c r="V885" s="5" t="inlineStr"/>
      <c r="W885" s="5" t="inlineStr"/>
      <c r="X885" s="5" t="inlineStr">
        <is>
          <t>Pós 150GB</t>
        </is>
      </c>
      <c r="Y885" s="5" t="inlineStr">
        <is>
          <t>https://www.claro.com.br/multi</t>
        </is>
      </c>
      <c r="Z885" s="5" t="inlineStr">
        <is>
          <t>data/raw/claro_convergent_multi_SP.html</t>
        </is>
      </c>
    </row>
    <row r="886">
      <c r="A886" s="2" t="inlineStr">
        <is>
          <t>2026-09-08</t>
        </is>
      </c>
      <c r="B886" s="2" t="inlineStr">
        <is>
          <t>2026-09-08T20:09:02</t>
        </is>
      </c>
      <c r="C886" s="2" t="inlineStr">
        <is>
          <t>claro</t>
        </is>
      </c>
      <c r="D886" s="2" t="inlineStr">
        <is>
          <t>SP</t>
        </is>
      </c>
      <c r="E886" s="2" t="inlineStr">
        <is>
          <t>1 Giga + Pós 150GB + Claro tv+ Box + Disney+ Amazon Prime + Netflix + HBO Max + Apple TV + Globoplay</t>
        </is>
      </c>
      <c r="F886" s="2" t="inlineStr">
        <is>
          <t>claro:7785b449-69f2-4234-9e24-8837e32a55c0</t>
        </is>
      </c>
      <c r="G886" s="3" t="n">
        <v>409.8</v>
      </c>
      <c r="H886" s="3" t="inlineStr"/>
      <c r="I886" s="2" t="inlineStr"/>
      <c r="J886" s="2" t="inlineStr"/>
      <c r="K886" s="2" t="inlineStr">
        <is>
          <t>tab: Fibra + Móvel + TV</t>
        </is>
      </c>
      <c r="L886" s="2" t="inlineStr">
        <is>
          <t>mobile+broadband+tv</t>
        </is>
      </c>
      <c r="M886" s="2" t="inlineStr">
        <is>
          <t>Fiber + Mobile + TV</t>
        </is>
      </c>
      <c r="N886" s="2" t="b">
        <v>1</v>
      </c>
      <c r="O886" s="2" t="b">
        <v>1</v>
      </c>
      <c r="P886" s="2" t="b">
        <v>1</v>
      </c>
      <c r="Q886" s="2" t="b">
        <v>0</v>
      </c>
      <c r="R886" s="4" t="n">
        <v>1000</v>
      </c>
      <c r="S886" s="4" t="n">
        <v>150</v>
      </c>
      <c r="T886" s="4" t="n">
        <v>1</v>
      </c>
      <c r="U886" s="2" t="inlineStr">
        <is>
          <t>Claro tv+ Box + Disney+ Amazon Prime + Netflix + HBO Max + Apple TV + Globoplay</t>
        </is>
      </c>
      <c r="V886" s="2" t="inlineStr"/>
      <c r="W886" s="2" t="inlineStr"/>
      <c r="X886" s="2" t="inlineStr">
        <is>
          <t>Pós 150GB</t>
        </is>
      </c>
      <c r="Y886" s="2" t="inlineStr">
        <is>
          <t>https://www.claro.com.br/multi</t>
        </is>
      </c>
      <c r="Z886" s="2" t="inlineStr">
        <is>
          <t>data/raw/claro_convergent_multi_SP.html</t>
        </is>
      </c>
    </row>
    <row r="887">
      <c r="A887" s="5" t="inlineStr">
        <is>
          <t>2026-09-08</t>
        </is>
      </c>
      <c r="B887" s="5" t="inlineStr">
        <is>
          <t>2026-09-08T20:09:02</t>
        </is>
      </c>
      <c r="C887" s="5" t="inlineStr">
        <is>
          <t>claro</t>
        </is>
      </c>
      <c r="D887" s="5" t="inlineStr">
        <is>
          <t>SP</t>
        </is>
      </c>
      <c r="E887" s="5" t="inlineStr">
        <is>
          <t>1 Giga + Pós 200GB</t>
        </is>
      </c>
      <c r="F887" s="5" t="inlineStr">
        <is>
          <t>claro:1961a62d-3213-4ff0-a152-401a45c5b1b5</t>
        </is>
      </c>
      <c r="G887" s="6" t="n">
        <v>359.9</v>
      </c>
      <c r="H887" s="6" t="inlineStr"/>
      <c r="I887" s="5" t="inlineStr"/>
      <c r="J887" s="5" t="inlineStr"/>
      <c r="K887" s="5" t="inlineStr">
        <is>
          <t>tab: Fibra + Móvel</t>
        </is>
      </c>
      <c r="L887" s="5" t="inlineStr">
        <is>
          <t>mobile+broadband</t>
        </is>
      </c>
      <c r="M887" s="5" t="inlineStr">
        <is>
          <t>Fiber + Mobile</t>
        </is>
      </c>
      <c r="N887" s="5" t="b">
        <v>1</v>
      </c>
      <c r="O887" s="5" t="b">
        <v>1</v>
      </c>
      <c r="P887" s="5" t="b">
        <v>0</v>
      </c>
      <c r="Q887" s="5" t="b">
        <v>0</v>
      </c>
      <c r="R887" s="7" t="n">
        <v>1000</v>
      </c>
      <c r="S887" s="7" t="n">
        <v>200</v>
      </c>
      <c r="T887" s="7" t="n">
        <v>3</v>
      </c>
      <c r="U887" s="5" t="inlineStr"/>
      <c r="V887" s="5" t="inlineStr"/>
      <c r="W887" s="5" t="inlineStr"/>
      <c r="X887" s="5" t="inlineStr">
        <is>
          <t>Pós 200GB</t>
        </is>
      </c>
      <c r="Y887" s="5" t="inlineStr">
        <is>
          <t>https://www.claro.com.br/multi</t>
        </is>
      </c>
      <c r="Z887" s="5" t="inlineStr">
        <is>
          <t>data/raw/claro_convergent_multi_SP.html</t>
        </is>
      </c>
    </row>
    <row r="888">
      <c r="A888" s="2" t="inlineStr">
        <is>
          <t>2026-09-08</t>
        </is>
      </c>
      <c r="B888" s="2" t="inlineStr">
        <is>
          <t>2026-09-08T20:09:02</t>
        </is>
      </c>
      <c r="C888" s="2" t="inlineStr">
        <is>
          <t>claro</t>
        </is>
      </c>
      <c r="D888" s="2" t="inlineStr">
        <is>
          <t>SP</t>
        </is>
      </c>
      <c r="E888" s="2" t="inlineStr">
        <is>
          <t>1 Giga + Pós 200GB + Claro tv+ Box + Disney+ Amazon Prime + Netflix + HBO Max + Apple TV + Globoplay</t>
        </is>
      </c>
      <c r="F888" s="2" t="inlineStr">
        <is>
          <t>claro:312815a2-b3a5-43bb-89a1-272d53ccb212</t>
        </is>
      </c>
      <c r="G888" s="3" t="n">
        <v>469.8</v>
      </c>
      <c r="H888" s="3" t="inlineStr"/>
      <c r="I888" s="2" t="inlineStr"/>
      <c r="J888" s="2" t="inlineStr"/>
      <c r="K888" s="2" t="inlineStr">
        <is>
          <t>tab: Fibra + Móvel + TV</t>
        </is>
      </c>
      <c r="L888" s="2" t="inlineStr">
        <is>
          <t>mobile+broadband+tv</t>
        </is>
      </c>
      <c r="M888" s="2" t="inlineStr">
        <is>
          <t>Fiber + Mobile + TV</t>
        </is>
      </c>
      <c r="N888" s="2" t="b">
        <v>1</v>
      </c>
      <c r="O888" s="2" t="b">
        <v>1</v>
      </c>
      <c r="P888" s="2" t="b">
        <v>1</v>
      </c>
      <c r="Q888" s="2" t="b">
        <v>0</v>
      </c>
      <c r="R888" s="4" t="n">
        <v>1000</v>
      </c>
      <c r="S888" s="4" t="n">
        <v>200</v>
      </c>
      <c r="T888" s="4" t="n">
        <v>1</v>
      </c>
      <c r="U888" s="2" t="inlineStr">
        <is>
          <t>Claro tv+ Box + Disney+ Amazon Prime + Netflix + HBO Max + Apple TV + Globoplay</t>
        </is>
      </c>
      <c r="V888" s="2" t="inlineStr"/>
      <c r="W888" s="2" t="inlineStr"/>
      <c r="X888" s="2" t="inlineStr">
        <is>
          <t>Pós 200GB</t>
        </is>
      </c>
      <c r="Y888" s="2" t="inlineStr">
        <is>
          <t>https://www.claro.com.br/multi</t>
        </is>
      </c>
      <c r="Z888" s="2" t="inlineStr">
        <is>
          <t>data/raw/claro_convergent_multi_SP.html</t>
        </is>
      </c>
    </row>
    <row r="889">
      <c r="A889" s="5" t="inlineStr">
        <is>
          <t>2026-09-08</t>
        </is>
      </c>
      <c r="B889" s="5" t="inlineStr">
        <is>
          <t>2026-09-08T20:09:02</t>
        </is>
      </c>
      <c r="C889" s="5" t="inlineStr">
        <is>
          <t>claro</t>
        </is>
      </c>
      <c r="D889" s="5" t="inlineStr">
        <is>
          <t>SP</t>
        </is>
      </c>
      <c r="E889" s="5" t="inlineStr">
        <is>
          <t>350 Mega + Claro tv+ Box + Disney+ Amazon Prime + Netflix + HBO Max + Apple TV + Globoplay</t>
        </is>
      </c>
      <c r="F889" s="5" t="inlineStr">
        <is>
          <t>claro:97b00450-6f21-4349-8363-83d624b18328</t>
        </is>
      </c>
      <c r="G889" s="6" t="n">
        <v>229.8</v>
      </c>
      <c r="H889" s="6" t="inlineStr"/>
      <c r="I889" s="5" t="inlineStr"/>
      <c r="J889" s="5" t="inlineStr"/>
      <c r="K889" s="5" t="inlineStr">
        <is>
          <t>tab: Fibra + TV</t>
        </is>
      </c>
      <c r="L889" s="5" t="inlineStr">
        <is>
          <t>broadband+tv</t>
        </is>
      </c>
      <c r="M889" s="5" t="inlineStr">
        <is>
          <t>Fiber + TV</t>
        </is>
      </c>
      <c r="N889" s="5" t="b">
        <v>0</v>
      </c>
      <c r="O889" s="5" t="b">
        <v>1</v>
      </c>
      <c r="P889" s="5" t="b">
        <v>1</v>
      </c>
      <c r="Q889" s="5" t="b">
        <v>0</v>
      </c>
      <c r="R889" s="7" t="n">
        <v>350</v>
      </c>
      <c r="S889" s="7" t="inlineStr"/>
      <c r="T889" s="7" t="inlineStr"/>
      <c r="U889" s="5" t="inlineStr">
        <is>
          <t>Claro tv+ Box + Disney+ Amazon Prime + Netflix + HBO Max + Apple TV + Globoplay</t>
        </is>
      </c>
      <c r="V889" s="5" t="inlineStr"/>
      <c r="W889" s="5" t="inlineStr"/>
      <c r="X889" s="5" t="inlineStr"/>
      <c r="Y889" s="5" t="inlineStr">
        <is>
          <t>https://www.claro.com.br/multi</t>
        </is>
      </c>
      <c r="Z889" s="5" t="inlineStr">
        <is>
          <t>data/raw/claro_convergent_multi_SP.html</t>
        </is>
      </c>
    </row>
    <row r="890">
      <c r="A890" s="2" t="inlineStr">
        <is>
          <t>2026-09-08</t>
        </is>
      </c>
      <c r="B890" s="2" t="inlineStr">
        <is>
          <t>2026-09-08T20:09:02</t>
        </is>
      </c>
      <c r="C890" s="2" t="inlineStr">
        <is>
          <t>claro</t>
        </is>
      </c>
      <c r="D890" s="2" t="inlineStr">
        <is>
          <t>SP</t>
        </is>
      </c>
      <c r="E890" s="2" t="inlineStr">
        <is>
          <t>350 Mega + Controle 40GB</t>
        </is>
      </c>
      <c r="F890" s="2" t="inlineStr">
        <is>
          <t>claro:a866ea9a-6a70-4b6e-b886-f8178086ca91</t>
        </is>
      </c>
      <c r="G890" s="3" t="n">
        <v>129.8</v>
      </c>
      <c r="H890" s="3" t="inlineStr"/>
      <c r="I890" s="2" t="inlineStr"/>
      <c r="J890" s="2" t="inlineStr">
        <is>
          <t>debit_auto</t>
        </is>
      </c>
      <c r="K890" s="2" t="inlineStr">
        <is>
          <t>tab: Fibra + Móvel; preço em débito em conta; +R$ 5.00 sem débito automático</t>
        </is>
      </c>
      <c r="L890" s="2" t="inlineStr">
        <is>
          <t>mobile+broadband</t>
        </is>
      </c>
      <c r="M890" s="2" t="inlineStr">
        <is>
          <t>Fiber + Mobile</t>
        </is>
      </c>
      <c r="N890" s="2" t="b">
        <v>1</v>
      </c>
      <c r="O890" s="2" t="b">
        <v>1</v>
      </c>
      <c r="P890" s="2" t="b">
        <v>0</v>
      </c>
      <c r="Q890" s="2" t="b">
        <v>0</v>
      </c>
      <c r="R890" s="4" t="n">
        <v>350</v>
      </c>
      <c r="S890" s="4" t="n">
        <v>40</v>
      </c>
      <c r="T890" s="4" t="n">
        <v>1</v>
      </c>
      <c r="U890" s="2" t="inlineStr"/>
      <c r="V890" s="2" t="inlineStr"/>
      <c r="W890" s="2" t="inlineStr"/>
      <c r="X890" s="2" t="inlineStr">
        <is>
          <t>Controle 40GB</t>
        </is>
      </c>
      <c r="Y890" s="2" t="inlineStr">
        <is>
          <t>https://www.claro.com.br/multi</t>
        </is>
      </c>
      <c r="Z890" s="2" t="inlineStr">
        <is>
          <t>data/raw/claro_convergent_multi_SP.html</t>
        </is>
      </c>
    </row>
    <row r="891">
      <c r="A891" s="5" t="inlineStr">
        <is>
          <t>2026-09-08</t>
        </is>
      </c>
      <c r="B891" s="5" t="inlineStr">
        <is>
          <t>2026-09-08T20:09:02</t>
        </is>
      </c>
      <c r="C891" s="5" t="inlineStr">
        <is>
          <t>claro</t>
        </is>
      </c>
      <c r="D891" s="5" t="inlineStr">
        <is>
          <t>SP</t>
        </is>
      </c>
      <c r="E891" s="5" t="inlineStr">
        <is>
          <t>350 Mega + Pós 100GB + Claro tv+ Box + Disney+ Amazon Prime + Netflix + HBO Max + Apple TV + Globoplay</t>
        </is>
      </c>
      <c r="F891" s="5" t="inlineStr">
        <is>
          <t>claro:746fa9cf-ea2b-40de-ad2c-5803b3e0ab08</t>
        </is>
      </c>
      <c r="G891" s="6" t="n">
        <v>249.8</v>
      </c>
      <c r="H891" s="6" t="inlineStr"/>
      <c r="I891" s="5" t="inlineStr"/>
      <c r="J891" s="5" t="inlineStr"/>
      <c r="K891" s="5" t="inlineStr">
        <is>
          <t>tab: Fibra + Móvel + TV</t>
        </is>
      </c>
      <c r="L891" s="5" t="inlineStr">
        <is>
          <t>mobile+broadband+tv</t>
        </is>
      </c>
      <c r="M891" s="5" t="inlineStr">
        <is>
          <t>Fiber + Mobile + TV</t>
        </is>
      </c>
      <c r="N891" s="5" t="b">
        <v>1</v>
      </c>
      <c r="O891" s="5" t="b">
        <v>1</v>
      </c>
      <c r="P891" s="5" t="b">
        <v>1</v>
      </c>
      <c r="Q891" s="5" t="b">
        <v>0</v>
      </c>
      <c r="R891" s="7" t="n">
        <v>350</v>
      </c>
      <c r="S891" s="7" t="n">
        <v>100</v>
      </c>
      <c r="T891" s="7" t="n">
        <v>1</v>
      </c>
      <c r="U891" s="5" t="inlineStr">
        <is>
          <t>Claro tv+ Box + Disney+ Amazon Prime + Netflix + HBO Max + Apple TV + Globoplay</t>
        </is>
      </c>
      <c r="V891" s="5" t="inlineStr"/>
      <c r="W891" s="5" t="inlineStr"/>
      <c r="X891" s="5" t="inlineStr">
        <is>
          <t>Pós 100GB</t>
        </is>
      </c>
      <c r="Y891" s="5" t="inlineStr">
        <is>
          <t>https://www.claro.com.br/multi</t>
        </is>
      </c>
      <c r="Z891" s="5" t="inlineStr">
        <is>
          <t>data/raw/claro_convergent_multi_SP.html</t>
        </is>
      </c>
    </row>
    <row r="892">
      <c r="A892" s="2" t="inlineStr">
        <is>
          <t>2026-09-08</t>
        </is>
      </c>
      <c r="B892" s="2" t="inlineStr">
        <is>
          <t>2026-09-08T20:09:02</t>
        </is>
      </c>
      <c r="C892" s="2" t="inlineStr">
        <is>
          <t>claro</t>
        </is>
      </c>
      <c r="D892" s="2" t="inlineStr">
        <is>
          <t>SP</t>
        </is>
      </c>
      <c r="E892" s="2" t="inlineStr">
        <is>
          <t>600 Mega + Claro tv+ Box + Disney+ Amazon Prime + Netflix + HBO Max + Apple TV + Globoplay</t>
        </is>
      </c>
      <c r="F892" s="2" t="inlineStr">
        <is>
          <t>claro:545261b1-2f4d-4dab-82a6-02d9e66c5d3d</t>
        </is>
      </c>
      <c r="G892" s="3" t="n">
        <v>239.8</v>
      </c>
      <c r="H892" s="3" t="inlineStr"/>
      <c r="I892" s="2" t="inlineStr"/>
      <c r="J892" s="2" t="inlineStr"/>
      <c r="K892" s="2" t="inlineStr">
        <is>
          <t>tab: Fibra + TV</t>
        </is>
      </c>
      <c r="L892" s="2" t="inlineStr">
        <is>
          <t>broadband+tv</t>
        </is>
      </c>
      <c r="M892" s="2" t="inlineStr">
        <is>
          <t>Fiber + TV</t>
        </is>
      </c>
      <c r="N892" s="2" t="b">
        <v>0</v>
      </c>
      <c r="O892" s="2" t="b">
        <v>1</v>
      </c>
      <c r="P892" s="2" t="b">
        <v>1</v>
      </c>
      <c r="Q892" s="2" t="b">
        <v>0</v>
      </c>
      <c r="R892" s="4" t="n">
        <v>600</v>
      </c>
      <c r="S892" s="4" t="inlineStr"/>
      <c r="T892" s="4" t="inlineStr"/>
      <c r="U892" s="2" t="inlineStr">
        <is>
          <t>Claro tv+ Box + Disney+ Amazon Prime + Netflix + HBO Max + Apple TV + Globoplay</t>
        </is>
      </c>
      <c r="V892" s="2" t="inlineStr"/>
      <c r="W892" s="2" t="inlineStr"/>
      <c r="X892" s="2" t="inlineStr"/>
      <c r="Y892" s="2" t="inlineStr">
        <is>
          <t>https://www.claro.com.br/multi</t>
        </is>
      </c>
      <c r="Z892" s="2" t="inlineStr">
        <is>
          <t>data/raw/claro_convergent_multi_SP.html</t>
        </is>
      </c>
    </row>
    <row r="893">
      <c r="A893" s="5" t="inlineStr">
        <is>
          <t>2026-09-08</t>
        </is>
      </c>
      <c r="B893" s="5" t="inlineStr">
        <is>
          <t>2026-09-08T20:09:02</t>
        </is>
      </c>
      <c r="C893" s="5" t="inlineStr">
        <is>
          <t>claro</t>
        </is>
      </c>
      <c r="D893" s="5" t="inlineStr">
        <is>
          <t>SP</t>
        </is>
      </c>
      <c r="E893" s="5" t="inlineStr">
        <is>
          <t>600 Mega + Pós 100GB</t>
        </is>
      </c>
      <c r="F893" s="5" t="inlineStr">
        <is>
          <t>claro:350ac58a-533c-4858-83be-be3ea39c8874</t>
        </is>
      </c>
      <c r="G893" s="6" t="n">
        <v>159.9</v>
      </c>
      <c r="H893" s="6" t="inlineStr"/>
      <c r="I893" s="5" t="inlineStr"/>
      <c r="J893" s="5" t="inlineStr"/>
      <c r="K893" s="5" t="inlineStr">
        <is>
          <t>tab: Fibra + Móvel</t>
        </is>
      </c>
      <c r="L893" s="5" t="inlineStr">
        <is>
          <t>mobile+broadband</t>
        </is>
      </c>
      <c r="M893" s="5" t="inlineStr">
        <is>
          <t>Fiber + Mobile</t>
        </is>
      </c>
      <c r="N893" s="5" t="b">
        <v>1</v>
      </c>
      <c r="O893" s="5" t="b">
        <v>1</v>
      </c>
      <c r="P893" s="5" t="b">
        <v>0</v>
      </c>
      <c r="Q893" s="5" t="b">
        <v>0</v>
      </c>
      <c r="R893" s="7" t="n">
        <v>600</v>
      </c>
      <c r="S893" s="7" t="n">
        <v>100</v>
      </c>
      <c r="T893" s="7" t="n">
        <v>1</v>
      </c>
      <c r="U893" s="5" t="inlineStr"/>
      <c r="V893" s="5" t="inlineStr"/>
      <c r="W893" s="5" t="inlineStr"/>
      <c r="X893" s="5" t="inlineStr">
        <is>
          <t>Pós 100GB</t>
        </is>
      </c>
      <c r="Y893" s="5" t="inlineStr">
        <is>
          <t>https://www.claro.com.br/multi</t>
        </is>
      </c>
      <c r="Z893" s="5" t="inlineStr">
        <is>
          <t>data/raw/claro_convergent_multi_SP.html</t>
        </is>
      </c>
    </row>
    <row r="894">
      <c r="A894" s="2" t="inlineStr">
        <is>
          <t>2026-09-08</t>
        </is>
      </c>
      <c r="B894" s="2" t="inlineStr">
        <is>
          <t>2026-09-08T20:09:02</t>
        </is>
      </c>
      <c r="C894" s="2" t="inlineStr">
        <is>
          <t>claro</t>
        </is>
      </c>
      <c r="D894" s="2" t="inlineStr">
        <is>
          <t>SP</t>
        </is>
      </c>
      <c r="E894" s="2" t="inlineStr">
        <is>
          <t>600 Mega + Pós 100GB + Claro tv+ Box + Disney+ Amazon Prime + Netflix + HBO Max + Apple TV + Globoplay</t>
        </is>
      </c>
      <c r="F894" s="2" t="inlineStr">
        <is>
          <t>claro:f36e7dfb-f7c9-4055-844f-7bc101699de8</t>
        </is>
      </c>
      <c r="G894" s="3" t="n">
        <v>269.8</v>
      </c>
      <c r="H894" s="3" t="inlineStr"/>
      <c r="I894" s="2" t="inlineStr"/>
      <c r="J894" s="2" t="inlineStr"/>
      <c r="K894" s="2" t="inlineStr">
        <is>
          <t>tab: Fibra + Móvel + TV</t>
        </is>
      </c>
      <c r="L894" s="2" t="inlineStr">
        <is>
          <t>mobile+broadband+tv</t>
        </is>
      </c>
      <c r="M894" s="2" t="inlineStr">
        <is>
          <t>Fiber + Mobile + TV</t>
        </is>
      </c>
      <c r="N894" s="2" t="b">
        <v>1</v>
      </c>
      <c r="O894" s="2" t="b">
        <v>1</v>
      </c>
      <c r="P894" s="2" t="b">
        <v>1</v>
      </c>
      <c r="Q894" s="2" t="b">
        <v>0</v>
      </c>
      <c r="R894" s="4" t="n">
        <v>600</v>
      </c>
      <c r="S894" s="4" t="n">
        <v>100</v>
      </c>
      <c r="T894" s="4" t="n">
        <v>1</v>
      </c>
      <c r="U894" s="2" t="inlineStr">
        <is>
          <t>Claro tv+ Box + Disney+ Amazon Prime + Netflix + HBO Max + Apple TV + Globoplay</t>
        </is>
      </c>
      <c r="V894" s="2" t="inlineStr"/>
      <c r="W894" s="2" t="inlineStr"/>
      <c r="X894" s="2" t="inlineStr">
        <is>
          <t>Pós 100GB</t>
        </is>
      </c>
      <c r="Y894" s="2" t="inlineStr">
        <is>
          <t>https://www.claro.com.br/multi</t>
        </is>
      </c>
      <c r="Z894" s="2" t="inlineStr">
        <is>
          <t>data/raw/claro_convergent_multi_SP.html</t>
        </is>
      </c>
    </row>
    <row r="895">
      <c r="A895" s="5" t="inlineStr">
        <is>
          <t>2026-09-08</t>
        </is>
      </c>
      <c r="B895" s="5" t="inlineStr">
        <is>
          <t>2026-09-08T20:09:02</t>
        </is>
      </c>
      <c r="C895" s="5" t="inlineStr">
        <is>
          <t>tim</t>
        </is>
      </c>
      <c r="D895" s="5" t="inlineStr">
        <is>
          <t>SP</t>
        </is>
      </c>
      <c r="E895" s="5" t="inlineStr">
        <is>
          <t>TIM Ultracombo 5</t>
        </is>
      </c>
      <c r="F895" s="5" t="inlineStr">
        <is>
          <t>tim:167756</t>
        </is>
      </c>
      <c r="G895" s="6" t="n">
        <v>169.99</v>
      </c>
      <c r="H895" s="6" t="inlineStr"/>
      <c r="I895" s="5" t="inlineStr"/>
      <c r="J895" s="5" t="inlineStr">
        <is>
          <t>debit_auto</t>
        </is>
      </c>
      <c r="K895" s="5" t="inlineStr">
        <is>
          <t>preço em débito automático; R$ 179,99/mês no pagamento por fatura</t>
        </is>
      </c>
      <c r="L895" s="5" t="inlineStr">
        <is>
          <t>mobile+broadband</t>
        </is>
      </c>
      <c r="M895" s="5" t="inlineStr">
        <is>
          <t>Fiber + Mobile</t>
        </is>
      </c>
      <c r="N895" s="5" t="b">
        <v>1</v>
      </c>
      <c r="O895" s="5" t="b">
        <v>1</v>
      </c>
      <c r="P895" s="5" t="b">
        <v>0</v>
      </c>
      <c r="Q895" s="5" t="b">
        <v>0</v>
      </c>
      <c r="R895" s="7" t="n">
        <v>1000</v>
      </c>
      <c r="S895" s="7" t="n">
        <v>115</v>
      </c>
      <c r="T895" s="7" t="n">
        <v>1</v>
      </c>
      <c r="U895" s="5" t="inlineStr"/>
      <c r="V895" s="5" t="inlineStr">
        <is>
          <t>Paramount+, Deezer</t>
        </is>
      </c>
      <c r="W895" s="5" t="inlineStr"/>
      <c r="X895" s="5" t="inlineStr">
        <is>
          <t>1GIGA de Ultrafibra para casa + 115GB de TIM Black C Hero para móvel: (25GB do plano + 40GB promo + 50GB bônus especial)</t>
        </is>
      </c>
      <c r="Y895" s="5" t="inlineStr">
        <is>
          <t>https://www.tim.com.br/sp/internet/tim-ultracombo</t>
        </is>
      </c>
      <c r="Z895" s="5" t="inlineStr">
        <is>
          <t>data/raw/tim_convergent_ultracombo_SP.html</t>
        </is>
      </c>
    </row>
    <row r="896">
      <c r="A896" s="2" t="inlineStr">
        <is>
          <t>2026-09-08</t>
        </is>
      </c>
      <c r="B896" s="2" t="inlineStr">
        <is>
          <t>2026-09-08T20:09:02</t>
        </is>
      </c>
      <c r="C896" s="2" t="inlineStr">
        <is>
          <t>tim</t>
        </is>
      </c>
      <c r="D896" s="2" t="inlineStr">
        <is>
          <t>SP</t>
        </is>
      </c>
      <c r="E896" s="2" t="inlineStr">
        <is>
          <t>TIM Ultracombo 6</t>
        </is>
      </c>
      <c r="F896" s="2" t="inlineStr">
        <is>
          <t>tim:167751</t>
        </is>
      </c>
      <c r="G896" s="3" t="n">
        <v>139.99</v>
      </c>
      <c r="H896" s="3" t="inlineStr"/>
      <c r="I896" s="2" t="inlineStr"/>
      <c r="J896" s="2" t="inlineStr">
        <is>
          <t>debit_auto</t>
        </is>
      </c>
      <c r="K896" s="2" t="inlineStr">
        <is>
          <t>preço em débito automático; R$ 149,99/mês no pagamento por fatura</t>
        </is>
      </c>
      <c r="L896" s="2" t="inlineStr">
        <is>
          <t>mobile+broadband</t>
        </is>
      </c>
      <c r="M896" s="2" t="inlineStr">
        <is>
          <t>Fiber + Mobile</t>
        </is>
      </c>
      <c r="N896" s="2" t="b">
        <v>1</v>
      </c>
      <c r="O896" s="2" t="b">
        <v>1</v>
      </c>
      <c r="P896" s="2" t="b">
        <v>0</v>
      </c>
      <c r="Q896" s="2" t="b">
        <v>0</v>
      </c>
      <c r="R896" s="4" t="n">
        <v>1000</v>
      </c>
      <c r="S896" s="4" t="n">
        <v>70</v>
      </c>
      <c r="T896" s="4" t="n">
        <v>1</v>
      </c>
      <c r="U896" s="2" t="inlineStr"/>
      <c r="V896" s="2" t="inlineStr">
        <is>
          <t>Paramount+, Deezer</t>
        </is>
      </c>
      <c r="W896" s="2" t="inlineStr"/>
      <c r="X896" s="2" t="inlineStr">
        <is>
          <t>1GIGA de Ultrafibra para casa + 70GB de TIM Black A para móvel: (15GB do plano + 50GB promo + 5GB bônus especial)</t>
        </is>
      </c>
      <c r="Y896" s="2" t="inlineStr">
        <is>
          <t>https://www.tim.com.br/sp/internet/tim-ultracombo</t>
        </is>
      </c>
      <c r="Z896" s="2" t="inlineStr">
        <is>
          <t>data/raw/tim_convergent_ultracombo_SP.html</t>
        </is>
      </c>
    </row>
    <row r="897">
      <c r="A897" s="5" t="inlineStr">
        <is>
          <t>2026-09-08</t>
        </is>
      </c>
      <c r="B897" s="5" t="inlineStr">
        <is>
          <t>2026-09-08T20:09:02</t>
        </is>
      </c>
      <c r="C897" s="5" t="inlineStr">
        <is>
          <t>tim</t>
        </is>
      </c>
      <c r="D897" s="5" t="inlineStr">
        <is>
          <t>SP</t>
        </is>
      </c>
      <c r="E897" s="5" t="inlineStr">
        <is>
          <t>TIM Ultracombo 7</t>
        </is>
      </c>
      <c r="F897" s="5" t="inlineStr">
        <is>
          <t>tim:167761</t>
        </is>
      </c>
      <c r="G897" s="6" t="n">
        <v>89.98999999999999</v>
      </c>
      <c r="H897" s="6" t="inlineStr"/>
      <c r="I897" s="5" t="inlineStr"/>
      <c r="J897" s="5" t="inlineStr">
        <is>
          <t>debit_auto</t>
        </is>
      </c>
      <c r="K897" s="5" t="inlineStr">
        <is>
          <t>preço em débito automático; R$ 99,99/mês no pagamento por fatura</t>
        </is>
      </c>
      <c r="L897" s="5" t="inlineStr">
        <is>
          <t>mobile+broadband</t>
        </is>
      </c>
      <c r="M897" s="5" t="inlineStr">
        <is>
          <t>Fiber + Mobile</t>
        </is>
      </c>
      <c r="N897" s="5" t="b">
        <v>1</v>
      </c>
      <c r="O897" s="5" t="b">
        <v>1</v>
      </c>
      <c r="P897" s="5" t="b">
        <v>0</v>
      </c>
      <c r="Q897" s="5" t="b">
        <v>0</v>
      </c>
      <c r="R897" s="7" t="n">
        <v>500</v>
      </c>
      <c r="S897" s="7" t="n">
        <v>65</v>
      </c>
      <c r="T897" s="7" t="n">
        <v>1</v>
      </c>
      <c r="U897" s="5" t="inlineStr"/>
      <c r="V897" s="5" t="inlineStr"/>
      <c r="W897" s="5" t="inlineStr"/>
      <c r="X897" s="5" t="inlineStr">
        <is>
          <t>500MEGA de Ultrafibra para casa + 65GB de TIM Black A Light para móvel: (10GB do plano + 50GB promo)</t>
        </is>
      </c>
      <c r="Y897" s="5" t="inlineStr">
        <is>
          <t>https://www.tim.com.br/sp/internet/tim-ultracombo</t>
        </is>
      </c>
      <c r="Z897" s="5" t="inlineStr">
        <is>
          <t>data/raw/tim_convergent_ultracombo_SP.html</t>
        </is>
      </c>
    </row>
    <row r="898">
      <c r="A898" s="2" t="inlineStr">
        <is>
          <t>2026-09-08</t>
        </is>
      </c>
      <c r="B898" s="2" t="inlineStr">
        <is>
          <t>2026-09-08T20:09:02</t>
        </is>
      </c>
      <c r="C898" s="2" t="inlineStr">
        <is>
          <t>vivo</t>
        </is>
      </c>
      <c r="D898" s="2" t="inlineStr">
        <is>
          <t>SP</t>
        </is>
      </c>
      <c r="E898" s="2" t="inlineStr">
        <is>
          <t>Vivo Família 2 + TV</t>
        </is>
      </c>
      <c r="F898" s="2" t="inlineStr">
        <is>
          <t>vivo:VIV202604032132-3-305-316-336-408-411-426-430-442</t>
        </is>
      </c>
      <c r="G898" s="3" t="n">
        <v>290</v>
      </c>
      <c r="H898" s="3" t="inlineStr"/>
      <c r="I898" s="2" t="inlineStr"/>
      <c r="J898" s="2" t="inlineStr"/>
      <c r="K898" s="2" t="inlineStr">
        <is>
          <t>instalação grátis mediante fidelização (não afeta a mensalidade)</t>
        </is>
      </c>
      <c r="L898" s="2" t="inlineStr">
        <is>
          <t>mobile+broadband+tv</t>
        </is>
      </c>
      <c r="M898" s="2" t="inlineStr">
        <is>
          <t>Fiber + Mobile + TV</t>
        </is>
      </c>
      <c r="N898" s="2" t="b">
        <v>1</v>
      </c>
      <c r="O898" s="2" t="b">
        <v>1</v>
      </c>
      <c r="P898" s="2" t="b">
        <v>1</v>
      </c>
      <c r="Q898" s="2" t="b">
        <v>0</v>
      </c>
      <c r="R898" s="4" t="n">
        <v>700</v>
      </c>
      <c r="S898" s="4" t="n">
        <v>120</v>
      </c>
      <c r="T898" s="4" t="n">
        <v>2</v>
      </c>
      <c r="U898" s="2" t="inlineStr">
        <is>
          <t>80 canais de Vivo Estendido</t>
        </is>
      </c>
      <c r="V898" s="2" t="inlineStr"/>
      <c r="W898" s="2" t="inlineStr">
        <is>
          <t>Vivo Travel Américas e Europa; 1 linha adicional inclusa</t>
        </is>
      </c>
      <c r="X898" s="2" t="inlineStr">
        <is>
          <t>700 Mega de Vivo Fibra</t>
        </is>
      </c>
      <c r="Y898" s="2" t="inlineStr">
        <is>
          <t>https://vivo.com.br/para-voce/produtos-e-servicos/combos/vivo-total</t>
        </is>
      </c>
      <c r="Z898" s="2" t="inlineStr">
        <is>
          <t>data/raw/vivo_convergent_total_SP.html</t>
        </is>
      </c>
    </row>
    <row r="899">
      <c r="A899" s="5" t="inlineStr">
        <is>
          <t>2026-09-08</t>
        </is>
      </c>
      <c r="B899" s="5" t="inlineStr">
        <is>
          <t>2026-09-08T20:09:02</t>
        </is>
      </c>
      <c r="C899" s="5" t="inlineStr">
        <is>
          <t>vivo</t>
        </is>
      </c>
      <c r="D899" s="5" t="inlineStr">
        <is>
          <t>SP</t>
        </is>
      </c>
      <c r="E899" s="5" t="inlineStr">
        <is>
          <t>Vivo Família 2 + TV</t>
        </is>
      </c>
      <c r="F899" s="5" t="inlineStr">
        <is>
          <t>vivo:VIV202604032112-3-9-305-316-408-411-426-430-442</t>
        </is>
      </c>
      <c r="G899" s="6" t="n">
        <v>390</v>
      </c>
      <c r="H899" s="6" t="inlineStr"/>
      <c r="I899" s="5" t="inlineStr"/>
      <c r="J899" s="5" t="inlineStr"/>
      <c r="K899" s="5" t="inlineStr">
        <is>
          <t>instalação grátis mediante fidelização (não afeta a mensalidade)</t>
        </is>
      </c>
      <c r="L899" s="5" t="inlineStr">
        <is>
          <t>mobile+broadband+tv</t>
        </is>
      </c>
      <c r="M899" s="5" t="inlineStr">
        <is>
          <t>Fiber + Mobile + TV</t>
        </is>
      </c>
      <c r="N899" s="5" t="b">
        <v>1</v>
      </c>
      <c r="O899" s="5" t="b">
        <v>1</v>
      </c>
      <c r="P899" s="5" t="b">
        <v>1</v>
      </c>
      <c r="Q899" s="5" t="b">
        <v>0</v>
      </c>
      <c r="R899" s="7" t="n">
        <v>700</v>
      </c>
      <c r="S899" s="7" t="n">
        <v>120</v>
      </c>
      <c r="T899" s="7" t="n">
        <v>2</v>
      </c>
      <c r="U899" s="5" t="inlineStr">
        <is>
          <t>120 canais de Vivo TV Avançado + 1 ponto adicional</t>
        </is>
      </c>
      <c r="V899" s="5" t="inlineStr"/>
      <c r="W899" s="5" t="inlineStr">
        <is>
          <t>Vivo Travel Américas e Europa; 1 linha adicional inclusa</t>
        </is>
      </c>
      <c r="X899" s="5" t="inlineStr">
        <is>
          <t>700 Mega de Vivo Fibra</t>
        </is>
      </c>
      <c r="Y899" s="5" t="inlineStr">
        <is>
          <t>https://vivo.com.br/para-voce/produtos-e-servicos/combos/vivo-total</t>
        </is>
      </c>
      <c r="Z899" s="5" t="inlineStr">
        <is>
          <t>data/raw/vivo_convergent_total_SP.html</t>
        </is>
      </c>
    </row>
    <row r="900">
      <c r="A900" s="2" t="inlineStr">
        <is>
          <t>2026-09-08</t>
        </is>
      </c>
      <c r="B900" s="2" t="inlineStr">
        <is>
          <t>2026-09-08T20:09:02</t>
        </is>
      </c>
      <c r="C900" s="2" t="inlineStr">
        <is>
          <t>vivo</t>
        </is>
      </c>
      <c r="D900" s="2" t="inlineStr">
        <is>
          <t>SP</t>
        </is>
      </c>
      <c r="E900" s="2" t="inlineStr">
        <is>
          <t>Vivo Total Família 2</t>
        </is>
      </c>
      <c r="F900" s="2" t="inlineStr">
        <is>
          <t>vivo:VIV202604032132-3-305-316-408-411-426-430-442</t>
        </is>
      </c>
      <c r="G900" s="3" t="n">
        <v>270</v>
      </c>
      <c r="H900" s="3" t="inlineStr"/>
      <c r="I900" s="2" t="inlineStr"/>
      <c r="J900" s="2" t="inlineStr"/>
      <c r="K900" s="2" t="inlineStr">
        <is>
          <t>instalação grátis mediante fidelização (não afeta a mensalidade)</t>
        </is>
      </c>
      <c r="L900" s="2" t="inlineStr">
        <is>
          <t>mobile+broadband</t>
        </is>
      </c>
      <c r="M900" s="2" t="inlineStr">
        <is>
          <t>Fiber + Mobile</t>
        </is>
      </c>
      <c r="N900" s="2" t="b">
        <v>1</v>
      </c>
      <c r="O900" s="2" t="b">
        <v>1</v>
      </c>
      <c r="P900" s="2" t="b">
        <v>0</v>
      </c>
      <c r="Q900" s="2" t="b">
        <v>0</v>
      </c>
      <c r="R900" s="4" t="n">
        <v>700</v>
      </c>
      <c r="S900" s="4" t="n">
        <v>120</v>
      </c>
      <c r="T900" s="4" t="n">
        <v>2</v>
      </c>
      <c r="U900" s="2" t="inlineStr"/>
      <c r="V900" s="2" t="inlineStr"/>
      <c r="W900" s="2" t="inlineStr">
        <is>
          <t>Vivo Travel Américas e Europa; 1 linha adicional inclusa</t>
        </is>
      </c>
      <c r="X900" s="2" t="inlineStr">
        <is>
          <t>700 Mega de Vivo Fibra</t>
        </is>
      </c>
      <c r="Y900" s="2" t="inlineStr">
        <is>
          <t>https://vivo.com.br/para-voce/produtos-e-servicos/combos/vivo-total</t>
        </is>
      </c>
      <c r="Z900" s="2" t="inlineStr">
        <is>
          <t>data/raw/vivo_convergent_total_SP.html</t>
        </is>
      </c>
    </row>
    <row r="901">
      <c r="A901" s="5" t="inlineStr">
        <is>
          <t>2026-09-08</t>
        </is>
      </c>
      <c r="B901" s="5" t="inlineStr">
        <is>
          <t>2026-09-08T20:09:02</t>
        </is>
      </c>
      <c r="C901" s="5" t="inlineStr">
        <is>
          <t>vivo</t>
        </is>
      </c>
      <c r="D901" s="5" t="inlineStr">
        <is>
          <t>SP</t>
        </is>
      </c>
      <c r="E901" s="5" t="inlineStr">
        <is>
          <t>Vivo Total Família 3</t>
        </is>
      </c>
      <c r="F901" s="5" t="inlineStr">
        <is>
          <t>vivo:VIV202604032212-4-305-316-408-411-426-430-442</t>
        </is>
      </c>
      <c r="G901" s="6" t="n">
        <v>330</v>
      </c>
      <c r="H901" s="6" t="inlineStr"/>
      <c r="I901" s="5" t="inlineStr"/>
      <c r="J901" s="5" t="inlineStr"/>
      <c r="K901" s="5" t="inlineStr">
        <is>
          <t>instalação grátis mediante fidelização (não afeta a mensalidade)</t>
        </is>
      </c>
      <c r="L901" s="5" t="inlineStr">
        <is>
          <t>mobile+broadband</t>
        </is>
      </c>
      <c r="M901" s="5" t="inlineStr">
        <is>
          <t>Fiber + Mobile</t>
        </is>
      </c>
      <c r="N901" s="5" t="b">
        <v>1</v>
      </c>
      <c r="O901" s="5" t="b">
        <v>1</v>
      </c>
      <c r="P901" s="5" t="b">
        <v>0</v>
      </c>
      <c r="Q901" s="5" t="b">
        <v>0</v>
      </c>
      <c r="R901" s="7" t="n">
        <v>700</v>
      </c>
      <c r="S901" s="7" t="n">
        <v>180</v>
      </c>
      <c r="T901" s="7" t="n">
        <v>3</v>
      </c>
      <c r="U901" s="5" t="inlineStr"/>
      <c r="V901" s="5" t="inlineStr"/>
      <c r="W901" s="5" t="inlineStr">
        <is>
          <t>Vivo Travel Américas e Europa; 2 linhas adicionais inclusas</t>
        </is>
      </c>
      <c r="X901" s="5" t="inlineStr">
        <is>
          <t>700 Mega de Vivo Fibra</t>
        </is>
      </c>
      <c r="Y901" s="5" t="inlineStr">
        <is>
          <t>https://vivo.com.br/para-voce/produtos-e-servicos/combos/vivo-total</t>
        </is>
      </c>
      <c r="Z901" s="5" t="inlineStr">
        <is>
          <t>data/raw/vivo_convergent_total_SP.html</t>
        </is>
      </c>
    </row>
    <row r="902">
      <c r="A902" s="2" t="inlineStr">
        <is>
          <t>2026-09-08</t>
        </is>
      </c>
      <c r="B902" s="2" t="inlineStr">
        <is>
          <t>2026-09-08T20:09:02</t>
        </is>
      </c>
      <c r="C902" s="2" t="inlineStr">
        <is>
          <t>vivo</t>
        </is>
      </c>
      <c r="D902" s="2" t="inlineStr">
        <is>
          <t>SP</t>
        </is>
      </c>
      <c r="E902" s="2" t="inlineStr">
        <is>
          <t>Vivo Total Família 4</t>
        </is>
      </c>
      <c r="F902" s="2" t="inlineStr">
        <is>
          <t>vivo:VIV202604032292-237-305-316-408-411-426-430-442</t>
        </is>
      </c>
      <c r="G902" s="3" t="n">
        <v>420</v>
      </c>
      <c r="H902" s="3" t="inlineStr"/>
      <c r="I902" s="2" t="inlineStr"/>
      <c r="J902" s="2" t="inlineStr"/>
      <c r="K902" s="2" t="inlineStr">
        <is>
          <t>instalação grátis mediante fidelização (não afeta a mensalidade)</t>
        </is>
      </c>
      <c r="L902" s="2" t="inlineStr">
        <is>
          <t>mobile+broadband</t>
        </is>
      </c>
      <c r="M902" s="2" t="inlineStr">
        <is>
          <t>Fiber + Mobile</t>
        </is>
      </c>
      <c r="N902" s="2" t="b">
        <v>1</v>
      </c>
      <c r="O902" s="2" t="b">
        <v>1</v>
      </c>
      <c r="P902" s="2" t="b">
        <v>0</v>
      </c>
      <c r="Q902" s="2" t="b">
        <v>0</v>
      </c>
      <c r="R902" s="4" t="n">
        <v>700</v>
      </c>
      <c r="S902" s="4" t="n">
        <v>240</v>
      </c>
      <c r="T902" s="4" t="n">
        <v>4</v>
      </c>
      <c r="U902" s="2" t="inlineStr"/>
      <c r="V902" s="2" t="inlineStr"/>
      <c r="W902" s="2" t="inlineStr">
        <is>
          <t>Vivo Travel Américas e Europa; 3 linhas adicionais inclusas</t>
        </is>
      </c>
      <c r="X902" s="2" t="inlineStr">
        <is>
          <t>700 Mega de Vivo Fibra</t>
        </is>
      </c>
      <c r="Y902" s="2" t="inlineStr">
        <is>
          <t>https://vivo.com.br/para-voce/produtos-e-servicos/combos/vivo-total</t>
        </is>
      </c>
      <c r="Z902" s="2" t="inlineStr">
        <is>
          <t>data/raw/vivo_convergent_total_SP.html</t>
        </is>
      </c>
    </row>
    <row r="903">
      <c r="A903" s="5" t="inlineStr">
        <is>
          <t>2026-09-08</t>
        </is>
      </c>
      <c r="B903" s="5" t="inlineStr">
        <is>
          <t>2026-09-08T20:09:02</t>
        </is>
      </c>
      <c r="C903" s="5" t="inlineStr">
        <is>
          <t>vivo</t>
        </is>
      </c>
      <c r="D903" s="5" t="inlineStr">
        <is>
          <t>SP</t>
        </is>
      </c>
      <c r="E903" s="5" t="inlineStr">
        <is>
          <t>Vivo Total Família 5</t>
        </is>
      </c>
      <c r="F903" s="5" t="inlineStr">
        <is>
          <t>vivo:VIV202604032372-5-305-316-408-411-426-430-442</t>
        </is>
      </c>
      <c r="G903" s="6" t="n">
        <v>520</v>
      </c>
      <c r="H903" s="6" t="inlineStr"/>
      <c r="I903" s="5" t="inlineStr"/>
      <c r="J903" s="5" t="inlineStr"/>
      <c r="K903" s="5" t="inlineStr">
        <is>
          <t>instalação grátis mediante fidelização (não afeta a mensalidade)</t>
        </is>
      </c>
      <c r="L903" s="5" t="inlineStr">
        <is>
          <t>mobile+broadband</t>
        </is>
      </c>
      <c r="M903" s="5" t="inlineStr">
        <is>
          <t>Fiber + Mobile</t>
        </is>
      </c>
      <c r="N903" s="5" t="b">
        <v>1</v>
      </c>
      <c r="O903" s="5" t="b">
        <v>1</v>
      </c>
      <c r="P903" s="5" t="b">
        <v>0</v>
      </c>
      <c r="Q903" s="5" t="b">
        <v>0</v>
      </c>
      <c r="R903" s="7" t="n">
        <v>700</v>
      </c>
      <c r="S903" s="7" t="n">
        <v>300</v>
      </c>
      <c r="T903" s="7" t="n">
        <v>5</v>
      </c>
      <c r="U903" s="5" t="inlineStr"/>
      <c r="V903" s="5" t="inlineStr"/>
      <c r="W903" s="5" t="inlineStr">
        <is>
          <t>Vivo Travel Américas e Europa; 4 linhas adicionais inclusas</t>
        </is>
      </c>
      <c r="X903" s="5" t="inlineStr">
        <is>
          <t>700 Mega de Vivo Fibra</t>
        </is>
      </c>
      <c r="Y903" s="5" t="inlineStr">
        <is>
          <t>https://vivo.com.br/para-voce/produtos-e-servicos/combos/vivo-total</t>
        </is>
      </c>
      <c r="Z903" s="5" t="inlineStr">
        <is>
          <t>data/raw/vivo_convergent_total_SP.html</t>
        </is>
      </c>
    </row>
    <row r="904">
      <c r="A904" s="2" t="inlineStr">
        <is>
          <t>2026-09-08</t>
        </is>
      </c>
      <c r="B904" s="2" t="inlineStr">
        <is>
          <t>2026-09-08T20:09:02</t>
        </is>
      </c>
      <c r="C904" s="2" t="inlineStr">
        <is>
          <t>vivo</t>
        </is>
      </c>
      <c r="D904" s="2" t="inlineStr">
        <is>
          <t>SP</t>
        </is>
      </c>
      <c r="E904" s="2" t="inlineStr">
        <is>
          <t>Vivo Total Pro</t>
        </is>
      </c>
      <c r="F904" s="2" t="inlineStr">
        <is>
          <t>vivo:VIV202604031772-2-305-308-316-326-342-411-430</t>
        </is>
      </c>
      <c r="G904" s="3" t="n">
        <v>160</v>
      </c>
      <c r="H904" s="3" t="inlineStr"/>
      <c r="I904" s="2" t="inlineStr"/>
      <c r="J904" s="2" t="inlineStr"/>
      <c r="K904" s="2" t="inlineStr">
        <is>
          <t>instalação grátis mediante fidelização (não afeta a mensalidade)</t>
        </is>
      </c>
      <c r="L904" s="2" t="inlineStr">
        <is>
          <t>mobile+broadband</t>
        </is>
      </c>
      <c r="M904" s="2" t="inlineStr">
        <is>
          <t>Fiber + Mobile</t>
        </is>
      </c>
      <c r="N904" s="2" t="b">
        <v>1</v>
      </c>
      <c r="O904" s="2" t="b">
        <v>1</v>
      </c>
      <c r="P904" s="2" t="b">
        <v>0</v>
      </c>
      <c r="Q904" s="2" t="b">
        <v>0</v>
      </c>
      <c r="R904" s="4" t="n">
        <v>500</v>
      </c>
      <c r="S904" s="4" t="n">
        <v>70</v>
      </c>
      <c r="T904" s="4" t="n">
        <v>1</v>
      </c>
      <c r="U904" s="2" t="inlineStr"/>
      <c r="V904" s="2" t="inlineStr"/>
      <c r="W904" s="2" t="inlineStr">
        <is>
          <t>Vivo Travel Américas; 50 GB de franquia + 20 GB de bônus</t>
        </is>
      </c>
      <c r="X904" s="2" t="inlineStr">
        <is>
          <t>500 Mega de Vivo Fibra</t>
        </is>
      </c>
      <c r="Y904" s="2" t="inlineStr">
        <is>
          <t>https://vivo.com.br/para-voce/produtos-e-servicos/combos/vivo-total</t>
        </is>
      </c>
      <c r="Z904" s="2" t="inlineStr">
        <is>
          <t>data/raw/vivo_convergent_total_SP.html</t>
        </is>
      </c>
    </row>
    <row r="905">
      <c r="A905" s="5" t="inlineStr">
        <is>
          <t>2026-09-08</t>
        </is>
      </c>
      <c r="B905" s="5" t="inlineStr">
        <is>
          <t>2026-09-08T20:09:02</t>
        </is>
      </c>
      <c r="C905" s="5" t="inlineStr">
        <is>
          <t>vivo</t>
        </is>
      </c>
      <c r="D905" s="5" t="inlineStr">
        <is>
          <t>SP</t>
        </is>
      </c>
      <c r="E905" s="5" t="inlineStr">
        <is>
          <t>Vivo Total Ultra</t>
        </is>
      </c>
      <c r="F905" s="5" t="inlineStr">
        <is>
          <t>vivo:VIV202604032034-305-313-316-408-411-426-430-442</t>
        </is>
      </c>
      <c r="G905" s="6" t="n">
        <v>190</v>
      </c>
      <c r="H905" s="6" t="inlineStr"/>
      <c r="I905" s="5" t="inlineStr"/>
      <c r="J905" s="5" t="inlineStr"/>
      <c r="K905" s="5" t="inlineStr">
        <is>
          <t>instalação grátis mediante fidelização (não afeta a mensalidade)</t>
        </is>
      </c>
      <c r="L905" s="5" t="inlineStr">
        <is>
          <t>mobile+broadband</t>
        </is>
      </c>
      <c r="M905" s="5" t="inlineStr">
        <is>
          <t>Fiber + Mobile</t>
        </is>
      </c>
      <c r="N905" s="5" t="b">
        <v>1</v>
      </c>
      <c r="O905" s="5" t="b">
        <v>1</v>
      </c>
      <c r="P905" s="5" t="b">
        <v>0</v>
      </c>
      <c r="Q905" s="5" t="b">
        <v>0</v>
      </c>
      <c r="R905" s="7" t="n">
        <v>700</v>
      </c>
      <c r="S905" s="7" t="n">
        <v>80</v>
      </c>
      <c r="T905" s="7" t="n">
        <v>1</v>
      </c>
      <c r="U905" s="5" t="inlineStr"/>
      <c r="V905" s="5" t="inlineStr"/>
      <c r="W905" s="5" t="inlineStr">
        <is>
          <t>Vivo Travel Américas; 70 GB de franquia + 10 GB de bônus</t>
        </is>
      </c>
      <c r="X905" s="5" t="inlineStr">
        <is>
          <t>700 Mega de Vivo Fibra</t>
        </is>
      </c>
      <c r="Y905" s="5" t="inlineStr">
        <is>
          <t>https://vivo.com.br/para-voce/produtos-e-servicos/combos/vivo-total</t>
        </is>
      </c>
      <c r="Z905" s="5" t="inlineStr">
        <is>
          <t>data/raw/vivo_convergent_total_SP.html</t>
        </is>
      </c>
    </row>
    <row r="906">
      <c r="A906" s="2" t="inlineStr">
        <is>
          <t>2026-09-08</t>
        </is>
      </c>
      <c r="B906" s="2" t="inlineStr">
        <is>
          <t>2026-09-08T20:09:02</t>
        </is>
      </c>
      <c r="C906" s="2" t="inlineStr">
        <is>
          <t>vivo</t>
        </is>
      </c>
      <c r="D906" s="2" t="inlineStr">
        <is>
          <t>SP</t>
        </is>
      </c>
      <c r="E906" s="2" t="inlineStr">
        <is>
          <t>Vivo Total Ultra + TV</t>
        </is>
      </c>
      <c r="F906" s="2" t="inlineStr">
        <is>
          <t>vivo:VIV202604031882-9-305-313-316-408-411-426-430-442</t>
        </is>
      </c>
      <c r="G906" s="3" t="n">
        <v>310</v>
      </c>
      <c r="H906" s="3" t="inlineStr"/>
      <c r="I906" s="2" t="inlineStr"/>
      <c r="J906" s="2" t="inlineStr"/>
      <c r="K906" s="2" t="inlineStr">
        <is>
          <t>instalação grátis mediante fidelização (não afeta a mensalidade)</t>
        </is>
      </c>
      <c r="L906" s="2" t="inlineStr">
        <is>
          <t>mobile+broadband+tv</t>
        </is>
      </c>
      <c r="M906" s="2" t="inlineStr">
        <is>
          <t>Fiber + Mobile + TV</t>
        </is>
      </c>
      <c r="N906" s="2" t="b">
        <v>1</v>
      </c>
      <c r="O906" s="2" t="b">
        <v>1</v>
      </c>
      <c r="P906" s="2" t="b">
        <v>1</v>
      </c>
      <c r="Q906" s="2" t="b">
        <v>0</v>
      </c>
      <c r="R906" s="4" t="n">
        <v>700</v>
      </c>
      <c r="S906" s="4" t="n">
        <v>80</v>
      </c>
      <c r="T906" s="4" t="n">
        <v>1</v>
      </c>
      <c r="U906" s="2" t="inlineStr">
        <is>
          <t>120 canais de Vivo TV Avançado + 1 ponto adicional</t>
        </is>
      </c>
      <c r="V906" s="2" t="inlineStr"/>
      <c r="W906" s="2" t="inlineStr">
        <is>
          <t>Vivo Travel Américas; 70 GB de franquia + 10 GB de bônus</t>
        </is>
      </c>
      <c r="X906" s="2" t="inlineStr">
        <is>
          <t>700 Mega de Vivo Fibra</t>
        </is>
      </c>
      <c r="Y906" s="2" t="inlineStr">
        <is>
          <t>https://vivo.com.br/para-voce/produtos-e-servicos/combos/vivo-total</t>
        </is>
      </c>
      <c r="Z906" s="2" t="inlineStr">
        <is>
          <t>data/raw/vivo_convergent_total_SP.html</t>
        </is>
      </c>
    </row>
    <row r="907">
      <c r="A907" s="5" t="inlineStr">
        <is>
          <t>2026-09-08</t>
        </is>
      </c>
      <c r="B907" s="5" t="inlineStr">
        <is>
          <t>2026-09-08T20:09:02</t>
        </is>
      </c>
      <c r="C907" s="5" t="inlineStr">
        <is>
          <t>vivo</t>
        </is>
      </c>
      <c r="D907" s="5" t="inlineStr">
        <is>
          <t>SP</t>
        </is>
      </c>
      <c r="E907" s="5" t="inlineStr">
        <is>
          <t>Vivo Total Ultra + TV online</t>
        </is>
      </c>
      <c r="F907" s="5" t="inlineStr">
        <is>
          <t>vivo:VIV202604032034-305-313-316-336-408-411-426-430-442</t>
        </is>
      </c>
      <c r="G907" s="6" t="n">
        <v>210</v>
      </c>
      <c r="H907" s="6" t="inlineStr"/>
      <c r="I907" s="5" t="inlineStr"/>
      <c r="J907" s="5" t="inlineStr"/>
      <c r="K907" s="5" t="inlineStr">
        <is>
          <t>instalação grátis mediante fidelização (não afeta a mensalidade)</t>
        </is>
      </c>
      <c r="L907" s="5" t="inlineStr">
        <is>
          <t>mobile+broadband+tv</t>
        </is>
      </c>
      <c r="M907" s="5" t="inlineStr">
        <is>
          <t>Fiber + Mobile + TV</t>
        </is>
      </c>
      <c r="N907" s="5" t="b">
        <v>1</v>
      </c>
      <c r="O907" s="5" t="b">
        <v>1</v>
      </c>
      <c r="P907" s="5" t="b">
        <v>1</v>
      </c>
      <c r="Q907" s="5" t="b">
        <v>0</v>
      </c>
      <c r="R907" s="7" t="n">
        <v>700</v>
      </c>
      <c r="S907" s="7" t="n">
        <v>80</v>
      </c>
      <c r="T907" s="7" t="n">
        <v>1</v>
      </c>
      <c r="U907" s="5" t="inlineStr">
        <is>
          <t>80 canais de Vivo Estendido</t>
        </is>
      </c>
      <c r="V907" s="5" t="inlineStr"/>
      <c r="W907" s="5" t="inlineStr">
        <is>
          <t>Vivo Travel Américas; 70 GB de franquia + 10 GB de bônus</t>
        </is>
      </c>
      <c r="X907" s="5" t="inlineStr">
        <is>
          <t>700 Mega de Vivo Fibra</t>
        </is>
      </c>
      <c r="Y907" s="5" t="inlineStr">
        <is>
          <t>https://vivo.com.br/para-voce/produtos-e-servicos/combos/vivo-total</t>
        </is>
      </c>
      <c r="Z907" s="5" t="inlineStr">
        <is>
          <t>data/raw/vivo_convergent_total_SP.html</t>
        </is>
      </c>
    </row>
    <row r="908">
      <c r="A908" s="2" t="inlineStr">
        <is>
          <t>2026-09-08</t>
        </is>
      </c>
      <c r="B908" s="2" t="inlineStr">
        <is>
          <t>2026-09-08T20:09:02</t>
        </is>
      </c>
      <c r="C908" s="2" t="inlineStr">
        <is>
          <t>vivo</t>
        </is>
      </c>
      <c r="D908" s="2" t="inlineStr">
        <is>
          <t>SP</t>
        </is>
      </c>
      <c r="E908" s="2" t="inlineStr">
        <is>
          <t>Vivo Total V 1 Giga</t>
        </is>
      </c>
      <c r="F908" s="2" t="inlineStr">
        <is>
          <t>vivo:VIV202604032532-2-305-316-408-426-430-442</t>
        </is>
      </c>
      <c r="G908" s="3" t="n">
        <v>1200</v>
      </c>
      <c r="H908" s="3" t="inlineStr"/>
      <c r="I908" s="2" t="inlineStr"/>
      <c r="J908" s="2" t="inlineStr"/>
      <c r="K908" s="2" t="inlineStr">
        <is>
          <t>instalação grátis mediante fidelização (não afeta a mensalidade)</t>
        </is>
      </c>
      <c r="L908" s="2" t="inlineStr">
        <is>
          <t>mobile+broadband+tv</t>
        </is>
      </c>
      <c r="M908" s="2" t="inlineStr">
        <is>
          <t>Fiber + Mobile + TV</t>
        </is>
      </c>
      <c r="N908" s="2" t="b">
        <v>1</v>
      </c>
      <c r="O908" s="2" t="b">
        <v>1</v>
      </c>
      <c r="P908" s="2" t="b">
        <v>1</v>
      </c>
      <c r="Q908" s="2" t="b">
        <v>0</v>
      </c>
      <c r="R908" s="4" t="n">
        <v>1000</v>
      </c>
      <c r="S908" s="4" t="n">
        <v>600</v>
      </c>
      <c r="T908" s="4" t="n">
        <v>11</v>
      </c>
      <c r="U908" s="2" t="inlineStr">
        <is>
          <t>Vivo TV Completo com HBO Max e Telecine</t>
        </is>
      </c>
      <c r="V908" s="2" t="inlineStr"/>
      <c r="W908" s="2" t="inlineStr">
        <is>
          <t>Vivo Travel Mundo; 10 linhas adicionais inclusas; Vivo TV Completo com HBO Max e Telecine</t>
        </is>
      </c>
      <c r="X908" s="2" t="inlineStr">
        <is>
          <t>1Giga de Vivo Fibra</t>
        </is>
      </c>
      <c r="Y908" s="2" t="inlineStr">
        <is>
          <t>https://vivo.com.br/para-voce/produtos-e-servicos/combos/vivo-total</t>
        </is>
      </c>
      <c r="Z908" s="2" t="inlineStr">
        <is>
          <t>data/raw/vivo_convergent_total_SP.html</t>
        </is>
      </c>
    </row>
  </sheetData>
  <autoFilter ref="A1:Z90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38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0">
      <c r="A20" s="12" t="n">
        <v>46257</v>
      </c>
      <c r="B20" s="3">
        <f>IFERROR(IF(_xlfn.MINIFS(convergent_history!$G:$G,convergent_history!$C:$C,"tim",convergent_history!$M:$M,"Fiber + Mobile",convergent_history!$A:$A,YEAR($A20)&amp;"-"&amp;TEXT(MONTH($A20),"00")&amp;"-"&amp;TEXT(DAY($A20),"00"))=0,"",_xlfn.MINIFS(convergent_history!$G:$G,convergent_history!$C:$C,"tim",convergent_history!$M:$M,"Fiber + Mobile",convergent_history!$A:$A,YEAR($A20)&amp;"-"&amp;TEXT(MONTH($A20),"00")&amp;"-"&amp;TEXT(DAY($A20),"00"))),"")</f>
        <v>89.99</v>
      </c>
      <c r="C20" s="3">
        <f>IFERROR(IF(_xlfn.MINIFS(convergent_history!$G:$G,convergent_history!$C:$C,"vivo",convergent_history!$M:$M,"Fiber + Mobile",convergent_history!$A:$A,YEAR($A20)&amp;"-"&amp;TEXT(MONTH($A20),"00")&amp;"-"&amp;TEXT(DAY($A20),"00"))=0,"",_xlfn.MINIFS(convergent_history!$G:$G,convergent_history!$C:$C,"vivo",convergent_history!$M:$M,"Fiber + Mobile",convergent_history!$A:$A,YEAR($A20)&amp;"-"&amp;TEXT(MONTH($A20),"00")&amp;"-"&amp;TEXT(DAY($A20),"00"))),"")</f>
        <v>160</v>
      </c>
      <c r="D20" s="3">
        <f>IFERROR(IF(_xlfn.MINIFS(convergent_history!$G:$G,convergent_history!$C:$C,"claro",convergent_history!$M:$M,"Fiber + Mobile",convergent_history!$A:$A,YEAR($A20)&amp;"-"&amp;TEXT(MONTH($A20),"00")&amp;"-"&amp;TEXT(DAY($A20),"00"))=0,"",_xlfn.MINIFS(convergent_history!$G:$G,convergent_history!$C:$C,"claro",convergent_history!$M:$M,"Fiber + Mobile",convergent_history!$A:$A,YEAR($A20)&amp;"-"&amp;TEXT(MONTH($A20),"00")&amp;"-"&amp;TEXT(DAY($A20),"00"))),"")</f>
        <v>129.8</v>
      </c>
    </row>
    <row r="21">
      <c r="A21" s="12" t="n">
        <v>46258</v>
      </c>
      <c r="B21" s="3">
        <f>IFERROR(IF(_xlfn.MINIFS(convergent_history!$G:$G,convergent_history!$C:$C,"tim",convergent_history!$M:$M,"Fiber + Mobile",convergent_history!$A:$A,YEAR($A21)&amp;"-"&amp;TEXT(MONTH($A21),"00")&amp;"-"&amp;TEXT(DAY($A21),"00"))=0,"",_xlfn.MINIFS(convergent_history!$G:$G,convergent_history!$C:$C,"tim",convergent_history!$M:$M,"Fiber + Mobile",convergent_history!$A:$A,YEAR($A21)&amp;"-"&amp;TEXT(MONTH($A21),"00")&amp;"-"&amp;TEXT(DAY($A21),"00"))),"")</f>
        <v>89.99</v>
      </c>
      <c r="C21" s="3">
        <f>IFERROR(IF(_xlfn.MINIFS(convergent_history!$G:$G,convergent_history!$C:$C,"vivo",convergent_history!$M:$M,"Fiber + Mobile",convergent_history!$A:$A,YEAR($A21)&amp;"-"&amp;TEXT(MONTH($A21),"00")&amp;"-"&amp;TEXT(DAY($A21),"00"))=0,"",_xlfn.MINIFS(convergent_history!$G:$G,convergent_history!$C:$C,"vivo",convergent_history!$M:$M,"Fiber + Mobile",convergent_history!$A:$A,YEAR($A21)&amp;"-"&amp;TEXT(MONTH($A21),"00")&amp;"-"&amp;TEXT(DAY($A21),"00"))),"")</f>
        <v>160</v>
      </c>
      <c r="D21" s="3">
        <f>IFERROR(IF(_xlfn.MINIFS(convergent_history!$G:$G,convergent_history!$C:$C,"claro",convergent_history!$M:$M,"Fiber + Mobile",convergent_history!$A:$A,YEAR($A21)&amp;"-"&amp;TEXT(MONTH($A21),"00")&amp;"-"&amp;TEXT(DAY($A21),"00"))=0,"",_xlfn.MINIFS(convergent_history!$G:$G,convergent_history!$C:$C,"claro",convergent_history!$M:$M,"Fiber + Mobile",convergent_history!$A:$A,YEAR($A21)&amp;"-"&amp;TEXT(MONTH($A21),"00")&amp;"-"&amp;TEXT(DAY($A21),"00"))),"")</f>
        <v>129.8</v>
      </c>
    </row>
    <row r="22">
      <c r="A22" s="12" t="n">
        <v>46259</v>
      </c>
      <c r="B22" s="3">
        <f>IFERROR(IF(_xlfn.MINIFS(convergent_history!$G:$G,convergent_history!$C:$C,"tim",convergent_history!$M:$M,"Fiber + Mobile",convergent_history!$A:$A,YEAR($A22)&amp;"-"&amp;TEXT(MONTH($A22),"00")&amp;"-"&amp;TEXT(DAY($A22),"00"))=0,"",_xlfn.MINIFS(convergent_history!$G:$G,convergent_history!$C:$C,"tim",convergent_history!$M:$M,"Fiber + Mobile",convergent_history!$A:$A,YEAR($A22)&amp;"-"&amp;TEXT(MONTH($A22),"00")&amp;"-"&amp;TEXT(DAY($A22),"00"))),"")</f>
        <v>89.99</v>
      </c>
      <c r="C22" s="3">
        <f>IFERROR(IF(_xlfn.MINIFS(convergent_history!$G:$G,convergent_history!$C:$C,"vivo",convergent_history!$M:$M,"Fiber + Mobile",convergent_history!$A:$A,YEAR($A22)&amp;"-"&amp;TEXT(MONTH($A22),"00")&amp;"-"&amp;TEXT(DAY($A22),"00"))=0,"",_xlfn.MINIFS(convergent_history!$G:$G,convergent_history!$C:$C,"vivo",convergent_history!$M:$M,"Fiber + Mobile",convergent_history!$A:$A,YEAR($A22)&amp;"-"&amp;TEXT(MONTH($A22),"00")&amp;"-"&amp;TEXT(DAY($A22),"00"))),"")</f>
        <v>160</v>
      </c>
      <c r="D22" s="3">
        <f>IFERROR(IF(_xlfn.MINIFS(convergent_history!$G:$G,convergent_history!$C:$C,"claro",convergent_history!$M:$M,"Fiber + Mobile",convergent_history!$A:$A,YEAR($A22)&amp;"-"&amp;TEXT(MONTH($A22),"00")&amp;"-"&amp;TEXT(DAY($A22),"00"))=0,"",_xlfn.MINIFS(convergent_history!$G:$G,convergent_history!$C:$C,"claro",convergent_history!$M:$M,"Fiber + Mobile",convergent_history!$A:$A,YEAR($A22)&amp;"-"&amp;TEXT(MONTH($A22),"00")&amp;"-"&amp;TEXT(DAY($A22),"00"))),"")</f>
        <v>129.8</v>
      </c>
    </row>
    <row r="23">
      <c r="A23" s="12" t="n">
        <v>46260</v>
      </c>
      <c r="B23" s="3">
        <f>IFERROR(IF(_xlfn.MINIFS(convergent_history!$G:$G,convergent_history!$C:$C,"tim",convergent_history!$M:$M,"Fiber + Mobile",convergent_history!$A:$A,YEAR($A23)&amp;"-"&amp;TEXT(MONTH($A23),"00")&amp;"-"&amp;TEXT(DAY($A23),"00"))=0,"",_xlfn.MINIFS(convergent_history!$G:$G,convergent_history!$C:$C,"tim",convergent_history!$M:$M,"Fiber + Mobile",convergent_history!$A:$A,YEAR($A23)&amp;"-"&amp;TEXT(MONTH($A23),"00")&amp;"-"&amp;TEXT(DAY($A23),"00"))),"")</f>
        <v>89.99</v>
      </c>
      <c r="C23" s="3">
        <f>IFERROR(IF(_xlfn.MINIFS(convergent_history!$G:$G,convergent_history!$C:$C,"vivo",convergent_history!$M:$M,"Fiber + Mobile",convergent_history!$A:$A,YEAR($A23)&amp;"-"&amp;TEXT(MONTH($A23),"00")&amp;"-"&amp;TEXT(DAY($A23),"00"))=0,"",_xlfn.MINIFS(convergent_history!$G:$G,convergent_history!$C:$C,"vivo",convergent_history!$M:$M,"Fiber + Mobile",convergent_history!$A:$A,YEAR($A23)&amp;"-"&amp;TEXT(MONTH($A23),"00")&amp;"-"&amp;TEXT(DAY($A23),"00"))),"")</f>
        <v>160</v>
      </c>
      <c r="D23" s="3">
        <f>IFERROR(IF(_xlfn.MINIFS(convergent_history!$G:$G,convergent_history!$C:$C,"claro",convergent_history!$M:$M,"Fiber + Mobile",convergent_history!$A:$A,YEAR($A23)&amp;"-"&amp;TEXT(MONTH($A23),"00")&amp;"-"&amp;TEXT(DAY($A23),"00"))=0,"",_xlfn.MINIFS(convergent_history!$G:$G,convergent_history!$C:$C,"claro",convergent_history!$M:$M,"Fiber + Mobile",convergent_history!$A:$A,YEAR($A23)&amp;"-"&amp;TEXT(MONTH($A23),"00")&amp;"-"&amp;TEXT(DAY($A23),"00"))),"")</f>
        <v>129.8</v>
      </c>
    </row>
    <row r="24">
      <c r="A24" s="12" t="n">
        <v>46261</v>
      </c>
      <c r="B24" s="3">
        <f>IFERROR(IF(_xlfn.MINIFS(convergent_history!$G:$G,convergent_history!$C:$C,"tim",convergent_history!$M:$M,"Fiber + Mobile",convergent_history!$A:$A,YEAR($A24)&amp;"-"&amp;TEXT(MONTH($A24),"00")&amp;"-"&amp;TEXT(DAY($A24),"00"))=0,"",_xlfn.MINIFS(convergent_history!$G:$G,convergent_history!$C:$C,"tim",convergent_history!$M:$M,"Fiber + Mobile",convergent_history!$A:$A,YEAR($A24)&amp;"-"&amp;TEXT(MONTH($A24),"00")&amp;"-"&amp;TEXT(DAY($A24),"00"))),"")</f>
        <v>89.99</v>
      </c>
      <c r="C24" s="3">
        <f>IFERROR(IF(_xlfn.MINIFS(convergent_history!$G:$G,convergent_history!$C:$C,"vivo",convergent_history!$M:$M,"Fiber + Mobile",convergent_history!$A:$A,YEAR($A24)&amp;"-"&amp;TEXT(MONTH($A24),"00")&amp;"-"&amp;TEXT(DAY($A24),"00"))=0,"",_xlfn.MINIFS(convergent_history!$G:$G,convergent_history!$C:$C,"vivo",convergent_history!$M:$M,"Fiber + Mobile",convergent_history!$A:$A,YEAR($A24)&amp;"-"&amp;TEXT(MONTH($A24),"00")&amp;"-"&amp;TEXT(DAY($A24),"00"))),"")</f>
        <v>160</v>
      </c>
      <c r="D24" s="3">
        <f>IFERROR(IF(_xlfn.MINIFS(convergent_history!$G:$G,convergent_history!$C:$C,"claro",convergent_history!$M:$M,"Fiber + Mobile",convergent_history!$A:$A,YEAR($A24)&amp;"-"&amp;TEXT(MONTH($A24),"00")&amp;"-"&amp;TEXT(DAY($A24),"00"))=0,"",_xlfn.MINIFS(convergent_history!$G:$G,convergent_history!$C:$C,"claro",convergent_history!$M:$M,"Fiber + Mobile",convergent_history!$A:$A,YEAR($A24)&amp;"-"&amp;TEXT(MONTH($A24),"00")&amp;"-"&amp;TEXT(DAY($A24),"00"))),"")</f>
        <v>129.8</v>
      </c>
    </row>
    <row r="25">
      <c r="A25" s="12" t="n">
        <v>46262</v>
      </c>
      <c r="B25" s="3">
        <f>IFERROR(IF(_xlfn.MINIFS(convergent_history!$G:$G,convergent_history!$C:$C,"tim",convergent_history!$M:$M,"Fiber + Mobile",convergent_history!$A:$A,YEAR($A25)&amp;"-"&amp;TEXT(MONTH($A25),"00")&amp;"-"&amp;TEXT(DAY($A25),"00"))=0,"",_xlfn.MINIFS(convergent_history!$G:$G,convergent_history!$C:$C,"tim",convergent_history!$M:$M,"Fiber + Mobile",convergent_history!$A:$A,YEAR($A25)&amp;"-"&amp;TEXT(MONTH($A25),"00")&amp;"-"&amp;TEXT(DAY($A25),"00"))),"")</f>
        <v>89.99</v>
      </c>
      <c r="C25" s="3">
        <f>IFERROR(IF(_xlfn.MINIFS(convergent_history!$G:$G,convergent_history!$C:$C,"vivo",convergent_history!$M:$M,"Fiber + Mobile",convergent_history!$A:$A,YEAR($A25)&amp;"-"&amp;TEXT(MONTH($A25),"00")&amp;"-"&amp;TEXT(DAY($A25),"00"))=0,"",_xlfn.MINIFS(convergent_history!$G:$G,convergent_history!$C:$C,"vivo",convergent_history!$M:$M,"Fiber + Mobile",convergent_history!$A:$A,YEAR($A25)&amp;"-"&amp;TEXT(MONTH($A25),"00")&amp;"-"&amp;TEXT(DAY($A25),"00"))),"")</f>
        <v>160</v>
      </c>
      <c r="D25" s="3">
        <f>IFERROR(IF(_xlfn.MINIFS(convergent_history!$G:$G,convergent_history!$C:$C,"claro",convergent_history!$M:$M,"Fiber + Mobile",convergent_history!$A:$A,YEAR($A25)&amp;"-"&amp;TEXT(MONTH($A25),"00")&amp;"-"&amp;TEXT(DAY($A25),"00"))=0,"",_xlfn.MINIFS(convergent_history!$G:$G,convergent_history!$C:$C,"claro",convergent_history!$M:$M,"Fiber + Mobile",convergent_history!$A:$A,YEAR($A25)&amp;"-"&amp;TEXT(MONTH($A25),"00")&amp;"-"&amp;TEXT(DAY($A25),"00"))),"")</f>
        <v>129.8</v>
      </c>
    </row>
    <row r="26">
      <c r="A26" s="12" t="n">
        <v>46263</v>
      </c>
      <c r="B26" s="3">
        <f>IFERROR(IF(_xlfn.MINIFS(convergent_history!$G:$G,convergent_history!$C:$C,"tim",convergent_history!$M:$M,"Fiber + Mobile",convergent_history!$A:$A,YEAR($A26)&amp;"-"&amp;TEXT(MONTH($A26),"00")&amp;"-"&amp;TEXT(DAY($A26),"00"))=0,"",_xlfn.MINIFS(convergent_history!$G:$G,convergent_history!$C:$C,"tim",convergent_history!$M:$M,"Fiber + Mobile",convergent_history!$A:$A,YEAR($A26)&amp;"-"&amp;TEXT(MONTH($A26),"00")&amp;"-"&amp;TEXT(DAY($A26),"00"))),"")</f>
        <v>89.99</v>
      </c>
      <c r="C26" s="3">
        <f>IFERROR(IF(_xlfn.MINIFS(convergent_history!$G:$G,convergent_history!$C:$C,"vivo",convergent_history!$M:$M,"Fiber + Mobile",convergent_history!$A:$A,YEAR($A26)&amp;"-"&amp;TEXT(MONTH($A26),"00")&amp;"-"&amp;TEXT(DAY($A26),"00"))=0,"",_xlfn.MINIFS(convergent_history!$G:$G,convergent_history!$C:$C,"vivo",convergent_history!$M:$M,"Fiber + Mobile",convergent_history!$A:$A,YEAR($A26)&amp;"-"&amp;TEXT(MONTH($A26),"00")&amp;"-"&amp;TEXT(DAY($A26),"00"))),"")</f>
        <v>160</v>
      </c>
      <c r="D26" s="3">
        <f>IFERROR(IF(_xlfn.MINIFS(convergent_history!$G:$G,convergent_history!$C:$C,"claro",convergent_history!$M:$M,"Fiber + Mobile",convergent_history!$A:$A,YEAR($A26)&amp;"-"&amp;TEXT(MONTH($A26),"00")&amp;"-"&amp;TEXT(DAY($A26),"00"))=0,"",_xlfn.MINIFS(convergent_history!$G:$G,convergent_history!$C:$C,"claro",convergent_history!$M:$M,"Fiber + Mobile",convergent_history!$A:$A,YEAR($A26)&amp;"-"&amp;TEXT(MONTH($A26),"00")&amp;"-"&amp;TEXT(DAY($A26),"00"))),"")</f>
        <v>129.8</v>
      </c>
    </row>
    <row r="27">
      <c r="A27" s="12" t="n">
        <v>46264</v>
      </c>
      <c r="B27" s="3">
        <f>IFERROR(IF(_xlfn.MINIFS(convergent_history!$G:$G,convergent_history!$C:$C,"tim",convergent_history!$M:$M,"Fiber + Mobile",convergent_history!$A:$A,YEAR($A27)&amp;"-"&amp;TEXT(MONTH($A27),"00")&amp;"-"&amp;TEXT(DAY($A27),"00"))=0,"",_xlfn.MINIFS(convergent_history!$G:$G,convergent_history!$C:$C,"tim",convergent_history!$M:$M,"Fiber + Mobile",convergent_history!$A:$A,YEAR($A27)&amp;"-"&amp;TEXT(MONTH($A27),"00")&amp;"-"&amp;TEXT(DAY($A27),"00"))),"")</f>
        <v>89.99</v>
      </c>
      <c r="C27" s="3">
        <f>IFERROR(IF(_xlfn.MINIFS(convergent_history!$G:$G,convergent_history!$C:$C,"vivo",convergent_history!$M:$M,"Fiber + Mobile",convergent_history!$A:$A,YEAR($A27)&amp;"-"&amp;TEXT(MONTH($A27),"00")&amp;"-"&amp;TEXT(DAY($A27),"00"))=0,"",_xlfn.MINIFS(convergent_history!$G:$G,convergent_history!$C:$C,"vivo",convergent_history!$M:$M,"Fiber + Mobile",convergent_history!$A:$A,YEAR($A27)&amp;"-"&amp;TEXT(MONTH($A27),"00")&amp;"-"&amp;TEXT(DAY($A27),"00"))),"")</f>
        <v>160</v>
      </c>
      <c r="D27" s="3">
        <f>IFERROR(IF(_xlfn.MINIFS(convergent_history!$G:$G,convergent_history!$C:$C,"claro",convergent_history!$M:$M,"Fiber + Mobile",convergent_history!$A:$A,YEAR($A27)&amp;"-"&amp;TEXT(MONTH($A27),"00")&amp;"-"&amp;TEXT(DAY($A27),"00"))=0,"",_xlfn.MINIFS(convergent_history!$G:$G,convergent_history!$C:$C,"claro",convergent_history!$M:$M,"Fiber + Mobile",convergent_history!$A:$A,YEAR($A27)&amp;"-"&amp;TEXT(MONTH($A27),"00")&amp;"-"&amp;TEXT(DAY($A27),"00"))),"")</f>
        <v>129.8</v>
      </c>
    </row>
    <row r="28">
      <c r="A28" s="12" t="n">
        <v>46265</v>
      </c>
      <c r="B28" s="3">
        <f>IFERROR(IF(_xlfn.MINIFS(convergent_history!$G:$G,convergent_history!$C:$C,"tim",convergent_history!$M:$M,"Fiber + Mobile",convergent_history!$A:$A,YEAR($A28)&amp;"-"&amp;TEXT(MONTH($A28),"00")&amp;"-"&amp;TEXT(DAY($A28),"00"))=0,"",_xlfn.MINIFS(convergent_history!$G:$G,convergent_history!$C:$C,"tim",convergent_history!$M:$M,"Fiber + Mobile",convergent_history!$A:$A,YEAR($A28)&amp;"-"&amp;TEXT(MONTH($A28),"00")&amp;"-"&amp;TEXT(DAY($A28),"00"))),"")</f>
        <v>89.99</v>
      </c>
      <c r="C28" s="3">
        <f>IFERROR(IF(_xlfn.MINIFS(convergent_history!$G:$G,convergent_history!$C:$C,"vivo",convergent_history!$M:$M,"Fiber + Mobile",convergent_history!$A:$A,YEAR($A28)&amp;"-"&amp;TEXT(MONTH($A28),"00")&amp;"-"&amp;TEXT(DAY($A28),"00"))=0,"",_xlfn.MINIFS(convergent_history!$G:$G,convergent_history!$C:$C,"vivo",convergent_history!$M:$M,"Fiber + Mobile",convergent_history!$A:$A,YEAR($A28)&amp;"-"&amp;TEXT(MONTH($A28),"00")&amp;"-"&amp;TEXT(DAY($A28),"00"))),"")</f>
        <v>160</v>
      </c>
      <c r="D28" s="3">
        <f>IFERROR(IF(_xlfn.MINIFS(convergent_history!$G:$G,convergent_history!$C:$C,"claro",convergent_history!$M:$M,"Fiber + Mobile",convergent_history!$A:$A,YEAR($A28)&amp;"-"&amp;TEXT(MONTH($A28),"00")&amp;"-"&amp;TEXT(DAY($A28),"00"))=0,"",_xlfn.MINIFS(convergent_history!$G:$G,convergent_history!$C:$C,"claro",convergent_history!$M:$M,"Fiber + Mobile",convergent_history!$A:$A,YEAR($A28)&amp;"-"&amp;TEXT(MONTH($A28),"00")&amp;"-"&amp;TEXT(DAY($A28),"00"))),"")</f>
        <v>129.8</v>
      </c>
    </row>
    <row r="29">
      <c r="A29" s="12" t="n">
        <v>46266</v>
      </c>
      <c r="B29" s="3">
        <f>IFERROR(IF(_xlfn.MINIFS(convergent_history!$G:$G,convergent_history!$C:$C,"tim",convergent_history!$M:$M,"Fiber + Mobile",convergent_history!$A:$A,YEAR($A29)&amp;"-"&amp;TEXT(MONTH($A29),"00")&amp;"-"&amp;TEXT(DAY($A29),"00"))=0,"",_xlfn.MINIFS(convergent_history!$G:$G,convergent_history!$C:$C,"tim",convergent_history!$M:$M,"Fiber + Mobile",convergent_history!$A:$A,YEAR($A29)&amp;"-"&amp;TEXT(MONTH($A29),"00")&amp;"-"&amp;TEXT(DAY($A29),"00"))),"")</f>
        <v>89.99</v>
      </c>
      <c r="C29" s="3">
        <f>IFERROR(IF(_xlfn.MINIFS(convergent_history!$G:$G,convergent_history!$C:$C,"vivo",convergent_history!$M:$M,"Fiber + Mobile",convergent_history!$A:$A,YEAR($A29)&amp;"-"&amp;TEXT(MONTH($A29),"00")&amp;"-"&amp;TEXT(DAY($A29),"00"))=0,"",_xlfn.MINIFS(convergent_history!$G:$G,convergent_history!$C:$C,"vivo",convergent_history!$M:$M,"Fiber + Mobile",convergent_history!$A:$A,YEAR($A29)&amp;"-"&amp;TEXT(MONTH($A29),"00")&amp;"-"&amp;TEXT(DAY($A29),"00"))),"")</f>
        <v>160</v>
      </c>
      <c r="D29" s="3">
        <f>IFERROR(IF(_xlfn.MINIFS(convergent_history!$G:$G,convergent_history!$C:$C,"claro",convergent_history!$M:$M,"Fiber + Mobile",convergent_history!$A:$A,YEAR($A29)&amp;"-"&amp;TEXT(MONTH($A29),"00")&amp;"-"&amp;TEXT(DAY($A29),"00"))=0,"",_xlfn.MINIFS(convergent_history!$G:$G,convergent_history!$C:$C,"claro",convergent_history!$M:$M,"Fiber + Mobile",convergent_history!$A:$A,YEAR($A29)&amp;"-"&amp;TEXT(MONTH($A29),"00")&amp;"-"&amp;TEXT(DAY($A29),"00"))),"")</f>
        <v>129.8</v>
      </c>
    </row>
    <row r="30">
      <c r="A30" s="12" t="n">
        <v>46267</v>
      </c>
      <c r="B30" s="3">
        <f>IFERROR(IF(_xlfn.MINIFS(convergent_history!$G:$G,convergent_history!$C:$C,"tim",convergent_history!$M:$M,"Fiber + Mobile",convergent_history!$A:$A,YEAR($A30)&amp;"-"&amp;TEXT(MONTH($A30),"00")&amp;"-"&amp;TEXT(DAY($A30),"00"))=0,"",_xlfn.MINIFS(convergent_history!$G:$G,convergent_history!$C:$C,"tim",convergent_history!$M:$M,"Fiber + Mobile",convergent_history!$A:$A,YEAR($A30)&amp;"-"&amp;TEXT(MONTH($A30),"00")&amp;"-"&amp;TEXT(DAY($A30),"00"))),"")</f>
        <v>89.99</v>
      </c>
      <c r="C30" s="3">
        <f>IFERROR(IF(_xlfn.MINIFS(convergent_history!$G:$G,convergent_history!$C:$C,"vivo",convergent_history!$M:$M,"Fiber + Mobile",convergent_history!$A:$A,YEAR($A30)&amp;"-"&amp;TEXT(MONTH($A30),"00")&amp;"-"&amp;TEXT(DAY($A30),"00"))=0,"",_xlfn.MINIFS(convergent_history!$G:$G,convergent_history!$C:$C,"vivo",convergent_history!$M:$M,"Fiber + Mobile",convergent_history!$A:$A,YEAR($A30)&amp;"-"&amp;TEXT(MONTH($A30),"00")&amp;"-"&amp;TEXT(DAY($A30),"00"))),"")</f>
        <v>160</v>
      </c>
      <c r="D30" s="3">
        <f>IFERROR(IF(_xlfn.MINIFS(convergent_history!$G:$G,convergent_history!$C:$C,"claro",convergent_history!$M:$M,"Fiber + Mobile",convergent_history!$A:$A,YEAR($A30)&amp;"-"&amp;TEXT(MONTH($A30),"00")&amp;"-"&amp;TEXT(DAY($A30),"00"))=0,"",_xlfn.MINIFS(convergent_history!$G:$G,convergent_history!$C:$C,"claro",convergent_history!$M:$M,"Fiber + Mobile",convergent_history!$A:$A,YEAR($A30)&amp;"-"&amp;TEXT(MONTH($A30),"00")&amp;"-"&amp;TEXT(DAY($A30),"00"))),"")</f>
        <v>129.8</v>
      </c>
    </row>
    <row r="31">
      <c r="A31" s="12" t="n">
        <v>46268</v>
      </c>
      <c r="B31" s="3">
        <f>IFERROR(IF(_xlfn.MINIFS(convergent_history!$G:$G,convergent_history!$C:$C,"tim",convergent_history!$M:$M,"Fiber + Mobile",convergent_history!$A:$A,YEAR($A31)&amp;"-"&amp;TEXT(MONTH($A31),"00")&amp;"-"&amp;TEXT(DAY($A31),"00"))=0,"",_xlfn.MINIFS(convergent_history!$G:$G,convergent_history!$C:$C,"tim",convergent_history!$M:$M,"Fiber + Mobile",convergent_history!$A:$A,YEAR($A31)&amp;"-"&amp;TEXT(MONTH($A31),"00")&amp;"-"&amp;TEXT(DAY($A31),"00"))),"")</f>
        <v>89.99</v>
      </c>
      <c r="C31" s="3">
        <f>IFERROR(IF(_xlfn.MINIFS(convergent_history!$G:$G,convergent_history!$C:$C,"vivo",convergent_history!$M:$M,"Fiber + Mobile",convergent_history!$A:$A,YEAR($A31)&amp;"-"&amp;TEXT(MONTH($A31),"00")&amp;"-"&amp;TEXT(DAY($A31),"00"))=0,"",_xlfn.MINIFS(convergent_history!$G:$G,convergent_history!$C:$C,"vivo",convergent_history!$M:$M,"Fiber + Mobile",convergent_history!$A:$A,YEAR($A31)&amp;"-"&amp;TEXT(MONTH($A31),"00")&amp;"-"&amp;TEXT(DAY($A31),"00"))),"")</f>
        <v>160</v>
      </c>
      <c r="D31" s="3">
        <f>IFERROR(IF(_xlfn.MINIFS(convergent_history!$G:$G,convergent_history!$C:$C,"claro",convergent_history!$M:$M,"Fiber + Mobile",convergent_history!$A:$A,YEAR($A31)&amp;"-"&amp;TEXT(MONTH($A31),"00")&amp;"-"&amp;TEXT(DAY($A31),"00"))=0,"",_xlfn.MINIFS(convergent_history!$G:$G,convergent_history!$C:$C,"claro",convergent_history!$M:$M,"Fiber + Mobile",convergent_history!$A:$A,YEAR($A31)&amp;"-"&amp;TEXT(MONTH($A31),"00")&amp;"-"&amp;TEXT(DAY($A31),"00"))),"")</f>
        <v>129.8</v>
      </c>
    </row>
    <row r="32">
      <c r="A32" s="12" t="n">
        <v>46269</v>
      </c>
      <c r="B32" s="3">
        <f>IFERROR(IF(_xlfn.MINIFS(convergent_history!$G:$G,convergent_history!$C:$C,"tim",convergent_history!$M:$M,"Fiber + Mobile",convergent_history!$A:$A,YEAR($A32)&amp;"-"&amp;TEXT(MONTH($A32),"00")&amp;"-"&amp;TEXT(DAY($A32),"00"))=0,"",_xlfn.MINIFS(convergent_history!$G:$G,convergent_history!$C:$C,"tim",convergent_history!$M:$M,"Fiber + Mobile",convergent_history!$A:$A,YEAR($A32)&amp;"-"&amp;TEXT(MONTH($A32),"00")&amp;"-"&amp;TEXT(DAY($A32),"00"))),"")</f>
        <v>89.99</v>
      </c>
      <c r="C32" s="3">
        <f>IFERROR(IF(_xlfn.MINIFS(convergent_history!$G:$G,convergent_history!$C:$C,"vivo",convergent_history!$M:$M,"Fiber + Mobile",convergent_history!$A:$A,YEAR($A32)&amp;"-"&amp;TEXT(MONTH($A32),"00")&amp;"-"&amp;TEXT(DAY($A32),"00"))=0,"",_xlfn.MINIFS(convergent_history!$G:$G,convergent_history!$C:$C,"vivo",convergent_history!$M:$M,"Fiber + Mobile",convergent_history!$A:$A,YEAR($A32)&amp;"-"&amp;TEXT(MONTH($A32),"00")&amp;"-"&amp;TEXT(DAY($A32),"00"))),"")</f>
        <v>160</v>
      </c>
      <c r="D32" s="3">
        <f>IFERROR(IF(_xlfn.MINIFS(convergent_history!$G:$G,convergent_history!$C:$C,"claro",convergent_history!$M:$M,"Fiber + Mobile",convergent_history!$A:$A,YEAR($A32)&amp;"-"&amp;TEXT(MONTH($A32),"00")&amp;"-"&amp;TEXT(DAY($A32),"00"))=0,"",_xlfn.MINIFS(convergent_history!$G:$G,convergent_history!$C:$C,"claro",convergent_history!$M:$M,"Fiber + Mobile",convergent_history!$A:$A,YEAR($A32)&amp;"-"&amp;TEXT(MONTH($A32),"00")&amp;"-"&amp;TEXT(DAY($A32),"00"))),"")</f>
        <v>129.8</v>
      </c>
    </row>
    <row r="33">
      <c r="A33" s="12" t="n">
        <v>46270</v>
      </c>
      <c r="B33" s="3">
        <f>IFERROR(IF(_xlfn.MINIFS(convergent_history!$G:$G,convergent_history!$C:$C,"tim",convergent_history!$M:$M,"Fiber + Mobile",convergent_history!$A:$A,YEAR($A33)&amp;"-"&amp;TEXT(MONTH($A33),"00")&amp;"-"&amp;TEXT(DAY($A33),"00"))=0,"",_xlfn.MINIFS(convergent_history!$G:$G,convergent_history!$C:$C,"tim",convergent_history!$M:$M,"Fiber + Mobile",convergent_history!$A:$A,YEAR($A33)&amp;"-"&amp;TEXT(MONTH($A33),"00")&amp;"-"&amp;TEXT(DAY($A33),"00"))),"")</f>
        <v>89.99</v>
      </c>
      <c r="C33" s="3">
        <f>IFERROR(IF(_xlfn.MINIFS(convergent_history!$G:$G,convergent_history!$C:$C,"vivo",convergent_history!$M:$M,"Fiber + Mobile",convergent_history!$A:$A,YEAR($A33)&amp;"-"&amp;TEXT(MONTH($A33),"00")&amp;"-"&amp;TEXT(DAY($A33),"00"))=0,"",_xlfn.MINIFS(convergent_history!$G:$G,convergent_history!$C:$C,"vivo",convergent_history!$M:$M,"Fiber + Mobile",convergent_history!$A:$A,YEAR($A33)&amp;"-"&amp;TEXT(MONTH($A33),"00")&amp;"-"&amp;TEXT(DAY($A33),"00"))),"")</f>
        <v>160</v>
      </c>
      <c r="D33" s="3">
        <f>IFERROR(IF(_xlfn.MINIFS(convergent_history!$G:$G,convergent_history!$C:$C,"claro",convergent_history!$M:$M,"Fiber + Mobile",convergent_history!$A:$A,YEAR($A33)&amp;"-"&amp;TEXT(MONTH($A33),"00")&amp;"-"&amp;TEXT(DAY($A33),"00"))=0,"",_xlfn.MINIFS(convergent_history!$G:$G,convergent_history!$C:$C,"claro",convergent_history!$M:$M,"Fiber + Mobile",convergent_history!$A:$A,YEAR($A33)&amp;"-"&amp;TEXT(MONTH($A33),"00")&amp;"-"&amp;TEXT(DAY($A33),"00"))),"")</f>
        <v>129.8</v>
      </c>
    </row>
    <row r="34">
      <c r="A34" s="12" t="n">
        <v>46271</v>
      </c>
      <c r="B34" s="3">
        <f>IFERROR(IF(_xlfn.MINIFS(convergent_history!$G:$G,convergent_history!$C:$C,"tim",convergent_history!$M:$M,"Fiber + Mobile",convergent_history!$A:$A,YEAR($A34)&amp;"-"&amp;TEXT(MONTH($A34),"00")&amp;"-"&amp;TEXT(DAY($A34),"00"))=0,"",_xlfn.MINIFS(convergent_history!$G:$G,convergent_history!$C:$C,"tim",convergent_history!$M:$M,"Fiber + Mobile",convergent_history!$A:$A,YEAR($A34)&amp;"-"&amp;TEXT(MONTH($A34),"00")&amp;"-"&amp;TEXT(DAY($A34),"00"))),"")</f>
        <v>89.99</v>
      </c>
      <c r="C34" s="3">
        <f>IFERROR(IF(_xlfn.MINIFS(convergent_history!$G:$G,convergent_history!$C:$C,"vivo",convergent_history!$M:$M,"Fiber + Mobile",convergent_history!$A:$A,YEAR($A34)&amp;"-"&amp;TEXT(MONTH($A34),"00")&amp;"-"&amp;TEXT(DAY($A34),"00"))=0,"",_xlfn.MINIFS(convergent_history!$G:$G,convergent_history!$C:$C,"vivo",convergent_history!$M:$M,"Fiber + Mobile",convergent_history!$A:$A,YEAR($A34)&amp;"-"&amp;TEXT(MONTH($A34),"00")&amp;"-"&amp;TEXT(DAY($A34),"00"))),"")</f>
        <v>160</v>
      </c>
      <c r="D34" s="3">
        <f>IFERROR(IF(_xlfn.MINIFS(convergent_history!$G:$G,convergent_history!$C:$C,"claro",convergent_history!$M:$M,"Fiber + Mobile",convergent_history!$A:$A,YEAR($A34)&amp;"-"&amp;TEXT(MONTH($A34),"00")&amp;"-"&amp;TEXT(DAY($A34),"00"))=0,"",_xlfn.MINIFS(convergent_history!$G:$G,convergent_history!$C:$C,"claro",convergent_history!$M:$M,"Fiber + Mobile",convergent_history!$A:$A,YEAR($A34)&amp;"-"&amp;TEXT(MONTH($A34),"00")&amp;"-"&amp;TEXT(DAY($A34),"00"))),"")</f>
        <v/>
      </c>
    </row>
    <row r="35">
      <c r="A35" s="12" t="n">
        <v>46272</v>
      </c>
      <c r="B35" s="3">
        <f>IFERROR(IF(_xlfn.MINIFS(convergent_history!$G:$G,convergent_history!$C:$C,"tim",convergent_history!$M:$M,"Fiber + Mobile",convergent_history!$A:$A,YEAR($A35)&amp;"-"&amp;TEXT(MONTH($A35),"00")&amp;"-"&amp;TEXT(DAY($A35),"00"))=0,"",_xlfn.MINIFS(convergent_history!$G:$G,convergent_history!$C:$C,"tim",convergent_history!$M:$M,"Fiber + Mobile",convergent_history!$A:$A,YEAR($A35)&amp;"-"&amp;TEXT(MONTH($A35),"00")&amp;"-"&amp;TEXT(DAY($A35),"00"))),"")</f>
        <v>89.99</v>
      </c>
      <c r="C35" s="3">
        <f>IFERROR(IF(_xlfn.MINIFS(convergent_history!$G:$G,convergent_history!$C:$C,"vivo",convergent_history!$M:$M,"Fiber + Mobile",convergent_history!$A:$A,YEAR($A35)&amp;"-"&amp;TEXT(MONTH($A35),"00")&amp;"-"&amp;TEXT(DAY($A35),"00"))=0,"",_xlfn.MINIFS(convergent_history!$G:$G,convergent_history!$C:$C,"vivo",convergent_history!$M:$M,"Fiber + Mobile",convergent_history!$A:$A,YEAR($A35)&amp;"-"&amp;TEXT(MONTH($A35),"00")&amp;"-"&amp;TEXT(DAY($A35),"00"))),"")</f>
        <v>160</v>
      </c>
      <c r="D35" s="3">
        <f>IFERROR(IF(_xlfn.MINIFS(convergent_history!$G:$G,convergent_history!$C:$C,"claro",convergent_history!$M:$M,"Fiber + Mobile",convergent_history!$A:$A,YEAR($A35)&amp;"-"&amp;TEXT(MONTH($A35),"00")&amp;"-"&amp;TEXT(DAY($A35),"00"))=0,"",_xlfn.MINIFS(convergent_history!$G:$G,convergent_history!$C:$C,"claro",convergent_history!$M:$M,"Fiber + Mobile",convergent_history!$A:$A,YEAR($A35)&amp;"-"&amp;TEXT(MONTH($A35),"00")&amp;"-"&amp;TEXT(DAY($A35),"00"))),"")</f>
        <v>129.8</v>
      </c>
    </row>
    <row r="36">
      <c r="A36" s="12" t="n">
        <v>46273</v>
      </c>
      <c r="B36" s="3">
        <f>IFERROR(IF(_xlfn.MINIFS(convergent_history!$G:$G,convergent_history!$C:$C,"tim",convergent_history!$M:$M,"Fiber + Mobile",convergent_history!$A:$A,YEAR($A36)&amp;"-"&amp;TEXT(MONTH($A36),"00")&amp;"-"&amp;TEXT(DAY($A36),"00"))=0,"",_xlfn.MINIFS(convergent_history!$G:$G,convergent_history!$C:$C,"tim",convergent_history!$M:$M,"Fiber + Mobile",convergent_history!$A:$A,YEAR($A36)&amp;"-"&amp;TEXT(MONTH($A36),"00")&amp;"-"&amp;TEXT(DAY($A36),"00"))),"")</f>
        <v>89.99</v>
      </c>
      <c r="C36" s="3">
        <f>IFERROR(IF(_xlfn.MINIFS(convergent_history!$G:$G,convergent_history!$C:$C,"vivo",convergent_history!$M:$M,"Fiber + Mobile",convergent_history!$A:$A,YEAR($A36)&amp;"-"&amp;TEXT(MONTH($A36),"00")&amp;"-"&amp;TEXT(DAY($A36),"00"))=0,"",_xlfn.MINIFS(convergent_history!$G:$G,convergent_history!$C:$C,"vivo",convergent_history!$M:$M,"Fiber + Mobile",convergent_history!$A:$A,YEAR($A36)&amp;"-"&amp;TEXT(MONTH($A36),"00")&amp;"-"&amp;TEXT(DAY($A36),"00"))),"")</f>
        <v>160</v>
      </c>
      <c r="D36" s="3">
        <f>IFERROR(IF(_xlfn.MINIFS(convergent_history!$G:$G,convergent_history!$C:$C,"claro",convergent_history!$M:$M,"Fiber + Mobile",convergent_history!$A:$A,YEAR($A36)&amp;"-"&amp;TEXT(MONTH($A36),"00")&amp;"-"&amp;TEXT(DAY($A36),"00"))=0,"",_xlfn.MINIFS(convergent_history!$G:$G,convergent_history!$C:$C,"claro",convergent_history!$M:$M,"Fiber + Mobile",convergent_history!$A:$A,YEAR($A36)&amp;"-"&amp;TEXT(MONTH($A36),"00")&amp;"-"&amp;TEXT(DAY($A36),"00"))),"")</f>
        <v>129.8</v>
      </c>
    </row>
    <row r="38">
      <c r="A38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36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2026-09-08T23:11:47Z</dcterms:created>
  <dcterms:modified xsi:type="dcterms:W3CDTF">2026-09-08T23:11:54Z</dcterms:modified>
</cp:coreProperties>
</file>