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'history'!$A$1:$V$530</definedName>
    <definedName name="_xlnm._FilterDatabase" localSheetId="1" hidden="1">'latest'!$A$1:$V$57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'comparison'!$B$3:$B$12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'comparison'!$C$3:$C$12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'comparison'!$D$3:$D$12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'comparison'!$E$3:$E$12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'comparison'!$F$3:$F$12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'comparison'!$G$3:$G$12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'comparison'!$H$3:$H$12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'comparison'!$I$3:$I$12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'comparison'!$J$3:$J$12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'comparison'!$K$3:$K$12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'comparison'!$L$3:$L$12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'comparison'!$M$3:$M$12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53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</sheetData>
  <autoFilter ref="A1:V5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2026-07-01</t>
        </is>
      </c>
      <c r="B2" s="2" t="inlineStr">
        <is>
          <t>2026-07-01T22:16:09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2026-07-01</t>
        </is>
      </c>
      <c r="B3" s="5" t="inlineStr">
        <is>
          <t>2026-07-01T22:16:09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2026-07-01</t>
        </is>
      </c>
      <c r="B4" s="2" t="inlineStr">
        <is>
          <t>2026-07-01T22:16:09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2026-07-01</t>
        </is>
      </c>
      <c r="B5" s="5" t="inlineStr">
        <is>
          <t>2026-07-01T22:16:09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2026-07-01</t>
        </is>
      </c>
      <c r="B6" s="2" t="inlineStr">
        <is>
          <t>2026-07-01T22:16:09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2026-07-01</t>
        </is>
      </c>
      <c r="B7" s="5" t="inlineStr">
        <is>
          <t>2026-07-01T22:16:09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2026-07-01</t>
        </is>
      </c>
      <c r="B8" s="2" t="inlineStr">
        <is>
          <t>2026-07-01T22:16:09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2026-07-01</t>
        </is>
      </c>
      <c r="B9" s="5" t="inlineStr">
        <is>
          <t>2026-07-01T22:16:09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2026-07-01</t>
        </is>
      </c>
      <c r="B10" s="2" t="inlineStr">
        <is>
          <t>2026-07-01T22:16:09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2026-07-01</t>
        </is>
      </c>
      <c r="B11" s="5" t="inlineStr">
        <is>
          <t>2026-07-01T22:16:09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2026-07-01</t>
        </is>
      </c>
      <c r="B12" s="2" t="inlineStr">
        <is>
          <t>2026-07-01T22:16:09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2026-07-01</t>
        </is>
      </c>
      <c r="B13" s="5" t="inlineStr">
        <is>
          <t>2026-07-01T22:16:09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2026-07-01</t>
        </is>
      </c>
      <c r="B14" s="2" t="inlineStr">
        <is>
          <t>2026-07-01T22:16:09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2026-07-01</t>
        </is>
      </c>
      <c r="B15" s="5" t="inlineStr">
        <is>
          <t>2026-07-01T22:16:09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2026-07-01</t>
        </is>
      </c>
      <c r="B16" s="2" t="inlineStr">
        <is>
          <t>2026-07-01T22:16:09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2026-07-01</t>
        </is>
      </c>
      <c r="B17" s="5" t="inlineStr">
        <is>
          <t>2026-07-01T22:16:09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2026-07-01</t>
        </is>
      </c>
      <c r="B18" s="2" t="inlineStr">
        <is>
          <t>2026-07-01T22:16:09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2026-07-01</t>
        </is>
      </c>
      <c r="B19" s="5" t="inlineStr">
        <is>
          <t>2026-07-01T22:16:09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2026-07-01</t>
        </is>
      </c>
      <c r="B20" s="2" t="inlineStr">
        <is>
          <t>2026-07-01T22:16:09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2026-07-01</t>
        </is>
      </c>
      <c r="B21" s="5" t="inlineStr">
        <is>
          <t>2026-07-01T22:16:09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2026-07-01</t>
        </is>
      </c>
      <c r="B22" s="2" t="inlineStr">
        <is>
          <t>2026-07-01T22:16:09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2026-07-01</t>
        </is>
      </c>
      <c r="B23" s="5" t="inlineStr">
        <is>
          <t>2026-07-01T22:16:09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2026-07-01</t>
        </is>
      </c>
      <c r="B24" s="2" t="inlineStr">
        <is>
          <t>2026-07-01T22:16:09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2026-07-01</t>
        </is>
      </c>
      <c r="B25" s="5" t="inlineStr">
        <is>
          <t>2026-07-01T22:16:09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2026-07-01</t>
        </is>
      </c>
      <c r="B26" s="2" t="inlineStr">
        <is>
          <t>2026-07-01T22:16:09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2026-07-01</t>
        </is>
      </c>
      <c r="B27" s="5" t="inlineStr">
        <is>
          <t>2026-07-01T22:16:09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2026-07-01</t>
        </is>
      </c>
      <c r="B28" s="2" t="inlineStr">
        <is>
          <t>2026-07-01T22:16:09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2026-07-01</t>
        </is>
      </c>
      <c r="B29" s="5" t="inlineStr">
        <is>
          <t>2026-07-01T22:16:09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2026-07-01</t>
        </is>
      </c>
      <c r="B30" s="2" t="inlineStr">
        <is>
          <t>2026-07-01T22:16:09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2026-07-01</t>
        </is>
      </c>
      <c r="B31" s="5" t="inlineStr">
        <is>
          <t>2026-07-01T22:16:09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2026-07-01</t>
        </is>
      </c>
      <c r="B32" s="2" t="inlineStr">
        <is>
          <t>2026-07-01T22:16:09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2026-07-01</t>
        </is>
      </c>
      <c r="B33" s="5" t="inlineStr">
        <is>
          <t>2026-07-01T22:16:09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2026-07-01</t>
        </is>
      </c>
      <c r="B34" s="2" t="inlineStr">
        <is>
          <t>2026-07-01T22:16:09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2026-07-01</t>
        </is>
      </c>
      <c r="B35" s="5" t="inlineStr">
        <is>
          <t>2026-07-01T22:16:09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2026-07-01</t>
        </is>
      </c>
      <c r="B36" s="2" t="inlineStr">
        <is>
          <t>2026-07-01T22:16:09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2026-07-01</t>
        </is>
      </c>
      <c r="B37" s="5" t="inlineStr">
        <is>
          <t>2026-07-01T22:16:09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2026-07-01</t>
        </is>
      </c>
      <c r="B38" s="2" t="inlineStr">
        <is>
          <t>2026-07-01T22:16:09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2026-07-01</t>
        </is>
      </c>
      <c r="B39" s="5" t="inlineStr">
        <is>
          <t>2026-07-01T22:16:09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2026-07-01</t>
        </is>
      </c>
      <c r="B40" s="2" t="inlineStr">
        <is>
          <t>2026-07-01T22:16:09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2026-07-01</t>
        </is>
      </c>
      <c r="B41" s="5" t="inlineStr">
        <is>
          <t>2026-07-01T22:16:09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2026-07-01</t>
        </is>
      </c>
      <c r="B42" s="2" t="inlineStr">
        <is>
          <t>2026-07-01T22:16:09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2026-07-01</t>
        </is>
      </c>
      <c r="B43" s="5" t="inlineStr">
        <is>
          <t>2026-07-01T22:16:09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Segurança</t>
        </is>
      </c>
      <c r="G43" s="5" t="inlineStr">
        <is>
          <t>vivo:VIV202600029274-61gb</t>
        </is>
      </c>
      <c r="H43" s="6" t="n">
        <v>90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Incluso Proteção Rua e Seguro de Bens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2026-07-01</t>
        </is>
      </c>
      <c r="B44" s="2" t="inlineStr">
        <is>
          <t>2026-07-01T22:16:09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vivo:VIV202600032594-30gb</t>
        </is>
      </c>
      <c r="H44" s="3" t="n">
        <v>45</v>
      </c>
      <c r="I44" s="3" t="n">
        <v>30</v>
      </c>
      <c r="J44" s="2" t="inlineStr">
        <is>
          <t>preço sem fidelidade; fidelidade 12m no promo</t>
        </is>
      </c>
      <c r="K44" s="2" t="inlineStr"/>
      <c r="L44" s="4" t="n">
        <v>30</v>
      </c>
      <c r="M44" s="2" t="inlineStr">
        <is>
          <t>30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2026-07-01</t>
        </is>
      </c>
      <c r="B45" s="5" t="inlineStr">
        <is>
          <t>2026-07-01T22:16:09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vivo:VIV202600032596-40gb</t>
        </is>
      </c>
      <c r="H45" s="6" t="n">
        <v>55</v>
      </c>
      <c r="I45" s="6" t="n">
        <v>40</v>
      </c>
      <c r="J45" s="5" t="inlineStr">
        <is>
          <t>preço sem fidelidade; fidelidade 12m no promo</t>
        </is>
      </c>
      <c r="K45" s="5" t="inlineStr"/>
      <c r="L45" s="7" t="n">
        <v>40</v>
      </c>
      <c r="M45" s="5" t="inlineStr">
        <is>
          <t>40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2026-07-01</t>
        </is>
      </c>
      <c r="B46" s="2" t="inlineStr">
        <is>
          <t>2026-07-01T22:16:09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vivo:VIV202600032599-20gb</t>
        </is>
      </c>
      <c r="H46" s="3" t="n">
        <v>35</v>
      </c>
      <c r="I46" s="3" t="inlineStr"/>
      <c r="J46" s="2" t="inlineStr"/>
      <c r="K46" s="2" t="inlineStr"/>
      <c r="L46" s="4" t="n">
        <v>20</v>
      </c>
      <c r="M46" s="2" t="inlineStr">
        <is>
          <t>20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2026-07-01</t>
        </is>
      </c>
      <c r="B47" s="5" t="inlineStr">
        <is>
          <t>2026-07-01T22:16:09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Amazon</t>
        </is>
      </c>
      <c r="G47" s="5" t="inlineStr">
        <is>
          <t>vivo:VIV202600029255-60gb</t>
        </is>
      </c>
      <c r="H47" s="6" t="n">
        <v>150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Amazon Prime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2026-07-01</t>
        </is>
      </c>
      <c r="B48" s="2" t="inlineStr">
        <is>
          <t>2026-07-01T22:16:09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Disney+</t>
        </is>
      </c>
      <c r="G48" s="2" t="inlineStr">
        <is>
          <t>vivo:VIV202600022115-60gb</t>
        </is>
      </c>
      <c r="H48" s="3" t="n">
        <v>180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Disney+</t>
        </is>
      </c>
      <c r="S48" s="2" t="inlineStr"/>
      <c r="T48" s="2" t="inlineStr">
        <is>
          <t>Assinatura Disney+ Padrão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2026-07-01</t>
        </is>
      </c>
      <c r="B49" s="5" t="inlineStr">
        <is>
          <t>2026-07-01T22:16:09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Globoplay</t>
        </is>
      </c>
      <c r="G49" s="5" t="inlineStr">
        <is>
          <t>vivo:VIV202600029246-60gb</t>
        </is>
      </c>
      <c r="H49" s="6" t="n">
        <v>165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Globoplay</t>
        </is>
      </c>
      <c r="S49" s="5" t="inlineStr"/>
      <c r="T49" s="5" t="inlineStr">
        <is>
          <t>Assinatura Globoplay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2026-07-01</t>
        </is>
      </c>
      <c r="B50" s="2" t="inlineStr">
        <is>
          <t>2026-07-01T22:16:09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Netflix</t>
        </is>
      </c>
      <c r="G50" s="2" t="inlineStr">
        <is>
          <t>vivo:VIV202600029234-60gb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Netflix</t>
        </is>
      </c>
      <c r="S50" s="2" t="inlineStr"/>
      <c r="T50" s="2" t="inlineStr">
        <is>
          <t>Assinatura Netflix Padrão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2026-07-01</t>
        </is>
      </c>
      <c r="B51" s="5" t="inlineStr">
        <is>
          <t>2026-07-01T22:16:09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Premiere</t>
        </is>
      </c>
      <c r="G51" s="5" t="inlineStr">
        <is>
          <t>vivo:VIV202600029249-60gb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Premiere</t>
        </is>
      </c>
      <c r="S51" s="5" t="inlineStr"/>
      <c r="T51" s="5" t="inlineStr">
        <is>
          <t>Assinatura Premiere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2026-07-01</t>
        </is>
      </c>
      <c r="B52" s="2" t="inlineStr">
        <is>
          <t>2026-07-01T22:16:09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Spotify</t>
        </is>
      </c>
      <c r="G52" s="2" t="inlineStr">
        <is>
          <t>vivo:VIV202600029229-60gb</t>
        </is>
      </c>
      <c r="H52" s="3" t="n">
        <v>165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Spotify</t>
        </is>
      </c>
      <c r="S52" s="2" t="inlineStr"/>
      <c r="T52" s="2" t="inlineStr">
        <is>
          <t>Assinatura Spotify Premium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2026-07-01</t>
        </is>
      </c>
      <c r="B53" s="5" t="inlineStr">
        <is>
          <t>2026-07-01T22:16:09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Travel</t>
        </is>
      </c>
      <c r="G53" s="5" t="inlineStr">
        <is>
          <t>vivo:VIV202600029244-70gb</t>
        </is>
      </c>
      <c r="H53" s="6" t="n">
        <v>215</v>
      </c>
      <c r="I53" s="6" t="inlineStr"/>
      <c r="J53" s="5" t="inlineStr"/>
      <c r="K53" s="5" t="inlineStr"/>
      <c r="L53" s="7" t="n">
        <v>70</v>
      </c>
      <c r="M53" s="5" t="inlineStr">
        <is>
          <t>60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2026-07-01</t>
        </is>
      </c>
      <c r="B54" s="2" t="inlineStr">
        <is>
          <t>2026-07-01T22:16:09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vivo:VIV202600029370-25gb</t>
        </is>
      </c>
      <c r="H54" s="3" t="n">
        <v>30</v>
      </c>
      <c r="I54" s="3" t="inlineStr"/>
      <c r="J54" s="2" t="inlineStr"/>
      <c r="K54" s="2" t="inlineStr"/>
      <c r="L54" s="4" t="n">
        <v>25</v>
      </c>
      <c r="M54" s="2" t="inlineStr">
        <is>
          <t>15 GB para navegar como quiser 5 GB de bônus 5 GB para navegar no Youtube</t>
        </is>
      </c>
      <c r="N54" s="2" t="n">
        <v>30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2026-07-01</t>
        </is>
      </c>
      <c r="B55" s="5" t="inlineStr">
        <is>
          <t>2026-07-01T22:16:09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vivo:VIV202600029370-9gb</t>
        </is>
      </c>
      <c r="H55" s="6" t="n">
        <v>25</v>
      </c>
      <c r="I55" s="6" t="inlineStr"/>
      <c r="J55" s="5" t="inlineStr"/>
      <c r="K55" s="5" t="inlineStr"/>
      <c r="L55" s="7" t="n">
        <v>9</v>
      </c>
      <c r="M55" s="5" t="inlineStr">
        <is>
          <t>6 GB para navegar como quiser 3 GB para navegar no YouTube</t>
        </is>
      </c>
      <c r="N55" s="5" t="n">
        <v>22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2026-07-01</t>
        </is>
      </c>
      <c r="B56" s="2" t="inlineStr">
        <is>
          <t>2026-07-01T22:16:09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vivo:VIV202600029370-5gb</t>
        </is>
      </c>
      <c r="H56" s="3" t="n">
        <v>20</v>
      </c>
      <c r="I56" s="3" t="inlineStr"/>
      <c r="J56" s="2" t="inlineStr"/>
      <c r="K56" s="2" t="inlineStr"/>
      <c r="L56" s="4" t="n">
        <v>5</v>
      </c>
      <c r="M56" s="2" t="inlineStr">
        <is>
          <t>5 GB para navegar como quiser</t>
        </is>
      </c>
      <c r="N56" s="2" t="n">
        <v>17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2026-07-01</t>
        </is>
      </c>
      <c r="B57" s="5" t="inlineStr">
        <is>
          <t>2026-07-01T22:16:09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vivo:VIV202600029370-4gb</t>
        </is>
      </c>
      <c r="H57" s="6" t="n">
        <v>17</v>
      </c>
      <c r="I57" s="6" t="inlineStr"/>
      <c r="J57" s="5" t="inlineStr"/>
      <c r="K57" s="5" t="inlineStr"/>
      <c r="L57" s="7" t="n">
        <v>4</v>
      </c>
      <c r="M57" s="5" t="inlineStr">
        <is>
          <t>4 GB para navegar como quiser</t>
        </is>
      </c>
      <c r="N57" s="5" t="n">
        <v>15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</sheetData>
  <autoFilter ref="A1:V57"/>
  <conditionalFormatting sqref="H2:H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vivo:VIV202600029274-61gb</t>
        </is>
      </c>
      <c r="F2" s="2" t="inlineStr">
        <is>
          <t>Vivo Controle Segurança</t>
        </is>
      </c>
      <c r="G2" s="3" t="inlineStr"/>
      <c r="H2" s="3" t="n">
        <v>90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lite</t>
        </is>
      </c>
      <c r="D3" s="5" t="inlineStr">
        <is>
          <t>SP</t>
        </is>
      </c>
      <c r="E3" s="5" t="inlineStr">
        <is>
          <t>vivo:VIV202600032594-30gb</t>
        </is>
      </c>
      <c r="F3" s="5" t="inlineStr">
        <is>
          <t>Easy Lite</t>
        </is>
      </c>
      <c r="G3" s="6" t="inlineStr"/>
      <c r="H3" s="6" t="n">
        <v>45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lite</t>
        </is>
      </c>
      <c r="D4" s="2" t="inlineStr">
        <is>
          <t>SP</t>
        </is>
      </c>
      <c r="E4" s="2" t="inlineStr">
        <is>
          <t>vivo:VIV202600032596-40gb</t>
        </is>
      </c>
      <c r="F4" s="2" t="inlineStr">
        <is>
          <t>Easy Lite</t>
        </is>
      </c>
      <c r="G4" s="3" t="inlineStr"/>
      <c r="H4" s="3" t="n">
        <v>55</v>
      </c>
      <c r="I4" s="3" t="inlineStr"/>
    </row>
    <row r="5">
      <c r="A5" s="5" t="inlineStr">
        <is>
          <t>new</t>
        </is>
      </c>
      <c r="B5" s="5" t="inlineStr">
        <is>
          <t>vivo</t>
        </is>
      </c>
      <c r="C5" s="5" t="inlineStr">
        <is>
          <t>lite</t>
        </is>
      </c>
      <c r="D5" s="5" t="inlineStr">
        <is>
          <t>SP</t>
        </is>
      </c>
      <c r="E5" s="5" t="inlineStr">
        <is>
          <t>vivo:VIV202600032599-20gb</t>
        </is>
      </c>
      <c r="F5" s="5" t="inlineStr">
        <is>
          <t>Easy Lite</t>
        </is>
      </c>
      <c r="G5" s="6" t="inlineStr"/>
      <c r="H5" s="6" t="n">
        <v>35</v>
      </c>
      <c r="I5" s="6" t="inlineStr"/>
    </row>
    <row r="6">
      <c r="A6" s="2" t="inlineStr">
        <is>
          <t>removed</t>
        </is>
      </c>
      <c r="B6" s="2" t="inlineStr">
        <is>
          <t>vivo</t>
        </is>
      </c>
      <c r="C6" s="2" t="inlineStr">
        <is>
          <t>lite</t>
        </is>
      </c>
      <c r="D6" s="2" t="inlineStr">
        <is>
          <t>SP</t>
        </is>
      </c>
      <c r="E6" s="2" t="inlineStr">
        <is>
          <t>vivo:VIV202600025883-30gb</t>
        </is>
      </c>
      <c r="F6" s="2" t="inlineStr">
        <is>
          <t>Easy Lite</t>
        </is>
      </c>
      <c r="G6" s="3" t="n">
        <v>30</v>
      </c>
      <c r="H6" s="3" t="inlineStr"/>
      <c r="I6" s="3" t="inlineStr"/>
    </row>
    <row r="7">
      <c r="A7" s="5" t="inlineStr">
        <is>
          <t>removed</t>
        </is>
      </c>
      <c r="B7" s="5" t="inlineStr">
        <is>
          <t>vivo</t>
        </is>
      </c>
      <c r="C7" s="5" t="inlineStr">
        <is>
          <t>lite</t>
        </is>
      </c>
      <c r="D7" s="5" t="inlineStr">
        <is>
          <t>SP</t>
        </is>
      </c>
      <c r="E7" s="5" t="inlineStr">
        <is>
          <t>vivo:VIV202600025885-40gb</t>
        </is>
      </c>
      <c r="F7" s="5" t="inlineStr">
        <is>
          <t>Easy Lite</t>
        </is>
      </c>
      <c r="G7" s="6" t="n">
        <v>40</v>
      </c>
      <c r="H7" s="6" t="inlineStr"/>
      <c r="I7" s="6" t="inlineStr"/>
    </row>
    <row r="8">
      <c r="A8" s="2" t="inlineStr">
        <is>
          <t>removed</t>
        </is>
      </c>
      <c r="B8" s="2" t="inlineStr">
        <is>
          <t>vivo</t>
        </is>
      </c>
      <c r="C8" s="2" t="inlineStr">
        <is>
          <t>lite</t>
        </is>
      </c>
      <c r="D8" s="2" t="inlineStr">
        <is>
          <t>SP</t>
        </is>
      </c>
      <c r="E8" s="2" t="inlineStr">
        <is>
          <t>vivo:VIV202600025888-20gb</t>
        </is>
      </c>
      <c r="F8" s="2" t="inlineStr">
        <is>
          <t>Easy Lite</t>
        </is>
      </c>
      <c r="G8" s="3" t="n">
        <v>35</v>
      </c>
      <c r="H8" s="3" t="inlineStr"/>
      <c r="I8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2026-07-01T22:16:09</t>
        </is>
      </c>
    </row>
    <row r="4">
      <c r="A4" s="9" t="inlineStr">
        <is>
          <t>Latest snapshot</t>
        </is>
      </c>
      <c r="B4" s="2" t="inlineStr">
        <is>
          <t>2026-07-01</t>
        </is>
      </c>
    </row>
    <row r="5">
      <c r="A5" s="9" t="inlineStr">
        <is>
          <t>Plans in latest</t>
        </is>
      </c>
      <c r="B5" s="2" t="n">
        <v>56</v>
      </c>
    </row>
    <row r="6">
      <c r="A6" s="9" t="inlineStr">
        <is>
          <t>Snapshots in history</t>
        </is>
      </c>
      <c r="B6" s="2" t="n">
        <v>10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22</v>
      </c>
      <c r="C9" s="10">
        <f>IFERROR(_xlfn.MINIFS(latest!$H$2:$H$2000,latest!$C$2:$C$2000,$A$9),"-")</f>
        <v>17</v>
      </c>
      <c r="D9" s="10">
        <f>IFERROR(AVERAGEIFS(latest!$H$2:$H$2000,latest!$C$2:$C$2000,$A$9),"-")</f>
        <v>98.68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95.99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,history!$K:$K,"&lt;&gt;credit_card")=0,"",_xlfn.MINIFS(history!$H:$H,history!$C:$C,"tim",history!$D:$D,"postpaid",history!$A:$A,YEAR($A3)&amp;"-"&amp;TEXT(MONTH($A3),"00")&amp;"-"&amp;TEXT(DAY($A3),"00"),history!$K:$K,"&lt;&gt;credit_card")),"")</f>
        <v>119.99</v>
      </c>
      <c r="F3" s="3">
        <f>IFERROR(IF(_xlfn.MINIFS(history!$H:$H,history!$C:$C,"vivo",history!$D:$D,"postpaid",history!$A:$A,YEAR($A3)&amp;"-"&amp;TEXT(MONTH($A3),"00")&amp;"-"&amp;TEXT(DAY($A3),"00"),history!$K:$K,"&lt;&gt;credit_card")=0,"",_xlfn.MINIFS(history!$H:$H,history!$C:$C,"vivo",history!$D:$D,"postpaid",history!$A:$A,YEAR($A3)&amp;"-"&amp;TEXT(MONTH($A3),"00")&amp;"-"&amp;TEXT(DAY($A3),"00"),history!$K:$K,"&lt;&gt;credit_card")),"")</f>
        <v>150</v>
      </c>
      <c r="G3" s="3">
        <f>IFERROR(IF(_xlfn.MINIFS(history!$H:$H,history!$C:$C,"claro",history!$D:$D,"postpaid",history!$A:$A,YEAR($A3)&amp;"-"&amp;TEXT(MONTH($A3),"00")&amp;"-"&amp;TEXT(DAY($A3),"00"),history!$K:$K,"&lt;&gt;credit_card")=0,"",_xlfn.MINIFS(history!$H:$H,history!$C:$C,"claro",history!$D:$D,"postpaid",history!$A:$A,YEAR($A3)&amp;"-"&amp;TEXT(MONTH($A3),"00")&amp;"-"&amp;TEXT(DAY($A3),"00"),history!$K:$K,"&lt;&gt;credit_card"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),0),IFERROR(1/_xlfn.MINIFS(history!$H:$H,history!$C:$C,"vivo",history!$D:$D,"flex",history!$A:$A,YEAR($A3)&amp;"-"&amp;TEXT(MONTH($A3),"00")&amp;"-"&amp;TEXT(DAY($A3),"00")),0)),"")</f>
        <v>30</v>
      </c>
      <c r="M3" s="3">
        <f>IFERROR(1/MAX(IFERROR(1/_xlfn.MINIFS(history!$H:$H,history!$C:$C,"claro",history!$D:$D,"lite",history!$A:$A,YEAR($A3)&amp;"-"&amp;TEXT(MONTH($A3),"00")&amp;"-"&amp;TEXT(DAY($A3),"00")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,history!$K:$K,"&lt;&gt;credit_card")=0,"",_xlfn.MINIFS(history!$H:$H,history!$C:$C,"tim",history!$D:$D,"postpaid",history!$A:$A,YEAR($A4)&amp;"-"&amp;TEXT(MONTH($A4),"00")&amp;"-"&amp;TEXT(DAY($A4),"00"),history!$K:$K,"&lt;&gt;credit_card")),"")</f>
        <v>119.99</v>
      </c>
      <c r="F4" s="3">
        <f>IFERROR(IF(_xlfn.MINIFS(history!$H:$H,history!$C:$C,"vivo",history!$D:$D,"postpaid",history!$A:$A,YEAR($A4)&amp;"-"&amp;TEXT(MONTH($A4),"00")&amp;"-"&amp;TEXT(DAY($A4),"00"),history!$K:$K,"&lt;&gt;credit_card")=0,"",_xlfn.MINIFS(history!$H:$H,history!$C:$C,"vivo",history!$D:$D,"postpaid",history!$A:$A,YEAR($A4)&amp;"-"&amp;TEXT(MONTH($A4),"00")&amp;"-"&amp;TEXT(DAY($A4),"00"),history!$K:$K,"&lt;&gt;credit_card")),"")</f>
        <v>150</v>
      </c>
      <c r="G4" s="3">
        <f>IFERROR(IF(_xlfn.MINIFS(history!$H:$H,history!$C:$C,"claro",history!$D:$D,"postpaid",history!$A:$A,YEAR($A4)&amp;"-"&amp;TEXT(MONTH($A4),"00")&amp;"-"&amp;TEXT(DAY($A4),"00"),history!$K:$K,"&lt;&gt;credit_card")=0,"",_xlfn.MINIFS(history!$H:$H,history!$C:$C,"claro",history!$D:$D,"postpaid",history!$A:$A,YEAR($A4)&amp;"-"&amp;TEXT(MONTH($A4),"00")&amp;"-"&amp;TEXT(DAY($A4),"00"),history!$K:$K,"&lt;&gt;credit_card"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),0),IFERROR(1/_xlfn.MINIFS(history!$H:$H,history!$C:$C,"vivo",history!$D:$D,"flex",history!$A:$A,YEAR($A4)&amp;"-"&amp;TEXT(MONTH($A4),"00")&amp;"-"&amp;TEXT(DAY($A4),"00")),0)),"")</f>
        <v>30</v>
      </c>
      <c r="M4" s="3">
        <f>IFERROR(1/MAX(IFERROR(1/_xlfn.MINIFS(history!$H:$H,history!$C:$C,"claro",history!$D:$D,"lite",history!$A:$A,YEAR($A4)&amp;"-"&amp;TEXT(MONTH($A4),"00")&amp;"-"&amp;TEXT(DAY($A4),"00")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,history!$K:$K,"&lt;&gt;credit_card")=0,"",_xlfn.MINIFS(history!$H:$H,history!$C:$C,"tim",history!$D:$D,"postpaid",history!$A:$A,YEAR($A5)&amp;"-"&amp;TEXT(MONTH($A5),"00")&amp;"-"&amp;TEXT(DAY($A5),"00"),history!$K:$K,"&lt;&gt;credit_card")),"")</f>
        <v>119.99</v>
      </c>
      <c r="F5" s="3">
        <f>IFERROR(IF(_xlfn.MINIFS(history!$H:$H,history!$C:$C,"vivo",history!$D:$D,"postpaid",history!$A:$A,YEAR($A5)&amp;"-"&amp;TEXT(MONTH($A5),"00")&amp;"-"&amp;TEXT(DAY($A5),"00"),history!$K:$K,"&lt;&gt;credit_card")=0,"",_xlfn.MINIFS(history!$H:$H,history!$C:$C,"vivo",history!$D:$D,"postpaid",history!$A:$A,YEAR($A5)&amp;"-"&amp;TEXT(MONTH($A5),"00")&amp;"-"&amp;TEXT(DAY($A5),"00"),history!$K:$K,"&lt;&gt;credit_card")),"")</f>
        <v>150</v>
      </c>
      <c r="G5" s="3">
        <f>IFERROR(IF(_xlfn.MINIFS(history!$H:$H,history!$C:$C,"claro",history!$D:$D,"postpaid",history!$A:$A,YEAR($A5)&amp;"-"&amp;TEXT(MONTH($A5),"00")&amp;"-"&amp;TEXT(DAY($A5),"00"),history!$K:$K,"&lt;&gt;credit_card")=0,"",_xlfn.MINIFS(history!$H:$H,history!$C:$C,"claro",history!$D:$D,"postpaid",history!$A:$A,YEAR($A5)&amp;"-"&amp;TEXT(MONTH($A5),"00")&amp;"-"&amp;TEXT(DAY($A5),"00"),history!$K:$K,"&lt;&gt;credit_card"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),0),IFERROR(1/_xlfn.MINIFS(history!$H:$H,history!$C:$C,"vivo",history!$D:$D,"flex",history!$A:$A,YEAR($A5)&amp;"-"&amp;TEXT(MONTH($A5),"00")&amp;"-"&amp;TEXT(DAY($A5),"00")),0)),"")</f>
        <v>30</v>
      </c>
      <c r="M5" s="3">
        <f>IFERROR(1/MAX(IFERROR(1/_xlfn.MINIFS(history!$H:$H,history!$C:$C,"claro",history!$D:$D,"lite",history!$A:$A,YEAR($A5)&amp;"-"&amp;TEXT(MONTH($A5),"00")&amp;"-"&amp;TEXT(DAY($A5),"00")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,history!$K:$K,"&lt;&gt;credit_card")=0,"",_xlfn.MINIFS(history!$H:$H,history!$C:$C,"tim",history!$D:$D,"postpaid",history!$A:$A,YEAR($A6)&amp;"-"&amp;TEXT(MONTH($A6),"00")&amp;"-"&amp;TEXT(DAY($A6),"00"),history!$K:$K,"&lt;&gt;credit_card")),"")</f>
        <v>119.99</v>
      </c>
      <c r="F6" s="3">
        <f>IFERROR(IF(_xlfn.MINIFS(history!$H:$H,history!$C:$C,"vivo",history!$D:$D,"postpaid",history!$A:$A,YEAR($A6)&amp;"-"&amp;TEXT(MONTH($A6),"00")&amp;"-"&amp;TEXT(DAY($A6),"00"),history!$K:$K,"&lt;&gt;credit_card")=0,"",_xlfn.MINIFS(history!$H:$H,history!$C:$C,"vivo",history!$D:$D,"postpaid",history!$A:$A,YEAR($A6)&amp;"-"&amp;TEXT(MONTH($A6),"00")&amp;"-"&amp;TEXT(DAY($A6),"00"),history!$K:$K,"&lt;&gt;credit_card")),"")</f>
        <v>150</v>
      </c>
      <c r="G6" s="3">
        <f>IFERROR(IF(_xlfn.MINIFS(history!$H:$H,history!$C:$C,"claro",history!$D:$D,"postpaid",history!$A:$A,YEAR($A6)&amp;"-"&amp;TEXT(MONTH($A6),"00")&amp;"-"&amp;TEXT(DAY($A6),"00"),history!$K:$K,"&lt;&gt;credit_card")=0,"",_xlfn.MINIFS(history!$H:$H,history!$C:$C,"claro",history!$D:$D,"postpaid",history!$A:$A,YEAR($A6)&amp;"-"&amp;TEXT(MONTH($A6),"00")&amp;"-"&amp;TEXT(DAY($A6),"00"),history!$K:$K,"&lt;&gt;credit_card"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),0),IFERROR(1/_xlfn.MINIFS(history!$H:$H,history!$C:$C,"vivo",history!$D:$D,"flex",history!$A:$A,YEAR($A6)&amp;"-"&amp;TEXT(MONTH($A6),"00")&amp;"-"&amp;TEXT(DAY($A6),"00")),0)),"")</f>
        <v>30</v>
      </c>
      <c r="M6" s="3">
        <f>IFERROR(1/MAX(IFERROR(1/_xlfn.MINIFS(history!$H:$H,history!$C:$C,"claro",history!$D:$D,"lite",history!$A:$A,YEAR($A6)&amp;"-"&amp;TEXT(MONTH($A6),"00")&amp;"-"&amp;TEXT(DAY($A6),"00")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,history!$K:$K,"&lt;&gt;credit_card")=0,"",_xlfn.MINIFS(history!$H:$H,history!$C:$C,"tim",history!$D:$D,"postpaid",history!$A:$A,YEAR($A7)&amp;"-"&amp;TEXT(MONTH($A7),"00")&amp;"-"&amp;TEXT(DAY($A7),"00"),history!$K:$K,"&lt;&gt;credit_card")),"")</f>
        <v>119.99</v>
      </c>
      <c r="F7" s="3">
        <f>IFERROR(IF(_xlfn.MINIFS(history!$H:$H,history!$C:$C,"vivo",history!$D:$D,"postpaid",history!$A:$A,YEAR($A7)&amp;"-"&amp;TEXT(MONTH($A7),"00")&amp;"-"&amp;TEXT(DAY($A7),"00"),history!$K:$K,"&lt;&gt;credit_card")=0,"",_xlfn.MINIFS(history!$H:$H,history!$C:$C,"vivo",history!$D:$D,"postpaid",history!$A:$A,YEAR($A7)&amp;"-"&amp;TEXT(MONTH($A7),"00")&amp;"-"&amp;TEXT(DAY($A7),"00"),history!$K:$K,"&lt;&gt;credit_card")),"")</f>
        <v>150</v>
      </c>
      <c r="G7" s="3">
        <f>IFERROR(IF(_xlfn.MINIFS(history!$H:$H,history!$C:$C,"claro",history!$D:$D,"postpaid",history!$A:$A,YEAR($A7)&amp;"-"&amp;TEXT(MONTH($A7),"00")&amp;"-"&amp;TEXT(DAY($A7),"00"),history!$K:$K,"&lt;&gt;credit_card")=0,"",_xlfn.MINIFS(history!$H:$H,history!$C:$C,"claro",history!$D:$D,"postpaid",history!$A:$A,YEAR($A7)&amp;"-"&amp;TEXT(MONTH($A7),"00")&amp;"-"&amp;TEXT(DAY($A7),"00"),history!$K:$K,"&lt;&gt;credit_card"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),0),IFERROR(1/_xlfn.MINIFS(history!$H:$H,history!$C:$C,"vivo",history!$D:$D,"flex",history!$A:$A,YEAR($A7)&amp;"-"&amp;TEXT(MONTH($A7),"00")&amp;"-"&amp;TEXT(DAY($A7),"00")),0)),"")</f>
        <v>30</v>
      </c>
      <c r="M7" s="3">
        <f>IFERROR(1/MAX(IFERROR(1/_xlfn.MINIFS(history!$H:$H,history!$C:$C,"claro",history!$D:$D,"lite",history!$A:$A,YEAR($A7)&amp;"-"&amp;TEXT(MONTH($A7),"00")&amp;"-"&amp;TEXT(DAY($A7),"00")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,history!$K:$K,"&lt;&gt;credit_card")=0,"",_xlfn.MINIFS(history!$H:$H,history!$C:$C,"tim",history!$D:$D,"postpaid",history!$A:$A,YEAR($A8)&amp;"-"&amp;TEXT(MONTH($A8),"00")&amp;"-"&amp;TEXT(DAY($A8),"00"),history!$K:$K,"&lt;&gt;credit_card")),"")</f>
        <v>119.99</v>
      </c>
      <c r="F8" s="3">
        <f>IFERROR(IF(_xlfn.MINIFS(history!$H:$H,history!$C:$C,"vivo",history!$D:$D,"postpaid",history!$A:$A,YEAR($A8)&amp;"-"&amp;TEXT(MONTH($A8),"00")&amp;"-"&amp;TEXT(DAY($A8),"00"),history!$K:$K,"&lt;&gt;credit_card")=0,"",_xlfn.MINIFS(history!$H:$H,history!$C:$C,"vivo",history!$D:$D,"postpaid",history!$A:$A,YEAR($A8)&amp;"-"&amp;TEXT(MONTH($A8),"00")&amp;"-"&amp;TEXT(DAY($A8),"00"),history!$K:$K,"&lt;&gt;credit_card")),"")</f>
        <v>150</v>
      </c>
      <c r="G8" s="3">
        <f>IFERROR(IF(_xlfn.MINIFS(history!$H:$H,history!$C:$C,"claro",history!$D:$D,"postpaid",history!$A:$A,YEAR($A8)&amp;"-"&amp;TEXT(MONTH($A8),"00")&amp;"-"&amp;TEXT(DAY($A8),"00"),history!$K:$K,"&lt;&gt;credit_card")=0,"",_xlfn.MINIFS(history!$H:$H,history!$C:$C,"claro",history!$D:$D,"postpaid",history!$A:$A,YEAR($A8)&amp;"-"&amp;TEXT(MONTH($A8),"00")&amp;"-"&amp;TEXT(DAY($A8),"00"),history!$K:$K,"&lt;&gt;credit_card"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),0),IFERROR(1/_xlfn.MINIFS(history!$H:$H,history!$C:$C,"vivo",history!$D:$D,"flex",history!$A:$A,YEAR($A8)&amp;"-"&amp;TEXT(MONTH($A8),"00")&amp;"-"&amp;TEXT(DAY($A8),"00")),0)),"")</f>
        <v>30</v>
      </c>
      <c r="M8" s="3">
        <f>IFERROR(1/MAX(IFERROR(1/_xlfn.MINIFS(history!$H:$H,history!$C:$C,"claro",history!$D:$D,"lite",history!$A:$A,YEAR($A8)&amp;"-"&amp;TEXT(MONTH($A8),"00")&amp;"-"&amp;TEXT(DAY($A8),"00")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,history!$K:$K,"&lt;&gt;credit_card")=0,"",_xlfn.MINIFS(history!$H:$H,history!$C:$C,"tim",history!$D:$D,"postpaid",history!$A:$A,YEAR($A9)&amp;"-"&amp;TEXT(MONTH($A9),"00")&amp;"-"&amp;TEXT(DAY($A9),"00"),history!$K:$K,"&lt;&gt;credit_card")),"")</f>
        <v>119.99</v>
      </c>
      <c r="F9" s="3">
        <f>IFERROR(IF(_xlfn.MINIFS(history!$H:$H,history!$C:$C,"vivo",history!$D:$D,"postpaid",history!$A:$A,YEAR($A9)&amp;"-"&amp;TEXT(MONTH($A9),"00")&amp;"-"&amp;TEXT(DAY($A9),"00"),history!$K:$K,"&lt;&gt;credit_card")=0,"",_xlfn.MINIFS(history!$H:$H,history!$C:$C,"vivo",history!$D:$D,"postpaid",history!$A:$A,YEAR($A9)&amp;"-"&amp;TEXT(MONTH($A9),"00")&amp;"-"&amp;TEXT(DAY($A9),"00"),history!$K:$K,"&lt;&gt;credit_card")),"")</f>
        <v>150</v>
      </c>
      <c r="G9" s="3">
        <f>IFERROR(IF(_xlfn.MINIFS(history!$H:$H,history!$C:$C,"claro",history!$D:$D,"postpaid",history!$A:$A,YEAR($A9)&amp;"-"&amp;TEXT(MONTH($A9),"00")&amp;"-"&amp;TEXT(DAY($A9),"00"),history!$K:$K,"&lt;&gt;credit_card")=0,"",_xlfn.MINIFS(history!$H:$H,history!$C:$C,"claro",history!$D:$D,"postpaid",history!$A:$A,YEAR($A9)&amp;"-"&amp;TEXT(MONTH($A9),"00")&amp;"-"&amp;TEXT(DAY($A9),"00"),history!$K:$K,"&lt;&gt;credit_card"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),0),IFERROR(1/_xlfn.MINIFS(history!$H:$H,history!$C:$C,"vivo",history!$D:$D,"flex",history!$A:$A,YEAR($A9)&amp;"-"&amp;TEXT(MONTH($A9),"00")&amp;"-"&amp;TEXT(DAY($A9),"00")),0)),"")</f>
        <v>30</v>
      </c>
      <c r="M9" s="3">
        <f>IFERROR(1/MAX(IFERROR(1/_xlfn.MINIFS(history!$H:$H,history!$C:$C,"claro",history!$D:$D,"lite",history!$A:$A,YEAR($A9)&amp;"-"&amp;TEXT(MONTH($A9),"00")&amp;"-"&amp;TEXT(DAY($A9),"00")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,history!$K:$K,"&lt;&gt;credit_card")=0,"",_xlfn.MINIFS(history!$H:$H,history!$C:$C,"tim",history!$D:$D,"postpaid",history!$A:$A,YEAR($A10)&amp;"-"&amp;TEXT(MONTH($A10),"00")&amp;"-"&amp;TEXT(DAY($A10),"00"),history!$K:$K,"&lt;&gt;credit_card")),"")</f>
        <v>119.99</v>
      </c>
      <c r="F10" s="3">
        <f>IFERROR(IF(_xlfn.MINIFS(history!$H:$H,history!$C:$C,"vivo",history!$D:$D,"postpaid",history!$A:$A,YEAR($A10)&amp;"-"&amp;TEXT(MONTH($A10),"00")&amp;"-"&amp;TEXT(DAY($A10),"00"),history!$K:$K,"&lt;&gt;credit_card")=0,"",_xlfn.MINIFS(history!$H:$H,history!$C:$C,"vivo",history!$D:$D,"postpaid",history!$A:$A,YEAR($A10)&amp;"-"&amp;TEXT(MONTH($A10),"00")&amp;"-"&amp;TEXT(DAY($A10),"00"),history!$K:$K,"&lt;&gt;credit_card")),"")</f>
        <v>150</v>
      </c>
      <c r="G10" s="3">
        <f>IFERROR(IF(_xlfn.MINIFS(history!$H:$H,history!$C:$C,"claro",history!$D:$D,"postpaid",history!$A:$A,YEAR($A10)&amp;"-"&amp;TEXT(MONTH($A10),"00")&amp;"-"&amp;TEXT(DAY($A10),"00"),history!$K:$K,"&lt;&gt;credit_card")=0,"",_xlfn.MINIFS(history!$H:$H,history!$C:$C,"claro",history!$D:$D,"postpaid",history!$A:$A,YEAR($A10)&amp;"-"&amp;TEXT(MONTH($A10),"00")&amp;"-"&amp;TEXT(DAY($A10),"00"),history!$K:$K,"&lt;&gt;credit_card"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),0),IFERROR(1/_xlfn.MINIFS(history!$H:$H,history!$C:$C,"vivo",history!$D:$D,"flex",history!$A:$A,YEAR($A10)&amp;"-"&amp;TEXT(MONTH($A10),"00")&amp;"-"&amp;TEXT(DAY($A10),"00")),0)),"")</f>
        <v>30</v>
      </c>
      <c r="M10" s="3">
        <f>IFERROR(1/MAX(IFERROR(1/_xlfn.MINIFS(history!$H:$H,history!$C:$C,"claro",history!$D:$D,"lite",history!$A:$A,YEAR($A10)&amp;"-"&amp;TEXT(MONTH($A10),"00")&amp;"-"&amp;TEXT(DAY($A10),"00")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,history!$K:$K,"&lt;&gt;credit_card")=0,"",_xlfn.MINIFS(history!$H:$H,history!$C:$C,"tim",history!$D:$D,"postpaid",history!$A:$A,YEAR($A11)&amp;"-"&amp;TEXT(MONTH($A11),"00")&amp;"-"&amp;TEXT(DAY($A11),"00"),history!$K:$K,"&lt;&gt;credit_card")),"")</f>
        <v>119.99</v>
      </c>
      <c r="F11" s="3">
        <f>IFERROR(IF(_xlfn.MINIFS(history!$H:$H,history!$C:$C,"vivo",history!$D:$D,"postpaid",history!$A:$A,YEAR($A11)&amp;"-"&amp;TEXT(MONTH($A11),"00")&amp;"-"&amp;TEXT(DAY($A11),"00"),history!$K:$K,"&lt;&gt;credit_card")=0,"",_xlfn.MINIFS(history!$H:$H,history!$C:$C,"vivo",history!$D:$D,"postpaid",history!$A:$A,YEAR($A11)&amp;"-"&amp;TEXT(MONTH($A11),"00")&amp;"-"&amp;TEXT(DAY($A11),"00"),history!$K:$K,"&lt;&gt;credit_card")),"")</f>
        <v>150</v>
      </c>
      <c r="G11" s="3">
        <f>IFERROR(IF(_xlfn.MINIFS(history!$H:$H,history!$C:$C,"claro",history!$D:$D,"postpaid",history!$A:$A,YEAR($A11)&amp;"-"&amp;TEXT(MONTH($A11),"00")&amp;"-"&amp;TEXT(DAY($A11),"00"),history!$K:$K,"&lt;&gt;credit_card")=0,"",_xlfn.MINIFS(history!$H:$H,history!$C:$C,"claro",history!$D:$D,"postpaid",history!$A:$A,YEAR($A11)&amp;"-"&amp;TEXT(MONTH($A11),"00")&amp;"-"&amp;TEXT(DAY($A11),"00"),history!$K:$K,"&lt;&gt;credit_card"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),0),IFERROR(1/_xlfn.MINIFS(history!$H:$H,history!$C:$C,"vivo",history!$D:$D,"flex",history!$A:$A,YEAR($A11)&amp;"-"&amp;TEXT(MONTH($A11),"00")&amp;"-"&amp;TEXT(DAY($A11),"00")),0)),"")</f>
        <v>30</v>
      </c>
      <c r="M11" s="3">
        <f>IFERROR(1/MAX(IFERROR(1/_xlfn.MINIFS(history!$H:$H,history!$C:$C,"claro",history!$D:$D,"lite",history!$A:$A,YEAR($A11)&amp;"-"&amp;TEXT(MONTH($A11),"00")&amp;"-"&amp;TEXT(DAY($A11),"00")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,history!$K:$K,"&lt;&gt;credit_card")=0,"",_xlfn.MINIFS(history!$H:$H,history!$C:$C,"tim",history!$D:$D,"postpaid",history!$A:$A,YEAR($A12)&amp;"-"&amp;TEXT(MONTH($A12),"00")&amp;"-"&amp;TEXT(DAY($A12),"00"),history!$K:$K,"&lt;&gt;credit_card")),"")</f>
        <v>129.99</v>
      </c>
      <c r="F12" s="3">
        <f>IFERROR(IF(_xlfn.MINIFS(history!$H:$H,history!$C:$C,"vivo",history!$D:$D,"postpaid",history!$A:$A,YEAR($A12)&amp;"-"&amp;TEXT(MONTH($A12),"00")&amp;"-"&amp;TEXT(DAY($A12),"00"),history!$K:$K,"&lt;&gt;credit_card")=0,"",_xlfn.MINIFS(history!$H:$H,history!$C:$C,"vivo",history!$D:$D,"postpaid",history!$A:$A,YEAR($A12)&amp;"-"&amp;TEXT(MONTH($A12),"00")&amp;"-"&amp;TEXT(DAY($A12),"00"),history!$K:$K,"&lt;&gt;credit_card")),"")</f>
        <v>150</v>
      </c>
      <c r="G12" s="3">
        <f>IFERROR(IF(_xlfn.MINIFS(history!$H:$H,history!$C:$C,"claro",history!$D:$D,"postpaid",history!$A:$A,YEAR($A12)&amp;"-"&amp;TEXT(MONTH($A12),"00")&amp;"-"&amp;TEXT(DAY($A12),"00"),history!$K:$K,"&lt;&gt;credit_card")=0,"",_xlfn.MINIFS(history!$H:$H,history!$C:$C,"claro",history!$D:$D,"postpaid",history!$A:$A,YEAR($A12)&amp;"-"&amp;TEXT(MONTH($A12),"00")&amp;"-"&amp;TEXT(DAY($A12),"00"),history!$K:$K,"&lt;&gt;credit_card"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),0),IFERROR(1/_xlfn.MINIFS(history!$H:$H,history!$C:$C,"vivo",history!$D:$D,"flex",history!$A:$A,YEAR($A12)&amp;"-"&amp;TEXT(MONTH($A12),"00")&amp;"-"&amp;TEXT(DAY($A12),"00")),0)),"")</f>
        <v>35</v>
      </c>
      <c r="M12" s="3">
        <f>IFERROR(1/MAX(IFERROR(1/_xlfn.MINIFS(history!$H:$H,history!$C:$C,"claro",history!$D:$D,"lite",history!$A:$A,YEAR($A12)&amp;"-"&amp;TEXT(MONTH($A12),"00")&amp;"-"&amp;TEXT(DAY($A12),"00")),0),IFERROR(1/_xlfn.MINIFS(history!$H:$H,history!$C:$C,"claro",history!$D:$D,"flex",history!$A:$A,YEAR($A12)&amp;"-"&amp;TEXT(MONTH($A12),"00")&amp;"-"&amp;TEXT(DAY($A12),"00")),0)),"")</f>
        <v>44.9</v>
      </c>
    </row>
    <row r="14">
      <c r="A1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IF('comparison'!B12="",NA(),'comparison'!B12)</f>
        <v/>
      </c>
      <c r="R38" s="10">
        <f>IF('comparison'!C12="",NA(),'comparison'!C12)</f>
        <v/>
      </c>
      <c r="S38" s="10">
        <f>IF('comparison'!D12="",NA(),'comparison'!D12)</f>
        <v/>
      </c>
    </row>
    <row r="39">
      <c r="P39" s="2" t="inlineStr">
        <is>
          <t>Post</t>
        </is>
      </c>
      <c r="Q39" s="10">
        <f>IF('comparison'!E12="",NA(),'comparison'!E12)</f>
        <v/>
      </c>
      <c r="R39" s="10">
        <f>IF('comparison'!F12="",NA(),'comparison'!F12)</f>
        <v/>
      </c>
      <c r="S39" s="10">
        <f>IF('comparison'!G12="",NA(),'comparison'!G12)</f>
        <v/>
      </c>
    </row>
    <row r="40">
      <c r="P40" s="2" t="inlineStr">
        <is>
          <t>Pre</t>
        </is>
      </c>
      <c r="Q40" s="10">
        <f>IF('comparison'!H12="",NA(),'comparison'!H12)</f>
        <v/>
      </c>
      <c r="R40" s="10">
        <f>IF('comparison'!I12="",NA(),'comparison'!I12)</f>
        <v/>
      </c>
      <c r="S40" s="10">
        <f>IF('comparison'!J12="",NA(),'comparison'!J12)</f>
        <v/>
      </c>
    </row>
    <row r="41">
      <c r="P41" s="2" t="inlineStr">
        <is>
          <t>Digital</t>
        </is>
      </c>
      <c r="Q41" s="10">
        <f>IF('comparison'!K12="",NA(),'comparison'!K12)</f>
        <v/>
      </c>
      <c r="R41" s="10">
        <f>IF('comparison'!L12="",NA(),'comparison'!L12)</f>
        <v/>
      </c>
      <c r="S41" s="10">
        <f>IF('comparison'!M12="",NA(),'comparison'!M12)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1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Segurança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Música (61GB)</t>
        </is>
      </c>
      <c r="F20" s="15" t="n"/>
      <c r="G20" s="15" t="n"/>
    </row>
    <row r="21">
      <c r="A21" s="2" t="n">
        <v>7</v>
      </c>
      <c r="B21" s="3" t="n">
        <v>95</v>
      </c>
      <c r="E21" s="2" t="inlineStr">
        <is>
          <t>Vivo Controle Netflix (61GB)</t>
        </is>
      </c>
    </row>
    <row r="22">
      <c r="A22" s="5" t="n">
        <v>8</v>
      </c>
      <c r="B22" s="6" t="n">
        <v>110</v>
      </c>
      <c r="C22" s="15" t="n"/>
      <c r="D22" s="15" t="n"/>
      <c r="E22" s="5" t="inlineStr">
        <is>
          <t>Vivo Controle Entretenimento (61GB)</t>
        </is>
      </c>
      <c r="F22" s="15" t="n"/>
      <c r="G22" s="15" t="n"/>
    </row>
    <row r="24">
      <c r="A24" s="14" t="inlineStr">
        <is>
          <t>Prepaid</t>
        </is>
      </c>
    </row>
    <row r="25">
      <c r="A25" s="13" t="inlineStr">
        <is>
          <t>Note: prepaid is not a clean unit — Claro Prezão is a daily fee (R$1/dia) vs Vivo/TIM recharge amounts.</t>
        </is>
      </c>
    </row>
    <row r="26">
      <c r="A26" s="1" t="inlineStr">
        <is>
          <t>Rank</t>
        </is>
      </c>
      <c r="B26" s="1" t="inlineStr">
        <is>
          <t>Vivo R$</t>
        </is>
      </c>
      <c r="C26" s="1" t="inlineStr">
        <is>
          <t>Claro R$</t>
        </is>
      </c>
      <c r="D26" s="1" t="inlineStr">
        <is>
          <t>TIM R$</t>
        </is>
      </c>
      <c r="E26" s="1" t="inlineStr">
        <is>
          <t>Vivo plan</t>
        </is>
      </c>
      <c r="F26" s="1" t="inlineStr">
        <is>
          <t>Claro plan</t>
        </is>
      </c>
      <c r="G26" s="1" t="inlineStr">
        <is>
          <t>TIM plan</t>
        </is>
      </c>
    </row>
    <row r="27">
      <c r="A27" s="2" t="n">
        <v>1</v>
      </c>
      <c r="B27" s="3" t="n">
        <v>17</v>
      </c>
      <c r="C27" s="3" t="n">
        <v>15</v>
      </c>
      <c r="D27" s="3" t="n">
        <v>20</v>
      </c>
      <c r="E27" s="2" t="inlineStr">
        <is>
          <t>Vivo Pré (4GB)</t>
        </is>
      </c>
      <c r="F27" s="2" t="inlineStr">
        <is>
          <t>Prezão 4GB (12 dias) (4GB)</t>
        </is>
      </c>
      <c r="G27" s="2" t="inlineStr">
        <is>
          <t>TIM Pré XIP Plus 6GB (6GB)</t>
        </is>
      </c>
    </row>
    <row r="28">
      <c r="A28" s="5" t="n">
        <v>2</v>
      </c>
      <c r="B28" s="6" t="n">
        <v>20</v>
      </c>
      <c r="C28" s="6" t="n">
        <v>15</v>
      </c>
      <c r="D28" s="6" t="n">
        <v>25</v>
      </c>
      <c r="E28" s="5" t="inlineStr">
        <is>
          <t>Vivo Pré (5GB)</t>
        </is>
      </c>
      <c r="F28" s="5" t="inlineStr">
        <is>
          <t>Prezão 5GB (15 dias) (5GB)</t>
        </is>
      </c>
      <c r="G28" s="5" t="inlineStr">
        <is>
          <t>TIM Pré XIP Plus 8GB (8GB)</t>
        </is>
      </c>
    </row>
    <row r="29">
      <c r="A29" s="2" t="n">
        <v>3</v>
      </c>
      <c r="B29" s="3" t="n">
        <v>25</v>
      </c>
      <c r="C29" s="3" t="n">
        <v>20</v>
      </c>
      <c r="D29" s="3" t="n">
        <v>30</v>
      </c>
      <c r="E29" s="2" t="inlineStr">
        <is>
          <t>Vivo Pré (9GB)</t>
        </is>
      </c>
      <c r="F29" s="2" t="inlineStr">
        <is>
          <t>Prezão 6GB (20 dias) (6GB)</t>
        </is>
      </c>
      <c r="G29" s="2" t="inlineStr">
        <is>
          <t>TIM Pré XIP Plus 16GB (16GB)</t>
        </is>
      </c>
    </row>
    <row r="30">
      <c r="A30" s="5" t="n">
        <v>4</v>
      </c>
      <c r="B30" s="6" t="n">
        <v>30</v>
      </c>
      <c r="C30" s="6" t="n">
        <v>20</v>
      </c>
      <c r="D30" s="15" t="n"/>
      <c r="E30" s="5" t="inlineStr">
        <is>
          <t>Vivo Pré (25GB)</t>
        </is>
      </c>
      <c r="F30" s="5" t="inlineStr">
        <is>
          <t>Prezão 8GB (20 dias) (8GB)</t>
        </is>
      </c>
      <c r="G30" s="15" t="n"/>
    </row>
    <row r="31">
      <c r="A31" s="2" t="n">
        <v>5</v>
      </c>
      <c r="C31" s="3" t="n">
        <v>25</v>
      </c>
      <c r="F31" s="2" t="inlineStr">
        <is>
          <t>Prezão 10GB (25 dias) (10GB)</t>
        </is>
      </c>
    </row>
    <row r="32">
      <c r="A32" s="5" t="n">
        <v>6</v>
      </c>
      <c r="B32" s="15" t="n"/>
      <c r="C32" s="6" t="n">
        <v>25</v>
      </c>
      <c r="D32" s="15" t="n"/>
      <c r="E32" s="15" t="n"/>
      <c r="F32" s="5" t="inlineStr">
        <is>
          <t>Prezão 9GB (25 dias) (9GB)</t>
        </is>
      </c>
      <c r="G32" s="15" t="n"/>
    </row>
    <row r="33">
      <c r="A33" s="2" t="n">
        <v>7</v>
      </c>
      <c r="C33" s="3" t="n">
        <v>30</v>
      </c>
      <c r="F33" s="2" t="inlineStr">
        <is>
          <t>Prezão 12GB (30 dias) (12GB)</t>
        </is>
      </c>
    </row>
    <row r="35">
      <c r="A35" s="14" t="inlineStr">
        <is>
          <t>Digital</t>
        </is>
      </c>
    </row>
    <row r="36">
      <c r="A36" s="13" t="inlineStr">
        <is>
          <t>Digital = Vivo Lite + Claro Flex (TIM has no digital line).</t>
        </is>
      </c>
    </row>
    <row r="37">
      <c r="A37" s="1" t="inlineStr">
        <is>
          <t>Rank</t>
        </is>
      </c>
      <c r="B37" s="1" t="inlineStr">
        <is>
          <t>Vivo R$</t>
        </is>
      </c>
      <c r="C37" s="1" t="inlineStr">
        <is>
          <t>Claro R$</t>
        </is>
      </c>
      <c r="D37" s="1" t="inlineStr">
        <is>
          <t>TIM R$</t>
        </is>
      </c>
      <c r="E37" s="1" t="inlineStr">
        <is>
          <t>Vivo plan</t>
        </is>
      </c>
      <c r="F37" s="1" t="inlineStr">
        <is>
          <t>Claro plan</t>
        </is>
      </c>
      <c r="G37" s="1" t="inlineStr">
        <is>
          <t>TIM plan</t>
        </is>
      </c>
    </row>
    <row r="38">
      <c r="A38" s="2" t="n">
        <v>1</v>
      </c>
      <c r="B38" s="3" t="n">
        <v>35</v>
      </c>
      <c r="C38" s="3" t="n">
        <v>44.9</v>
      </c>
      <c r="E38" s="2" t="inlineStr">
        <is>
          <t>Easy Lite (20GB)</t>
        </is>
      </c>
      <c r="F38" s="2" t="inlineStr">
        <is>
          <t>Flex 15GB (15GB)</t>
        </is>
      </c>
    </row>
    <row r="39">
      <c r="A39" s="5" t="n">
        <v>2</v>
      </c>
      <c r="B39" s="6" t="n">
        <v>45</v>
      </c>
      <c r="C39" s="6" t="n">
        <v>59.9</v>
      </c>
      <c r="D39" s="15" t="n"/>
      <c r="E39" s="5" t="inlineStr">
        <is>
          <t>Easy Lite (30GB) · promo R$30</t>
        </is>
      </c>
      <c r="F39" s="5" t="inlineStr">
        <is>
          <t>Flex 20GB (20GB)</t>
        </is>
      </c>
      <c r="G39" s="15" t="n"/>
    </row>
    <row r="40">
      <c r="A40" s="2" t="n">
        <v>3</v>
      </c>
      <c r="B40" s="3" t="n">
        <v>55</v>
      </c>
      <c r="C40" s="3" t="n">
        <v>69.90000000000001</v>
      </c>
      <c r="E40" s="2" t="inlineStr">
        <is>
          <t>Easy Lite (40GB) · promo R$40</t>
        </is>
      </c>
      <c r="F40" s="2" t="inlineStr">
        <is>
          <t>Flex 30GB (30GB)</t>
        </is>
      </c>
    </row>
    <row r="41">
      <c r="A41" s="5" t="n">
        <v>4</v>
      </c>
      <c r="B41" s="15" t="n"/>
      <c r="C41" s="6" t="n">
        <v>119.9</v>
      </c>
      <c r="D41" s="15" t="n"/>
      <c r="E41" s="15" t="n"/>
      <c r="F41" s="5" t="inlineStr">
        <is>
          <t>Flex 40GB (40GB)</t>
        </is>
      </c>
      <c r="G41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2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7:D33">
    <cfRule type="expression" priority="5" dxfId="1" stopIfTrue="1">
      <formula>AND(B27&lt;&gt;"",B27=MIN($B27:$D27))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D41">
    <cfRule type="expression" priority="7" dxfId="1" stopIfTrue="1">
      <formula>AND(B38&lt;&gt;"",B38=MIN($B38:$D38))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Segurança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Incluso Proteção Rua e Seguro de Bens</t>
        </is>
      </c>
    </row>
    <row r="16">
      <c r="A16" s="5" t="inlineStr">
        <is>
          <t>Vivo Controle Música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Apple Music Individual</t>
        </is>
      </c>
    </row>
    <row r="17">
      <c r="A17" s="2" t="inlineStr">
        <is>
          <t>Vivo Controle Netflix</t>
        </is>
      </c>
      <c r="B17" s="3" t="n">
        <v>95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Netflix Padrão com anúncios</t>
        </is>
      </c>
    </row>
    <row r="18">
      <c r="A18" s="5" t="inlineStr">
        <is>
          <t>Vivo Controle Entretenimento</t>
        </is>
      </c>
      <c r="B18" s="6" t="n">
        <v>110</v>
      </c>
      <c r="C18" s="6" t="n"/>
      <c r="D18" s="5" t="inlineStr">
        <is>
          <t>61 GB (20 GB de franquia 31 GB de bônus)</t>
        </is>
      </c>
      <c r="E18" s="5" t="n"/>
      <c r="F18" s="5" t="n"/>
      <c r="G18" s="5" t="n"/>
      <c r="H18" s="5" t="inlineStr">
        <is>
          <t>Assinatura Vivo TV Inicial inclusa</t>
        </is>
      </c>
    </row>
    <row r="19">
      <c r="A19" s="16" t="inlineStr">
        <is>
          <t>Digital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franquia)</t>
        </is>
      </c>
      <c r="E20" s="2" t="n"/>
      <c r="F20" s="2" t="n"/>
      <c r="G20" s="2" t="n"/>
      <c r="H20" s="2" t="inlineStr">
        <is>
          <t>2 meses de YouTube sem consumo no plano</t>
        </is>
      </c>
    </row>
    <row r="21">
      <c r="A21" s="5" t="inlineStr">
        <is>
          <t>Easy Lite</t>
        </is>
      </c>
      <c r="B21" s="6" t="n">
        <v>45</v>
      </c>
      <c r="C21" s="18" t="n">
        <v>30</v>
      </c>
      <c r="D21" s="5" t="inlineStr">
        <is>
          <t>30 GB (30 GB de franquia)</t>
        </is>
      </c>
      <c r="E21" s="5" t="n"/>
      <c r="F21" s="5" t="n"/>
      <c r="G21" s="5" t="n"/>
      <c r="H21" s="5" t="inlineStr">
        <is>
          <t>2 meses de YouTube sem consumo no plano · preço sem fidelidade; fidelidade 12m no promo</t>
        </is>
      </c>
    </row>
    <row r="22">
      <c r="A22" s="2" t="inlineStr">
        <is>
          <t>Easy Lite</t>
        </is>
      </c>
      <c r="B22" s="3" t="n">
        <v>55</v>
      </c>
      <c r="C22" s="18" t="n">
        <v>40</v>
      </c>
      <c r="D22" s="2" t="inlineStr">
        <is>
          <t>40 GB (40 GB de franquia)</t>
        </is>
      </c>
      <c r="E22" s="2" t="n"/>
      <c r="F22" s="2" t="n"/>
      <c r="G22" s="2" t="n"/>
      <c r="H22" s="2" t="inlineStr">
        <is>
          <t>2 meses de YouTube sem consumo no plano · preço sem fidelidade; fidelidade 12m no promo</t>
        </is>
      </c>
    </row>
    <row r="23">
      <c r="A23" s="16" t="inlineStr">
        <is>
          <t>Prepaid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Pré</t>
        </is>
      </c>
      <c r="B24" s="3" t="n">
        <v>17</v>
      </c>
      <c r="C24" s="3" t="n"/>
      <c r="D24" s="2" t="inlineStr">
        <is>
          <t>4 GB (4 GB para navegar como quiser) · 15d</t>
        </is>
      </c>
      <c r="E24" s="2" t="n"/>
      <c r="F24" s="2" t="n"/>
      <c r="G24" s="2" t="n"/>
      <c r="H24" s="2" t="n"/>
    </row>
    <row r="25">
      <c r="A25" s="5" t="inlineStr">
        <is>
          <t>Vivo Pré</t>
        </is>
      </c>
      <c r="B25" s="6" t="n">
        <v>20</v>
      </c>
      <c r="C25" s="6" t="n"/>
      <c r="D25" s="5" t="inlineStr">
        <is>
          <t>5 GB (5 GB para navegar como quiser) · 17d</t>
        </is>
      </c>
      <c r="E25" s="5" t="n"/>
      <c r="F25" s="5" t="n"/>
      <c r="G25" s="5" t="n"/>
      <c r="H25" s="5" t="n"/>
    </row>
    <row r="26">
      <c r="A26" s="2" t="inlineStr">
        <is>
          <t>Vivo Pré</t>
        </is>
      </c>
      <c r="B26" s="3" t="n">
        <v>25</v>
      </c>
      <c r="C26" s="3" t="n"/>
      <c r="D26" s="2" t="inlineStr">
        <is>
          <t>9 GB (6 GB para navegar como quiser 3 GB para navegar no YouTube) · 22d</t>
        </is>
      </c>
      <c r="E26" s="2" t="n"/>
      <c r="F26" s="2" t="n"/>
      <c r="G26" s="2" t="n"/>
      <c r="H26" s="2" t="n"/>
    </row>
    <row r="27">
      <c r="A27" s="5" t="inlineStr">
        <is>
          <t>Vivo Pré</t>
        </is>
      </c>
      <c r="B27" s="6" t="n">
        <v>30</v>
      </c>
      <c r="C27" s="6" t="n"/>
      <c r="D27" s="5" t="inlineStr">
        <is>
          <t>25 GB (15 GB para navegar como quiser 5 GB de bônus 5 GB para navegar no Youtube) · 30d</t>
        </is>
      </c>
      <c r="E27" s="5" t="n"/>
      <c r="F27" s="5" t="n"/>
      <c r="G27" s="5" t="n"/>
      <c r="H27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2026-07-01T22:17:36Z</dcterms:created>
  <dcterms:modified xsi:type="dcterms:W3CDTF">2026-07-01T22:17:37Z</dcterms:modified>
</cp:coreProperties>
</file>