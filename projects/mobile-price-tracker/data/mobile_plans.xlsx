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Ranking" sheetId="6" state="visible" r:id="rId6"/>
    <sheet name="Vivo" sheetId="7" state="visible" r:id="rId7"/>
    <sheet name="Claro" sheetId="8" state="visible" r:id="rId8"/>
    <sheet name="TIM" sheetId="9" state="visible" r:id="rId9"/>
  </sheets>
  <definedNames>
    <definedName name="_xlnm._FilterDatabase" localSheetId="0" hidden="1">'history'!$A$1:$T$52</definedName>
    <definedName name="_xlnm._FilterDatabase" localSheetId="1" hidden="1">'latest'!$A$1:$T$52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[RED]-R$ #,##0.00;&quot;-&quot;"/>
    <numFmt numFmtId="165" formatCode="#,##0.##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</f>
            </numRef>
          </cat>
          <val>
            <numRef>
              <f>'comparison'!$B$37</f>
            </numRef>
          </val>
          <smooth val="0"/>
        </ser>
        <ser>
          <idx val="1"/>
          <order val="1"/>
          <tx>
            <strRef>
              <f>'comparison'!C36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</f>
            </numRef>
          </cat>
          <val>
            <numRef>
              <f>'comparison'!$C$37</f>
            </numRef>
          </val>
          <smooth val="0"/>
        </ser>
        <ser>
          <idx val="2"/>
          <order val="2"/>
          <tx>
            <strRef>
              <f>'comparison'!D36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</f>
            </numRef>
          </cat>
          <val>
            <numRef>
              <f>'comparison'!$D$37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</f>
            </numRef>
          </cat>
          <val>
            <numRef>
              <f>'comparison'!$E$37</f>
            </numRef>
          </val>
          <smooth val="0"/>
        </ser>
        <ser>
          <idx val="1"/>
          <order val="1"/>
          <tx>
            <strRef>
              <f>'comparison'!F36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</f>
            </numRef>
          </cat>
          <val>
            <numRef>
              <f>'comparison'!$F$37</f>
            </numRef>
          </val>
          <smooth val="0"/>
        </ser>
        <ser>
          <idx val="2"/>
          <order val="2"/>
          <tx>
            <strRef>
              <f>'comparison'!G36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</f>
            </numRef>
          </cat>
          <val>
            <numRef>
              <f>'comparison'!$G$37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</f>
            </numRef>
          </cat>
          <val>
            <numRef>
              <f>'comparison'!$H$37</f>
            </numRef>
          </val>
          <smooth val="0"/>
        </ser>
        <ser>
          <idx val="1"/>
          <order val="1"/>
          <tx>
            <strRef>
              <f>'comparison'!I36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</f>
            </numRef>
          </cat>
          <val>
            <numRef>
              <f>'comparison'!$I$37</f>
            </numRef>
          </val>
          <smooth val="0"/>
        </ser>
        <ser>
          <idx val="2"/>
          <order val="2"/>
          <tx>
            <strRef>
              <f>'comparison'!J36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</f>
            </numRef>
          </cat>
          <val>
            <numRef>
              <f>'comparison'!$J$37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'comparison'!K36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</f>
            </numRef>
          </cat>
          <val>
            <numRef>
              <f>'comparison'!$K$37</f>
            </numRef>
          </val>
          <smooth val="0"/>
        </ser>
        <ser>
          <idx val="1"/>
          <order val="1"/>
          <tx>
            <strRef>
              <f>'comparison'!L36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</f>
            </numRef>
          </cat>
          <val>
            <numRef>
              <f>'comparison'!$L$37</f>
            </numRef>
          </val>
          <smooth val="0"/>
        </ser>
        <ser>
          <idx val="2"/>
          <order val="2"/>
          <tx>
            <strRef>
              <f>'comparison'!M36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'comparison'!$A$37</f>
            </numRef>
          </cat>
          <val>
            <numRef>
              <f>'comparison'!$M$37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18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18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T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6" customWidth="1" min="13" max="13"/>
    <col width="10" customWidth="1" min="14" max="14"/>
    <col width="10" customWidth="1" min="15" max="15"/>
    <col width="11" customWidth="1" min="16" max="16"/>
    <col width="16" customWidth="1" min="17" max="17"/>
    <col width="16" customWidth="1" min="18" max="18"/>
    <col width="12" customWidth="1" min="19" max="19"/>
    <col width="10" customWidth="1" min="20" max="20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unlimited_apps</t>
        </is>
      </c>
      <c r="N1" s="1" t="inlineStr">
        <is>
          <t>voice</t>
        </is>
      </c>
      <c r="O1" s="1" t="inlineStr">
        <is>
          <t>sms</t>
        </is>
      </c>
      <c r="P1" s="1" t="inlineStr">
        <is>
          <t>streaming</t>
        </is>
      </c>
      <c r="Q1" s="1" t="inlineStr">
        <is>
          <t>loyalty_months</t>
        </is>
      </c>
      <c r="R1" s="1" t="inlineStr">
        <is>
          <t>extra_benefits</t>
        </is>
      </c>
      <c r="S1" s="1" t="inlineStr">
        <is>
          <t>source_url</t>
        </is>
      </c>
      <c r="T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>
        <is>
          <t>WhatsApp</t>
        </is>
      </c>
      <c r="N2" s="2" t="inlineStr"/>
      <c r="O2" s="2" t="inlineStr"/>
      <c r="P2" s="2" t="inlineStr"/>
      <c r="Q2" s="2" t="inlineStr"/>
      <c r="R2" s="2" t="inlineStr">
        <is>
          <t>Para uso livre; Para redes sociais e vídeos; Bônus exclusivo; Aproveite na sua franquia; WhatsApp e ligações ilimitadas</t>
        </is>
      </c>
      <c r="S2" s="2" t="inlineStr">
        <is>
          <t>https://www.claro.com.br/celular/controle</t>
        </is>
      </c>
      <c r="T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>
        <is>
          <t>WhatsApp</t>
        </is>
      </c>
      <c r="N3" s="5" t="inlineStr"/>
      <c r="O3" s="5" t="inlineStr"/>
      <c r="P3" s="5" t="inlineStr"/>
      <c r="Q3" s="5" t="inlineStr"/>
      <c r="R3" s="5" t="inlineStr">
        <is>
          <t>Para uso livre; Bônus do Hexa para uso livre; Bônus para redes sociais e apps; Redes sociais e apps; WhatsApp ilimitado</t>
        </is>
      </c>
      <c r="S3" s="5" t="inlineStr">
        <is>
          <t>https://www.claro.com.br/celular/controle</t>
        </is>
      </c>
      <c r="T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>
        <is>
          <t>WhatsApp</t>
        </is>
      </c>
      <c r="N4" s="2" t="inlineStr"/>
      <c r="O4" s="2" t="inlineStr"/>
      <c r="P4" s="2" t="inlineStr"/>
      <c r="Q4" s="2" t="inlineStr"/>
      <c r="R4" s="2" t="inlineStr">
        <is>
          <t>Para uso livre; Bônus para redes sociais e apps; Bônus uso livre; Redes sociais e apps; WhatsApp ilimitado</t>
        </is>
      </c>
      <c r="S4" s="2" t="inlineStr">
        <is>
          <t>https://www.claro.com.br/celular/controle</t>
        </is>
      </c>
      <c r="T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>
        <is>
          <t>WhatsApp</t>
        </is>
      </c>
      <c r="N5" s="5" t="inlineStr"/>
      <c r="O5" s="5" t="inlineStr"/>
      <c r="P5" s="5" t="inlineStr"/>
      <c r="Q5" s="5" t="inlineStr"/>
      <c r="R5" s="5" t="inlineStr">
        <is>
          <t>Para uso livre; Bônus do Hexa para uso livre; Para redes sociais e apps; Bônus extra nos apps; WhatsApp ilimitado</t>
        </is>
      </c>
      <c r="S5" s="5" t="inlineStr">
        <is>
          <t>https://www.claro.com.br/celular/flex</t>
        </is>
      </c>
      <c r="T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>
        <is>
          <t>WhatsApp</t>
        </is>
      </c>
      <c r="N6" s="2" t="inlineStr"/>
      <c r="O6" s="2" t="inlineStr"/>
      <c r="P6" s="2" t="inlineStr"/>
      <c r="Q6" s="2" t="inlineStr"/>
      <c r="R6" s="2" t="inlineStr">
        <is>
          <t>Para uso livre; Bônus do Hexa para uso livre; Para redes sociais e apps; Bônus extra nos apps; WhatsApp ilimitado</t>
        </is>
      </c>
      <c r="S6" s="2" t="inlineStr">
        <is>
          <t>https://www.claro.com.br/celular/flex</t>
        </is>
      </c>
      <c r="T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>
        <is>
          <t>WhatsApp</t>
        </is>
      </c>
      <c r="N7" s="5" t="inlineStr"/>
      <c r="O7" s="5" t="inlineStr"/>
      <c r="P7" s="5" t="inlineStr"/>
      <c r="Q7" s="5" t="inlineStr"/>
      <c r="R7" s="5" t="inlineStr">
        <is>
          <t>Para uso livre; Bônus do Hexa para uso livre; Para redes sociais e apps; Bônus extra nos apps; WhatsApp ilimitado; Assinatura Claro musica inclusa</t>
        </is>
      </c>
      <c r="S7" s="5" t="inlineStr">
        <is>
          <t>https://www.claro.com.br/celular/flex</t>
        </is>
      </c>
      <c r="T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>
        <is>
          <t>WhatsApp</t>
        </is>
      </c>
      <c r="N8" s="2" t="inlineStr"/>
      <c r="O8" s="2" t="inlineStr"/>
      <c r="P8" s="2" t="inlineStr"/>
      <c r="Q8" s="2" t="inlineStr"/>
      <c r="R8" s="2" t="inlineStr">
        <is>
          <t>Para uso livre; Para redes sociais e apps; Bônus uso livre; Bônus extra nos apps; WhatsApp ilimitado; Assinatura Claro musica inclusa</t>
        </is>
      </c>
      <c r="S8" s="2" t="inlineStr">
        <is>
          <t>https://www.claro.com.br/celular/flex</t>
        </is>
      </c>
      <c r="T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>
        <is>
          <t>WhatsApp</t>
        </is>
      </c>
      <c r="N9" s="5" t="inlineStr"/>
      <c r="O9" s="5" t="inlineStr"/>
      <c r="P9" s="5" t="inlineStr"/>
      <c r="Q9" s="5" t="inlineStr"/>
      <c r="R9" s="5" t="inlineStr">
        <is>
          <t>Armazenamento na nuvem:; Google One ou iCloud+; WhatsApp ilimitado; Roaming: Passaporte Américas; Claro Sync: Smartwatch conectado</t>
        </is>
      </c>
      <c r="S9" s="5" t="inlineStr">
        <is>
          <t>https://www.claro.com.br/celular/pos</t>
        </is>
      </c>
      <c r="T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>
        <is>
          <t>WhatsApp</t>
        </is>
      </c>
      <c r="N10" s="2" t="inlineStr"/>
      <c r="O10" s="2" t="inlineStr"/>
      <c r="P10" s="2" t="inlineStr"/>
      <c r="Q10" s="2" t="inlineStr"/>
      <c r="R10" s="2" t="inlineStr">
        <is>
          <t>Armazenamento na nuvem:; Google One ou iCloud+; WhatsApp ilimitado; Roaming: Passaporte Américas e Europa; Claro Sync: Smartwatch conectado</t>
        </is>
      </c>
      <c r="S10" s="2" t="inlineStr">
        <is>
          <t>https://www.claro.com.br/celular/pos</t>
        </is>
      </c>
      <c r="T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>
        <is>
          <t>WhatsApp</t>
        </is>
      </c>
      <c r="N11" s="5" t="inlineStr"/>
      <c r="O11" s="5" t="inlineStr"/>
      <c r="P11" s="5" t="inlineStr"/>
      <c r="Q11" s="5" t="inlineStr"/>
      <c r="R11" s="5" t="inlineStr">
        <is>
          <t>Armazenamento na nuvem:; Google One ou iCloud+; WhatsApp ilimitado; Roaming: Passaporte Mundo; Claro Sync: Smartwatch conectado</t>
        </is>
      </c>
      <c r="S11" s="5" t="inlineStr">
        <is>
          <t>https://www.claro.com.br/celular/pos</t>
        </is>
      </c>
      <c r="T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>
        <is>
          <t>WhatsApp</t>
        </is>
      </c>
      <c r="N12" s="2" t="inlineStr"/>
      <c r="O12" s="2" t="inlineStr"/>
      <c r="P12" s="2" t="inlineStr"/>
      <c r="Q12" s="2" t="inlineStr"/>
      <c r="R12" s="2" t="inlineStr">
        <is>
          <t>Armazenamento na nuvem:; Google One ou iCloud+; WhatsApp ilimitado; Roaming: Passaporte Américas; Claro Sync: Smartwatch conectado; Inclusa assinatura GeForce NOW</t>
        </is>
      </c>
      <c r="S12" s="2" t="inlineStr">
        <is>
          <t>https://www.claro.com.br/celular/pos</t>
        </is>
      </c>
      <c r="T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>
        <is>
          <t>WhatsApp</t>
        </is>
      </c>
      <c r="N13" s="5" t="inlineStr"/>
      <c r="O13" s="5" t="inlineStr"/>
      <c r="P13" s="5" t="inlineStr"/>
      <c r="Q13" s="5" t="inlineStr"/>
      <c r="R13" s="5" t="inlineStr">
        <is>
          <t>Armazenamento na nuvem:; Google One ou iCloud+; WhatsApp ilimitado; Roaming: Passaporte Américas; Claro Sync: Smartwatch conectado</t>
        </is>
      </c>
      <c r="S13" s="5" t="inlineStr">
        <is>
          <t>https://www.claro.com.br/celular/pos</t>
        </is>
      </c>
      <c r="T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>
        <is>
          <t>https://www.claro.com.br/celular/planos-pre/prezao</t>
        </is>
      </c>
      <c r="T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>
        <is>
          <t>https://www.tim.com.br/sp/para-voce/planos/controle</t>
        </is>
      </c>
      <c r="T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>
        <is>
          <t>https://www.tim.com.br/sp/para-voce/planos/controle</t>
        </is>
      </c>
      <c r="T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>
        <is>
          <t>https://www.tim.com.br/sp/para-voce/planos/controle</t>
        </is>
      </c>
      <c r="T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>
        <is>
          <t>https://www.tim.com.br/sp/para-voce/planos/controle</t>
        </is>
      </c>
      <c r="T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>
        <is>
          <t>https://www.tim.com.br/sp/para-voce/planos/controle</t>
        </is>
      </c>
      <c r="T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>
        <is>
          <t>https://www.tim.com.br/sp/para-voce/planos/pos-pago/tim-black</t>
        </is>
      </c>
      <c r="T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>
        <is>
          <t>https://www.tim.com.br/sp/para-voce/planos/pos-pago/tim-black</t>
        </is>
      </c>
      <c r="T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>
        <is>
          <t>https://www.tim.com.br/sp/para-voce/planos/pos-pago/tim-black</t>
        </is>
      </c>
      <c r="T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>
        <is>
          <t>https://www.tim.com.br/sp/para-voce/planos/pos-pago/tim-black</t>
        </is>
      </c>
      <c r="T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>
        <is>
          <t>https://www.tim.com.br/sp/para-voce/planos/pos-pago/tim-black</t>
        </is>
      </c>
      <c r="T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>
        <is>
          <t>https://www.tim.com.br/sp/para-voce/planos/pos-pago/tim-black</t>
        </is>
      </c>
      <c r="T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>
        <is>
          <t>https://www.tim.com.br/sp/para-voce/planos/pos-pago/tim-black</t>
        </is>
      </c>
      <c r="T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>
        <is>
          <t>https://www.tim.com.br/sp/para-voce/planos/pre-pago</t>
        </is>
      </c>
      <c r="T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>
        <is>
          <t>https://www.tim.com.br/sp/para-voce/planos/pre-pago</t>
        </is>
      </c>
      <c r="T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>
        <is>
          <t>https://www.tim.com.br/sp/para-voce/planos/pre-pago</t>
        </is>
      </c>
      <c r="T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>
        <is>
          <t>6 meses grátis de Gemini com AI Plus</t>
        </is>
      </c>
      <c r="S30" s="2" t="inlineStr">
        <is>
          <t>https://vivo.com.br/para-voce/produtos-e-servicos/para-o-celular/planos-controle</t>
        </is>
      </c>
      <c r="T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>
        <is>
          <t>6 meses grátis de Gemini com AI Plus</t>
        </is>
      </c>
      <c r="S31" s="5" t="inlineStr">
        <is>
          <t>https://vivo.com.br/para-voce/produtos-e-servicos/para-o-celular/planos-controle</t>
        </is>
      </c>
      <c r="T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>
        <is>
          <t>Assinatura Vivae inclusa</t>
        </is>
      </c>
      <c r="S32" s="2" t="inlineStr">
        <is>
          <t>https://vivo.com.br/para-voce/produtos-e-servicos/para-o-celular/planos-controle</t>
        </is>
      </c>
      <c r="T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>
        <is>
          <t>Assinatura Vivo TV Inicial inclusa</t>
        </is>
      </c>
      <c r="S33" s="5" t="inlineStr">
        <is>
          <t>https://vivo.com.br/para-voce/produtos-e-servicos/para-o-celular/planos-controle</t>
        </is>
      </c>
      <c r="T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>
        <is>
          <t>Apple Music Individual</t>
        </is>
      </c>
      <c r="S34" s="2" t="inlineStr">
        <is>
          <t>https://vivo.com.br/para-voce/produtos-e-servicos/para-o-celular/planos-controle</t>
        </is>
      </c>
      <c r="T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>
        <is>
          <t>Assinatura Netflix Padrão com anúncios</t>
        </is>
      </c>
      <c r="S35" s="5" t="inlineStr">
        <is>
          <t>https://vivo.com.br/para-voce/produtos-e-servicos/para-o-celular/planos-controle</t>
        </is>
      </c>
      <c r="T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>
        <is>
          <t>Assinatura Vale Saúde Sempre inclusa</t>
        </is>
      </c>
      <c r="S36" s="2" t="inlineStr">
        <is>
          <t>https://vivo.com.br/para-voce/produtos-e-servicos/para-o-celular/planos-controle</t>
        </is>
      </c>
      <c r="T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 2 Meses de YouTube ilimitado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>
        <is>
          <t>https://vivo.com.br/para-voce/produtos-e-servicos/para-o-celular/easy-lite</t>
        </is>
      </c>
      <c r="T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 2 Meses de YouTube ilimitado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>
        <is>
          <t>https://vivo.com.br/para-voce/produtos-e-servicos/para-o-celular/easy-lite</t>
        </is>
      </c>
      <c r="T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 2 Meses de YouTube ilimitado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>
        <is>
          <t>https://vivo.com.br/para-voce/produtos-e-servicos/para-o-celular/easy-lite</t>
        </is>
      </c>
      <c r="T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4" t="n">
        <v>30</v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>
        <is>
          <t>https://vivo.com.br/para-voce/produtos-e-servicos/para-o-celular/easy-lite</t>
        </is>
      </c>
      <c r="T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7" t="n">
        <v>40</v>
      </c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>
        <is>
          <t>https://vivo.com.br/para-voce/produtos-e-servicos/para-o-celular/easy-lite</t>
        </is>
      </c>
      <c r="T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/>
      <c r="Q42" s="2" t="inlineStr"/>
      <c r="R42" s="2" t="inlineStr">
        <is>
          <t>Assinatura Amazon Prime inclusa</t>
        </is>
      </c>
      <c r="S42" s="2" t="inlineStr">
        <is>
          <t>https://vivo.com.br/para-voce/produtos-e-servicos/para-o-celular/planos-pos-pago</t>
        </is>
      </c>
      <c r="T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>
        <is>
          <t>Disney+</t>
        </is>
      </c>
      <c r="Q43" s="5" t="inlineStr"/>
      <c r="R43" s="5" t="inlineStr">
        <is>
          <t>Assinatura Disney+ Padrão inclusa</t>
        </is>
      </c>
      <c r="S43" s="5" t="inlineStr">
        <is>
          <t>https://vivo.com.br/para-voce/produtos-e-servicos/para-o-celular/planos-pos-pago</t>
        </is>
      </c>
      <c r="T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>
        <is>
          <t>Globoplay</t>
        </is>
      </c>
      <c r="Q44" s="2" t="inlineStr"/>
      <c r="R44" s="2" t="inlineStr">
        <is>
          <t>Assinatura Globoplay inclusa</t>
        </is>
      </c>
      <c r="S44" s="2" t="inlineStr">
        <is>
          <t>https://vivo.com.br/para-voce/produtos-e-servicos/para-o-celular/planos-pos-pago</t>
        </is>
      </c>
      <c r="T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>
        <is>
          <t>Netflix</t>
        </is>
      </c>
      <c r="Q45" s="5" t="inlineStr"/>
      <c r="R45" s="5" t="inlineStr">
        <is>
          <t>Assinatura Netflix Padrão inclusa</t>
        </is>
      </c>
      <c r="S45" s="5" t="inlineStr">
        <is>
          <t>https://vivo.com.br/para-voce/produtos-e-servicos/para-o-celular/planos-pos-pago</t>
        </is>
      </c>
      <c r="T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>
        <is>
          <t>Premiere</t>
        </is>
      </c>
      <c r="Q46" s="2" t="inlineStr"/>
      <c r="R46" s="2" t="inlineStr">
        <is>
          <t>Assinatura Premiere inclusa</t>
        </is>
      </c>
      <c r="S46" s="2" t="inlineStr">
        <is>
          <t>https://vivo.com.br/para-voce/produtos-e-servicos/para-o-celular/planos-pos-pago</t>
        </is>
      </c>
      <c r="T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>
        <is>
          <t>Spotify</t>
        </is>
      </c>
      <c r="Q47" s="5" t="inlineStr"/>
      <c r="R47" s="5" t="inlineStr">
        <is>
          <t>Assinatura Spotify Premium inclusa</t>
        </is>
      </c>
      <c r="S47" s="5" t="inlineStr">
        <is>
          <t>https://vivo.com.br/para-voce/produtos-e-servicos/para-o-celular/planos-pos-pago</t>
        </is>
      </c>
      <c r="T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4" t="n">
        <v>70</v>
      </c>
      <c r="L48" s="2" t="inlineStr">
        <is>
          <t>60 GB de franquia 10 GB de bônus</t>
        </is>
      </c>
      <c r="M48" s="2" t="inlineStr"/>
      <c r="N48" s="2" t="inlineStr"/>
      <c r="O48" s="2" t="inlineStr"/>
      <c r="P48" s="2" t="inlineStr"/>
      <c r="Q48" s="2" t="inlineStr"/>
      <c r="R48" s="2" t="inlineStr">
        <is>
          <t>6 meses grátis de Gemini com AI Plus</t>
        </is>
      </c>
      <c r="S48" s="2" t="inlineStr">
        <is>
          <t>https://vivo.com.br/para-voce/produtos-e-servicos/para-o-celular/planos-pos-pago</t>
        </is>
      </c>
      <c r="T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7" t="n">
        <v>25</v>
      </c>
      <c r="L49" s="5" t="inlineStr">
        <is>
          <t>15 GB para navegar como quiser 5 GB de bônus 5 GB para navegar no Youtube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>
        <is>
          <t>https://vivo.com.br/para-voce/produtos-e-servicos/para-o-celular/pre-pago/vivo-pre</t>
        </is>
      </c>
      <c r="T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4" t="n">
        <v>9</v>
      </c>
      <c r="L50" s="2" t="inlineStr">
        <is>
          <t>6 GB para navegar como quiser 3 GB para navegar no YouTube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>
        <is>
          <t>https://vivo.com.br/para-voce/produtos-e-servicos/para-o-celular/pre-pago/vivo-pre</t>
        </is>
      </c>
      <c r="T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7" t="n">
        <v>5</v>
      </c>
      <c r="L51" s="5" t="inlineStr">
        <is>
          <t>5 GB para navegar como quiser</t>
        </is>
      </c>
      <c r="M51" s="5" t="inlineStr"/>
      <c r="N51" s="5" t="inlineStr"/>
      <c r="O51" s="5" t="inlineStr"/>
      <c r="P51" s="5" t="inlineStr"/>
      <c r="Q51" s="5" t="inlineStr"/>
      <c r="R51" s="5" t="inlineStr"/>
      <c r="S51" s="5" t="inlineStr">
        <is>
          <t>https://vivo.com.br/para-voce/produtos-e-servicos/para-o-celular/pre-pago/vivo-pre</t>
        </is>
      </c>
      <c r="T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4" t="n">
        <v>4</v>
      </c>
      <c r="L52" s="2" t="inlineStr">
        <is>
          <t>4 GB para navegar como quiser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>
        <is>
          <t>https://vivo.com.br/para-voce/produtos-e-servicos/para-o-celular/pre-pago/vivo-pre</t>
        </is>
      </c>
      <c r="T52" s="2" t="inlineStr">
        <is>
          <t>data/raw/vivo_prepaid_SP.html</t>
        </is>
      </c>
    </row>
  </sheetData>
  <autoFilter ref="A1:T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T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6" customWidth="1" min="13" max="13"/>
    <col width="10" customWidth="1" min="14" max="14"/>
    <col width="10" customWidth="1" min="15" max="15"/>
    <col width="11" customWidth="1" min="16" max="16"/>
    <col width="16" customWidth="1" min="17" max="17"/>
    <col width="16" customWidth="1" min="18" max="18"/>
    <col width="12" customWidth="1" min="19" max="19"/>
    <col width="10" customWidth="1" min="20" max="20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unlimited_apps</t>
        </is>
      </c>
      <c r="N1" s="1" t="inlineStr">
        <is>
          <t>voice</t>
        </is>
      </c>
      <c r="O1" s="1" t="inlineStr">
        <is>
          <t>sms</t>
        </is>
      </c>
      <c r="P1" s="1" t="inlineStr">
        <is>
          <t>streaming</t>
        </is>
      </c>
      <c r="Q1" s="1" t="inlineStr">
        <is>
          <t>loyalty_months</t>
        </is>
      </c>
      <c r="R1" s="1" t="inlineStr">
        <is>
          <t>extra_benefits</t>
        </is>
      </c>
      <c r="S1" s="1" t="inlineStr">
        <is>
          <t>source_url</t>
        </is>
      </c>
      <c r="T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>
        <is>
          <t>WhatsApp</t>
        </is>
      </c>
      <c r="N2" s="2" t="inlineStr"/>
      <c r="O2" s="2" t="inlineStr"/>
      <c r="P2" s="2" t="inlineStr"/>
      <c r="Q2" s="2" t="inlineStr"/>
      <c r="R2" s="2" t="inlineStr">
        <is>
          <t>Para uso livre; Para redes sociais e vídeos; Bônus exclusivo; Aproveite na sua franquia; WhatsApp e ligações ilimitadas</t>
        </is>
      </c>
      <c r="S2" s="2" t="inlineStr">
        <is>
          <t>https://www.claro.com.br/celular/controle</t>
        </is>
      </c>
      <c r="T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>
        <is>
          <t>WhatsApp</t>
        </is>
      </c>
      <c r="N3" s="5" t="inlineStr"/>
      <c r="O3" s="5" t="inlineStr"/>
      <c r="P3" s="5" t="inlineStr"/>
      <c r="Q3" s="5" t="inlineStr"/>
      <c r="R3" s="5" t="inlineStr">
        <is>
          <t>Para uso livre; Bônus do Hexa para uso livre; Bônus para redes sociais e apps; Redes sociais e apps; WhatsApp ilimitado</t>
        </is>
      </c>
      <c r="S3" s="5" t="inlineStr">
        <is>
          <t>https://www.claro.com.br/celular/controle</t>
        </is>
      </c>
      <c r="T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>
        <is>
          <t>WhatsApp</t>
        </is>
      </c>
      <c r="N4" s="2" t="inlineStr"/>
      <c r="O4" s="2" t="inlineStr"/>
      <c r="P4" s="2" t="inlineStr"/>
      <c r="Q4" s="2" t="inlineStr"/>
      <c r="R4" s="2" t="inlineStr">
        <is>
          <t>Para uso livre; Bônus para redes sociais e apps; Bônus uso livre; Redes sociais e apps; WhatsApp ilimitado</t>
        </is>
      </c>
      <c r="S4" s="2" t="inlineStr">
        <is>
          <t>https://www.claro.com.br/celular/controle</t>
        </is>
      </c>
      <c r="T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>
        <is>
          <t>WhatsApp</t>
        </is>
      </c>
      <c r="N5" s="5" t="inlineStr"/>
      <c r="O5" s="5" t="inlineStr"/>
      <c r="P5" s="5" t="inlineStr"/>
      <c r="Q5" s="5" t="inlineStr"/>
      <c r="R5" s="5" t="inlineStr">
        <is>
          <t>Para uso livre; Bônus do Hexa para uso livre; Para redes sociais e apps; Bônus extra nos apps; WhatsApp ilimitado</t>
        </is>
      </c>
      <c r="S5" s="5" t="inlineStr">
        <is>
          <t>https://www.claro.com.br/celular/flex</t>
        </is>
      </c>
      <c r="T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>
        <is>
          <t>WhatsApp</t>
        </is>
      </c>
      <c r="N6" s="2" t="inlineStr"/>
      <c r="O6" s="2" t="inlineStr"/>
      <c r="P6" s="2" t="inlineStr"/>
      <c r="Q6" s="2" t="inlineStr"/>
      <c r="R6" s="2" t="inlineStr">
        <is>
          <t>Para uso livre; Bônus do Hexa para uso livre; Para redes sociais e apps; Bônus extra nos apps; WhatsApp ilimitado</t>
        </is>
      </c>
      <c r="S6" s="2" t="inlineStr">
        <is>
          <t>https://www.claro.com.br/celular/flex</t>
        </is>
      </c>
      <c r="T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>
        <is>
          <t>WhatsApp</t>
        </is>
      </c>
      <c r="N7" s="5" t="inlineStr"/>
      <c r="O7" s="5" t="inlineStr"/>
      <c r="P7" s="5" t="inlineStr"/>
      <c r="Q7" s="5" t="inlineStr"/>
      <c r="R7" s="5" t="inlineStr">
        <is>
          <t>Para uso livre; Bônus do Hexa para uso livre; Para redes sociais e apps; Bônus extra nos apps; WhatsApp ilimitado; Assinatura Claro musica inclusa</t>
        </is>
      </c>
      <c r="S7" s="5" t="inlineStr">
        <is>
          <t>https://www.claro.com.br/celular/flex</t>
        </is>
      </c>
      <c r="T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>
        <is>
          <t>WhatsApp</t>
        </is>
      </c>
      <c r="N8" s="2" t="inlineStr"/>
      <c r="O8" s="2" t="inlineStr"/>
      <c r="P8" s="2" t="inlineStr"/>
      <c r="Q8" s="2" t="inlineStr"/>
      <c r="R8" s="2" t="inlineStr">
        <is>
          <t>Para uso livre; Para redes sociais e apps; Bônus uso livre; Bônus extra nos apps; WhatsApp ilimitado; Assinatura Claro musica inclusa</t>
        </is>
      </c>
      <c r="S8" s="2" t="inlineStr">
        <is>
          <t>https://www.claro.com.br/celular/flex</t>
        </is>
      </c>
      <c r="T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>
        <is>
          <t>WhatsApp</t>
        </is>
      </c>
      <c r="N9" s="5" t="inlineStr"/>
      <c r="O9" s="5" t="inlineStr"/>
      <c r="P9" s="5" t="inlineStr"/>
      <c r="Q9" s="5" t="inlineStr"/>
      <c r="R9" s="5" t="inlineStr">
        <is>
          <t>Armazenamento na nuvem:; Google One ou iCloud+; WhatsApp ilimitado; Roaming: Passaporte Américas; Claro Sync: Smartwatch conectado</t>
        </is>
      </c>
      <c r="S9" s="5" t="inlineStr">
        <is>
          <t>https://www.claro.com.br/celular/pos</t>
        </is>
      </c>
      <c r="T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>
        <is>
          <t>WhatsApp</t>
        </is>
      </c>
      <c r="N10" s="2" t="inlineStr"/>
      <c r="O10" s="2" t="inlineStr"/>
      <c r="P10" s="2" t="inlineStr"/>
      <c r="Q10" s="2" t="inlineStr"/>
      <c r="R10" s="2" t="inlineStr">
        <is>
          <t>Armazenamento na nuvem:; Google One ou iCloud+; WhatsApp ilimitado; Roaming: Passaporte Américas e Europa; Claro Sync: Smartwatch conectado</t>
        </is>
      </c>
      <c r="S10" s="2" t="inlineStr">
        <is>
          <t>https://www.claro.com.br/celular/pos</t>
        </is>
      </c>
      <c r="T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>
        <is>
          <t>WhatsApp</t>
        </is>
      </c>
      <c r="N11" s="5" t="inlineStr"/>
      <c r="O11" s="5" t="inlineStr"/>
      <c r="P11" s="5" t="inlineStr"/>
      <c r="Q11" s="5" t="inlineStr"/>
      <c r="R11" s="5" t="inlineStr">
        <is>
          <t>Armazenamento na nuvem:; Google One ou iCloud+; WhatsApp ilimitado; Roaming: Passaporte Mundo; Claro Sync: Smartwatch conectado</t>
        </is>
      </c>
      <c r="S11" s="5" t="inlineStr">
        <is>
          <t>https://www.claro.com.br/celular/pos</t>
        </is>
      </c>
      <c r="T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>
        <is>
          <t>WhatsApp</t>
        </is>
      </c>
      <c r="N12" s="2" t="inlineStr"/>
      <c r="O12" s="2" t="inlineStr"/>
      <c r="P12" s="2" t="inlineStr"/>
      <c r="Q12" s="2" t="inlineStr"/>
      <c r="R12" s="2" t="inlineStr">
        <is>
          <t>Armazenamento na nuvem:; Google One ou iCloud+; WhatsApp ilimitado; Roaming: Passaporte Américas; Claro Sync: Smartwatch conectado; Inclusa assinatura GeForce NOW</t>
        </is>
      </c>
      <c r="S12" s="2" t="inlineStr">
        <is>
          <t>https://www.claro.com.br/celular/pos</t>
        </is>
      </c>
      <c r="T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>
        <is>
          <t>WhatsApp</t>
        </is>
      </c>
      <c r="N13" s="5" t="inlineStr"/>
      <c r="O13" s="5" t="inlineStr"/>
      <c r="P13" s="5" t="inlineStr"/>
      <c r="Q13" s="5" t="inlineStr"/>
      <c r="R13" s="5" t="inlineStr">
        <is>
          <t>Armazenamento na nuvem:; Google One ou iCloud+; WhatsApp ilimitado; Roaming: Passaporte Américas; Claro Sync: Smartwatch conectado</t>
        </is>
      </c>
      <c r="S13" s="5" t="inlineStr">
        <is>
          <t>https://www.claro.com.br/celular/pos</t>
        </is>
      </c>
      <c r="T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>
        <is>
          <t>https://www.claro.com.br/celular/planos-pre/prezao</t>
        </is>
      </c>
      <c r="T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>
        <is>
          <t>https://www.tim.com.br/sp/para-voce/planos/controle</t>
        </is>
      </c>
      <c r="T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>
        <is>
          <t>https://www.tim.com.br/sp/para-voce/planos/controle</t>
        </is>
      </c>
      <c r="T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>
        <is>
          <t>https://www.tim.com.br/sp/para-voce/planos/controle</t>
        </is>
      </c>
      <c r="T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>
        <is>
          <t>https://www.tim.com.br/sp/para-voce/planos/controle</t>
        </is>
      </c>
      <c r="T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>
        <is>
          <t>https://www.tim.com.br/sp/para-voce/planos/controle</t>
        </is>
      </c>
      <c r="T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>
        <is>
          <t>https://www.tim.com.br/sp/para-voce/planos/pos-pago/tim-black</t>
        </is>
      </c>
      <c r="T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>
        <is>
          <t>https://www.tim.com.br/sp/para-voce/planos/pos-pago/tim-black</t>
        </is>
      </c>
      <c r="T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>
        <is>
          <t>https://www.tim.com.br/sp/para-voce/planos/pos-pago/tim-black</t>
        </is>
      </c>
      <c r="T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>
        <is>
          <t>https://www.tim.com.br/sp/para-voce/planos/pos-pago/tim-black</t>
        </is>
      </c>
      <c r="T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>
        <is>
          <t>https://www.tim.com.br/sp/para-voce/planos/pos-pago/tim-black</t>
        </is>
      </c>
      <c r="T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>
        <is>
          <t>https://www.tim.com.br/sp/para-voce/planos/pos-pago/tim-black</t>
        </is>
      </c>
      <c r="T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>
        <is>
          <t>https://www.tim.com.br/sp/para-voce/planos/pos-pago/tim-black</t>
        </is>
      </c>
      <c r="T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>
        <is>
          <t>https://www.tim.com.br/sp/para-voce/planos/pre-pago</t>
        </is>
      </c>
      <c r="T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>
        <is>
          <t>https://www.tim.com.br/sp/para-voce/planos/pre-pago</t>
        </is>
      </c>
      <c r="T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>
        <is>
          <t>https://www.tim.com.br/sp/para-voce/planos/pre-pago</t>
        </is>
      </c>
      <c r="T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>
        <is>
          <t>6 meses grátis de Gemini com AI Plus</t>
        </is>
      </c>
      <c r="S30" s="2" t="inlineStr">
        <is>
          <t>https://vivo.com.br/para-voce/produtos-e-servicos/para-o-celular/planos-controle</t>
        </is>
      </c>
      <c r="T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>
        <is>
          <t>6 meses grátis de Gemini com AI Plus</t>
        </is>
      </c>
      <c r="S31" s="5" t="inlineStr">
        <is>
          <t>https://vivo.com.br/para-voce/produtos-e-servicos/para-o-celular/planos-controle</t>
        </is>
      </c>
      <c r="T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>
        <is>
          <t>Assinatura Vivae inclusa</t>
        </is>
      </c>
      <c r="S32" s="2" t="inlineStr">
        <is>
          <t>https://vivo.com.br/para-voce/produtos-e-servicos/para-o-celular/planos-controle</t>
        </is>
      </c>
      <c r="T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>
        <is>
          <t>Assinatura Vivo TV Inicial inclusa</t>
        </is>
      </c>
      <c r="S33" s="5" t="inlineStr">
        <is>
          <t>https://vivo.com.br/para-voce/produtos-e-servicos/para-o-celular/planos-controle</t>
        </is>
      </c>
      <c r="T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>
        <is>
          <t>Apple Music Individual</t>
        </is>
      </c>
      <c r="S34" s="2" t="inlineStr">
        <is>
          <t>https://vivo.com.br/para-voce/produtos-e-servicos/para-o-celular/planos-controle</t>
        </is>
      </c>
      <c r="T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>
        <is>
          <t>Assinatura Netflix Padrão com anúncios</t>
        </is>
      </c>
      <c r="S35" s="5" t="inlineStr">
        <is>
          <t>https://vivo.com.br/para-voce/produtos-e-servicos/para-o-celular/planos-controle</t>
        </is>
      </c>
      <c r="T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>
        <is>
          <t>Assinatura Vale Saúde Sempre inclusa</t>
        </is>
      </c>
      <c r="S36" s="2" t="inlineStr">
        <is>
          <t>https://vivo.com.br/para-voce/produtos-e-servicos/para-o-celular/planos-controle</t>
        </is>
      </c>
      <c r="T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 2 Meses de YouTube ilimitado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>
        <is>
          <t>https://vivo.com.br/para-voce/produtos-e-servicos/para-o-celular/easy-lite</t>
        </is>
      </c>
      <c r="T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 2 Meses de YouTube ilimitado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>
        <is>
          <t>https://vivo.com.br/para-voce/produtos-e-servicos/para-o-celular/easy-lite</t>
        </is>
      </c>
      <c r="T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 2 Meses de YouTube ilimitado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>
        <is>
          <t>https://vivo.com.br/para-voce/produtos-e-servicos/para-o-celular/easy-lite</t>
        </is>
      </c>
      <c r="T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4" t="n">
        <v>30</v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>
        <is>
          <t>https://vivo.com.br/para-voce/produtos-e-servicos/para-o-celular/easy-lite</t>
        </is>
      </c>
      <c r="T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7" t="n">
        <v>40</v>
      </c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>
        <is>
          <t>https://vivo.com.br/para-voce/produtos-e-servicos/para-o-celular/easy-lite</t>
        </is>
      </c>
      <c r="T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/>
      <c r="Q42" s="2" t="inlineStr"/>
      <c r="R42" s="2" t="inlineStr">
        <is>
          <t>Assinatura Amazon Prime inclusa</t>
        </is>
      </c>
      <c r="S42" s="2" t="inlineStr">
        <is>
          <t>https://vivo.com.br/para-voce/produtos-e-servicos/para-o-celular/planos-pos-pago</t>
        </is>
      </c>
      <c r="T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>
        <is>
          <t>Disney+</t>
        </is>
      </c>
      <c r="Q43" s="5" t="inlineStr"/>
      <c r="R43" s="5" t="inlineStr">
        <is>
          <t>Assinatura Disney+ Padrão inclusa</t>
        </is>
      </c>
      <c r="S43" s="5" t="inlineStr">
        <is>
          <t>https://vivo.com.br/para-voce/produtos-e-servicos/para-o-celular/planos-pos-pago</t>
        </is>
      </c>
      <c r="T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>
        <is>
          <t>Globoplay</t>
        </is>
      </c>
      <c r="Q44" s="2" t="inlineStr"/>
      <c r="R44" s="2" t="inlineStr">
        <is>
          <t>Assinatura Globoplay inclusa</t>
        </is>
      </c>
      <c r="S44" s="2" t="inlineStr">
        <is>
          <t>https://vivo.com.br/para-voce/produtos-e-servicos/para-o-celular/planos-pos-pago</t>
        </is>
      </c>
      <c r="T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>
        <is>
          <t>Netflix</t>
        </is>
      </c>
      <c r="Q45" s="5" t="inlineStr"/>
      <c r="R45" s="5" t="inlineStr">
        <is>
          <t>Assinatura Netflix Padrão inclusa</t>
        </is>
      </c>
      <c r="S45" s="5" t="inlineStr">
        <is>
          <t>https://vivo.com.br/para-voce/produtos-e-servicos/para-o-celular/planos-pos-pago</t>
        </is>
      </c>
      <c r="T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>
        <is>
          <t>Premiere</t>
        </is>
      </c>
      <c r="Q46" s="2" t="inlineStr"/>
      <c r="R46" s="2" t="inlineStr">
        <is>
          <t>Assinatura Premiere inclusa</t>
        </is>
      </c>
      <c r="S46" s="2" t="inlineStr">
        <is>
          <t>https://vivo.com.br/para-voce/produtos-e-servicos/para-o-celular/planos-pos-pago</t>
        </is>
      </c>
      <c r="T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>
        <is>
          <t>Spotify</t>
        </is>
      </c>
      <c r="Q47" s="5" t="inlineStr"/>
      <c r="R47" s="5" t="inlineStr">
        <is>
          <t>Assinatura Spotify Premium inclusa</t>
        </is>
      </c>
      <c r="S47" s="5" t="inlineStr">
        <is>
          <t>https://vivo.com.br/para-voce/produtos-e-servicos/para-o-celular/planos-pos-pago</t>
        </is>
      </c>
      <c r="T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4" t="n">
        <v>70</v>
      </c>
      <c r="L48" s="2" t="inlineStr">
        <is>
          <t>60 GB de franquia 10 GB de bônus</t>
        </is>
      </c>
      <c r="M48" s="2" t="inlineStr"/>
      <c r="N48" s="2" t="inlineStr"/>
      <c r="O48" s="2" t="inlineStr"/>
      <c r="P48" s="2" t="inlineStr"/>
      <c r="Q48" s="2" t="inlineStr"/>
      <c r="R48" s="2" t="inlineStr">
        <is>
          <t>6 meses grátis de Gemini com AI Plus</t>
        </is>
      </c>
      <c r="S48" s="2" t="inlineStr">
        <is>
          <t>https://vivo.com.br/para-voce/produtos-e-servicos/para-o-celular/planos-pos-pago</t>
        </is>
      </c>
      <c r="T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7" t="n">
        <v>25</v>
      </c>
      <c r="L49" s="5" t="inlineStr">
        <is>
          <t>15 GB para navegar como quiser 5 GB de bônus 5 GB para navegar no Youtube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>
        <is>
          <t>https://vivo.com.br/para-voce/produtos-e-servicos/para-o-celular/pre-pago/vivo-pre</t>
        </is>
      </c>
      <c r="T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4" t="n">
        <v>9</v>
      </c>
      <c r="L50" s="2" t="inlineStr">
        <is>
          <t>6 GB para navegar como quiser 3 GB para navegar no YouTube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>
        <is>
          <t>https://vivo.com.br/para-voce/produtos-e-servicos/para-o-celular/pre-pago/vivo-pre</t>
        </is>
      </c>
      <c r="T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7" t="n">
        <v>5</v>
      </c>
      <c r="L51" s="5" t="inlineStr">
        <is>
          <t>5 GB para navegar como quiser</t>
        </is>
      </c>
      <c r="M51" s="5" t="inlineStr"/>
      <c r="N51" s="5" t="inlineStr"/>
      <c r="O51" s="5" t="inlineStr"/>
      <c r="P51" s="5" t="inlineStr"/>
      <c r="Q51" s="5" t="inlineStr"/>
      <c r="R51" s="5" t="inlineStr"/>
      <c r="S51" s="5" t="inlineStr">
        <is>
          <t>https://vivo.com.br/para-voce/produtos-e-servicos/para-o-celular/pre-pago/vivo-pre</t>
        </is>
      </c>
      <c r="T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4" t="n">
        <v>4</v>
      </c>
      <c r="L52" s="2" t="inlineStr">
        <is>
          <t>4 GB para navegar como quiser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>
        <is>
          <t>https://vivo.com.br/para-voce/produtos-e-servicos/para-o-celular/pre-pago/vivo-pre</t>
        </is>
      </c>
      <c r="T52" s="2" t="inlineStr">
        <is>
          <t>data/raw/vivo_prepaid_SP.html</t>
        </is>
      </c>
    </row>
  </sheetData>
  <autoFilter ref="A1:T52"/>
  <conditionalFormatting sqref="H2:H5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2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2026-06-22T22:45:24</t>
        </is>
      </c>
    </row>
    <row r="4">
      <c r="A4" s="9" t="inlineStr">
        <is>
          <t>Latest snapshot</t>
        </is>
      </c>
      <c r="B4" s="2" t="inlineStr">
        <is>
          <t>2026-06-22</t>
        </is>
      </c>
    </row>
    <row r="5">
      <c r="A5" s="9" t="inlineStr">
        <is>
          <t>Plans in latest</t>
        </is>
      </c>
      <c r="B5" s="2" t="n">
        <v>51</v>
      </c>
    </row>
    <row r="6">
      <c r="A6" s="9" t="inlineStr">
        <is>
          <t>Snapshots in history</t>
        </is>
      </c>
      <c r="B6" s="2" t="n">
        <v>1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/>
      </c>
      <c r="C9" s="10">
        <f>IFERROR(_xlfn.MINIFS(latest!$H$2:$H$2000,latest!$C$2:$C$2000,$A$9),"-")</f>
        <v/>
      </c>
      <c r="D9" s="10">
        <f>IFERROR(AVERAGEIFS(latest!$H$2:$H$2000,latest!$C$2:$C$2000,$A$9),"-")</f>
        <v/>
      </c>
      <c r="E9" s="10">
        <f>IFERROR(_xlfn.MAXIFS(latest!$H$2:$H$2000,latest!$C$2:$C$2000,$A$9),"-")</f>
        <v/>
      </c>
    </row>
    <row r="10">
      <c r="A10" s="2" t="inlineStr">
        <is>
          <t>claro</t>
        </is>
      </c>
      <c r="B10" s="2">
        <f>COUNTIF(latest!$C$2:$C$2000,$A$10)</f>
        <v/>
      </c>
      <c r="C10" s="10">
        <f>IFERROR(_xlfn.MINIFS(latest!$H$2:$H$2000,latest!$C$2:$C$2000,$A$10),"-")</f>
        <v/>
      </c>
      <c r="D10" s="10">
        <f>IFERROR(AVERAGEIFS(latest!$H$2:$H$2000,latest!$C$2:$C$2000,$A$10),"-")</f>
        <v/>
      </c>
      <c r="E10" s="10">
        <f>IFERROR(_xlfn.MAXIFS(latest!$H$2:$H$2000,latest!$C$2:$C$2000,$A$10),"-")</f>
        <v/>
      </c>
    </row>
    <row r="11">
      <c r="A11" s="2" t="inlineStr">
        <is>
          <t>tim</t>
        </is>
      </c>
      <c r="B11" s="2">
        <f>COUNTIF(latest!$C$2:$C$2000,$A$11)</f>
        <v/>
      </c>
      <c r="C11" s="10">
        <f>IFERROR(_xlfn.MINIFS(latest!$H$2:$H$2000,latest!$C$2:$C$2000,$A$11),"-")</f>
        <v/>
      </c>
      <c r="D11" s="10">
        <f>IFERROR(AVERAGEIFS(latest!$H$2:$H$2000,latest!$C$2:$C$2000,$A$11),"-")</f>
        <v/>
      </c>
      <c r="E11" s="10">
        <f>IFERROR(_xlfn.MAXIFS(latest!$H$2:$H$2000,latest!$C$2:$C$2000,$A$11),"-")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39"/>
  <sheetViews>
    <sheetView showGridLines="0" workbookViewId="0">
      <pane xSplit="1" ySplit="36" topLeftCell="B3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8" t="inlineStr">
        <is>
          <t>Price evolution — cheapest R$ per carrier × category, by date</t>
        </is>
      </c>
    </row>
    <row r="35">
      <c r="A35" s="1" t="inlineStr">
        <is>
          <t>Date</t>
        </is>
      </c>
      <c r="B35" s="11" t="inlineStr">
        <is>
          <t>Control (R$/mo)</t>
        </is>
      </c>
      <c r="C35" s="11" t="n"/>
      <c r="D35" s="11" t="n"/>
      <c r="E35" s="11" t="inlineStr">
        <is>
          <t>Post (R$/mo)</t>
        </is>
      </c>
      <c r="F35" s="11" t="n"/>
      <c r="G35" s="11" t="n"/>
      <c r="H35" s="11" t="inlineStr">
        <is>
          <t>Pre (R$, recarga)</t>
        </is>
      </c>
      <c r="I35" s="11" t="n"/>
      <c r="J35" s="11" t="n"/>
      <c r="K35" s="11" t="inlineStr">
        <is>
          <t>Digital (R$/mo)</t>
        </is>
      </c>
      <c r="L35" s="11" t="n"/>
      <c r="M35" s="11" t="n"/>
    </row>
    <row r="36">
      <c r="A36" s="1" t="n"/>
      <c r="B36" s="11" t="inlineStr">
        <is>
          <t>TIM</t>
        </is>
      </c>
      <c r="C36" s="11" t="inlineStr">
        <is>
          <t>Vivo</t>
        </is>
      </c>
      <c r="D36" s="11" t="inlineStr">
        <is>
          <t>Claro</t>
        </is>
      </c>
      <c r="E36" s="11" t="inlineStr">
        <is>
          <t>TIM</t>
        </is>
      </c>
      <c r="F36" s="11" t="inlineStr">
        <is>
          <t>Vivo</t>
        </is>
      </c>
      <c r="G36" s="11" t="inlineStr">
        <is>
          <t>Claro</t>
        </is>
      </c>
      <c r="H36" s="11" t="inlineStr">
        <is>
          <t>TIM</t>
        </is>
      </c>
      <c r="I36" s="11" t="inlineStr">
        <is>
          <t>Vivo</t>
        </is>
      </c>
      <c r="J36" s="11" t="inlineStr">
        <is>
          <t>Claro</t>
        </is>
      </c>
      <c r="K36" s="11" t="inlineStr">
        <is>
          <t>TIM</t>
        </is>
      </c>
      <c r="L36" s="11" t="inlineStr">
        <is>
          <t>Vivo</t>
        </is>
      </c>
      <c r="M36" s="11" t="inlineStr">
        <is>
          <t>Claro</t>
        </is>
      </c>
    </row>
    <row r="37">
      <c r="A37" s="2" t="inlineStr">
        <is>
          <t>2026-06-22</t>
        </is>
      </c>
      <c r="B37" s="3">
        <f>IF(_xlfn.MINIFS(history!$H:$H,history!$C:$C,"tim",history!$D:$D,"control",history!$A:$A,$A37)=0,"",_xlfn.MINIFS(history!$H:$H,history!$C:$C,"tim",history!$D:$D,"control",history!$A:$A,$A37))</f>
        <v/>
      </c>
      <c r="C37" s="3">
        <f>IF(_xlfn.MINIFS(history!$H:$H,history!$C:$C,"vivo",history!$D:$D,"control",history!$A:$A,$A37)=0,"",_xlfn.MINIFS(history!$H:$H,history!$C:$C,"vivo",history!$D:$D,"control",history!$A:$A,$A37))</f>
        <v/>
      </c>
      <c r="D37" s="3">
        <f>IF(_xlfn.MINIFS(history!$H:$H,history!$C:$C,"claro",history!$D:$D,"control",history!$A:$A,$A37)=0,"",_xlfn.MINIFS(history!$H:$H,history!$C:$C,"claro",history!$D:$D,"control",history!$A:$A,$A37))</f>
        <v/>
      </c>
      <c r="E37" s="3">
        <f>IF(_xlfn.MINIFS(history!$H:$H,history!$C:$C,"tim",history!$D:$D,"postpaid",history!$A:$A,$A37)=0,"",_xlfn.MINIFS(history!$H:$H,history!$C:$C,"tim",history!$D:$D,"postpaid",history!$A:$A,$A37))</f>
        <v/>
      </c>
      <c r="F37" s="3">
        <f>IF(_xlfn.MINIFS(history!$H:$H,history!$C:$C,"vivo",history!$D:$D,"postpaid",history!$A:$A,$A37)=0,"",_xlfn.MINIFS(history!$H:$H,history!$C:$C,"vivo",history!$D:$D,"postpaid",history!$A:$A,$A37))</f>
        <v/>
      </c>
      <c r="G37" s="3">
        <f>IF(_xlfn.MINIFS(history!$H:$H,history!$C:$C,"claro",history!$D:$D,"postpaid",history!$A:$A,$A37)=0,"",_xlfn.MINIFS(history!$H:$H,history!$C:$C,"claro",history!$D:$D,"postpaid",history!$A:$A,$A37))</f>
        <v/>
      </c>
      <c r="H37" s="3">
        <f>IF(_xlfn.MINIFS(history!$H:$H,history!$C:$C,"tim",history!$D:$D,"prepaid",history!$A:$A,$A37)=0,"",_xlfn.MINIFS(history!$H:$H,history!$C:$C,"tim",history!$D:$D,"prepaid",history!$A:$A,$A37))</f>
        <v/>
      </c>
      <c r="I37" s="3">
        <f>IF(_xlfn.MINIFS(history!$H:$H,history!$C:$C,"vivo",history!$D:$D,"prepaid",history!$A:$A,$A37)=0,"",_xlfn.MINIFS(history!$H:$H,history!$C:$C,"vivo",history!$D:$D,"prepaid",history!$A:$A,$A37))</f>
        <v/>
      </c>
      <c r="J37" s="3">
        <f>IF(_xlfn.MINIFS(history!$H:$H,history!$C:$C,"claro",history!$D:$D,"prepaid",history!$A:$A,$A37)=0,"",_xlfn.MINIFS(history!$H:$H,history!$C:$C,"claro",history!$D:$D,"prepaid",history!$A:$A,$A37))</f>
        <v/>
      </c>
      <c r="K37" s="3">
        <f>IFERROR(1/MAX(IFERROR(1/_xlfn.MINIFS(history!$H:$H,history!$C:$C,"tim",history!$D:$D,"lite",history!$A:$A,$A37),0),IFERROR(1/_xlfn.MINIFS(history!$H:$H,history!$C:$C,"tim",history!$D:$D,"flex",history!$A:$A,$A37),0)),"")</f>
        <v/>
      </c>
      <c r="L37" s="3">
        <f>IFERROR(1/MAX(IFERROR(1/_xlfn.MINIFS(history!$H:$H,history!$C:$C,"vivo",history!$D:$D,"lite",history!$A:$A,$A37),0),IFERROR(1/_xlfn.MINIFS(history!$H:$H,history!$C:$C,"vivo",history!$D:$D,"flex",history!$A:$A,$A37),0)),"")</f>
        <v/>
      </c>
      <c r="M37" s="3">
        <f>IFERROR(1/MAX(IFERROR(1/_xlfn.MINIFS(history!$H:$H,history!$C:$C,"claro",history!$D:$D,"lite",history!$A:$A,$A37),0),IFERROR(1/_xlfn.MINIFS(history!$H:$H,history!$C:$C,"claro",history!$D:$D,"flex",history!$A:$A,$A37),0)),"")</f>
        <v/>
      </c>
    </row>
    <row r="39">
      <c r="A39" s="12" t="inlineStr">
        <is>
          <t>Pre = cheapest recharge amount captured (true R$/day needs validity-days we don't yet capture — CONTEXT §8). Digital = min of Vivo Lite / Claro Flex. Daily rows now; monthly roll-up is the planned next step.</t>
        </is>
      </c>
    </row>
  </sheetData>
  <mergeCells count="5">
    <mergeCell ref="A35:A36"/>
    <mergeCell ref="B35:D35"/>
    <mergeCell ref="E35:G35"/>
    <mergeCell ref="K35:M35"/>
    <mergeCell ref="H35:J35"/>
  </mergeCells>
  <conditionalFormatting sqref="B37:D3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37:G3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37:J3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37:M3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565C0"/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3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4" t="n"/>
      <c r="D10" s="6" t="n">
        <v>159.99</v>
      </c>
      <c r="E10" s="5" t="inlineStr">
        <is>
          <t>Vivo Pós com Premiere (60GB)</t>
        </is>
      </c>
      <c r="F10" s="14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3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4" t="n"/>
      <c r="D18" s="6" t="n">
        <v>64.98999999999999</v>
      </c>
      <c r="E18" s="5" t="inlineStr">
        <is>
          <t>Vivo Controle Saúde (61GB)</t>
        </is>
      </c>
      <c r="F18" s="14" t="n"/>
      <c r="G18" s="5" t="inlineStr">
        <is>
          <t>TIM Controle Pro Express</t>
        </is>
      </c>
    </row>
    <row r="19">
      <c r="A19" s="2" t="n">
        <v>5</v>
      </c>
      <c r="B19" s="3" t="n">
        <v>95</v>
      </c>
      <c r="D19" s="3" t="n">
        <v>84.98999999999999</v>
      </c>
      <c r="E19" s="2" t="inlineStr">
        <is>
          <t>Vivo Controle Música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4" t="n"/>
      <c r="D20" s="14" t="n"/>
      <c r="E20" s="5" t="inlineStr">
        <is>
          <t>Vivo Controle Netflix (61GB)</t>
        </is>
      </c>
      <c r="F20" s="14" t="n"/>
      <c r="G20" s="14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3" t="inlineStr">
        <is>
          <t>Prepaid</t>
        </is>
      </c>
    </row>
    <row r="24">
      <c r="A24" s="12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</v>
      </c>
      <c r="D26" s="3" t="n">
        <v>20</v>
      </c>
      <c r="E26" s="2" t="inlineStr">
        <is>
          <t>Vivo Pré (4GB)</t>
        </is>
      </c>
      <c r="F26" s="2" t="inlineStr">
        <is>
          <t>Prezão R$1 por dia (12GB)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14" t="n"/>
      <c r="D27" s="6" t="n">
        <v>25</v>
      </c>
      <c r="E27" s="5" t="inlineStr">
        <is>
          <t>Vivo Pré (5GB)</t>
        </is>
      </c>
      <c r="F27" s="14" t="n"/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D28" s="3" t="n">
        <v>30</v>
      </c>
      <c r="E28" s="2" t="inlineStr">
        <is>
          <t>Vivo Pré (9GB)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14" t="n"/>
      <c r="D29" s="14" t="n"/>
      <c r="E29" s="5" t="inlineStr">
        <is>
          <t>Vivo Pré (25GB)</t>
        </is>
      </c>
      <c r="F29" s="14" t="n"/>
      <c r="G29" s="14" t="n"/>
    </row>
    <row r="31">
      <c r="A31" s="13" t="inlineStr">
        <is>
          <t>Digital</t>
        </is>
      </c>
    </row>
    <row r="32">
      <c r="A32" s="12" t="inlineStr">
        <is>
          <t>Digital = Vivo Lite + Claro Flex (TIM has no digital line).</t>
        </is>
      </c>
    </row>
    <row r="33">
      <c r="A33" s="1" t="inlineStr">
        <is>
          <t>Rank</t>
        </is>
      </c>
      <c r="B33" s="1" t="inlineStr">
        <is>
          <t>Vivo R$</t>
        </is>
      </c>
      <c r="C33" s="1" t="inlineStr">
        <is>
          <t>Claro R$</t>
        </is>
      </c>
      <c r="D33" s="1" t="inlineStr">
        <is>
          <t>TIM R$</t>
        </is>
      </c>
      <c r="E33" s="1" t="inlineStr">
        <is>
          <t>Vivo plan</t>
        </is>
      </c>
      <c r="F33" s="1" t="inlineStr">
        <is>
          <t>Claro plan</t>
        </is>
      </c>
      <c r="G33" s="1" t="inlineStr">
        <is>
          <t>TIM plan</t>
        </is>
      </c>
    </row>
    <row r="34">
      <c r="A34" s="2" t="n">
        <v>1</v>
      </c>
      <c r="B34" s="3" t="n">
        <v>30</v>
      </c>
      <c r="C34" s="3" t="n">
        <v>44.9</v>
      </c>
      <c r="E34" s="2" t="inlineStr">
        <is>
          <t>Easy Lite (30GB)</t>
        </is>
      </c>
      <c r="F34" s="2" t="inlineStr">
        <is>
          <t>Flex 15GB (15GB)</t>
        </is>
      </c>
    </row>
    <row r="35">
      <c r="A35" s="5" t="n">
        <v>2</v>
      </c>
      <c r="B35" s="6" t="n">
        <v>35</v>
      </c>
      <c r="C35" s="6" t="n">
        <v>59.9</v>
      </c>
      <c r="D35" s="14" t="n"/>
      <c r="E35" s="5" t="inlineStr">
        <is>
          <t>Easy Lite (20GB)</t>
        </is>
      </c>
      <c r="F35" s="5" t="inlineStr">
        <is>
          <t>Flex 20GB (20GB)</t>
        </is>
      </c>
      <c r="G35" s="14" t="n"/>
    </row>
    <row r="36">
      <c r="A36" s="2" t="n">
        <v>3</v>
      </c>
      <c r="B36" s="3" t="n">
        <v>40</v>
      </c>
      <c r="C36" s="3" t="n">
        <v>69.90000000000001</v>
      </c>
      <c r="E36" s="2" t="inlineStr">
        <is>
          <t>Easy Lite (40GB)</t>
        </is>
      </c>
      <c r="F36" s="2" t="inlineStr">
        <is>
          <t>Flex 30GB (30GB)</t>
        </is>
      </c>
    </row>
    <row r="37">
      <c r="A37" s="5" t="n">
        <v>4</v>
      </c>
      <c r="B37" s="6" t="n">
        <v>40</v>
      </c>
      <c r="C37" s="6" t="n">
        <v>119.9</v>
      </c>
      <c r="D37" s="14" t="n"/>
      <c r="E37" s="5" t="inlineStr">
        <is>
          <t>Easy Lite (30GB)</t>
        </is>
      </c>
      <c r="F37" s="5" t="inlineStr">
        <is>
          <t>Flex 40GB (40GB)</t>
        </is>
      </c>
      <c r="G37" s="14" t="n"/>
    </row>
    <row r="38">
      <c r="A38" s="2" t="n">
        <v>5</v>
      </c>
      <c r="B38" s="3" t="n">
        <v>50</v>
      </c>
      <c r="E38" s="2" t="inlineStr">
        <is>
          <t>Easy Lite (40GB)</t>
        </is>
      </c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29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4:D38">
    <cfRule type="expression" priority="7" dxfId="1" stopIfTrue="1">
      <formula>AND(B34&lt;&gt;"",B34=MIN($B34:$D34))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60099"/>
    <outlinePr summaryBelow="1" summaryRight="1"/>
    <pageSetUpPr/>
  </sheetPr>
  <dimension ref="A1:H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5" t="inlineStr">
        <is>
          <t>Postpaid</t>
        </is>
      </c>
      <c r="B2" s="16" t="n"/>
      <c r="C2" s="16" t="n"/>
      <c r="D2" s="16" t="n"/>
      <c r="E2" s="16" t="n"/>
      <c r="F2" s="16" t="n"/>
      <c r="G2" s="16" t="n"/>
      <c r="H2" s="16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15" t="inlineStr">
        <is>
          <t>Control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6 meses grátis de Gemini com AI Plus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6 meses grátis de Gemini com AI Plus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Música</t>
        </is>
      </c>
      <c r="B15" s="3" t="n">
        <v>95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Apple Music Individual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5" t="inlineStr">
        <is>
          <t>Digital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 2 Meses de YouTube ilimitado)</t>
        </is>
      </c>
      <c r="E19" s="2" t="n"/>
      <c r="F19" s="2" t="n"/>
      <c r="G19" s="2" t="n"/>
      <c r="H19" s="2" t="n"/>
    </row>
    <row r="20">
      <c r="A20" s="5" t="inlineStr">
        <is>
          <t>Easy Lite</t>
        </is>
      </c>
      <c r="B20" s="6" t="n">
        <v>35</v>
      </c>
      <c r="C20" s="6" t="n"/>
      <c r="D20" s="5" t="inlineStr">
        <is>
          <t>20 GB (20 GB de franquia 2 Meses de YouTube ilimitado)</t>
        </is>
      </c>
      <c r="E20" s="5" t="n"/>
      <c r="F20" s="5" t="n"/>
      <c r="G20" s="5" t="n"/>
      <c r="H20" s="5" t="n"/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 2 Meses de YouTube ilimitado)</t>
        </is>
      </c>
      <c r="E21" s="2" t="n"/>
      <c r="F21" s="2" t="n"/>
      <c r="G21" s="2" t="n"/>
      <c r="H21" s="2" t="n"/>
    </row>
    <row r="22">
      <c r="A22" s="5" t="inlineStr">
        <is>
          <t>Easy Lite</t>
        </is>
      </c>
      <c r="B22" s="6" t="n">
        <v>40</v>
      </c>
      <c r="C22" s="6" t="n"/>
      <c r="D22" s="5" t="inlineStr">
        <is>
          <t>30 GB</t>
        </is>
      </c>
      <c r="E22" s="5" t="n"/>
      <c r="F22" s="5" t="n"/>
      <c r="G22" s="5" t="n"/>
      <c r="H22" s="5" t="n"/>
    </row>
    <row r="23">
      <c r="A23" s="2" t="inlineStr">
        <is>
          <t>Easy Lite</t>
        </is>
      </c>
      <c r="B23" s="3" t="n">
        <v>50</v>
      </c>
      <c r="C23" s="3" t="n"/>
      <c r="D23" s="2" t="inlineStr">
        <is>
          <t>40 GB</t>
        </is>
      </c>
      <c r="E23" s="2" t="n"/>
      <c r="F23" s="2" t="n"/>
      <c r="G23" s="2" t="n"/>
      <c r="H23" s="2" t="n"/>
    </row>
    <row r="24">
      <c r="A24" s="15" t="inlineStr">
        <is>
          <t>Prepaid</t>
        </is>
      </c>
      <c r="B24" s="16" t="n"/>
      <c r="C24" s="16" t="n"/>
      <c r="D24" s="16" t="n"/>
      <c r="E24" s="16" t="n"/>
      <c r="F24" s="16" t="n"/>
      <c r="G24" s="16" t="n"/>
      <c r="H24" s="16" t="n"/>
    </row>
    <row r="25">
      <c r="A25" s="2" t="inlineStr">
        <is>
          <t>Vivo Pré</t>
        </is>
      </c>
      <c r="B25" s="3" t="n">
        <v>17</v>
      </c>
      <c r="C25" s="3" t="n"/>
      <c r="D25" s="2" t="inlineStr">
        <is>
          <t>4 GB (4 GB para navegar como quiser)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20</v>
      </c>
      <c r="C26" s="6" t="n"/>
      <c r="D26" s="5" t="inlineStr">
        <is>
          <t>5 GB (5 GB para navegar como quiser)</t>
        </is>
      </c>
      <c r="E26" s="5" t="n"/>
      <c r="F26" s="5" t="n"/>
      <c r="G26" s="5" t="n"/>
      <c r="H26" s="5" t="n"/>
    </row>
    <row r="27">
      <c r="A27" s="2" t="inlineStr">
        <is>
          <t>Vivo Pré</t>
        </is>
      </c>
      <c r="B27" s="3" t="n">
        <v>25</v>
      </c>
      <c r="C27" s="3" t="n"/>
      <c r="D27" s="2" t="inlineStr">
        <is>
          <t>9 GB (6 GB para navegar como quiser 3 GB para navegar no YouTube)</t>
        </is>
      </c>
      <c r="E27" s="2" t="n"/>
      <c r="F27" s="2" t="n"/>
      <c r="G27" s="2" t="n"/>
      <c r="H27" s="2" t="n"/>
    </row>
    <row r="28">
      <c r="A28" s="5" t="inlineStr">
        <is>
          <t>Vivo Pré</t>
        </is>
      </c>
      <c r="B28" s="6" t="n">
        <v>30</v>
      </c>
      <c r="C28" s="6" t="n"/>
      <c r="D28" s="5" t="inlineStr">
        <is>
          <t>25 GB (15 GB para navegar como quiser 5 GB de bônus 5 GB para navegar no Youtube)</t>
        </is>
      </c>
      <c r="E28" s="5" t="n"/>
      <c r="F28" s="5" t="n"/>
      <c r="G28" s="5" t="n"/>
      <c r="H28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DA291C"/>
    <outlinePr summaryBelow="1" summaryRight="1"/>
    <pageSetUpPr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5" t="inlineStr">
        <is>
          <t>Postpaid</t>
        </is>
      </c>
      <c r="B2" s="16" t="n"/>
      <c r="C2" s="16" t="n"/>
      <c r="D2" s="16" t="n"/>
      <c r="E2" s="16" t="n"/>
      <c r="F2" s="16" t="n"/>
      <c r="G2" s="16" t="n"/>
      <c r="H2" s="16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5" t="inlineStr">
        <is>
          <t>Control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Controle 25GB</t>
        </is>
      </c>
      <c r="B9" s="3" t="n">
        <v>59.9</v>
      </c>
      <c r="C9" s="17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5" t="inlineStr">
        <is>
          <t>Digital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5" t="inlineStr">
        <is>
          <t>Prepaid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Prezão R$1 por dia</t>
        </is>
      </c>
      <c r="B18" s="3" t="n">
        <v>1</v>
      </c>
      <c r="C18" s="3" t="n"/>
      <c r="D18" s="2" t="inlineStr">
        <is>
          <t>12 GB</t>
        </is>
      </c>
      <c r="E18" s="2" t="n"/>
      <c r="F18" s="2" t="n"/>
      <c r="G18" s="2" t="n"/>
      <c r="H18" s="2" t="inlineStr">
        <is>
          <t>prepaid Prezão — preço por dia; recargas a partir de R$15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5" t="inlineStr">
        <is>
          <t>Postpaid</t>
        </is>
      </c>
      <c r="B2" s="16" t="n"/>
      <c r="C2" s="16" t="n"/>
      <c r="D2" s="16" t="n"/>
      <c r="E2" s="16" t="n"/>
      <c r="F2" s="16" t="n"/>
      <c r="G2" s="16" t="n"/>
      <c r="H2" s="16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5" t="inlineStr">
        <is>
          <t>Control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5" t="inlineStr">
        <is>
          <t>Prepaid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2026-06-22T22:46:41Z</dcterms:created>
  <dcterms:modified xsi:type="dcterms:W3CDTF">2026-06-22T22:46:41Z</dcterms:modified>
</cp:coreProperties>
</file>