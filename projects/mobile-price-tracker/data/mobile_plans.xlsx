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'history'!$A$1:$V$4242</definedName>
    <definedName name="_xlnm._FilterDatabase" localSheetId="1" hidden="1">'latest'!$A$1:$V$65</definedName>
    <definedName name="_xlnm._FilterDatabase" localSheetId="10" hidden="1">'convergent_history'!$A$1:$Z$810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'comparison'!$B$3:$B$74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'comparison'!$C$3:$C$74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'comparison'!$D$3:$D$74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'comparison'!$E$3:$E$74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'comparison'!$F$3:$F$74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'comparison'!$G$3:$G$74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'comparison'!$H$3:$H$74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'comparison'!$I$3:$I$74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'comparison'!$J$3:$J$74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'comparison'!$K$3:$K$74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'comparison'!$L$3:$L$74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'comparison'!$A$3:$A$74</f>
            </numRef>
          </cat>
          <val>
            <numRef>
              <f>'comparison'!$M$3:$M$74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424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2026-08-31T21:21:16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2026-08-31T21:21:16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2026-08-31T21:21:16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2026-08-31T21:21:16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2026-08-31T21:21:16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2026-08-31T21:21:16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2026-08-31T21:21:16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2026-08-31T21:21:16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2026-08-31T21:21:16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2026-08-31T21:21:16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2026-08-31T21:21:16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2026-08-31T21:21:16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2026-08-31T21:21:16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2026-08-31T21:21:16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2026-08-31T21:21:16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2026-08-31T21:21:16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2026-08-31T21:21:16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2026-08-31T21:21:16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2026-08-31T21:21:16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2026-08-31T21:21:16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2026-08-31T21:21:16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2026-08-31T21:21:16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2026-08-31T21:21:16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2026-08-31T21:21:16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2026-08-31T21:21:16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2026-08-31T21:21:16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2026-08-31T21:21:16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2026-08-31T21:21:16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2026-08-31T21:21:16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2026-08-31T21:21:16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2026-08-31T21:21:16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2026-08-31T21:21:16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2026-08-31T21:21:16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2026-08-31T21:21:16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2026-08-31T21:21:16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2026-08-31T21:21:16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2026-08-31T21:21:16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2026-08-31T21:21:16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2026-08-31T21:21:16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2026-08-31T21:21:16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2026-08-31T21:21:16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2026-08-31T21:21:16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2026-08-31T21:21:16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2026-08-31T21:21:16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2026-08-31T21:21:16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2026-08-31T21:21:16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2026-08-31T21:21:16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2026-08-31T21:21:16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2026-08-31T21:21:16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2026-08-31T21:21:16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2026-08-31T21:21:16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2026-08-31T21:21:16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2026-08-31T21:21:16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2026-08-31T21:21:16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2026-08-31T21:21:16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2026-08-31T21:21:16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2026-08-31T21:21:16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2026-08-31T21:21:16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2026-08-31T21:21:16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2026-08-31T21:21:16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2026-08-31T21:21:16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2026-08-31T21:21:16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  <row r="3990">
      <c r="A3990" s="2" t="inlineStr">
        <is>
          <t>2026-09-01</t>
        </is>
      </c>
      <c r="B3990" s="2" t="inlineStr">
        <is>
          <t>2026-09-01T19:58:06</t>
        </is>
      </c>
      <c r="C3990" s="2" t="inlineStr">
        <is>
          <t>claro</t>
        </is>
      </c>
      <c r="D3990" s="2" t="inlineStr">
        <is>
          <t>control</t>
        </is>
      </c>
      <c r="E3990" s="2" t="inlineStr">
        <is>
          <t>SP</t>
        </is>
      </c>
      <c r="F3990" s="2" t="inlineStr">
        <is>
          <t>Controle 25GB</t>
        </is>
      </c>
      <c r="G3990" s="2" t="inlineStr">
        <is>
          <t>claro:plano-controle-25gb</t>
        </is>
      </c>
      <c r="H3990" s="3" t="n">
        <v>59.9</v>
      </c>
      <c r="I3990" s="3" t="n">
        <v>54.9</v>
      </c>
      <c r="J3990" s="2" t="inlineStr">
        <is>
          <t>De R$ 59,90 Por:</t>
        </is>
      </c>
      <c r="K3990" s="2" t="inlineStr"/>
      <c r="L3990" s="4" t="n">
        <v>25</v>
      </c>
      <c r="M3990" s="2" t="inlineStr"/>
      <c r="N3990" s="2" t="inlineStr"/>
      <c r="O3990" s="2" t="inlineStr">
        <is>
          <t>WhatsApp</t>
        </is>
      </c>
      <c r="P3990" s="2" t="inlineStr"/>
      <c r="Q3990" s="2" t="inlineStr"/>
      <c r="R3990" s="2" t="inlineStr"/>
      <c r="S3990" s="2" t="inlineStr"/>
      <c r="T3990" s="2" t="inlineStr">
        <is>
          <t>Para uso livre; Para redes sociais e vídeos; Bônus exclusivo; Aproveite na sua franquia; WhatsApp e ligações ilimitadas</t>
        </is>
      </c>
      <c r="U3990" s="2" t="inlineStr">
        <is>
          <t>https://www.claro.com.br/celular/controle</t>
        </is>
      </c>
      <c r="V3990" s="2" t="inlineStr">
        <is>
          <t>data/raw/claro_control_SP.json</t>
        </is>
      </c>
    </row>
    <row r="3991">
      <c r="A3991" s="5" t="inlineStr">
        <is>
          <t>2026-09-01</t>
        </is>
      </c>
      <c r="B3991" s="5" t="inlineStr">
        <is>
          <t>2026-09-01T19:58:06</t>
        </is>
      </c>
      <c r="C3991" s="5" t="inlineStr">
        <is>
          <t>claro</t>
        </is>
      </c>
      <c r="D3991" s="5" t="inlineStr">
        <is>
          <t>control</t>
        </is>
      </c>
      <c r="E3991" s="5" t="inlineStr">
        <is>
          <t>SP</t>
        </is>
      </c>
      <c r="F3991" s="5" t="inlineStr">
        <is>
          <t>Controle 30GB</t>
        </is>
      </c>
      <c r="G3991" s="5" t="inlineStr">
        <is>
          <t>claro:plano-controle-30gb</t>
        </is>
      </c>
      <c r="H3991" s="6" t="n">
        <v>69.90000000000001</v>
      </c>
      <c r="I3991" s="6" t="inlineStr"/>
      <c r="J3991" s="5" t="inlineStr"/>
      <c r="K3991" s="5" t="inlineStr"/>
      <c r="L3991" s="7" t="n">
        <v>30</v>
      </c>
      <c r="M3991" s="5" t="inlineStr"/>
      <c r="N3991" s="5" t="inlineStr"/>
      <c r="O3991" s="5" t="inlineStr">
        <is>
          <t>WhatsApp</t>
        </is>
      </c>
      <c r="P3991" s="5" t="inlineStr"/>
      <c r="Q3991" s="5" t="inlineStr"/>
      <c r="R3991" s="5" t="inlineStr"/>
      <c r="S3991" s="5" t="inlineStr"/>
      <c r="T3991" s="5" t="inlineStr">
        <is>
          <t>Para uso livre; Bônus para uso livre; Bônus para redes sociais e apps; Assinatura Amazon Prime por 3 meses; Redes sociais e apps; WhatsApp ilimitado</t>
        </is>
      </c>
      <c r="U3991" s="5" t="inlineStr">
        <is>
          <t>https://www.claro.com.br/celular/controle</t>
        </is>
      </c>
      <c r="V3991" s="5" t="inlineStr">
        <is>
          <t>data/raw/claro_control_SP.json</t>
        </is>
      </c>
    </row>
    <row r="3992">
      <c r="A3992" s="2" t="inlineStr">
        <is>
          <t>2026-09-01</t>
        </is>
      </c>
      <c r="B3992" s="2" t="inlineStr">
        <is>
          <t>2026-09-01T19:58:06</t>
        </is>
      </c>
      <c r="C3992" s="2" t="inlineStr">
        <is>
          <t>claro</t>
        </is>
      </c>
      <c r="D3992" s="2" t="inlineStr">
        <is>
          <t>control</t>
        </is>
      </c>
      <c r="E3992" s="2" t="inlineStr">
        <is>
          <t>SP</t>
        </is>
      </c>
      <c r="F3992" s="2" t="inlineStr">
        <is>
          <t>Controle 30GB</t>
        </is>
      </c>
      <c r="G3992" s="2" t="inlineStr">
        <is>
          <t>claro:plano-controle-30gb-gaming</t>
        </is>
      </c>
      <c r="H3992" s="3" t="n">
        <v>99.90000000000001</v>
      </c>
      <c r="I3992" s="3" t="inlineStr"/>
      <c r="J3992" s="2" t="inlineStr"/>
      <c r="K3992" s="2" t="inlineStr"/>
      <c r="L3992" s="4" t="n">
        <v>30</v>
      </c>
      <c r="M3992" s="2" t="inlineStr"/>
      <c r="N3992" s="2" t="inlineStr"/>
      <c r="O3992" s="2" t="inlineStr">
        <is>
          <t>WhatsApp</t>
        </is>
      </c>
      <c r="P3992" s="2" t="inlineStr"/>
      <c r="Q3992" s="2" t="inlineStr"/>
      <c r="R3992" s="2" t="inlineStr"/>
      <c r="S3992" s="2" t="inlineStr"/>
      <c r="T3992" s="2" t="inlineStr">
        <is>
          <t>Para uso livre; Bônus para redes sociais e apps; Bônus uso livre; Assinatura Amazon Prime por 3 meses; Redes sociais e apps; WhatsApp ilimitado</t>
        </is>
      </c>
      <c r="U3992" s="2" t="inlineStr">
        <is>
          <t>https://www.claro.com.br/celular/controle</t>
        </is>
      </c>
      <c r="V3992" s="2" t="inlineStr">
        <is>
          <t>data/raw/claro_control_SP.json</t>
        </is>
      </c>
    </row>
    <row r="3993">
      <c r="A3993" s="5" t="inlineStr">
        <is>
          <t>2026-09-01</t>
        </is>
      </c>
      <c r="B3993" s="5" t="inlineStr">
        <is>
          <t>2026-09-01T19:58:06</t>
        </is>
      </c>
      <c r="C3993" s="5" t="inlineStr">
        <is>
          <t>claro</t>
        </is>
      </c>
      <c r="D3993" s="5" t="inlineStr">
        <is>
          <t>flex</t>
        </is>
      </c>
      <c r="E3993" s="5" t="inlineStr">
        <is>
          <t>SP</t>
        </is>
      </c>
      <c r="F3993" s="5" t="inlineStr">
        <is>
          <t>Flex 15GB</t>
        </is>
      </c>
      <c r="G3993" s="5" t="inlineStr">
        <is>
          <t>claro:plano-flex-15gb</t>
        </is>
      </c>
      <c r="H3993" s="6" t="n">
        <v>44.9</v>
      </c>
      <c r="I3993" s="6" t="inlineStr"/>
      <c r="J3993" s="5" t="inlineStr"/>
      <c r="K3993" s="5" t="inlineStr"/>
      <c r="L3993" s="7" t="n">
        <v>15</v>
      </c>
      <c r="M3993" s="5" t="inlineStr"/>
      <c r="N3993" s="5" t="inlineStr"/>
      <c r="O3993" s="5" t="inlineStr">
        <is>
          <t>WhatsApp</t>
        </is>
      </c>
      <c r="P3993" s="5" t="inlineStr"/>
      <c r="Q3993" s="5" t="inlineStr"/>
      <c r="R3993" s="5" t="inlineStr"/>
      <c r="S3993" s="5" t="inlineStr"/>
      <c r="T3993" s="5" t="inlineStr">
        <is>
          <t>Para uso livre; Para redes sociais e apps; Bônus extra nos apps; WhatsApp ilimitado</t>
        </is>
      </c>
      <c r="U3993" s="5" t="inlineStr">
        <is>
          <t>https://www.claro.com.br/celular/flex</t>
        </is>
      </c>
      <c r="V3993" s="5" t="inlineStr">
        <is>
          <t>data/raw/claro_flex_SP.json</t>
        </is>
      </c>
    </row>
    <row r="3994">
      <c r="A3994" s="2" t="inlineStr">
        <is>
          <t>2026-09-01</t>
        </is>
      </c>
      <c r="B3994" s="2" t="inlineStr">
        <is>
          <t>2026-09-01T19:58:06</t>
        </is>
      </c>
      <c r="C3994" s="2" t="inlineStr">
        <is>
          <t>claro</t>
        </is>
      </c>
      <c r="D3994" s="2" t="inlineStr">
        <is>
          <t>flex</t>
        </is>
      </c>
      <c r="E3994" s="2" t="inlineStr">
        <is>
          <t>SP</t>
        </is>
      </c>
      <c r="F3994" s="2" t="inlineStr">
        <is>
          <t>Flex 20GB</t>
        </is>
      </c>
      <c r="G3994" s="2" t="inlineStr">
        <is>
          <t>claro:plano-flex-20gb</t>
        </is>
      </c>
      <c r="H3994" s="3" t="n">
        <v>59.9</v>
      </c>
      <c r="I3994" s="3" t="inlineStr"/>
      <c r="J3994" s="2" t="inlineStr"/>
      <c r="K3994" s="2" t="inlineStr"/>
      <c r="L3994" s="4" t="n">
        <v>20</v>
      </c>
      <c r="M3994" s="2" t="inlineStr"/>
      <c r="N3994" s="2" t="inlineStr"/>
      <c r="O3994" s="2" t="inlineStr">
        <is>
          <t>WhatsApp</t>
        </is>
      </c>
      <c r="P3994" s="2" t="inlineStr"/>
      <c r="Q3994" s="2" t="inlineStr"/>
      <c r="R3994" s="2" t="inlineStr"/>
      <c r="S3994" s="2" t="inlineStr"/>
      <c r="T3994" s="2" t="inlineStr">
        <is>
          <t>Para uso livre; Para redes sociais e apps; Bônus extra nos apps; WhatsApp ilimitado</t>
        </is>
      </c>
      <c r="U3994" s="2" t="inlineStr">
        <is>
          <t>https://www.claro.com.br/celular/flex</t>
        </is>
      </c>
      <c r="V3994" s="2" t="inlineStr">
        <is>
          <t>data/raw/claro_flex_SP.json</t>
        </is>
      </c>
    </row>
    <row r="3995">
      <c r="A3995" s="5" t="inlineStr">
        <is>
          <t>2026-09-01</t>
        </is>
      </c>
      <c r="B3995" s="5" t="inlineStr">
        <is>
          <t>2026-09-01T19:58:06</t>
        </is>
      </c>
      <c r="C3995" s="5" t="inlineStr">
        <is>
          <t>claro</t>
        </is>
      </c>
      <c r="D3995" s="5" t="inlineStr">
        <is>
          <t>flex</t>
        </is>
      </c>
      <c r="E3995" s="5" t="inlineStr">
        <is>
          <t>SP</t>
        </is>
      </c>
      <c r="F3995" s="5" t="inlineStr">
        <is>
          <t>Flex 30GB</t>
        </is>
      </c>
      <c r="G3995" s="5" t="inlineStr">
        <is>
          <t>claro:plano-flex-30gb</t>
        </is>
      </c>
      <c r="H3995" s="6" t="n">
        <v>69.90000000000001</v>
      </c>
      <c r="I3995" s="6" t="inlineStr"/>
      <c r="J3995" s="5" t="inlineStr"/>
      <c r="K3995" s="5" t="inlineStr"/>
      <c r="L3995" s="7" t="n">
        <v>30</v>
      </c>
      <c r="M3995" s="5" t="inlineStr"/>
      <c r="N3995" s="5" t="inlineStr"/>
      <c r="O3995" s="5" t="inlineStr">
        <is>
          <t>WhatsApp</t>
        </is>
      </c>
      <c r="P3995" s="5" t="inlineStr"/>
      <c r="Q3995" s="5" t="inlineStr"/>
      <c r="R3995" s="5" t="inlineStr"/>
      <c r="S3995" s="5" t="inlineStr"/>
      <c r="T3995" s="5" t="inlineStr">
        <is>
          <t>Para uso livre; Para redes sociais e apps; Bônus extra nos apps; WhatsApp ilimitado; Assinatura Claro musica inclusa</t>
        </is>
      </c>
      <c r="U3995" s="5" t="inlineStr">
        <is>
          <t>https://www.claro.com.br/celular/flex</t>
        </is>
      </c>
      <c r="V3995" s="5" t="inlineStr">
        <is>
          <t>data/raw/claro_flex_SP.json</t>
        </is>
      </c>
    </row>
    <row r="3996">
      <c r="A3996" s="2" t="inlineStr">
        <is>
          <t>2026-09-01</t>
        </is>
      </c>
      <c r="B3996" s="2" t="inlineStr">
        <is>
          <t>2026-09-01T19:58:06</t>
        </is>
      </c>
      <c r="C3996" s="2" t="inlineStr">
        <is>
          <t>claro</t>
        </is>
      </c>
      <c r="D3996" s="2" t="inlineStr">
        <is>
          <t>flex</t>
        </is>
      </c>
      <c r="E3996" s="2" t="inlineStr">
        <is>
          <t>SP</t>
        </is>
      </c>
      <c r="F3996" s="2" t="inlineStr">
        <is>
          <t>Flex 40GB</t>
        </is>
      </c>
      <c r="G3996" s="2" t="inlineStr">
        <is>
          <t>claro:plano-flex-40gb</t>
        </is>
      </c>
      <c r="H3996" s="3" t="n">
        <v>119.9</v>
      </c>
      <c r="I3996" s="3" t="inlineStr"/>
      <c r="J3996" s="2" t="inlineStr"/>
      <c r="K3996" s="2" t="inlineStr"/>
      <c r="L3996" s="4" t="n">
        <v>40</v>
      </c>
      <c r="M3996" s="2" t="inlineStr"/>
      <c r="N3996" s="2" t="inlineStr"/>
      <c r="O3996" s="2" t="inlineStr">
        <is>
          <t>WhatsApp</t>
        </is>
      </c>
      <c r="P3996" s="2" t="inlineStr"/>
      <c r="Q3996" s="2" t="inlineStr"/>
      <c r="R3996" s="2" t="inlineStr"/>
      <c r="S3996" s="2" t="inlineStr"/>
      <c r="T3996" s="2" t="inlineStr">
        <is>
          <t>Para uso livre; WhatsApp ilimitado; Assinatura Claro musica inclusa; Roaming: Passaporte Américas</t>
        </is>
      </c>
      <c r="U3996" s="2" t="inlineStr">
        <is>
          <t>https://www.claro.com.br/celular/flex</t>
        </is>
      </c>
      <c r="V3996" s="2" t="inlineStr">
        <is>
          <t>data/raw/claro_flex_SP.json</t>
        </is>
      </c>
    </row>
    <row r="3997">
      <c r="A3997" s="5" t="inlineStr">
        <is>
          <t>2026-09-01</t>
        </is>
      </c>
      <c r="B3997" s="5" t="inlineStr">
        <is>
          <t>2026-09-01T19:58:06</t>
        </is>
      </c>
      <c r="C3997" s="5" t="inlineStr">
        <is>
          <t>claro</t>
        </is>
      </c>
      <c r="D3997" s="5" t="inlineStr">
        <is>
          <t>postpaid</t>
        </is>
      </c>
      <c r="E3997" s="5" t="inlineStr">
        <is>
          <t>SP</t>
        </is>
      </c>
      <c r="F3997" s="5" t="inlineStr">
        <is>
          <t>Pós 100GB</t>
        </is>
      </c>
      <c r="G3997" s="5" t="inlineStr">
        <is>
          <t>claro:plano-pos-100gb</t>
        </is>
      </c>
      <c r="H3997" s="6" t="n">
        <v>179.9</v>
      </c>
      <c r="I3997" s="6" t="inlineStr"/>
      <c r="J3997" s="5" t="inlineStr"/>
      <c r="K3997" s="5" t="inlineStr"/>
      <c r="L3997" s="7" t="n">
        <v>100</v>
      </c>
      <c r="M3997" s="5" t="inlineStr"/>
      <c r="N3997" s="5" t="inlineStr"/>
      <c r="O3997" s="5" t="inlineStr">
        <is>
          <t>WhatsApp</t>
        </is>
      </c>
      <c r="P3997" s="5" t="inlineStr"/>
      <c r="Q3997" s="5" t="inlineStr"/>
      <c r="R3997" s="5" t="inlineStr"/>
      <c r="S3997" s="5" t="inlineStr"/>
      <c r="T3997" s="5" t="inlineStr">
        <is>
          <t>Armazenamento na nuvem:; Google One ou iCloud+; WhatsApp ilimitado; Assinatura Amazon Prime por 3 meses; Roaming: Passaporte Américas; Claro Sync: Smartwatch conectado</t>
        </is>
      </c>
      <c r="U3997" s="5" t="inlineStr">
        <is>
          <t>https://www.claro.com.br/celular/pos</t>
        </is>
      </c>
      <c r="V3997" s="5" t="inlineStr">
        <is>
          <t>data/raw/claro_postpaid_SP.json</t>
        </is>
      </c>
    </row>
    <row r="3998">
      <c r="A3998" s="2" t="inlineStr">
        <is>
          <t>2026-09-01</t>
        </is>
      </c>
      <c r="B3998" s="2" t="inlineStr">
        <is>
          <t>2026-09-01T19:58:06</t>
        </is>
      </c>
      <c r="C3998" s="2" t="inlineStr">
        <is>
          <t>claro</t>
        </is>
      </c>
      <c r="D3998" s="2" t="inlineStr">
        <is>
          <t>postpaid</t>
        </is>
      </c>
      <c r="E3998" s="2" t="inlineStr">
        <is>
          <t>SP</t>
        </is>
      </c>
      <c r="F3998" s="2" t="inlineStr">
        <is>
          <t>Pós 150GB</t>
        </is>
      </c>
      <c r="G3998" s="2" t="inlineStr">
        <is>
          <t>claro:plano-pos-150gb</t>
        </is>
      </c>
      <c r="H3998" s="3" t="n">
        <v>239.9</v>
      </c>
      <c r="I3998" s="3" t="inlineStr"/>
      <c r="J3998" s="2" t="inlineStr"/>
      <c r="K3998" s="2" t="inlineStr"/>
      <c r="L3998" s="4" t="n">
        <v>150</v>
      </c>
      <c r="M3998" s="2" t="inlineStr"/>
      <c r="N3998" s="2" t="inlineStr"/>
      <c r="O3998" s="2" t="inlineStr">
        <is>
          <t>WhatsApp</t>
        </is>
      </c>
      <c r="P3998" s="2" t="inlineStr"/>
      <c r="Q3998" s="2" t="inlineStr"/>
      <c r="R3998" s="2" t="inlineStr"/>
      <c r="S3998" s="2" t="inlineStr"/>
      <c r="T399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98" s="2" t="inlineStr">
        <is>
          <t>https://www.claro.com.br/celular/pos</t>
        </is>
      </c>
      <c r="V3998" s="2" t="inlineStr">
        <is>
          <t>data/raw/claro_postpaid_SP.json</t>
        </is>
      </c>
    </row>
    <row r="3999">
      <c r="A3999" s="5" t="inlineStr">
        <is>
          <t>2026-09-01</t>
        </is>
      </c>
      <c r="B3999" s="5" t="inlineStr">
        <is>
          <t>2026-09-01T19:58:06</t>
        </is>
      </c>
      <c r="C3999" s="5" t="inlineStr">
        <is>
          <t>claro</t>
        </is>
      </c>
      <c r="D3999" s="5" t="inlineStr">
        <is>
          <t>postpaid</t>
        </is>
      </c>
      <c r="E3999" s="5" t="inlineStr">
        <is>
          <t>SP</t>
        </is>
      </c>
      <c r="F3999" s="5" t="inlineStr">
        <is>
          <t>Pós 200GB</t>
        </is>
      </c>
      <c r="G3999" s="5" t="inlineStr">
        <is>
          <t>claro:plano-pos-200gb</t>
        </is>
      </c>
      <c r="H3999" s="6" t="n">
        <v>339.9</v>
      </c>
      <c r="I3999" s="6" t="inlineStr"/>
      <c r="J3999" s="5" t="inlineStr"/>
      <c r="K3999" s="5" t="inlineStr"/>
      <c r="L3999" s="7" t="n">
        <v>200</v>
      </c>
      <c r="M3999" s="5" t="inlineStr"/>
      <c r="N3999" s="5" t="inlineStr"/>
      <c r="O3999" s="5" t="inlineStr">
        <is>
          <t>WhatsApp</t>
        </is>
      </c>
      <c r="P3999" s="5" t="inlineStr"/>
      <c r="Q3999" s="5" t="inlineStr"/>
      <c r="R3999" s="5" t="inlineStr"/>
      <c r="S3999" s="5" t="inlineStr"/>
      <c r="T3999" s="5" t="inlineStr">
        <is>
          <t>Armazenamento na nuvem:; Google One (AI Plus) ou iCloud+; WhatsApp ilimitado; Assinatura Amazon Prime por 3 meses; Roaming: Passaporte Mundo; Claro Sync: Smartwatch conectado</t>
        </is>
      </c>
      <c r="U3999" s="5" t="inlineStr">
        <is>
          <t>https://www.claro.com.br/celular/pos</t>
        </is>
      </c>
      <c r="V3999" s="5" t="inlineStr">
        <is>
          <t>data/raw/claro_postpaid_SP.json</t>
        </is>
      </c>
    </row>
    <row r="4000">
      <c r="A4000" s="2" t="inlineStr">
        <is>
          <t>2026-09-01</t>
        </is>
      </c>
      <c r="B4000" s="2" t="inlineStr">
        <is>
          <t>2026-09-01T19:58:06</t>
        </is>
      </c>
      <c r="C4000" s="2" t="inlineStr">
        <is>
          <t>claro</t>
        </is>
      </c>
      <c r="D4000" s="2" t="inlineStr">
        <is>
          <t>postpaid</t>
        </is>
      </c>
      <c r="E4000" s="2" t="inlineStr">
        <is>
          <t>SP</t>
        </is>
      </c>
      <c r="F4000" s="2" t="inlineStr">
        <is>
          <t>Pós 50GB com GeForce NOW</t>
        </is>
      </c>
      <c r="G4000" s="2" t="inlineStr">
        <is>
          <t>claro:plano-pos-60gb-geforce</t>
        </is>
      </c>
      <c r="H4000" s="3" t="n">
        <v>164.9</v>
      </c>
      <c r="I4000" s="3" t="inlineStr"/>
      <c r="J4000" s="2" t="inlineStr"/>
      <c r="K4000" s="2" t="inlineStr"/>
      <c r="L4000" s="4" t="n">
        <v>50</v>
      </c>
      <c r="M4000" s="2" t="inlineStr"/>
      <c r="N4000" s="2" t="inlineStr"/>
      <c r="O4000" s="2" t="inlineStr">
        <is>
          <t>WhatsApp</t>
        </is>
      </c>
      <c r="P4000" s="2" t="inlineStr"/>
      <c r="Q4000" s="2" t="inlineStr"/>
      <c r="R4000" s="2" t="inlineStr"/>
      <c r="S4000" s="2" t="inlineStr"/>
      <c r="T400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00" s="2" t="inlineStr">
        <is>
          <t>https://www.claro.com.br/celular/pos</t>
        </is>
      </c>
      <c r="V4000" s="2" t="inlineStr">
        <is>
          <t>data/raw/claro_postpaid_SP.json</t>
        </is>
      </c>
    </row>
    <row r="4001">
      <c r="A4001" s="5" t="inlineStr">
        <is>
          <t>2026-09-01</t>
        </is>
      </c>
      <c r="B4001" s="5" t="inlineStr">
        <is>
          <t>2026-09-01T19:58:06</t>
        </is>
      </c>
      <c r="C4001" s="5" t="inlineStr">
        <is>
          <t>claro</t>
        </is>
      </c>
      <c r="D4001" s="5" t="inlineStr">
        <is>
          <t>postpaid</t>
        </is>
      </c>
      <c r="E4001" s="5" t="inlineStr">
        <is>
          <t>SP</t>
        </is>
      </c>
      <c r="F4001" s="5" t="inlineStr">
        <is>
          <t>Pós 60GB</t>
        </is>
      </c>
      <c r="G4001" s="5" t="inlineStr">
        <is>
          <t>claro:plano-pos-60gb</t>
        </is>
      </c>
      <c r="H4001" s="6" t="n">
        <v>124.9</v>
      </c>
      <c r="I4001" s="6" t="inlineStr"/>
      <c r="J4001" s="5" t="inlineStr"/>
      <c r="K4001" s="5" t="inlineStr"/>
      <c r="L4001" s="7" t="n">
        <v>60</v>
      </c>
      <c r="M4001" s="5" t="inlineStr"/>
      <c r="N4001" s="5" t="inlineStr"/>
      <c r="O4001" s="5" t="inlineStr">
        <is>
          <t>WhatsApp</t>
        </is>
      </c>
      <c r="P4001" s="5" t="inlineStr"/>
      <c r="Q4001" s="5" t="inlineStr"/>
      <c r="R4001" s="5" t="inlineStr"/>
      <c r="S4001" s="5" t="inlineStr"/>
      <c r="T4001" s="5" t="inlineStr">
        <is>
          <t>Armazenamento na nuvem:; Google One ou iCloud+; WhatsApp ilimitado; Assinatura Amazon Prime por 3 meses; Roaming: Passaporte Américas; Claro Sync: Smartwatch conectado</t>
        </is>
      </c>
      <c r="U4001" s="5" t="inlineStr">
        <is>
          <t>https://www.claro.com.br/celular/pos</t>
        </is>
      </c>
      <c r="V4001" s="5" t="inlineStr">
        <is>
          <t>data/raw/claro_postpaid_SP.json</t>
        </is>
      </c>
    </row>
    <row r="4002">
      <c r="A4002" s="2" t="inlineStr">
        <is>
          <t>2026-09-01</t>
        </is>
      </c>
      <c r="B4002" s="2" t="inlineStr">
        <is>
          <t>2026-09-01T19:58:06</t>
        </is>
      </c>
      <c r="C4002" s="2" t="inlineStr">
        <is>
          <t>claro</t>
        </is>
      </c>
      <c r="D4002" s="2" t="inlineStr">
        <is>
          <t>prepaid</t>
        </is>
      </c>
      <c r="E4002" s="2" t="inlineStr">
        <is>
          <t>SP</t>
        </is>
      </c>
      <c r="F4002" s="2" t="inlineStr">
        <is>
          <t>Prezão 10GB (25 dias)</t>
        </is>
      </c>
      <c r="G4002" s="2" t="inlineStr">
        <is>
          <t>claro:prezao-25d-10gb</t>
        </is>
      </c>
      <c r="H4002" s="3" t="n">
        <v>25</v>
      </c>
      <c r="I4002" s="3" t="inlineStr"/>
      <c r="J4002" s="2" t="inlineStr">
        <is>
          <t>recarga Prezão R$25 — validade 25 dias</t>
        </is>
      </c>
      <c r="K4002" s="2" t="inlineStr"/>
      <c r="L4002" s="4" t="n">
        <v>10</v>
      </c>
      <c r="M4002" s="2" t="inlineStr"/>
      <c r="N4002" s="2" t="n">
        <v>25</v>
      </c>
      <c r="O4002" s="2" t="inlineStr"/>
      <c r="P4002" s="2" t="inlineStr"/>
      <c r="Q4002" s="2" t="inlineStr"/>
      <c r="R4002" s="2" t="inlineStr"/>
      <c r="S4002" s="2" t="inlineStr"/>
      <c r="T4002" s="2" t="inlineStr"/>
      <c r="U4002" s="2" t="inlineStr">
        <is>
          <t>https://www.claro.com.br/celular/planos-pre/prezao</t>
        </is>
      </c>
      <c r="V4002" s="2" t="inlineStr">
        <is>
          <t>data/raw/claro_prepaid_SP.json</t>
        </is>
      </c>
    </row>
    <row r="4003">
      <c r="A4003" s="5" t="inlineStr">
        <is>
          <t>2026-09-01</t>
        </is>
      </c>
      <c r="B4003" s="5" t="inlineStr">
        <is>
          <t>2026-09-01T19:58:06</t>
        </is>
      </c>
      <c r="C4003" s="5" t="inlineStr">
        <is>
          <t>claro</t>
        </is>
      </c>
      <c r="D4003" s="5" t="inlineStr">
        <is>
          <t>prepaid</t>
        </is>
      </c>
      <c r="E4003" s="5" t="inlineStr">
        <is>
          <t>SP</t>
        </is>
      </c>
      <c r="F4003" s="5" t="inlineStr">
        <is>
          <t>Prezão 12GB (30 dias)</t>
        </is>
      </c>
      <c r="G4003" s="5" t="inlineStr">
        <is>
          <t>claro:prezao-30d-12gb</t>
        </is>
      </c>
      <c r="H4003" s="6" t="n">
        <v>30</v>
      </c>
      <c r="I4003" s="6" t="inlineStr"/>
      <c r="J4003" s="5" t="inlineStr">
        <is>
          <t>recarga Prezão R$30 — validade 30 dias</t>
        </is>
      </c>
      <c r="K4003" s="5" t="inlineStr"/>
      <c r="L4003" s="7" t="n">
        <v>12</v>
      </c>
      <c r="M4003" s="5" t="inlineStr"/>
      <c r="N4003" s="5" t="n">
        <v>30</v>
      </c>
      <c r="O4003" s="5" t="inlineStr"/>
      <c r="P4003" s="5" t="inlineStr"/>
      <c r="Q4003" s="5" t="inlineStr"/>
      <c r="R4003" s="5" t="inlineStr"/>
      <c r="S4003" s="5" t="inlineStr"/>
      <c r="T4003" s="5" t="inlineStr"/>
      <c r="U4003" s="5" t="inlineStr">
        <is>
          <t>https://www.claro.com.br/celular/planos-pre/prezao</t>
        </is>
      </c>
      <c r="V4003" s="5" t="inlineStr">
        <is>
          <t>data/raw/claro_prepaid_SP.json</t>
        </is>
      </c>
    </row>
    <row r="4004">
      <c r="A4004" s="2" t="inlineStr">
        <is>
          <t>2026-09-01</t>
        </is>
      </c>
      <c r="B4004" s="2" t="inlineStr">
        <is>
          <t>2026-09-01T19:58:06</t>
        </is>
      </c>
      <c r="C4004" s="2" t="inlineStr">
        <is>
          <t>claro</t>
        </is>
      </c>
      <c r="D4004" s="2" t="inlineStr">
        <is>
          <t>prepaid</t>
        </is>
      </c>
      <c r="E4004" s="2" t="inlineStr">
        <is>
          <t>SP</t>
        </is>
      </c>
      <c r="F4004" s="2" t="inlineStr">
        <is>
          <t>Prezão 4GB (12 dias)</t>
        </is>
      </c>
      <c r="G4004" s="2" t="inlineStr">
        <is>
          <t>claro:prezao-12d-4gb</t>
        </is>
      </c>
      <c r="H4004" s="3" t="n">
        <v>15</v>
      </c>
      <c r="I4004" s="3" t="inlineStr"/>
      <c r="J4004" s="2" t="inlineStr">
        <is>
          <t>recarga Prezão R$15 — validade 12 dias</t>
        </is>
      </c>
      <c r="K4004" s="2" t="inlineStr"/>
      <c r="L4004" s="4" t="n">
        <v>4</v>
      </c>
      <c r="M4004" s="2" t="inlineStr"/>
      <c r="N4004" s="2" t="n">
        <v>12</v>
      </c>
      <c r="O4004" s="2" t="inlineStr"/>
      <c r="P4004" s="2" t="inlineStr"/>
      <c r="Q4004" s="2" t="inlineStr"/>
      <c r="R4004" s="2" t="inlineStr"/>
      <c r="S4004" s="2" t="inlineStr"/>
      <c r="T4004" s="2" t="inlineStr"/>
      <c r="U4004" s="2" t="inlineStr">
        <is>
          <t>https://www.claro.com.br/celular/planos-pre/prezao</t>
        </is>
      </c>
      <c r="V4004" s="2" t="inlineStr">
        <is>
          <t>data/raw/claro_prepaid_SP.json</t>
        </is>
      </c>
    </row>
    <row r="4005">
      <c r="A4005" s="5" t="inlineStr">
        <is>
          <t>2026-09-01</t>
        </is>
      </c>
      <c r="B4005" s="5" t="inlineStr">
        <is>
          <t>2026-09-01T19:58:06</t>
        </is>
      </c>
      <c r="C4005" s="5" t="inlineStr">
        <is>
          <t>claro</t>
        </is>
      </c>
      <c r="D4005" s="5" t="inlineStr">
        <is>
          <t>prepaid</t>
        </is>
      </c>
      <c r="E4005" s="5" t="inlineStr">
        <is>
          <t>SP</t>
        </is>
      </c>
      <c r="F4005" s="5" t="inlineStr">
        <is>
          <t>Prezão 5GB (15 dias)</t>
        </is>
      </c>
      <c r="G4005" s="5" t="inlineStr">
        <is>
          <t>claro:prezao-15d-5gb</t>
        </is>
      </c>
      <c r="H4005" s="6" t="n">
        <v>15</v>
      </c>
      <c r="I4005" s="6" t="inlineStr"/>
      <c r="J4005" s="5" t="inlineStr">
        <is>
          <t>recarga Prezão R$15 — validade 15 dias</t>
        </is>
      </c>
      <c r="K4005" s="5" t="inlineStr"/>
      <c r="L4005" s="7" t="n">
        <v>5</v>
      </c>
      <c r="M4005" s="5" t="inlineStr"/>
      <c r="N4005" s="5" t="n">
        <v>15</v>
      </c>
      <c r="O4005" s="5" t="inlineStr"/>
      <c r="P4005" s="5" t="inlineStr"/>
      <c r="Q4005" s="5" t="inlineStr"/>
      <c r="R4005" s="5" t="inlineStr"/>
      <c r="S4005" s="5" t="inlineStr"/>
      <c r="T4005" s="5" t="inlineStr"/>
      <c r="U4005" s="5" t="inlineStr">
        <is>
          <t>https://www.claro.com.br/celular/planos-pre/prezao</t>
        </is>
      </c>
      <c r="V4005" s="5" t="inlineStr">
        <is>
          <t>data/raw/claro_prepaid_SP.json</t>
        </is>
      </c>
    </row>
    <row r="4006">
      <c r="A4006" s="2" t="inlineStr">
        <is>
          <t>2026-09-01</t>
        </is>
      </c>
      <c r="B4006" s="2" t="inlineStr">
        <is>
          <t>2026-09-01T19:58:06</t>
        </is>
      </c>
      <c r="C4006" s="2" t="inlineStr">
        <is>
          <t>claro</t>
        </is>
      </c>
      <c r="D4006" s="2" t="inlineStr">
        <is>
          <t>prepaid</t>
        </is>
      </c>
      <c r="E4006" s="2" t="inlineStr">
        <is>
          <t>SP</t>
        </is>
      </c>
      <c r="F4006" s="2" t="inlineStr">
        <is>
          <t>Prezão 6GB (20 dias)</t>
        </is>
      </c>
      <c r="G4006" s="2" t="inlineStr">
        <is>
          <t>claro:prezao-20d-6gb</t>
        </is>
      </c>
      <c r="H4006" s="3" t="n">
        <v>20</v>
      </c>
      <c r="I4006" s="3" t="inlineStr"/>
      <c r="J4006" s="2" t="inlineStr">
        <is>
          <t>recarga Prezão R$20 — validade 20 dias</t>
        </is>
      </c>
      <c r="K4006" s="2" t="inlineStr"/>
      <c r="L4006" s="4" t="n">
        <v>6</v>
      </c>
      <c r="M4006" s="2" t="inlineStr"/>
      <c r="N4006" s="2" t="n">
        <v>20</v>
      </c>
      <c r="O4006" s="2" t="inlineStr"/>
      <c r="P4006" s="2" t="inlineStr"/>
      <c r="Q4006" s="2" t="inlineStr"/>
      <c r="R4006" s="2" t="inlineStr"/>
      <c r="S4006" s="2" t="inlineStr"/>
      <c r="T4006" s="2" t="inlineStr"/>
      <c r="U4006" s="2" t="inlineStr">
        <is>
          <t>https://www.claro.com.br/celular/planos-pre/prezao</t>
        </is>
      </c>
      <c r="V4006" s="2" t="inlineStr">
        <is>
          <t>data/raw/claro_prepaid_SP.json</t>
        </is>
      </c>
    </row>
    <row r="4007">
      <c r="A4007" s="5" t="inlineStr">
        <is>
          <t>2026-09-01</t>
        </is>
      </c>
      <c r="B4007" s="5" t="inlineStr">
        <is>
          <t>2026-09-01T19:58:06</t>
        </is>
      </c>
      <c r="C4007" s="5" t="inlineStr">
        <is>
          <t>claro</t>
        </is>
      </c>
      <c r="D4007" s="5" t="inlineStr">
        <is>
          <t>prepaid</t>
        </is>
      </c>
      <c r="E4007" s="5" t="inlineStr">
        <is>
          <t>SP</t>
        </is>
      </c>
      <c r="F4007" s="5" t="inlineStr">
        <is>
          <t>Prezão 8GB (20 dias)</t>
        </is>
      </c>
      <c r="G4007" s="5" t="inlineStr">
        <is>
          <t>claro:prezao-20d-8gb</t>
        </is>
      </c>
      <c r="H4007" s="6" t="n">
        <v>20</v>
      </c>
      <c r="I4007" s="6" t="inlineStr"/>
      <c r="J4007" s="5" t="inlineStr">
        <is>
          <t>recarga Prezão R$20 — validade 20 dias</t>
        </is>
      </c>
      <c r="K4007" s="5" t="inlineStr"/>
      <c r="L4007" s="7" t="n">
        <v>8</v>
      </c>
      <c r="M4007" s="5" t="inlineStr"/>
      <c r="N4007" s="5" t="n">
        <v>20</v>
      </c>
      <c r="O4007" s="5" t="inlineStr"/>
      <c r="P4007" s="5" t="inlineStr"/>
      <c r="Q4007" s="5" t="inlineStr"/>
      <c r="R4007" s="5" t="inlineStr"/>
      <c r="S4007" s="5" t="inlineStr"/>
      <c r="T4007" s="5" t="inlineStr"/>
      <c r="U4007" s="5" t="inlineStr">
        <is>
          <t>https://www.claro.com.br/celular/planos-pre/prezao</t>
        </is>
      </c>
      <c r="V4007" s="5" t="inlineStr">
        <is>
          <t>data/raw/claro_prepaid_SP.json</t>
        </is>
      </c>
    </row>
    <row r="4008">
      <c r="A4008" s="2" t="inlineStr">
        <is>
          <t>2026-09-01</t>
        </is>
      </c>
      <c r="B4008" s="2" t="inlineStr">
        <is>
          <t>2026-09-01T19:58:06</t>
        </is>
      </c>
      <c r="C4008" s="2" t="inlineStr">
        <is>
          <t>claro</t>
        </is>
      </c>
      <c r="D4008" s="2" t="inlineStr">
        <is>
          <t>prepaid</t>
        </is>
      </c>
      <c r="E4008" s="2" t="inlineStr">
        <is>
          <t>SP</t>
        </is>
      </c>
      <c r="F4008" s="2" t="inlineStr">
        <is>
          <t>Prezão 9GB (25 dias)</t>
        </is>
      </c>
      <c r="G4008" s="2" t="inlineStr">
        <is>
          <t>claro:prezao-25d-9gb</t>
        </is>
      </c>
      <c r="H4008" s="3" t="n">
        <v>25</v>
      </c>
      <c r="I4008" s="3" t="inlineStr"/>
      <c r="J4008" s="2" t="inlineStr">
        <is>
          <t>recarga Prezão R$25 — validade 25 dias</t>
        </is>
      </c>
      <c r="K4008" s="2" t="inlineStr"/>
      <c r="L4008" s="4" t="n">
        <v>9</v>
      </c>
      <c r="M4008" s="2" t="inlineStr"/>
      <c r="N4008" s="2" t="n">
        <v>25</v>
      </c>
      <c r="O4008" s="2" t="inlineStr"/>
      <c r="P4008" s="2" t="inlineStr"/>
      <c r="Q4008" s="2" t="inlineStr"/>
      <c r="R4008" s="2" t="inlineStr"/>
      <c r="S4008" s="2" t="inlineStr"/>
      <c r="T4008" s="2" t="inlineStr"/>
      <c r="U4008" s="2" t="inlineStr">
        <is>
          <t>https://www.claro.com.br/celular/planos-pre/prezao</t>
        </is>
      </c>
      <c r="V4008" s="2" t="inlineStr">
        <is>
          <t>data/raw/claro_prepaid_SP.json</t>
        </is>
      </c>
    </row>
    <row r="4009">
      <c r="A4009" s="5" t="inlineStr">
        <is>
          <t>2026-09-01</t>
        </is>
      </c>
      <c r="B4009" s="5" t="inlineStr">
        <is>
          <t>2026-09-01T19:58:06</t>
        </is>
      </c>
      <c r="C4009" s="5" t="inlineStr">
        <is>
          <t>tim</t>
        </is>
      </c>
      <c r="D4009" s="5" t="inlineStr">
        <is>
          <t>control</t>
        </is>
      </c>
      <c r="E4009" s="5" t="inlineStr">
        <is>
          <t>SP</t>
        </is>
      </c>
      <c r="F4009" s="5" t="inlineStr">
        <is>
          <t>TIM Controle 45GB</t>
        </is>
      </c>
      <c r="G4009" s="5" t="inlineStr">
        <is>
          <t>tim:182766</t>
        </is>
      </c>
      <c r="H4009" s="6" t="n">
        <v>49.99</v>
      </c>
      <c r="I4009" s="6" t="inlineStr"/>
      <c r="J4009" s="5" t="inlineStr"/>
      <c r="K4009" s="5" t="inlineStr"/>
      <c r="L4009" s="7" t="n">
        <v>45</v>
      </c>
      <c r="M4009" s="5" t="inlineStr"/>
      <c r="N4009" s="5" t="inlineStr"/>
      <c r="O4009" s="5" t="inlineStr"/>
      <c r="P4009" s="5" t="inlineStr"/>
      <c r="Q4009" s="5" t="inlineStr"/>
      <c r="R4009" s="5" t="inlineStr"/>
      <c r="S4009" s="5" t="inlineStr"/>
      <c r="T4009" s="5" t="inlineStr"/>
      <c r="U4009" s="5" t="inlineStr">
        <is>
          <t>https://www.tim.com.br/sp/para-voce/planos/controle</t>
        </is>
      </c>
      <c r="V4009" s="5" t="inlineStr">
        <is>
          <t>data/raw/tim_control_SP.html</t>
        </is>
      </c>
    </row>
    <row r="4010">
      <c r="A4010" s="2" t="inlineStr">
        <is>
          <t>2026-09-01</t>
        </is>
      </c>
      <c r="B4010" s="2" t="inlineStr">
        <is>
          <t>2026-09-01T19:58:06</t>
        </is>
      </c>
      <c r="C4010" s="2" t="inlineStr">
        <is>
          <t>tim</t>
        </is>
      </c>
      <c r="D4010" s="2" t="inlineStr">
        <is>
          <t>control</t>
        </is>
      </c>
      <c r="E4010" s="2" t="inlineStr">
        <is>
          <t>SP</t>
        </is>
      </c>
      <c r="F4010" s="2" t="inlineStr">
        <is>
          <t>TIM Controle Light Express 45GB</t>
        </is>
      </c>
      <c r="G4010" s="2" t="inlineStr">
        <is>
          <t>tim:167726</t>
        </is>
      </c>
      <c r="H4010" s="3" t="n">
        <v>60.99</v>
      </c>
      <c r="I4010" s="3" t="inlineStr"/>
      <c r="J4010" s="2" t="inlineStr"/>
      <c r="K4010" s="2" t="inlineStr"/>
      <c r="L4010" s="4" t="n">
        <v>45</v>
      </c>
      <c r="M4010" s="2" t="inlineStr"/>
      <c r="N4010" s="2" t="inlineStr"/>
      <c r="O4010" s="2" t="inlineStr"/>
      <c r="P4010" s="2" t="inlineStr"/>
      <c r="Q4010" s="2" t="inlineStr"/>
      <c r="R4010" s="2" t="inlineStr"/>
      <c r="S4010" s="2" t="inlineStr"/>
      <c r="T4010" s="2" t="inlineStr"/>
      <c r="U4010" s="2" t="inlineStr">
        <is>
          <t>https://www.tim.com.br/sp/para-voce/planos/controle</t>
        </is>
      </c>
      <c r="V4010" s="2" t="inlineStr">
        <is>
          <t>data/raw/tim_control_SP.html</t>
        </is>
      </c>
    </row>
    <row r="4011">
      <c r="A4011" s="5" t="inlineStr">
        <is>
          <t>2026-09-01</t>
        </is>
      </c>
      <c r="B4011" s="5" t="inlineStr">
        <is>
          <t>2026-09-01T19:58:06</t>
        </is>
      </c>
      <c r="C4011" s="5" t="inlineStr">
        <is>
          <t>tim</t>
        </is>
      </c>
      <c r="D4011" s="5" t="inlineStr">
        <is>
          <t>control</t>
        </is>
      </c>
      <c r="E4011" s="5" t="inlineStr">
        <is>
          <t>SP</t>
        </is>
      </c>
      <c r="F4011" s="5" t="inlineStr">
        <is>
          <t>TIM Controle Premium 55GB</t>
        </is>
      </c>
      <c r="G4011" s="5" t="inlineStr">
        <is>
          <t>tim:180756</t>
        </is>
      </c>
      <c r="H4011" s="6" t="n">
        <v>69.98999999999999</v>
      </c>
      <c r="I4011" s="6" t="inlineStr"/>
      <c r="J4011" s="5" t="inlineStr"/>
      <c r="K4011" s="5" t="inlineStr"/>
      <c r="L4011" s="7" t="n">
        <v>55</v>
      </c>
      <c r="M4011" s="5" t="inlineStr"/>
      <c r="N4011" s="5" t="inlineStr"/>
      <c r="O4011" s="5" t="inlineStr"/>
      <c r="P4011" s="5" t="inlineStr"/>
      <c r="Q4011" s="5" t="inlineStr"/>
      <c r="R4011" s="5" t="inlineStr"/>
      <c r="S4011" s="5" t="inlineStr"/>
      <c r="T4011" s="5" t="inlineStr"/>
      <c r="U4011" s="5" t="inlineStr">
        <is>
          <t>https://www.tim.com.br/sp/para-voce/planos/controle</t>
        </is>
      </c>
      <c r="V4011" s="5" t="inlineStr">
        <is>
          <t>data/raw/tim_control_SP.html</t>
        </is>
      </c>
    </row>
    <row r="4012">
      <c r="A4012" s="2" t="inlineStr">
        <is>
          <t>2026-09-01</t>
        </is>
      </c>
      <c r="B4012" s="2" t="inlineStr">
        <is>
          <t>2026-09-01T19:58:06</t>
        </is>
      </c>
      <c r="C4012" s="2" t="inlineStr">
        <is>
          <t>tim</t>
        </is>
      </c>
      <c r="D4012" s="2" t="inlineStr">
        <is>
          <t>control</t>
        </is>
      </c>
      <c r="E4012" s="2" t="inlineStr">
        <is>
          <t>SP</t>
        </is>
      </c>
      <c r="F4012" s="2" t="inlineStr">
        <is>
          <t>TIM Controle Pro Express 46GB</t>
        </is>
      </c>
      <c r="G4012" s="2" t="inlineStr">
        <is>
          <t>tim:167731</t>
        </is>
      </c>
      <c r="H4012" s="3" t="n">
        <v>64.98999999999999</v>
      </c>
      <c r="I4012" s="3" t="inlineStr"/>
      <c r="J4012" s="2" t="inlineStr"/>
      <c r="K4012" s="2" t="inlineStr"/>
      <c r="L4012" s="4" t="n">
        <v>46</v>
      </c>
      <c r="M4012" s="2" t="inlineStr"/>
      <c r="N4012" s="2" t="inlineStr"/>
      <c r="O4012" s="2" t="inlineStr"/>
      <c r="P4012" s="2" t="inlineStr"/>
      <c r="Q4012" s="2" t="inlineStr"/>
      <c r="R4012" s="2" t="inlineStr"/>
      <c r="S4012" s="2" t="inlineStr"/>
      <c r="T4012" s="2" t="inlineStr"/>
      <c r="U4012" s="2" t="inlineStr">
        <is>
          <t>https://www.tim.com.br/sp/para-voce/planos/controle</t>
        </is>
      </c>
      <c r="V4012" s="2" t="inlineStr">
        <is>
          <t>data/raw/tim_control_SP.html</t>
        </is>
      </c>
    </row>
    <row r="4013">
      <c r="A4013" s="5" t="inlineStr">
        <is>
          <t>2026-09-01</t>
        </is>
      </c>
      <c r="B4013" s="5" t="inlineStr">
        <is>
          <t>2026-09-01T19:58:06</t>
        </is>
      </c>
      <c r="C4013" s="5" t="inlineStr">
        <is>
          <t>tim</t>
        </is>
      </c>
      <c r="D4013" s="5" t="inlineStr">
        <is>
          <t>control</t>
        </is>
      </c>
      <c r="E4013" s="5" t="inlineStr">
        <is>
          <t>SP</t>
        </is>
      </c>
      <c r="F4013" s="5" t="inlineStr">
        <is>
          <t>TIM Controle Redes Sociais 46GB</t>
        </is>
      </c>
      <c r="G4013" s="5" t="inlineStr">
        <is>
          <t>tim:167031</t>
        </is>
      </c>
      <c r="H4013" s="6" t="n">
        <v>59.99</v>
      </c>
      <c r="I4013" s="6" t="inlineStr"/>
      <c r="J4013" s="5" t="inlineStr"/>
      <c r="K4013" s="5" t="inlineStr"/>
      <c r="L4013" s="7" t="n">
        <v>46</v>
      </c>
      <c r="M4013" s="5" t="inlineStr"/>
      <c r="N4013" s="5" t="inlineStr"/>
      <c r="O4013" s="5" t="inlineStr"/>
      <c r="P4013" s="5" t="inlineStr"/>
      <c r="Q4013" s="5" t="inlineStr"/>
      <c r="R4013" s="5" t="inlineStr"/>
      <c r="S4013" s="5" t="inlineStr"/>
      <c r="T4013" s="5" t="inlineStr"/>
      <c r="U4013" s="5" t="inlineStr">
        <is>
          <t>https://www.tim.com.br/sp/para-voce/planos/controle</t>
        </is>
      </c>
      <c r="V4013" s="5" t="inlineStr">
        <is>
          <t>data/raw/tim_control_SP.html</t>
        </is>
      </c>
    </row>
    <row r="4014">
      <c r="A4014" s="2" t="inlineStr">
        <is>
          <t>2026-09-01</t>
        </is>
      </c>
      <c r="B4014" s="2" t="inlineStr">
        <is>
          <t>2026-09-01T19:58:06</t>
        </is>
      </c>
      <c r="C4014" s="2" t="inlineStr">
        <is>
          <t>tim</t>
        </is>
      </c>
      <c r="D4014" s="2" t="inlineStr">
        <is>
          <t>fit</t>
        </is>
      </c>
      <c r="E4014" s="2" t="inlineStr">
        <is>
          <t>SP</t>
        </is>
      </c>
      <c r="F4014" s="2" t="inlineStr">
        <is>
          <t>TIM Controle Fit Anual 1.0</t>
        </is>
      </c>
      <c r="G4014" s="2" t="inlineStr">
        <is>
          <t>tim:TIM202600000306</t>
        </is>
      </c>
      <c r="H4014" s="3" t="n">
        <v>20</v>
      </c>
      <c r="I4014" s="3" t="inlineStr"/>
      <c r="J4014" s="2" t="inlineStr">
        <is>
          <t>plano anual 12x no cartão de crédito; a etiqueta TIM informa 'sem prazo de permanência'</t>
        </is>
      </c>
      <c r="K4014" s="2" t="inlineStr">
        <is>
          <t>credit_card</t>
        </is>
      </c>
      <c r="L4014" s="4" t="n">
        <v>25</v>
      </c>
      <c r="M4014" s="2" t="inlineStr"/>
      <c r="N4014" s="2" t="inlineStr"/>
      <c r="O4014" s="2" t="inlineStr"/>
      <c r="P4014" s="2" t="inlineStr"/>
      <c r="Q4014" s="2" t="inlineStr"/>
      <c r="R4014" s="2" t="inlineStr"/>
      <c r="S4014" s="2" t="n">
        <v>12</v>
      </c>
      <c r="T4014" s="2" t="inlineStr"/>
      <c r="U4014" s="2" t="inlineStr">
        <is>
          <t>https://www.tim.com.br/sp/para-voce/planos/controle</t>
        </is>
      </c>
      <c r="V4014" s="2" t="inlineStr">
        <is>
          <t>data/raw/tim_fit_SP.html</t>
        </is>
      </c>
    </row>
    <row r="4015">
      <c r="A4015" s="5" t="inlineStr">
        <is>
          <t>2026-09-01</t>
        </is>
      </c>
      <c r="B4015" s="5" t="inlineStr">
        <is>
          <t>2026-09-01T19:58:06</t>
        </is>
      </c>
      <c r="C4015" s="5" t="inlineStr">
        <is>
          <t>tim</t>
        </is>
      </c>
      <c r="D4015" s="5" t="inlineStr">
        <is>
          <t>fit</t>
        </is>
      </c>
      <c r="E4015" s="5" t="inlineStr">
        <is>
          <t>SP</t>
        </is>
      </c>
      <c r="F4015" s="5" t="inlineStr">
        <is>
          <t>TIM Controle Fit Anual 2.0</t>
        </is>
      </c>
      <c r="G4015" s="5" t="inlineStr">
        <is>
          <t>tim:TIM202600000271</t>
        </is>
      </c>
      <c r="H4015" s="6" t="n">
        <v>30</v>
      </c>
      <c r="I4015" s="6" t="inlineStr"/>
      <c r="J4015" s="5" t="inlineStr">
        <is>
          <t>plano anual 12x no cartão de crédito; a etiqueta TIM informa 'sem prazo de permanência'</t>
        </is>
      </c>
      <c r="K4015" s="5" t="inlineStr">
        <is>
          <t>credit_card</t>
        </is>
      </c>
      <c r="L4015" s="7" t="n">
        <v>35</v>
      </c>
      <c r="M4015" s="5" t="inlineStr"/>
      <c r="N4015" s="5" t="inlineStr"/>
      <c r="O4015" s="5" t="inlineStr"/>
      <c r="P4015" s="5" t="inlineStr"/>
      <c r="Q4015" s="5" t="inlineStr"/>
      <c r="R4015" s="5" t="inlineStr"/>
      <c r="S4015" s="5" t="n">
        <v>12</v>
      </c>
      <c r="T4015" s="5" t="inlineStr"/>
      <c r="U4015" s="5" t="inlineStr">
        <is>
          <t>https://www.tim.com.br/sp/para-voce/planos/controle</t>
        </is>
      </c>
      <c r="V4015" s="5" t="inlineStr">
        <is>
          <t>data/raw/tim_fit_SP.html</t>
        </is>
      </c>
    </row>
    <row r="4016">
      <c r="A4016" s="2" t="inlineStr">
        <is>
          <t>2026-09-01</t>
        </is>
      </c>
      <c r="B4016" s="2" t="inlineStr">
        <is>
          <t>2026-09-01T19:58:06</t>
        </is>
      </c>
      <c r="C4016" s="2" t="inlineStr">
        <is>
          <t>tim</t>
        </is>
      </c>
      <c r="D4016" s="2" t="inlineStr">
        <is>
          <t>fit</t>
        </is>
      </c>
      <c r="E4016" s="2" t="inlineStr">
        <is>
          <t>SP</t>
        </is>
      </c>
      <c r="F4016" s="2" t="inlineStr">
        <is>
          <t>TIM Controle Fit Mensal 1.0</t>
        </is>
      </c>
      <c r="G4016" s="2" t="inlineStr">
        <is>
          <t>tim:TIM202600000270</t>
        </is>
      </c>
      <c r="H4016" s="3" t="n">
        <v>20</v>
      </c>
      <c r="I4016" s="3" t="inlineStr"/>
      <c r="J401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016" s="2" t="inlineStr"/>
      <c r="L4016" s="4" t="n">
        <v>20</v>
      </c>
      <c r="M4016" s="2" t="inlineStr"/>
      <c r="N4016" s="2" t="inlineStr"/>
      <c r="O4016" s="2" t="inlineStr"/>
      <c r="P4016" s="2" t="inlineStr"/>
      <c r="Q4016" s="2" t="inlineStr"/>
      <c r="R4016" s="2" t="inlineStr"/>
      <c r="S4016" s="2" t="inlineStr"/>
      <c r="T4016" s="2" t="inlineStr"/>
      <c r="U4016" s="2" t="inlineStr">
        <is>
          <t>https://www.tim.com.br/sp/para-voce/planos/controle</t>
        </is>
      </c>
      <c r="V4016" s="2" t="inlineStr">
        <is>
          <t>data/raw/tim_fit_SP.html</t>
        </is>
      </c>
    </row>
    <row r="4017">
      <c r="A4017" s="5" t="inlineStr">
        <is>
          <t>2026-09-01</t>
        </is>
      </c>
      <c r="B4017" s="5" t="inlineStr">
        <is>
          <t>2026-09-01T19:58:06</t>
        </is>
      </c>
      <c r="C4017" s="5" t="inlineStr">
        <is>
          <t>tim</t>
        </is>
      </c>
      <c r="D4017" s="5" t="inlineStr">
        <is>
          <t>fit</t>
        </is>
      </c>
      <c r="E4017" s="5" t="inlineStr">
        <is>
          <t>SP</t>
        </is>
      </c>
      <c r="F4017" s="5" t="inlineStr">
        <is>
          <t>TIM Controle Fit Mensal 2.0</t>
        </is>
      </c>
      <c r="G4017" s="5" t="inlineStr">
        <is>
          <t>tim:TIM202600000305</t>
        </is>
      </c>
      <c r="H4017" s="6" t="n">
        <v>45</v>
      </c>
      <c r="I4017" s="6" t="inlineStr"/>
      <c r="J4017" s="5" t="inlineStr">
        <is>
          <t>plano mensal, sem prazo de permanência; a etiqueta TIM informa 'sem prazo de permanência'</t>
        </is>
      </c>
      <c r="K4017" s="5" t="inlineStr"/>
      <c r="L4017" s="7" t="n">
        <v>35</v>
      </c>
      <c r="M4017" s="5" t="inlineStr"/>
      <c r="N4017" s="5" t="inlineStr"/>
      <c r="O4017" s="5" t="inlineStr"/>
      <c r="P4017" s="5" t="inlineStr"/>
      <c r="Q4017" s="5" t="inlineStr"/>
      <c r="R4017" s="5" t="inlineStr"/>
      <c r="S4017" s="5" t="inlineStr"/>
      <c r="T4017" s="5" t="inlineStr"/>
      <c r="U4017" s="5" t="inlineStr">
        <is>
          <t>https://www.tim.com.br/sp/para-voce/planos/controle</t>
        </is>
      </c>
      <c r="V4017" s="5" t="inlineStr">
        <is>
          <t>data/raw/tim_fit_SP.html</t>
        </is>
      </c>
    </row>
    <row r="4018">
      <c r="A4018" s="2" t="inlineStr">
        <is>
          <t>2026-09-01</t>
        </is>
      </c>
      <c r="B4018" s="2" t="inlineStr">
        <is>
          <t>2026-09-01T19:58:06</t>
        </is>
      </c>
      <c r="C4018" s="2" t="inlineStr">
        <is>
          <t>tim</t>
        </is>
      </c>
      <c r="D4018" s="2" t="inlineStr">
        <is>
          <t>postpaid</t>
        </is>
      </c>
      <c r="E4018" s="2" t="inlineStr">
        <is>
          <t>SP</t>
        </is>
      </c>
      <c r="F4018" s="2" t="inlineStr">
        <is>
          <t>TIM Black 70GB</t>
        </is>
      </c>
      <c r="G4018" s="2" t="inlineStr">
        <is>
          <t>tim:54206</t>
        </is>
      </c>
      <c r="H4018" s="3" t="n">
        <v>129.99</v>
      </c>
      <c r="I4018" s="3" t="inlineStr"/>
      <c r="J4018" s="2" t="inlineStr"/>
      <c r="K4018" s="2" t="inlineStr">
        <is>
          <t>bill</t>
        </is>
      </c>
      <c r="L4018" s="4" t="n">
        <v>70</v>
      </c>
      <c r="M4018" s="2" t="inlineStr"/>
      <c r="N4018" s="2" t="inlineStr"/>
      <c r="O4018" s="2" t="inlineStr"/>
      <c r="P4018" s="2" t="inlineStr"/>
      <c r="Q4018" s="2" t="inlineStr"/>
      <c r="R4018" s="2" t="inlineStr"/>
      <c r="S4018" s="2" t="inlineStr"/>
      <c r="T4018" s="2" t="inlineStr"/>
      <c r="U4018" s="2" t="inlineStr">
        <is>
          <t>https://www.tim.com.br/sp/para-voce/planos/pos-pago/tim-black</t>
        </is>
      </c>
      <c r="V4018" s="2" t="inlineStr">
        <is>
          <t>data/raw/tim_postpaid_SP.html</t>
        </is>
      </c>
    </row>
    <row r="4019">
      <c r="A4019" s="5" t="inlineStr">
        <is>
          <t>2026-09-01</t>
        </is>
      </c>
      <c r="B4019" s="5" t="inlineStr">
        <is>
          <t>2026-09-01T19:58:06</t>
        </is>
      </c>
      <c r="C4019" s="5" t="inlineStr">
        <is>
          <t>tim</t>
        </is>
      </c>
      <c r="D4019" s="5" t="inlineStr">
        <is>
          <t>postpaid</t>
        </is>
      </c>
      <c r="E4019" s="5" t="inlineStr">
        <is>
          <t>SP</t>
        </is>
      </c>
      <c r="F4019" s="5" t="inlineStr">
        <is>
          <t>TIM Black B Express 82GB</t>
        </is>
      </c>
      <c r="G4019" s="5" t="inlineStr">
        <is>
          <t>tim:52146</t>
        </is>
      </c>
      <c r="H4019" s="6" t="n">
        <v>144.99</v>
      </c>
      <c r="I4019" s="6" t="inlineStr"/>
      <c r="J4019" s="5" t="inlineStr"/>
      <c r="K4019" s="5" t="inlineStr">
        <is>
          <t>credit_card</t>
        </is>
      </c>
      <c r="L4019" s="7" t="n">
        <v>82</v>
      </c>
      <c r="M4019" s="5" t="inlineStr"/>
      <c r="N4019" s="5" t="inlineStr"/>
      <c r="O4019" s="5" t="inlineStr"/>
      <c r="P4019" s="5" t="inlineStr"/>
      <c r="Q4019" s="5" t="inlineStr"/>
      <c r="R4019" s="5" t="inlineStr"/>
      <c r="S4019" s="5" t="inlineStr"/>
      <c r="T4019" s="5" t="inlineStr"/>
      <c r="U4019" s="5" t="inlineStr">
        <is>
          <t>https://www.tim.com.br/sp/para-voce/planos/pos-pago/tim-black</t>
        </is>
      </c>
      <c r="V4019" s="5" t="inlineStr">
        <is>
          <t>data/raw/tim_postpaid_SP.html</t>
        </is>
      </c>
    </row>
    <row r="4020">
      <c r="A4020" s="2" t="inlineStr">
        <is>
          <t>2026-09-01</t>
        </is>
      </c>
      <c r="B4020" s="2" t="inlineStr">
        <is>
          <t>2026-09-01T19:58:06</t>
        </is>
      </c>
      <c r="C4020" s="2" t="inlineStr">
        <is>
          <t>tim</t>
        </is>
      </c>
      <c r="D4020" s="2" t="inlineStr">
        <is>
          <t>postpaid</t>
        </is>
      </c>
      <c r="E4020" s="2" t="inlineStr">
        <is>
          <t>SP</t>
        </is>
      </c>
      <c r="F4020" s="2" t="inlineStr">
        <is>
          <t>TIM Black C Express 107GB</t>
        </is>
      </c>
      <c r="G4020" s="2" t="inlineStr">
        <is>
          <t>tim:52151</t>
        </is>
      </c>
      <c r="H4020" s="3" t="n">
        <v>164.99</v>
      </c>
      <c r="I4020" s="3" t="inlineStr"/>
      <c r="J4020" s="2" t="inlineStr"/>
      <c r="K4020" s="2" t="inlineStr">
        <is>
          <t>credit_card</t>
        </is>
      </c>
      <c r="L4020" s="4" t="n">
        <v>107</v>
      </c>
      <c r="M4020" s="2" t="inlineStr"/>
      <c r="N4020" s="2" t="inlineStr"/>
      <c r="O4020" s="2" t="inlineStr"/>
      <c r="P4020" s="2" t="inlineStr"/>
      <c r="Q4020" s="2" t="inlineStr"/>
      <c r="R4020" s="2" t="inlineStr"/>
      <c r="S4020" s="2" t="inlineStr"/>
      <c r="T4020" s="2" t="inlineStr"/>
      <c r="U4020" s="2" t="inlineStr">
        <is>
          <t>https://www.tim.com.br/sp/para-voce/planos/pos-pago/tim-black</t>
        </is>
      </c>
      <c r="V4020" s="2" t="inlineStr">
        <is>
          <t>data/raw/tim_postpaid_SP.html</t>
        </is>
      </c>
    </row>
    <row r="4021">
      <c r="A4021" s="5" t="inlineStr">
        <is>
          <t>2026-09-01</t>
        </is>
      </c>
      <c r="B4021" s="5" t="inlineStr">
        <is>
          <t>2026-09-01T19:58:06</t>
        </is>
      </c>
      <c r="C4021" s="5" t="inlineStr">
        <is>
          <t>tim</t>
        </is>
      </c>
      <c r="D4021" s="5" t="inlineStr">
        <is>
          <t>postpaid</t>
        </is>
      </c>
      <c r="E4021" s="5" t="inlineStr">
        <is>
          <t>SP</t>
        </is>
      </c>
      <c r="F4021" s="5" t="inlineStr">
        <is>
          <t>TIM Black Plus 80GB</t>
        </is>
      </c>
      <c r="G4021" s="5" t="inlineStr">
        <is>
          <t>tim:54256</t>
        </is>
      </c>
      <c r="H4021" s="6" t="n">
        <v>149.99</v>
      </c>
      <c r="I4021" s="6" t="inlineStr"/>
      <c r="J4021" s="5" t="inlineStr"/>
      <c r="K4021" s="5" t="inlineStr">
        <is>
          <t>bill</t>
        </is>
      </c>
      <c r="L4021" s="7" t="n">
        <v>80</v>
      </c>
      <c r="M4021" s="5" t="inlineStr"/>
      <c r="N4021" s="5" t="inlineStr"/>
      <c r="O4021" s="5" t="inlineStr"/>
      <c r="P4021" s="5" t="inlineStr"/>
      <c r="Q4021" s="5" t="inlineStr"/>
      <c r="R4021" s="5" t="inlineStr"/>
      <c r="S4021" s="5" t="inlineStr"/>
      <c r="T4021" s="5" t="inlineStr"/>
      <c r="U4021" s="5" t="inlineStr">
        <is>
          <t>https://www.tim.com.br/sp/para-voce/planos/pos-pago/tim-black</t>
        </is>
      </c>
      <c r="V4021" s="5" t="inlineStr">
        <is>
          <t>data/raw/tim_postpaid_SP.html</t>
        </is>
      </c>
    </row>
    <row r="4022">
      <c r="A4022" s="2" t="inlineStr">
        <is>
          <t>2026-09-01</t>
        </is>
      </c>
      <c r="B4022" s="2" t="inlineStr">
        <is>
          <t>2026-09-01T19:58:06</t>
        </is>
      </c>
      <c r="C4022" s="2" t="inlineStr">
        <is>
          <t>tim</t>
        </is>
      </c>
      <c r="D4022" s="2" t="inlineStr">
        <is>
          <t>postpaid</t>
        </is>
      </c>
      <c r="E4022" s="2" t="inlineStr">
        <is>
          <t>SP</t>
        </is>
      </c>
      <c r="F4022" s="2" t="inlineStr">
        <is>
          <t>TIM Black Premium 110GB</t>
        </is>
      </c>
      <c r="G4022" s="2" t="inlineStr">
        <is>
          <t>tim:54261</t>
        </is>
      </c>
      <c r="H4022" s="3" t="n">
        <v>159.99</v>
      </c>
      <c r="I4022" s="3" t="inlineStr"/>
      <c r="J4022" s="2" t="inlineStr"/>
      <c r="K4022" s="2" t="inlineStr">
        <is>
          <t>bill</t>
        </is>
      </c>
      <c r="L4022" s="4" t="n">
        <v>110</v>
      </c>
      <c r="M4022" s="2" t="inlineStr"/>
      <c r="N4022" s="2" t="inlineStr"/>
      <c r="O4022" s="2" t="inlineStr"/>
      <c r="P4022" s="2" t="inlineStr"/>
      <c r="Q4022" s="2" t="inlineStr"/>
      <c r="R4022" s="2" t="inlineStr"/>
      <c r="S4022" s="2" t="inlineStr"/>
      <c r="T4022" s="2" t="inlineStr"/>
      <c r="U4022" s="2" t="inlineStr">
        <is>
          <t>https://www.tim.com.br/sp/para-voce/planos/pos-pago/tim-black</t>
        </is>
      </c>
      <c r="V4022" s="2" t="inlineStr">
        <is>
          <t>data/raw/tim_postpaid_SP.html</t>
        </is>
      </c>
    </row>
    <row r="4023">
      <c r="A4023" s="5" t="inlineStr">
        <is>
          <t>2026-09-01</t>
        </is>
      </c>
      <c r="B4023" s="5" t="inlineStr">
        <is>
          <t>2026-09-01T19:58:06</t>
        </is>
      </c>
      <c r="C4023" s="5" t="inlineStr">
        <is>
          <t>tim</t>
        </is>
      </c>
      <c r="D4023" s="5" t="inlineStr">
        <is>
          <t>prepaid</t>
        </is>
      </c>
      <c r="E4023" s="5" t="inlineStr">
        <is>
          <t>SP</t>
        </is>
      </c>
      <c r="F4023" s="5" t="inlineStr">
        <is>
          <t>TIM Pré XIP Plus 16GB</t>
        </is>
      </c>
      <c r="G4023" s="5" t="inlineStr">
        <is>
          <t>tim:106306</t>
        </is>
      </c>
      <c r="H4023" s="6" t="n">
        <v>30</v>
      </c>
      <c r="I4023" s="6" t="inlineStr"/>
      <c r="J4023" s="5" t="inlineStr"/>
      <c r="K4023" s="5" t="inlineStr"/>
      <c r="L4023" s="7" t="n">
        <v>16</v>
      </c>
      <c r="M4023" s="5" t="inlineStr"/>
      <c r="N4023" s="5" t="n">
        <v>30</v>
      </c>
      <c r="O4023" s="5" t="inlineStr"/>
      <c r="P4023" s="5" t="inlineStr"/>
      <c r="Q4023" s="5" t="inlineStr"/>
      <c r="R4023" s="5" t="inlineStr"/>
      <c r="S4023" s="5" t="inlineStr"/>
      <c r="T4023" s="5" t="inlineStr"/>
      <c r="U4023" s="5" t="inlineStr">
        <is>
          <t>https://www.tim.com.br/sp/para-voce/planos/pre-pago</t>
        </is>
      </c>
      <c r="V4023" s="5" t="inlineStr">
        <is>
          <t>data/raw/tim_prepaid_SP.html</t>
        </is>
      </c>
    </row>
    <row r="4024">
      <c r="A4024" s="2" t="inlineStr">
        <is>
          <t>2026-09-01</t>
        </is>
      </c>
      <c r="B4024" s="2" t="inlineStr">
        <is>
          <t>2026-09-01T19:58:06</t>
        </is>
      </c>
      <c r="C4024" s="2" t="inlineStr">
        <is>
          <t>tim</t>
        </is>
      </c>
      <c r="D4024" s="2" t="inlineStr">
        <is>
          <t>prepaid</t>
        </is>
      </c>
      <c r="E4024" s="2" t="inlineStr">
        <is>
          <t>SP</t>
        </is>
      </c>
      <c r="F4024" s="2" t="inlineStr">
        <is>
          <t>TIM Pré XIP Plus 6GB</t>
        </is>
      </c>
      <c r="G4024" s="2" t="inlineStr">
        <is>
          <t>tim:59906</t>
        </is>
      </c>
      <c r="H4024" s="3" t="n">
        <v>20</v>
      </c>
      <c r="I4024" s="3" t="inlineStr"/>
      <c r="J4024" s="2" t="inlineStr"/>
      <c r="K4024" s="2" t="inlineStr"/>
      <c r="L4024" s="4" t="n">
        <v>6</v>
      </c>
      <c r="M4024" s="2" t="inlineStr"/>
      <c r="N4024" s="2" t="n">
        <v>17</v>
      </c>
      <c r="O4024" s="2" t="inlineStr"/>
      <c r="P4024" s="2" t="inlineStr"/>
      <c r="Q4024" s="2" t="inlineStr"/>
      <c r="R4024" s="2" t="inlineStr"/>
      <c r="S4024" s="2" t="inlineStr"/>
      <c r="T4024" s="2" t="inlineStr"/>
      <c r="U4024" s="2" t="inlineStr">
        <is>
          <t>https://www.tim.com.br/sp/para-voce/planos/pre-pago</t>
        </is>
      </c>
      <c r="V4024" s="2" t="inlineStr">
        <is>
          <t>data/raw/tim_prepaid_SP.html</t>
        </is>
      </c>
    </row>
    <row r="4025">
      <c r="A4025" s="5" t="inlineStr">
        <is>
          <t>2026-09-01</t>
        </is>
      </c>
      <c r="B4025" s="5" t="inlineStr">
        <is>
          <t>2026-09-01T19:58:06</t>
        </is>
      </c>
      <c r="C4025" s="5" t="inlineStr">
        <is>
          <t>tim</t>
        </is>
      </c>
      <c r="D4025" s="5" t="inlineStr">
        <is>
          <t>prepaid</t>
        </is>
      </c>
      <c r="E4025" s="5" t="inlineStr">
        <is>
          <t>SP</t>
        </is>
      </c>
      <c r="F4025" s="5" t="inlineStr">
        <is>
          <t>TIM Pré XIP Plus 8GB</t>
        </is>
      </c>
      <c r="G4025" s="5" t="inlineStr">
        <is>
          <t>tim:59901</t>
        </is>
      </c>
      <c r="H4025" s="6" t="n">
        <v>25</v>
      </c>
      <c r="I4025" s="6" t="inlineStr"/>
      <c r="J4025" s="5" t="inlineStr"/>
      <c r="K4025" s="5" t="inlineStr"/>
      <c r="L4025" s="7" t="n">
        <v>8</v>
      </c>
      <c r="M4025" s="5" t="inlineStr"/>
      <c r="N4025" s="5" t="n">
        <v>22</v>
      </c>
      <c r="O4025" s="5" t="inlineStr"/>
      <c r="P4025" s="5" t="inlineStr"/>
      <c r="Q4025" s="5" t="inlineStr"/>
      <c r="R4025" s="5" t="inlineStr"/>
      <c r="S4025" s="5" t="inlineStr"/>
      <c r="T4025" s="5" t="inlineStr"/>
      <c r="U4025" s="5" t="inlineStr">
        <is>
          <t>https://www.tim.com.br/sp/para-voce/planos/pre-pago</t>
        </is>
      </c>
      <c r="V4025" s="5" t="inlineStr">
        <is>
          <t>data/raw/tim_prepaid_SP.html</t>
        </is>
      </c>
    </row>
    <row r="4026">
      <c r="A4026" s="2" t="inlineStr">
        <is>
          <t>2026-09-01</t>
        </is>
      </c>
      <c r="B4026" s="2" t="inlineStr">
        <is>
          <t>2026-09-01T19:58:06</t>
        </is>
      </c>
      <c r="C4026" s="2" t="inlineStr">
        <is>
          <t>vivo</t>
        </is>
      </c>
      <c r="D4026" s="2" t="inlineStr">
        <is>
          <t>control</t>
        </is>
      </c>
      <c r="E4026" s="2" t="inlineStr">
        <is>
          <t>SP</t>
        </is>
      </c>
      <c r="F4026" s="2" t="inlineStr">
        <is>
          <t>Vivo Controle</t>
        </is>
      </c>
      <c r="G4026" s="2" t="inlineStr">
        <is>
          <t>vivo:VIV202600034591</t>
        </is>
      </c>
      <c r="H4026" s="3" t="n">
        <v>59</v>
      </c>
      <c r="I4026" s="3" t="inlineStr"/>
      <c r="J4026" s="2" t="inlineStr"/>
      <c r="K4026" s="2" t="inlineStr"/>
      <c r="L4026" s="4" t="n">
        <v>45</v>
      </c>
      <c r="M4026" s="2" t="inlineStr">
        <is>
          <t>15 GB de franquia 30 GB de bônus</t>
        </is>
      </c>
      <c r="N4026" s="2" t="inlineStr"/>
      <c r="O4026" s="2" t="inlineStr"/>
      <c r="P4026" s="2" t="inlineStr"/>
      <c r="Q4026" s="2" t="inlineStr"/>
      <c r="R4026" s="2" t="inlineStr"/>
      <c r="S4026" s="2" t="inlineStr"/>
      <c r="T4026" s="2" t="inlineStr">
        <is>
          <t>6 meses grátis de Gemini com AI Plus</t>
        </is>
      </c>
      <c r="U4026" s="2" t="inlineStr">
        <is>
          <t>https://vivo.com.br/para-voce/produtos-e-servicos/para-o-celular/planos-controle</t>
        </is>
      </c>
      <c r="V4026" s="2" t="inlineStr">
        <is>
          <t>data/raw/vivo_control_SP.html</t>
        </is>
      </c>
    </row>
    <row r="4027">
      <c r="A4027" s="5" t="inlineStr">
        <is>
          <t>2026-09-01</t>
        </is>
      </c>
      <c r="B4027" s="5" t="inlineStr">
        <is>
          <t>2026-09-01T19:58:06</t>
        </is>
      </c>
      <c r="C4027" s="5" t="inlineStr">
        <is>
          <t>vivo</t>
        </is>
      </c>
      <c r="D4027" s="5" t="inlineStr">
        <is>
          <t>control</t>
        </is>
      </c>
      <c r="E4027" s="5" t="inlineStr">
        <is>
          <t>SP</t>
        </is>
      </c>
      <c r="F4027" s="5" t="inlineStr">
        <is>
          <t>Vivo Controle</t>
        </is>
      </c>
      <c r="G4027" s="5" t="inlineStr">
        <is>
          <t>vivo:VIV202600034599</t>
        </is>
      </c>
      <c r="H4027" s="6" t="n">
        <v>75</v>
      </c>
      <c r="I4027" s="6" t="inlineStr"/>
      <c r="J4027" s="5" t="inlineStr">
        <is>
          <t>preço-base do plano; a tela exibia R$ 80 com o adicional pré-selecionado (+R$ 5/mês, opcional); 60 GB na tela incluem +10 GB do adicional</t>
        </is>
      </c>
      <c r="K4027" s="5" t="inlineStr"/>
      <c r="L4027" s="7" t="n">
        <v>50</v>
      </c>
      <c r="M4027" s="5" t="inlineStr">
        <is>
          <t>20 GB de franquia 30 GB de bônus</t>
        </is>
      </c>
      <c r="N4027" s="5" t="inlineStr"/>
      <c r="O4027" s="5" t="inlineStr"/>
      <c r="P4027" s="5" t="inlineStr"/>
      <c r="Q4027" s="5" t="inlineStr"/>
      <c r="R4027" s="5" t="inlineStr"/>
      <c r="S4027" s="5" t="inlineStr"/>
      <c r="T4027" s="5" t="inlineStr">
        <is>
          <t>6 meses grátis de Gemini com AI Plus</t>
        </is>
      </c>
      <c r="U4027" s="5" t="inlineStr">
        <is>
          <t>https://vivo.com.br/para-voce/produtos-e-servicos/para-o-celular/planos-controle</t>
        </is>
      </c>
      <c r="V4027" s="5" t="inlineStr">
        <is>
          <t>data/raw/vivo_control_SP.html</t>
        </is>
      </c>
    </row>
    <row r="4028">
      <c r="A4028" s="2" t="inlineStr">
        <is>
          <t>2026-09-01</t>
        </is>
      </c>
      <c r="B4028" s="2" t="inlineStr">
        <is>
          <t>2026-09-01T19:58:06</t>
        </is>
      </c>
      <c r="C4028" s="2" t="inlineStr">
        <is>
          <t>vivo</t>
        </is>
      </c>
      <c r="D4028" s="2" t="inlineStr">
        <is>
          <t>control</t>
        </is>
      </c>
      <c r="E4028" s="2" t="inlineStr">
        <is>
          <t>SP</t>
        </is>
      </c>
      <c r="F4028" s="2" t="inlineStr">
        <is>
          <t>Vivo Controle Amazon</t>
        </is>
      </c>
      <c r="G4028" s="2" t="inlineStr">
        <is>
          <t>vivo:VIV202600038804</t>
        </is>
      </c>
      <c r="H4028" s="3" t="n">
        <v>70</v>
      </c>
      <c r="I4028" s="3" t="inlineStr"/>
      <c r="J4028" s="2" t="inlineStr">
        <is>
          <t>preço-base do plano; a tela exibia R$ 75 com o adicional pré-selecionado (+R$ 5/mês, opcional); 58 GB na tela incluem +10 GB do adicional</t>
        </is>
      </c>
      <c r="K4028" s="2" t="inlineStr"/>
      <c r="L4028" s="4" t="n">
        <v>48</v>
      </c>
      <c r="M4028" s="2" t="inlineStr">
        <is>
          <t>18 GB de franquia 30 GB de bônus</t>
        </is>
      </c>
      <c r="N4028" s="2" t="inlineStr"/>
      <c r="O4028" s="2" t="inlineStr"/>
      <c r="P4028" s="2" t="inlineStr"/>
      <c r="Q4028" s="2" t="inlineStr"/>
      <c r="R4028" s="2" t="inlineStr"/>
      <c r="S4028" s="2" t="inlineStr"/>
      <c r="T4028" s="2" t="inlineStr">
        <is>
          <t>Assinatura Amazon Prime inclusa</t>
        </is>
      </c>
      <c r="U4028" s="2" t="inlineStr">
        <is>
          <t>https://vivo.com.br/para-voce/produtos-e-servicos/para-o-celular/planos-controle</t>
        </is>
      </c>
      <c r="V4028" s="2" t="inlineStr">
        <is>
          <t>data/raw/vivo_control_SP.html</t>
        </is>
      </c>
    </row>
    <row r="4029">
      <c r="A4029" s="5" t="inlineStr">
        <is>
          <t>2026-09-01</t>
        </is>
      </c>
      <c r="B4029" s="5" t="inlineStr">
        <is>
          <t>2026-09-01T19:58:06</t>
        </is>
      </c>
      <c r="C4029" s="5" t="inlineStr">
        <is>
          <t>vivo</t>
        </is>
      </c>
      <c r="D4029" s="5" t="inlineStr">
        <is>
          <t>control</t>
        </is>
      </c>
      <c r="E4029" s="5" t="inlineStr">
        <is>
          <t>SP</t>
        </is>
      </c>
      <c r="F4029" s="5" t="inlineStr">
        <is>
          <t>Vivo Controle Educação</t>
        </is>
      </c>
      <c r="G4029" s="5" t="inlineStr">
        <is>
          <t>vivo:VIV202600034616</t>
        </is>
      </c>
      <c r="H4029" s="6" t="n">
        <v>85</v>
      </c>
      <c r="I4029" s="6" t="inlineStr"/>
      <c r="J4029" s="5" t="inlineStr">
        <is>
          <t>preço-base do plano; a tela exibia R$ 90 com o adicional pré-selecionado (+R$ 5/mês, opcional); 60 GB na tela incluem +10 GB do adicional</t>
        </is>
      </c>
      <c r="K4029" s="5" t="inlineStr"/>
      <c r="L4029" s="7" t="n">
        <v>50</v>
      </c>
      <c r="M4029" s="5" t="inlineStr">
        <is>
          <t>20 GB de franquia 30 GB de bônus</t>
        </is>
      </c>
      <c r="N4029" s="5" t="inlineStr"/>
      <c r="O4029" s="5" t="inlineStr"/>
      <c r="P4029" s="5" t="inlineStr"/>
      <c r="Q4029" s="5" t="inlineStr"/>
      <c r="R4029" s="5" t="inlineStr"/>
      <c r="S4029" s="5" t="inlineStr"/>
      <c r="T4029" s="5" t="inlineStr">
        <is>
          <t>Assinatura Vivae inclusa</t>
        </is>
      </c>
      <c r="U4029" s="5" t="inlineStr">
        <is>
          <t>https://vivo.com.br/para-voce/produtos-e-servicos/para-o-celular/planos-controle</t>
        </is>
      </c>
      <c r="V4029" s="5" t="inlineStr">
        <is>
          <t>data/raw/vivo_control_SP.html</t>
        </is>
      </c>
    </row>
    <row r="4030">
      <c r="A4030" s="2" t="inlineStr">
        <is>
          <t>2026-09-01</t>
        </is>
      </c>
      <c r="B4030" s="2" t="inlineStr">
        <is>
          <t>2026-09-01T19:58:06</t>
        </is>
      </c>
      <c r="C4030" s="2" t="inlineStr">
        <is>
          <t>vivo</t>
        </is>
      </c>
      <c r="D4030" s="2" t="inlineStr">
        <is>
          <t>control</t>
        </is>
      </c>
      <c r="E4030" s="2" t="inlineStr">
        <is>
          <t>SP</t>
        </is>
      </c>
      <c r="F4030" s="2" t="inlineStr">
        <is>
          <t>Vivo Controle Entretenimento</t>
        </is>
      </c>
      <c r="G4030" s="2" t="inlineStr">
        <is>
          <t>vivo:VIV202600034619</t>
        </is>
      </c>
      <c r="H4030" s="3" t="n">
        <v>105</v>
      </c>
      <c r="I4030" s="3" t="inlineStr"/>
      <c r="J4030" s="2" t="inlineStr">
        <is>
          <t>preço-base do plano; a tela exibia R$ 110 com o adicional pré-selecionado (+R$ 5/mês, opcional); 60 GB na tela incluem +10 GB do adicional</t>
        </is>
      </c>
      <c r="K4030" s="2" t="inlineStr"/>
      <c r="L4030" s="4" t="n">
        <v>50</v>
      </c>
      <c r="M4030" s="2" t="inlineStr">
        <is>
          <t>20 GB de franquia 30 GB de bônus</t>
        </is>
      </c>
      <c r="N4030" s="2" t="inlineStr"/>
      <c r="O4030" s="2" t="inlineStr"/>
      <c r="P4030" s="2" t="inlineStr"/>
      <c r="Q4030" s="2" t="inlineStr"/>
      <c r="R4030" s="2" t="inlineStr"/>
      <c r="S4030" s="2" t="inlineStr"/>
      <c r="T4030" s="2" t="inlineStr">
        <is>
          <t>Assinatura Vivo TV Inicial inclusa</t>
        </is>
      </c>
      <c r="U4030" s="2" t="inlineStr">
        <is>
          <t>https://vivo.com.br/para-voce/produtos-e-servicos/para-o-celular/planos-controle</t>
        </is>
      </c>
      <c r="V4030" s="2" t="inlineStr">
        <is>
          <t>data/raw/vivo_control_SP.html</t>
        </is>
      </c>
    </row>
    <row r="4031">
      <c r="A4031" s="5" t="inlineStr">
        <is>
          <t>2026-09-01</t>
        </is>
      </c>
      <c r="B4031" s="5" t="inlineStr">
        <is>
          <t>2026-09-01T19:58:06</t>
        </is>
      </c>
      <c r="C4031" s="5" t="inlineStr">
        <is>
          <t>vivo</t>
        </is>
      </c>
      <c r="D4031" s="5" t="inlineStr">
        <is>
          <t>control</t>
        </is>
      </c>
      <c r="E4031" s="5" t="inlineStr">
        <is>
          <t>SP</t>
        </is>
      </c>
      <c r="F4031" s="5" t="inlineStr">
        <is>
          <t>Vivo Controle Música</t>
        </is>
      </c>
      <c r="G4031" s="5" t="inlineStr">
        <is>
          <t>vivo:VIV202600034620</t>
        </is>
      </c>
      <c r="H4031" s="6" t="n">
        <v>85</v>
      </c>
      <c r="I4031" s="6" t="inlineStr"/>
      <c r="J4031" s="5" t="inlineStr">
        <is>
          <t>preço-base do plano; a tela exibia R$ 90 com o adicional pré-selecionado (+R$ 5/mês, opcional); 60 GB na tela incluem +10 GB do adicional</t>
        </is>
      </c>
      <c r="K4031" s="5" t="inlineStr"/>
      <c r="L4031" s="7" t="n">
        <v>50</v>
      </c>
      <c r="M4031" s="5" t="inlineStr">
        <is>
          <t>20 GB de franquia 30 GB de bônus</t>
        </is>
      </c>
      <c r="N4031" s="5" t="inlineStr"/>
      <c r="O4031" s="5" t="inlineStr"/>
      <c r="P4031" s="5" t="inlineStr"/>
      <c r="Q4031" s="5" t="inlineStr"/>
      <c r="R4031" s="5" t="inlineStr"/>
      <c r="S4031" s="5" t="inlineStr"/>
      <c r="T4031" s="5" t="inlineStr">
        <is>
          <t>Apple Music Individual</t>
        </is>
      </c>
      <c r="U4031" s="5" t="inlineStr">
        <is>
          <t>https://vivo.com.br/para-voce/produtos-e-servicos/para-o-celular/planos-controle</t>
        </is>
      </c>
      <c r="V4031" s="5" t="inlineStr">
        <is>
          <t>data/raw/vivo_control_SP.html</t>
        </is>
      </c>
    </row>
    <row r="4032">
      <c r="A4032" s="2" t="inlineStr">
        <is>
          <t>2026-09-01</t>
        </is>
      </c>
      <c r="B4032" s="2" t="inlineStr">
        <is>
          <t>2026-09-01T19:58:06</t>
        </is>
      </c>
      <c r="C4032" s="2" t="inlineStr">
        <is>
          <t>vivo</t>
        </is>
      </c>
      <c r="D4032" s="2" t="inlineStr">
        <is>
          <t>control</t>
        </is>
      </c>
      <c r="E4032" s="2" t="inlineStr">
        <is>
          <t>SP</t>
        </is>
      </c>
      <c r="F4032" s="2" t="inlineStr">
        <is>
          <t>Vivo Controle Netflix</t>
        </is>
      </c>
      <c r="G4032" s="2" t="inlineStr">
        <is>
          <t>vivo:VIV202600034623</t>
        </is>
      </c>
      <c r="H4032" s="3" t="n">
        <v>90</v>
      </c>
      <c r="I4032" s="3" t="inlineStr"/>
      <c r="J4032" s="2" t="inlineStr">
        <is>
          <t>preço-base do plano; a tela exibia R$ 95 com o adicional pré-selecionado (+R$ 5/mês, opcional); 60 GB na tela incluem +10 GB do adicional</t>
        </is>
      </c>
      <c r="K4032" s="2" t="inlineStr"/>
      <c r="L4032" s="4" t="n">
        <v>50</v>
      </c>
      <c r="M4032" s="2" t="inlineStr">
        <is>
          <t>20 GB de franquia 30 GB de bônus</t>
        </is>
      </c>
      <c r="N4032" s="2" t="inlineStr"/>
      <c r="O4032" s="2" t="inlineStr"/>
      <c r="P4032" s="2" t="inlineStr"/>
      <c r="Q4032" s="2" t="inlineStr"/>
      <c r="R4032" s="2" t="inlineStr"/>
      <c r="S4032" s="2" t="inlineStr"/>
      <c r="T4032" s="2" t="inlineStr">
        <is>
          <t>Assinatura Netflix Padrão com anúncios</t>
        </is>
      </c>
      <c r="U4032" s="2" t="inlineStr">
        <is>
          <t>https://vivo.com.br/para-voce/produtos-e-servicos/para-o-celular/planos-controle</t>
        </is>
      </c>
      <c r="V4032" s="2" t="inlineStr">
        <is>
          <t>data/raw/vivo_control_SP.html</t>
        </is>
      </c>
    </row>
    <row r="4033">
      <c r="A4033" s="5" t="inlineStr">
        <is>
          <t>2026-09-01</t>
        </is>
      </c>
      <c r="B4033" s="5" t="inlineStr">
        <is>
          <t>2026-09-01T19:58:06</t>
        </is>
      </c>
      <c r="C4033" s="5" t="inlineStr">
        <is>
          <t>vivo</t>
        </is>
      </c>
      <c r="D4033" s="5" t="inlineStr">
        <is>
          <t>control</t>
        </is>
      </c>
      <c r="E4033" s="5" t="inlineStr">
        <is>
          <t>SP</t>
        </is>
      </c>
      <c r="F4033" s="5" t="inlineStr">
        <is>
          <t>Vivo Controle Saúde</t>
        </is>
      </c>
      <c r="G4033" s="5" t="inlineStr">
        <is>
          <t>vivo:VIV202600034625</t>
        </is>
      </c>
      <c r="H4033" s="6" t="n">
        <v>85</v>
      </c>
      <c r="I4033" s="6" t="inlineStr"/>
      <c r="J4033" s="5" t="inlineStr">
        <is>
          <t>preço-base do plano; a tela exibia R$ 90 com o adicional pré-selecionado (+R$ 5/mês, opcional); 60 GB na tela incluem +10 GB do adicional</t>
        </is>
      </c>
      <c r="K4033" s="5" t="inlineStr"/>
      <c r="L4033" s="7" t="n">
        <v>50</v>
      </c>
      <c r="M4033" s="5" t="inlineStr">
        <is>
          <t>20 GB de franquia 30 GB de bônus</t>
        </is>
      </c>
      <c r="N4033" s="5" t="inlineStr"/>
      <c r="O4033" s="5" t="inlineStr"/>
      <c r="P4033" s="5" t="inlineStr"/>
      <c r="Q4033" s="5" t="inlineStr"/>
      <c r="R4033" s="5" t="inlineStr"/>
      <c r="S4033" s="5" t="inlineStr"/>
      <c r="T4033" s="5" t="inlineStr">
        <is>
          <t>Assinatura Vale Saúde Sempre inclusa</t>
        </is>
      </c>
      <c r="U4033" s="5" t="inlineStr">
        <is>
          <t>https://vivo.com.br/para-voce/produtos-e-servicos/para-o-celular/planos-controle</t>
        </is>
      </c>
      <c r="V4033" s="5" t="inlineStr">
        <is>
          <t>data/raw/vivo_control_SP.html</t>
        </is>
      </c>
    </row>
    <row r="4034">
      <c r="A4034" s="2" t="inlineStr">
        <is>
          <t>2026-09-01</t>
        </is>
      </c>
      <c r="B4034" s="2" t="inlineStr">
        <is>
          <t>2026-09-01T19:58:06</t>
        </is>
      </c>
      <c r="C4034" s="2" t="inlineStr">
        <is>
          <t>vivo</t>
        </is>
      </c>
      <c r="D4034" s="2" t="inlineStr">
        <is>
          <t>control</t>
        </is>
      </c>
      <c r="E4034" s="2" t="inlineStr">
        <is>
          <t>SP</t>
        </is>
      </c>
      <c r="F4034" s="2" t="inlineStr">
        <is>
          <t>Vivo Controle Youtube Lite</t>
        </is>
      </c>
      <c r="G4034" s="2" t="inlineStr">
        <is>
          <t>vivo:VIV202600034626</t>
        </is>
      </c>
      <c r="H4034" s="3" t="n">
        <v>85</v>
      </c>
      <c r="I4034" s="3" t="inlineStr"/>
      <c r="J4034" s="2" t="inlineStr">
        <is>
          <t>preço-base do plano; a tela exibia R$ 90 com o adicional pré-selecionado (+R$ 5/mês, opcional); 60 GB na tela incluem +10 GB do adicional</t>
        </is>
      </c>
      <c r="K4034" s="2" t="inlineStr"/>
      <c r="L4034" s="4" t="n">
        <v>50</v>
      </c>
      <c r="M4034" s="2" t="inlineStr">
        <is>
          <t>20 GB de franquia 30 GB de bônus</t>
        </is>
      </c>
      <c r="N4034" s="2" t="inlineStr"/>
      <c r="O4034" s="2" t="inlineStr"/>
      <c r="P4034" s="2" t="inlineStr"/>
      <c r="Q4034" s="2" t="inlineStr"/>
      <c r="R4034" s="2" t="inlineStr"/>
      <c r="S4034" s="2" t="inlineStr"/>
      <c r="T4034" s="2" t="inlineStr">
        <is>
          <t>Assinatura Youtube Premium Lite Inclusa</t>
        </is>
      </c>
      <c r="U4034" s="2" t="inlineStr">
        <is>
          <t>https://vivo.com.br/para-voce/produtos-e-servicos/para-o-celular/planos-controle</t>
        </is>
      </c>
      <c r="V4034" s="2" t="inlineStr">
        <is>
          <t>data/raw/vivo_control_SP.html</t>
        </is>
      </c>
    </row>
    <row r="4035">
      <c r="A4035" s="5" t="inlineStr">
        <is>
          <t>2026-09-01</t>
        </is>
      </c>
      <c r="B4035" s="5" t="inlineStr">
        <is>
          <t>2026-09-01T19:58:06</t>
        </is>
      </c>
      <c r="C4035" s="5" t="inlineStr">
        <is>
          <t>vivo</t>
        </is>
      </c>
      <c r="D4035" s="5" t="inlineStr">
        <is>
          <t>lite</t>
        </is>
      </c>
      <c r="E4035" s="5" t="inlineStr">
        <is>
          <t>SP</t>
        </is>
      </c>
      <c r="F4035" s="5" t="inlineStr">
        <is>
          <t>Vivo Lite</t>
        </is>
      </c>
      <c r="G4035" s="5" t="inlineStr">
        <is>
          <t>vivo:VIV202600038808</t>
        </is>
      </c>
      <c r="H4035" s="6" t="n">
        <v>45</v>
      </c>
      <c r="I4035" s="6" t="n">
        <v>30</v>
      </c>
      <c r="J4035" s="5" t="inlineStr">
        <is>
          <t>preço sem fidelidade; fidelidade 12m no promo</t>
        </is>
      </c>
      <c r="K4035" s="5" t="inlineStr"/>
      <c r="L4035" s="7" t="n">
        <v>30</v>
      </c>
      <c r="M4035" s="5" t="inlineStr">
        <is>
          <t>30 GB de franquia</t>
        </is>
      </c>
      <c r="N4035" s="5" t="inlineStr"/>
      <c r="O4035" s="5" t="inlineStr"/>
      <c r="P4035" s="5" t="inlineStr"/>
      <c r="Q4035" s="5" t="inlineStr"/>
      <c r="R4035" s="5" t="inlineStr"/>
      <c r="S4035" s="5" t="n">
        <v>12</v>
      </c>
      <c r="T4035" s="5" t="inlineStr"/>
      <c r="U4035" s="5" t="inlineStr">
        <is>
          <t>https://vivo.com.br/para-voce/produtos-e-servicos/para-o-celular/easy-lite</t>
        </is>
      </c>
      <c r="V4035" s="5" t="inlineStr">
        <is>
          <t>data/raw/vivo_lite_SP.html</t>
        </is>
      </c>
    </row>
    <row r="4036">
      <c r="A4036" s="2" t="inlineStr">
        <is>
          <t>2026-09-01</t>
        </is>
      </c>
      <c r="B4036" s="2" t="inlineStr">
        <is>
          <t>2026-09-01T19:58:06</t>
        </is>
      </c>
      <c r="C4036" s="2" t="inlineStr">
        <is>
          <t>vivo</t>
        </is>
      </c>
      <c r="D4036" s="2" t="inlineStr">
        <is>
          <t>lite</t>
        </is>
      </c>
      <c r="E4036" s="2" t="inlineStr">
        <is>
          <t>SP</t>
        </is>
      </c>
      <c r="F4036" s="2" t="inlineStr">
        <is>
          <t>Vivo Lite</t>
        </is>
      </c>
      <c r="G4036" s="2" t="inlineStr">
        <is>
          <t>vivo:VIV202600038810</t>
        </is>
      </c>
      <c r="H4036" s="3" t="n">
        <v>55</v>
      </c>
      <c r="I4036" s="3" t="n">
        <v>40</v>
      </c>
      <c r="J4036" s="2" t="inlineStr">
        <is>
          <t>preço sem fidelidade; fidelidade 12m no promo</t>
        </is>
      </c>
      <c r="K4036" s="2" t="inlineStr"/>
      <c r="L4036" s="4" t="n">
        <v>40</v>
      </c>
      <c r="M4036" s="2" t="inlineStr">
        <is>
          <t>40 GB de franquia</t>
        </is>
      </c>
      <c r="N4036" s="2" t="inlineStr"/>
      <c r="O4036" s="2" t="inlineStr"/>
      <c r="P4036" s="2" t="inlineStr"/>
      <c r="Q4036" s="2" t="inlineStr"/>
      <c r="R4036" s="2" t="inlineStr"/>
      <c r="S4036" s="2" t="n">
        <v>12</v>
      </c>
      <c r="T4036" s="2" t="inlineStr"/>
      <c r="U4036" s="2" t="inlineStr">
        <is>
          <t>https://vivo.com.br/para-voce/produtos-e-servicos/para-o-celular/easy-lite</t>
        </is>
      </c>
      <c r="V4036" s="2" t="inlineStr">
        <is>
          <t>data/raw/vivo_lite_SP.html</t>
        </is>
      </c>
    </row>
    <row r="4037">
      <c r="A4037" s="5" t="inlineStr">
        <is>
          <t>2026-09-01</t>
        </is>
      </c>
      <c r="B4037" s="5" t="inlineStr">
        <is>
          <t>2026-09-01T19:58:06</t>
        </is>
      </c>
      <c r="C4037" s="5" t="inlineStr">
        <is>
          <t>vivo</t>
        </is>
      </c>
      <c r="D4037" s="5" t="inlineStr">
        <is>
          <t>lite</t>
        </is>
      </c>
      <c r="E4037" s="5" t="inlineStr">
        <is>
          <t>SP</t>
        </is>
      </c>
      <c r="F4037" s="5" t="inlineStr">
        <is>
          <t>Vivo Lite</t>
        </is>
      </c>
      <c r="G4037" s="5" t="inlineStr">
        <is>
          <t>vivo:VIV202600038814</t>
        </is>
      </c>
      <c r="H4037" s="6" t="n">
        <v>35</v>
      </c>
      <c r="I4037" s="6" t="inlineStr"/>
      <c r="J4037" s="5" t="inlineStr"/>
      <c r="K4037" s="5" t="inlineStr"/>
      <c r="L4037" s="7" t="n">
        <v>20</v>
      </c>
      <c r="M4037" s="5" t="inlineStr">
        <is>
          <t>20 GB de franquia</t>
        </is>
      </c>
      <c r="N4037" s="5" t="inlineStr"/>
      <c r="O4037" s="5" t="inlineStr"/>
      <c r="P4037" s="5" t="inlineStr"/>
      <c r="Q4037" s="5" t="inlineStr"/>
      <c r="R4037" s="5" t="inlineStr"/>
      <c r="S4037" s="5" t="inlineStr"/>
      <c r="T4037" s="5" t="inlineStr"/>
      <c r="U4037" s="5" t="inlineStr">
        <is>
          <t>https://vivo.com.br/para-voce/produtos-e-servicos/para-o-celular/easy-lite</t>
        </is>
      </c>
      <c r="V4037" s="5" t="inlineStr">
        <is>
          <t>data/raw/vivo_lite_SP.html</t>
        </is>
      </c>
    </row>
    <row r="4038">
      <c r="A4038" s="2" t="inlineStr">
        <is>
          <t>2026-09-01</t>
        </is>
      </c>
      <c r="B4038" s="2" t="inlineStr">
        <is>
          <t>2026-09-01T19:58:06</t>
        </is>
      </c>
      <c r="C4038" s="2" t="inlineStr">
        <is>
          <t>vivo</t>
        </is>
      </c>
      <c r="D4038" s="2" t="inlineStr">
        <is>
          <t>postpaid</t>
        </is>
      </c>
      <c r="E4038" s="2" t="inlineStr">
        <is>
          <t>SP</t>
        </is>
      </c>
      <c r="F4038" s="2" t="inlineStr">
        <is>
          <t>Vivo Família 2</t>
        </is>
      </c>
      <c r="G4038" s="2" t="inlineStr">
        <is>
          <t>vivo:VIV202600034547</t>
        </is>
      </c>
      <c r="H4038" s="3" t="n">
        <v>270</v>
      </c>
      <c r="I4038" s="3" t="inlineStr"/>
      <c r="J4038" s="2" t="inlineStr"/>
      <c r="K4038" s="2" t="inlineStr"/>
      <c r="L4038" s="4" t="n">
        <v>120</v>
      </c>
      <c r="M4038" s="2" t="inlineStr">
        <is>
          <t>120 GB de franquia Você + 1 linha adicional Roaming Internacional com Vivo Travel Américas e Europa</t>
        </is>
      </c>
      <c r="N4038" s="2" t="inlineStr"/>
      <c r="O4038" s="2" t="inlineStr"/>
      <c r="P4038" s="2" t="inlineStr"/>
      <c r="Q4038" s="2" t="inlineStr"/>
      <c r="R4038" s="2" t="inlineStr"/>
      <c r="S4038" s="2" t="inlineStr"/>
      <c r="T4038" s="2" t="inlineStr">
        <is>
          <t>12 meses grátis de Gemini com AI Plus</t>
        </is>
      </c>
      <c r="U4038" s="2" t="inlineStr">
        <is>
          <t>https://vivo.com.br/para-voce/produtos-e-servicos/para-o-celular/planos-pos-pago</t>
        </is>
      </c>
      <c r="V4038" s="2" t="inlineStr">
        <is>
          <t>data/raw/vivo_postpaid_SP.html</t>
        </is>
      </c>
    </row>
    <row r="4039">
      <c r="A4039" s="5" t="inlineStr">
        <is>
          <t>2026-09-01</t>
        </is>
      </c>
      <c r="B4039" s="5" t="inlineStr">
        <is>
          <t>2026-09-01T19:58:06</t>
        </is>
      </c>
      <c r="C4039" s="5" t="inlineStr">
        <is>
          <t>vivo</t>
        </is>
      </c>
      <c r="D4039" s="5" t="inlineStr">
        <is>
          <t>postpaid</t>
        </is>
      </c>
      <c r="E4039" s="5" t="inlineStr">
        <is>
          <t>SP</t>
        </is>
      </c>
      <c r="F4039" s="5" t="inlineStr">
        <is>
          <t>Vivo Família 3</t>
        </is>
      </c>
      <c r="G4039" s="5" t="inlineStr">
        <is>
          <t>vivo:VIV202600034540</t>
        </is>
      </c>
      <c r="H4039" s="6" t="n">
        <v>340</v>
      </c>
      <c r="I4039" s="6" t="inlineStr"/>
      <c r="J4039" s="5" t="inlineStr"/>
      <c r="K4039" s="5" t="inlineStr"/>
      <c r="L4039" s="7" t="n">
        <v>180</v>
      </c>
      <c r="M4039" s="5" t="inlineStr">
        <is>
          <t>180 GB de franquia Você + 2 linhas adicionais Roaming Internacional com Vivo Travel Américas e Europa</t>
        </is>
      </c>
      <c r="N4039" s="5" t="inlineStr"/>
      <c r="O4039" s="5" t="inlineStr"/>
      <c r="P4039" s="5" t="inlineStr"/>
      <c r="Q4039" s="5" t="inlineStr"/>
      <c r="R4039" s="5" t="inlineStr"/>
      <c r="S4039" s="5" t="inlineStr"/>
      <c r="T4039" s="5" t="inlineStr">
        <is>
          <t>12 meses grátis de Gemini com AI Plus</t>
        </is>
      </c>
      <c r="U4039" s="5" t="inlineStr">
        <is>
          <t>https://vivo.com.br/para-voce/produtos-e-servicos/para-o-celular/planos-pos-pago</t>
        </is>
      </c>
      <c r="V4039" s="5" t="inlineStr">
        <is>
          <t>data/raw/vivo_postpaid_SP.html</t>
        </is>
      </c>
    </row>
    <row r="4040">
      <c r="A4040" s="2" t="inlineStr">
        <is>
          <t>2026-09-01</t>
        </is>
      </c>
      <c r="B4040" s="2" t="inlineStr">
        <is>
          <t>2026-09-01T19:58:06</t>
        </is>
      </c>
      <c r="C4040" s="2" t="inlineStr">
        <is>
          <t>vivo</t>
        </is>
      </c>
      <c r="D4040" s="2" t="inlineStr">
        <is>
          <t>postpaid</t>
        </is>
      </c>
      <c r="E4040" s="2" t="inlineStr">
        <is>
          <t>SP</t>
        </is>
      </c>
      <c r="F4040" s="2" t="inlineStr">
        <is>
          <t>Vivo Família 4</t>
        </is>
      </c>
      <c r="G4040" s="2" t="inlineStr">
        <is>
          <t>vivo:VIV202600034531</t>
        </is>
      </c>
      <c r="H4040" s="3" t="n">
        <v>430</v>
      </c>
      <c r="I4040" s="3" t="inlineStr"/>
      <c r="J4040" s="2" t="inlineStr"/>
      <c r="K4040" s="2" t="inlineStr"/>
      <c r="L4040" s="4" t="n">
        <v>240</v>
      </c>
      <c r="M4040" s="2" t="inlineStr">
        <is>
          <t>240 GB de franquia Você + 3 linhas adicionais Roaming Internacional com Vivo Travel Américas e Europa</t>
        </is>
      </c>
      <c r="N4040" s="2" t="inlineStr"/>
      <c r="O4040" s="2" t="inlineStr"/>
      <c r="P4040" s="2" t="inlineStr"/>
      <c r="Q4040" s="2" t="inlineStr"/>
      <c r="R4040" s="2" t="inlineStr"/>
      <c r="S4040" s="2" t="inlineStr"/>
      <c r="T4040" s="2" t="inlineStr">
        <is>
          <t>12 meses grátis de Gemini com AI Plus</t>
        </is>
      </c>
      <c r="U4040" s="2" t="inlineStr">
        <is>
          <t>https://vivo.com.br/para-voce/produtos-e-servicos/para-o-celular/planos-pos-pago</t>
        </is>
      </c>
      <c r="V4040" s="2" t="inlineStr">
        <is>
          <t>data/raw/vivo_postpaid_SP.html</t>
        </is>
      </c>
    </row>
    <row r="4041">
      <c r="A4041" s="5" t="inlineStr">
        <is>
          <t>2026-09-01</t>
        </is>
      </c>
      <c r="B4041" s="5" t="inlineStr">
        <is>
          <t>2026-09-01T19:58:06</t>
        </is>
      </c>
      <c r="C4041" s="5" t="inlineStr">
        <is>
          <t>vivo</t>
        </is>
      </c>
      <c r="D4041" s="5" t="inlineStr">
        <is>
          <t>postpaid</t>
        </is>
      </c>
      <c r="E4041" s="5" t="inlineStr">
        <is>
          <t>SP</t>
        </is>
      </c>
      <c r="F4041" s="5" t="inlineStr">
        <is>
          <t>Vivo Família 5</t>
        </is>
      </c>
      <c r="G4041" s="5" t="inlineStr">
        <is>
          <t>vivo:VIV202600034526</t>
        </is>
      </c>
      <c r="H4041" s="6" t="n">
        <v>530</v>
      </c>
      <c r="I4041" s="6" t="inlineStr"/>
      <c r="J4041" s="5" t="inlineStr"/>
      <c r="K4041" s="5" t="inlineStr"/>
      <c r="L4041" s="7" t="n">
        <v>300</v>
      </c>
      <c r="M4041" s="5" t="inlineStr">
        <is>
          <t>300 GB de franquia Você + 4 linhas adicionais Roaming Internacional com Vivo Travel Américas e Europa</t>
        </is>
      </c>
      <c r="N4041" s="5" t="inlineStr"/>
      <c r="O4041" s="5" t="inlineStr"/>
      <c r="P4041" s="5" t="inlineStr"/>
      <c r="Q4041" s="5" t="inlineStr"/>
      <c r="R4041" s="5" t="inlineStr"/>
      <c r="S4041" s="5" t="inlineStr"/>
      <c r="T4041" s="5" t="inlineStr">
        <is>
          <t>12 meses grátis de Gemini com AI Plus</t>
        </is>
      </c>
      <c r="U4041" s="5" t="inlineStr">
        <is>
          <t>https://vivo.com.br/para-voce/produtos-e-servicos/para-o-celular/planos-pos-pago</t>
        </is>
      </c>
      <c r="V4041" s="5" t="inlineStr">
        <is>
          <t>data/raw/vivo_postpaid_SP.html</t>
        </is>
      </c>
    </row>
    <row r="4042">
      <c r="A4042" s="2" t="inlineStr">
        <is>
          <t>2026-09-01</t>
        </is>
      </c>
      <c r="B4042" s="2" t="inlineStr">
        <is>
          <t>2026-09-01T19:58:06</t>
        </is>
      </c>
      <c r="C4042" s="2" t="inlineStr">
        <is>
          <t>vivo</t>
        </is>
      </c>
      <c r="D4042" s="2" t="inlineStr">
        <is>
          <t>postpaid</t>
        </is>
      </c>
      <c r="E4042" s="2" t="inlineStr">
        <is>
          <t>SP</t>
        </is>
      </c>
      <c r="F4042" s="2" t="inlineStr">
        <is>
          <t>Vivo Pós com Amazon</t>
        </is>
      </c>
      <c r="G4042" s="2" t="inlineStr">
        <is>
          <t>vivo:VIV202600034554</t>
        </is>
      </c>
      <c r="H4042" s="3" t="n">
        <v>150</v>
      </c>
      <c r="I4042" s="3" t="inlineStr"/>
      <c r="J4042" s="2" t="inlineStr"/>
      <c r="K4042" s="2" t="inlineStr"/>
      <c r="L4042" s="4" t="n">
        <v>60</v>
      </c>
      <c r="M4042" s="2" t="inlineStr">
        <is>
          <t>50 GB de franquia 10 GB de bônus</t>
        </is>
      </c>
      <c r="N4042" s="2" t="inlineStr"/>
      <c r="O4042" s="2" t="inlineStr"/>
      <c r="P4042" s="2" t="inlineStr"/>
      <c r="Q4042" s="2" t="inlineStr"/>
      <c r="R4042" s="2" t="inlineStr"/>
      <c r="S4042" s="2" t="inlineStr"/>
      <c r="T4042" s="2" t="inlineStr">
        <is>
          <t>Assinatura Amazon Prime inclusa</t>
        </is>
      </c>
      <c r="U4042" s="2" t="inlineStr">
        <is>
          <t>https://vivo.com.br/para-voce/produtos-e-servicos/para-o-celular/planos-pos-pago</t>
        </is>
      </c>
      <c r="V4042" s="2" t="inlineStr">
        <is>
          <t>data/raw/vivo_postpaid_SP.html</t>
        </is>
      </c>
    </row>
    <row r="4043">
      <c r="A4043" s="5" t="inlineStr">
        <is>
          <t>2026-09-01</t>
        </is>
      </c>
      <c r="B4043" s="5" t="inlineStr">
        <is>
          <t>2026-09-01T19:58:06</t>
        </is>
      </c>
      <c r="C4043" s="5" t="inlineStr">
        <is>
          <t>vivo</t>
        </is>
      </c>
      <c r="D4043" s="5" t="inlineStr">
        <is>
          <t>postpaid</t>
        </is>
      </c>
      <c r="E4043" s="5" t="inlineStr">
        <is>
          <t>SP</t>
        </is>
      </c>
      <c r="F4043" s="5" t="inlineStr">
        <is>
          <t>Vivo Pós com Disney+</t>
        </is>
      </c>
      <c r="G4043" s="5" t="inlineStr">
        <is>
          <t>vivo:VIV202600034532</t>
        </is>
      </c>
      <c r="H4043" s="6" t="n">
        <v>180</v>
      </c>
      <c r="I4043" s="6" t="inlineStr"/>
      <c r="J4043" s="5" t="inlineStr"/>
      <c r="K4043" s="5" t="inlineStr"/>
      <c r="L4043" s="7" t="n">
        <v>60</v>
      </c>
      <c r="M4043" s="5" t="inlineStr">
        <is>
          <t>50 GB de franquia 10 GB de bônus</t>
        </is>
      </c>
      <c r="N4043" s="5" t="inlineStr"/>
      <c r="O4043" s="5" t="inlineStr"/>
      <c r="P4043" s="5" t="inlineStr"/>
      <c r="Q4043" s="5" t="inlineStr"/>
      <c r="R4043" s="5" t="inlineStr">
        <is>
          <t>Disney+</t>
        </is>
      </c>
      <c r="S4043" s="5" t="inlineStr"/>
      <c r="T4043" s="5" t="inlineStr">
        <is>
          <t>Assinatura Disney+ Padrão inclusa</t>
        </is>
      </c>
      <c r="U4043" s="5" t="inlineStr">
        <is>
          <t>https://vivo.com.br/para-voce/produtos-e-servicos/para-o-celular/planos-pos-pago</t>
        </is>
      </c>
      <c r="V4043" s="5" t="inlineStr">
        <is>
          <t>data/raw/vivo_postpaid_SP.html</t>
        </is>
      </c>
    </row>
    <row r="4044">
      <c r="A4044" s="2" t="inlineStr">
        <is>
          <t>2026-09-01</t>
        </is>
      </c>
      <c r="B4044" s="2" t="inlineStr">
        <is>
          <t>2026-09-01T19:58:06</t>
        </is>
      </c>
      <c r="C4044" s="2" t="inlineStr">
        <is>
          <t>vivo</t>
        </is>
      </c>
      <c r="D4044" s="2" t="inlineStr">
        <is>
          <t>postpaid</t>
        </is>
      </c>
      <c r="E4044" s="2" t="inlineStr">
        <is>
          <t>SP</t>
        </is>
      </c>
      <c r="F4044" s="2" t="inlineStr">
        <is>
          <t>Vivo Pós com Globoplay</t>
        </is>
      </c>
      <c r="G4044" s="2" t="inlineStr">
        <is>
          <t>vivo:VIV202600034575</t>
        </is>
      </c>
      <c r="H4044" s="3" t="n">
        <v>165</v>
      </c>
      <c r="I4044" s="3" t="inlineStr"/>
      <c r="J4044" s="2" t="inlineStr"/>
      <c r="K4044" s="2" t="inlineStr"/>
      <c r="L4044" s="4" t="n">
        <v>60</v>
      </c>
      <c r="M4044" s="2" t="inlineStr">
        <is>
          <t>50 GB de franquia 10 GB de bônus</t>
        </is>
      </c>
      <c r="N4044" s="2" t="inlineStr"/>
      <c r="O4044" s="2" t="inlineStr"/>
      <c r="P4044" s="2" t="inlineStr"/>
      <c r="Q4044" s="2" t="inlineStr"/>
      <c r="R4044" s="2" t="inlineStr">
        <is>
          <t>Globoplay</t>
        </is>
      </c>
      <c r="S4044" s="2" t="inlineStr"/>
      <c r="T4044" s="2" t="inlineStr">
        <is>
          <t>Assinatura Globoplay inclusa</t>
        </is>
      </c>
      <c r="U4044" s="2" t="inlineStr">
        <is>
          <t>https://vivo.com.br/para-voce/produtos-e-servicos/para-o-celular/planos-pos-pago</t>
        </is>
      </c>
      <c r="V4044" s="2" t="inlineStr">
        <is>
          <t>data/raw/vivo_postpaid_SP.html</t>
        </is>
      </c>
    </row>
    <row r="4045">
      <c r="A4045" s="5" t="inlineStr">
        <is>
          <t>2026-09-01</t>
        </is>
      </c>
      <c r="B4045" s="5" t="inlineStr">
        <is>
          <t>2026-09-01T19:58:06</t>
        </is>
      </c>
      <c r="C4045" s="5" t="inlineStr">
        <is>
          <t>vivo</t>
        </is>
      </c>
      <c r="D4045" s="5" t="inlineStr">
        <is>
          <t>postpaid</t>
        </is>
      </c>
      <c r="E4045" s="5" t="inlineStr">
        <is>
          <t>SP</t>
        </is>
      </c>
      <c r="F4045" s="5" t="inlineStr">
        <is>
          <t>Vivo Pós com Netflix</t>
        </is>
      </c>
      <c r="G4045" s="5" t="inlineStr">
        <is>
          <t>vivo:VIV202600034562</t>
        </is>
      </c>
      <c r="H4045" s="6" t="n">
        <v>180</v>
      </c>
      <c r="I4045" s="6" t="inlineStr"/>
      <c r="J4045" s="5" t="inlineStr"/>
      <c r="K4045" s="5" t="inlineStr"/>
      <c r="L4045" s="7" t="n">
        <v>60</v>
      </c>
      <c r="M4045" s="5" t="inlineStr">
        <is>
          <t>50 GB de franquia 10 GB de bônus</t>
        </is>
      </c>
      <c r="N4045" s="5" t="inlineStr"/>
      <c r="O4045" s="5" t="inlineStr"/>
      <c r="P4045" s="5" t="inlineStr"/>
      <c r="Q4045" s="5" t="inlineStr"/>
      <c r="R4045" s="5" t="inlineStr">
        <is>
          <t>Netflix</t>
        </is>
      </c>
      <c r="S4045" s="5" t="inlineStr"/>
      <c r="T4045" s="5" t="inlineStr">
        <is>
          <t>Assinatura Netflix Padrão inclusa</t>
        </is>
      </c>
      <c r="U4045" s="5" t="inlineStr">
        <is>
          <t>https://vivo.com.br/para-voce/produtos-e-servicos/para-o-celular/planos-pos-pago</t>
        </is>
      </c>
      <c r="V4045" s="5" t="inlineStr">
        <is>
          <t>data/raw/vivo_postpaid_SP.html</t>
        </is>
      </c>
    </row>
    <row r="4046">
      <c r="A4046" s="2" t="inlineStr">
        <is>
          <t>2026-09-01</t>
        </is>
      </c>
      <c r="B4046" s="2" t="inlineStr">
        <is>
          <t>2026-09-01T19:58:06</t>
        </is>
      </c>
      <c r="C4046" s="2" t="inlineStr">
        <is>
          <t>vivo</t>
        </is>
      </c>
      <c r="D4046" s="2" t="inlineStr">
        <is>
          <t>postpaid</t>
        </is>
      </c>
      <c r="E4046" s="2" t="inlineStr">
        <is>
          <t>SP</t>
        </is>
      </c>
      <c r="F4046" s="2" t="inlineStr">
        <is>
          <t>Vivo Pós com Premiere</t>
        </is>
      </c>
      <c r="G4046" s="2" t="inlineStr">
        <is>
          <t>vivo:VIV202600034579</t>
        </is>
      </c>
      <c r="H4046" s="3" t="n">
        <v>180</v>
      </c>
      <c r="I4046" s="3" t="inlineStr"/>
      <c r="J4046" s="2" t="inlineStr"/>
      <c r="K4046" s="2" t="inlineStr"/>
      <c r="L4046" s="4" t="n">
        <v>60</v>
      </c>
      <c r="M4046" s="2" t="inlineStr">
        <is>
          <t>50 GB de franquia 10 GB de bônus</t>
        </is>
      </c>
      <c r="N4046" s="2" t="inlineStr"/>
      <c r="O4046" s="2" t="inlineStr"/>
      <c r="P4046" s="2" t="inlineStr"/>
      <c r="Q4046" s="2" t="inlineStr"/>
      <c r="R4046" s="2" t="inlineStr">
        <is>
          <t>Premiere</t>
        </is>
      </c>
      <c r="S4046" s="2" t="inlineStr"/>
      <c r="T4046" s="2" t="inlineStr">
        <is>
          <t>Assinatura Premiere inclusa</t>
        </is>
      </c>
      <c r="U4046" s="2" t="inlineStr">
        <is>
          <t>https://vivo.com.br/para-voce/produtos-e-servicos/para-o-celular/planos-pos-pago</t>
        </is>
      </c>
      <c r="V4046" s="2" t="inlineStr">
        <is>
          <t>data/raw/vivo_postpaid_SP.html</t>
        </is>
      </c>
    </row>
    <row r="4047">
      <c r="A4047" s="5" t="inlineStr">
        <is>
          <t>2026-09-01</t>
        </is>
      </c>
      <c r="B4047" s="5" t="inlineStr">
        <is>
          <t>2026-09-01T19:58:06</t>
        </is>
      </c>
      <c r="C4047" s="5" t="inlineStr">
        <is>
          <t>vivo</t>
        </is>
      </c>
      <c r="D4047" s="5" t="inlineStr">
        <is>
          <t>postpaid</t>
        </is>
      </c>
      <c r="E4047" s="5" t="inlineStr">
        <is>
          <t>SP</t>
        </is>
      </c>
      <c r="F4047" s="5" t="inlineStr">
        <is>
          <t>Vivo Pós com Spotify</t>
        </is>
      </c>
      <c r="G4047" s="5" t="inlineStr">
        <is>
          <t>vivo:VIV202600034556</t>
        </is>
      </c>
      <c r="H4047" s="6" t="n">
        <v>165</v>
      </c>
      <c r="I4047" s="6" t="inlineStr"/>
      <c r="J4047" s="5" t="inlineStr"/>
      <c r="K4047" s="5" t="inlineStr"/>
      <c r="L4047" s="7" t="n">
        <v>60</v>
      </c>
      <c r="M4047" s="5" t="inlineStr">
        <is>
          <t>50 GB de franquia 10 GB de bônus</t>
        </is>
      </c>
      <c r="N4047" s="5" t="inlineStr"/>
      <c r="O4047" s="5" t="inlineStr"/>
      <c r="P4047" s="5" t="inlineStr"/>
      <c r="Q4047" s="5" t="inlineStr"/>
      <c r="R4047" s="5" t="inlineStr">
        <is>
          <t>Spotify</t>
        </is>
      </c>
      <c r="S4047" s="5" t="inlineStr"/>
      <c r="T4047" s="5" t="inlineStr">
        <is>
          <t>Assinatura Spotify Premium inclusa</t>
        </is>
      </c>
      <c r="U4047" s="5" t="inlineStr">
        <is>
          <t>https://vivo.com.br/para-voce/produtos-e-servicos/para-o-celular/planos-pos-pago</t>
        </is>
      </c>
      <c r="V4047" s="5" t="inlineStr">
        <is>
          <t>data/raw/vivo_postpaid_SP.html</t>
        </is>
      </c>
    </row>
    <row r="4048">
      <c r="A4048" s="2" t="inlineStr">
        <is>
          <t>2026-09-01</t>
        </is>
      </c>
      <c r="B4048" s="2" t="inlineStr">
        <is>
          <t>2026-09-01T19:58:06</t>
        </is>
      </c>
      <c r="C4048" s="2" t="inlineStr">
        <is>
          <t>vivo</t>
        </is>
      </c>
      <c r="D4048" s="2" t="inlineStr">
        <is>
          <t>postpaid</t>
        </is>
      </c>
      <c r="E4048" s="2" t="inlineStr">
        <is>
          <t>SP</t>
        </is>
      </c>
      <c r="F4048" s="2" t="inlineStr">
        <is>
          <t>Vivo Pós com Travel</t>
        </is>
      </c>
      <c r="G4048" s="2" t="inlineStr">
        <is>
          <t>vivo:VIV202600034573</t>
        </is>
      </c>
      <c r="H4048" s="3" t="n">
        <v>215</v>
      </c>
      <c r="I4048" s="3" t="inlineStr"/>
      <c r="J4048" s="2" t="inlineStr"/>
      <c r="K4048" s="2" t="inlineStr"/>
      <c r="L4048" s="4" t="n">
        <v>70</v>
      </c>
      <c r="M4048" s="2" t="inlineStr">
        <is>
          <t>60 GB de franquia 10 GB de bônus</t>
        </is>
      </c>
      <c r="N4048" s="2" t="inlineStr"/>
      <c r="O4048" s="2" t="inlineStr"/>
      <c r="P4048" s="2" t="inlineStr"/>
      <c r="Q4048" s="2" t="inlineStr"/>
      <c r="R4048" s="2" t="inlineStr"/>
      <c r="S4048" s="2" t="inlineStr"/>
      <c r="T4048" s="2" t="inlineStr">
        <is>
          <t>6 meses grátis de Gemini com AI Plus</t>
        </is>
      </c>
      <c r="U4048" s="2" t="inlineStr">
        <is>
          <t>https://vivo.com.br/para-voce/produtos-e-servicos/para-o-celular/planos-pos-pago</t>
        </is>
      </c>
      <c r="V4048" s="2" t="inlineStr">
        <is>
          <t>data/raw/vivo_postpaid_SP.html</t>
        </is>
      </c>
    </row>
    <row r="4049">
      <c r="A4049" s="5" t="inlineStr">
        <is>
          <t>2026-09-01</t>
        </is>
      </c>
      <c r="B4049" s="5" t="inlineStr">
        <is>
          <t>2026-09-01T19:58:06</t>
        </is>
      </c>
      <c r="C4049" s="5" t="inlineStr">
        <is>
          <t>vivo</t>
        </is>
      </c>
      <c r="D4049" s="5" t="inlineStr">
        <is>
          <t>prepaid</t>
        </is>
      </c>
      <c r="E4049" s="5" t="inlineStr">
        <is>
          <t>SP</t>
        </is>
      </c>
      <c r="F4049" s="5" t="inlineStr">
        <is>
          <t>Vivo Pré</t>
        </is>
      </c>
      <c r="G4049" s="5" t="inlineStr">
        <is>
          <t>vivo:VIV202600029370-30d</t>
        </is>
      </c>
      <c r="H4049" s="6" t="n">
        <v>30</v>
      </c>
      <c r="I4049" s="6" t="inlineStr"/>
      <c r="J4049" s="5" t="inlineStr"/>
      <c r="K4049" s="5" t="inlineStr"/>
      <c r="L4049" s="7" t="n">
        <v>25</v>
      </c>
      <c r="M4049" s="5" t="inlineStr">
        <is>
          <t>15 GB para navegar como quiser 5 GB de bônus 5 GB para navegar no Youtube</t>
        </is>
      </c>
      <c r="N4049" s="5" t="n">
        <v>30</v>
      </c>
      <c r="O4049" s="5" t="inlineStr"/>
      <c r="P4049" s="5" t="inlineStr"/>
      <c r="Q4049" s="5" t="inlineStr"/>
      <c r="R4049" s="5" t="inlineStr"/>
      <c r="S4049" s="5" t="inlineStr"/>
      <c r="T4049" s="5" t="inlineStr"/>
      <c r="U4049" s="5" t="inlineStr">
        <is>
          <t>https://vivo.com.br/para-voce/produtos-e-servicos/para-o-celular/pre-pago/vivo-pre</t>
        </is>
      </c>
      <c r="V4049" s="5" t="inlineStr">
        <is>
          <t>data/raw/vivo_prepaid_SP.html</t>
        </is>
      </c>
    </row>
    <row r="4050">
      <c r="A4050" s="2" t="inlineStr">
        <is>
          <t>2026-09-01</t>
        </is>
      </c>
      <c r="B4050" s="2" t="inlineStr">
        <is>
          <t>2026-09-01T19:58:06</t>
        </is>
      </c>
      <c r="C4050" s="2" t="inlineStr">
        <is>
          <t>vivo</t>
        </is>
      </c>
      <c r="D4050" s="2" t="inlineStr">
        <is>
          <t>prepaid</t>
        </is>
      </c>
      <c r="E4050" s="2" t="inlineStr">
        <is>
          <t>SP</t>
        </is>
      </c>
      <c r="F4050" s="2" t="inlineStr">
        <is>
          <t>Vivo Pré</t>
        </is>
      </c>
      <c r="G4050" s="2" t="inlineStr">
        <is>
          <t>vivo:VIV202600029370-22d</t>
        </is>
      </c>
      <c r="H4050" s="3" t="n">
        <v>25</v>
      </c>
      <c r="I4050" s="3" t="inlineStr"/>
      <c r="J4050" s="2" t="inlineStr"/>
      <c r="K4050" s="2" t="inlineStr"/>
      <c r="L4050" s="4" t="n">
        <v>9</v>
      </c>
      <c r="M4050" s="2" t="inlineStr">
        <is>
          <t>6 GB para navegar como quiser 3 GB para navegar no YouTube</t>
        </is>
      </c>
      <c r="N4050" s="2" t="n">
        <v>22</v>
      </c>
      <c r="O4050" s="2" t="inlineStr"/>
      <c r="P4050" s="2" t="inlineStr"/>
      <c r="Q4050" s="2" t="inlineStr"/>
      <c r="R4050" s="2" t="inlineStr"/>
      <c r="S4050" s="2" t="inlineStr"/>
      <c r="T4050" s="2" t="inlineStr"/>
      <c r="U4050" s="2" t="inlineStr">
        <is>
          <t>https://vivo.com.br/para-voce/produtos-e-servicos/para-o-celular/pre-pago/vivo-pre</t>
        </is>
      </c>
      <c r="V4050" s="2" t="inlineStr">
        <is>
          <t>data/raw/vivo_prepaid_SP.html</t>
        </is>
      </c>
    </row>
    <row r="4051">
      <c r="A4051" s="5" t="inlineStr">
        <is>
          <t>2026-09-01</t>
        </is>
      </c>
      <c r="B4051" s="5" t="inlineStr">
        <is>
          <t>2026-09-01T19:58:06</t>
        </is>
      </c>
      <c r="C4051" s="5" t="inlineStr">
        <is>
          <t>vivo</t>
        </is>
      </c>
      <c r="D4051" s="5" t="inlineStr">
        <is>
          <t>prepaid</t>
        </is>
      </c>
      <c r="E4051" s="5" t="inlineStr">
        <is>
          <t>SP</t>
        </is>
      </c>
      <c r="F4051" s="5" t="inlineStr">
        <is>
          <t>Vivo Pré</t>
        </is>
      </c>
      <c r="G4051" s="5" t="inlineStr">
        <is>
          <t>vivo:VIV202600029370-17d</t>
        </is>
      </c>
      <c r="H4051" s="6" t="n">
        <v>20</v>
      </c>
      <c r="I4051" s="6" t="inlineStr"/>
      <c r="J4051" s="5" t="inlineStr"/>
      <c r="K4051" s="5" t="inlineStr"/>
      <c r="L4051" s="7" t="n">
        <v>5</v>
      </c>
      <c r="M4051" s="5" t="inlineStr">
        <is>
          <t>5 GB para navegar como quiser</t>
        </is>
      </c>
      <c r="N4051" s="5" t="n">
        <v>17</v>
      </c>
      <c r="O4051" s="5" t="inlineStr"/>
      <c r="P4051" s="5" t="inlineStr"/>
      <c r="Q4051" s="5" t="inlineStr"/>
      <c r="R4051" s="5" t="inlineStr"/>
      <c r="S4051" s="5" t="inlineStr"/>
      <c r="T4051" s="5" t="inlineStr"/>
      <c r="U4051" s="5" t="inlineStr">
        <is>
          <t>https://vivo.com.br/para-voce/produtos-e-servicos/para-o-celular/pre-pago/vivo-pre</t>
        </is>
      </c>
      <c r="V4051" s="5" t="inlineStr">
        <is>
          <t>data/raw/vivo_prepaid_SP.html</t>
        </is>
      </c>
    </row>
    <row r="4052">
      <c r="A4052" s="2" t="inlineStr">
        <is>
          <t>2026-09-01</t>
        </is>
      </c>
      <c r="B4052" s="2" t="inlineStr">
        <is>
          <t>2026-09-01T19:58:06</t>
        </is>
      </c>
      <c r="C4052" s="2" t="inlineStr">
        <is>
          <t>vivo</t>
        </is>
      </c>
      <c r="D4052" s="2" t="inlineStr">
        <is>
          <t>prepaid</t>
        </is>
      </c>
      <c r="E4052" s="2" t="inlineStr">
        <is>
          <t>SP</t>
        </is>
      </c>
      <c r="F4052" s="2" t="inlineStr">
        <is>
          <t>Vivo Pré</t>
        </is>
      </c>
      <c r="G4052" s="2" t="inlineStr">
        <is>
          <t>vivo:VIV202600029370-15d</t>
        </is>
      </c>
      <c r="H4052" s="3" t="n">
        <v>17</v>
      </c>
      <c r="I4052" s="3" t="inlineStr"/>
      <c r="J4052" s="2" t="inlineStr"/>
      <c r="K4052" s="2" t="inlineStr"/>
      <c r="L4052" s="4" t="n">
        <v>4</v>
      </c>
      <c r="M4052" s="2" t="inlineStr">
        <is>
          <t>4 GB para navegar como quiser</t>
        </is>
      </c>
      <c r="N4052" s="2" t="n">
        <v>15</v>
      </c>
      <c r="O4052" s="2" t="inlineStr"/>
      <c r="P4052" s="2" t="inlineStr"/>
      <c r="Q4052" s="2" t="inlineStr"/>
      <c r="R4052" s="2" t="inlineStr"/>
      <c r="S4052" s="2" t="inlineStr"/>
      <c r="T4052" s="2" t="inlineStr"/>
      <c r="U4052" s="2" t="inlineStr">
        <is>
          <t>https://vivo.com.br/para-voce/produtos-e-servicos/para-o-celular/pre-pago/vivo-pre</t>
        </is>
      </c>
      <c r="V4052" s="2" t="inlineStr">
        <is>
          <t>data/raw/vivo_prepaid_SP.html</t>
        </is>
      </c>
    </row>
    <row r="4053">
      <c r="A4053" s="5" t="inlineStr">
        <is>
          <t>2026-09-02</t>
        </is>
      </c>
      <c r="B4053" s="5" t="inlineStr">
        <is>
          <t>2026-09-02T19:57:51</t>
        </is>
      </c>
      <c r="C4053" s="5" t="inlineStr">
        <is>
          <t>claro</t>
        </is>
      </c>
      <c r="D4053" s="5" t="inlineStr">
        <is>
          <t>control</t>
        </is>
      </c>
      <c r="E4053" s="5" t="inlineStr">
        <is>
          <t>SP</t>
        </is>
      </c>
      <c r="F4053" s="5" t="inlineStr">
        <is>
          <t>Controle 25GB</t>
        </is>
      </c>
      <c r="G4053" s="5" t="inlineStr">
        <is>
          <t>claro:plano-controle-25gb</t>
        </is>
      </c>
      <c r="H4053" s="6" t="n">
        <v>59.9</v>
      </c>
      <c r="I4053" s="6" t="n">
        <v>54.9</v>
      </c>
      <c r="J4053" s="5" t="inlineStr">
        <is>
          <t>De R$ 59,90 Por:</t>
        </is>
      </c>
      <c r="K4053" s="5" t="inlineStr"/>
      <c r="L4053" s="7" t="n">
        <v>25</v>
      </c>
      <c r="M4053" s="5" t="inlineStr"/>
      <c r="N4053" s="5" t="inlineStr"/>
      <c r="O4053" s="5" t="inlineStr">
        <is>
          <t>WhatsApp</t>
        </is>
      </c>
      <c r="P4053" s="5" t="inlineStr"/>
      <c r="Q4053" s="5" t="inlineStr"/>
      <c r="R4053" s="5" t="inlineStr"/>
      <c r="S4053" s="5" t="inlineStr"/>
      <c r="T4053" s="5" t="inlineStr">
        <is>
          <t>Para uso livre; Para redes sociais e vídeos; Bônus exclusivo; Aproveite na sua franquia; WhatsApp e ligações ilimitadas</t>
        </is>
      </c>
      <c r="U4053" s="5" t="inlineStr">
        <is>
          <t>https://www.claro.com.br/celular/controle</t>
        </is>
      </c>
      <c r="V4053" s="5" t="inlineStr">
        <is>
          <t>data/raw/claro_control_SP.json</t>
        </is>
      </c>
    </row>
    <row r="4054">
      <c r="A4054" s="2" t="inlineStr">
        <is>
          <t>2026-09-02</t>
        </is>
      </c>
      <c r="B4054" s="2" t="inlineStr">
        <is>
          <t>2026-09-02T19:57:51</t>
        </is>
      </c>
      <c r="C4054" s="2" t="inlineStr">
        <is>
          <t>claro</t>
        </is>
      </c>
      <c r="D4054" s="2" t="inlineStr">
        <is>
          <t>control</t>
        </is>
      </c>
      <c r="E4054" s="2" t="inlineStr">
        <is>
          <t>SP</t>
        </is>
      </c>
      <c r="F4054" s="2" t="inlineStr">
        <is>
          <t>Controle 30GB</t>
        </is>
      </c>
      <c r="G4054" s="2" t="inlineStr">
        <is>
          <t>claro:plano-controle-30gb</t>
        </is>
      </c>
      <c r="H4054" s="3" t="n">
        <v>69.90000000000001</v>
      </c>
      <c r="I4054" s="3" t="inlineStr"/>
      <c r="J4054" s="2" t="inlineStr"/>
      <c r="K4054" s="2" t="inlineStr"/>
      <c r="L4054" s="4" t="n">
        <v>30</v>
      </c>
      <c r="M4054" s="2" t="inlineStr"/>
      <c r="N4054" s="2" t="inlineStr"/>
      <c r="O4054" s="2" t="inlineStr">
        <is>
          <t>WhatsApp</t>
        </is>
      </c>
      <c r="P4054" s="2" t="inlineStr"/>
      <c r="Q4054" s="2" t="inlineStr"/>
      <c r="R4054" s="2" t="inlineStr"/>
      <c r="S4054" s="2" t="inlineStr"/>
      <c r="T4054" s="2" t="inlineStr">
        <is>
          <t>Para uso livre; Bônus para uso livre; Bônus para redes sociais e apps; Assinatura Amazon Prime por 3 meses; Redes sociais e apps; WhatsApp ilimitado</t>
        </is>
      </c>
      <c r="U4054" s="2" t="inlineStr">
        <is>
          <t>https://www.claro.com.br/celular/controle</t>
        </is>
      </c>
      <c r="V4054" s="2" t="inlineStr">
        <is>
          <t>data/raw/claro_control_SP.json</t>
        </is>
      </c>
    </row>
    <row r="4055">
      <c r="A4055" s="5" t="inlineStr">
        <is>
          <t>2026-09-02</t>
        </is>
      </c>
      <c r="B4055" s="5" t="inlineStr">
        <is>
          <t>2026-09-02T19:57:51</t>
        </is>
      </c>
      <c r="C4055" s="5" t="inlineStr">
        <is>
          <t>claro</t>
        </is>
      </c>
      <c r="D4055" s="5" t="inlineStr">
        <is>
          <t>control</t>
        </is>
      </c>
      <c r="E4055" s="5" t="inlineStr">
        <is>
          <t>SP</t>
        </is>
      </c>
      <c r="F4055" s="5" t="inlineStr">
        <is>
          <t>Controle 30GB</t>
        </is>
      </c>
      <c r="G4055" s="5" t="inlineStr">
        <is>
          <t>claro:plano-controle-30gb-gaming</t>
        </is>
      </c>
      <c r="H4055" s="6" t="n">
        <v>99.90000000000001</v>
      </c>
      <c r="I4055" s="6" t="inlineStr"/>
      <c r="J4055" s="5" t="inlineStr"/>
      <c r="K4055" s="5" t="inlineStr"/>
      <c r="L4055" s="7" t="n">
        <v>30</v>
      </c>
      <c r="M4055" s="5" t="inlineStr"/>
      <c r="N4055" s="5" t="inlineStr"/>
      <c r="O4055" s="5" t="inlineStr">
        <is>
          <t>WhatsApp</t>
        </is>
      </c>
      <c r="P4055" s="5" t="inlineStr"/>
      <c r="Q4055" s="5" t="inlineStr"/>
      <c r="R4055" s="5" t="inlineStr"/>
      <c r="S4055" s="5" t="inlineStr"/>
      <c r="T4055" s="5" t="inlineStr">
        <is>
          <t>Para uso livre; Bônus para redes sociais e apps; Bônus uso livre; Assinatura Amazon Prime por 3 meses; Redes sociais e apps; WhatsApp ilimitado</t>
        </is>
      </c>
      <c r="U4055" s="5" t="inlineStr">
        <is>
          <t>https://www.claro.com.br/celular/controle</t>
        </is>
      </c>
      <c r="V4055" s="5" t="inlineStr">
        <is>
          <t>data/raw/claro_control_SP.json</t>
        </is>
      </c>
    </row>
    <row r="4056">
      <c r="A4056" s="2" t="inlineStr">
        <is>
          <t>2026-09-02</t>
        </is>
      </c>
      <c r="B4056" s="2" t="inlineStr">
        <is>
          <t>2026-09-02T19:57:51</t>
        </is>
      </c>
      <c r="C4056" s="2" t="inlineStr">
        <is>
          <t>claro</t>
        </is>
      </c>
      <c r="D4056" s="2" t="inlineStr">
        <is>
          <t>flex</t>
        </is>
      </c>
      <c r="E4056" s="2" t="inlineStr">
        <is>
          <t>SP</t>
        </is>
      </c>
      <c r="F4056" s="2" t="inlineStr">
        <is>
          <t>Flex 15GB</t>
        </is>
      </c>
      <c r="G4056" s="2" t="inlineStr">
        <is>
          <t>claro:plano-flex-15gb</t>
        </is>
      </c>
      <c r="H4056" s="3" t="n">
        <v>44.9</v>
      </c>
      <c r="I4056" s="3" t="inlineStr"/>
      <c r="J4056" s="2" t="inlineStr"/>
      <c r="K4056" s="2" t="inlineStr"/>
      <c r="L4056" s="4" t="n">
        <v>15</v>
      </c>
      <c r="M4056" s="2" t="inlineStr"/>
      <c r="N4056" s="2" t="inlineStr"/>
      <c r="O4056" s="2" t="inlineStr">
        <is>
          <t>WhatsApp</t>
        </is>
      </c>
      <c r="P4056" s="2" t="inlineStr"/>
      <c r="Q4056" s="2" t="inlineStr"/>
      <c r="R4056" s="2" t="inlineStr"/>
      <c r="S4056" s="2" t="inlineStr"/>
      <c r="T4056" s="2" t="inlineStr">
        <is>
          <t>Para uso livre; Para redes sociais e apps; Bônus extra nos apps; WhatsApp ilimitado</t>
        </is>
      </c>
      <c r="U4056" s="2" t="inlineStr">
        <is>
          <t>https://www.claro.com.br/celular/flex</t>
        </is>
      </c>
      <c r="V4056" s="2" t="inlineStr">
        <is>
          <t>data/raw/claro_flex_SP.json</t>
        </is>
      </c>
    </row>
    <row r="4057">
      <c r="A4057" s="5" t="inlineStr">
        <is>
          <t>2026-09-02</t>
        </is>
      </c>
      <c r="B4057" s="5" t="inlineStr">
        <is>
          <t>2026-09-02T19:57:51</t>
        </is>
      </c>
      <c r="C4057" s="5" t="inlineStr">
        <is>
          <t>claro</t>
        </is>
      </c>
      <c r="D4057" s="5" t="inlineStr">
        <is>
          <t>flex</t>
        </is>
      </c>
      <c r="E4057" s="5" t="inlineStr">
        <is>
          <t>SP</t>
        </is>
      </c>
      <c r="F4057" s="5" t="inlineStr">
        <is>
          <t>Flex 20GB</t>
        </is>
      </c>
      <c r="G4057" s="5" t="inlineStr">
        <is>
          <t>claro:plano-flex-20gb</t>
        </is>
      </c>
      <c r="H4057" s="6" t="n">
        <v>59.9</v>
      </c>
      <c r="I4057" s="6" t="inlineStr"/>
      <c r="J4057" s="5" t="inlineStr"/>
      <c r="K4057" s="5" t="inlineStr"/>
      <c r="L4057" s="7" t="n">
        <v>20</v>
      </c>
      <c r="M4057" s="5" t="inlineStr"/>
      <c r="N4057" s="5" t="inlineStr"/>
      <c r="O4057" s="5" t="inlineStr">
        <is>
          <t>WhatsApp</t>
        </is>
      </c>
      <c r="P4057" s="5" t="inlineStr"/>
      <c r="Q4057" s="5" t="inlineStr"/>
      <c r="R4057" s="5" t="inlineStr"/>
      <c r="S4057" s="5" t="inlineStr"/>
      <c r="T4057" s="5" t="inlineStr">
        <is>
          <t>Para uso livre; Para redes sociais e apps; Bônus extra nos apps; WhatsApp ilimitado</t>
        </is>
      </c>
      <c r="U4057" s="5" t="inlineStr">
        <is>
          <t>https://www.claro.com.br/celular/flex</t>
        </is>
      </c>
      <c r="V4057" s="5" t="inlineStr">
        <is>
          <t>data/raw/claro_flex_SP.json</t>
        </is>
      </c>
    </row>
    <row r="4058">
      <c r="A4058" s="2" t="inlineStr">
        <is>
          <t>2026-09-02</t>
        </is>
      </c>
      <c r="B4058" s="2" t="inlineStr">
        <is>
          <t>2026-09-02T19:57:51</t>
        </is>
      </c>
      <c r="C4058" s="2" t="inlineStr">
        <is>
          <t>claro</t>
        </is>
      </c>
      <c r="D4058" s="2" t="inlineStr">
        <is>
          <t>flex</t>
        </is>
      </c>
      <c r="E4058" s="2" t="inlineStr">
        <is>
          <t>SP</t>
        </is>
      </c>
      <c r="F4058" s="2" t="inlineStr">
        <is>
          <t>Flex 30GB</t>
        </is>
      </c>
      <c r="G4058" s="2" t="inlineStr">
        <is>
          <t>claro:plano-flex-30gb</t>
        </is>
      </c>
      <c r="H4058" s="3" t="n">
        <v>69.90000000000001</v>
      </c>
      <c r="I4058" s="3" t="inlineStr"/>
      <c r="J4058" s="2" t="inlineStr"/>
      <c r="K4058" s="2" t="inlineStr"/>
      <c r="L4058" s="4" t="n">
        <v>30</v>
      </c>
      <c r="M4058" s="2" t="inlineStr"/>
      <c r="N4058" s="2" t="inlineStr"/>
      <c r="O4058" s="2" t="inlineStr">
        <is>
          <t>WhatsApp</t>
        </is>
      </c>
      <c r="P4058" s="2" t="inlineStr"/>
      <c r="Q4058" s="2" t="inlineStr"/>
      <c r="R4058" s="2" t="inlineStr"/>
      <c r="S4058" s="2" t="inlineStr"/>
      <c r="T4058" s="2" t="inlineStr">
        <is>
          <t>Para uso livre; Para redes sociais e apps; Bônus extra nos apps; WhatsApp ilimitado; Assinatura Claro musica inclusa</t>
        </is>
      </c>
      <c r="U4058" s="2" t="inlineStr">
        <is>
          <t>https://www.claro.com.br/celular/flex</t>
        </is>
      </c>
      <c r="V4058" s="2" t="inlineStr">
        <is>
          <t>data/raw/claro_flex_SP.json</t>
        </is>
      </c>
    </row>
    <row r="4059">
      <c r="A4059" s="5" t="inlineStr">
        <is>
          <t>2026-09-02</t>
        </is>
      </c>
      <c r="B4059" s="5" t="inlineStr">
        <is>
          <t>2026-09-02T19:57:51</t>
        </is>
      </c>
      <c r="C4059" s="5" t="inlineStr">
        <is>
          <t>claro</t>
        </is>
      </c>
      <c r="D4059" s="5" t="inlineStr">
        <is>
          <t>flex</t>
        </is>
      </c>
      <c r="E4059" s="5" t="inlineStr">
        <is>
          <t>SP</t>
        </is>
      </c>
      <c r="F4059" s="5" t="inlineStr">
        <is>
          <t>Flex 40GB</t>
        </is>
      </c>
      <c r="G4059" s="5" t="inlineStr">
        <is>
          <t>claro:plano-flex-40gb</t>
        </is>
      </c>
      <c r="H4059" s="6" t="n">
        <v>119.9</v>
      </c>
      <c r="I4059" s="6" t="inlineStr"/>
      <c r="J4059" s="5" t="inlineStr"/>
      <c r="K4059" s="5" t="inlineStr"/>
      <c r="L4059" s="7" t="n">
        <v>40</v>
      </c>
      <c r="M4059" s="5" t="inlineStr"/>
      <c r="N4059" s="5" t="inlineStr"/>
      <c r="O4059" s="5" t="inlineStr">
        <is>
          <t>WhatsApp</t>
        </is>
      </c>
      <c r="P4059" s="5" t="inlineStr"/>
      <c r="Q4059" s="5" t="inlineStr"/>
      <c r="R4059" s="5" t="inlineStr"/>
      <c r="S4059" s="5" t="inlineStr"/>
      <c r="T4059" s="5" t="inlineStr">
        <is>
          <t>Para uso livre; WhatsApp ilimitado; Assinatura Claro musica inclusa; Roaming: Passaporte Américas</t>
        </is>
      </c>
      <c r="U4059" s="5" t="inlineStr">
        <is>
          <t>https://www.claro.com.br/celular/flex</t>
        </is>
      </c>
      <c r="V4059" s="5" t="inlineStr">
        <is>
          <t>data/raw/claro_flex_SP.json</t>
        </is>
      </c>
    </row>
    <row r="4060">
      <c r="A4060" s="2" t="inlineStr">
        <is>
          <t>2026-09-02</t>
        </is>
      </c>
      <c r="B4060" s="2" t="inlineStr">
        <is>
          <t>2026-09-02T19:57:51</t>
        </is>
      </c>
      <c r="C4060" s="2" t="inlineStr">
        <is>
          <t>claro</t>
        </is>
      </c>
      <c r="D4060" s="2" t="inlineStr">
        <is>
          <t>postpaid</t>
        </is>
      </c>
      <c r="E4060" s="2" t="inlineStr">
        <is>
          <t>SP</t>
        </is>
      </c>
      <c r="F4060" s="2" t="inlineStr">
        <is>
          <t>Pós 100GB</t>
        </is>
      </c>
      <c r="G4060" s="2" t="inlineStr">
        <is>
          <t>claro:plano-pos-100gb</t>
        </is>
      </c>
      <c r="H4060" s="3" t="n">
        <v>179.9</v>
      </c>
      <c r="I4060" s="3" t="inlineStr"/>
      <c r="J4060" s="2" t="inlineStr"/>
      <c r="K4060" s="2" t="inlineStr"/>
      <c r="L4060" s="4" t="n">
        <v>100</v>
      </c>
      <c r="M4060" s="2" t="inlineStr"/>
      <c r="N4060" s="2" t="inlineStr"/>
      <c r="O4060" s="2" t="inlineStr">
        <is>
          <t>WhatsApp</t>
        </is>
      </c>
      <c r="P4060" s="2" t="inlineStr"/>
      <c r="Q4060" s="2" t="inlineStr"/>
      <c r="R4060" s="2" t="inlineStr"/>
      <c r="S4060" s="2" t="inlineStr"/>
      <c r="T4060" s="2" t="inlineStr">
        <is>
          <t>Armazenamento na nuvem:; Google One ou iCloud+; WhatsApp ilimitado; Assinatura Amazon Prime por 3 meses; Roaming: Passaporte Américas; Claro Sync: Smartwatch conectado</t>
        </is>
      </c>
      <c r="U4060" s="2" t="inlineStr">
        <is>
          <t>https://www.claro.com.br/celular/pos</t>
        </is>
      </c>
      <c r="V4060" s="2" t="inlineStr">
        <is>
          <t>data/raw/claro_postpaid_SP.json</t>
        </is>
      </c>
    </row>
    <row r="4061">
      <c r="A4061" s="5" t="inlineStr">
        <is>
          <t>2026-09-02</t>
        </is>
      </c>
      <c r="B4061" s="5" t="inlineStr">
        <is>
          <t>2026-09-02T19:57:51</t>
        </is>
      </c>
      <c r="C4061" s="5" t="inlineStr">
        <is>
          <t>claro</t>
        </is>
      </c>
      <c r="D4061" s="5" t="inlineStr">
        <is>
          <t>postpaid</t>
        </is>
      </c>
      <c r="E4061" s="5" t="inlineStr">
        <is>
          <t>SP</t>
        </is>
      </c>
      <c r="F4061" s="5" t="inlineStr">
        <is>
          <t>Pós 150GB</t>
        </is>
      </c>
      <c r="G4061" s="5" t="inlineStr">
        <is>
          <t>claro:plano-pos-150gb</t>
        </is>
      </c>
      <c r="H4061" s="6" t="n">
        <v>239.9</v>
      </c>
      <c r="I4061" s="6" t="inlineStr"/>
      <c r="J4061" s="5" t="inlineStr"/>
      <c r="K4061" s="5" t="inlineStr"/>
      <c r="L4061" s="7" t="n">
        <v>150</v>
      </c>
      <c r="M4061" s="5" t="inlineStr"/>
      <c r="N4061" s="5" t="inlineStr"/>
      <c r="O4061" s="5" t="inlineStr">
        <is>
          <t>WhatsApp</t>
        </is>
      </c>
      <c r="P4061" s="5" t="inlineStr"/>
      <c r="Q4061" s="5" t="inlineStr"/>
      <c r="R4061" s="5" t="inlineStr"/>
      <c r="S4061" s="5" t="inlineStr"/>
      <c r="T4061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061" s="5" t="inlineStr">
        <is>
          <t>https://www.claro.com.br/celular/pos</t>
        </is>
      </c>
      <c r="V4061" s="5" t="inlineStr">
        <is>
          <t>data/raw/claro_postpaid_SP.json</t>
        </is>
      </c>
    </row>
    <row r="4062">
      <c r="A4062" s="2" t="inlineStr">
        <is>
          <t>2026-09-02</t>
        </is>
      </c>
      <c r="B4062" s="2" t="inlineStr">
        <is>
          <t>2026-09-02T19:57:51</t>
        </is>
      </c>
      <c r="C4062" s="2" t="inlineStr">
        <is>
          <t>claro</t>
        </is>
      </c>
      <c r="D4062" s="2" t="inlineStr">
        <is>
          <t>postpaid</t>
        </is>
      </c>
      <c r="E4062" s="2" t="inlineStr">
        <is>
          <t>SP</t>
        </is>
      </c>
      <c r="F4062" s="2" t="inlineStr">
        <is>
          <t>Pós 200GB</t>
        </is>
      </c>
      <c r="G4062" s="2" t="inlineStr">
        <is>
          <t>claro:plano-pos-200gb</t>
        </is>
      </c>
      <c r="H4062" s="3" t="n">
        <v>339.9</v>
      </c>
      <c r="I4062" s="3" t="inlineStr"/>
      <c r="J4062" s="2" t="inlineStr"/>
      <c r="K4062" s="2" t="inlineStr"/>
      <c r="L4062" s="4" t="n">
        <v>200</v>
      </c>
      <c r="M4062" s="2" t="inlineStr"/>
      <c r="N4062" s="2" t="inlineStr"/>
      <c r="O4062" s="2" t="inlineStr">
        <is>
          <t>WhatsApp</t>
        </is>
      </c>
      <c r="P4062" s="2" t="inlineStr"/>
      <c r="Q4062" s="2" t="inlineStr"/>
      <c r="R4062" s="2" t="inlineStr"/>
      <c r="S4062" s="2" t="inlineStr"/>
      <c r="T4062" s="2" t="inlineStr">
        <is>
          <t>Armazenamento na nuvem:; Google One (AI Plus) ou iCloud+; WhatsApp ilimitado; Assinatura Amazon Prime por 3 meses; Roaming: Passaporte Mundo; Claro Sync: Smartwatch conectado</t>
        </is>
      </c>
      <c r="U4062" s="2" t="inlineStr">
        <is>
          <t>https://www.claro.com.br/celular/pos</t>
        </is>
      </c>
      <c r="V4062" s="2" t="inlineStr">
        <is>
          <t>data/raw/claro_postpaid_SP.json</t>
        </is>
      </c>
    </row>
    <row r="4063">
      <c r="A4063" s="5" t="inlineStr">
        <is>
          <t>2026-09-02</t>
        </is>
      </c>
      <c r="B4063" s="5" t="inlineStr">
        <is>
          <t>2026-09-02T19:57:51</t>
        </is>
      </c>
      <c r="C4063" s="5" t="inlineStr">
        <is>
          <t>claro</t>
        </is>
      </c>
      <c r="D4063" s="5" t="inlineStr">
        <is>
          <t>postpaid</t>
        </is>
      </c>
      <c r="E4063" s="5" t="inlineStr">
        <is>
          <t>SP</t>
        </is>
      </c>
      <c r="F4063" s="5" t="inlineStr">
        <is>
          <t>Pós 50GB com GeForce NOW</t>
        </is>
      </c>
      <c r="G4063" s="5" t="inlineStr">
        <is>
          <t>claro:plano-pos-60gb-geforce</t>
        </is>
      </c>
      <c r="H4063" s="6" t="n">
        <v>164.9</v>
      </c>
      <c r="I4063" s="6" t="inlineStr"/>
      <c r="J4063" s="5" t="inlineStr"/>
      <c r="K4063" s="5" t="inlineStr"/>
      <c r="L4063" s="7" t="n">
        <v>50</v>
      </c>
      <c r="M4063" s="5" t="inlineStr"/>
      <c r="N4063" s="5" t="inlineStr"/>
      <c r="O4063" s="5" t="inlineStr">
        <is>
          <t>WhatsApp</t>
        </is>
      </c>
      <c r="P4063" s="5" t="inlineStr"/>
      <c r="Q4063" s="5" t="inlineStr"/>
      <c r="R4063" s="5" t="inlineStr"/>
      <c r="S4063" s="5" t="inlineStr"/>
      <c r="T4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063" s="5" t="inlineStr">
        <is>
          <t>https://www.claro.com.br/celular/pos</t>
        </is>
      </c>
      <c r="V4063" s="5" t="inlineStr">
        <is>
          <t>data/raw/claro_postpaid_SP.json</t>
        </is>
      </c>
    </row>
    <row r="4064">
      <c r="A4064" s="2" t="inlineStr">
        <is>
          <t>2026-09-02</t>
        </is>
      </c>
      <c r="B4064" s="2" t="inlineStr">
        <is>
          <t>2026-09-02T19:57:51</t>
        </is>
      </c>
      <c r="C4064" s="2" t="inlineStr">
        <is>
          <t>claro</t>
        </is>
      </c>
      <c r="D4064" s="2" t="inlineStr">
        <is>
          <t>postpaid</t>
        </is>
      </c>
      <c r="E4064" s="2" t="inlineStr">
        <is>
          <t>SP</t>
        </is>
      </c>
      <c r="F4064" s="2" t="inlineStr">
        <is>
          <t>Pós 60GB</t>
        </is>
      </c>
      <c r="G4064" s="2" t="inlineStr">
        <is>
          <t>claro:plano-pos-60gb</t>
        </is>
      </c>
      <c r="H4064" s="3" t="n">
        <v>124.9</v>
      </c>
      <c r="I4064" s="3" t="inlineStr"/>
      <c r="J4064" s="2" t="inlineStr"/>
      <c r="K4064" s="2" t="inlineStr"/>
      <c r="L4064" s="4" t="n">
        <v>60</v>
      </c>
      <c r="M4064" s="2" t="inlineStr"/>
      <c r="N4064" s="2" t="inlineStr"/>
      <c r="O4064" s="2" t="inlineStr">
        <is>
          <t>WhatsApp</t>
        </is>
      </c>
      <c r="P4064" s="2" t="inlineStr"/>
      <c r="Q4064" s="2" t="inlineStr"/>
      <c r="R4064" s="2" t="inlineStr"/>
      <c r="S4064" s="2" t="inlineStr"/>
      <c r="T4064" s="2" t="inlineStr">
        <is>
          <t>Armazenamento na nuvem:; Google One ou iCloud+; WhatsApp ilimitado; Assinatura Amazon Prime por 3 meses; Roaming: Passaporte Américas; Claro Sync: Smartwatch conectado</t>
        </is>
      </c>
      <c r="U4064" s="2" t="inlineStr">
        <is>
          <t>https://www.claro.com.br/celular/pos</t>
        </is>
      </c>
      <c r="V4064" s="2" t="inlineStr">
        <is>
          <t>data/raw/claro_postpaid_SP.json</t>
        </is>
      </c>
    </row>
    <row r="4065">
      <c r="A4065" s="5" t="inlineStr">
        <is>
          <t>2026-09-02</t>
        </is>
      </c>
      <c r="B4065" s="5" t="inlineStr">
        <is>
          <t>2026-09-02T19:57:51</t>
        </is>
      </c>
      <c r="C4065" s="5" t="inlineStr">
        <is>
          <t>claro</t>
        </is>
      </c>
      <c r="D4065" s="5" t="inlineStr">
        <is>
          <t>prepaid</t>
        </is>
      </c>
      <c r="E4065" s="5" t="inlineStr">
        <is>
          <t>SP</t>
        </is>
      </c>
      <c r="F4065" s="5" t="inlineStr">
        <is>
          <t>Prezão 10GB (25 dias)</t>
        </is>
      </c>
      <c r="G4065" s="5" t="inlineStr">
        <is>
          <t>claro:prezao-25d-10gb</t>
        </is>
      </c>
      <c r="H4065" s="6" t="n">
        <v>25</v>
      </c>
      <c r="I4065" s="6" t="inlineStr"/>
      <c r="J4065" s="5" t="inlineStr">
        <is>
          <t>recarga Prezão R$25 — validade 25 dias</t>
        </is>
      </c>
      <c r="K4065" s="5" t="inlineStr"/>
      <c r="L4065" s="7" t="n">
        <v>10</v>
      </c>
      <c r="M4065" s="5" t="inlineStr"/>
      <c r="N4065" s="5" t="n">
        <v>25</v>
      </c>
      <c r="O4065" s="5" t="inlineStr"/>
      <c r="P4065" s="5" t="inlineStr"/>
      <c r="Q4065" s="5" t="inlineStr"/>
      <c r="R4065" s="5" t="inlineStr"/>
      <c r="S4065" s="5" t="inlineStr"/>
      <c r="T4065" s="5" t="inlineStr"/>
      <c r="U4065" s="5" t="inlineStr">
        <is>
          <t>https://www.claro.com.br/celular/planos-pre/prezao</t>
        </is>
      </c>
      <c r="V4065" s="5" t="inlineStr">
        <is>
          <t>data/raw/claro_prepaid_SP.json</t>
        </is>
      </c>
    </row>
    <row r="4066">
      <c r="A4066" s="2" t="inlineStr">
        <is>
          <t>2026-09-02</t>
        </is>
      </c>
      <c r="B4066" s="2" t="inlineStr">
        <is>
          <t>2026-09-02T19:57:51</t>
        </is>
      </c>
      <c r="C4066" s="2" t="inlineStr">
        <is>
          <t>claro</t>
        </is>
      </c>
      <c r="D4066" s="2" t="inlineStr">
        <is>
          <t>prepaid</t>
        </is>
      </c>
      <c r="E4066" s="2" t="inlineStr">
        <is>
          <t>SP</t>
        </is>
      </c>
      <c r="F4066" s="2" t="inlineStr">
        <is>
          <t>Prezão 12GB (30 dias)</t>
        </is>
      </c>
      <c r="G4066" s="2" t="inlineStr">
        <is>
          <t>claro:prezao-30d-12gb</t>
        </is>
      </c>
      <c r="H4066" s="3" t="n">
        <v>30</v>
      </c>
      <c r="I4066" s="3" t="inlineStr"/>
      <c r="J4066" s="2" t="inlineStr">
        <is>
          <t>recarga Prezão R$30 — validade 30 dias</t>
        </is>
      </c>
      <c r="K4066" s="2" t="inlineStr"/>
      <c r="L4066" s="4" t="n">
        <v>12</v>
      </c>
      <c r="M4066" s="2" t="inlineStr"/>
      <c r="N4066" s="2" t="n">
        <v>30</v>
      </c>
      <c r="O4066" s="2" t="inlineStr"/>
      <c r="P4066" s="2" t="inlineStr"/>
      <c r="Q4066" s="2" t="inlineStr"/>
      <c r="R4066" s="2" t="inlineStr"/>
      <c r="S4066" s="2" t="inlineStr"/>
      <c r="T4066" s="2" t="inlineStr"/>
      <c r="U4066" s="2" t="inlineStr">
        <is>
          <t>https://www.claro.com.br/celular/planos-pre/prezao</t>
        </is>
      </c>
      <c r="V4066" s="2" t="inlineStr">
        <is>
          <t>data/raw/claro_prepaid_SP.json</t>
        </is>
      </c>
    </row>
    <row r="4067">
      <c r="A4067" s="5" t="inlineStr">
        <is>
          <t>2026-09-02</t>
        </is>
      </c>
      <c r="B4067" s="5" t="inlineStr">
        <is>
          <t>2026-09-02T19:57:51</t>
        </is>
      </c>
      <c r="C4067" s="5" t="inlineStr">
        <is>
          <t>claro</t>
        </is>
      </c>
      <c r="D4067" s="5" t="inlineStr">
        <is>
          <t>prepaid</t>
        </is>
      </c>
      <c r="E4067" s="5" t="inlineStr">
        <is>
          <t>SP</t>
        </is>
      </c>
      <c r="F4067" s="5" t="inlineStr">
        <is>
          <t>Prezão 4GB (12 dias)</t>
        </is>
      </c>
      <c r="G4067" s="5" t="inlineStr">
        <is>
          <t>claro:prezao-12d-4gb</t>
        </is>
      </c>
      <c r="H4067" s="6" t="n">
        <v>15</v>
      </c>
      <c r="I4067" s="6" t="inlineStr"/>
      <c r="J4067" s="5" t="inlineStr">
        <is>
          <t>recarga Prezão R$15 — validade 12 dias</t>
        </is>
      </c>
      <c r="K4067" s="5" t="inlineStr"/>
      <c r="L4067" s="7" t="n">
        <v>4</v>
      </c>
      <c r="M4067" s="5" t="inlineStr"/>
      <c r="N4067" s="5" t="n">
        <v>12</v>
      </c>
      <c r="O4067" s="5" t="inlineStr"/>
      <c r="P4067" s="5" t="inlineStr"/>
      <c r="Q4067" s="5" t="inlineStr"/>
      <c r="R4067" s="5" t="inlineStr"/>
      <c r="S4067" s="5" t="inlineStr"/>
      <c r="T4067" s="5" t="inlineStr"/>
      <c r="U4067" s="5" t="inlineStr">
        <is>
          <t>https://www.claro.com.br/celular/planos-pre/prezao</t>
        </is>
      </c>
      <c r="V4067" s="5" t="inlineStr">
        <is>
          <t>data/raw/claro_prepaid_SP.json</t>
        </is>
      </c>
    </row>
    <row r="4068">
      <c r="A4068" s="2" t="inlineStr">
        <is>
          <t>2026-09-02</t>
        </is>
      </c>
      <c r="B4068" s="2" t="inlineStr">
        <is>
          <t>2026-09-02T19:57:51</t>
        </is>
      </c>
      <c r="C4068" s="2" t="inlineStr">
        <is>
          <t>claro</t>
        </is>
      </c>
      <c r="D4068" s="2" t="inlineStr">
        <is>
          <t>prepaid</t>
        </is>
      </c>
      <c r="E4068" s="2" t="inlineStr">
        <is>
          <t>SP</t>
        </is>
      </c>
      <c r="F4068" s="2" t="inlineStr">
        <is>
          <t>Prezão 5GB (15 dias)</t>
        </is>
      </c>
      <c r="G4068" s="2" t="inlineStr">
        <is>
          <t>claro:prezao-15d-5gb</t>
        </is>
      </c>
      <c r="H4068" s="3" t="n">
        <v>15</v>
      </c>
      <c r="I4068" s="3" t="inlineStr"/>
      <c r="J4068" s="2" t="inlineStr">
        <is>
          <t>recarga Prezão R$15 — validade 15 dias</t>
        </is>
      </c>
      <c r="K4068" s="2" t="inlineStr"/>
      <c r="L4068" s="4" t="n">
        <v>5</v>
      </c>
      <c r="M4068" s="2" t="inlineStr"/>
      <c r="N4068" s="2" t="n">
        <v>15</v>
      </c>
      <c r="O4068" s="2" t="inlineStr"/>
      <c r="P4068" s="2" t="inlineStr"/>
      <c r="Q4068" s="2" t="inlineStr"/>
      <c r="R4068" s="2" t="inlineStr"/>
      <c r="S4068" s="2" t="inlineStr"/>
      <c r="T4068" s="2" t="inlineStr"/>
      <c r="U4068" s="2" t="inlineStr">
        <is>
          <t>https://www.claro.com.br/celular/planos-pre/prezao</t>
        </is>
      </c>
      <c r="V4068" s="2" t="inlineStr">
        <is>
          <t>data/raw/claro_prepaid_SP.json</t>
        </is>
      </c>
    </row>
    <row r="4069">
      <c r="A4069" s="5" t="inlineStr">
        <is>
          <t>2026-09-02</t>
        </is>
      </c>
      <c r="B4069" s="5" t="inlineStr">
        <is>
          <t>2026-09-02T19:57:51</t>
        </is>
      </c>
      <c r="C4069" s="5" t="inlineStr">
        <is>
          <t>claro</t>
        </is>
      </c>
      <c r="D4069" s="5" t="inlineStr">
        <is>
          <t>prepaid</t>
        </is>
      </c>
      <c r="E4069" s="5" t="inlineStr">
        <is>
          <t>SP</t>
        </is>
      </c>
      <c r="F4069" s="5" t="inlineStr">
        <is>
          <t>Prezão 6GB (20 dias)</t>
        </is>
      </c>
      <c r="G4069" s="5" t="inlineStr">
        <is>
          <t>claro:prezao-20d-6gb</t>
        </is>
      </c>
      <c r="H4069" s="6" t="n">
        <v>20</v>
      </c>
      <c r="I4069" s="6" t="inlineStr"/>
      <c r="J4069" s="5" t="inlineStr">
        <is>
          <t>recarga Prezão R$20 — validade 20 dias</t>
        </is>
      </c>
      <c r="K4069" s="5" t="inlineStr"/>
      <c r="L4069" s="7" t="n">
        <v>6</v>
      </c>
      <c r="M4069" s="5" t="inlineStr"/>
      <c r="N4069" s="5" t="n">
        <v>20</v>
      </c>
      <c r="O4069" s="5" t="inlineStr"/>
      <c r="P4069" s="5" t="inlineStr"/>
      <c r="Q4069" s="5" t="inlineStr"/>
      <c r="R4069" s="5" t="inlineStr"/>
      <c r="S4069" s="5" t="inlineStr"/>
      <c r="T4069" s="5" t="inlineStr"/>
      <c r="U4069" s="5" t="inlineStr">
        <is>
          <t>https://www.claro.com.br/celular/planos-pre/prezao</t>
        </is>
      </c>
      <c r="V4069" s="5" t="inlineStr">
        <is>
          <t>data/raw/claro_prepaid_SP.json</t>
        </is>
      </c>
    </row>
    <row r="4070">
      <c r="A4070" s="2" t="inlineStr">
        <is>
          <t>2026-09-02</t>
        </is>
      </c>
      <c r="B4070" s="2" t="inlineStr">
        <is>
          <t>2026-09-02T19:57:51</t>
        </is>
      </c>
      <c r="C4070" s="2" t="inlineStr">
        <is>
          <t>claro</t>
        </is>
      </c>
      <c r="D4070" s="2" t="inlineStr">
        <is>
          <t>prepaid</t>
        </is>
      </c>
      <c r="E4070" s="2" t="inlineStr">
        <is>
          <t>SP</t>
        </is>
      </c>
      <c r="F4070" s="2" t="inlineStr">
        <is>
          <t>Prezão 8GB (20 dias)</t>
        </is>
      </c>
      <c r="G4070" s="2" t="inlineStr">
        <is>
          <t>claro:prezao-20d-8gb</t>
        </is>
      </c>
      <c r="H4070" s="3" t="n">
        <v>20</v>
      </c>
      <c r="I4070" s="3" t="inlineStr"/>
      <c r="J4070" s="2" t="inlineStr">
        <is>
          <t>recarga Prezão R$20 — validade 20 dias</t>
        </is>
      </c>
      <c r="K4070" s="2" t="inlineStr"/>
      <c r="L4070" s="4" t="n">
        <v>8</v>
      </c>
      <c r="M4070" s="2" t="inlineStr"/>
      <c r="N4070" s="2" t="n">
        <v>20</v>
      </c>
      <c r="O4070" s="2" t="inlineStr"/>
      <c r="P4070" s="2" t="inlineStr"/>
      <c r="Q4070" s="2" t="inlineStr"/>
      <c r="R4070" s="2" t="inlineStr"/>
      <c r="S4070" s="2" t="inlineStr"/>
      <c r="T4070" s="2" t="inlineStr"/>
      <c r="U4070" s="2" t="inlineStr">
        <is>
          <t>https://www.claro.com.br/celular/planos-pre/prezao</t>
        </is>
      </c>
      <c r="V4070" s="2" t="inlineStr">
        <is>
          <t>data/raw/claro_prepaid_SP.json</t>
        </is>
      </c>
    </row>
    <row r="4071">
      <c r="A4071" s="5" t="inlineStr">
        <is>
          <t>2026-09-02</t>
        </is>
      </c>
      <c r="B4071" s="5" t="inlineStr">
        <is>
          <t>2026-09-02T19:57:51</t>
        </is>
      </c>
      <c r="C4071" s="5" t="inlineStr">
        <is>
          <t>claro</t>
        </is>
      </c>
      <c r="D4071" s="5" t="inlineStr">
        <is>
          <t>prepaid</t>
        </is>
      </c>
      <c r="E4071" s="5" t="inlineStr">
        <is>
          <t>SP</t>
        </is>
      </c>
      <c r="F4071" s="5" t="inlineStr">
        <is>
          <t>Prezão 9GB (25 dias)</t>
        </is>
      </c>
      <c r="G4071" s="5" t="inlineStr">
        <is>
          <t>claro:prezao-25d-9gb</t>
        </is>
      </c>
      <c r="H4071" s="6" t="n">
        <v>25</v>
      </c>
      <c r="I4071" s="6" t="inlineStr"/>
      <c r="J4071" s="5" t="inlineStr">
        <is>
          <t>recarga Prezão R$25 — validade 25 dias</t>
        </is>
      </c>
      <c r="K4071" s="5" t="inlineStr"/>
      <c r="L4071" s="7" t="n">
        <v>9</v>
      </c>
      <c r="M4071" s="5" t="inlineStr"/>
      <c r="N4071" s="5" t="n">
        <v>25</v>
      </c>
      <c r="O4071" s="5" t="inlineStr"/>
      <c r="P4071" s="5" t="inlineStr"/>
      <c r="Q4071" s="5" t="inlineStr"/>
      <c r="R4071" s="5" t="inlineStr"/>
      <c r="S4071" s="5" t="inlineStr"/>
      <c r="T4071" s="5" t="inlineStr"/>
      <c r="U4071" s="5" t="inlineStr">
        <is>
          <t>https://www.claro.com.br/celular/planos-pre/prezao</t>
        </is>
      </c>
      <c r="V4071" s="5" t="inlineStr">
        <is>
          <t>data/raw/claro_prepaid_SP.json</t>
        </is>
      </c>
    </row>
    <row r="4072">
      <c r="A4072" s="2" t="inlineStr">
        <is>
          <t>2026-09-02</t>
        </is>
      </c>
      <c r="B4072" s="2" t="inlineStr">
        <is>
          <t>2026-09-02T19:57:51</t>
        </is>
      </c>
      <c r="C4072" s="2" t="inlineStr">
        <is>
          <t>tim</t>
        </is>
      </c>
      <c r="D4072" s="2" t="inlineStr">
        <is>
          <t>control</t>
        </is>
      </c>
      <c r="E4072" s="2" t="inlineStr">
        <is>
          <t>SP</t>
        </is>
      </c>
      <c r="F4072" s="2" t="inlineStr">
        <is>
          <t>TIM Controle 45GB</t>
        </is>
      </c>
      <c r="G4072" s="2" t="inlineStr">
        <is>
          <t>tim:182766</t>
        </is>
      </c>
      <c r="H4072" s="3" t="n">
        <v>49.99</v>
      </c>
      <c r="I4072" s="3" t="inlineStr"/>
      <c r="J4072" s="2" t="inlineStr"/>
      <c r="K4072" s="2" t="inlineStr"/>
      <c r="L4072" s="4" t="n">
        <v>45</v>
      </c>
      <c r="M4072" s="2" t="inlineStr"/>
      <c r="N4072" s="2" t="inlineStr"/>
      <c r="O4072" s="2" t="inlineStr"/>
      <c r="P4072" s="2" t="inlineStr"/>
      <c r="Q4072" s="2" t="inlineStr"/>
      <c r="R4072" s="2" t="inlineStr"/>
      <c r="S4072" s="2" t="inlineStr"/>
      <c r="T4072" s="2" t="inlineStr"/>
      <c r="U4072" s="2" t="inlineStr">
        <is>
          <t>https://www.tim.com.br/sp/para-voce/planos/controle</t>
        </is>
      </c>
      <c r="V4072" s="2" t="inlineStr">
        <is>
          <t>data/raw/tim_control_SP.html</t>
        </is>
      </c>
    </row>
    <row r="4073">
      <c r="A4073" s="5" t="inlineStr">
        <is>
          <t>2026-09-02</t>
        </is>
      </c>
      <c r="B4073" s="5" t="inlineStr">
        <is>
          <t>2026-09-02T19:57:51</t>
        </is>
      </c>
      <c r="C4073" s="5" t="inlineStr">
        <is>
          <t>tim</t>
        </is>
      </c>
      <c r="D4073" s="5" t="inlineStr">
        <is>
          <t>control</t>
        </is>
      </c>
      <c r="E4073" s="5" t="inlineStr">
        <is>
          <t>SP</t>
        </is>
      </c>
      <c r="F4073" s="5" t="inlineStr">
        <is>
          <t>TIM Controle Light Express 45GB</t>
        </is>
      </c>
      <c r="G4073" s="5" t="inlineStr">
        <is>
          <t>tim:167726</t>
        </is>
      </c>
      <c r="H4073" s="6" t="n">
        <v>60.99</v>
      </c>
      <c r="I4073" s="6" t="inlineStr"/>
      <c r="J4073" s="5" t="inlineStr"/>
      <c r="K4073" s="5" t="inlineStr"/>
      <c r="L4073" s="7" t="n">
        <v>45</v>
      </c>
      <c r="M4073" s="5" t="inlineStr"/>
      <c r="N4073" s="5" t="inlineStr"/>
      <c r="O4073" s="5" t="inlineStr"/>
      <c r="P4073" s="5" t="inlineStr"/>
      <c r="Q4073" s="5" t="inlineStr"/>
      <c r="R4073" s="5" t="inlineStr"/>
      <c r="S4073" s="5" t="inlineStr"/>
      <c r="T4073" s="5" t="inlineStr"/>
      <c r="U4073" s="5" t="inlineStr">
        <is>
          <t>https://www.tim.com.br/sp/para-voce/planos/controle</t>
        </is>
      </c>
      <c r="V4073" s="5" t="inlineStr">
        <is>
          <t>data/raw/tim_control_SP.html</t>
        </is>
      </c>
    </row>
    <row r="4074">
      <c r="A4074" s="2" t="inlineStr">
        <is>
          <t>2026-09-02</t>
        </is>
      </c>
      <c r="B4074" s="2" t="inlineStr">
        <is>
          <t>2026-09-02T19:57:51</t>
        </is>
      </c>
      <c r="C4074" s="2" t="inlineStr">
        <is>
          <t>tim</t>
        </is>
      </c>
      <c r="D4074" s="2" t="inlineStr">
        <is>
          <t>control</t>
        </is>
      </c>
      <c r="E4074" s="2" t="inlineStr">
        <is>
          <t>SP</t>
        </is>
      </c>
      <c r="F4074" s="2" t="inlineStr">
        <is>
          <t>TIM Controle Premium 55GB</t>
        </is>
      </c>
      <c r="G4074" s="2" t="inlineStr">
        <is>
          <t>tim:180756</t>
        </is>
      </c>
      <c r="H4074" s="3" t="n">
        <v>69.98999999999999</v>
      </c>
      <c r="I4074" s="3" t="inlineStr"/>
      <c r="J4074" s="2" t="inlineStr"/>
      <c r="K4074" s="2" t="inlineStr"/>
      <c r="L4074" s="4" t="n">
        <v>55</v>
      </c>
      <c r="M4074" s="2" t="inlineStr"/>
      <c r="N4074" s="2" t="inlineStr"/>
      <c r="O4074" s="2" t="inlineStr"/>
      <c r="P4074" s="2" t="inlineStr"/>
      <c r="Q4074" s="2" t="inlineStr"/>
      <c r="R4074" s="2" t="inlineStr"/>
      <c r="S4074" s="2" t="inlineStr"/>
      <c r="T4074" s="2" t="inlineStr"/>
      <c r="U4074" s="2" t="inlineStr">
        <is>
          <t>https://www.tim.com.br/sp/para-voce/planos/controle</t>
        </is>
      </c>
      <c r="V4074" s="2" t="inlineStr">
        <is>
          <t>data/raw/tim_control_SP.html</t>
        </is>
      </c>
    </row>
    <row r="4075">
      <c r="A4075" s="5" t="inlineStr">
        <is>
          <t>2026-09-02</t>
        </is>
      </c>
      <c r="B4075" s="5" t="inlineStr">
        <is>
          <t>2026-09-02T19:57:51</t>
        </is>
      </c>
      <c r="C4075" s="5" t="inlineStr">
        <is>
          <t>tim</t>
        </is>
      </c>
      <c r="D4075" s="5" t="inlineStr">
        <is>
          <t>control</t>
        </is>
      </c>
      <c r="E4075" s="5" t="inlineStr">
        <is>
          <t>SP</t>
        </is>
      </c>
      <c r="F4075" s="5" t="inlineStr">
        <is>
          <t>TIM Controle Pro Express 46GB</t>
        </is>
      </c>
      <c r="G4075" s="5" t="inlineStr">
        <is>
          <t>tim:167731</t>
        </is>
      </c>
      <c r="H4075" s="6" t="n">
        <v>64.98999999999999</v>
      </c>
      <c r="I4075" s="6" t="inlineStr"/>
      <c r="J4075" s="5" t="inlineStr"/>
      <c r="K4075" s="5" t="inlineStr"/>
      <c r="L4075" s="7" t="n">
        <v>46</v>
      </c>
      <c r="M4075" s="5" t="inlineStr"/>
      <c r="N4075" s="5" t="inlineStr"/>
      <c r="O4075" s="5" t="inlineStr"/>
      <c r="P4075" s="5" t="inlineStr"/>
      <c r="Q4075" s="5" t="inlineStr"/>
      <c r="R4075" s="5" t="inlineStr"/>
      <c r="S4075" s="5" t="inlineStr"/>
      <c r="T4075" s="5" t="inlineStr"/>
      <c r="U4075" s="5" t="inlineStr">
        <is>
          <t>https://www.tim.com.br/sp/para-voce/planos/controle</t>
        </is>
      </c>
      <c r="V4075" s="5" t="inlineStr">
        <is>
          <t>data/raw/tim_control_SP.html</t>
        </is>
      </c>
    </row>
    <row r="4076">
      <c r="A4076" s="2" t="inlineStr">
        <is>
          <t>2026-09-02</t>
        </is>
      </c>
      <c r="B4076" s="2" t="inlineStr">
        <is>
          <t>2026-09-02T19:57:51</t>
        </is>
      </c>
      <c r="C4076" s="2" t="inlineStr">
        <is>
          <t>tim</t>
        </is>
      </c>
      <c r="D4076" s="2" t="inlineStr">
        <is>
          <t>control</t>
        </is>
      </c>
      <c r="E4076" s="2" t="inlineStr">
        <is>
          <t>SP</t>
        </is>
      </c>
      <c r="F4076" s="2" t="inlineStr">
        <is>
          <t>TIM Controle Redes Sociais 46GB</t>
        </is>
      </c>
      <c r="G4076" s="2" t="inlineStr">
        <is>
          <t>tim:167031</t>
        </is>
      </c>
      <c r="H4076" s="3" t="n">
        <v>59.99</v>
      </c>
      <c r="I4076" s="3" t="inlineStr"/>
      <c r="J4076" s="2" t="inlineStr"/>
      <c r="K4076" s="2" t="inlineStr"/>
      <c r="L4076" s="4" t="n">
        <v>46</v>
      </c>
      <c r="M4076" s="2" t="inlineStr"/>
      <c r="N4076" s="2" t="inlineStr"/>
      <c r="O4076" s="2" t="inlineStr"/>
      <c r="P4076" s="2" t="inlineStr"/>
      <c r="Q4076" s="2" t="inlineStr"/>
      <c r="R4076" s="2" t="inlineStr"/>
      <c r="S4076" s="2" t="inlineStr"/>
      <c r="T4076" s="2" t="inlineStr"/>
      <c r="U4076" s="2" t="inlineStr">
        <is>
          <t>https://www.tim.com.br/sp/para-voce/planos/controle</t>
        </is>
      </c>
      <c r="V4076" s="2" t="inlineStr">
        <is>
          <t>data/raw/tim_control_SP.html</t>
        </is>
      </c>
    </row>
    <row r="4077">
      <c r="A4077" s="5" t="inlineStr">
        <is>
          <t>2026-09-02</t>
        </is>
      </c>
      <c r="B4077" s="5" t="inlineStr">
        <is>
          <t>2026-09-02T19:57:51</t>
        </is>
      </c>
      <c r="C4077" s="5" t="inlineStr">
        <is>
          <t>tim</t>
        </is>
      </c>
      <c r="D4077" s="5" t="inlineStr">
        <is>
          <t>fit</t>
        </is>
      </c>
      <c r="E4077" s="5" t="inlineStr">
        <is>
          <t>SP</t>
        </is>
      </c>
      <c r="F4077" s="5" t="inlineStr">
        <is>
          <t>TIM Controle Fit Anual 1.0</t>
        </is>
      </c>
      <c r="G4077" s="5" t="inlineStr">
        <is>
          <t>tim:TIM202600000306</t>
        </is>
      </c>
      <c r="H4077" s="6" t="n">
        <v>20</v>
      </c>
      <c r="I4077" s="6" t="inlineStr"/>
      <c r="J4077" s="5" t="inlineStr">
        <is>
          <t>plano anual 12x no cartão de crédito; a etiqueta TIM informa 'sem prazo de permanência'</t>
        </is>
      </c>
      <c r="K4077" s="5" t="inlineStr">
        <is>
          <t>credit_card</t>
        </is>
      </c>
      <c r="L4077" s="7" t="n">
        <v>25</v>
      </c>
      <c r="M4077" s="5" t="inlineStr"/>
      <c r="N4077" s="5" t="inlineStr"/>
      <c r="O4077" s="5" t="inlineStr"/>
      <c r="P4077" s="5" t="inlineStr"/>
      <c r="Q4077" s="5" t="inlineStr"/>
      <c r="R4077" s="5" t="inlineStr"/>
      <c r="S4077" s="5" t="n">
        <v>12</v>
      </c>
      <c r="T4077" s="5" t="inlineStr"/>
      <c r="U4077" s="5" t="inlineStr">
        <is>
          <t>https://www.tim.com.br/sp/para-voce/planos/controle</t>
        </is>
      </c>
      <c r="V4077" s="5" t="inlineStr">
        <is>
          <t>data/raw/tim_fit_SP.html</t>
        </is>
      </c>
    </row>
    <row r="4078">
      <c r="A4078" s="2" t="inlineStr">
        <is>
          <t>2026-09-02</t>
        </is>
      </c>
      <c r="B4078" s="2" t="inlineStr">
        <is>
          <t>2026-09-02T19:57:51</t>
        </is>
      </c>
      <c r="C4078" s="2" t="inlineStr">
        <is>
          <t>tim</t>
        </is>
      </c>
      <c r="D4078" s="2" t="inlineStr">
        <is>
          <t>fit</t>
        </is>
      </c>
      <c r="E4078" s="2" t="inlineStr">
        <is>
          <t>SP</t>
        </is>
      </c>
      <c r="F4078" s="2" t="inlineStr">
        <is>
          <t>TIM Controle Fit Anual 2.0</t>
        </is>
      </c>
      <c r="G4078" s="2" t="inlineStr">
        <is>
          <t>tim:TIM202600000271</t>
        </is>
      </c>
      <c r="H4078" s="3" t="n">
        <v>30</v>
      </c>
      <c r="I4078" s="3" t="inlineStr"/>
      <c r="J4078" s="2" t="inlineStr">
        <is>
          <t>plano anual 12x no cartão de crédito; a etiqueta TIM informa 'sem prazo de permanência'</t>
        </is>
      </c>
      <c r="K4078" s="2" t="inlineStr">
        <is>
          <t>credit_card</t>
        </is>
      </c>
      <c r="L4078" s="4" t="n">
        <v>35</v>
      </c>
      <c r="M4078" s="2" t="inlineStr"/>
      <c r="N4078" s="2" t="inlineStr"/>
      <c r="O4078" s="2" t="inlineStr"/>
      <c r="P4078" s="2" t="inlineStr"/>
      <c r="Q4078" s="2" t="inlineStr"/>
      <c r="R4078" s="2" t="inlineStr"/>
      <c r="S4078" s="2" t="n">
        <v>12</v>
      </c>
      <c r="T4078" s="2" t="inlineStr"/>
      <c r="U4078" s="2" t="inlineStr">
        <is>
          <t>https://www.tim.com.br/sp/para-voce/planos/controle</t>
        </is>
      </c>
      <c r="V4078" s="2" t="inlineStr">
        <is>
          <t>data/raw/tim_fit_SP.html</t>
        </is>
      </c>
    </row>
    <row r="4079">
      <c r="A4079" s="5" t="inlineStr">
        <is>
          <t>2026-09-02</t>
        </is>
      </c>
      <c r="B4079" s="5" t="inlineStr">
        <is>
          <t>2026-09-02T19:57:51</t>
        </is>
      </c>
      <c r="C4079" s="5" t="inlineStr">
        <is>
          <t>tim</t>
        </is>
      </c>
      <c r="D4079" s="5" t="inlineStr">
        <is>
          <t>fit</t>
        </is>
      </c>
      <c r="E4079" s="5" t="inlineStr">
        <is>
          <t>SP</t>
        </is>
      </c>
      <c r="F4079" s="5" t="inlineStr">
        <is>
          <t>TIM Controle Fit Mensal 1.0</t>
        </is>
      </c>
      <c r="G4079" s="5" t="inlineStr">
        <is>
          <t>tim:TIM202600000270</t>
        </is>
      </c>
      <c r="H4079" s="6" t="n">
        <v>20</v>
      </c>
      <c r="I4079" s="6" t="inlineStr"/>
      <c r="J4079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079" s="5" t="inlineStr"/>
      <c r="L4079" s="7" t="n">
        <v>20</v>
      </c>
      <c r="M4079" s="5" t="inlineStr"/>
      <c r="N4079" s="5" t="inlineStr"/>
      <c r="O4079" s="5" t="inlineStr"/>
      <c r="P4079" s="5" t="inlineStr"/>
      <c r="Q4079" s="5" t="inlineStr"/>
      <c r="R4079" s="5" t="inlineStr"/>
      <c r="S4079" s="5" t="inlineStr"/>
      <c r="T4079" s="5" t="inlineStr"/>
      <c r="U4079" s="5" t="inlineStr">
        <is>
          <t>https://www.tim.com.br/sp/para-voce/planos/controle</t>
        </is>
      </c>
      <c r="V4079" s="5" t="inlineStr">
        <is>
          <t>data/raw/tim_fit_SP.html</t>
        </is>
      </c>
    </row>
    <row r="4080">
      <c r="A4080" s="2" t="inlineStr">
        <is>
          <t>2026-09-02</t>
        </is>
      </c>
      <c r="B4080" s="2" t="inlineStr">
        <is>
          <t>2026-09-02T19:57:51</t>
        </is>
      </c>
      <c r="C4080" s="2" t="inlineStr">
        <is>
          <t>tim</t>
        </is>
      </c>
      <c r="D4080" s="2" t="inlineStr">
        <is>
          <t>fit</t>
        </is>
      </c>
      <c r="E4080" s="2" t="inlineStr">
        <is>
          <t>SP</t>
        </is>
      </c>
      <c r="F4080" s="2" t="inlineStr">
        <is>
          <t>TIM Controle Fit Mensal 2.0</t>
        </is>
      </c>
      <c r="G4080" s="2" t="inlineStr">
        <is>
          <t>tim:TIM202600000305</t>
        </is>
      </c>
      <c r="H4080" s="3" t="n">
        <v>45</v>
      </c>
      <c r="I4080" s="3" t="inlineStr"/>
      <c r="J4080" s="2" t="inlineStr">
        <is>
          <t>plano mensal, sem prazo de permanência; a etiqueta TIM informa 'sem prazo de permanência'</t>
        </is>
      </c>
      <c r="K4080" s="2" t="inlineStr"/>
      <c r="L4080" s="4" t="n">
        <v>35</v>
      </c>
      <c r="M4080" s="2" t="inlineStr"/>
      <c r="N4080" s="2" t="inlineStr"/>
      <c r="O4080" s="2" t="inlineStr"/>
      <c r="P4080" s="2" t="inlineStr"/>
      <c r="Q4080" s="2" t="inlineStr"/>
      <c r="R4080" s="2" t="inlineStr"/>
      <c r="S4080" s="2" t="inlineStr"/>
      <c r="T4080" s="2" t="inlineStr"/>
      <c r="U4080" s="2" t="inlineStr">
        <is>
          <t>https://www.tim.com.br/sp/para-voce/planos/controle</t>
        </is>
      </c>
      <c r="V4080" s="2" t="inlineStr">
        <is>
          <t>data/raw/tim_fit_SP.html</t>
        </is>
      </c>
    </row>
    <row r="4081">
      <c r="A4081" s="5" t="inlineStr">
        <is>
          <t>2026-09-02</t>
        </is>
      </c>
      <c r="B4081" s="5" t="inlineStr">
        <is>
          <t>2026-09-02T19:57:51</t>
        </is>
      </c>
      <c r="C4081" s="5" t="inlineStr">
        <is>
          <t>tim</t>
        </is>
      </c>
      <c r="D4081" s="5" t="inlineStr">
        <is>
          <t>postpaid</t>
        </is>
      </c>
      <c r="E4081" s="5" t="inlineStr">
        <is>
          <t>SP</t>
        </is>
      </c>
      <c r="F4081" s="5" t="inlineStr">
        <is>
          <t>TIM Black 70GB</t>
        </is>
      </c>
      <c r="G4081" s="5" t="inlineStr">
        <is>
          <t>tim:54206</t>
        </is>
      </c>
      <c r="H4081" s="6" t="n">
        <v>129.99</v>
      </c>
      <c r="I4081" s="6" t="inlineStr"/>
      <c r="J4081" s="5" t="inlineStr"/>
      <c r="K4081" s="5" t="inlineStr">
        <is>
          <t>bill</t>
        </is>
      </c>
      <c r="L4081" s="7" t="n">
        <v>70</v>
      </c>
      <c r="M4081" s="5" t="inlineStr"/>
      <c r="N4081" s="5" t="inlineStr"/>
      <c r="O4081" s="5" t="inlineStr"/>
      <c r="P4081" s="5" t="inlineStr"/>
      <c r="Q4081" s="5" t="inlineStr"/>
      <c r="R4081" s="5" t="inlineStr"/>
      <c r="S4081" s="5" t="inlineStr"/>
      <c r="T4081" s="5" t="inlineStr"/>
      <c r="U4081" s="5" t="inlineStr">
        <is>
          <t>https://www.tim.com.br/sp/para-voce/planos/pos-pago/tim-black</t>
        </is>
      </c>
      <c r="V4081" s="5" t="inlineStr">
        <is>
          <t>data/raw/tim_postpaid_SP.html</t>
        </is>
      </c>
    </row>
    <row r="4082">
      <c r="A4082" s="2" t="inlineStr">
        <is>
          <t>2026-09-02</t>
        </is>
      </c>
      <c r="B4082" s="2" t="inlineStr">
        <is>
          <t>2026-09-02T19:57:51</t>
        </is>
      </c>
      <c r="C4082" s="2" t="inlineStr">
        <is>
          <t>tim</t>
        </is>
      </c>
      <c r="D4082" s="2" t="inlineStr">
        <is>
          <t>postpaid</t>
        </is>
      </c>
      <c r="E4082" s="2" t="inlineStr">
        <is>
          <t>SP</t>
        </is>
      </c>
      <c r="F4082" s="2" t="inlineStr">
        <is>
          <t>TIM Black B Express 82GB</t>
        </is>
      </c>
      <c r="G4082" s="2" t="inlineStr">
        <is>
          <t>tim:52146</t>
        </is>
      </c>
      <c r="H4082" s="3" t="n">
        <v>144.99</v>
      </c>
      <c r="I4082" s="3" t="inlineStr"/>
      <c r="J4082" s="2" t="inlineStr"/>
      <c r="K4082" s="2" t="inlineStr">
        <is>
          <t>credit_card</t>
        </is>
      </c>
      <c r="L4082" s="4" t="n">
        <v>82</v>
      </c>
      <c r="M4082" s="2" t="inlineStr"/>
      <c r="N4082" s="2" t="inlineStr"/>
      <c r="O4082" s="2" t="inlineStr"/>
      <c r="P4082" s="2" t="inlineStr"/>
      <c r="Q4082" s="2" t="inlineStr"/>
      <c r="R4082" s="2" t="inlineStr"/>
      <c r="S4082" s="2" t="inlineStr"/>
      <c r="T4082" s="2" t="inlineStr"/>
      <c r="U4082" s="2" t="inlineStr">
        <is>
          <t>https://www.tim.com.br/sp/para-voce/planos/pos-pago/tim-black</t>
        </is>
      </c>
      <c r="V4082" s="2" t="inlineStr">
        <is>
          <t>data/raw/tim_postpaid_SP.html</t>
        </is>
      </c>
    </row>
    <row r="4083">
      <c r="A4083" s="5" t="inlineStr">
        <is>
          <t>2026-09-02</t>
        </is>
      </c>
      <c r="B4083" s="5" t="inlineStr">
        <is>
          <t>2026-09-02T19:57:51</t>
        </is>
      </c>
      <c r="C4083" s="5" t="inlineStr">
        <is>
          <t>tim</t>
        </is>
      </c>
      <c r="D4083" s="5" t="inlineStr">
        <is>
          <t>postpaid</t>
        </is>
      </c>
      <c r="E4083" s="5" t="inlineStr">
        <is>
          <t>SP</t>
        </is>
      </c>
      <c r="F4083" s="5" t="inlineStr">
        <is>
          <t>TIM Black C Express 107GB</t>
        </is>
      </c>
      <c r="G4083" s="5" t="inlineStr">
        <is>
          <t>tim:52151</t>
        </is>
      </c>
      <c r="H4083" s="6" t="n">
        <v>164.99</v>
      </c>
      <c r="I4083" s="6" t="inlineStr"/>
      <c r="J4083" s="5" t="inlineStr"/>
      <c r="K4083" s="5" t="inlineStr">
        <is>
          <t>credit_card</t>
        </is>
      </c>
      <c r="L4083" s="7" t="n">
        <v>107</v>
      </c>
      <c r="M4083" s="5" t="inlineStr"/>
      <c r="N4083" s="5" t="inlineStr"/>
      <c r="O4083" s="5" t="inlineStr"/>
      <c r="P4083" s="5" t="inlineStr"/>
      <c r="Q4083" s="5" t="inlineStr"/>
      <c r="R4083" s="5" t="inlineStr"/>
      <c r="S4083" s="5" t="inlineStr"/>
      <c r="T4083" s="5" t="inlineStr"/>
      <c r="U4083" s="5" t="inlineStr">
        <is>
          <t>https://www.tim.com.br/sp/para-voce/planos/pos-pago/tim-black</t>
        </is>
      </c>
      <c r="V4083" s="5" t="inlineStr">
        <is>
          <t>data/raw/tim_postpaid_SP.html</t>
        </is>
      </c>
    </row>
    <row r="4084">
      <c r="A4084" s="2" t="inlineStr">
        <is>
          <t>2026-09-02</t>
        </is>
      </c>
      <c r="B4084" s="2" t="inlineStr">
        <is>
          <t>2026-09-02T19:57:51</t>
        </is>
      </c>
      <c r="C4084" s="2" t="inlineStr">
        <is>
          <t>tim</t>
        </is>
      </c>
      <c r="D4084" s="2" t="inlineStr">
        <is>
          <t>postpaid</t>
        </is>
      </c>
      <c r="E4084" s="2" t="inlineStr">
        <is>
          <t>SP</t>
        </is>
      </c>
      <c r="F4084" s="2" t="inlineStr">
        <is>
          <t>TIM Black Plus 80GB</t>
        </is>
      </c>
      <c r="G4084" s="2" t="inlineStr">
        <is>
          <t>tim:54256</t>
        </is>
      </c>
      <c r="H4084" s="3" t="n">
        <v>149.99</v>
      </c>
      <c r="I4084" s="3" t="inlineStr"/>
      <c r="J4084" s="2" t="inlineStr"/>
      <c r="K4084" s="2" t="inlineStr">
        <is>
          <t>bill</t>
        </is>
      </c>
      <c r="L4084" s="4" t="n">
        <v>80</v>
      </c>
      <c r="M4084" s="2" t="inlineStr"/>
      <c r="N4084" s="2" t="inlineStr"/>
      <c r="O4084" s="2" t="inlineStr"/>
      <c r="P4084" s="2" t="inlineStr"/>
      <c r="Q4084" s="2" t="inlineStr"/>
      <c r="R4084" s="2" t="inlineStr"/>
      <c r="S4084" s="2" t="inlineStr"/>
      <c r="T4084" s="2" t="inlineStr"/>
      <c r="U4084" s="2" t="inlineStr">
        <is>
          <t>https://www.tim.com.br/sp/para-voce/planos/pos-pago/tim-black</t>
        </is>
      </c>
      <c r="V4084" s="2" t="inlineStr">
        <is>
          <t>data/raw/tim_postpaid_SP.html</t>
        </is>
      </c>
    </row>
    <row r="4085">
      <c r="A4085" s="5" t="inlineStr">
        <is>
          <t>2026-09-02</t>
        </is>
      </c>
      <c r="B4085" s="5" t="inlineStr">
        <is>
          <t>2026-09-02T19:57:51</t>
        </is>
      </c>
      <c r="C4085" s="5" t="inlineStr">
        <is>
          <t>tim</t>
        </is>
      </c>
      <c r="D4085" s="5" t="inlineStr">
        <is>
          <t>postpaid</t>
        </is>
      </c>
      <c r="E4085" s="5" t="inlineStr">
        <is>
          <t>SP</t>
        </is>
      </c>
      <c r="F4085" s="5" t="inlineStr">
        <is>
          <t>TIM Black Premium 110GB</t>
        </is>
      </c>
      <c r="G4085" s="5" t="inlineStr">
        <is>
          <t>tim:54261</t>
        </is>
      </c>
      <c r="H4085" s="6" t="n">
        <v>159.99</v>
      </c>
      <c r="I4085" s="6" t="inlineStr"/>
      <c r="J4085" s="5" t="inlineStr"/>
      <c r="K4085" s="5" t="inlineStr">
        <is>
          <t>bill</t>
        </is>
      </c>
      <c r="L4085" s="7" t="n">
        <v>110</v>
      </c>
      <c r="M4085" s="5" t="inlineStr"/>
      <c r="N4085" s="5" t="inlineStr"/>
      <c r="O4085" s="5" t="inlineStr"/>
      <c r="P4085" s="5" t="inlineStr"/>
      <c r="Q4085" s="5" t="inlineStr"/>
      <c r="R4085" s="5" t="inlineStr"/>
      <c r="S4085" s="5" t="inlineStr"/>
      <c r="T4085" s="5" t="inlineStr"/>
      <c r="U4085" s="5" t="inlineStr">
        <is>
          <t>https://www.tim.com.br/sp/para-voce/planos/pos-pago/tim-black</t>
        </is>
      </c>
      <c r="V4085" s="5" t="inlineStr">
        <is>
          <t>data/raw/tim_postpaid_SP.html</t>
        </is>
      </c>
    </row>
    <row r="4086">
      <c r="A4086" s="2" t="inlineStr">
        <is>
          <t>2026-09-02</t>
        </is>
      </c>
      <c r="B4086" s="2" t="inlineStr">
        <is>
          <t>2026-09-02T19:57:51</t>
        </is>
      </c>
      <c r="C4086" s="2" t="inlineStr">
        <is>
          <t>tim</t>
        </is>
      </c>
      <c r="D4086" s="2" t="inlineStr">
        <is>
          <t>prepaid</t>
        </is>
      </c>
      <c r="E4086" s="2" t="inlineStr">
        <is>
          <t>SP</t>
        </is>
      </c>
      <c r="F4086" s="2" t="inlineStr">
        <is>
          <t>TIM Pré XIP Plus 16GB</t>
        </is>
      </c>
      <c r="G4086" s="2" t="inlineStr">
        <is>
          <t>tim:106306</t>
        </is>
      </c>
      <c r="H4086" s="3" t="n">
        <v>30</v>
      </c>
      <c r="I4086" s="3" t="inlineStr"/>
      <c r="J4086" s="2" t="inlineStr"/>
      <c r="K4086" s="2" t="inlineStr"/>
      <c r="L4086" s="4" t="n">
        <v>16</v>
      </c>
      <c r="M4086" s="2" t="inlineStr"/>
      <c r="N4086" s="2" t="n">
        <v>30</v>
      </c>
      <c r="O4086" s="2" t="inlineStr"/>
      <c r="P4086" s="2" t="inlineStr"/>
      <c r="Q4086" s="2" t="inlineStr"/>
      <c r="R4086" s="2" t="inlineStr"/>
      <c r="S4086" s="2" t="inlineStr"/>
      <c r="T4086" s="2" t="inlineStr"/>
      <c r="U4086" s="2" t="inlineStr">
        <is>
          <t>https://www.tim.com.br/sp/para-voce/planos/pre-pago</t>
        </is>
      </c>
      <c r="V4086" s="2" t="inlineStr">
        <is>
          <t>data/raw/tim_prepaid_SP.html</t>
        </is>
      </c>
    </row>
    <row r="4087">
      <c r="A4087" s="5" t="inlineStr">
        <is>
          <t>2026-09-02</t>
        </is>
      </c>
      <c r="B4087" s="5" t="inlineStr">
        <is>
          <t>2026-09-02T19:57:51</t>
        </is>
      </c>
      <c r="C4087" s="5" t="inlineStr">
        <is>
          <t>tim</t>
        </is>
      </c>
      <c r="D4087" s="5" t="inlineStr">
        <is>
          <t>prepaid</t>
        </is>
      </c>
      <c r="E4087" s="5" t="inlineStr">
        <is>
          <t>SP</t>
        </is>
      </c>
      <c r="F4087" s="5" t="inlineStr">
        <is>
          <t>TIM Pré XIP Plus 6GB</t>
        </is>
      </c>
      <c r="G4087" s="5" t="inlineStr">
        <is>
          <t>tim:59906</t>
        </is>
      </c>
      <c r="H4087" s="6" t="n">
        <v>20</v>
      </c>
      <c r="I4087" s="6" t="inlineStr"/>
      <c r="J4087" s="5" t="inlineStr"/>
      <c r="K4087" s="5" t="inlineStr"/>
      <c r="L4087" s="7" t="n">
        <v>6</v>
      </c>
      <c r="M4087" s="5" t="inlineStr"/>
      <c r="N4087" s="5" t="n">
        <v>17</v>
      </c>
      <c r="O4087" s="5" t="inlineStr"/>
      <c r="P4087" s="5" t="inlineStr"/>
      <c r="Q4087" s="5" t="inlineStr"/>
      <c r="R4087" s="5" t="inlineStr"/>
      <c r="S4087" s="5" t="inlineStr"/>
      <c r="T4087" s="5" t="inlineStr"/>
      <c r="U4087" s="5" t="inlineStr">
        <is>
          <t>https://www.tim.com.br/sp/para-voce/planos/pre-pago</t>
        </is>
      </c>
      <c r="V4087" s="5" t="inlineStr">
        <is>
          <t>data/raw/tim_prepaid_SP.html</t>
        </is>
      </c>
    </row>
    <row r="4088">
      <c r="A4088" s="2" t="inlineStr">
        <is>
          <t>2026-09-02</t>
        </is>
      </c>
      <c r="B4088" s="2" t="inlineStr">
        <is>
          <t>2026-09-02T19:57:51</t>
        </is>
      </c>
      <c r="C4088" s="2" t="inlineStr">
        <is>
          <t>tim</t>
        </is>
      </c>
      <c r="D4088" s="2" t="inlineStr">
        <is>
          <t>prepaid</t>
        </is>
      </c>
      <c r="E4088" s="2" t="inlineStr">
        <is>
          <t>SP</t>
        </is>
      </c>
      <c r="F4088" s="2" t="inlineStr">
        <is>
          <t>TIM Pré XIP Plus 8GB</t>
        </is>
      </c>
      <c r="G4088" s="2" t="inlineStr">
        <is>
          <t>tim:59901</t>
        </is>
      </c>
      <c r="H4088" s="3" t="n">
        <v>25</v>
      </c>
      <c r="I4088" s="3" t="inlineStr"/>
      <c r="J4088" s="2" t="inlineStr"/>
      <c r="K4088" s="2" t="inlineStr"/>
      <c r="L4088" s="4" t="n">
        <v>8</v>
      </c>
      <c r="M4088" s="2" t="inlineStr"/>
      <c r="N4088" s="2" t="n">
        <v>22</v>
      </c>
      <c r="O4088" s="2" t="inlineStr"/>
      <c r="P4088" s="2" t="inlineStr"/>
      <c r="Q4088" s="2" t="inlineStr"/>
      <c r="R4088" s="2" t="inlineStr"/>
      <c r="S4088" s="2" t="inlineStr"/>
      <c r="T4088" s="2" t="inlineStr"/>
      <c r="U4088" s="2" t="inlineStr">
        <is>
          <t>https://www.tim.com.br/sp/para-voce/planos/pre-pago</t>
        </is>
      </c>
      <c r="V4088" s="2" t="inlineStr">
        <is>
          <t>data/raw/tim_prepaid_SP.html</t>
        </is>
      </c>
    </row>
    <row r="4089">
      <c r="A4089" s="5" t="inlineStr">
        <is>
          <t>2026-09-02</t>
        </is>
      </c>
      <c r="B4089" s="5" t="inlineStr">
        <is>
          <t>2026-09-02T19:57:51</t>
        </is>
      </c>
      <c r="C4089" s="5" t="inlineStr">
        <is>
          <t>vivo</t>
        </is>
      </c>
      <c r="D4089" s="5" t="inlineStr">
        <is>
          <t>control</t>
        </is>
      </c>
      <c r="E4089" s="5" t="inlineStr">
        <is>
          <t>SP</t>
        </is>
      </c>
      <c r="F4089" s="5" t="inlineStr">
        <is>
          <t>Vivo Controle</t>
        </is>
      </c>
      <c r="G4089" s="5" t="inlineStr">
        <is>
          <t>vivo:VIV202600034591</t>
        </is>
      </c>
      <c r="H4089" s="6" t="n">
        <v>59</v>
      </c>
      <c r="I4089" s="6" t="inlineStr"/>
      <c r="J4089" s="5" t="inlineStr"/>
      <c r="K4089" s="5" t="inlineStr"/>
      <c r="L4089" s="7" t="n">
        <v>45</v>
      </c>
      <c r="M4089" s="5" t="inlineStr">
        <is>
          <t>15 GB de franquia 30 GB de bônus</t>
        </is>
      </c>
      <c r="N4089" s="5" t="inlineStr"/>
      <c r="O4089" s="5" t="inlineStr"/>
      <c r="P4089" s="5" t="inlineStr"/>
      <c r="Q4089" s="5" t="inlineStr"/>
      <c r="R4089" s="5" t="inlineStr"/>
      <c r="S4089" s="5" t="inlineStr"/>
      <c r="T4089" s="5" t="inlineStr">
        <is>
          <t>6 meses grátis de Gemini com AI Plus</t>
        </is>
      </c>
      <c r="U4089" s="5" t="inlineStr">
        <is>
          <t>https://vivo.com.br/para-voce/produtos-e-servicos/para-o-celular/planos-controle</t>
        </is>
      </c>
      <c r="V4089" s="5" t="inlineStr">
        <is>
          <t>data/raw/vivo_control_SP.html</t>
        </is>
      </c>
    </row>
    <row r="4090">
      <c r="A4090" s="2" t="inlineStr">
        <is>
          <t>2026-09-02</t>
        </is>
      </c>
      <c r="B4090" s="2" t="inlineStr">
        <is>
          <t>2026-09-02T19:57:51</t>
        </is>
      </c>
      <c r="C4090" s="2" t="inlineStr">
        <is>
          <t>vivo</t>
        </is>
      </c>
      <c r="D4090" s="2" t="inlineStr">
        <is>
          <t>control</t>
        </is>
      </c>
      <c r="E4090" s="2" t="inlineStr">
        <is>
          <t>SP</t>
        </is>
      </c>
      <c r="F4090" s="2" t="inlineStr">
        <is>
          <t>Vivo Controle</t>
        </is>
      </c>
      <c r="G4090" s="2" t="inlineStr">
        <is>
          <t>vivo:VIV202600034599</t>
        </is>
      </c>
      <c r="H4090" s="3" t="n">
        <v>75</v>
      </c>
      <c r="I4090" s="3" t="inlineStr"/>
      <c r="J4090" s="2" t="inlineStr">
        <is>
          <t>preço-base do plano; a tela exibia R$ 80 com o adicional pré-selecionado (+R$ 5/mês, opcional); 60 GB na tela incluem +10 GB do adicional</t>
        </is>
      </c>
      <c r="K4090" s="2" t="inlineStr"/>
      <c r="L4090" s="4" t="n">
        <v>50</v>
      </c>
      <c r="M4090" s="2" t="inlineStr">
        <is>
          <t>20 GB de franquia 30 GB de bônus</t>
        </is>
      </c>
      <c r="N4090" s="2" t="inlineStr"/>
      <c r="O4090" s="2" t="inlineStr"/>
      <c r="P4090" s="2" t="inlineStr"/>
      <c r="Q4090" s="2" t="inlineStr"/>
      <c r="R4090" s="2" t="inlineStr"/>
      <c r="S4090" s="2" t="inlineStr"/>
      <c r="T4090" s="2" t="inlineStr">
        <is>
          <t>6 meses grátis de Gemini com AI Plus</t>
        </is>
      </c>
      <c r="U4090" s="2" t="inlineStr">
        <is>
          <t>https://vivo.com.br/para-voce/produtos-e-servicos/para-o-celular/planos-controle</t>
        </is>
      </c>
      <c r="V4090" s="2" t="inlineStr">
        <is>
          <t>data/raw/vivo_control_SP.html</t>
        </is>
      </c>
    </row>
    <row r="4091">
      <c r="A4091" s="5" t="inlineStr">
        <is>
          <t>2026-09-02</t>
        </is>
      </c>
      <c r="B4091" s="5" t="inlineStr">
        <is>
          <t>2026-09-02T19:57:51</t>
        </is>
      </c>
      <c r="C4091" s="5" t="inlineStr">
        <is>
          <t>vivo</t>
        </is>
      </c>
      <c r="D4091" s="5" t="inlineStr">
        <is>
          <t>control</t>
        </is>
      </c>
      <c r="E4091" s="5" t="inlineStr">
        <is>
          <t>SP</t>
        </is>
      </c>
      <c r="F4091" s="5" t="inlineStr">
        <is>
          <t>Vivo Controle Amazon</t>
        </is>
      </c>
      <c r="G4091" s="5" t="inlineStr">
        <is>
          <t>vivo:VIV202600038804</t>
        </is>
      </c>
      <c r="H4091" s="6" t="n">
        <v>70</v>
      </c>
      <c r="I4091" s="6" t="inlineStr"/>
      <c r="J4091" s="5" t="inlineStr">
        <is>
          <t>preço-base do plano; a tela exibia R$ 75 com o adicional pré-selecionado (+R$ 5/mês, opcional); 58 GB na tela incluem +10 GB do adicional</t>
        </is>
      </c>
      <c r="K4091" s="5" t="inlineStr"/>
      <c r="L4091" s="7" t="n">
        <v>48</v>
      </c>
      <c r="M4091" s="5" t="inlineStr">
        <is>
          <t>18 GB de franquia 30 GB de bônus</t>
        </is>
      </c>
      <c r="N4091" s="5" t="inlineStr"/>
      <c r="O4091" s="5" t="inlineStr"/>
      <c r="P4091" s="5" t="inlineStr"/>
      <c r="Q4091" s="5" t="inlineStr"/>
      <c r="R4091" s="5" t="inlineStr"/>
      <c r="S4091" s="5" t="inlineStr"/>
      <c r="T4091" s="5" t="inlineStr">
        <is>
          <t>Assinatura Amazon Prime inclusa</t>
        </is>
      </c>
      <c r="U4091" s="5" t="inlineStr">
        <is>
          <t>https://vivo.com.br/para-voce/produtos-e-servicos/para-o-celular/planos-controle</t>
        </is>
      </c>
      <c r="V4091" s="5" t="inlineStr">
        <is>
          <t>data/raw/vivo_control_SP.html</t>
        </is>
      </c>
    </row>
    <row r="4092">
      <c r="A4092" s="2" t="inlineStr">
        <is>
          <t>2026-09-02</t>
        </is>
      </c>
      <c r="B4092" s="2" t="inlineStr">
        <is>
          <t>2026-09-02T19:57:51</t>
        </is>
      </c>
      <c r="C4092" s="2" t="inlineStr">
        <is>
          <t>vivo</t>
        </is>
      </c>
      <c r="D4092" s="2" t="inlineStr">
        <is>
          <t>control</t>
        </is>
      </c>
      <c r="E4092" s="2" t="inlineStr">
        <is>
          <t>SP</t>
        </is>
      </c>
      <c r="F4092" s="2" t="inlineStr">
        <is>
          <t>Vivo Controle Educação</t>
        </is>
      </c>
      <c r="G4092" s="2" t="inlineStr">
        <is>
          <t>vivo:VIV202600034616</t>
        </is>
      </c>
      <c r="H4092" s="3" t="n">
        <v>85</v>
      </c>
      <c r="I4092" s="3" t="inlineStr"/>
      <c r="J4092" s="2" t="inlineStr">
        <is>
          <t>preço-base do plano; a tela exibia R$ 90 com o adicional pré-selecionado (+R$ 5/mês, opcional); 60 GB na tela incluem +10 GB do adicional</t>
        </is>
      </c>
      <c r="K4092" s="2" t="inlineStr"/>
      <c r="L4092" s="4" t="n">
        <v>50</v>
      </c>
      <c r="M4092" s="2" t="inlineStr">
        <is>
          <t>20 GB de franquia 30 GB de bônus</t>
        </is>
      </c>
      <c r="N4092" s="2" t="inlineStr"/>
      <c r="O4092" s="2" t="inlineStr"/>
      <c r="P4092" s="2" t="inlineStr"/>
      <c r="Q4092" s="2" t="inlineStr"/>
      <c r="R4092" s="2" t="inlineStr"/>
      <c r="S4092" s="2" t="inlineStr"/>
      <c r="T4092" s="2" t="inlineStr">
        <is>
          <t>Assinatura Vivae inclusa</t>
        </is>
      </c>
      <c r="U4092" s="2" t="inlineStr">
        <is>
          <t>https://vivo.com.br/para-voce/produtos-e-servicos/para-o-celular/planos-controle</t>
        </is>
      </c>
      <c r="V4092" s="2" t="inlineStr">
        <is>
          <t>data/raw/vivo_control_SP.html</t>
        </is>
      </c>
    </row>
    <row r="4093">
      <c r="A4093" s="5" t="inlineStr">
        <is>
          <t>2026-09-02</t>
        </is>
      </c>
      <c r="B4093" s="5" t="inlineStr">
        <is>
          <t>2026-09-02T19:57:51</t>
        </is>
      </c>
      <c r="C4093" s="5" t="inlineStr">
        <is>
          <t>vivo</t>
        </is>
      </c>
      <c r="D4093" s="5" t="inlineStr">
        <is>
          <t>control</t>
        </is>
      </c>
      <c r="E4093" s="5" t="inlineStr">
        <is>
          <t>SP</t>
        </is>
      </c>
      <c r="F4093" s="5" t="inlineStr">
        <is>
          <t>Vivo Controle Entretenimento</t>
        </is>
      </c>
      <c r="G4093" s="5" t="inlineStr">
        <is>
          <t>vivo:VIV202600034619</t>
        </is>
      </c>
      <c r="H4093" s="6" t="n">
        <v>105</v>
      </c>
      <c r="I4093" s="6" t="inlineStr"/>
      <c r="J4093" s="5" t="inlineStr">
        <is>
          <t>preço-base do plano; a tela exibia R$ 110 com o adicional pré-selecionado (+R$ 5/mês, opcional); 60 GB na tela incluem +10 GB do adicional</t>
        </is>
      </c>
      <c r="K4093" s="5" t="inlineStr"/>
      <c r="L4093" s="7" t="n">
        <v>50</v>
      </c>
      <c r="M4093" s="5" t="inlineStr">
        <is>
          <t>20 GB de franquia 30 GB de bônus</t>
        </is>
      </c>
      <c r="N4093" s="5" t="inlineStr"/>
      <c r="O4093" s="5" t="inlineStr"/>
      <c r="P4093" s="5" t="inlineStr"/>
      <c r="Q4093" s="5" t="inlineStr"/>
      <c r="R4093" s="5" t="inlineStr"/>
      <c r="S4093" s="5" t="inlineStr"/>
      <c r="T4093" s="5" t="inlineStr">
        <is>
          <t>Assinatura Vivo TV Inicial inclusa</t>
        </is>
      </c>
      <c r="U4093" s="5" t="inlineStr">
        <is>
          <t>https://vivo.com.br/para-voce/produtos-e-servicos/para-o-celular/planos-controle</t>
        </is>
      </c>
      <c r="V4093" s="5" t="inlineStr">
        <is>
          <t>data/raw/vivo_control_SP.html</t>
        </is>
      </c>
    </row>
    <row r="4094">
      <c r="A4094" s="2" t="inlineStr">
        <is>
          <t>2026-09-02</t>
        </is>
      </c>
      <c r="B4094" s="2" t="inlineStr">
        <is>
          <t>2026-09-02T19:57:51</t>
        </is>
      </c>
      <c r="C4094" s="2" t="inlineStr">
        <is>
          <t>vivo</t>
        </is>
      </c>
      <c r="D4094" s="2" t="inlineStr">
        <is>
          <t>control</t>
        </is>
      </c>
      <c r="E4094" s="2" t="inlineStr">
        <is>
          <t>SP</t>
        </is>
      </c>
      <c r="F4094" s="2" t="inlineStr">
        <is>
          <t>Vivo Controle Música</t>
        </is>
      </c>
      <c r="G4094" s="2" t="inlineStr">
        <is>
          <t>vivo:VIV202600034620</t>
        </is>
      </c>
      <c r="H4094" s="3" t="n">
        <v>85</v>
      </c>
      <c r="I4094" s="3" t="inlineStr"/>
      <c r="J4094" s="2" t="inlineStr">
        <is>
          <t>preço-base do plano; a tela exibia R$ 90 com o adicional pré-selecionado (+R$ 5/mês, opcional); 60 GB na tela incluem +10 GB do adicional</t>
        </is>
      </c>
      <c r="K4094" s="2" t="inlineStr"/>
      <c r="L4094" s="4" t="n">
        <v>50</v>
      </c>
      <c r="M4094" s="2" t="inlineStr">
        <is>
          <t>20 GB de franquia 30 GB de bônus</t>
        </is>
      </c>
      <c r="N4094" s="2" t="inlineStr"/>
      <c r="O4094" s="2" t="inlineStr"/>
      <c r="P4094" s="2" t="inlineStr"/>
      <c r="Q4094" s="2" t="inlineStr"/>
      <c r="R4094" s="2" t="inlineStr"/>
      <c r="S4094" s="2" t="inlineStr"/>
      <c r="T4094" s="2" t="inlineStr">
        <is>
          <t>Apple Music Individual</t>
        </is>
      </c>
      <c r="U4094" s="2" t="inlineStr">
        <is>
          <t>https://vivo.com.br/para-voce/produtos-e-servicos/para-o-celular/planos-controle</t>
        </is>
      </c>
      <c r="V4094" s="2" t="inlineStr">
        <is>
          <t>data/raw/vivo_control_SP.html</t>
        </is>
      </c>
    </row>
    <row r="4095">
      <c r="A4095" s="5" t="inlineStr">
        <is>
          <t>2026-09-02</t>
        </is>
      </c>
      <c r="B4095" s="5" t="inlineStr">
        <is>
          <t>2026-09-02T19:57:51</t>
        </is>
      </c>
      <c r="C4095" s="5" t="inlineStr">
        <is>
          <t>vivo</t>
        </is>
      </c>
      <c r="D4095" s="5" t="inlineStr">
        <is>
          <t>control</t>
        </is>
      </c>
      <c r="E4095" s="5" t="inlineStr">
        <is>
          <t>SP</t>
        </is>
      </c>
      <c r="F4095" s="5" t="inlineStr">
        <is>
          <t>Vivo Controle Netflix</t>
        </is>
      </c>
      <c r="G4095" s="5" t="inlineStr">
        <is>
          <t>vivo:VIV202600034623</t>
        </is>
      </c>
      <c r="H4095" s="6" t="n">
        <v>90</v>
      </c>
      <c r="I4095" s="6" t="inlineStr"/>
      <c r="J4095" s="5" t="inlineStr">
        <is>
          <t>preço-base do plano; a tela exibia R$ 95 com o adicional pré-selecionado (+R$ 5/mês, opcional); 60 GB na tela incluem +10 GB do adicional</t>
        </is>
      </c>
      <c r="K4095" s="5" t="inlineStr"/>
      <c r="L4095" s="7" t="n">
        <v>50</v>
      </c>
      <c r="M4095" s="5" t="inlineStr">
        <is>
          <t>20 GB de franquia 30 GB de bônus</t>
        </is>
      </c>
      <c r="N4095" s="5" t="inlineStr"/>
      <c r="O4095" s="5" t="inlineStr"/>
      <c r="P4095" s="5" t="inlineStr"/>
      <c r="Q4095" s="5" t="inlineStr"/>
      <c r="R4095" s="5" t="inlineStr"/>
      <c r="S4095" s="5" t="inlineStr"/>
      <c r="T4095" s="5" t="inlineStr">
        <is>
          <t>Assinatura Netflix Padrão com anúncios</t>
        </is>
      </c>
      <c r="U4095" s="5" t="inlineStr">
        <is>
          <t>https://vivo.com.br/para-voce/produtos-e-servicos/para-o-celular/planos-controle</t>
        </is>
      </c>
      <c r="V4095" s="5" t="inlineStr">
        <is>
          <t>data/raw/vivo_control_SP.html</t>
        </is>
      </c>
    </row>
    <row r="4096">
      <c r="A4096" s="2" t="inlineStr">
        <is>
          <t>2026-09-02</t>
        </is>
      </c>
      <c r="B4096" s="2" t="inlineStr">
        <is>
          <t>2026-09-02T19:57:51</t>
        </is>
      </c>
      <c r="C4096" s="2" t="inlineStr">
        <is>
          <t>vivo</t>
        </is>
      </c>
      <c r="D4096" s="2" t="inlineStr">
        <is>
          <t>control</t>
        </is>
      </c>
      <c r="E4096" s="2" t="inlineStr">
        <is>
          <t>SP</t>
        </is>
      </c>
      <c r="F4096" s="2" t="inlineStr">
        <is>
          <t>Vivo Controle Saúde</t>
        </is>
      </c>
      <c r="G4096" s="2" t="inlineStr">
        <is>
          <t>vivo:VIV202600034625</t>
        </is>
      </c>
      <c r="H4096" s="3" t="n">
        <v>85</v>
      </c>
      <c r="I4096" s="3" t="inlineStr"/>
      <c r="J4096" s="2" t="inlineStr">
        <is>
          <t>preço-base do plano; a tela exibia R$ 90 com o adicional pré-selecionado (+R$ 5/mês, opcional); 60 GB na tela incluem +10 GB do adicional</t>
        </is>
      </c>
      <c r="K4096" s="2" t="inlineStr"/>
      <c r="L4096" s="4" t="n">
        <v>50</v>
      </c>
      <c r="M4096" s="2" t="inlineStr">
        <is>
          <t>20 GB de franquia 30 GB de bônus</t>
        </is>
      </c>
      <c r="N4096" s="2" t="inlineStr"/>
      <c r="O4096" s="2" t="inlineStr"/>
      <c r="P4096" s="2" t="inlineStr"/>
      <c r="Q4096" s="2" t="inlineStr"/>
      <c r="R4096" s="2" t="inlineStr"/>
      <c r="S4096" s="2" t="inlineStr"/>
      <c r="T4096" s="2" t="inlineStr">
        <is>
          <t>Assinatura Vale Saúde Sempre inclusa</t>
        </is>
      </c>
      <c r="U4096" s="2" t="inlineStr">
        <is>
          <t>https://vivo.com.br/para-voce/produtos-e-servicos/para-o-celular/planos-controle</t>
        </is>
      </c>
      <c r="V4096" s="2" t="inlineStr">
        <is>
          <t>data/raw/vivo_control_SP.html</t>
        </is>
      </c>
    </row>
    <row r="4097">
      <c r="A4097" s="5" t="inlineStr">
        <is>
          <t>2026-09-02</t>
        </is>
      </c>
      <c r="B4097" s="5" t="inlineStr">
        <is>
          <t>2026-09-02T19:57:51</t>
        </is>
      </c>
      <c r="C4097" s="5" t="inlineStr">
        <is>
          <t>vivo</t>
        </is>
      </c>
      <c r="D4097" s="5" t="inlineStr">
        <is>
          <t>control</t>
        </is>
      </c>
      <c r="E4097" s="5" t="inlineStr">
        <is>
          <t>SP</t>
        </is>
      </c>
      <c r="F4097" s="5" t="inlineStr">
        <is>
          <t>Vivo Controle Youtube Lite</t>
        </is>
      </c>
      <c r="G4097" s="5" t="inlineStr">
        <is>
          <t>vivo:VIV202600034626</t>
        </is>
      </c>
      <c r="H4097" s="6" t="n">
        <v>85</v>
      </c>
      <c r="I4097" s="6" t="inlineStr"/>
      <c r="J4097" s="5" t="inlineStr">
        <is>
          <t>preço-base do plano; a tela exibia R$ 90 com o adicional pré-selecionado (+R$ 5/mês, opcional); 60 GB na tela incluem +10 GB do adicional</t>
        </is>
      </c>
      <c r="K4097" s="5" t="inlineStr"/>
      <c r="L4097" s="7" t="n">
        <v>50</v>
      </c>
      <c r="M4097" s="5" t="inlineStr">
        <is>
          <t>20 GB de franquia 30 GB de bônus</t>
        </is>
      </c>
      <c r="N4097" s="5" t="inlineStr"/>
      <c r="O4097" s="5" t="inlineStr"/>
      <c r="P4097" s="5" t="inlineStr"/>
      <c r="Q4097" s="5" t="inlineStr"/>
      <c r="R4097" s="5" t="inlineStr"/>
      <c r="S4097" s="5" t="inlineStr"/>
      <c r="T4097" s="5" t="inlineStr">
        <is>
          <t>Assinatura Youtube Premium Lite Inclusa</t>
        </is>
      </c>
      <c r="U4097" s="5" t="inlineStr">
        <is>
          <t>https://vivo.com.br/para-voce/produtos-e-servicos/para-o-celular/planos-controle</t>
        </is>
      </c>
      <c r="V4097" s="5" t="inlineStr">
        <is>
          <t>data/raw/vivo_control_SP.html</t>
        </is>
      </c>
    </row>
    <row r="4098">
      <c r="A4098" s="2" t="inlineStr">
        <is>
          <t>2026-09-02</t>
        </is>
      </c>
      <c r="B4098" s="2" t="inlineStr">
        <is>
          <t>2026-09-02T19:57:51</t>
        </is>
      </c>
      <c r="C4098" s="2" t="inlineStr">
        <is>
          <t>vivo</t>
        </is>
      </c>
      <c r="D4098" s="2" t="inlineStr">
        <is>
          <t>lite</t>
        </is>
      </c>
      <c r="E4098" s="2" t="inlineStr">
        <is>
          <t>SP</t>
        </is>
      </c>
      <c r="F4098" s="2" t="inlineStr">
        <is>
          <t>Vivo Lite</t>
        </is>
      </c>
      <c r="G4098" s="2" t="inlineStr">
        <is>
          <t>vivo:VIV202600038808</t>
        </is>
      </c>
      <c r="H4098" s="3" t="n">
        <v>45</v>
      </c>
      <c r="I4098" s="3" t="n">
        <v>30</v>
      </c>
      <c r="J4098" s="2" t="inlineStr">
        <is>
          <t>preço sem fidelidade; fidelidade 12m no promo</t>
        </is>
      </c>
      <c r="K4098" s="2" t="inlineStr"/>
      <c r="L4098" s="4" t="n">
        <v>30</v>
      </c>
      <c r="M4098" s="2" t="inlineStr">
        <is>
          <t>30 GB de franquia</t>
        </is>
      </c>
      <c r="N4098" s="2" t="inlineStr"/>
      <c r="O4098" s="2" t="inlineStr"/>
      <c r="P4098" s="2" t="inlineStr"/>
      <c r="Q4098" s="2" t="inlineStr"/>
      <c r="R4098" s="2" t="inlineStr"/>
      <c r="S4098" s="2" t="n">
        <v>12</v>
      </c>
      <c r="T4098" s="2" t="inlineStr"/>
      <c r="U4098" s="2" t="inlineStr">
        <is>
          <t>https://vivo.com.br/para-voce/produtos-e-servicos/para-o-celular/easy-lite</t>
        </is>
      </c>
      <c r="V4098" s="2" t="inlineStr">
        <is>
          <t>data/raw/vivo_lite_SP.html</t>
        </is>
      </c>
    </row>
    <row r="4099">
      <c r="A4099" s="5" t="inlineStr">
        <is>
          <t>2026-09-02</t>
        </is>
      </c>
      <c r="B4099" s="5" t="inlineStr">
        <is>
          <t>2026-09-02T19:57:51</t>
        </is>
      </c>
      <c r="C4099" s="5" t="inlineStr">
        <is>
          <t>vivo</t>
        </is>
      </c>
      <c r="D4099" s="5" t="inlineStr">
        <is>
          <t>lite</t>
        </is>
      </c>
      <c r="E4099" s="5" t="inlineStr">
        <is>
          <t>SP</t>
        </is>
      </c>
      <c r="F4099" s="5" t="inlineStr">
        <is>
          <t>Vivo Lite</t>
        </is>
      </c>
      <c r="G4099" s="5" t="inlineStr">
        <is>
          <t>vivo:VIV202600038810</t>
        </is>
      </c>
      <c r="H4099" s="6" t="n">
        <v>55</v>
      </c>
      <c r="I4099" s="6" t="n">
        <v>40</v>
      </c>
      <c r="J4099" s="5" t="inlineStr">
        <is>
          <t>preço sem fidelidade; fidelidade 12m no promo</t>
        </is>
      </c>
      <c r="K4099" s="5" t="inlineStr"/>
      <c r="L4099" s="7" t="n">
        <v>40</v>
      </c>
      <c r="M4099" s="5" t="inlineStr">
        <is>
          <t>40 GB de franquia</t>
        </is>
      </c>
      <c r="N4099" s="5" t="inlineStr"/>
      <c r="O4099" s="5" t="inlineStr"/>
      <c r="P4099" s="5" t="inlineStr"/>
      <c r="Q4099" s="5" t="inlineStr"/>
      <c r="R4099" s="5" t="inlineStr"/>
      <c r="S4099" s="5" t="n">
        <v>12</v>
      </c>
      <c r="T4099" s="5" t="inlineStr"/>
      <c r="U4099" s="5" t="inlineStr">
        <is>
          <t>https://vivo.com.br/para-voce/produtos-e-servicos/para-o-celular/easy-lite</t>
        </is>
      </c>
      <c r="V4099" s="5" t="inlineStr">
        <is>
          <t>data/raw/vivo_lite_SP.html</t>
        </is>
      </c>
    </row>
    <row r="4100">
      <c r="A4100" s="2" t="inlineStr">
        <is>
          <t>2026-09-02</t>
        </is>
      </c>
      <c r="B4100" s="2" t="inlineStr">
        <is>
          <t>2026-09-02T19:57:51</t>
        </is>
      </c>
      <c r="C4100" s="2" t="inlineStr">
        <is>
          <t>vivo</t>
        </is>
      </c>
      <c r="D4100" s="2" t="inlineStr">
        <is>
          <t>lite</t>
        </is>
      </c>
      <c r="E4100" s="2" t="inlineStr">
        <is>
          <t>SP</t>
        </is>
      </c>
      <c r="F4100" s="2" t="inlineStr">
        <is>
          <t>Vivo Lite</t>
        </is>
      </c>
      <c r="G4100" s="2" t="inlineStr">
        <is>
          <t>vivo:VIV202600038814</t>
        </is>
      </c>
      <c r="H4100" s="3" t="n">
        <v>35</v>
      </c>
      <c r="I4100" s="3" t="inlineStr"/>
      <c r="J4100" s="2" t="inlineStr"/>
      <c r="K4100" s="2" t="inlineStr"/>
      <c r="L4100" s="4" t="n">
        <v>20</v>
      </c>
      <c r="M4100" s="2" t="inlineStr">
        <is>
          <t>20 GB de franquia</t>
        </is>
      </c>
      <c r="N4100" s="2" t="inlineStr"/>
      <c r="O4100" s="2" t="inlineStr"/>
      <c r="P4100" s="2" t="inlineStr"/>
      <c r="Q4100" s="2" t="inlineStr"/>
      <c r="R4100" s="2" t="inlineStr"/>
      <c r="S4100" s="2" t="inlineStr"/>
      <c r="T4100" s="2" t="inlineStr"/>
      <c r="U4100" s="2" t="inlineStr">
        <is>
          <t>https://vivo.com.br/para-voce/produtos-e-servicos/para-o-celular/easy-lite</t>
        </is>
      </c>
      <c r="V4100" s="2" t="inlineStr">
        <is>
          <t>data/raw/vivo_lite_SP.html</t>
        </is>
      </c>
    </row>
    <row r="4101">
      <c r="A4101" s="5" t="inlineStr">
        <is>
          <t>2026-09-02</t>
        </is>
      </c>
      <c r="B4101" s="5" t="inlineStr">
        <is>
          <t>2026-09-02T19:57:51</t>
        </is>
      </c>
      <c r="C4101" s="5" t="inlineStr">
        <is>
          <t>vivo</t>
        </is>
      </c>
      <c r="D4101" s="5" t="inlineStr">
        <is>
          <t>postpaid</t>
        </is>
      </c>
      <c r="E4101" s="5" t="inlineStr">
        <is>
          <t>SP</t>
        </is>
      </c>
      <c r="F4101" s="5" t="inlineStr">
        <is>
          <t>Vivo Família 2</t>
        </is>
      </c>
      <c r="G4101" s="5" t="inlineStr">
        <is>
          <t>vivo:VIV202600034547</t>
        </is>
      </c>
      <c r="H4101" s="6" t="n">
        <v>270</v>
      </c>
      <c r="I4101" s="6" t="inlineStr"/>
      <c r="J4101" s="5" t="inlineStr"/>
      <c r="K4101" s="5" t="inlineStr"/>
      <c r="L4101" s="7" t="n">
        <v>120</v>
      </c>
      <c r="M4101" s="5" t="inlineStr">
        <is>
          <t>120 GB de franquia Você + 1 linha adicional Roaming Internacional com Vivo Travel Américas e Europa</t>
        </is>
      </c>
      <c r="N4101" s="5" t="inlineStr"/>
      <c r="O4101" s="5" t="inlineStr"/>
      <c r="P4101" s="5" t="inlineStr"/>
      <c r="Q4101" s="5" t="inlineStr"/>
      <c r="R4101" s="5" t="inlineStr"/>
      <c r="S4101" s="5" t="inlineStr"/>
      <c r="T4101" s="5" t="inlineStr">
        <is>
          <t>12 meses grátis de Gemini com AI Plus</t>
        </is>
      </c>
      <c r="U4101" s="5" t="inlineStr">
        <is>
          <t>https://vivo.com.br/para-voce/produtos-e-servicos/para-o-celular/planos-pos-pago</t>
        </is>
      </c>
      <c r="V4101" s="5" t="inlineStr">
        <is>
          <t>data/raw/vivo_postpaid_SP.html</t>
        </is>
      </c>
    </row>
    <row r="4102">
      <c r="A4102" s="2" t="inlineStr">
        <is>
          <t>2026-09-02</t>
        </is>
      </c>
      <c r="B4102" s="2" t="inlineStr">
        <is>
          <t>2026-09-02T19:57:51</t>
        </is>
      </c>
      <c r="C4102" s="2" t="inlineStr">
        <is>
          <t>vivo</t>
        </is>
      </c>
      <c r="D4102" s="2" t="inlineStr">
        <is>
          <t>postpaid</t>
        </is>
      </c>
      <c r="E4102" s="2" t="inlineStr">
        <is>
          <t>SP</t>
        </is>
      </c>
      <c r="F4102" s="2" t="inlineStr">
        <is>
          <t>Vivo Família 3</t>
        </is>
      </c>
      <c r="G4102" s="2" t="inlineStr">
        <is>
          <t>vivo:VIV202600034540</t>
        </is>
      </c>
      <c r="H4102" s="3" t="n">
        <v>340</v>
      </c>
      <c r="I4102" s="3" t="inlineStr"/>
      <c r="J4102" s="2" t="inlineStr"/>
      <c r="K4102" s="2" t="inlineStr"/>
      <c r="L4102" s="4" t="n">
        <v>180</v>
      </c>
      <c r="M4102" s="2" t="inlineStr">
        <is>
          <t>180 GB de franquia Você + 2 linhas adicionais Roaming Internacional com Vivo Travel Américas e Europa</t>
        </is>
      </c>
      <c r="N4102" s="2" t="inlineStr"/>
      <c r="O4102" s="2" t="inlineStr"/>
      <c r="P4102" s="2" t="inlineStr"/>
      <c r="Q4102" s="2" t="inlineStr"/>
      <c r="R4102" s="2" t="inlineStr"/>
      <c r="S4102" s="2" t="inlineStr"/>
      <c r="T4102" s="2" t="inlineStr">
        <is>
          <t>12 meses grátis de Gemini com AI Plus</t>
        </is>
      </c>
      <c r="U4102" s="2" t="inlineStr">
        <is>
          <t>https://vivo.com.br/para-voce/produtos-e-servicos/para-o-celular/planos-pos-pago</t>
        </is>
      </c>
      <c r="V4102" s="2" t="inlineStr">
        <is>
          <t>data/raw/vivo_postpaid_SP.html</t>
        </is>
      </c>
    </row>
    <row r="4103">
      <c r="A4103" s="5" t="inlineStr">
        <is>
          <t>2026-09-02</t>
        </is>
      </c>
      <c r="B4103" s="5" t="inlineStr">
        <is>
          <t>2026-09-02T19:57:51</t>
        </is>
      </c>
      <c r="C4103" s="5" t="inlineStr">
        <is>
          <t>vivo</t>
        </is>
      </c>
      <c r="D4103" s="5" t="inlineStr">
        <is>
          <t>postpaid</t>
        </is>
      </c>
      <c r="E4103" s="5" t="inlineStr">
        <is>
          <t>SP</t>
        </is>
      </c>
      <c r="F4103" s="5" t="inlineStr">
        <is>
          <t>Vivo Família 4</t>
        </is>
      </c>
      <c r="G4103" s="5" t="inlineStr">
        <is>
          <t>vivo:VIV202600034531</t>
        </is>
      </c>
      <c r="H4103" s="6" t="n">
        <v>430</v>
      </c>
      <c r="I4103" s="6" t="inlineStr"/>
      <c r="J4103" s="5" t="inlineStr"/>
      <c r="K4103" s="5" t="inlineStr"/>
      <c r="L4103" s="7" t="n">
        <v>240</v>
      </c>
      <c r="M4103" s="5" t="inlineStr">
        <is>
          <t>240 GB de franquia Você + 3 linhas adicionais Roaming Internacional com Vivo Travel Américas e Europa</t>
        </is>
      </c>
      <c r="N4103" s="5" t="inlineStr"/>
      <c r="O4103" s="5" t="inlineStr"/>
      <c r="P4103" s="5" t="inlineStr"/>
      <c r="Q4103" s="5" t="inlineStr"/>
      <c r="R4103" s="5" t="inlineStr"/>
      <c r="S4103" s="5" t="inlineStr"/>
      <c r="T4103" s="5" t="inlineStr">
        <is>
          <t>12 meses grátis de Gemini com AI Plus</t>
        </is>
      </c>
      <c r="U4103" s="5" t="inlineStr">
        <is>
          <t>https://vivo.com.br/para-voce/produtos-e-servicos/para-o-celular/planos-pos-pago</t>
        </is>
      </c>
      <c r="V4103" s="5" t="inlineStr">
        <is>
          <t>data/raw/vivo_postpaid_SP.html</t>
        </is>
      </c>
    </row>
    <row r="4104">
      <c r="A4104" s="2" t="inlineStr">
        <is>
          <t>2026-09-02</t>
        </is>
      </c>
      <c r="B4104" s="2" t="inlineStr">
        <is>
          <t>2026-09-02T19:57:51</t>
        </is>
      </c>
      <c r="C4104" s="2" t="inlineStr">
        <is>
          <t>vivo</t>
        </is>
      </c>
      <c r="D4104" s="2" t="inlineStr">
        <is>
          <t>postpaid</t>
        </is>
      </c>
      <c r="E4104" s="2" t="inlineStr">
        <is>
          <t>SP</t>
        </is>
      </c>
      <c r="F4104" s="2" t="inlineStr">
        <is>
          <t>Vivo Família 5</t>
        </is>
      </c>
      <c r="G4104" s="2" t="inlineStr">
        <is>
          <t>vivo:VIV202600034526</t>
        </is>
      </c>
      <c r="H4104" s="3" t="n">
        <v>530</v>
      </c>
      <c r="I4104" s="3" t="inlineStr"/>
      <c r="J4104" s="2" t="inlineStr"/>
      <c r="K4104" s="2" t="inlineStr"/>
      <c r="L4104" s="4" t="n">
        <v>300</v>
      </c>
      <c r="M4104" s="2" t="inlineStr">
        <is>
          <t>300 GB de franquia Você + 4 linhas adicionais Roaming Internacional com Vivo Travel Américas e Europa</t>
        </is>
      </c>
      <c r="N4104" s="2" t="inlineStr"/>
      <c r="O4104" s="2" t="inlineStr"/>
      <c r="P4104" s="2" t="inlineStr"/>
      <c r="Q4104" s="2" t="inlineStr"/>
      <c r="R4104" s="2" t="inlineStr"/>
      <c r="S4104" s="2" t="inlineStr"/>
      <c r="T4104" s="2" t="inlineStr">
        <is>
          <t>12 meses grátis de Gemini com AI Plus</t>
        </is>
      </c>
      <c r="U4104" s="2" t="inlineStr">
        <is>
          <t>https://vivo.com.br/para-voce/produtos-e-servicos/para-o-celular/planos-pos-pago</t>
        </is>
      </c>
      <c r="V4104" s="2" t="inlineStr">
        <is>
          <t>data/raw/vivo_postpaid_SP.html</t>
        </is>
      </c>
    </row>
    <row r="4105">
      <c r="A4105" s="5" t="inlineStr">
        <is>
          <t>2026-09-02</t>
        </is>
      </c>
      <c r="B4105" s="5" t="inlineStr">
        <is>
          <t>2026-09-02T19:57:51</t>
        </is>
      </c>
      <c r="C4105" s="5" t="inlineStr">
        <is>
          <t>vivo</t>
        </is>
      </c>
      <c r="D4105" s="5" t="inlineStr">
        <is>
          <t>postpaid</t>
        </is>
      </c>
      <c r="E4105" s="5" t="inlineStr">
        <is>
          <t>SP</t>
        </is>
      </c>
      <c r="F4105" s="5" t="inlineStr">
        <is>
          <t>Vivo Pós com Amazon</t>
        </is>
      </c>
      <c r="G4105" s="5" t="inlineStr">
        <is>
          <t>vivo:VIV202600034554</t>
        </is>
      </c>
      <c r="H4105" s="6" t="n">
        <v>150</v>
      </c>
      <c r="I4105" s="6" t="inlineStr"/>
      <c r="J4105" s="5" t="inlineStr"/>
      <c r="K4105" s="5" t="inlineStr"/>
      <c r="L4105" s="7" t="n">
        <v>60</v>
      </c>
      <c r="M4105" s="5" t="inlineStr">
        <is>
          <t>50 GB de franquia 10 GB de bônus</t>
        </is>
      </c>
      <c r="N4105" s="5" t="inlineStr"/>
      <c r="O4105" s="5" t="inlineStr"/>
      <c r="P4105" s="5" t="inlineStr"/>
      <c r="Q4105" s="5" t="inlineStr"/>
      <c r="R4105" s="5" t="inlineStr"/>
      <c r="S4105" s="5" t="inlineStr"/>
      <c r="T4105" s="5" t="inlineStr">
        <is>
          <t>Assinatura Amazon Prime inclusa</t>
        </is>
      </c>
      <c r="U4105" s="5" t="inlineStr">
        <is>
          <t>https://vivo.com.br/para-voce/produtos-e-servicos/para-o-celular/planos-pos-pago</t>
        </is>
      </c>
      <c r="V4105" s="5" t="inlineStr">
        <is>
          <t>data/raw/vivo_postpaid_SP.html</t>
        </is>
      </c>
    </row>
    <row r="4106">
      <c r="A4106" s="2" t="inlineStr">
        <is>
          <t>2026-09-02</t>
        </is>
      </c>
      <c r="B4106" s="2" t="inlineStr">
        <is>
          <t>2026-09-02T19:57:51</t>
        </is>
      </c>
      <c r="C4106" s="2" t="inlineStr">
        <is>
          <t>vivo</t>
        </is>
      </c>
      <c r="D4106" s="2" t="inlineStr">
        <is>
          <t>postpaid</t>
        </is>
      </c>
      <c r="E4106" s="2" t="inlineStr">
        <is>
          <t>SP</t>
        </is>
      </c>
      <c r="F4106" s="2" t="inlineStr">
        <is>
          <t>Vivo Pós com Disney+</t>
        </is>
      </c>
      <c r="G4106" s="2" t="inlineStr">
        <is>
          <t>vivo:VIV202600034532</t>
        </is>
      </c>
      <c r="H4106" s="3" t="n">
        <v>180</v>
      </c>
      <c r="I4106" s="3" t="inlineStr"/>
      <c r="J4106" s="2" t="inlineStr"/>
      <c r="K4106" s="2" t="inlineStr"/>
      <c r="L4106" s="4" t="n">
        <v>60</v>
      </c>
      <c r="M4106" s="2" t="inlineStr">
        <is>
          <t>50 GB de franquia 10 GB de bônus</t>
        </is>
      </c>
      <c r="N4106" s="2" t="inlineStr"/>
      <c r="O4106" s="2" t="inlineStr"/>
      <c r="P4106" s="2" t="inlineStr"/>
      <c r="Q4106" s="2" t="inlineStr"/>
      <c r="R4106" s="2" t="inlineStr">
        <is>
          <t>Disney+</t>
        </is>
      </c>
      <c r="S4106" s="2" t="inlineStr"/>
      <c r="T4106" s="2" t="inlineStr">
        <is>
          <t>Assinatura Disney+ Padrão inclusa</t>
        </is>
      </c>
      <c r="U4106" s="2" t="inlineStr">
        <is>
          <t>https://vivo.com.br/para-voce/produtos-e-servicos/para-o-celular/planos-pos-pago</t>
        </is>
      </c>
      <c r="V4106" s="2" t="inlineStr">
        <is>
          <t>data/raw/vivo_postpaid_SP.html</t>
        </is>
      </c>
    </row>
    <row r="4107">
      <c r="A4107" s="5" t="inlineStr">
        <is>
          <t>2026-09-02</t>
        </is>
      </c>
      <c r="B4107" s="5" t="inlineStr">
        <is>
          <t>2026-09-02T19:57:51</t>
        </is>
      </c>
      <c r="C4107" s="5" t="inlineStr">
        <is>
          <t>vivo</t>
        </is>
      </c>
      <c r="D4107" s="5" t="inlineStr">
        <is>
          <t>postpaid</t>
        </is>
      </c>
      <c r="E4107" s="5" t="inlineStr">
        <is>
          <t>SP</t>
        </is>
      </c>
      <c r="F4107" s="5" t="inlineStr">
        <is>
          <t>Vivo Pós com Globoplay</t>
        </is>
      </c>
      <c r="G4107" s="5" t="inlineStr">
        <is>
          <t>vivo:VIV202600034575</t>
        </is>
      </c>
      <c r="H4107" s="6" t="n">
        <v>165</v>
      </c>
      <c r="I4107" s="6" t="inlineStr"/>
      <c r="J4107" s="5" t="inlineStr"/>
      <c r="K4107" s="5" t="inlineStr"/>
      <c r="L4107" s="7" t="n">
        <v>60</v>
      </c>
      <c r="M4107" s="5" t="inlineStr">
        <is>
          <t>50 GB de franquia 10 GB de bônus</t>
        </is>
      </c>
      <c r="N4107" s="5" t="inlineStr"/>
      <c r="O4107" s="5" t="inlineStr"/>
      <c r="P4107" s="5" t="inlineStr"/>
      <c r="Q4107" s="5" t="inlineStr"/>
      <c r="R4107" s="5" t="inlineStr">
        <is>
          <t>Globoplay</t>
        </is>
      </c>
      <c r="S4107" s="5" t="inlineStr"/>
      <c r="T4107" s="5" t="inlineStr">
        <is>
          <t>Assinatura Globoplay inclusa</t>
        </is>
      </c>
      <c r="U4107" s="5" t="inlineStr">
        <is>
          <t>https://vivo.com.br/para-voce/produtos-e-servicos/para-o-celular/planos-pos-pago</t>
        </is>
      </c>
      <c r="V4107" s="5" t="inlineStr">
        <is>
          <t>data/raw/vivo_postpaid_SP.html</t>
        </is>
      </c>
    </row>
    <row r="4108">
      <c r="A4108" s="2" t="inlineStr">
        <is>
          <t>2026-09-02</t>
        </is>
      </c>
      <c r="B4108" s="2" t="inlineStr">
        <is>
          <t>2026-09-02T19:57:51</t>
        </is>
      </c>
      <c r="C4108" s="2" t="inlineStr">
        <is>
          <t>vivo</t>
        </is>
      </c>
      <c r="D4108" s="2" t="inlineStr">
        <is>
          <t>postpaid</t>
        </is>
      </c>
      <c r="E4108" s="2" t="inlineStr">
        <is>
          <t>SP</t>
        </is>
      </c>
      <c r="F4108" s="2" t="inlineStr">
        <is>
          <t>Vivo Pós com Netflix</t>
        </is>
      </c>
      <c r="G4108" s="2" t="inlineStr">
        <is>
          <t>vivo:VIV202600034562</t>
        </is>
      </c>
      <c r="H4108" s="3" t="n">
        <v>180</v>
      </c>
      <c r="I4108" s="3" t="inlineStr"/>
      <c r="J4108" s="2" t="inlineStr"/>
      <c r="K4108" s="2" t="inlineStr"/>
      <c r="L4108" s="4" t="n">
        <v>60</v>
      </c>
      <c r="M4108" s="2" t="inlineStr">
        <is>
          <t>50 GB de franquia 10 GB de bônus</t>
        </is>
      </c>
      <c r="N4108" s="2" t="inlineStr"/>
      <c r="O4108" s="2" t="inlineStr"/>
      <c r="P4108" s="2" t="inlineStr"/>
      <c r="Q4108" s="2" t="inlineStr"/>
      <c r="R4108" s="2" t="inlineStr">
        <is>
          <t>Netflix</t>
        </is>
      </c>
      <c r="S4108" s="2" t="inlineStr"/>
      <c r="T4108" s="2" t="inlineStr">
        <is>
          <t>Assinatura Netflix Padrão inclusa</t>
        </is>
      </c>
      <c r="U4108" s="2" t="inlineStr">
        <is>
          <t>https://vivo.com.br/para-voce/produtos-e-servicos/para-o-celular/planos-pos-pago</t>
        </is>
      </c>
      <c r="V4108" s="2" t="inlineStr">
        <is>
          <t>data/raw/vivo_postpaid_SP.html</t>
        </is>
      </c>
    </row>
    <row r="4109">
      <c r="A4109" s="5" t="inlineStr">
        <is>
          <t>2026-09-02</t>
        </is>
      </c>
      <c r="B4109" s="5" t="inlineStr">
        <is>
          <t>2026-09-02T19:57:51</t>
        </is>
      </c>
      <c r="C4109" s="5" t="inlineStr">
        <is>
          <t>vivo</t>
        </is>
      </c>
      <c r="D4109" s="5" t="inlineStr">
        <is>
          <t>postpaid</t>
        </is>
      </c>
      <c r="E4109" s="5" t="inlineStr">
        <is>
          <t>SP</t>
        </is>
      </c>
      <c r="F4109" s="5" t="inlineStr">
        <is>
          <t>Vivo Pós com Premiere</t>
        </is>
      </c>
      <c r="G4109" s="5" t="inlineStr">
        <is>
          <t>vivo:VIV202600034579</t>
        </is>
      </c>
      <c r="H4109" s="6" t="n">
        <v>180</v>
      </c>
      <c r="I4109" s="6" t="inlineStr"/>
      <c r="J4109" s="5" t="inlineStr"/>
      <c r="K4109" s="5" t="inlineStr"/>
      <c r="L4109" s="7" t="n">
        <v>60</v>
      </c>
      <c r="M4109" s="5" t="inlineStr">
        <is>
          <t>50 GB de franquia 10 GB de bônus</t>
        </is>
      </c>
      <c r="N4109" s="5" t="inlineStr"/>
      <c r="O4109" s="5" t="inlineStr"/>
      <c r="P4109" s="5" t="inlineStr"/>
      <c r="Q4109" s="5" t="inlineStr"/>
      <c r="R4109" s="5" t="inlineStr">
        <is>
          <t>Premiere</t>
        </is>
      </c>
      <c r="S4109" s="5" t="inlineStr"/>
      <c r="T4109" s="5" t="inlineStr">
        <is>
          <t>Assinatura Premiere inclusa</t>
        </is>
      </c>
      <c r="U4109" s="5" t="inlineStr">
        <is>
          <t>https://vivo.com.br/para-voce/produtos-e-servicos/para-o-celular/planos-pos-pago</t>
        </is>
      </c>
      <c r="V4109" s="5" t="inlineStr">
        <is>
          <t>data/raw/vivo_postpaid_SP.html</t>
        </is>
      </c>
    </row>
    <row r="4110">
      <c r="A4110" s="2" t="inlineStr">
        <is>
          <t>2026-09-02</t>
        </is>
      </c>
      <c r="B4110" s="2" t="inlineStr">
        <is>
          <t>2026-09-02T19:57:51</t>
        </is>
      </c>
      <c r="C4110" s="2" t="inlineStr">
        <is>
          <t>vivo</t>
        </is>
      </c>
      <c r="D4110" s="2" t="inlineStr">
        <is>
          <t>postpaid</t>
        </is>
      </c>
      <c r="E4110" s="2" t="inlineStr">
        <is>
          <t>SP</t>
        </is>
      </c>
      <c r="F4110" s="2" t="inlineStr">
        <is>
          <t>Vivo Pós com Spotify</t>
        </is>
      </c>
      <c r="G4110" s="2" t="inlineStr">
        <is>
          <t>vivo:VIV202600034556</t>
        </is>
      </c>
      <c r="H4110" s="3" t="n">
        <v>165</v>
      </c>
      <c r="I4110" s="3" t="inlineStr"/>
      <c r="J4110" s="2" t="inlineStr"/>
      <c r="K4110" s="2" t="inlineStr"/>
      <c r="L4110" s="4" t="n">
        <v>60</v>
      </c>
      <c r="M4110" s="2" t="inlineStr">
        <is>
          <t>50 GB de franquia 10 GB de bônus</t>
        </is>
      </c>
      <c r="N4110" s="2" t="inlineStr"/>
      <c r="O4110" s="2" t="inlineStr"/>
      <c r="P4110" s="2" t="inlineStr"/>
      <c r="Q4110" s="2" t="inlineStr"/>
      <c r="R4110" s="2" t="inlineStr">
        <is>
          <t>Spotify</t>
        </is>
      </c>
      <c r="S4110" s="2" t="inlineStr"/>
      <c r="T4110" s="2" t="inlineStr">
        <is>
          <t>Assinatura Spotify Premium inclusa</t>
        </is>
      </c>
      <c r="U4110" s="2" t="inlineStr">
        <is>
          <t>https://vivo.com.br/para-voce/produtos-e-servicos/para-o-celular/planos-pos-pago</t>
        </is>
      </c>
      <c r="V4110" s="2" t="inlineStr">
        <is>
          <t>data/raw/vivo_postpaid_SP.html</t>
        </is>
      </c>
    </row>
    <row r="4111">
      <c r="A4111" s="5" t="inlineStr">
        <is>
          <t>2026-09-02</t>
        </is>
      </c>
      <c r="B4111" s="5" t="inlineStr">
        <is>
          <t>2026-09-02T19:57:51</t>
        </is>
      </c>
      <c r="C4111" s="5" t="inlineStr">
        <is>
          <t>vivo</t>
        </is>
      </c>
      <c r="D4111" s="5" t="inlineStr">
        <is>
          <t>postpaid</t>
        </is>
      </c>
      <c r="E4111" s="5" t="inlineStr">
        <is>
          <t>SP</t>
        </is>
      </c>
      <c r="F4111" s="5" t="inlineStr">
        <is>
          <t>Vivo Pós com Travel</t>
        </is>
      </c>
      <c r="G4111" s="5" t="inlineStr">
        <is>
          <t>vivo:VIV202600034573</t>
        </is>
      </c>
      <c r="H4111" s="6" t="n">
        <v>215</v>
      </c>
      <c r="I4111" s="6" t="inlineStr"/>
      <c r="J4111" s="5" t="inlineStr"/>
      <c r="K4111" s="5" t="inlineStr"/>
      <c r="L4111" s="7" t="n">
        <v>70</v>
      </c>
      <c r="M4111" s="5" t="inlineStr">
        <is>
          <t>60 GB de franquia 10 GB de bônus</t>
        </is>
      </c>
      <c r="N4111" s="5" t="inlineStr"/>
      <c r="O4111" s="5" t="inlineStr"/>
      <c r="P4111" s="5" t="inlineStr"/>
      <c r="Q4111" s="5" t="inlineStr"/>
      <c r="R4111" s="5" t="inlineStr"/>
      <c r="S4111" s="5" t="inlineStr"/>
      <c r="T4111" s="5" t="inlineStr">
        <is>
          <t>6 meses grátis de Gemini com AI Plus</t>
        </is>
      </c>
      <c r="U4111" s="5" t="inlineStr">
        <is>
          <t>https://vivo.com.br/para-voce/produtos-e-servicos/para-o-celular/planos-pos-pago</t>
        </is>
      </c>
      <c r="V4111" s="5" t="inlineStr">
        <is>
          <t>data/raw/vivo_postpaid_SP.html</t>
        </is>
      </c>
    </row>
    <row r="4112">
      <c r="A4112" s="2" t="inlineStr">
        <is>
          <t>2026-09-02</t>
        </is>
      </c>
      <c r="B4112" s="2" t="inlineStr">
        <is>
          <t>2026-09-02T19:57:51</t>
        </is>
      </c>
      <c r="C4112" s="2" t="inlineStr">
        <is>
          <t>vivo</t>
        </is>
      </c>
      <c r="D4112" s="2" t="inlineStr">
        <is>
          <t>prepaid</t>
        </is>
      </c>
      <c r="E4112" s="2" t="inlineStr">
        <is>
          <t>SP</t>
        </is>
      </c>
      <c r="F4112" s="2" t="inlineStr">
        <is>
          <t>Vivo Pré</t>
        </is>
      </c>
      <c r="G4112" s="2" t="inlineStr">
        <is>
          <t>vivo:VIV202600029370-30d</t>
        </is>
      </c>
      <c r="H4112" s="3" t="n">
        <v>30</v>
      </c>
      <c r="I4112" s="3" t="inlineStr"/>
      <c r="J4112" s="2" t="inlineStr"/>
      <c r="K4112" s="2" t="inlineStr"/>
      <c r="L4112" s="4" t="n">
        <v>25</v>
      </c>
      <c r="M4112" s="2" t="inlineStr">
        <is>
          <t>15 GB para navegar como quiser 5 GB de bônus 5 GB para navegar no Youtube</t>
        </is>
      </c>
      <c r="N4112" s="2" t="n">
        <v>30</v>
      </c>
      <c r="O4112" s="2" t="inlineStr"/>
      <c r="P4112" s="2" t="inlineStr"/>
      <c r="Q4112" s="2" t="inlineStr"/>
      <c r="R4112" s="2" t="inlineStr"/>
      <c r="S4112" s="2" t="inlineStr"/>
      <c r="T4112" s="2" t="inlineStr"/>
      <c r="U4112" s="2" t="inlineStr">
        <is>
          <t>https://vivo.com.br/para-voce/produtos-e-servicos/para-o-celular/pre-pago/vivo-pre</t>
        </is>
      </c>
      <c r="V4112" s="2" t="inlineStr">
        <is>
          <t>data/raw/vivo_prepaid_SP.html</t>
        </is>
      </c>
    </row>
    <row r="4113">
      <c r="A4113" s="5" t="inlineStr">
        <is>
          <t>2026-09-02</t>
        </is>
      </c>
      <c r="B4113" s="5" t="inlineStr">
        <is>
          <t>2026-09-02T19:57:51</t>
        </is>
      </c>
      <c r="C4113" s="5" t="inlineStr">
        <is>
          <t>vivo</t>
        </is>
      </c>
      <c r="D4113" s="5" t="inlineStr">
        <is>
          <t>prepaid</t>
        </is>
      </c>
      <c r="E4113" s="5" t="inlineStr">
        <is>
          <t>SP</t>
        </is>
      </c>
      <c r="F4113" s="5" t="inlineStr">
        <is>
          <t>Vivo Pré</t>
        </is>
      </c>
      <c r="G4113" s="5" t="inlineStr">
        <is>
          <t>vivo:VIV202600029370-22d</t>
        </is>
      </c>
      <c r="H4113" s="6" t="n">
        <v>25</v>
      </c>
      <c r="I4113" s="6" t="inlineStr"/>
      <c r="J4113" s="5" t="inlineStr"/>
      <c r="K4113" s="5" t="inlineStr"/>
      <c r="L4113" s="7" t="n">
        <v>9</v>
      </c>
      <c r="M4113" s="5" t="inlineStr">
        <is>
          <t>6 GB para navegar como quiser 3 GB para navegar no YouTube</t>
        </is>
      </c>
      <c r="N4113" s="5" t="n">
        <v>22</v>
      </c>
      <c r="O4113" s="5" t="inlineStr"/>
      <c r="P4113" s="5" t="inlineStr"/>
      <c r="Q4113" s="5" t="inlineStr"/>
      <c r="R4113" s="5" t="inlineStr"/>
      <c r="S4113" s="5" t="inlineStr"/>
      <c r="T4113" s="5" t="inlineStr"/>
      <c r="U4113" s="5" t="inlineStr">
        <is>
          <t>https://vivo.com.br/para-voce/produtos-e-servicos/para-o-celular/pre-pago/vivo-pre</t>
        </is>
      </c>
      <c r="V4113" s="5" t="inlineStr">
        <is>
          <t>data/raw/vivo_prepaid_SP.html</t>
        </is>
      </c>
    </row>
    <row r="4114">
      <c r="A4114" s="2" t="inlineStr">
        <is>
          <t>2026-09-02</t>
        </is>
      </c>
      <c r="B4114" s="2" t="inlineStr">
        <is>
          <t>2026-09-02T19:57:51</t>
        </is>
      </c>
      <c r="C4114" s="2" t="inlineStr">
        <is>
          <t>vivo</t>
        </is>
      </c>
      <c r="D4114" s="2" t="inlineStr">
        <is>
          <t>prepaid</t>
        </is>
      </c>
      <c r="E4114" s="2" t="inlineStr">
        <is>
          <t>SP</t>
        </is>
      </c>
      <c r="F4114" s="2" t="inlineStr">
        <is>
          <t>Vivo Pré</t>
        </is>
      </c>
      <c r="G4114" s="2" t="inlineStr">
        <is>
          <t>vivo:VIV202600029370-17d</t>
        </is>
      </c>
      <c r="H4114" s="3" t="n">
        <v>20</v>
      </c>
      <c r="I4114" s="3" t="inlineStr"/>
      <c r="J4114" s="2" t="inlineStr"/>
      <c r="K4114" s="2" t="inlineStr"/>
      <c r="L4114" s="4" t="n">
        <v>5</v>
      </c>
      <c r="M4114" s="2" t="inlineStr">
        <is>
          <t>5 GB para navegar como quiser</t>
        </is>
      </c>
      <c r="N4114" s="2" t="n">
        <v>17</v>
      </c>
      <c r="O4114" s="2" t="inlineStr"/>
      <c r="P4114" s="2" t="inlineStr"/>
      <c r="Q4114" s="2" t="inlineStr"/>
      <c r="R4114" s="2" t="inlineStr"/>
      <c r="S4114" s="2" t="inlineStr"/>
      <c r="T4114" s="2" t="inlineStr"/>
      <c r="U4114" s="2" t="inlineStr">
        <is>
          <t>https://vivo.com.br/para-voce/produtos-e-servicos/para-o-celular/pre-pago/vivo-pre</t>
        </is>
      </c>
      <c r="V4114" s="2" t="inlineStr">
        <is>
          <t>data/raw/vivo_prepaid_SP.html</t>
        </is>
      </c>
    </row>
    <row r="4115">
      <c r="A4115" s="5" t="inlineStr">
        <is>
          <t>2026-09-02</t>
        </is>
      </c>
      <c r="B4115" s="5" t="inlineStr">
        <is>
          <t>2026-09-02T19:57:51</t>
        </is>
      </c>
      <c r="C4115" s="5" t="inlineStr">
        <is>
          <t>vivo</t>
        </is>
      </c>
      <c r="D4115" s="5" t="inlineStr">
        <is>
          <t>prepaid</t>
        </is>
      </c>
      <c r="E4115" s="5" t="inlineStr">
        <is>
          <t>SP</t>
        </is>
      </c>
      <c r="F4115" s="5" t="inlineStr">
        <is>
          <t>Vivo Pré</t>
        </is>
      </c>
      <c r="G4115" s="5" t="inlineStr">
        <is>
          <t>vivo:VIV202600029370-15d</t>
        </is>
      </c>
      <c r="H4115" s="6" t="n">
        <v>17</v>
      </c>
      <c r="I4115" s="6" t="inlineStr"/>
      <c r="J4115" s="5" t="inlineStr"/>
      <c r="K4115" s="5" t="inlineStr"/>
      <c r="L4115" s="7" t="n">
        <v>4</v>
      </c>
      <c r="M4115" s="5" t="inlineStr">
        <is>
          <t>4 GB para navegar como quiser</t>
        </is>
      </c>
      <c r="N4115" s="5" t="n">
        <v>15</v>
      </c>
      <c r="O4115" s="5" t="inlineStr"/>
      <c r="P4115" s="5" t="inlineStr"/>
      <c r="Q4115" s="5" t="inlineStr"/>
      <c r="R4115" s="5" t="inlineStr"/>
      <c r="S4115" s="5" t="inlineStr"/>
      <c r="T4115" s="5" t="inlineStr"/>
      <c r="U4115" s="5" t="inlineStr">
        <is>
          <t>https://vivo.com.br/para-voce/produtos-e-servicos/para-o-celular/pre-pago/vivo-pre</t>
        </is>
      </c>
      <c r="V4115" s="5" t="inlineStr">
        <is>
          <t>data/raw/vivo_prepaid_SP.html</t>
        </is>
      </c>
    </row>
    <row r="4116">
      <c r="A4116" s="2" t="inlineStr">
        <is>
          <t>2026-09-03</t>
        </is>
      </c>
      <c r="B4116" s="2" t="inlineStr">
        <is>
          <t>2026-09-03T19:57:11</t>
        </is>
      </c>
      <c r="C4116" s="2" t="inlineStr">
        <is>
          <t>claro</t>
        </is>
      </c>
      <c r="D4116" s="2" t="inlineStr">
        <is>
          <t>control</t>
        </is>
      </c>
      <c r="E4116" s="2" t="inlineStr">
        <is>
          <t>SP</t>
        </is>
      </c>
      <c r="F4116" s="2" t="inlineStr">
        <is>
          <t>Controle 25GB</t>
        </is>
      </c>
      <c r="G4116" s="2" t="inlineStr">
        <is>
          <t>claro:plano-controle-25gb</t>
        </is>
      </c>
      <c r="H4116" s="3" t="n">
        <v>59.9</v>
      </c>
      <c r="I4116" s="3" t="n">
        <v>54.9</v>
      </c>
      <c r="J4116" s="2" t="inlineStr">
        <is>
          <t>De R$ 59,90 Por:</t>
        </is>
      </c>
      <c r="K4116" s="2" t="inlineStr"/>
      <c r="L4116" s="4" t="n">
        <v>25</v>
      </c>
      <c r="M4116" s="2" t="inlineStr"/>
      <c r="N4116" s="2" t="inlineStr"/>
      <c r="O4116" s="2" t="inlineStr">
        <is>
          <t>WhatsApp</t>
        </is>
      </c>
      <c r="P4116" s="2" t="inlineStr"/>
      <c r="Q4116" s="2" t="inlineStr"/>
      <c r="R4116" s="2" t="inlineStr"/>
      <c r="S4116" s="2" t="inlineStr"/>
      <c r="T4116" s="2" t="inlineStr">
        <is>
          <t>Para uso livre; Para redes sociais e vídeos; Bônus exclusivo; Aproveite na sua franquia; WhatsApp e ligações ilimitadas</t>
        </is>
      </c>
      <c r="U4116" s="2" t="inlineStr">
        <is>
          <t>https://www.claro.com.br/celular/controle</t>
        </is>
      </c>
      <c r="V4116" s="2" t="inlineStr">
        <is>
          <t>data/raw/claro_control_SP.json</t>
        </is>
      </c>
    </row>
    <row r="4117">
      <c r="A4117" s="5" t="inlineStr">
        <is>
          <t>2026-09-03</t>
        </is>
      </c>
      <c r="B4117" s="5" t="inlineStr">
        <is>
          <t>2026-09-03T19:57:11</t>
        </is>
      </c>
      <c r="C4117" s="5" t="inlineStr">
        <is>
          <t>claro</t>
        </is>
      </c>
      <c r="D4117" s="5" t="inlineStr">
        <is>
          <t>control</t>
        </is>
      </c>
      <c r="E4117" s="5" t="inlineStr">
        <is>
          <t>SP</t>
        </is>
      </c>
      <c r="F4117" s="5" t="inlineStr">
        <is>
          <t>Controle 30GB</t>
        </is>
      </c>
      <c r="G4117" s="5" t="inlineStr">
        <is>
          <t>claro:plano-controle-30gb</t>
        </is>
      </c>
      <c r="H4117" s="6" t="n">
        <v>69.90000000000001</v>
      </c>
      <c r="I4117" s="6" t="inlineStr"/>
      <c r="J4117" s="5" t="inlineStr"/>
      <c r="K4117" s="5" t="inlineStr"/>
      <c r="L4117" s="7" t="n">
        <v>30</v>
      </c>
      <c r="M4117" s="5" t="inlineStr"/>
      <c r="N4117" s="5" t="inlineStr"/>
      <c r="O4117" s="5" t="inlineStr">
        <is>
          <t>WhatsApp</t>
        </is>
      </c>
      <c r="P4117" s="5" t="inlineStr"/>
      <c r="Q4117" s="5" t="inlineStr"/>
      <c r="R4117" s="5" t="inlineStr"/>
      <c r="S4117" s="5" t="inlineStr"/>
      <c r="T4117" s="5" t="inlineStr">
        <is>
          <t>Para uso livre; Bônus para uso livre; Bônus para redes sociais e apps; Assinatura Amazon Prime por 3 meses; Redes sociais e apps; WhatsApp ilimitado</t>
        </is>
      </c>
      <c r="U4117" s="5" t="inlineStr">
        <is>
          <t>https://www.claro.com.br/celular/controle</t>
        </is>
      </c>
      <c r="V4117" s="5" t="inlineStr">
        <is>
          <t>data/raw/claro_control_SP.json</t>
        </is>
      </c>
    </row>
    <row r="4118">
      <c r="A4118" s="2" t="inlineStr">
        <is>
          <t>2026-09-03</t>
        </is>
      </c>
      <c r="B4118" s="2" t="inlineStr">
        <is>
          <t>2026-09-03T19:57:11</t>
        </is>
      </c>
      <c r="C4118" s="2" t="inlineStr">
        <is>
          <t>claro</t>
        </is>
      </c>
      <c r="D4118" s="2" t="inlineStr">
        <is>
          <t>control</t>
        </is>
      </c>
      <c r="E4118" s="2" t="inlineStr">
        <is>
          <t>SP</t>
        </is>
      </c>
      <c r="F4118" s="2" t="inlineStr">
        <is>
          <t>Controle 30GB</t>
        </is>
      </c>
      <c r="G4118" s="2" t="inlineStr">
        <is>
          <t>claro:plano-controle-30gb-gaming</t>
        </is>
      </c>
      <c r="H4118" s="3" t="n">
        <v>99.90000000000001</v>
      </c>
      <c r="I4118" s="3" t="inlineStr"/>
      <c r="J4118" s="2" t="inlineStr"/>
      <c r="K4118" s="2" t="inlineStr"/>
      <c r="L4118" s="4" t="n">
        <v>30</v>
      </c>
      <c r="M4118" s="2" t="inlineStr"/>
      <c r="N4118" s="2" t="inlineStr"/>
      <c r="O4118" s="2" t="inlineStr">
        <is>
          <t>WhatsApp</t>
        </is>
      </c>
      <c r="P4118" s="2" t="inlineStr"/>
      <c r="Q4118" s="2" t="inlineStr"/>
      <c r="R4118" s="2" t="inlineStr"/>
      <c r="S4118" s="2" t="inlineStr"/>
      <c r="T4118" s="2" t="inlineStr">
        <is>
          <t>Para uso livre; Bônus para redes sociais e apps; Bônus uso livre; Assinatura Amazon Prime por 3 meses; Redes sociais e apps; WhatsApp ilimitado</t>
        </is>
      </c>
      <c r="U4118" s="2" t="inlineStr">
        <is>
          <t>https://www.claro.com.br/celular/controle</t>
        </is>
      </c>
      <c r="V4118" s="2" t="inlineStr">
        <is>
          <t>data/raw/claro_control_SP.json</t>
        </is>
      </c>
    </row>
    <row r="4119">
      <c r="A4119" s="5" t="inlineStr">
        <is>
          <t>2026-09-03</t>
        </is>
      </c>
      <c r="B4119" s="5" t="inlineStr">
        <is>
          <t>2026-09-03T19:57:11</t>
        </is>
      </c>
      <c r="C4119" s="5" t="inlineStr">
        <is>
          <t>claro</t>
        </is>
      </c>
      <c r="D4119" s="5" t="inlineStr">
        <is>
          <t>flex</t>
        </is>
      </c>
      <c r="E4119" s="5" t="inlineStr">
        <is>
          <t>SP</t>
        </is>
      </c>
      <c r="F4119" s="5" t="inlineStr">
        <is>
          <t>Flex 15GB</t>
        </is>
      </c>
      <c r="G4119" s="5" t="inlineStr">
        <is>
          <t>claro:plano-flex-15gb</t>
        </is>
      </c>
      <c r="H4119" s="6" t="n">
        <v>44.9</v>
      </c>
      <c r="I4119" s="6" t="inlineStr"/>
      <c r="J4119" s="5" t="inlineStr"/>
      <c r="K4119" s="5" t="inlineStr"/>
      <c r="L4119" s="7" t="n">
        <v>15</v>
      </c>
      <c r="M4119" s="5" t="inlineStr"/>
      <c r="N4119" s="5" t="inlineStr"/>
      <c r="O4119" s="5" t="inlineStr">
        <is>
          <t>WhatsApp</t>
        </is>
      </c>
      <c r="P4119" s="5" t="inlineStr"/>
      <c r="Q4119" s="5" t="inlineStr"/>
      <c r="R4119" s="5" t="inlineStr"/>
      <c r="S4119" s="5" t="inlineStr"/>
      <c r="T4119" s="5" t="inlineStr">
        <is>
          <t>Para uso livre; Para redes sociais e apps; Bônus extra nos apps; WhatsApp ilimitado</t>
        </is>
      </c>
      <c r="U4119" s="5" t="inlineStr">
        <is>
          <t>https://www.claro.com.br/celular/flex</t>
        </is>
      </c>
      <c r="V4119" s="5" t="inlineStr">
        <is>
          <t>data/raw/claro_flex_SP.json</t>
        </is>
      </c>
    </row>
    <row r="4120">
      <c r="A4120" s="2" t="inlineStr">
        <is>
          <t>2026-09-03</t>
        </is>
      </c>
      <c r="B4120" s="2" t="inlineStr">
        <is>
          <t>2026-09-03T19:57:11</t>
        </is>
      </c>
      <c r="C4120" s="2" t="inlineStr">
        <is>
          <t>claro</t>
        </is>
      </c>
      <c r="D4120" s="2" t="inlineStr">
        <is>
          <t>flex</t>
        </is>
      </c>
      <c r="E4120" s="2" t="inlineStr">
        <is>
          <t>SP</t>
        </is>
      </c>
      <c r="F4120" s="2" t="inlineStr">
        <is>
          <t>Flex 20GB</t>
        </is>
      </c>
      <c r="G4120" s="2" t="inlineStr">
        <is>
          <t>claro:plano-flex-20gb</t>
        </is>
      </c>
      <c r="H4120" s="3" t="n">
        <v>59.9</v>
      </c>
      <c r="I4120" s="3" t="inlineStr"/>
      <c r="J4120" s="2" t="inlineStr"/>
      <c r="K4120" s="2" t="inlineStr"/>
      <c r="L4120" s="4" t="n">
        <v>20</v>
      </c>
      <c r="M4120" s="2" t="inlineStr"/>
      <c r="N4120" s="2" t="inlineStr"/>
      <c r="O4120" s="2" t="inlineStr">
        <is>
          <t>WhatsApp</t>
        </is>
      </c>
      <c r="P4120" s="2" t="inlineStr"/>
      <c r="Q4120" s="2" t="inlineStr"/>
      <c r="R4120" s="2" t="inlineStr"/>
      <c r="S4120" s="2" t="inlineStr"/>
      <c r="T4120" s="2" t="inlineStr">
        <is>
          <t>Para uso livre; Para redes sociais e apps; Bônus extra nos apps; WhatsApp ilimitado</t>
        </is>
      </c>
      <c r="U4120" s="2" t="inlineStr">
        <is>
          <t>https://www.claro.com.br/celular/flex</t>
        </is>
      </c>
      <c r="V4120" s="2" t="inlineStr">
        <is>
          <t>data/raw/claro_flex_SP.json</t>
        </is>
      </c>
    </row>
    <row r="4121">
      <c r="A4121" s="5" t="inlineStr">
        <is>
          <t>2026-09-03</t>
        </is>
      </c>
      <c r="B4121" s="5" t="inlineStr">
        <is>
          <t>2026-09-03T19:57:11</t>
        </is>
      </c>
      <c r="C4121" s="5" t="inlineStr">
        <is>
          <t>claro</t>
        </is>
      </c>
      <c r="D4121" s="5" t="inlineStr">
        <is>
          <t>flex</t>
        </is>
      </c>
      <c r="E4121" s="5" t="inlineStr">
        <is>
          <t>SP</t>
        </is>
      </c>
      <c r="F4121" s="5" t="inlineStr">
        <is>
          <t>Flex 30GB</t>
        </is>
      </c>
      <c r="G4121" s="5" t="inlineStr">
        <is>
          <t>claro:plano-flex-30gb</t>
        </is>
      </c>
      <c r="H4121" s="6" t="n">
        <v>69.90000000000001</v>
      </c>
      <c r="I4121" s="6" t="inlineStr"/>
      <c r="J4121" s="5" t="inlineStr"/>
      <c r="K4121" s="5" t="inlineStr"/>
      <c r="L4121" s="7" t="n">
        <v>30</v>
      </c>
      <c r="M4121" s="5" t="inlineStr"/>
      <c r="N4121" s="5" t="inlineStr"/>
      <c r="O4121" s="5" t="inlineStr">
        <is>
          <t>WhatsApp</t>
        </is>
      </c>
      <c r="P4121" s="5" t="inlineStr"/>
      <c r="Q4121" s="5" t="inlineStr"/>
      <c r="R4121" s="5" t="inlineStr"/>
      <c r="S4121" s="5" t="inlineStr"/>
      <c r="T4121" s="5" t="inlineStr">
        <is>
          <t>Para uso livre; Para redes sociais e apps; Bônus extra nos apps; WhatsApp ilimitado; Assinatura Claro musica inclusa</t>
        </is>
      </c>
      <c r="U4121" s="5" t="inlineStr">
        <is>
          <t>https://www.claro.com.br/celular/flex</t>
        </is>
      </c>
      <c r="V4121" s="5" t="inlineStr">
        <is>
          <t>data/raw/claro_flex_SP.json</t>
        </is>
      </c>
    </row>
    <row r="4122">
      <c r="A4122" s="2" t="inlineStr">
        <is>
          <t>2026-09-03</t>
        </is>
      </c>
      <c r="B4122" s="2" t="inlineStr">
        <is>
          <t>2026-09-03T19:57:11</t>
        </is>
      </c>
      <c r="C4122" s="2" t="inlineStr">
        <is>
          <t>claro</t>
        </is>
      </c>
      <c r="D4122" s="2" t="inlineStr">
        <is>
          <t>flex</t>
        </is>
      </c>
      <c r="E4122" s="2" t="inlineStr">
        <is>
          <t>SP</t>
        </is>
      </c>
      <c r="F4122" s="2" t="inlineStr">
        <is>
          <t>Flex 40GB</t>
        </is>
      </c>
      <c r="G4122" s="2" t="inlineStr">
        <is>
          <t>claro:plano-flex-40gb</t>
        </is>
      </c>
      <c r="H4122" s="3" t="n">
        <v>119.9</v>
      </c>
      <c r="I4122" s="3" t="inlineStr"/>
      <c r="J4122" s="2" t="inlineStr"/>
      <c r="K4122" s="2" t="inlineStr"/>
      <c r="L4122" s="4" t="n">
        <v>40</v>
      </c>
      <c r="M4122" s="2" t="inlineStr"/>
      <c r="N4122" s="2" t="inlineStr"/>
      <c r="O4122" s="2" t="inlineStr">
        <is>
          <t>WhatsApp</t>
        </is>
      </c>
      <c r="P4122" s="2" t="inlineStr"/>
      <c r="Q4122" s="2" t="inlineStr"/>
      <c r="R4122" s="2" t="inlineStr"/>
      <c r="S4122" s="2" t="inlineStr"/>
      <c r="T4122" s="2" t="inlineStr">
        <is>
          <t>Para uso livre; WhatsApp ilimitado; Assinatura Claro musica inclusa; Roaming: Passaporte Américas</t>
        </is>
      </c>
      <c r="U4122" s="2" t="inlineStr">
        <is>
          <t>https://www.claro.com.br/celular/flex</t>
        </is>
      </c>
      <c r="V4122" s="2" t="inlineStr">
        <is>
          <t>data/raw/claro_flex_SP.json</t>
        </is>
      </c>
    </row>
    <row r="4123">
      <c r="A4123" s="5" t="inlineStr">
        <is>
          <t>2026-09-03</t>
        </is>
      </c>
      <c r="B4123" s="5" t="inlineStr">
        <is>
          <t>2026-09-03T19:57:11</t>
        </is>
      </c>
      <c r="C4123" s="5" t="inlineStr">
        <is>
          <t>claro</t>
        </is>
      </c>
      <c r="D4123" s="5" t="inlineStr">
        <is>
          <t>postpaid</t>
        </is>
      </c>
      <c r="E4123" s="5" t="inlineStr">
        <is>
          <t>SP</t>
        </is>
      </c>
      <c r="F4123" s="5" t="inlineStr">
        <is>
          <t>Pós 100GB</t>
        </is>
      </c>
      <c r="G4123" s="5" t="inlineStr">
        <is>
          <t>claro:plano-pos-100gb</t>
        </is>
      </c>
      <c r="H4123" s="6" t="n">
        <v>179.9</v>
      </c>
      <c r="I4123" s="6" t="inlineStr"/>
      <c r="J4123" s="5" t="inlineStr"/>
      <c r="K4123" s="5" t="inlineStr"/>
      <c r="L4123" s="7" t="n">
        <v>100</v>
      </c>
      <c r="M4123" s="5" t="inlineStr"/>
      <c r="N4123" s="5" t="inlineStr"/>
      <c r="O4123" s="5" t="inlineStr">
        <is>
          <t>WhatsApp</t>
        </is>
      </c>
      <c r="P4123" s="5" t="inlineStr"/>
      <c r="Q4123" s="5" t="inlineStr"/>
      <c r="R4123" s="5" t="inlineStr"/>
      <c r="S4123" s="5" t="inlineStr"/>
      <c r="T4123" s="5" t="inlineStr">
        <is>
          <t>Armazenamento na nuvem:; Google One ou iCloud+; WhatsApp ilimitado; Assinatura Amazon Prime por 3 meses; Roaming: Passaporte Américas; Claro Sync: Smartwatch conectado</t>
        </is>
      </c>
      <c r="U4123" s="5" t="inlineStr">
        <is>
          <t>https://www.claro.com.br/celular/pos</t>
        </is>
      </c>
      <c r="V4123" s="5" t="inlineStr">
        <is>
          <t>data/raw/claro_postpaid_SP.json</t>
        </is>
      </c>
    </row>
    <row r="4124">
      <c r="A4124" s="2" t="inlineStr">
        <is>
          <t>2026-09-03</t>
        </is>
      </c>
      <c r="B4124" s="2" t="inlineStr">
        <is>
          <t>2026-09-03T19:57:11</t>
        </is>
      </c>
      <c r="C4124" s="2" t="inlineStr">
        <is>
          <t>claro</t>
        </is>
      </c>
      <c r="D4124" s="2" t="inlineStr">
        <is>
          <t>postpaid</t>
        </is>
      </c>
      <c r="E4124" s="2" t="inlineStr">
        <is>
          <t>SP</t>
        </is>
      </c>
      <c r="F4124" s="2" t="inlineStr">
        <is>
          <t>Pós 150GB</t>
        </is>
      </c>
      <c r="G4124" s="2" t="inlineStr">
        <is>
          <t>claro:plano-pos-150gb</t>
        </is>
      </c>
      <c r="H4124" s="3" t="n">
        <v>239.9</v>
      </c>
      <c r="I4124" s="3" t="inlineStr"/>
      <c r="J4124" s="2" t="inlineStr"/>
      <c r="K4124" s="2" t="inlineStr"/>
      <c r="L4124" s="4" t="n">
        <v>150</v>
      </c>
      <c r="M4124" s="2" t="inlineStr"/>
      <c r="N4124" s="2" t="inlineStr"/>
      <c r="O4124" s="2" t="inlineStr">
        <is>
          <t>WhatsApp</t>
        </is>
      </c>
      <c r="P4124" s="2" t="inlineStr"/>
      <c r="Q4124" s="2" t="inlineStr"/>
      <c r="R4124" s="2" t="inlineStr"/>
      <c r="S4124" s="2" t="inlineStr"/>
      <c r="T412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4124" s="2" t="inlineStr">
        <is>
          <t>https://www.claro.com.br/celular/pos</t>
        </is>
      </c>
      <c r="V4124" s="2" t="inlineStr">
        <is>
          <t>data/raw/claro_postpaid_SP.json</t>
        </is>
      </c>
    </row>
    <row r="4125">
      <c r="A4125" s="5" t="inlineStr">
        <is>
          <t>2026-09-03</t>
        </is>
      </c>
      <c r="B4125" s="5" t="inlineStr">
        <is>
          <t>2026-09-03T19:57:11</t>
        </is>
      </c>
      <c r="C4125" s="5" t="inlineStr">
        <is>
          <t>claro</t>
        </is>
      </c>
      <c r="D4125" s="5" t="inlineStr">
        <is>
          <t>postpaid</t>
        </is>
      </c>
      <c r="E4125" s="5" t="inlineStr">
        <is>
          <t>SP</t>
        </is>
      </c>
      <c r="F4125" s="5" t="inlineStr">
        <is>
          <t>Pós 200GB</t>
        </is>
      </c>
      <c r="G4125" s="5" t="inlineStr">
        <is>
          <t>claro:plano-pos-200gb</t>
        </is>
      </c>
      <c r="H4125" s="6" t="n">
        <v>339.9</v>
      </c>
      <c r="I4125" s="6" t="inlineStr"/>
      <c r="J4125" s="5" t="inlineStr"/>
      <c r="K4125" s="5" t="inlineStr"/>
      <c r="L4125" s="7" t="n">
        <v>200</v>
      </c>
      <c r="M4125" s="5" t="inlineStr"/>
      <c r="N4125" s="5" t="inlineStr"/>
      <c r="O4125" s="5" t="inlineStr">
        <is>
          <t>WhatsApp</t>
        </is>
      </c>
      <c r="P4125" s="5" t="inlineStr"/>
      <c r="Q4125" s="5" t="inlineStr"/>
      <c r="R4125" s="5" t="inlineStr"/>
      <c r="S4125" s="5" t="inlineStr"/>
      <c r="T4125" s="5" t="inlineStr">
        <is>
          <t>Armazenamento na nuvem:; Google One (AI Plus) ou iCloud+; WhatsApp ilimitado; Assinatura Amazon Prime por 3 meses; Roaming: Passaporte Mundo; Claro Sync: Smartwatch conectado</t>
        </is>
      </c>
      <c r="U4125" s="5" t="inlineStr">
        <is>
          <t>https://www.claro.com.br/celular/pos</t>
        </is>
      </c>
      <c r="V4125" s="5" t="inlineStr">
        <is>
          <t>data/raw/claro_postpaid_SP.json</t>
        </is>
      </c>
    </row>
    <row r="4126">
      <c r="A4126" s="2" t="inlineStr">
        <is>
          <t>2026-09-03</t>
        </is>
      </c>
      <c r="B4126" s="2" t="inlineStr">
        <is>
          <t>2026-09-03T19:57:11</t>
        </is>
      </c>
      <c r="C4126" s="2" t="inlineStr">
        <is>
          <t>claro</t>
        </is>
      </c>
      <c r="D4126" s="2" t="inlineStr">
        <is>
          <t>postpaid</t>
        </is>
      </c>
      <c r="E4126" s="2" t="inlineStr">
        <is>
          <t>SP</t>
        </is>
      </c>
      <c r="F4126" s="2" t="inlineStr">
        <is>
          <t>Pós 50GB com GeForce NOW</t>
        </is>
      </c>
      <c r="G4126" s="2" t="inlineStr">
        <is>
          <t>claro:plano-pos-60gb-geforce</t>
        </is>
      </c>
      <c r="H4126" s="3" t="n">
        <v>164.9</v>
      </c>
      <c r="I4126" s="3" t="inlineStr"/>
      <c r="J4126" s="2" t="inlineStr"/>
      <c r="K4126" s="2" t="inlineStr"/>
      <c r="L4126" s="4" t="n">
        <v>50</v>
      </c>
      <c r="M4126" s="2" t="inlineStr"/>
      <c r="N4126" s="2" t="inlineStr"/>
      <c r="O4126" s="2" t="inlineStr">
        <is>
          <t>WhatsApp</t>
        </is>
      </c>
      <c r="P4126" s="2" t="inlineStr"/>
      <c r="Q4126" s="2" t="inlineStr"/>
      <c r="R4126" s="2" t="inlineStr"/>
      <c r="S4126" s="2" t="inlineStr"/>
      <c r="T41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26" s="2" t="inlineStr">
        <is>
          <t>https://www.claro.com.br/celular/pos</t>
        </is>
      </c>
      <c r="V4126" s="2" t="inlineStr">
        <is>
          <t>data/raw/claro_postpaid_SP.json</t>
        </is>
      </c>
    </row>
    <row r="4127">
      <c r="A4127" s="5" t="inlineStr">
        <is>
          <t>2026-09-03</t>
        </is>
      </c>
      <c r="B4127" s="5" t="inlineStr">
        <is>
          <t>2026-09-03T19:57:11</t>
        </is>
      </c>
      <c r="C4127" s="5" t="inlineStr">
        <is>
          <t>claro</t>
        </is>
      </c>
      <c r="D4127" s="5" t="inlineStr">
        <is>
          <t>postpaid</t>
        </is>
      </c>
      <c r="E4127" s="5" t="inlineStr">
        <is>
          <t>SP</t>
        </is>
      </c>
      <c r="F4127" s="5" t="inlineStr">
        <is>
          <t>Pós 60GB</t>
        </is>
      </c>
      <c r="G4127" s="5" t="inlineStr">
        <is>
          <t>claro:plano-pos-60gb</t>
        </is>
      </c>
      <c r="H4127" s="6" t="n">
        <v>124.9</v>
      </c>
      <c r="I4127" s="6" t="inlineStr"/>
      <c r="J4127" s="5" t="inlineStr"/>
      <c r="K4127" s="5" t="inlineStr"/>
      <c r="L4127" s="7" t="n">
        <v>60</v>
      </c>
      <c r="M4127" s="5" t="inlineStr"/>
      <c r="N4127" s="5" t="inlineStr"/>
      <c r="O4127" s="5" t="inlineStr">
        <is>
          <t>WhatsApp</t>
        </is>
      </c>
      <c r="P4127" s="5" t="inlineStr"/>
      <c r="Q4127" s="5" t="inlineStr"/>
      <c r="R4127" s="5" t="inlineStr"/>
      <c r="S4127" s="5" t="inlineStr"/>
      <c r="T4127" s="5" t="inlineStr">
        <is>
          <t>Armazenamento na nuvem:; Google One ou iCloud+; WhatsApp ilimitado; Assinatura Amazon Prime por 3 meses; Roaming: Passaporte Américas; Claro Sync: Smartwatch conectado</t>
        </is>
      </c>
      <c r="U4127" s="5" t="inlineStr">
        <is>
          <t>https://www.claro.com.br/celular/pos</t>
        </is>
      </c>
      <c r="V4127" s="5" t="inlineStr">
        <is>
          <t>data/raw/claro_postpaid_SP.json</t>
        </is>
      </c>
    </row>
    <row r="4128">
      <c r="A4128" s="2" t="inlineStr">
        <is>
          <t>2026-09-03</t>
        </is>
      </c>
      <c r="B4128" s="2" t="inlineStr">
        <is>
          <t>2026-09-03T19:57:11</t>
        </is>
      </c>
      <c r="C4128" s="2" t="inlineStr">
        <is>
          <t>claro</t>
        </is>
      </c>
      <c r="D4128" s="2" t="inlineStr">
        <is>
          <t>prepaid</t>
        </is>
      </c>
      <c r="E4128" s="2" t="inlineStr">
        <is>
          <t>SP</t>
        </is>
      </c>
      <c r="F4128" s="2" t="inlineStr">
        <is>
          <t>Prezão 10GB (25 dias)</t>
        </is>
      </c>
      <c r="G4128" s="2" t="inlineStr">
        <is>
          <t>claro:prezao-25d-10gb</t>
        </is>
      </c>
      <c r="H4128" s="3" t="n">
        <v>25</v>
      </c>
      <c r="I4128" s="3" t="inlineStr"/>
      <c r="J4128" s="2" t="inlineStr">
        <is>
          <t>recarga Prezão R$25 — validade 25 dias</t>
        </is>
      </c>
      <c r="K4128" s="2" t="inlineStr"/>
      <c r="L4128" s="4" t="n">
        <v>10</v>
      </c>
      <c r="M4128" s="2" t="inlineStr"/>
      <c r="N4128" s="2" t="n">
        <v>25</v>
      </c>
      <c r="O4128" s="2" t="inlineStr"/>
      <c r="P4128" s="2" t="inlineStr"/>
      <c r="Q4128" s="2" t="inlineStr"/>
      <c r="R4128" s="2" t="inlineStr"/>
      <c r="S4128" s="2" t="inlineStr"/>
      <c r="T4128" s="2" t="inlineStr"/>
      <c r="U4128" s="2" t="inlineStr">
        <is>
          <t>https://www.claro.com.br/celular/planos-pre/prezao</t>
        </is>
      </c>
      <c r="V4128" s="2" t="inlineStr">
        <is>
          <t>data/raw/claro_prepaid_SP.json</t>
        </is>
      </c>
    </row>
    <row r="4129">
      <c r="A4129" s="5" t="inlineStr">
        <is>
          <t>2026-09-03</t>
        </is>
      </c>
      <c r="B4129" s="5" t="inlineStr">
        <is>
          <t>2026-09-03T19:57:11</t>
        </is>
      </c>
      <c r="C4129" s="5" t="inlineStr">
        <is>
          <t>claro</t>
        </is>
      </c>
      <c r="D4129" s="5" t="inlineStr">
        <is>
          <t>prepaid</t>
        </is>
      </c>
      <c r="E4129" s="5" t="inlineStr">
        <is>
          <t>SP</t>
        </is>
      </c>
      <c r="F4129" s="5" t="inlineStr">
        <is>
          <t>Prezão 12GB (30 dias)</t>
        </is>
      </c>
      <c r="G4129" s="5" t="inlineStr">
        <is>
          <t>claro:prezao-30d-12gb</t>
        </is>
      </c>
      <c r="H4129" s="6" t="n">
        <v>30</v>
      </c>
      <c r="I4129" s="6" t="inlineStr"/>
      <c r="J4129" s="5" t="inlineStr">
        <is>
          <t>recarga Prezão R$30 — validade 30 dias</t>
        </is>
      </c>
      <c r="K4129" s="5" t="inlineStr"/>
      <c r="L4129" s="7" t="n">
        <v>12</v>
      </c>
      <c r="M4129" s="5" t="inlineStr"/>
      <c r="N4129" s="5" t="n">
        <v>30</v>
      </c>
      <c r="O4129" s="5" t="inlineStr"/>
      <c r="P4129" s="5" t="inlineStr"/>
      <c r="Q4129" s="5" t="inlineStr"/>
      <c r="R4129" s="5" t="inlineStr"/>
      <c r="S4129" s="5" t="inlineStr"/>
      <c r="T4129" s="5" t="inlineStr"/>
      <c r="U4129" s="5" t="inlineStr">
        <is>
          <t>https://www.claro.com.br/celular/planos-pre/prezao</t>
        </is>
      </c>
      <c r="V4129" s="5" t="inlineStr">
        <is>
          <t>data/raw/claro_prepaid_SP.json</t>
        </is>
      </c>
    </row>
    <row r="4130">
      <c r="A4130" s="2" t="inlineStr">
        <is>
          <t>2026-09-03</t>
        </is>
      </c>
      <c r="B4130" s="2" t="inlineStr">
        <is>
          <t>2026-09-03T19:57:11</t>
        </is>
      </c>
      <c r="C4130" s="2" t="inlineStr">
        <is>
          <t>claro</t>
        </is>
      </c>
      <c r="D4130" s="2" t="inlineStr">
        <is>
          <t>prepaid</t>
        </is>
      </c>
      <c r="E4130" s="2" t="inlineStr">
        <is>
          <t>SP</t>
        </is>
      </c>
      <c r="F4130" s="2" t="inlineStr">
        <is>
          <t>Prezão 4GB (12 dias)</t>
        </is>
      </c>
      <c r="G4130" s="2" t="inlineStr">
        <is>
          <t>claro:prezao-12d-4gb</t>
        </is>
      </c>
      <c r="H4130" s="3" t="n">
        <v>15</v>
      </c>
      <c r="I4130" s="3" t="inlineStr"/>
      <c r="J4130" s="2" t="inlineStr">
        <is>
          <t>recarga Prezão R$15 — validade 12 dias</t>
        </is>
      </c>
      <c r="K4130" s="2" t="inlineStr"/>
      <c r="L4130" s="4" t="n">
        <v>4</v>
      </c>
      <c r="M4130" s="2" t="inlineStr"/>
      <c r="N4130" s="2" t="n">
        <v>12</v>
      </c>
      <c r="O4130" s="2" t="inlineStr"/>
      <c r="P4130" s="2" t="inlineStr"/>
      <c r="Q4130" s="2" t="inlineStr"/>
      <c r="R4130" s="2" t="inlineStr"/>
      <c r="S4130" s="2" t="inlineStr"/>
      <c r="T4130" s="2" t="inlineStr"/>
      <c r="U4130" s="2" t="inlineStr">
        <is>
          <t>https://www.claro.com.br/celular/planos-pre/prezao</t>
        </is>
      </c>
      <c r="V4130" s="2" t="inlineStr">
        <is>
          <t>data/raw/claro_prepaid_SP.json</t>
        </is>
      </c>
    </row>
    <row r="4131">
      <c r="A4131" s="5" t="inlineStr">
        <is>
          <t>2026-09-03</t>
        </is>
      </c>
      <c r="B4131" s="5" t="inlineStr">
        <is>
          <t>2026-09-03T19:57:11</t>
        </is>
      </c>
      <c r="C4131" s="5" t="inlineStr">
        <is>
          <t>claro</t>
        </is>
      </c>
      <c r="D4131" s="5" t="inlineStr">
        <is>
          <t>prepaid</t>
        </is>
      </c>
      <c r="E4131" s="5" t="inlineStr">
        <is>
          <t>SP</t>
        </is>
      </c>
      <c r="F4131" s="5" t="inlineStr">
        <is>
          <t>Prezão 5GB (15 dias)</t>
        </is>
      </c>
      <c r="G4131" s="5" t="inlineStr">
        <is>
          <t>claro:prezao-15d-5gb</t>
        </is>
      </c>
      <c r="H4131" s="6" t="n">
        <v>15</v>
      </c>
      <c r="I4131" s="6" t="inlineStr"/>
      <c r="J4131" s="5" t="inlineStr">
        <is>
          <t>recarga Prezão R$15 — validade 15 dias</t>
        </is>
      </c>
      <c r="K4131" s="5" t="inlineStr"/>
      <c r="L4131" s="7" t="n">
        <v>5</v>
      </c>
      <c r="M4131" s="5" t="inlineStr"/>
      <c r="N4131" s="5" t="n">
        <v>15</v>
      </c>
      <c r="O4131" s="5" t="inlineStr"/>
      <c r="P4131" s="5" t="inlineStr"/>
      <c r="Q4131" s="5" t="inlineStr"/>
      <c r="R4131" s="5" t="inlineStr"/>
      <c r="S4131" s="5" t="inlineStr"/>
      <c r="T4131" s="5" t="inlineStr"/>
      <c r="U4131" s="5" t="inlineStr">
        <is>
          <t>https://www.claro.com.br/celular/planos-pre/prezao</t>
        </is>
      </c>
      <c r="V4131" s="5" t="inlineStr">
        <is>
          <t>data/raw/claro_prepaid_SP.json</t>
        </is>
      </c>
    </row>
    <row r="4132">
      <c r="A4132" s="2" t="inlineStr">
        <is>
          <t>2026-09-03</t>
        </is>
      </c>
      <c r="B4132" s="2" t="inlineStr">
        <is>
          <t>2026-09-03T19:57:11</t>
        </is>
      </c>
      <c r="C4132" s="2" t="inlineStr">
        <is>
          <t>claro</t>
        </is>
      </c>
      <c r="D4132" s="2" t="inlineStr">
        <is>
          <t>prepaid</t>
        </is>
      </c>
      <c r="E4132" s="2" t="inlineStr">
        <is>
          <t>SP</t>
        </is>
      </c>
      <c r="F4132" s="2" t="inlineStr">
        <is>
          <t>Prezão 6GB (20 dias)</t>
        </is>
      </c>
      <c r="G4132" s="2" t="inlineStr">
        <is>
          <t>claro:prezao-20d-6gb</t>
        </is>
      </c>
      <c r="H4132" s="3" t="n">
        <v>20</v>
      </c>
      <c r="I4132" s="3" t="inlineStr"/>
      <c r="J4132" s="2" t="inlineStr">
        <is>
          <t>recarga Prezão R$20 — validade 20 dias</t>
        </is>
      </c>
      <c r="K4132" s="2" t="inlineStr"/>
      <c r="L4132" s="4" t="n">
        <v>6</v>
      </c>
      <c r="M4132" s="2" t="inlineStr"/>
      <c r="N4132" s="2" t="n">
        <v>20</v>
      </c>
      <c r="O4132" s="2" t="inlineStr"/>
      <c r="P4132" s="2" t="inlineStr"/>
      <c r="Q4132" s="2" t="inlineStr"/>
      <c r="R4132" s="2" t="inlineStr"/>
      <c r="S4132" s="2" t="inlineStr"/>
      <c r="T4132" s="2" t="inlineStr"/>
      <c r="U4132" s="2" t="inlineStr">
        <is>
          <t>https://www.claro.com.br/celular/planos-pre/prezao</t>
        </is>
      </c>
      <c r="V4132" s="2" t="inlineStr">
        <is>
          <t>data/raw/claro_prepaid_SP.json</t>
        </is>
      </c>
    </row>
    <row r="4133">
      <c r="A4133" s="5" t="inlineStr">
        <is>
          <t>2026-09-03</t>
        </is>
      </c>
      <c r="B4133" s="5" t="inlineStr">
        <is>
          <t>2026-09-03T19:57:11</t>
        </is>
      </c>
      <c r="C4133" s="5" t="inlineStr">
        <is>
          <t>claro</t>
        </is>
      </c>
      <c r="D4133" s="5" t="inlineStr">
        <is>
          <t>prepaid</t>
        </is>
      </c>
      <c r="E4133" s="5" t="inlineStr">
        <is>
          <t>SP</t>
        </is>
      </c>
      <c r="F4133" s="5" t="inlineStr">
        <is>
          <t>Prezão 8GB (20 dias)</t>
        </is>
      </c>
      <c r="G4133" s="5" t="inlineStr">
        <is>
          <t>claro:prezao-20d-8gb</t>
        </is>
      </c>
      <c r="H4133" s="6" t="n">
        <v>20</v>
      </c>
      <c r="I4133" s="6" t="inlineStr"/>
      <c r="J4133" s="5" t="inlineStr">
        <is>
          <t>recarga Prezão R$20 — validade 20 dias</t>
        </is>
      </c>
      <c r="K4133" s="5" t="inlineStr"/>
      <c r="L4133" s="7" t="n">
        <v>8</v>
      </c>
      <c r="M4133" s="5" t="inlineStr"/>
      <c r="N4133" s="5" t="n">
        <v>20</v>
      </c>
      <c r="O4133" s="5" t="inlineStr"/>
      <c r="P4133" s="5" t="inlineStr"/>
      <c r="Q4133" s="5" t="inlineStr"/>
      <c r="R4133" s="5" t="inlineStr"/>
      <c r="S4133" s="5" t="inlineStr"/>
      <c r="T4133" s="5" t="inlineStr"/>
      <c r="U4133" s="5" t="inlineStr">
        <is>
          <t>https://www.claro.com.br/celular/planos-pre/prezao</t>
        </is>
      </c>
      <c r="V4133" s="5" t="inlineStr">
        <is>
          <t>data/raw/claro_prepaid_SP.json</t>
        </is>
      </c>
    </row>
    <row r="4134">
      <c r="A4134" s="2" t="inlineStr">
        <is>
          <t>2026-09-03</t>
        </is>
      </c>
      <c r="B4134" s="2" t="inlineStr">
        <is>
          <t>2026-09-03T19:57:11</t>
        </is>
      </c>
      <c r="C4134" s="2" t="inlineStr">
        <is>
          <t>claro</t>
        </is>
      </c>
      <c r="D4134" s="2" t="inlineStr">
        <is>
          <t>prepaid</t>
        </is>
      </c>
      <c r="E4134" s="2" t="inlineStr">
        <is>
          <t>SP</t>
        </is>
      </c>
      <c r="F4134" s="2" t="inlineStr">
        <is>
          <t>Prezão 9GB (25 dias)</t>
        </is>
      </c>
      <c r="G4134" s="2" t="inlineStr">
        <is>
          <t>claro:prezao-25d-9gb</t>
        </is>
      </c>
      <c r="H4134" s="3" t="n">
        <v>25</v>
      </c>
      <c r="I4134" s="3" t="inlineStr"/>
      <c r="J4134" s="2" t="inlineStr">
        <is>
          <t>recarga Prezão R$25 — validade 25 dias</t>
        </is>
      </c>
      <c r="K4134" s="2" t="inlineStr"/>
      <c r="L4134" s="4" t="n">
        <v>9</v>
      </c>
      <c r="M4134" s="2" t="inlineStr"/>
      <c r="N4134" s="2" t="n">
        <v>25</v>
      </c>
      <c r="O4134" s="2" t="inlineStr"/>
      <c r="P4134" s="2" t="inlineStr"/>
      <c r="Q4134" s="2" t="inlineStr"/>
      <c r="R4134" s="2" t="inlineStr"/>
      <c r="S4134" s="2" t="inlineStr"/>
      <c r="T4134" s="2" t="inlineStr"/>
      <c r="U4134" s="2" t="inlineStr">
        <is>
          <t>https://www.claro.com.br/celular/planos-pre/prezao</t>
        </is>
      </c>
      <c r="V4134" s="2" t="inlineStr">
        <is>
          <t>data/raw/claro_prepaid_SP.json</t>
        </is>
      </c>
    </row>
    <row r="4135">
      <c r="A4135" s="5" t="inlineStr">
        <is>
          <t>2026-09-03</t>
        </is>
      </c>
      <c r="B4135" s="5" t="inlineStr">
        <is>
          <t>2026-09-03T19:57:11</t>
        </is>
      </c>
      <c r="C4135" s="5" t="inlineStr">
        <is>
          <t>tim</t>
        </is>
      </c>
      <c r="D4135" s="5" t="inlineStr">
        <is>
          <t>control</t>
        </is>
      </c>
      <c r="E4135" s="5" t="inlineStr">
        <is>
          <t>SP</t>
        </is>
      </c>
      <c r="F4135" s="5" t="inlineStr">
        <is>
          <t>TIM Controle 45GB</t>
        </is>
      </c>
      <c r="G4135" s="5" t="inlineStr">
        <is>
          <t>tim:182766</t>
        </is>
      </c>
      <c r="H4135" s="6" t="n">
        <v>49.99</v>
      </c>
      <c r="I4135" s="6" t="inlineStr"/>
      <c r="J4135" s="5" t="inlineStr"/>
      <c r="K4135" s="5" t="inlineStr"/>
      <c r="L4135" s="7" t="n">
        <v>45</v>
      </c>
      <c r="M4135" s="5" t="inlineStr"/>
      <c r="N4135" s="5" t="inlineStr"/>
      <c r="O4135" s="5" t="inlineStr"/>
      <c r="P4135" s="5" t="inlineStr"/>
      <c r="Q4135" s="5" t="inlineStr"/>
      <c r="R4135" s="5" t="inlineStr"/>
      <c r="S4135" s="5" t="inlineStr"/>
      <c r="T4135" s="5" t="inlineStr"/>
      <c r="U4135" s="5" t="inlineStr">
        <is>
          <t>https://www.tim.com.br/sp/para-voce/planos/controle</t>
        </is>
      </c>
      <c r="V4135" s="5" t="inlineStr">
        <is>
          <t>data/raw/tim_control_SP.html</t>
        </is>
      </c>
    </row>
    <row r="4136">
      <c r="A4136" s="2" t="inlineStr">
        <is>
          <t>2026-09-03</t>
        </is>
      </c>
      <c r="B4136" s="2" t="inlineStr">
        <is>
          <t>2026-09-03T19:57:11</t>
        </is>
      </c>
      <c r="C4136" s="2" t="inlineStr">
        <is>
          <t>tim</t>
        </is>
      </c>
      <c r="D4136" s="2" t="inlineStr">
        <is>
          <t>control</t>
        </is>
      </c>
      <c r="E4136" s="2" t="inlineStr">
        <is>
          <t>SP</t>
        </is>
      </c>
      <c r="F4136" s="2" t="inlineStr">
        <is>
          <t>TIM Controle Light Express 45GB</t>
        </is>
      </c>
      <c r="G4136" s="2" t="inlineStr">
        <is>
          <t>tim:167726</t>
        </is>
      </c>
      <c r="H4136" s="3" t="n">
        <v>60.99</v>
      </c>
      <c r="I4136" s="3" t="inlineStr"/>
      <c r="J4136" s="2" t="inlineStr"/>
      <c r="K4136" s="2" t="inlineStr"/>
      <c r="L4136" s="4" t="n">
        <v>45</v>
      </c>
      <c r="M4136" s="2" t="inlineStr"/>
      <c r="N4136" s="2" t="inlineStr"/>
      <c r="O4136" s="2" t="inlineStr"/>
      <c r="P4136" s="2" t="inlineStr"/>
      <c r="Q4136" s="2" t="inlineStr"/>
      <c r="R4136" s="2" t="inlineStr"/>
      <c r="S4136" s="2" t="inlineStr"/>
      <c r="T4136" s="2" t="inlineStr"/>
      <c r="U4136" s="2" t="inlineStr">
        <is>
          <t>https://www.tim.com.br/sp/para-voce/planos/controle</t>
        </is>
      </c>
      <c r="V4136" s="2" t="inlineStr">
        <is>
          <t>data/raw/tim_control_SP.html</t>
        </is>
      </c>
    </row>
    <row r="4137">
      <c r="A4137" s="5" t="inlineStr">
        <is>
          <t>2026-09-03</t>
        </is>
      </c>
      <c r="B4137" s="5" t="inlineStr">
        <is>
          <t>2026-09-03T19:57:11</t>
        </is>
      </c>
      <c r="C4137" s="5" t="inlineStr">
        <is>
          <t>tim</t>
        </is>
      </c>
      <c r="D4137" s="5" t="inlineStr">
        <is>
          <t>control</t>
        </is>
      </c>
      <c r="E4137" s="5" t="inlineStr">
        <is>
          <t>SP</t>
        </is>
      </c>
      <c r="F4137" s="5" t="inlineStr">
        <is>
          <t>TIM Controle Premium 55GB</t>
        </is>
      </c>
      <c r="G4137" s="5" t="inlineStr">
        <is>
          <t>tim:180756</t>
        </is>
      </c>
      <c r="H4137" s="6" t="n">
        <v>69.98999999999999</v>
      </c>
      <c r="I4137" s="6" t="inlineStr"/>
      <c r="J4137" s="5" t="inlineStr"/>
      <c r="K4137" s="5" t="inlineStr"/>
      <c r="L4137" s="7" t="n">
        <v>55</v>
      </c>
      <c r="M4137" s="5" t="inlineStr"/>
      <c r="N4137" s="5" t="inlineStr"/>
      <c r="O4137" s="5" t="inlineStr"/>
      <c r="P4137" s="5" t="inlineStr"/>
      <c r="Q4137" s="5" t="inlineStr"/>
      <c r="R4137" s="5" t="inlineStr"/>
      <c r="S4137" s="5" t="inlineStr"/>
      <c r="T4137" s="5" t="inlineStr"/>
      <c r="U4137" s="5" t="inlineStr">
        <is>
          <t>https://www.tim.com.br/sp/para-voce/planos/controle</t>
        </is>
      </c>
      <c r="V4137" s="5" t="inlineStr">
        <is>
          <t>data/raw/tim_control_SP.html</t>
        </is>
      </c>
    </row>
    <row r="4138">
      <c r="A4138" s="2" t="inlineStr">
        <is>
          <t>2026-09-03</t>
        </is>
      </c>
      <c r="B4138" s="2" t="inlineStr">
        <is>
          <t>2026-09-03T19:57:11</t>
        </is>
      </c>
      <c r="C4138" s="2" t="inlineStr">
        <is>
          <t>tim</t>
        </is>
      </c>
      <c r="D4138" s="2" t="inlineStr">
        <is>
          <t>control</t>
        </is>
      </c>
      <c r="E4138" s="2" t="inlineStr">
        <is>
          <t>SP</t>
        </is>
      </c>
      <c r="F4138" s="2" t="inlineStr">
        <is>
          <t>TIM Controle Pro Express 46GB</t>
        </is>
      </c>
      <c r="G4138" s="2" t="inlineStr">
        <is>
          <t>tim:167731</t>
        </is>
      </c>
      <c r="H4138" s="3" t="n">
        <v>64.98999999999999</v>
      </c>
      <c r="I4138" s="3" t="inlineStr"/>
      <c r="J4138" s="2" t="inlineStr"/>
      <c r="K4138" s="2" t="inlineStr"/>
      <c r="L4138" s="4" t="n">
        <v>46</v>
      </c>
      <c r="M4138" s="2" t="inlineStr"/>
      <c r="N4138" s="2" t="inlineStr"/>
      <c r="O4138" s="2" t="inlineStr"/>
      <c r="P4138" s="2" t="inlineStr"/>
      <c r="Q4138" s="2" t="inlineStr"/>
      <c r="R4138" s="2" t="inlineStr"/>
      <c r="S4138" s="2" t="inlineStr"/>
      <c r="T4138" s="2" t="inlineStr"/>
      <c r="U4138" s="2" t="inlineStr">
        <is>
          <t>https://www.tim.com.br/sp/para-voce/planos/controle</t>
        </is>
      </c>
      <c r="V4138" s="2" t="inlineStr">
        <is>
          <t>data/raw/tim_control_SP.html</t>
        </is>
      </c>
    </row>
    <row r="4139">
      <c r="A4139" s="5" t="inlineStr">
        <is>
          <t>2026-09-03</t>
        </is>
      </c>
      <c r="B4139" s="5" t="inlineStr">
        <is>
          <t>2026-09-03T19:57:11</t>
        </is>
      </c>
      <c r="C4139" s="5" t="inlineStr">
        <is>
          <t>tim</t>
        </is>
      </c>
      <c r="D4139" s="5" t="inlineStr">
        <is>
          <t>control</t>
        </is>
      </c>
      <c r="E4139" s="5" t="inlineStr">
        <is>
          <t>SP</t>
        </is>
      </c>
      <c r="F4139" s="5" t="inlineStr">
        <is>
          <t>TIM Controle Redes Sociais 46GB</t>
        </is>
      </c>
      <c r="G4139" s="5" t="inlineStr">
        <is>
          <t>tim:167031</t>
        </is>
      </c>
      <c r="H4139" s="6" t="n">
        <v>59.99</v>
      </c>
      <c r="I4139" s="6" t="inlineStr"/>
      <c r="J4139" s="5" t="inlineStr"/>
      <c r="K4139" s="5" t="inlineStr"/>
      <c r="L4139" s="7" t="n">
        <v>46</v>
      </c>
      <c r="M4139" s="5" t="inlineStr"/>
      <c r="N4139" s="5" t="inlineStr"/>
      <c r="O4139" s="5" t="inlineStr"/>
      <c r="P4139" s="5" t="inlineStr"/>
      <c r="Q4139" s="5" t="inlineStr"/>
      <c r="R4139" s="5" t="inlineStr"/>
      <c r="S4139" s="5" t="inlineStr"/>
      <c r="T4139" s="5" t="inlineStr"/>
      <c r="U4139" s="5" t="inlineStr">
        <is>
          <t>https://www.tim.com.br/sp/para-voce/planos/controle</t>
        </is>
      </c>
      <c r="V4139" s="5" t="inlineStr">
        <is>
          <t>data/raw/tim_control_SP.html</t>
        </is>
      </c>
    </row>
    <row r="4140">
      <c r="A4140" s="2" t="inlineStr">
        <is>
          <t>2026-09-03</t>
        </is>
      </c>
      <c r="B4140" s="2" t="inlineStr">
        <is>
          <t>2026-09-03T19:57:11</t>
        </is>
      </c>
      <c r="C4140" s="2" t="inlineStr">
        <is>
          <t>tim</t>
        </is>
      </c>
      <c r="D4140" s="2" t="inlineStr">
        <is>
          <t>fit</t>
        </is>
      </c>
      <c r="E4140" s="2" t="inlineStr">
        <is>
          <t>SP</t>
        </is>
      </c>
      <c r="F4140" s="2" t="inlineStr">
        <is>
          <t>TIM Controle Fit Anual 1.0</t>
        </is>
      </c>
      <c r="G4140" s="2" t="inlineStr">
        <is>
          <t>tim:TIM202600000306</t>
        </is>
      </c>
      <c r="H4140" s="3" t="n">
        <v>20</v>
      </c>
      <c r="I4140" s="3" t="inlineStr"/>
      <c r="J4140" s="2" t="inlineStr">
        <is>
          <t>plano anual 12x no cartão de crédito; a etiqueta TIM informa 'sem prazo de permanência'</t>
        </is>
      </c>
      <c r="K4140" s="2" t="inlineStr">
        <is>
          <t>credit_card</t>
        </is>
      </c>
      <c r="L4140" s="4" t="n">
        <v>25</v>
      </c>
      <c r="M4140" s="2" t="inlineStr"/>
      <c r="N4140" s="2" t="inlineStr"/>
      <c r="O4140" s="2" t="inlineStr"/>
      <c r="P4140" s="2" t="inlineStr"/>
      <c r="Q4140" s="2" t="inlineStr"/>
      <c r="R4140" s="2" t="inlineStr"/>
      <c r="S4140" s="2" t="n">
        <v>12</v>
      </c>
      <c r="T4140" s="2" t="inlineStr"/>
      <c r="U4140" s="2" t="inlineStr">
        <is>
          <t>https://www.tim.com.br/sp/para-voce/planos/controle</t>
        </is>
      </c>
      <c r="V4140" s="2" t="inlineStr">
        <is>
          <t>data/raw/tim_fit_SP.html</t>
        </is>
      </c>
    </row>
    <row r="4141">
      <c r="A4141" s="5" t="inlineStr">
        <is>
          <t>2026-09-03</t>
        </is>
      </c>
      <c r="B4141" s="5" t="inlineStr">
        <is>
          <t>2026-09-03T19:57:11</t>
        </is>
      </c>
      <c r="C4141" s="5" t="inlineStr">
        <is>
          <t>tim</t>
        </is>
      </c>
      <c r="D4141" s="5" t="inlineStr">
        <is>
          <t>fit</t>
        </is>
      </c>
      <c r="E4141" s="5" t="inlineStr">
        <is>
          <t>SP</t>
        </is>
      </c>
      <c r="F4141" s="5" t="inlineStr">
        <is>
          <t>TIM Controle Fit Anual 2.0</t>
        </is>
      </c>
      <c r="G4141" s="5" t="inlineStr">
        <is>
          <t>tim:TIM202600000271</t>
        </is>
      </c>
      <c r="H4141" s="6" t="n">
        <v>30</v>
      </c>
      <c r="I4141" s="6" t="inlineStr"/>
      <c r="J4141" s="5" t="inlineStr">
        <is>
          <t>plano anual 12x no cartão de crédito; a etiqueta TIM informa 'sem prazo de permanência'</t>
        </is>
      </c>
      <c r="K4141" s="5" t="inlineStr">
        <is>
          <t>credit_card</t>
        </is>
      </c>
      <c r="L4141" s="7" t="n">
        <v>35</v>
      </c>
      <c r="M4141" s="5" t="inlineStr"/>
      <c r="N4141" s="5" t="inlineStr"/>
      <c r="O4141" s="5" t="inlineStr"/>
      <c r="P4141" s="5" t="inlineStr"/>
      <c r="Q4141" s="5" t="inlineStr"/>
      <c r="R4141" s="5" t="inlineStr"/>
      <c r="S4141" s="5" t="n">
        <v>12</v>
      </c>
      <c r="T4141" s="5" t="inlineStr"/>
      <c r="U4141" s="5" t="inlineStr">
        <is>
          <t>https://www.tim.com.br/sp/para-voce/planos/controle</t>
        </is>
      </c>
      <c r="V4141" s="5" t="inlineStr">
        <is>
          <t>data/raw/tim_fit_SP.html</t>
        </is>
      </c>
    </row>
    <row r="4142">
      <c r="A4142" s="2" t="inlineStr">
        <is>
          <t>2026-09-03</t>
        </is>
      </c>
      <c r="B4142" s="2" t="inlineStr">
        <is>
          <t>2026-09-03T19:57:11</t>
        </is>
      </c>
      <c r="C4142" s="2" t="inlineStr">
        <is>
          <t>tim</t>
        </is>
      </c>
      <c r="D4142" s="2" t="inlineStr">
        <is>
          <t>fit</t>
        </is>
      </c>
      <c r="E4142" s="2" t="inlineStr">
        <is>
          <t>SP</t>
        </is>
      </c>
      <c r="F4142" s="2" t="inlineStr">
        <is>
          <t>TIM Controle Fit Mensal 1.0</t>
        </is>
      </c>
      <c r="G4142" s="2" t="inlineStr">
        <is>
          <t>tim:TIM202600000270</t>
        </is>
      </c>
      <c r="H4142" s="3" t="n">
        <v>20</v>
      </c>
      <c r="I4142" s="3" t="inlineStr"/>
      <c r="J41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4142" s="2" t="inlineStr"/>
      <c r="L4142" s="4" t="n">
        <v>20</v>
      </c>
      <c r="M4142" s="2" t="inlineStr"/>
      <c r="N4142" s="2" t="inlineStr"/>
      <c r="O4142" s="2" t="inlineStr"/>
      <c r="P4142" s="2" t="inlineStr"/>
      <c r="Q4142" s="2" t="inlineStr"/>
      <c r="R4142" s="2" t="inlineStr"/>
      <c r="S4142" s="2" t="inlineStr"/>
      <c r="T4142" s="2" t="inlineStr"/>
      <c r="U4142" s="2" t="inlineStr">
        <is>
          <t>https://www.tim.com.br/sp/para-voce/planos/controle</t>
        </is>
      </c>
      <c r="V4142" s="2" t="inlineStr">
        <is>
          <t>data/raw/tim_fit_SP.html</t>
        </is>
      </c>
    </row>
    <row r="4143">
      <c r="A4143" s="5" t="inlineStr">
        <is>
          <t>2026-09-03</t>
        </is>
      </c>
      <c r="B4143" s="5" t="inlineStr">
        <is>
          <t>2026-09-03T19:57:11</t>
        </is>
      </c>
      <c r="C4143" s="5" t="inlineStr">
        <is>
          <t>tim</t>
        </is>
      </c>
      <c r="D4143" s="5" t="inlineStr">
        <is>
          <t>fit</t>
        </is>
      </c>
      <c r="E4143" s="5" t="inlineStr">
        <is>
          <t>SP</t>
        </is>
      </c>
      <c r="F4143" s="5" t="inlineStr">
        <is>
          <t>TIM Controle Fit Mensal 2.0</t>
        </is>
      </c>
      <c r="G4143" s="5" t="inlineStr">
        <is>
          <t>tim:TIM202600000305</t>
        </is>
      </c>
      <c r="H4143" s="6" t="n">
        <v>45</v>
      </c>
      <c r="I4143" s="6" t="inlineStr"/>
      <c r="J4143" s="5" t="inlineStr">
        <is>
          <t>plano mensal, sem prazo de permanência; a etiqueta TIM informa 'sem prazo de permanência'</t>
        </is>
      </c>
      <c r="K4143" s="5" t="inlineStr"/>
      <c r="L4143" s="7" t="n">
        <v>35</v>
      </c>
      <c r="M4143" s="5" t="inlineStr"/>
      <c r="N4143" s="5" t="inlineStr"/>
      <c r="O4143" s="5" t="inlineStr"/>
      <c r="P4143" s="5" t="inlineStr"/>
      <c r="Q4143" s="5" t="inlineStr"/>
      <c r="R4143" s="5" t="inlineStr"/>
      <c r="S4143" s="5" t="inlineStr"/>
      <c r="T4143" s="5" t="inlineStr"/>
      <c r="U4143" s="5" t="inlineStr">
        <is>
          <t>https://www.tim.com.br/sp/para-voce/planos/controle</t>
        </is>
      </c>
      <c r="V4143" s="5" t="inlineStr">
        <is>
          <t>data/raw/tim_fit_SP.html</t>
        </is>
      </c>
    </row>
    <row r="4144">
      <c r="A4144" s="2" t="inlineStr">
        <is>
          <t>2026-09-03</t>
        </is>
      </c>
      <c r="B4144" s="2" t="inlineStr">
        <is>
          <t>2026-09-03T19:57:11</t>
        </is>
      </c>
      <c r="C4144" s="2" t="inlineStr">
        <is>
          <t>tim</t>
        </is>
      </c>
      <c r="D4144" s="2" t="inlineStr">
        <is>
          <t>postpaid</t>
        </is>
      </c>
      <c r="E4144" s="2" t="inlineStr">
        <is>
          <t>SP</t>
        </is>
      </c>
      <c r="F4144" s="2" t="inlineStr">
        <is>
          <t>TIM Black 70GB</t>
        </is>
      </c>
      <c r="G4144" s="2" t="inlineStr">
        <is>
          <t>tim:54206</t>
        </is>
      </c>
      <c r="H4144" s="3" t="n">
        <v>129.99</v>
      </c>
      <c r="I4144" s="3" t="inlineStr"/>
      <c r="J4144" s="2" t="inlineStr"/>
      <c r="K4144" s="2" t="inlineStr">
        <is>
          <t>bill</t>
        </is>
      </c>
      <c r="L4144" s="4" t="n">
        <v>70</v>
      </c>
      <c r="M4144" s="2" t="inlineStr"/>
      <c r="N4144" s="2" t="inlineStr"/>
      <c r="O4144" s="2" t="inlineStr"/>
      <c r="P4144" s="2" t="inlineStr"/>
      <c r="Q4144" s="2" t="inlineStr"/>
      <c r="R4144" s="2" t="inlineStr"/>
      <c r="S4144" s="2" t="inlineStr"/>
      <c r="T4144" s="2" t="inlineStr"/>
      <c r="U4144" s="2" t="inlineStr">
        <is>
          <t>https://www.tim.com.br/sp/para-voce/planos/pos-pago/tim-black</t>
        </is>
      </c>
      <c r="V4144" s="2" t="inlineStr">
        <is>
          <t>data/raw/tim_postpaid_SP.html</t>
        </is>
      </c>
    </row>
    <row r="4145">
      <c r="A4145" s="5" t="inlineStr">
        <is>
          <t>2026-09-03</t>
        </is>
      </c>
      <c r="B4145" s="5" t="inlineStr">
        <is>
          <t>2026-09-03T19:57:11</t>
        </is>
      </c>
      <c r="C4145" s="5" t="inlineStr">
        <is>
          <t>tim</t>
        </is>
      </c>
      <c r="D4145" s="5" t="inlineStr">
        <is>
          <t>postpaid</t>
        </is>
      </c>
      <c r="E4145" s="5" t="inlineStr">
        <is>
          <t>SP</t>
        </is>
      </c>
      <c r="F4145" s="5" t="inlineStr">
        <is>
          <t>TIM Black B Express 82GB</t>
        </is>
      </c>
      <c r="G4145" s="5" t="inlineStr">
        <is>
          <t>tim:52146</t>
        </is>
      </c>
      <c r="H4145" s="6" t="n">
        <v>144.99</v>
      </c>
      <c r="I4145" s="6" t="inlineStr"/>
      <c r="J4145" s="5" t="inlineStr"/>
      <c r="K4145" s="5" t="inlineStr">
        <is>
          <t>credit_card</t>
        </is>
      </c>
      <c r="L4145" s="7" t="n">
        <v>82</v>
      </c>
      <c r="M4145" s="5" t="inlineStr"/>
      <c r="N4145" s="5" t="inlineStr"/>
      <c r="O4145" s="5" t="inlineStr"/>
      <c r="P4145" s="5" t="inlineStr"/>
      <c r="Q4145" s="5" t="inlineStr"/>
      <c r="R4145" s="5" t="inlineStr"/>
      <c r="S4145" s="5" t="inlineStr"/>
      <c r="T4145" s="5" t="inlineStr"/>
      <c r="U4145" s="5" t="inlineStr">
        <is>
          <t>https://www.tim.com.br/sp/para-voce/planos/pos-pago/tim-black</t>
        </is>
      </c>
      <c r="V4145" s="5" t="inlineStr">
        <is>
          <t>data/raw/tim_postpaid_SP.html</t>
        </is>
      </c>
    </row>
    <row r="4146">
      <c r="A4146" s="2" t="inlineStr">
        <is>
          <t>2026-09-03</t>
        </is>
      </c>
      <c r="B4146" s="2" t="inlineStr">
        <is>
          <t>2026-09-03T19:57:11</t>
        </is>
      </c>
      <c r="C4146" s="2" t="inlineStr">
        <is>
          <t>tim</t>
        </is>
      </c>
      <c r="D4146" s="2" t="inlineStr">
        <is>
          <t>postpaid</t>
        </is>
      </c>
      <c r="E4146" s="2" t="inlineStr">
        <is>
          <t>SP</t>
        </is>
      </c>
      <c r="F4146" s="2" t="inlineStr">
        <is>
          <t>TIM Black C Express 107GB</t>
        </is>
      </c>
      <c r="G4146" s="2" t="inlineStr">
        <is>
          <t>tim:52151</t>
        </is>
      </c>
      <c r="H4146" s="3" t="n">
        <v>164.99</v>
      </c>
      <c r="I4146" s="3" t="inlineStr"/>
      <c r="J4146" s="2" t="inlineStr"/>
      <c r="K4146" s="2" t="inlineStr">
        <is>
          <t>credit_card</t>
        </is>
      </c>
      <c r="L4146" s="4" t="n">
        <v>107</v>
      </c>
      <c r="M4146" s="2" t="inlineStr"/>
      <c r="N4146" s="2" t="inlineStr"/>
      <c r="O4146" s="2" t="inlineStr"/>
      <c r="P4146" s="2" t="inlineStr"/>
      <c r="Q4146" s="2" t="inlineStr"/>
      <c r="R4146" s="2" t="inlineStr"/>
      <c r="S4146" s="2" t="inlineStr"/>
      <c r="T4146" s="2" t="inlineStr"/>
      <c r="U4146" s="2" t="inlineStr">
        <is>
          <t>https://www.tim.com.br/sp/para-voce/planos/pos-pago/tim-black</t>
        </is>
      </c>
      <c r="V4146" s="2" t="inlineStr">
        <is>
          <t>data/raw/tim_postpaid_SP.html</t>
        </is>
      </c>
    </row>
    <row r="4147">
      <c r="A4147" s="5" t="inlineStr">
        <is>
          <t>2026-09-03</t>
        </is>
      </c>
      <c r="B4147" s="5" t="inlineStr">
        <is>
          <t>2026-09-03T19:57:11</t>
        </is>
      </c>
      <c r="C4147" s="5" t="inlineStr">
        <is>
          <t>tim</t>
        </is>
      </c>
      <c r="D4147" s="5" t="inlineStr">
        <is>
          <t>postpaid</t>
        </is>
      </c>
      <c r="E4147" s="5" t="inlineStr">
        <is>
          <t>SP</t>
        </is>
      </c>
      <c r="F4147" s="5" t="inlineStr">
        <is>
          <t>TIM Black Plus 80GB</t>
        </is>
      </c>
      <c r="G4147" s="5" t="inlineStr">
        <is>
          <t>tim:54256</t>
        </is>
      </c>
      <c r="H4147" s="6" t="n">
        <v>149.99</v>
      </c>
      <c r="I4147" s="6" t="inlineStr"/>
      <c r="J4147" s="5" t="inlineStr"/>
      <c r="K4147" s="5" t="inlineStr">
        <is>
          <t>bill</t>
        </is>
      </c>
      <c r="L4147" s="7" t="n">
        <v>80</v>
      </c>
      <c r="M4147" s="5" t="inlineStr"/>
      <c r="N4147" s="5" t="inlineStr"/>
      <c r="O4147" s="5" t="inlineStr"/>
      <c r="P4147" s="5" t="inlineStr"/>
      <c r="Q4147" s="5" t="inlineStr"/>
      <c r="R4147" s="5" t="inlineStr"/>
      <c r="S4147" s="5" t="inlineStr"/>
      <c r="T4147" s="5" t="inlineStr"/>
      <c r="U4147" s="5" t="inlineStr">
        <is>
          <t>https://www.tim.com.br/sp/para-voce/planos/pos-pago/tim-black</t>
        </is>
      </c>
      <c r="V4147" s="5" t="inlineStr">
        <is>
          <t>data/raw/tim_postpaid_SP.html</t>
        </is>
      </c>
    </row>
    <row r="4148">
      <c r="A4148" s="2" t="inlineStr">
        <is>
          <t>2026-09-03</t>
        </is>
      </c>
      <c r="B4148" s="2" t="inlineStr">
        <is>
          <t>2026-09-03T19:57:11</t>
        </is>
      </c>
      <c r="C4148" s="2" t="inlineStr">
        <is>
          <t>tim</t>
        </is>
      </c>
      <c r="D4148" s="2" t="inlineStr">
        <is>
          <t>postpaid</t>
        </is>
      </c>
      <c r="E4148" s="2" t="inlineStr">
        <is>
          <t>SP</t>
        </is>
      </c>
      <c r="F4148" s="2" t="inlineStr">
        <is>
          <t>TIM Black Premium 110GB</t>
        </is>
      </c>
      <c r="G4148" s="2" t="inlineStr">
        <is>
          <t>tim:54261</t>
        </is>
      </c>
      <c r="H4148" s="3" t="n">
        <v>159.99</v>
      </c>
      <c r="I4148" s="3" t="inlineStr"/>
      <c r="J4148" s="2" t="inlineStr"/>
      <c r="K4148" s="2" t="inlineStr">
        <is>
          <t>bill</t>
        </is>
      </c>
      <c r="L4148" s="4" t="n">
        <v>110</v>
      </c>
      <c r="M4148" s="2" t="inlineStr"/>
      <c r="N4148" s="2" t="inlineStr"/>
      <c r="O4148" s="2" t="inlineStr"/>
      <c r="P4148" s="2" t="inlineStr"/>
      <c r="Q4148" s="2" t="inlineStr"/>
      <c r="R4148" s="2" t="inlineStr"/>
      <c r="S4148" s="2" t="inlineStr"/>
      <c r="T4148" s="2" t="inlineStr"/>
      <c r="U4148" s="2" t="inlineStr">
        <is>
          <t>https://www.tim.com.br/sp/para-voce/planos/pos-pago/tim-black</t>
        </is>
      </c>
      <c r="V4148" s="2" t="inlineStr">
        <is>
          <t>data/raw/tim_postpaid_SP.html</t>
        </is>
      </c>
    </row>
    <row r="4149">
      <c r="A4149" s="5" t="inlineStr">
        <is>
          <t>2026-09-03</t>
        </is>
      </c>
      <c r="B4149" s="5" t="inlineStr">
        <is>
          <t>2026-09-03T19:57:11</t>
        </is>
      </c>
      <c r="C4149" s="5" t="inlineStr">
        <is>
          <t>tim</t>
        </is>
      </c>
      <c r="D4149" s="5" t="inlineStr">
        <is>
          <t>prepaid</t>
        </is>
      </c>
      <c r="E4149" s="5" t="inlineStr">
        <is>
          <t>SP</t>
        </is>
      </c>
      <c r="F4149" s="5" t="inlineStr">
        <is>
          <t>TIM Pré XIP Plus 16GB</t>
        </is>
      </c>
      <c r="G4149" s="5" t="inlineStr">
        <is>
          <t>tim:106306</t>
        </is>
      </c>
      <c r="H4149" s="6" t="n">
        <v>30</v>
      </c>
      <c r="I4149" s="6" t="inlineStr"/>
      <c r="J4149" s="5" t="inlineStr"/>
      <c r="K4149" s="5" t="inlineStr"/>
      <c r="L4149" s="7" t="n">
        <v>16</v>
      </c>
      <c r="M4149" s="5" t="inlineStr"/>
      <c r="N4149" s="5" t="n">
        <v>30</v>
      </c>
      <c r="O4149" s="5" t="inlineStr"/>
      <c r="P4149" s="5" t="inlineStr"/>
      <c r="Q4149" s="5" t="inlineStr"/>
      <c r="R4149" s="5" t="inlineStr"/>
      <c r="S4149" s="5" t="inlineStr"/>
      <c r="T4149" s="5" t="inlineStr"/>
      <c r="U4149" s="5" t="inlineStr">
        <is>
          <t>https://www.tim.com.br/sp/para-voce/planos/pre-pago</t>
        </is>
      </c>
      <c r="V4149" s="5" t="inlineStr">
        <is>
          <t>data/raw/tim_prepaid_SP.html</t>
        </is>
      </c>
    </row>
    <row r="4150">
      <c r="A4150" s="2" t="inlineStr">
        <is>
          <t>2026-09-03</t>
        </is>
      </c>
      <c r="B4150" s="2" t="inlineStr">
        <is>
          <t>2026-09-03T19:57:11</t>
        </is>
      </c>
      <c r="C4150" s="2" t="inlineStr">
        <is>
          <t>tim</t>
        </is>
      </c>
      <c r="D4150" s="2" t="inlineStr">
        <is>
          <t>prepaid</t>
        </is>
      </c>
      <c r="E4150" s="2" t="inlineStr">
        <is>
          <t>SP</t>
        </is>
      </c>
      <c r="F4150" s="2" t="inlineStr">
        <is>
          <t>TIM Pré XIP Plus 6GB</t>
        </is>
      </c>
      <c r="G4150" s="2" t="inlineStr">
        <is>
          <t>tim:59906</t>
        </is>
      </c>
      <c r="H4150" s="3" t="n">
        <v>20</v>
      </c>
      <c r="I4150" s="3" t="inlineStr"/>
      <c r="J4150" s="2" t="inlineStr"/>
      <c r="K4150" s="2" t="inlineStr"/>
      <c r="L4150" s="4" t="n">
        <v>6</v>
      </c>
      <c r="M4150" s="2" t="inlineStr"/>
      <c r="N4150" s="2" t="n">
        <v>17</v>
      </c>
      <c r="O4150" s="2" t="inlineStr"/>
      <c r="P4150" s="2" t="inlineStr"/>
      <c r="Q4150" s="2" t="inlineStr"/>
      <c r="R4150" s="2" t="inlineStr"/>
      <c r="S4150" s="2" t="inlineStr"/>
      <c r="T4150" s="2" t="inlineStr"/>
      <c r="U4150" s="2" t="inlineStr">
        <is>
          <t>https://www.tim.com.br/sp/para-voce/planos/pre-pago</t>
        </is>
      </c>
      <c r="V4150" s="2" t="inlineStr">
        <is>
          <t>data/raw/tim_prepaid_SP.html</t>
        </is>
      </c>
    </row>
    <row r="4151">
      <c r="A4151" s="5" t="inlineStr">
        <is>
          <t>2026-09-03</t>
        </is>
      </c>
      <c r="B4151" s="5" t="inlineStr">
        <is>
          <t>2026-09-03T19:57:11</t>
        </is>
      </c>
      <c r="C4151" s="5" t="inlineStr">
        <is>
          <t>tim</t>
        </is>
      </c>
      <c r="D4151" s="5" t="inlineStr">
        <is>
          <t>prepaid</t>
        </is>
      </c>
      <c r="E4151" s="5" t="inlineStr">
        <is>
          <t>SP</t>
        </is>
      </c>
      <c r="F4151" s="5" t="inlineStr">
        <is>
          <t>TIM Pré XIP Plus 8GB</t>
        </is>
      </c>
      <c r="G4151" s="5" t="inlineStr">
        <is>
          <t>tim:59901</t>
        </is>
      </c>
      <c r="H4151" s="6" t="n">
        <v>25</v>
      </c>
      <c r="I4151" s="6" t="inlineStr"/>
      <c r="J4151" s="5" t="inlineStr"/>
      <c r="K4151" s="5" t="inlineStr"/>
      <c r="L4151" s="7" t="n">
        <v>8</v>
      </c>
      <c r="M4151" s="5" t="inlineStr"/>
      <c r="N4151" s="5" t="n">
        <v>22</v>
      </c>
      <c r="O4151" s="5" t="inlineStr"/>
      <c r="P4151" s="5" t="inlineStr"/>
      <c r="Q4151" s="5" t="inlineStr"/>
      <c r="R4151" s="5" t="inlineStr"/>
      <c r="S4151" s="5" t="inlineStr"/>
      <c r="T4151" s="5" t="inlineStr"/>
      <c r="U4151" s="5" t="inlineStr">
        <is>
          <t>https://www.tim.com.br/sp/para-voce/planos/pre-pago</t>
        </is>
      </c>
      <c r="V4151" s="5" t="inlineStr">
        <is>
          <t>data/raw/tim_prepaid_SP.html</t>
        </is>
      </c>
    </row>
    <row r="4152">
      <c r="A4152" s="2" t="inlineStr">
        <is>
          <t>2026-09-03</t>
        </is>
      </c>
      <c r="B4152" s="2" t="inlineStr">
        <is>
          <t>2026-09-03T19:57:11</t>
        </is>
      </c>
      <c r="C4152" s="2" t="inlineStr">
        <is>
          <t>vivo</t>
        </is>
      </c>
      <c r="D4152" s="2" t="inlineStr">
        <is>
          <t>control</t>
        </is>
      </c>
      <c r="E4152" s="2" t="inlineStr">
        <is>
          <t>SP</t>
        </is>
      </c>
      <c r="F4152" s="2" t="inlineStr">
        <is>
          <t>Vivo Controle</t>
        </is>
      </c>
      <c r="G4152" s="2" t="inlineStr">
        <is>
          <t>vivo:VIV202600034591</t>
        </is>
      </c>
      <c r="H4152" s="3" t="n">
        <v>59</v>
      </c>
      <c r="I4152" s="3" t="inlineStr"/>
      <c r="J4152" s="2" t="inlineStr"/>
      <c r="K4152" s="2" t="inlineStr"/>
      <c r="L4152" s="4" t="n">
        <v>45</v>
      </c>
      <c r="M4152" s="2" t="inlineStr">
        <is>
          <t>15 GB de franquia 30 GB de bônus</t>
        </is>
      </c>
      <c r="N4152" s="2" t="inlineStr"/>
      <c r="O4152" s="2" t="inlineStr"/>
      <c r="P4152" s="2" t="inlineStr"/>
      <c r="Q4152" s="2" t="inlineStr"/>
      <c r="R4152" s="2" t="inlineStr"/>
      <c r="S4152" s="2" t="inlineStr"/>
      <c r="T4152" s="2" t="inlineStr">
        <is>
          <t>6 meses grátis de Gemini com AI Plus</t>
        </is>
      </c>
      <c r="U4152" s="2" t="inlineStr">
        <is>
          <t>https://vivo.com.br/para-voce/produtos-e-servicos/para-o-celular/planos-controle</t>
        </is>
      </c>
      <c r="V4152" s="2" t="inlineStr">
        <is>
          <t>data/raw/vivo_control_SP.html</t>
        </is>
      </c>
    </row>
    <row r="4153">
      <c r="A4153" s="5" t="inlineStr">
        <is>
          <t>2026-09-03</t>
        </is>
      </c>
      <c r="B4153" s="5" t="inlineStr">
        <is>
          <t>2026-09-03T19:57:11</t>
        </is>
      </c>
      <c r="C4153" s="5" t="inlineStr">
        <is>
          <t>vivo</t>
        </is>
      </c>
      <c r="D4153" s="5" t="inlineStr">
        <is>
          <t>control</t>
        </is>
      </c>
      <c r="E4153" s="5" t="inlineStr">
        <is>
          <t>SP</t>
        </is>
      </c>
      <c r="F4153" s="5" t="inlineStr">
        <is>
          <t>Vivo Controle</t>
        </is>
      </c>
      <c r="G4153" s="5" t="inlineStr">
        <is>
          <t>vivo:VIV202600034599</t>
        </is>
      </c>
      <c r="H4153" s="6" t="n">
        <v>75</v>
      </c>
      <c r="I4153" s="6" t="inlineStr"/>
      <c r="J4153" s="5" t="inlineStr">
        <is>
          <t>preço-base do plano; a tela exibia R$ 80 com o adicional pré-selecionado (+R$ 5/mês, opcional); 60 GB na tela incluem +10 GB do adicional</t>
        </is>
      </c>
      <c r="K4153" s="5" t="inlineStr"/>
      <c r="L4153" s="7" t="n">
        <v>50</v>
      </c>
      <c r="M4153" s="5" t="inlineStr">
        <is>
          <t>20 GB de franquia 30 GB de bônus</t>
        </is>
      </c>
      <c r="N4153" s="5" t="inlineStr"/>
      <c r="O4153" s="5" t="inlineStr"/>
      <c r="P4153" s="5" t="inlineStr"/>
      <c r="Q4153" s="5" t="inlineStr"/>
      <c r="R4153" s="5" t="inlineStr"/>
      <c r="S4153" s="5" t="inlineStr"/>
      <c r="T4153" s="5" t="inlineStr">
        <is>
          <t>6 meses grátis de Gemini com AI Plus</t>
        </is>
      </c>
      <c r="U4153" s="5" t="inlineStr">
        <is>
          <t>https://vivo.com.br/para-voce/produtos-e-servicos/para-o-celular/planos-controle</t>
        </is>
      </c>
      <c r="V4153" s="5" t="inlineStr">
        <is>
          <t>data/raw/vivo_control_SP.html</t>
        </is>
      </c>
    </row>
    <row r="4154">
      <c r="A4154" s="2" t="inlineStr">
        <is>
          <t>2026-09-03</t>
        </is>
      </c>
      <c r="B4154" s="2" t="inlineStr">
        <is>
          <t>2026-09-03T19:57:11</t>
        </is>
      </c>
      <c r="C4154" s="2" t="inlineStr">
        <is>
          <t>vivo</t>
        </is>
      </c>
      <c r="D4154" s="2" t="inlineStr">
        <is>
          <t>control</t>
        </is>
      </c>
      <c r="E4154" s="2" t="inlineStr">
        <is>
          <t>SP</t>
        </is>
      </c>
      <c r="F4154" s="2" t="inlineStr">
        <is>
          <t>Vivo Controle Amazon</t>
        </is>
      </c>
      <c r="G4154" s="2" t="inlineStr">
        <is>
          <t>vivo:VIV202600038804</t>
        </is>
      </c>
      <c r="H4154" s="3" t="n">
        <v>70</v>
      </c>
      <c r="I4154" s="3" t="inlineStr"/>
      <c r="J4154" s="2" t="inlineStr">
        <is>
          <t>preço-base do plano; a tela exibia R$ 75 com o adicional pré-selecionado (+R$ 5/mês, opcional); 58 GB na tela incluem +10 GB do adicional</t>
        </is>
      </c>
      <c r="K4154" s="2" t="inlineStr"/>
      <c r="L4154" s="4" t="n">
        <v>48</v>
      </c>
      <c r="M4154" s="2" t="inlineStr">
        <is>
          <t>18 GB de franquia 30 GB de bônus</t>
        </is>
      </c>
      <c r="N4154" s="2" t="inlineStr"/>
      <c r="O4154" s="2" t="inlineStr"/>
      <c r="P4154" s="2" t="inlineStr"/>
      <c r="Q4154" s="2" t="inlineStr"/>
      <c r="R4154" s="2" t="inlineStr"/>
      <c r="S4154" s="2" t="inlineStr"/>
      <c r="T4154" s="2" t="inlineStr">
        <is>
          <t>Assinatura Amazon Prime inclusa</t>
        </is>
      </c>
      <c r="U4154" s="2" t="inlineStr">
        <is>
          <t>https://vivo.com.br/para-voce/produtos-e-servicos/para-o-celular/planos-controle</t>
        </is>
      </c>
      <c r="V4154" s="2" t="inlineStr">
        <is>
          <t>data/raw/vivo_control_SP.html</t>
        </is>
      </c>
    </row>
    <row r="4155">
      <c r="A4155" s="5" t="inlineStr">
        <is>
          <t>2026-09-03</t>
        </is>
      </c>
      <c r="B4155" s="5" t="inlineStr">
        <is>
          <t>2026-09-03T19:57:11</t>
        </is>
      </c>
      <c r="C4155" s="5" t="inlineStr">
        <is>
          <t>vivo</t>
        </is>
      </c>
      <c r="D4155" s="5" t="inlineStr">
        <is>
          <t>control</t>
        </is>
      </c>
      <c r="E4155" s="5" t="inlineStr">
        <is>
          <t>SP</t>
        </is>
      </c>
      <c r="F4155" s="5" t="inlineStr">
        <is>
          <t>Vivo Controle Educação</t>
        </is>
      </c>
      <c r="G4155" s="5" t="inlineStr">
        <is>
          <t>vivo:VIV202600034616</t>
        </is>
      </c>
      <c r="H4155" s="6" t="n">
        <v>85</v>
      </c>
      <c r="I4155" s="6" t="inlineStr"/>
      <c r="J4155" s="5" t="inlineStr">
        <is>
          <t>preço-base do plano; a tela exibia R$ 90 com o adicional pré-selecionado (+R$ 5/mês, opcional); 60 GB na tela incluem +10 GB do adicional</t>
        </is>
      </c>
      <c r="K4155" s="5" t="inlineStr"/>
      <c r="L4155" s="7" t="n">
        <v>50</v>
      </c>
      <c r="M4155" s="5" t="inlineStr">
        <is>
          <t>20 GB de franquia 30 GB de bônus</t>
        </is>
      </c>
      <c r="N4155" s="5" t="inlineStr"/>
      <c r="O4155" s="5" t="inlineStr"/>
      <c r="P4155" s="5" t="inlineStr"/>
      <c r="Q4155" s="5" t="inlineStr"/>
      <c r="R4155" s="5" t="inlineStr"/>
      <c r="S4155" s="5" t="inlineStr"/>
      <c r="T4155" s="5" t="inlineStr">
        <is>
          <t>Assinatura Vivae inclusa</t>
        </is>
      </c>
      <c r="U4155" s="5" t="inlineStr">
        <is>
          <t>https://vivo.com.br/para-voce/produtos-e-servicos/para-o-celular/planos-controle</t>
        </is>
      </c>
      <c r="V4155" s="5" t="inlineStr">
        <is>
          <t>data/raw/vivo_control_SP.html</t>
        </is>
      </c>
    </row>
    <row r="4156">
      <c r="A4156" s="2" t="inlineStr">
        <is>
          <t>2026-09-03</t>
        </is>
      </c>
      <c r="B4156" s="2" t="inlineStr">
        <is>
          <t>2026-09-03T19:57:11</t>
        </is>
      </c>
      <c r="C4156" s="2" t="inlineStr">
        <is>
          <t>vivo</t>
        </is>
      </c>
      <c r="D4156" s="2" t="inlineStr">
        <is>
          <t>control</t>
        </is>
      </c>
      <c r="E4156" s="2" t="inlineStr">
        <is>
          <t>SP</t>
        </is>
      </c>
      <c r="F4156" s="2" t="inlineStr">
        <is>
          <t>Vivo Controle Entretenimento</t>
        </is>
      </c>
      <c r="G4156" s="2" t="inlineStr">
        <is>
          <t>vivo:VIV202600034619</t>
        </is>
      </c>
      <c r="H4156" s="3" t="n">
        <v>105</v>
      </c>
      <c r="I4156" s="3" t="inlineStr"/>
      <c r="J4156" s="2" t="inlineStr">
        <is>
          <t>preço-base do plano; a tela exibia R$ 110 com o adicional pré-selecionado (+R$ 5/mês, opcional); 60 GB na tela incluem +10 GB do adicional</t>
        </is>
      </c>
      <c r="K4156" s="2" t="inlineStr"/>
      <c r="L4156" s="4" t="n">
        <v>50</v>
      </c>
      <c r="M4156" s="2" t="inlineStr">
        <is>
          <t>20 GB de franquia 30 GB de bônus</t>
        </is>
      </c>
      <c r="N4156" s="2" t="inlineStr"/>
      <c r="O4156" s="2" t="inlineStr"/>
      <c r="P4156" s="2" t="inlineStr"/>
      <c r="Q4156" s="2" t="inlineStr"/>
      <c r="R4156" s="2" t="inlineStr"/>
      <c r="S4156" s="2" t="inlineStr"/>
      <c r="T4156" s="2" t="inlineStr">
        <is>
          <t>Assinatura Vivo TV Inicial inclusa</t>
        </is>
      </c>
      <c r="U4156" s="2" t="inlineStr">
        <is>
          <t>https://vivo.com.br/para-voce/produtos-e-servicos/para-o-celular/planos-controle</t>
        </is>
      </c>
      <c r="V4156" s="2" t="inlineStr">
        <is>
          <t>data/raw/vivo_control_SP.html</t>
        </is>
      </c>
    </row>
    <row r="4157">
      <c r="A4157" s="5" t="inlineStr">
        <is>
          <t>2026-09-03</t>
        </is>
      </c>
      <c r="B4157" s="5" t="inlineStr">
        <is>
          <t>2026-09-03T19:57:11</t>
        </is>
      </c>
      <c r="C4157" s="5" t="inlineStr">
        <is>
          <t>vivo</t>
        </is>
      </c>
      <c r="D4157" s="5" t="inlineStr">
        <is>
          <t>control</t>
        </is>
      </c>
      <c r="E4157" s="5" t="inlineStr">
        <is>
          <t>SP</t>
        </is>
      </c>
      <c r="F4157" s="5" t="inlineStr">
        <is>
          <t>Vivo Controle Música</t>
        </is>
      </c>
      <c r="G4157" s="5" t="inlineStr">
        <is>
          <t>vivo:VIV202600034620</t>
        </is>
      </c>
      <c r="H4157" s="6" t="n">
        <v>85</v>
      </c>
      <c r="I4157" s="6" t="inlineStr"/>
      <c r="J4157" s="5" t="inlineStr">
        <is>
          <t>preço-base do plano; a tela exibia R$ 90 com o adicional pré-selecionado (+R$ 5/mês, opcional); 60 GB na tela incluem +10 GB do adicional</t>
        </is>
      </c>
      <c r="K4157" s="5" t="inlineStr"/>
      <c r="L4157" s="7" t="n">
        <v>50</v>
      </c>
      <c r="M4157" s="5" t="inlineStr">
        <is>
          <t>20 GB de franquia 30 GB de bônus</t>
        </is>
      </c>
      <c r="N4157" s="5" t="inlineStr"/>
      <c r="O4157" s="5" t="inlineStr"/>
      <c r="P4157" s="5" t="inlineStr"/>
      <c r="Q4157" s="5" t="inlineStr"/>
      <c r="R4157" s="5" t="inlineStr"/>
      <c r="S4157" s="5" t="inlineStr"/>
      <c r="T4157" s="5" t="inlineStr">
        <is>
          <t>Apple Music Individual</t>
        </is>
      </c>
      <c r="U4157" s="5" t="inlineStr">
        <is>
          <t>https://vivo.com.br/para-voce/produtos-e-servicos/para-o-celular/planos-controle</t>
        </is>
      </c>
      <c r="V4157" s="5" t="inlineStr">
        <is>
          <t>data/raw/vivo_control_SP.html</t>
        </is>
      </c>
    </row>
    <row r="4158">
      <c r="A4158" s="2" t="inlineStr">
        <is>
          <t>2026-09-03</t>
        </is>
      </c>
      <c r="B4158" s="2" t="inlineStr">
        <is>
          <t>2026-09-03T19:57:11</t>
        </is>
      </c>
      <c r="C4158" s="2" t="inlineStr">
        <is>
          <t>vivo</t>
        </is>
      </c>
      <c r="D4158" s="2" t="inlineStr">
        <is>
          <t>control</t>
        </is>
      </c>
      <c r="E4158" s="2" t="inlineStr">
        <is>
          <t>SP</t>
        </is>
      </c>
      <c r="F4158" s="2" t="inlineStr">
        <is>
          <t>Vivo Controle Netflix</t>
        </is>
      </c>
      <c r="G4158" s="2" t="inlineStr">
        <is>
          <t>vivo:VIV202600034623</t>
        </is>
      </c>
      <c r="H4158" s="3" t="n">
        <v>90</v>
      </c>
      <c r="I4158" s="3" t="inlineStr"/>
      <c r="J4158" s="2" t="inlineStr">
        <is>
          <t>preço-base do plano; a tela exibia R$ 95 com o adicional pré-selecionado (+R$ 5/mês, opcional); 60 GB na tela incluem +10 GB do adicional</t>
        </is>
      </c>
      <c r="K4158" s="2" t="inlineStr"/>
      <c r="L4158" s="4" t="n">
        <v>50</v>
      </c>
      <c r="M4158" s="2" t="inlineStr">
        <is>
          <t>20 GB de franquia 30 GB de bônus</t>
        </is>
      </c>
      <c r="N4158" s="2" t="inlineStr"/>
      <c r="O4158" s="2" t="inlineStr"/>
      <c r="P4158" s="2" t="inlineStr"/>
      <c r="Q4158" s="2" t="inlineStr"/>
      <c r="R4158" s="2" t="inlineStr"/>
      <c r="S4158" s="2" t="inlineStr"/>
      <c r="T4158" s="2" t="inlineStr">
        <is>
          <t>Assinatura Netflix Padrão com anúncios</t>
        </is>
      </c>
      <c r="U4158" s="2" t="inlineStr">
        <is>
          <t>https://vivo.com.br/para-voce/produtos-e-servicos/para-o-celular/planos-controle</t>
        </is>
      </c>
      <c r="V4158" s="2" t="inlineStr">
        <is>
          <t>data/raw/vivo_control_SP.html</t>
        </is>
      </c>
    </row>
    <row r="4159">
      <c r="A4159" s="5" t="inlineStr">
        <is>
          <t>2026-09-03</t>
        </is>
      </c>
      <c r="B4159" s="5" t="inlineStr">
        <is>
          <t>2026-09-03T19:57:11</t>
        </is>
      </c>
      <c r="C4159" s="5" t="inlineStr">
        <is>
          <t>vivo</t>
        </is>
      </c>
      <c r="D4159" s="5" t="inlineStr">
        <is>
          <t>control</t>
        </is>
      </c>
      <c r="E4159" s="5" t="inlineStr">
        <is>
          <t>SP</t>
        </is>
      </c>
      <c r="F4159" s="5" t="inlineStr">
        <is>
          <t>Vivo Controle Saúde</t>
        </is>
      </c>
      <c r="G4159" s="5" t="inlineStr">
        <is>
          <t>vivo:VIV202600034625</t>
        </is>
      </c>
      <c r="H4159" s="6" t="n">
        <v>85</v>
      </c>
      <c r="I4159" s="6" t="inlineStr"/>
      <c r="J4159" s="5" t="inlineStr">
        <is>
          <t>preço-base do plano; a tela exibia R$ 90 com o adicional pré-selecionado (+R$ 5/mês, opcional); 60 GB na tela incluem +10 GB do adicional</t>
        </is>
      </c>
      <c r="K4159" s="5" t="inlineStr"/>
      <c r="L4159" s="7" t="n">
        <v>50</v>
      </c>
      <c r="M4159" s="5" t="inlineStr">
        <is>
          <t>20 GB de franquia 30 GB de bônus</t>
        </is>
      </c>
      <c r="N4159" s="5" t="inlineStr"/>
      <c r="O4159" s="5" t="inlineStr"/>
      <c r="P4159" s="5" t="inlineStr"/>
      <c r="Q4159" s="5" t="inlineStr"/>
      <c r="R4159" s="5" t="inlineStr"/>
      <c r="S4159" s="5" t="inlineStr"/>
      <c r="T4159" s="5" t="inlineStr">
        <is>
          <t>Assinatura Vale Saúde Sempre inclusa</t>
        </is>
      </c>
      <c r="U4159" s="5" t="inlineStr">
        <is>
          <t>https://vivo.com.br/para-voce/produtos-e-servicos/para-o-celular/planos-controle</t>
        </is>
      </c>
      <c r="V4159" s="5" t="inlineStr">
        <is>
          <t>data/raw/vivo_control_SP.html</t>
        </is>
      </c>
    </row>
    <row r="4160">
      <c r="A4160" s="2" t="inlineStr">
        <is>
          <t>2026-09-03</t>
        </is>
      </c>
      <c r="B4160" s="2" t="inlineStr">
        <is>
          <t>2026-09-03T19:57:11</t>
        </is>
      </c>
      <c r="C4160" s="2" t="inlineStr">
        <is>
          <t>vivo</t>
        </is>
      </c>
      <c r="D4160" s="2" t="inlineStr">
        <is>
          <t>control</t>
        </is>
      </c>
      <c r="E4160" s="2" t="inlineStr">
        <is>
          <t>SP</t>
        </is>
      </c>
      <c r="F4160" s="2" t="inlineStr">
        <is>
          <t>Vivo Controle Youtube Lite</t>
        </is>
      </c>
      <c r="G4160" s="2" t="inlineStr">
        <is>
          <t>vivo:VIV202600034626</t>
        </is>
      </c>
      <c r="H4160" s="3" t="n">
        <v>85</v>
      </c>
      <c r="I4160" s="3" t="inlineStr"/>
      <c r="J4160" s="2" t="inlineStr">
        <is>
          <t>preço-base do plano; a tela exibia R$ 90 com o adicional pré-selecionado (+R$ 5/mês, opcional); 60 GB na tela incluem +10 GB do adicional</t>
        </is>
      </c>
      <c r="K4160" s="2" t="inlineStr"/>
      <c r="L4160" s="4" t="n">
        <v>50</v>
      </c>
      <c r="M4160" s="2" t="inlineStr">
        <is>
          <t>20 GB de franquia 30 GB de bônus</t>
        </is>
      </c>
      <c r="N4160" s="2" t="inlineStr"/>
      <c r="O4160" s="2" t="inlineStr"/>
      <c r="P4160" s="2" t="inlineStr"/>
      <c r="Q4160" s="2" t="inlineStr"/>
      <c r="R4160" s="2" t="inlineStr"/>
      <c r="S4160" s="2" t="inlineStr"/>
      <c r="T4160" s="2" t="inlineStr">
        <is>
          <t>Assinatura Youtube Premium Lite Inclusa</t>
        </is>
      </c>
      <c r="U4160" s="2" t="inlineStr">
        <is>
          <t>https://vivo.com.br/para-voce/produtos-e-servicos/para-o-celular/planos-controle</t>
        </is>
      </c>
      <c r="V4160" s="2" t="inlineStr">
        <is>
          <t>data/raw/vivo_control_SP.html</t>
        </is>
      </c>
    </row>
    <row r="4161">
      <c r="A4161" s="5" t="inlineStr">
        <is>
          <t>2026-09-03</t>
        </is>
      </c>
      <c r="B4161" s="5" t="inlineStr">
        <is>
          <t>2026-09-03T19:57:11</t>
        </is>
      </c>
      <c r="C4161" s="5" t="inlineStr">
        <is>
          <t>vivo</t>
        </is>
      </c>
      <c r="D4161" s="5" t="inlineStr">
        <is>
          <t>lite</t>
        </is>
      </c>
      <c r="E4161" s="5" t="inlineStr">
        <is>
          <t>SP</t>
        </is>
      </c>
      <c r="F4161" s="5" t="inlineStr">
        <is>
          <t>Vivo Lite</t>
        </is>
      </c>
      <c r="G4161" s="5" t="inlineStr">
        <is>
          <t>vivo:VIV202600038808</t>
        </is>
      </c>
      <c r="H4161" s="6" t="n">
        <v>45</v>
      </c>
      <c r="I4161" s="6" t="n">
        <v>30</v>
      </c>
      <c r="J4161" s="5" t="inlineStr">
        <is>
          <t>preço sem fidelidade; fidelidade 12m no promo</t>
        </is>
      </c>
      <c r="K4161" s="5" t="inlineStr"/>
      <c r="L4161" s="7" t="n">
        <v>30</v>
      </c>
      <c r="M4161" s="5" t="inlineStr">
        <is>
          <t>30 GB de franquia</t>
        </is>
      </c>
      <c r="N4161" s="5" t="inlineStr"/>
      <c r="O4161" s="5" t="inlineStr"/>
      <c r="P4161" s="5" t="inlineStr"/>
      <c r="Q4161" s="5" t="inlineStr"/>
      <c r="R4161" s="5" t="inlineStr"/>
      <c r="S4161" s="5" t="n">
        <v>12</v>
      </c>
      <c r="T4161" s="5" t="inlineStr"/>
      <c r="U4161" s="5" t="inlineStr">
        <is>
          <t>https://vivo.com.br/para-voce/produtos-e-servicos/para-o-celular/easy-lite</t>
        </is>
      </c>
      <c r="V4161" s="5" t="inlineStr">
        <is>
          <t>data/raw/vivo_lite_SP.html</t>
        </is>
      </c>
    </row>
    <row r="4162">
      <c r="A4162" s="2" t="inlineStr">
        <is>
          <t>2026-09-03</t>
        </is>
      </c>
      <c r="B4162" s="2" t="inlineStr">
        <is>
          <t>2026-09-03T19:57:11</t>
        </is>
      </c>
      <c r="C4162" s="2" t="inlineStr">
        <is>
          <t>vivo</t>
        </is>
      </c>
      <c r="D4162" s="2" t="inlineStr">
        <is>
          <t>lite</t>
        </is>
      </c>
      <c r="E4162" s="2" t="inlineStr">
        <is>
          <t>SP</t>
        </is>
      </c>
      <c r="F4162" s="2" t="inlineStr">
        <is>
          <t>Vivo Lite</t>
        </is>
      </c>
      <c r="G4162" s="2" t="inlineStr">
        <is>
          <t>vivo:VIV202600038810</t>
        </is>
      </c>
      <c r="H4162" s="3" t="n">
        <v>55</v>
      </c>
      <c r="I4162" s="3" t="n">
        <v>40</v>
      </c>
      <c r="J4162" s="2" t="inlineStr">
        <is>
          <t>preço sem fidelidade; fidelidade 12m no promo</t>
        </is>
      </c>
      <c r="K4162" s="2" t="inlineStr"/>
      <c r="L4162" s="4" t="n">
        <v>40</v>
      </c>
      <c r="M4162" s="2" t="inlineStr">
        <is>
          <t>40 GB de franquia</t>
        </is>
      </c>
      <c r="N4162" s="2" t="inlineStr"/>
      <c r="O4162" s="2" t="inlineStr"/>
      <c r="P4162" s="2" t="inlineStr"/>
      <c r="Q4162" s="2" t="inlineStr"/>
      <c r="R4162" s="2" t="inlineStr"/>
      <c r="S4162" s="2" t="n">
        <v>12</v>
      </c>
      <c r="T4162" s="2" t="inlineStr"/>
      <c r="U4162" s="2" t="inlineStr">
        <is>
          <t>https://vivo.com.br/para-voce/produtos-e-servicos/para-o-celular/easy-lite</t>
        </is>
      </c>
      <c r="V4162" s="2" t="inlineStr">
        <is>
          <t>data/raw/vivo_lite_SP.html</t>
        </is>
      </c>
    </row>
    <row r="4163">
      <c r="A4163" s="5" t="inlineStr">
        <is>
          <t>2026-09-03</t>
        </is>
      </c>
      <c r="B4163" s="5" t="inlineStr">
        <is>
          <t>2026-09-03T19:57:11</t>
        </is>
      </c>
      <c r="C4163" s="5" t="inlineStr">
        <is>
          <t>vivo</t>
        </is>
      </c>
      <c r="D4163" s="5" t="inlineStr">
        <is>
          <t>lite</t>
        </is>
      </c>
      <c r="E4163" s="5" t="inlineStr">
        <is>
          <t>SP</t>
        </is>
      </c>
      <c r="F4163" s="5" t="inlineStr">
        <is>
          <t>Vivo Lite</t>
        </is>
      </c>
      <c r="G4163" s="5" t="inlineStr">
        <is>
          <t>vivo:VIV202600038814</t>
        </is>
      </c>
      <c r="H4163" s="6" t="n">
        <v>35</v>
      </c>
      <c r="I4163" s="6" t="inlineStr"/>
      <c r="J4163" s="5" t="inlineStr"/>
      <c r="K4163" s="5" t="inlineStr"/>
      <c r="L4163" s="7" t="n">
        <v>20</v>
      </c>
      <c r="M4163" s="5" t="inlineStr">
        <is>
          <t>20 GB de franquia</t>
        </is>
      </c>
      <c r="N4163" s="5" t="inlineStr"/>
      <c r="O4163" s="5" t="inlineStr"/>
      <c r="P4163" s="5" t="inlineStr"/>
      <c r="Q4163" s="5" t="inlineStr"/>
      <c r="R4163" s="5" t="inlineStr"/>
      <c r="S4163" s="5" t="inlineStr"/>
      <c r="T4163" s="5" t="inlineStr"/>
      <c r="U4163" s="5" t="inlineStr">
        <is>
          <t>https://vivo.com.br/para-voce/produtos-e-servicos/para-o-celular/easy-lite</t>
        </is>
      </c>
      <c r="V4163" s="5" t="inlineStr">
        <is>
          <t>data/raw/vivo_lite_SP.html</t>
        </is>
      </c>
    </row>
    <row r="4164">
      <c r="A4164" s="2" t="inlineStr">
        <is>
          <t>2026-09-03</t>
        </is>
      </c>
      <c r="B4164" s="2" t="inlineStr">
        <is>
          <t>2026-09-03T19:57:11</t>
        </is>
      </c>
      <c r="C4164" s="2" t="inlineStr">
        <is>
          <t>vivo</t>
        </is>
      </c>
      <c r="D4164" s="2" t="inlineStr">
        <is>
          <t>postpaid</t>
        </is>
      </c>
      <c r="E4164" s="2" t="inlineStr">
        <is>
          <t>SP</t>
        </is>
      </c>
      <c r="F4164" s="2" t="inlineStr">
        <is>
          <t>Vivo Família 2</t>
        </is>
      </c>
      <c r="G4164" s="2" t="inlineStr">
        <is>
          <t>vivo:VIV202600034547</t>
        </is>
      </c>
      <c r="H4164" s="3" t="n">
        <v>270</v>
      </c>
      <c r="I4164" s="3" t="inlineStr"/>
      <c r="J4164" s="2" t="inlineStr"/>
      <c r="K4164" s="2" t="inlineStr"/>
      <c r="L4164" s="4" t="n">
        <v>120</v>
      </c>
      <c r="M4164" s="2" t="inlineStr">
        <is>
          <t>120 GB de franquia Você + 1 linha adicional Roaming Internacional com Vivo Travel Américas e Europa</t>
        </is>
      </c>
      <c r="N4164" s="2" t="inlineStr"/>
      <c r="O4164" s="2" t="inlineStr"/>
      <c r="P4164" s="2" t="inlineStr"/>
      <c r="Q4164" s="2" t="inlineStr"/>
      <c r="R4164" s="2" t="inlineStr"/>
      <c r="S4164" s="2" t="inlineStr"/>
      <c r="T4164" s="2" t="inlineStr">
        <is>
          <t>12 meses grátis de Gemini com AI Plus</t>
        </is>
      </c>
      <c r="U4164" s="2" t="inlineStr">
        <is>
          <t>https://vivo.com.br/para-voce/produtos-e-servicos/para-o-celular/planos-pos-pago</t>
        </is>
      </c>
      <c r="V4164" s="2" t="inlineStr">
        <is>
          <t>data/raw/vivo_postpaid_SP.html</t>
        </is>
      </c>
    </row>
    <row r="4165">
      <c r="A4165" s="5" t="inlineStr">
        <is>
          <t>2026-09-03</t>
        </is>
      </c>
      <c r="B4165" s="5" t="inlineStr">
        <is>
          <t>2026-09-03T19:57:11</t>
        </is>
      </c>
      <c r="C4165" s="5" t="inlineStr">
        <is>
          <t>vivo</t>
        </is>
      </c>
      <c r="D4165" s="5" t="inlineStr">
        <is>
          <t>postpaid</t>
        </is>
      </c>
      <c r="E4165" s="5" t="inlineStr">
        <is>
          <t>SP</t>
        </is>
      </c>
      <c r="F4165" s="5" t="inlineStr">
        <is>
          <t>Vivo Família 3</t>
        </is>
      </c>
      <c r="G4165" s="5" t="inlineStr">
        <is>
          <t>vivo:VIV202600034540</t>
        </is>
      </c>
      <c r="H4165" s="6" t="n">
        <v>340</v>
      </c>
      <c r="I4165" s="6" t="inlineStr"/>
      <c r="J4165" s="5" t="inlineStr"/>
      <c r="K4165" s="5" t="inlineStr"/>
      <c r="L4165" s="7" t="n">
        <v>180</v>
      </c>
      <c r="M4165" s="5" t="inlineStr">
        <is>
          <t>180 GB de franquia Você + 2 linhas adicionais Roaming Internacional com Vivo Travel Américas e Europa</t>
        </is>
      </c>
      <c r="N4165" s="5" t="inlineStr"/>
      <c r="O4165" s="5" t="inlineStr"/>
      <c r="P4165" s="5" t="inlineStr"/>
      <c r="Q4165" s="5" t="inlineStr"/>
      <c r="R4165" s="5" t="inlineStr"/>
      <c r="S4165" s="5" t="inlineStr"/>
      <c r="T4165" s="5" t="inlineStr">
        <is>
          <t>12 meses grátis de Gemini com AI Plus</t>
        </is>
      </c>
      <c r="U4165" s="5" t="inlineStr">
        <is>
          <t>https://vivo.com.br/para-voce/produtos-e-servicos/para-o-celular/planos-pos-pago</t>
        </is>
      </c>
      <c r="V4165" s="5" t="inlineStr">
        <is>
          <t>data/raw/vivo_postpaid_SP.html</t>
        </is>
      </c>
    </row>
    <row r="4166">
      <c r="A4166" s="2" t="inlineStr">
        <is>
          <t>2026-09-03</t>
        </is>
      </c>
      <c r="B4166" s="2" t="inlineStr">
        <is>
          <t>2026-09-03T19:57:11</t>
        </is>
      </c>
      <c r="C4166" s="2" t="inlineStr">
        <is>
          <t>vivo</t>
        </is>
      </c>
      <c r="D4166" s="2" t="inlineStr">
        <is>
          <t>postpaid</t>
        </is>
      </c>
      <c r="E4166" s="2" t="inlineStr">
        <is>
          <t>SP</t>
        </is>
      </c>
      <c r="F4166" s="2" t="inlineStr">
        <is>
          <t>Vivo Família 4</t>
        </is>
      </c>
      <c r="G4166" s="2" t="inlineStr">
        <is>
          <t>vivo:VIV202600034531</t>
        </is>
      </c>
      <c r="H4166" s="3" t="n">
        <v>430</v>
      </c>
      <c r="I4166" s="3" t="inlineStr"/>
      <c r="J4166" s="2" t="inlineStr"/>
      <c r="K4166" s="2" t="inlineStr"/>
      <c r="L4166" s="4" t="n">
        <v>240</v>
      </c>
      <c r="M4166" s="2" t="inlineStr">
        <is>
          <t>240 GB de franquia Você + 3 linhas adicionais Roaming Internacional com Vivo Travel Américas e Europa</t>
        </is>
      </c>
      <c r="N4166" s="2" t="inlineStr"/>
      <c r="O4166" s="2" t="inlineStr"/>
      <c r="P4166" s="2" t="inlineStr"/>
      <c r="Q4166" s="2" t="inlineStr"/>
      <c r="R4166" s="2" t="inlineStr"/>
      <c r="S4166" s="2" t="inlineStr"/>
      <c r="T4166" s="2" t="inlineStr">
        <is>
          <t>12 meses grátis de Gemini com AI Plus</t>
        </is>
      </c>
      <c r="U4166" s="2" t="inlineStr">
        <is>
          <t>https://vivo.com.br/para-voce/produtos-e-servicos/para-o-celular/planos-pos-pago</t>
        </is>
      </c>
      <c r="V4166" s="2" t="inlineStr">
        <is>
          <t>data/raw/vivo_postpaid_SP.html</t>
        </is>
      </c>
    </row>
    <row r="4167">
      <c r="A4167" s="5" t="inlineStr">
        <is>
          <t>2026-09-03</t>
        </is>
      </c>
      <c r="B4167" s="5" t="inlineStr">
        <is>
          <t>2026-09-03T19:57:11</t>
        </is>
      </c>
      <c r="C4167" s="5" t="inlineStr">
        <is>
          <t>vivo</t>
        </is>
      </c>
      <c r="D4167" s="5" t="inlineStr">
        <is>
          <t>postpaid</t>
        </is>
      </c>
      <c r="E4167" s="5" t="inlineStr">
        <is>
          <t>SP</t>
        </is>
      </c>
      <c r="F4167" s="5" t="inlineStr">
        <is>
          <t>Vivo Família 5</t>
        </is>
      </c>
      <c r="G4167" s="5" t="inlineStr">
        <is>
          <t>vivo:VIV202600034526</t>
        </is>
      </c>
      <c r="H4167" s="6" t="n">
        <v>530</v>
      </c>
      <c r="I4167" s="6" t="inlineStr"/>
      <c r="J4167" s="5" t="inlineStr"/>
      <c r="K4167" s="5" t="inlineStr"/>
      <c r="L4167" s="7" t="n">
        <v>300</v>
      </c>
      <c r="M4167" s="5" t="inlineStr">
        <is>
          <t>300 GB de franquia Você + 4 linhas adicionais Roaming Internacional com Vivo Travel Américas e Europa</t>
        </is>
      </c>
      <c r="N4167" s="5" t="inlineStr"/>
      <c r="O4167" s="5" t="inlineStr"/>
      <c r="P4167" s="5" t="inlineStr"/>
      <c r="Q4167" s="5" t="inlineStr"/>
      <c r="R4167" s="5" t="inlineStr"/>
      <c r="S4167" s="5" t="inlineStr"/>
      <c r="T4167" s="5" t="inlineStr">
        <is>
          <t>12 meses grátis de Gemini com AI Plus</t>
        </is>
      </c>
      <c r="U4167" s="5" t="inlineStr">
        <is>
          <t>https://vivo.com.br/para-voce/produtos-e-servicos/para-o-celular/planos-pos-pago</t>
        </is>
      </c>
      <c r="V4167" s="5" t="inlineStr">
        <is>
          <t>data/raw/vivo_postpaid_SP.html</t>
        </is>
      </c>
    </row>
    <row r="4168">
      <c r="A4168" s="2" t="inlineStr">
        <is>
          <t>2026-09-03</t>
        </is>
      </c>
      <c r="B4168" s="2" t="inlineStr">
        <is>
          <t>2026-09-03T19:57:11</t>
        </is>
      </c>
      <c r="C4168" s="2" t="inlineStr">
        <is>
          <t>vivo</t>
        </is>
      </c>
      <c r="D4168" s="2" t="inlineStr">
        <is>
          <t>postpaid</t>
        </is>
      </c>
      <c r="E4168" s="2" t="inlineStr">
        <is>
          <t>SP</t>
        </is>
      </c>
      <c r="F4168" s="2" t="inlineStr">
        <is>
          <t>Vivo Pós com Amazon</t>
        </is>
      </c>
      <c r="G4168" s="2" t="inlineStr">
        <is>
          <t>vivo:VIV202600034554</t>
        </is>
      </c>
      <c r="H4168" s="3" t="n">
        <v>150</v>
      </c>
      <c r="I4168" s="3" t="inlineStr"/>
      <c r="J4168" s="2" t="inlineStr"/>
      <c r="K4168" s="2" t="inlineStr"/>
      <c r="L4168" s="4" t="n">
        <v>60</v>
      </c>
      <c r="M4168" s="2" t="inlineStr">
        <is>
          <t>50 GB de franquia 10 GB de bônus</t>
        </is>
      </c>
      <c r="N4168" s="2" t="inlineStr"/>
      <c r="O4168" s="2" t="inlineStr"/>
      <c r="P4168" s="2" t="inlineStr"/>
      <c r="Q4168" s="2" t="inlineStr"/>
      <c r="R4168" s="2" t="inlineStr"/>
      <c r="S4168" s="2" t="inlineStr"/>
      <c r="T4168" s="2" t="inlineStr">
        <is>
          <t>Assinatura Amazon Prime inclusa</t>
        </is>
      </c>
      <c r="U4168" s="2" t="inlineStr">
        <is>
          <t>https://vivo.com.br/para-voce/produtos-e-servicos/para-o-celular/planos-pos-pago</t>
        </is>
      </c>
      <c r="V4168" s="2" t="inlineStr">
        <is>
          <t>data/raw/vivo_postpaid_SP.html</t>
        </is>
      </c>
    </row>
    <row r="4169">
      <c r="A4169" s="5" t="inlineStr">
        <is>
          <t>2026-09-03</t>
        </is>
      </c>
      <c r="B4169" s="5" t="inlineStr">
        <is>
          <t>2026-09-03T19:57:11</t>
        </is>
      </c>
      <c r="C4169" s="5" t="inlineStr">
        <is>
          <t>vivo</t>
        </is>
      </c>
      <c r="D4169" s="5" t="inlineStr">
        <is>
          <t>postpaid</t>
        </is>
      </c>
      <c r="E4169" s="5" t="inlineStr">
        <is>
          <t>SP</t>
        </is>
      </c>
      <c r="F4169" s="5" t="inlineStr">
        <is>
          <t>Vivo Pós com Disney+</t>
        </is>
      </c>
      <c r="G4169" s="5" t="inlineStr">
        <is>
          <t>vivo:VIV202600034532</t>
        </is>
      </c>
      <c r="H4169" s="6" t="n">
        <v>180</v>
      </c>
      <c r="I4169" s="6" t="inlineStr"/>
      <c r="J4169" s="5" t="inlineStr"/>
      <c r="K4169" s="5" t="inlineStr"/>
      <c r="L4169" s="7" t="n">
        <v>60</v>
      </c>
      <c r="M4169" s="5" t="inlineStr">
        <is>
          <t>50 GB de franquia 10 GB de bônus</t>
        </is>
      </c>
      <c r="N4169" s="5" t="inlineStr"/>
      <c r="O4169" s="5" t="inlineStr"/>
      <c r="P4169" s="5" t="inlineStr"/>
      <c r="Q4169" s="5" t="inlineStr"/>
      <c r="R4169" s="5" t="inlineStr">
        <is>
          <t>Disney+</t>
        </is>
      </c>
      <c r="S4169" s="5" t="inlineStr"/>
      <c r="T4169" s="5" t="inlineStr">
        <is>
          <t>Assinatura Disney+ Padrão inclusa</t>
        </is>
      </c>
      <c r="U4169" s="5" t="inlineStr">
        <is>
          <t>https://vivo.com.br/para-voce/produtos-e-servicos/para-o-celular/planos-pos-pago</t>
        </is>
      </c>
      <c r="V4169" s="5" t="inlineStr">
        <is>
          <t>data/raw/vivo_postpaid_SP.html</t>
        </is>
      </c>
    </row>
    <row r="4170">
      <c r="A4170" s="2" t="inlineStr">
        <is>
          <t>2026-09-03</t>
        </is>
      </c>
      <c r="B4170" s="2" t="inlineStr">
        <is>
          <t>2026-09-03T19:57:11</t>
        </is>
      </c>
      <c r="C4170" s="2" t="inlineStr">
        <is>
          <t>vivo</t>
        </is>
      </c>
      <c r="D4170" s="2" t="inlineStr">
        <is>
          <t>postpaid</t>
        </is>
      </c>
      <c r="E4170" s="2" t="inlineStr">
        <is>
          <t>SP</t>
        </is>
      </c>
      <c r="F4170" s="2" t="inlineStr">
        <is>
          <t>Vivo Pós com Globoplay</t>
        </is>
      </c>
      <c r="G4170" s="2" t="inlineStr">
        <is>
          <t>vivo:VIV202600034575</t>
        </is>
      </c>
      <c r="H4170" s="3" t="n">
        <v>165</v>
      </c>
      <c r="I4170" s="3" t="inlineStr"/>
      <c r="J4170" s="2" t="inlineStr"/>
      <c r="K4170" s="2" t="inlineStr"/>
      <c r="L4170" s="4" t="n">
        <v>60</v>
      </c>
      <c r="M4170" s="2" t="inlineStr">
        <is>
          <t>50 GB de franquia 10 GB de bônus</t>
        </is>
      </c>
      <c r="N4170" s="2" t="inlineStr"/>
      <c r="O4170" s="2" t="inlineStr"/>
      <c r="P4170" s="2" t="inlineStr"/>
      <c r="Q4170" s="2" t="inlineStr"/>
      <c r="R4170" s="2" t="inlineStr">
        <is>
          <t>Globoplay</t>
        </is>
      </c>
      <c r="S4170" s="2" t="inlineStr"/>
      <c r="T4170" s="2" t="inlineStr">
        <is>
          <t>Assinatura Globoplay inclusa</t>
        </is>
      </c>
      <c r="U4170" s="2" t="inlineStr">
        <is>
          <t>https://vivo.com.br/para-voce/produtos-e-servicos/para-o-celular/planos-pos-pago</t>
        </is>
      </c>
      <c r="V4170" s="2" t="inlineStr">
        <is>
          <t>data/raw/vivo_postpaid_SP.html</t>
        </is>
      </c>
    </row>
    <row r="4171">
      <c r="A4171" s="5" t="inlineStr">
        <is>
          <t>2026-09-03</t>
        </is>
      </c>
      <c r="B4171" s="5" t="inlineStr">
        <is>
          <t>2026-09-03T19:57:11</t>
        </is>
      </c>
      <c r="C4171" s="5" t="inlineStr">
        <is>
          <t>vivo</t>
        </is>
      </c>
      <c r="D4171" s="5" t="inlineStr">
        <is>
          <t>postpaid</t>
        </is>
      </c>
      <c r="E4171" s="5" t="inlineStr">
        <is>
          <t>SP</t>
        </is>
      </c>
      <c r="F4171" s="5" t="inlineStr">
        <is>
          <t>Vivo Pós com Netflix</t>
        </is>
      </c>
      <c r="G4171" s="5" t="inlineStr">
        <is>
          <t>vivo:VIV202600034562</t>
        </is>
      </c>
      <c r="H4171" s="6" t="n">
        <v>180</v>
      </c>
      <c r="I4171" s="6" t="inlineStr"/>
      <c r="J4171" s="5" t="inlineStr"/>
      <c r="K4171" s="5" t="inlineStr"/>
      <c r="L4171" s="7" t="n">
        <v>60</v>
      </c>
      <c r="M4171" s="5" t="inlineStr">
        <is>
          <t>50 GB de franquia 10 GB de bônus</t>
        </is>
      </c>
      <c r="N4171" s="5" t="inlineStr"/>
      <c r="O4171" s="5" t="inlineStr"/>
      <c r="P4171" s="5" t="inlineStr"/>
      <c r="Q4171" s="5" t="inlineStr"/>
      <c r="R4171" s="5" t="inlineStr">
        <is>
          <t>Netflix</t>
        </is>
      </c>
      <c r="S4171" s="5" t="inlineStr"/>
      <c r="T4171" s="5" t="inlineStr">
        <is>
          <t>Assinatura Netflix Padrão inclusa</t>
        </is>
      </c>
      <c r="U4171" s="5" t="inlineStr">
        <is>
          <t>https://vivo.com.br/para-voce/produtos-e-servicos/para-o-celular/planos-pos-pago</t>
        </is>
      </c>
      <c r="V4171" s="5" t="inlineStr">
        <is>
          <t>data/raw/vivo_postpaid_SP.html</t>
        </is>
      </c>
    </row>
    <row r="4172">
      <c r="A4172" s="2" t="inlineStr">
        <is>
          <t>2026-09-03</t>
        </is>
      </c>
      <c r="B4172" s="2" t="inlineStr">
        <is>
          <t>2026-09-03T19:57:11</t>
        </is>
      </c>
      <c r="C4172" s="2" t="inlineStr">
        <is>
          <t>vivo</t>
        </is>
      </c>
      <c r="D4172" s="2" t="inlineStr">
        <is>
          <t>postpaid</t>
        </is>
      </c>
      <c r="E4172" s="2" t="inlineStr">
        <is>
          <t>SP</t>
        </is>
      </c>
      <c r="F4172" s="2" t="inlineStr">
        <is>
          <t>Vivo Pós com Premiere</t>
        </is>
      </c>
      <c r="G4172" s="2" t="inlineStr">
        <is>
          <t>vivo:VIV202600034579</t>
        </is>
      </c>
      <c r="H4172" s="3" t="n">
        <v>180</v>
      </c>
      <c r="I4172" s="3" t="inlineStr"/>
      <c r="J4172" s="2" t="inlineStr"/>
      <c r="K4172" s="2" t="inlineStr"/>
      <c r="L4172" s="4" t="n">
        <v>60</v>
      </c>
      <c r="M4172" s="2" t="inlineStr">
        <is>
          <t>50 GB de franquia 10 GB de bônus</t>
        </is>
      </c>
      <c r="N4172" s="2" t="inlineStr"/>
      <c r="O4172" s="2" t="inlineStr"/>
      <c r="P4172" s="2" t="inlineStr"/>
      <c r="Q4172" s="2" t="inlineStr"/>
      <c r="R4172" s="2" t="inlineStr">
        <is>
          <t>Premiere</t>
        </is>
      </c>
      <c r="S4172" s="2" t="inlineStr"/>
      <c r="T4172" s="2" t="inlineStr">
        <is>
          <t>Assinatura Premiere inclusa</t>
        </is>
      </c>
      <c r="U4172" s="2" t="inlineStr">
        <is>
          <t>https://vivo.com.br/para-voce/produtos-e-servicos/para-o-celular/planos-pos-pago</t>
        </is>
      </c>
      <c r="V4172" s="2" t="inlineStr">
        <is>
          <t>data/raw/vivo_postpaid_SP.html</t>
        </is>
      </c>
    </row>
    <row r="4173">
      <c r="A4173" s="5" t="inlineStr">
        <is>
          <t>2026-09-03</t>
        </is>
      </c>
      <c r="B4173" s="5" t="inlineStr">
        <is>
          <t>2026-09-03T19:57:11</t>
        </is>
      </c>
      <c r="C4173" s="5" t="inlineStr">
        <is>
          <t>vivo</t>
        </is>
      </c>
      <c r="D4173" s="5" t="inlineStr">
        <is>
          <t>postpaid</t>
        </is>
      </c>
      <c r="E4173" s="5" t="inlineStr">
        <is>
          <t>SP</t>
        </is>
      </c>
      <c r="F4173" s="5" t="inlineStr">
        <is>
          <t>Vivo Pós com Spotify</t>
        </is>
      </c>
      <c r="G4173" s="5" t="inlineStr">
        <is>
          <t>vivo:VIV202600034556</t>
        </is>
      </c>
      <c r="H4173" s="6" t="n">
        <v>165</v>
      </c>
      <c r="I4173" s="6" t="inlineStr"/>
      <c r="J4173" s="5" t="inlineStr"/>
      <c r="K4173" s="5" t="inlineStr"/>
      <c r="L4173" s="7" t="n">
        <v>60</v>
      </c>
      <c r="M4173" s="5" t="inlineStr">
        <is>
          <t>50 GB de franquia 10 GB de bônus</t>
        </is>
      </c>
      <c r="N4173" s="5" t="inlineStr"/>
      <c r="O4173" s="5" t="inlineStr"/>
      <c r="P4173" s="5" t="inlineStr"/>
      <c r="Q4173" s="5" t="inlineStr"/>
      <c r="R4173" s="5" t="inlineStr">
        <is>
          <t>Spotify</t>
        </is>
      </c>
      <c r="S4173" s="5" t="inlineStr"/>
      <c r="T4173" s="5" t="inlineStr">
        <is>
          <t>Assinatura Spotify Premium inclusa</t>
        </is>
      </c>
      <c r="U4173" s="5" t="inlineStr">
        <is>
          <t>https://vivo.com.br/para-voce/produtos-e-servicos/para-o-celular/planos-pos-pago</t>
        </is>
      </c>
      <c r="V4173" s="5" t="inlineStr">
        <is>
          <t>data/raw/vivo_postpaid_SP.html</t>
        </is>
      </c>
    </row>
    <row r="4174">
      <c r="A4174" s="2" t="inlineStr">
        <is>
          <t>2026-09-03</t>
        </is>
      </c>
      <c r="B4174" s="2" t="inlineStr">
        <is>
          <t>2026-09-03T19:57:11</t>
        </is>
      </c>
      <c r="C4174" s="2" t="inlineStr">
        <is>
          <t>vivo</t>
        </is>
      </c>
      <c r="D4174" s="2" t="inlineStr">
        <is>
          <t>postpaid</t>
        </is>
      </c>
      <c r="E4174" s="2" t="inlineStr">
        <is>
          <t>SP</t>
        </is>
      </c>
      <c r="F4174" s="2" t="inlineStr">
        <is>
          <t>Vivo Pós com Travel</t>
        </is>
      </c>
      <c r="G4174" s="2" t="inlineStr">
        <is>
          <t>vivo:VIV202600034573</t>
        </is>
      </c>
      <c r="H4174" s="3" t="n">
        <v>215</v>
      </c>
      <c r="I4174" s="3" t="inlineStr"/>
      <c r="J4174" s="2" t="inlineStr"/>
      <c r="K4174" s="2" t="inlineStr"/>
      <c r="L4174" s="4" t="n">
        <v>70</v>
      </c>
      <c r="M4174" s="2" t="inlineStr">
        <is>
          <t>60 GB de franquia 10 GB de bônus</t>
        </is>
      </c>
      <c r="N4174" s="2" t="inlineStr"/>
      <c r="O4174" s="2" t="inlineStr"/>
      <c r="P4174" s="2" t="inlineStr"/>
      <c r="Q4174" s="2" t="inlineStr"/>
      <c r="R4174" s="2" t="inlineStr"/>
      <c r="S4174" s="2" t="inlineStr"/>
      <c r="T4174" s="2" t="inlineStr">
        <is>
          <t>6 meses grátis de Gemini com AI Plus</t>
        </is>
      </c>
      <c r="U4174" s="2" t="inlineStr">
        <is>
          <t>https://vivo.com.br/para-voce/produtos-e-servicos/para-o-celular/planos-pos-pago</t>
        </is>
      </c>
      <c r="V4174" s="2" t="inlineStr">
        <is>
          <t>data/raw/vivo_postpaid_SP.html</t>
        </is>
      </c>
    </row>
    <row r="4175">
      <c r="A4175" s="5" t="inlineStr">
        <is>
          <t>2026-09-03</t>
        </is>
      </c>
      <c r="B4175" s="5" t="inlineStr">
        <is>
          <t>2026-09-03T19:57:11</t>
        </is>
      </c>
      <c r="C4175" s="5" t="inlineStr">
        <is>
          <t>vivo</t>
        </is>
      </c>
      <c r="D4175" s="5" t="inlineStr">
        <is>
          <t>prepaid</t>
        </is>
      </c>
      <c r="E4175" s="5" t="inlineStr">
        <is>
          <t>SP</t>
        </is>
      </c>
      <c r="F4175" s="5" t="inlineStr">
        <is>
          <t>Vivo Pré</t>
        </is>
      </c>
      <c r="G4175" s="5" t="inlineStr">
        <is>
          <t>vivo:VIV202600029370-30d</t>
        </is>
      </c>
      <c r="H4175" s="6" t="n">
        <v>30</v>
      </c>
      <c r="I4175" s="6" t="inlineStr"/>
      <c r="J4175" s="5" t="inlineStr"/>
      <c r="K4175" s="5" t="inlineStr"/>
      <c r="L4175" s="7" t="n">
        <v>25</v>
      </c>
      <c r="M4175" s="5" t="inlineStr">
        <is>
          <t>15 GB para navegar como quiser 5 GB de bônus 5 GB para navegar no Youtube</t>
        </is>
      </c>
      <c r="N4175" s="5" t="n">
        <v>30</v>
      </c>
      <c r="O4175" s="5" t="inlineStr"/>
      <c r="P4175" s="5" t="inlineStr"/>
      <c r="Q4175" s="5" t="inlineStr"/>
      <c r="R4175" s="5" t="inlineStr"/>
      <c r="S4175" s="5" t="inlineStr"/>
      <c r="T4175" s="5" t="inlineStr"/>
      <c r="U4175" s="5" t="inlineStr">
        <is>
          <t>https://vivo.com.br/para-voce/produtos-e-servicos/para-o-celular/pre-pago/vivo-pre</t>
        </is>
      </c>
      <c r="V4175" s="5" t="inlineStr">
        <is>
          <t>data/raw/vivo_prepaid_SP.html</t>
        </is>
      </c>
    </row>
    <row r="4176">
      <c r="A4176" s="2" t="inlineStr">
        <is>
          <t>2026-09-03</t>
        </is>
      </c>
      <c r="B4176" s="2" t="inlineStr">
        <is>
          <t>2026-09-03T19:57:11</t>
        </is>
      </c>
      <c r="C4176" s="2" t="inlineStr">
        <is>
          <t>vivo</t>
        </is>
      </c>
      <c r="D4176" s="2" t="inlineStr">
        <is>
          <t>prepaid</t>
        </is>
      </c>
      <c r="E4176" s="2" t="inlineStr">
        <is>
          <t>SP</t>
        </is>
      </c>
      <c r="F4176" s="2" t="inlineStr">
        <is>
          <t>Vivo Pré</t>
        </is>
      </c>
      <c r="G4176" s="2" t="inlineStr">
        <is>
          <t>vivo:VIV202600029370-22d</t>
        </is>
      </c>
      <c r="H4176" s="3" t="n">
        <v>25</v>
      </c>
      <c r="I4176" s="3" t="inlineStr"/>
      <c r="J4176" s="2" t="inlineStr"/>
      <c r="K4176" s="2" t="inlineStr"/>
      <c r="L4176" s="4" t="n">
        <v>9</v>
      </c>
      <c r="M4176" s="2" t="inlineStr">
        <is>
          <t>6 GB para navegar como quiser 3 GB para navegar no YouTube</t>
        </is>
      </c>
      <c r="N4176" s="2" t="n">
        <v>22</v>
      </c>
      <c r="O4176" s="2" t="inlineStr"/>
      <c r="P4176" s="2" t="inlineStr"/>
      <c r="Q4176" s="2" t="inlineStr"/>
      <c r="R4176" s="2" t="inlineStr"/>
      <c r="S4176" s="2" t="inlineStr"/>
      <c r="T4176" s="2" t="inlineStr"/>
      <c r="U4176" s="2" t="inlineStr">
        <is>
          <t>https://vivo.com.br/para-voce/produtos-e-servicos/para-o-celular/pre-pago/vivo-pre</t>
        </is>
      </c>
      <c r="V4176" s="2" t="inlineStr">
        <is>
          <t>data/raw/vivo_prepaid_SP.html</t>
        </is>
      </c>
    </row>
    <row r="4177">
      <c r="A4177" s="5" t="inlineStr">
        <is>
          <t>2026-09-03</t>
        </is>
      </c>
      <c r="B4177" s="5" t="inlineStr">
        <is>
          <t>2026-09-03T19:57:11</t>
        </is>
      </c>
      <c r="C4177" s="5" t="inlineStr">
        <is>
          <t>vivo</t>
        </is>
      </c>
      <c r="D4177" s="5" t="inlineStr">
        <is>
          <t>prepaid</t>
        </is>
      </c>
      <c r="E4177" s="5" t="inlineStr">
        <is>
          <t>SP</t>
        </is>
      </c>
      <c r="F4177" s="5" t="inlineStr">
        <is>
          <t>Vivo Pré</t>
        </is>
      </c>
      <c r="G4177" s="5" t="inlineStr">
        <is>
          <t>vivo:VIV202600029370-17d</t>
        </is>
      </c>
      <c r="H4177" s="6" t="n">
        <v>20</v>
      </c>
      <c r="I4177" s="6" t="inlineStr"/>
      <c r="J4177" s="5" t="inlineStr"/>
      <c r="K4177" s="5" t="inlineStr"/>
      <c r="L4177" s="7" t="n">
        <v>5</v>
      </c>
      <c r="M4177" s="5" t="inlineStr">
        <is>
          <t>5 GB para navegar como quiser</t>
        </is>
      </c>
      <c r="N4177" s="5" t="n">
        <v>17</v>
      </c>
      <c r="O4177" s="5" t="inlineStr"/>
      <c r="P4177" s="5" t="inlineStr"/>
      <c r="Q4177" s="5" t="inlineStr"/>
      <c r="R4177" s="5" t="inlineStr"/>
      <c r="S4177" s="5" t="inlineStr"/>
      <c r="T4177" s="5" t="inlineStr"/>
      <c r="U4177" s="5" t="inlineStr">
        <is>
          <t>https://vivo.com.br/para-voce/produtos-e-servicos/para-o-celular/pre-pago/vivo-pre</t>
        </is>
      </c>
      <c r="V4177" s="5" t="inlineStr">
        <is>
          <t>data/raw/vivo_prepaid_SP.html</t>
        </is>
      </c>
    </row>
    <row r="4178">
      <c r="A4178" s="2" t="inlineStr">
        <is>
          <t>2026-09-03</t>
        </is>
      </c>
      <c r="B4178" s="2" t="inlineStr">
        <is>
          <t>2026-09-03T19:57:11</t>
        </is>
      </c>
      <c r="C4178" s="2" t="inlineStr">
        <is>
          <t>vivo</t>
        </is>
      </c>
      <c r="D4178" s="2" t="inlineStr">
        <is>
          <t>prepaid</t>
        </is>
      </c>
      <c r="E4178" s="2" t="inlineStr">
        <is>
          <t>SP</t>
        </is>
      </c>
      <c r="F4178" s="2" t="inlineStr">
        <is>
          <t>Vivo Pré</t>
        </is>
      </c>
      <c r="G4178" s="2" t="inlineStr">
        <is>
          <t>vivo:VIV202600029370-15d</t>
        </is>
      </c>
      <c r="H4178" s="3" t="n">
        <v>17</v>
      </c>
      <c r="I4178" s="3" t="inlineStr"/>
      <c r="J4178" s="2" t="inlineStr"/>
      <c r="K4178" s="2" t="inlineStr"/>
      <c r="L4178" s="4" t="n">
        <v>4</v>
      </c>
      <c r="M4178" s="2" t="inlineStr">
        <is>
          <t>4 GB para navegar como quiser</t>
        </is>
      </c>
      <c r="N4178" s="2" t="n">
        <v>15</v>
      </c>
      <c r="O4178" s="2" t="inlineStr"/>
      <c r="P4178" s="2" t="inlineStr"/>
      <c r="Q4178" s="2" t="inlineStr"/>
      <c r="R4178" s="2" t="inlineStr"/>
      <c r="S4178" s="2" t="inlineStr"/>
      <c r="T4178" s="2" t="inlineStr"/>
      <c r="U4178" s="2" t="inlineStr">
        <is>
          <t>https://vivo.com.br/para-voce/produtos-e-servicos/para-o-celular/pre-pago/vivo-pre</t>
        </is>
      </c>
      <c r="V4178" s="2" t="inlineStr">
        <is>
          <t>data/raw/vivo_prepaid_SP.html</t>
        </is>
      </c>
    </row>
    <row r="4179">
      <c r="A4179" s="5" t="inlineStr">
        <is>
          <t>2026-09-04</t>
        </is>
      </c>
      <c r="B4179" s="5" t="inlineStr">
        <is>
          <t>2026-09-04T19:45:10</t>
        </is>
      </c>
      <c r="C4179" s="5" t="inlineStr">
        <is>
          <t>claro</t>
        </is>
      </c>
      <c r="D4179" s="5" t="inlineStr">
        <is>
          <t>control</t>
        </is>
      </c>
      <c r="E4179" s="5" t="inlineStr">
        <is>
          <t>SP</t>
        </is>
      </c>
      <c r="F4179" s="5" t="inlineStr">
        <is>
          <t>Controle 25GB</t>
        </is>
      </c>
      <c r="G4179" s="5" t="inlineStr">
        <is>
          <t>claro:plano-controle-25gb</t>
        </is>
      </c>
      <c r="H4179" s="6" t="n">
        <v>59.9</v>
      </c>
      <c r="I4179" s="6" t="n">
        <v>54.9</v>
      </c>
      <c r="J4179" s="5" t="inlineStr">
        <is>
          <t>De R$ 59,90 Por:</t>
        </is>
      </c>
      <c r="K4179" s="5" t="inlineStr"/>
      <c r="L4179" s="7" t="n">
        <v>25</v>
      </c>
      <c r="M4179" s="5" t="inlineStr"/>
      <c r="N4179" s="5" t="inlineStr"/>
      <c r="O4179" s="5" t="inlineStr">
        <is>
          <t>WhatsApp</t>
        </is>
      </c>
      <c r="P4179" s="5" t="inlineStr"/>
      <c r="Q4179" s="5" t="inlineStr"/>
      <c r="R4179" s="5" t="inlineStr"/>
      <c r="S4179" s="5" t="inlineStr"/>
      <c r="T4179" s="5" t="inlineStr">
        <is>
          <t>Para uso livre; Para redes sociais e vídeos; Bônus exclusivo; Aproveite na sua franquia; WhatsApp e ligações ilimitadas</t>
        </is>
      </c>
      <c r="U4179" s="5" t="inlineStr">
        <is>
          <t>https://www.claro.com.br/celular/controle</t>
        </is>
      </c>
      <c r="V4179" s="5" t="inlineStr">
        <is>
          <t>data/raw/claro_control_SP.json</t>
        </is>
      </c>
    </row>
    <row r="4180">
      <c r="A4180" s="2" t="inlineStr">
        <is>
          <t>2026-09-04</t>
        </is>
      </c>
      <c r="B4180" s="2" t="inlineStr">
        <is>
          <t>2026-09-04T19:45:10</t>
        </is>
      </c>
      <c r="C4180" s="2" t="inlineStr">
        <is>
          <t>claro</t>
        </is>
      </c>
      <c r="D4180" s="2" t="inlineStr">
        <is>
          <t>control</t>
        </is>
      </c>
      <c r="E4180" s="2" t="inlineStr">
        <is>
          <t>SP</t>
        </is>
      </c>
      <c r="F4180" s="2" t="inlineStr">
        <is>
          <t>Controle 30GB</t>
        </is>
      </c>
      <c r="G4180" s="2" t="inlineStr">
        <is>
          <t>claro:plano-controle-30gb</t>
        </is>
      </c>
      <c r="H4180" s="3" t="n">
        <v>69.90000000000001</v>
      </c>
      <c r="I4180" s="3" t="inlineStr"/>
      <c r="J4180" s="2" t="inlineStr"/>
      <c r="K4180" s="2" t="inlineStr"/>
      <c r="L4180" s="4" t="n">
        <v>30</v>
      </c>
      <c r="M4180" s="2" t="inlineStr"/>
      <c r="N4180" s="2" t="inlineStr"/>
      <c r="O4180" s="2" t="inlineStr">
        <is>
          <t>WhatsApp</t>
        </is>
      </c>
      <c r="P4180" s="2" t="inlineStr"/>
      <c r="Q4180" s="2" t="inlineStr"/>
      <c r="R4180" s="2" t="inlineStr"/>
      <c r="S4180" s="2" t="inlineStr"/>
      <c r="T4180" s="2" t="inlineStr">
        <is>
          <t>Para uso livre; Bônus para uso livre; Bônus para redes sociais e apps; Assinatura Amazon Prime por 3 meses; Redes sociais e apps; WhatsApp ilimitado</t>
        </is>
      </c>
      <c r="U4180" s="2" t="inlineStr">
        <is>
          <t>https://www.claro.com.br/celular/controle</t>
        </is>
      </c>
      <c r="V4180" s="2" t="inlineStr">
        <is>
          <t>data/raw/claro_control_SP.json</t>
        </is>
      </c>
    </row>
    <row r="4181">
      <c r="A4181" s="5" t="inlineStr">
        <is>
          <t>2026-09-04</t>
        </is>
      </c>
      <c r="B4181" s="5" t="inlineStr">
        <is>
          <t>2026-09-04T19:45:10</t>
        </is>
      </c>
      <c r="C4181" s="5" t="inlineStr">
        <is>
          <t>claro</t>
        </is>
      </c>
      <c r="D4181" s="5" t="inlineStr">
        <is>
          <t>control</t>
        </is>
      </c>
      <c r="E4181" s="5" t="inlineStr">
        <is>
          <t>SP</t>
        </is>
      </c>
      <c r="F4181" s="5" t="inlineStr">
        <is>
          <t>Controle 30GB</t>
        </is>
      </c>
      <c r="G4181" s="5" t="inlineStr">
        <is>
          <t>claro:plano-controle-30gb-gaming</t>
        </is>
      </c>
      <c r="H4181" s="6" t="n">
        <v>99.90000000000001</v>
      </c>
      <c r="I4181" s="6" t="inlineStr"/>
      <c r="J4181" s="5" t="inlineStr"/>
      <c r="K4181" s="5" t="inlineStr"/>
      <c r="L4181" s="7" t="n">
        <v>30</v>
      </c>
      <c r="M4181" s="5" t="inlineStr"/>
      <c r="N4181" s="5" t="inlineStr"/>
      <c r="O4181" s="5" t="inlineStr">
        <is>
          <t>WhatsApp</t>
        </is>
      </c>
      <c r="P4181" s="5" t="inlineStr"/>
      <c r="Q4181" s="5" t="inlineStr"/>
      <c r="R4181" s="5" t="inlineStr"/>
      <c r="S4181" s="5" t="inlineStr"/>
      <c r="T4181" s="5" t="inlineStr">
        <is>
          <t>Para uso livre; Bônus para redes sociais e apps; Bônus uso livre; Assinatura Amazon Prime por 3 meses; Redes sociais e apps; WhatsApp ilimitado</t>
        </is>
      </c>
      <c r="U4181" s="5" t="inlineStr">
        <is>
          <t>https://www.claro.com.br/celular/controle</t>
        </is>
      </c>
      <c r="V4181" s="5" t="inlineStr">
        <is>
          <t>data/raw/claro_control_SP.json</t>
        </is>
      </c>
    </row>
    <row r="4182">
      <c r="A4182" s="2" t="inlineStr">
        <is>
          <t>2026-09-04</t>
        </is>
      </c>
      <c r="B4182" s="2" t="inlineStr">
        <is>
          <t>2026-09-04T19:45:10</t>
        </is>
      </c>
      <c r="C4182" s="2" t="inlineStr">
        <is>
          <t>claro</t>
        </is>
      </c>
      <c r="D4182" s="2" t="inlineStr">
        <is>
          <t>flex</t>
        </is>
      </c>
      <c r="E4182" s="2" t="inlineStr">
        <is>
          <t>SP</t>
        </is>
      </c>
      <c r="F4182" s="2" t="inlineStr">
        <is>
          <t>Flex 15GB</t>
        </is>
      </c>
      <c r="G4182" s="2" t="inlineStr">
        <is>
          <t>claro:plano-flex-15gb</t>
        </is>
      </c>
      <c r="H4182" s="3" t="n">
        <v>44.9</v>
      </c>
      <c r="I4182" s="3" t="inlineStr"/>
      <c r="J4182" s="2" t="inlineStr"/>
      <c r="K4182" s="2" t="inlineStr"/>
      <c r="L4182" s="4" t="n">
        <v>15</v>
      </c>
      <c r="M4182" s="2" t="inlineStr"/>
      <c r="N4182" s="2" t="inlineStr"/>
      <c r="O4182" s="2" t="inlineStr">
        <is>
          <t>WhatsApp</t>
        </is>
      </c>
      <c r="P4182" s="2" t="inlineStr"/>
      <c r="Q4182" s="2" t="inlineStr"/>
      <c r="R4182" s="2" t="inlineStr"/>
      <c r="S4182" s="2" t="inlineStr"/>
      <c r="T4182" s="2" t="inlineStr">
        <is>
          <t>Para uso livre; Para redes sociais e apps; Bônus extra nos apps; WhatsApp ilimitado</t>
        </is>
      </c>
      <c r="U4182" s="2" t="inlineStr">
        <is>
          <t>https://www.claro.com.br/celular/flex</t>
        </is>
      </c>
      <c r="V4182" s="2" t="inlineStr">
        <is>
          <t>data/raw/claro_flex_SP.json</t>
        </is>
      </c>
    </row>
    <row r="4183">
      <c r="A4183" s="5" t="inlineStr">
        <is>
          <t>2026-09-04</t>
        </is>
      </c>
      <c r="B4183" s="5" t="inlineStr">
        <is>
          <t>2026-09-04T19:45:10</t>
        </is>
      </c>
      <c r="C4183" s="5" t="inlineStr">
        <is>
          <t>claro</t>
        </is>
      </c>
      <c r="D4183" s="5" t="inlineStr">
        <is>
          <t>flex</t>
        </is>
      </c>
      <c r="E4183" s="5" t="inlineStr">
        <is>
          <t>SP</t>
        </is>
      </c>
      <c r="F4183" s="5" t="inlineStr">
        <is>
          <t>Flex 20GB</t>
        </is>
      </c>
      <c r="G4183" s="5" t="inlineStr">
        <is>
          <t>claro:plano-flex-20gb</t>
        </is>
      </c>
      <c r="H4183" s="6" t="n">
        <v>59.9</v>
      </c>
      <c r="I4183" s="6" t="inlineStr"/>
      <c r="J4183" s="5" t="inlineStr"/>
      <c r="K4183" s="5" t="inlineStr"/>
      <c r="L4183" s="7" t="n">
        <v>20</v>
      </c>
      <c r="M4183" s="5" t="inlineStr"/>
      <c r="N4183" s="5" t="inlineStr"/>
      <c r="O4183" s="5" t="inlineStr">
        <is>
          <t>WhatsApp</t>
        </is>
      </c>
      <c r="P4183" s="5" t="inlineStr"/>
      <c r="Q4183" s="5" t="inlineStr"/>
      <c r="R4183" s="5" t="inlineStr"/>
      <c r="S4183" s="5" t="inlineStr"/>
      <c r="T4183" s="5" t="inlineStr">
        <is>
          <t>Para uso livre; Para redes sociais e apps; Bônus extra nos apps; WhatsApp ilimitado</t>
        </is>
      </c>
      <c r="U4183" s="5" t="inlineStr">
        <is>
          <t>https://www.claro.com.br/celular/flex</t>
        </is>
      </c>
      <c r="V4183" s="5" t="inlineStr">
        <is>
          <t>data/raw/claro_flex_SP.json</t>
        </is>
      </c>
    </row>
    <row r="4184">
      <c r="A4184" s="2" t="inlineStr">
        <is>
          <t>2026-09-04</t>
        </is>
      </c>
      <c r="B4184" s="2" t="inlineStr">
        <is>
          <t>2026-09-04T19:45:10</t>
        </is>
      </c>
      <c r="C4184" s="2" t="inlineStr">
        <is>
          <t>claro</t>
        </is>
      </c>
      <c r="D4184" s="2" t="inlineStr">
        <is>
          <t>flex</t>
        </is>
      </c>
      <c r="E4184" s="2" t="inlineStr">
        <is>
          <t>SP</t>
        </is>
      </c>
      <c r="F4184" s="2" t="inlineStr">
        <is>
          <t>Flex 30GB</t>
        </is>
      </c>
      <c r="G4184" s="2" t="inlineStr">
        <is>
          <t>claro:plano-flex-30gb</t>
        </is>
      </c>
      <c r="H4184" s="3" t="n">
        <v>69.90000000000001</v>
      </c>
      <c r="I4184" s="3" t="inlineStr"/>
      <c r="J4184" s="2" t="inlineStr"/>
      <c r="K4184" s="2" t="inlineStr"/>
      <c r="L4184" s="4" t="n">
        <v>30</v>
      </c>
      <c r="M4184" s="2" t="inlineStr"/>
      <c r="N4184" s="2" t="inlineStr"/>
      <c r="O4184" s="2" t="inlineStr">
        <is>
          <t>WhatsApp</t>
        </is>
      </c>
      <c r="P4184" s="2" t="inlineStr"/>
      <c r="Q4184" s="2" t="inlineStr"/>
      <c r="R4184" s="2" t="inlineStr"/>
      <c r="S4184" s="2" t="inlineStr"/>
      <c r="T4184" s="2" t="inlineStr">
        <is>
          <t>Para uso livre; Para redes sociais e apps; Bônus extra nos apps; WhatsApp ilimitado; Assinatura Claro musica inclusa</t>
        </is>
      </c>
      <c r="U4184" s="2" t="inlineStr">
        <is>
          <t>https://www.claro.com.br/celular/flex</t>
        </is>
      </c>
      <c r="V4184" s="2" t="inlineStr">
        <is>
          <t>data/raw/claro_flex_SP.json</t>
        </is>
      </c>
    </row>
    <row r="4185">
      <c r="A4185" s="5" t="inlineStr">
        <is>
          <t>2026-09-04</t>
        </is>
      </c>
      <c r="B4185" s="5" t="inlineStr">
        <is>
          <t>2026-09-04T19:45:10</t>
        </is>
      </c>
      <c r="C4185" s="5" t="inlineStr">
        <is>
          <t>claro</t>
        </is>
      </c>
      <c r="D4185" s="5" t="inlineStr">
        <is>
          <t>flex</t>
        </is>
      </c>
      <c r="E4185" s="5" t="inlineStr">
        <is>
          <t>SP</t>
        </is>
      </c>
      <c r="F4185" s="5" t="inlineStr">
        <is>
          <t>Flex 40GB</t>
        </is>
      </c>
      <c r="G4185" s="5" t="inlineStr">
        <is>
          <t>claro:plano-flex-40gb</t>
        </is>
      </c>
      <c r="H4185" s="6" t="n">
        <v>119.9</v>
      </c>
      <c r="I4185" s="6" t="inlineStr"/>
      <c r="J4185" s="5" t="inlineStr"/>
      <c r="K4185" s="5" t="inlineStr"/>
      <c r="L4185" s="7" t="n">
        <v>40</v>
      </c>
      <c r="M4185" s="5" t="inlineStr"/>
      <c r="N4185" s="5" t="inlineStr"/>
      <c r="O4185" s="5" t="inlineStr">
        <is>
          <t>WhatsApp</t>
        </is>
      </c>
      <c r="P4185" s="5" t="inlineStr"/>
      <c r="Q4185" s="5" t="inlineStr"/>
      <c r="R4185" s="5" t="inlineStr"/>
      <c r="S4185" s="5" t="inlineStr"/>
      <c r="T4185" s="5" t="inlineStr">
        <is>
          <t>Para uso livre; WhatsApp ilimitado; Assinatura Claro musica inclusa; Roaming: Passaporte Américas</t>
        </is>
      </c>
      <c r="U4185" s="5" t="inlineStr">
        <is>
          <t>https://www.claro.com.br/celular/flex</t>
        </is>
      </c>
      <c r="V4185" s="5" t="inlineStr">
        <is>
          <t>data/raw/claro_flex_SP.json</t>
        </is>
      </c>
    </row>
    <row r="4186">
      <c r="A4186" s="2" t="inlineStr">
        <is>
          <t>2026-09-04</t>
        </is>
      </c>
      <c r="B4186" s="2" t="inlineStr">
        <is>
          <t>2026-09-04T19:45:10</t>
        </is>
      </c>
      <c r="C4186" s="2" t="inlineStr">
        <is>
          <t>claro</t>
        </is>
      </c>
      <c r="D4186" s="2" t="inlineStr">
        <is>
          <t>postpaid</t>
        </is>
      </c>
      <c r="E4186" s="2" t="inlineStr">
        <is>
          <t>SP</t>
        </is>
      </c>
      <c r="F4186" s="2" t="inlineStr">
        <is>
          <t>Pós 100GB</t>
        </is>
      </c>
      <c r="G4186" s="2" t="inlineStr">
        <is>
          <t>claro:plano-pos-100gb</t>
        </is>
      </c>
      <c r="H4186" s="3" t="n">
        <v>179.9</v>
      </c>
      <c r="I4186" s="3" t="inlineStr"/>
      <c r="J4186" s="2" t="inlineStr"/>
      <c r="K4186" s="2" t="inlineStr"/>
      <c r="L4186" s="4" t="n">
        <v>100</v>
      </c>
      <c r="M4186" s="2" t="inlineStr"/>
      <c r="N4186" s="2" t="inlineStr"/>
      <c r="O4186" s="2" t="inlineStr">
        <is>
          <t>WhatsApp</t>
        </is>
      </c>
      <c r="P4186" s="2" t="inlineStr"/>
      <c r="Q4186" s="2" t="inlineStr"/>
      <c r="R4186" s="2" t="inlineStr"/>
      <c r="S4186" s="2" t="inlineStr"/>
      <c r="T4186" s="2" t="inlineStr">
        <is>
          <t>Armazenamento na nuvem:; Google One ou iCloud+; WhatsApp ilimitado; Assinatura Amazon Prime por 3 meses; Roaming: Passaporte Américas; Claro Sync: Smartwatch conectado</t>
        </is>
      </c>
      <c r="U4186" s="2" t="inlineStr">
        <is>
          <t>https://www.claro.com.br/celular/pos</t>
        </is>
      </c>
      <c r="V4186" s="2" t="inlineStr">
        <is>
          <t>data/raw/claro_postpaid_SP.json</t>
        </is>
      </c>
    </row>
    <row r="4187">
      <c r="A4187" s="5" t="inlineStr">
        <is>
          <t>2026-09-04</t>
        </is>
      </c>
      <c r="B4187" s="5" t="inlineStr">
        <is>
          <t>2026-09-04T19:45:10</t>
        </is>
      </c>
      <c r="C4187" s="5" t="inlineStr">
        <is>
          <t>claro</t>
        </is>
      </c>
      <c r="D4187" s="5" t="inlineStr">
        <is>
          <t>postpaid</t>
        </is>
      </c>
      <c r="E4187" s="5" t="inlineStr">
        <is>
          <t>SP</t>
        </is>
      </c>
      <c r="F4187" s="5" t="inlineStr">
        <is>
          <t>Pós 150GB</t>
        </is>
      </c>
      <c r="G4187" s="5" t="inlineStr">
        <is>
          <t>claro:plano-pos-150gb</t>
        </is>
      </c>
      <c r="H4187" s="6" t="n">
        <v>239.9</v>
      </c>
      <c r="I4187" s="6" t="inlineStr"/>
      <c r="J4187" s="5" t="inlineStr"/>
      <c r="K4187" s="5" t="inlineStr"/>
      <c r="L4187" s="7" t="n">
        <v>150</v>
      </c>
      <c r="M4187" s="5" t="inlineStr"/>
      <c r="N4187" s="5" t="inlineStr"/>
      <c r="O4187" s="5" t="inlineStr">
        <is>
          <t>WhatsApp</t>
        </is>
      </c>
      <c r="P4187" s="5" t="inlineStr"/>
      <c r="Q4187" s="5" t="inlineStr"/>
      <c r="R4187" s="5" t="inlineStr"/>
      <c r="S4187" s="5" t="inlineStr"/>
      <c r="T4187" s="5" t="inlineStr">
        <is>
          <t>Armazenamento na nuvem:; Google One (AI Plus) ou iCloud+; WhatsApp ilimitado; Assinatura Amazon Prime por 3 meses; Roaming: Passaporte Américas e Europa; Claro Sync: Smartwatch conectado</t>
        </is>
      </c>
      <c r="U4187" s="5" t="inlineStr">
        <is>
          <t>https://www.claro.com.br/celular/pos</t>
        </is>
      </c>
      <c r="V4187" s="5" t="inlineStr">
        <is>
          <t>data/raw/claro_postpaid_SP.json</t>
        </is>
      </c>
    </row>
    <row r="4188">
      <c r="A4188" s="2" t="inlineStr">
        <is>
          <t>2026-09-04</t>
        </is>
      </c>
      <c r="B4188" s="2" t="inlineStr">
        <is>
          <t>2026-09-04T19:45:10</t>
        </is>
      </c>
      <c r="C4188" s="2" t="inlineStr">
        <is>
          <t>claro</t>
        </is>
      </c>
      <c r="D4188" s="2" t="inlineStr">
        <is>
          <t>postpaid</t>
        </is>
      </c>
      <c r="E4188" s="2" t="inlineStr">
        <is>
          <t>SP</t>
        </is>
      </c>
      <c r="F4188" s="2" t="inlineStr">
        <is>
          <t>Pós 200GB</t>
        </is>
      </c>
      <c r="G4188" s="2" t="inlineStr">
        <is>
          <t>claro:plano-pos-200gb</t>
        </is>
      </c>
      <c r="H4188" s="3" t="n">
        <v>339.9</v>
      </c>
      <c r="I4188" s="3" t="inlineStr"/>
      <c r="J4188" s="2" t="inlineStr"/>
      <c r="K4188" s="2" t="inlineStr"/>
      <c r="L4188" s="4" t="n">
        <v>200</v>
      </c>
      <c r="M4188" s="2" t="inlineStr"/>
      <c r="N4188" s="2" t="inlineStr"/>
      <c r="O4188" s="2" t="inlineStr">
        <is>
          <t>WhatsApp</t>
        </is>
      </c>
      <c r="P4188" s="2" t="inlineStr"/>
      <c r="Q4188" s="2" t="inlineStr"/>
      <c r="R4188" s="2" t="inlineStr"/>
      <c r="S4188" s="2" t="inlineStr"/>
      <c r="T4188" s="2" t="inlineStr">
        <is>
          <t>Armazenamento na nuvem:; Google One (AI Plus) ou iCloud+; WhatsApp ilimitado; Assinatura Amazon Prime por 3 meses; Roaming: Passaporte Mundo; Claro Sync: Smartwatch conectado</t>
        </is>
      </c>
      <c r="U4188" s="2" t="inlineStr">
        <is>
          <t>https://www.claro.com.br/celular/pos</t>
        </is>
      </c>
      <c r="V4188" s="2" t="inlineStr">
        <is>
          <t>data/raw/claro_postpaid_SP.json</t>
        </is>
      </c>
    </row>
    <row r="4189">
      <c r="A4189" s="5" t="inlineStr">
        <is>
          <t>2026-09-04</t>
        </is>
      </c>
      <c r="B4189" s="5" t="inlineStr">
        <is>
          <t>2026-09-04T19:45:10</t>
        </is>
      </c>
      <c r="C4189" s="5" t="inlineStr">
        <is>
          <t>claro</t>
        </is>
      </c>
      <c r="D4189" s="5" t="inlineStr">
        <is>
          <t>postpaid</t>
        </is>
      </c>
      <c r="E4189" s="5" t="inlineStr">
        <is>
          <t>SP</t>
        </is>
      </c>
      <c r="F4189" s="5" t="inlineStr">
        <is>
          <t>Pós 50GB com GeForce NOW</t>
        </is>
      </c>
      <c r="G4189" s="5" t="inlineStr">
        <is>
          <t>claro:plano-pos-60gb-geforce</t>
        </is>
      </c>
      <c r="H4189" s="6" t="n">
        <v>164.9</v>
      </c>
      <c r="I4189" s="6" t="inlineStr"/>
      <c r="J4189" s="5" t="inlineStr"/>
      <c r="K4189" s="5" t="inlineStr"/>
      <c r="L4189" s="7" t="n">
        <v>50</v>
      </c>
      <c r="M4189" s="5" t="inlineStr"/>
      <c r="N4189" s="5" t="inlineStr"/>
      <c r="O4189" s="5" t="inlineStr">
        <is>
          <t>WhatsApp</t>
        </is>
      </c>
      <c r="P4189" s="5" t="inlineStr"/>
      <c r="Q4189" s="5" t="inlineStr"/>
      <c r="R4189" s="5" t="inlineStr"/>
      <c r="S4189" s="5" t="inlineStr"/>
      <c r="T418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4189" s="5" t="inlineStr">
        <is>
          <t>https://www.claro.com.br/celular/pos</t>
        </is>
      </c>
      <c r="V4189" s="5" t="inlineStr">
        <is>
          <t>data/raw/claro_postpaid_SP.json</t>
        </is>
      </c>
    </row>
    <row r="4190">
      <c r="A4190" s="2" t="inlineStr">
        <is>
          <t>2026-09-04</t>
        </is>
      </c>
      <c r="B4190" s="2" t="inlineStr">
        <is>
          <t>2026-09-04T19:45:10</t>
        </is>
      </c>
      <c r="C4190" s="2" t="inlineStr">
        <is>
          <t>claro</t>
        </is>
      </c>
      <c r="D4190" s="2" t="inlineStr">
        <is>
          <t>postpaid</t>
        </is>
      </c>
      <c r="E4190" s="2" t="inlineStr">
        <is>
          <t>SP</t>
        </is>
      </c>
      <c r="F4190" s="2" t="inlineStr">
        <is>
          <t>Pós 60GB</t>
        </is>
      </c>
      <c r="G4190" s="2" t="inlineStr">
        <is>
          <t>claro:plano-pos-60gb</t>
        </is>
      </c>
      <c r="H4190" s="3" t="n">
        <v>124.9</v>
      </c>
      <c r="I4190" s="3" t="inlineStr"/>
      <c r="J4190" s="2" t="inlineStr"/>
      <c r="K4190" s="2" t="inlineStr"/>
      <c r="L4190" s="4" t="n">
        <v>60</v>
      </c>
      <c r="M4190" s="2" t="inlineStr"/>
      <c r="N4190" s="2" t="inlineStr"/>
      <c r="O4190" s="2" t="inlineStr">
        <is>
          <t>WhatsApp</t>
        </is>
      </c>
      <c r="P4190" s="2" t="inlineStr"/>
      <c r="Q4190" s="2" t="inlineStr"/>
      <c r="R4190" s="2" t="inlineStr"/>
      <c r="S4190" s="2" t="inlineStr"/>
      <c r="T4190" s="2" t="inlineStr">
        <is>
          <t>Armazenamento na nuvem:; Google One ou iCloud+; WhatsApp ilimitado; Assinatura Amazon Prime por 3 meses; Roaming: Passaporte Américas; Claro Sync: Smartwatch conectado</t>
        </is>
      </c>
      <c r="U4190" s="2" t="inlineStr">
        <is>
          <t>https://www.claro.com.br/celular/pos</t>
        </is>
      </c>
      <c r="V4190" s="2" t="inlineStr">
        <is>
          <t>data/raw/claro_postpaid_SP.json</t>
        </is>
      </c>
    </row>
    <row r="4191">
      <c r="A4191" s="5" t="inlineStr">
        <is>
          <t>2026-09-04</t>
        </is>
      </c>
      <c r="B4191" s="5" t="inlineStr">
        <is>
          <t>2026-09-04T19:45:10</t>
        </is>
      </c>
      <c r="C4191" s="5" t="inlineStr">
        <is>
          <t>claro</t>
        </is>
      </c>
      <c r="D4191" s="5" t="inlineStr">
        <is>
          <t>prepaid</t>
        </is>
      </c>
      <c r="E4191" s="5" t="inlineStr">
        <is>
          <t>SP</t>
        </is>
      </c>
      <c r="F4191" s="5" t="inlineStr">
        <is>
          <t>Prezão 10GB (25 dias)</t>
        </is>
      </c>
      <c r="G4191" s="5" t="inlineStr">
        <is>
          <t>claro:prezao-25d-10gb</t>
        </is>
      </c>
      <c r="H4191" s="6" t="n">
        <v>25</v>
      </c>
      <c r="I4191" s="6" t="inlineStr"/>
      <c r="J4191" s="5" t="inlineStr">
        <is>
          <t>recarga Prezão R$25 — validade 25 dias</t>
        </is>
      </c>
      <c r="K4191" s="5" t="inlineStr"/>
      <c r="L4191" s="7" t="n">
        <v>10</v>
      </c>
      <c r="M4191" s="5" t="inlineStr"/>
      <c r="N4191" s="5" t="n">
        <v>25</v>
      </c>
      <c r="O4191" s="5" t="inlineStr"/>
      <c r="P4191" s="5" t="inlineStr"/>
      <c r="Q4191" s="5" t="inlineStr"/>
      <c r="R4191" s="5" t="inlineStr"/>
      <c r="S4191" s="5" t="inlineStr"/>
      <c r="T4191" s="5" t="inlineStr"/>
      <c r="U4191" s="5" t="inlineStr">
        <is>
          <t>https://www.claro.com.br/celular/planos-pre/prezao</t>
        </is>
      </c>
      <c r="V4191" s="5" t="inlineStr">
        <is>
          <t>data/raw/claro_prepaid_SP.json</t>
        </is>
      </c>
    </row>
    <row r="4192">
      <c r="A4192" s="2" t="inlineStr">
        <is>
          <t>2026-09-04</t>
        </is>
      </c>
      <c r="B4192" s="2" t="inlineStr">
        <is>
          <t>2026-09-04T19:45:10</t>
        </is>
      </c>
      <c r="C4192" s="2" t="inlineStr">
        <is>
          <t>claro</t>
        </is>
      </c>
      <c r="D4192" s="2" t="inlineStr">
        <is>
          <t>prepaid</t>
        </is>
      </c>
      <c r="E4192" s="2" t="inlineStr">
        <is>
          <t>SP</t>
        </is>
      </c>
      <c r="F4192" s="2" t="inlineStr">
        <is>
          <t>Prezão 12GB (30 dias)</t>
        </is>
      </c>
      <c r="G4192" s="2" t="inlineStr">
        <is>
          <t>claro:prezao-30d-12gb</t>
        </is>
      </c>
      <c r="H4192" s="3" t="n">
        <v>30</v>
      </c>
      <c r="I4192" s="3" t="inlineStr"/>
      <c r="J4192" s="2" t="inlineStr">
        <is>
          <t>recarga Prezão R$30 — validade 30 dias</t>
        </is>
      </c>
      <c r="K4192" s="2" t="inlineStr"/>
      <c r="L4192" s="4" t="n">
        <v>12</v>
      </c>
      <c r="M4192" s="2" t="inlineStr"/>
      <c r="N4192" s="2" t="n">
        <v>30</v>
      </c>
      <c r="O4192" s="2" t="inlineStr"/>
      <c r="P4192" s="2" t="inlineStr"/>
      <c r="Q4192" s="2" t="inlineStr"/>
      <c r="R4192" s="2" t="inlineStr"/>
      <c r="S4192" s="2" t="inlineStr"/>
      <c r="T4192" s="2" t="inlineStr"/>
      <c r="U4192" s="2" t="inlineStr">
        <is>
          <t>https://www.claro.com.br/celular/planos-pre/prezao</t>
        </is>
      </c>
      <c r="V4192" s="2" t="inlineStr">
        <is>
          <t>data/raw/claro_prepaid_SP.json</t>
        </is>
      </c>
    </row>
    <row r="4193">
      <c r="A4193" s="5" t="inlineStr">
        <is>
          <t>2026-09-04</t>
        </is>
      </c>
      <c r="B4193" s="5" t="inlineStr">
        <is>
          <t>2026-09-04T19:45:10</t>
        </is>
      </c>
      <c r="C4193" s="5" t="inlineStr">
        <is>
          <t>claro</t>
        </is>
      </c>
      <c r="D4193" s="5" t="inlineStr">
        <is>
          <t>prepaid</t>
        </is>
      </c>
      <c r="E4193" s="5" t="inlineStr">
        <is>
          <t>SP</t>
        </is>
      </c>
      <c r="F4193" s="5" t="inlineStr">
        <is>
          <t>Prezão 4GB (12 dias)</t>
        </is>
      </c>
      <c r="G4193" s="5" t="inlineStr">
        <is>
          <t>claro:prezao-12d-4gb</t>
        </is>
      </c>
      <c r="H4193" s="6" t="n">
        <v>15</v>
      </c>
      <c r="I4193" s="6" t="inlineStr"/>
      <c r="J4193" s="5" t="inlineStr">
        <is>
          <t>recarga Prezão R$15 — validade 12 dias</t>
        </is>
      </c>
      <c r="K4193" s="5" t="inlineStr"/>
      <c r="L4193" s="7" t="n">
        <v>4</v>
      </c>
      <c r="M4193" s="5" t="inlineStr"/>
      <c r="N4193" s="5" t="n">
        <v>12</v>
      </c>
      <c r="O4193" s="5" t="inlineStr"/>
      <c r="P4193" s="5" t="inlineStr"/>
      <c r="Q4193" s="5" t="inlineStr"/>
      <c r="R4193" s="5" t="inlineStr"/>
      <c r="S4193" s="5" t="inlineStr"/>
      <c r="T4193" s="5" t="inlineStr"/>
      <c r="U4193" s="5" t="inlineStr">
        <is>
          <t>https://www.claro.com.br/celular/planos-pre/prezao</t>
        </is>
      </c>
      <c r="V4193" s="5" t="inlineStr">
        <is>
          <t>data/raw/claro_prepaid_SP.json</t>
        </is>
      </c>
    </row>
    <row r="4194">
      <c r="A4194" s="2" t="inlineStr">
        <is>
          <t>2026-09-04</t>
        </is>
      </c>
      <c r="B4194" s="2" t="inlineStr">
        <is>
          <t>2026-09-04T19:45:10</t>
        </is>
      </c>
      <c r="C4194" s="2" t="inlineStr">
        <is>
          <t>claro</t>
        </is>
      </c>
      <c r="D4194" s="2" t="inlineStr">
        <is>
          <t>prepaid</t>
        </is>
      </c>
      <c r="E4194" s="2" t="inlineStr">
        <is>
          <t>SP</t>
        </is>
      </c>
      <c r="F4194" s="2" t="inlineStr">
        <is>
          <t>Prezão 5GB (15 dias)</t>
        </is>
      </c>
      <c r="G4194" s="2" t="inlineStr">
        <is>
          <t>claro:prezao-15d-5gb</t>
        </is>
      </c>
      <c r="H4194" s="3" t="n">
        <v>15</v>
      </c>
      <c r="I4194" s="3" t="inlineStr"/>
      <c r="J4194" s="2" t="inlineStr">
        <is>
          <t>recarga Prezão R$15 — validade 15 dias</t>
        </is>
      </c>
      <c r="K4194" s="2" t="inlineStr"/>
      <c r="L4194" s="4" t="n">
        <v>5</v>
      </c>
      <c r="M4194" s="2" t="inlineStr"/>
      <c r="N4194" s="2" t="n">
        <v>15</v>
      </c>
      <c r="O4194" s="2" t="inlineStr"/>
      <c r="P4194" s="2" t="inlineStr"/>
      <c r="Q4194" s="2" t="inlineStr"/>
      <c r="R4194" s="2" t="inlineStr"/>
      <c r="S4194" s="2" t="inlineStr"/>
      <c r="T4194" s="2" t="inlineStr"/>
      <c r="U4194" s="2" t="inlineStr">
        <is>
          <t>https://www.claro.com.br/celular/planos-pre/prezao</t>
        </is>
      </c>
      <c r="V4194" s="2" t="inlineStr">
        <is>
          <t>data/raw/claro_prepaid_SP.json</t>
        </is>
      </c>
    </row>
    <row r="4195">
      <c r="A4195" s="5" t="inlineStr">
        <is>
          <t>2026-09-04</t>
        </is>
      </c>
      <c r="B4195" s="5" t="inlineStr">
        <is>
          <t>2026-09-04T19:45:10</t>
        </is>
      </c>
      <c r="C4195" s="5" t="inlineStr">
        <is>
          <t>claro</t>
        </is>
      </c>
      <c r="D4195" s="5" t="inlineStr">
        <is>
          <t>prepaid</t>
        </is>
      </c>
      <c r="E4195" s="5" t="inlineStr">
        <is>
          <t>SP</t>
        </is>
      </c>
      <c r="F4195" s="5" t="inlineStr">
        <is>
          <t>Prezão 6GB (20 dias)</t>
        </is>
      </c>
      <c r="G4195" s="5" t="inlineStr">
        <is>
          <t>claro:prezao-20d-6gb</t>
        </is>
      </c>
      <c r="H4195" s="6" t="n">
        <v>20</v>
      </c>
      <c r="I4195" s="6" t="inlineStr"/>
      <c r="J4195" s="5" t="inlineStr">
        <is>
          <t>recarga Prezão R$20 — validade 20 dias</t>
        </is>
      </c>
      <c r="K4195" s="5" t="inlineStr"/>
      <c r="L4195" s="7" t="n">
        <v>6</v>
      </c>
      <c r="M4195" s="5" t="inlineStr"/>
      <c r="N4195" s="5" t="n">
        <v>20</v>
      </c>
      <c r="O4195" s="5" t="inlineStr"/>
      <c r="P4195" s="5" t="inlineStr"/>
      <c r="Q4195" s="5" t="inlineStr"/>
      <c r="R4195" s="5" t="inlineStr"/>
      <c r="S4195" s="5" t="inlineStr"/>
      <c r="T4195" s="5" t="inlineStr"/>
      <c r="U4195" s="5" t="inlineStr">
        <is>
          <t>https://www.claro.com.br/celular/planos-pre/prezao</t>
        </is>
      </c>
      <c r="V4195" s="5" t="inlineStr">
        <is>
          <t>data/raw/claro_prepaid_SP.json</t>
        </is>
      </c>
    </row>
    <row r="4196">
      <c r="A4196" s="2" t="inlineStr">
        <is>
          <t>2026-09-04</t>
        </is>
      </c>
      <c r="B4196" s="2" t="inlineStr">
        <is>
          <t>2026-09-04T19:45:10</t>
        </is>
      </c>
      <c r="C4196" s="2" t="inlineStr">
        <is>
          <t>claro</t>
        </is>
      </c>
      <c r="D4196" s="2" t="inlineStr">
        <is>
          <t>prepaid</t>
        </is>
      </c>
      <c r="E4196" s="2" t="inlineStr">
        <is>
          <t>SP</t>
        </is>
      </c>
      <c r="F4196" s="2" t="inlineStr">
        <is>
          <t>Prezão 8GB (20 dias)</t>
        </is>
      </c>
      <c r="G4196" s="2" t="inlineStr">
        <is>
          <t>claro:prezao-20d-8gb</t>
        </is>
      </c>
      <c r="H4196" s="3" t="n">
        <v>20</v>
      </c>
      <c r="I4196" s="3" t="inlineStr"/>
      <c r="J4196" s="2" t="inlineStr">
        <is>
          <t>recarga Prezão R$20 — validade 20 dias</t>
        </is>
      </c>
      <c r="K4196" s="2" t="inlineStr"/>
      <c r="L4196" s="4" t="n">
        <v>8</v>
      </c>
      <c r="M4196" s="2" t="inlineStr"/>
      <c r="N4196" s="2" t="n">
        <v>20</v>
      </c>
      <c r="O4196" s="2" t="inlineStr"/>
      <c r="P4196" s="2" t="inlineStr"/>
      <c r="Q4196" s="2" t="inlineStr"/>
      <c r="R4196" s="2" t="inlineStr"/>
      <c r="S4196" s="2" t="inlineStr"/>
      <c r="T4196" s="2" t="inlineStr"/>
      <c r="U4196" s="2" t="inlineStr">
        <is>
          <t>https://www.claro.com.br/celular/planos-pre/prezao</t>
        </is>
      </c>
      <c r="V4196" s="2" t="inlineStr">
        <is>
          <t>data/raw/claro_prepaid_SP.json</t>
        </is>
      </c>
    </row>
    <row r="4197">
      <c r="A4197" s="5" t="inlineStr">
        <is>
          <t>2026-09-04</t>
        </is>
      </c>
      <c r="B4197" s="5" t="inlineStr">
        <is>
          <t>2026-09-04T19:45:10</t>
        </is>
      </c>
      <c r="C4197" s="5" t="inlineStr">
        <is>
          <t>claro</t>
        </is>
      </c>
      <c r="D4197" s="5" t="inlineStr">
        <is>
          <t>prepaid</t>
        </is>
      </c>
      <c r="E4197" s="5" t="inlineStr">
        <is>
          <t>SP</t>
        </is>
      </c>
      <c r="F4197" s="5" t="inlineStr">
        <is>
          <t>Prezão 9GB (25 dias)</t>
        </is>
      </c>
      <c r="G4197" s="5" t="inlineStr">
        <is>
          <t>claro:prezao-25d-9gb</t>
        </is>
      </c>
      <c r="H4197" s="6" t="n">
        <v>25</v>
      </c>
      <c r="I4197" s="6" t="inlineStr"/>
      <c r="J4197" s="5" t="inlineStr">
        <is>
          <t>recarga Prezão R$25 — validade 25 dias</t>
        </is>
      </c>
      <c r="K4197" s="5" t="inlineStr"/>
      <c r="L4197" s="7" t="n">
        <v>9</v>
      </c>
      <c r="M4197" s="5" t="inlineStr"/>
      <c r="N4197" s="5" t="n">
        <v>25</v>
      </c>
      <c r="O4197" s="5" t="inlineStr"/>
      <c r="P4197" s="5" t="inlineStr"/>
      <c r="Q4197" s="5" t="inlineStr"/>
      <c r="R4197" s="5" t="inlineStr"/>
      <c r="S4197" s="5" t="inlineStr"/>
      <c r="T4197" s="5" t="inlineStr"/>
      <c r="U4197" s="5" t="inlineStr">
        <is>
          <t>https://www.claro.com.br/celular/planos-pre/prezao</t>
        </is>
      </c>
      <c r="V4197" s="5" t="inlineStr">
        <is>
          <t>data/raw/claro_prepaid_SP.json</t>
        </is>
      </c>
    </row>
    <row r="4198">
      <c r="A4198" s="2" t="inlineStr">
        <is>
          <t>2026-09-04</t>
        </is>
      </c>
      <c r="B4198" s="2" t="inlineStr">
        <is>
          <t>2026-09-04T19:45:10</t>
        </is>
      </c>
      <c r="C4198" s="2" t="inlineStr">
        <is>
          <t>tim</t>
        </is>
      </c>
      <c r="D4198" s="2" t="inlineStr">
        <is>
          <t>control</t>
        </is>
      </c>
      <c r="E4198" s="2" t="inlineStr">
        <is>
          <t>SP</t>
        </is>
      </c>
      <c r="F4198" s="2" t="inlineStr">
        <is>
          <t>TIM Controle 45GB</t>
        </is>
      </c>
      <c r="G4198" s="2" t="inlineStr">
        <is>
          <t>tim:182766</t>
        </is>
      </c>
      <c r="H4198" s="3" t="n">
        <v>49.99</v>
      </c>
      <c r="I4198" s="3" t="inlineStr"/>
      <c r="J4198" s="2" t="inlineStr"/>
      <c r="K4198" s="2" t="inlineStr"/>
      <c r="L4198" s="4" t="n">
        <v>45</v>
      </c>
      <c r="M4198" s="2" t="inlineStr"/>
      <c r="N4198" s="2" t="inlineStr"/>
      <c r="O4198" s="2" t="inlineStr"/>
      <c r="P4198" s="2" t="inlineStr"/>
      <c r="Q4198" s="2" t="inlineStr"/>
      <c r="R4198" s="2" t="inlineStr"/>
      <c r="S4198" s="2" t="inlineStr"/>
      <c r="T4198" s="2" t="inlineStr"/>
      <c r="U4198" s="2" t="inlineStr">
        <is>
          <t>https://www.tim.com.br/sp/para-voce/planos/controle</t>
        </is>
      </c>
      <c r="V4198" s="2" t="inlineStr">
        <is>
          <t>data/raw/tim_control_SP.html</t>
        </is>
      </c>
    </row>
    <row r="4199">
      <c r="A4199" s="5" t="inlineStr">
        <is>
          <t>2026-09-04</t>
        </is>
      </c>
      <c r="B4199" s="5" t="inlineStr">
        <is>
          <t>2026-09-04T19:45:10</t>
        </is>
      </c>
      <c r="C4199" s="5" t="inlineStr">
        <is>
          <t>tim</t>
        </is>
      </c>
      <c r="D4199" s="5" t="inlineStr">
        <is>
          <t>control</t>
        </is>
      </c>
      <c r="E4199" s="5" t="inlineStr">
        <is>
          <t>SP</t>
        </is>
      </c>
      <c r="F4199" s="5" t="inlineStr">
        <is>
          <t>TIM Controle Light Express 45GB</t>
        </is>
      </c>
      <c r="G4199" s="5" t="inlineStr">
        <is>
          <t>tim:167726</t>
        </is>
      </c>
      <c r="H4199" s="6" t="n">
        <v>60.99</v>
      </c>
      <c r="I4199" s="6" t="inlineStr"/>
      <c r="J4199" s="5" t="inlineStr"/>
      <c r="K4199" s="5" t="inlineStr"/>
      <c r="L4199" s="7" t="n">
        <v>45</v>
      </c>
      <c r="M4199" s="5" t="inlineStr"/>
      <c r="N4199" s="5" t="inlineStr"/>
      <c r="O4199" s="5" t="inlineStr"/>
      <c r="P4199" s="5" t="inlineStr"/>
      <c r="Q4199" s="5" t="inlineStr"/>
      <c r="R4199" s="5" t="inlineStr"/>
      <c r="S4199" s="5" t="inlineStr"/>
      <c r="T4199" s="5" t="inlineStr"/>
      <c r="U4199" s="5" t="inlineStr">
        <is>
          <t>https://www.tim.com.br/sp/para-voce/planos/controle</t>
        </is>
      </c>
      <c r="V4199" s="5" t="inlineStr">
        <is>
          <t>data/raw/tim_control_SP.html</t>
        </is>
      </c>
    </row>
    <row r="4200">
      <c r="A4200" s="2" t="inlineStr">
        <is>
          <t>2026-09-04</t>
        </is>
      </c>
      <c r="B4200" s="2" t="inlineStr">
        <is>
          <t>2026-09-04T19:45:10</t>
        </is>
      </c>
      <c r="C4200" s="2" t="inlineStr">
        <is>
          <t>tim</t>
        </is>
      </c>
      <c r="D4200" s="2" t="inlineStr">
        <is>
          <t>control</t>
        </is>
      </c>
      <c r="E4200" s="2" t="inlineStr">
        <is>
          <t>SP</t>
        </is>
      </c>
      <c r="F4200" s="2" t="inlineStr">
        <is>
          <t>TIM Controle Premium 55GB</t>
        </is>
      </c>
      <c r="G4200" s="2" t="inlineStr">
        <is>
          <t>tim:180756</t>
        </is>
      </c>
      <c r="H4200" s="3" t="n">
        <v>69.98999999999999</v>
      </c>
      <c r="I4200" s="3" t="inlineStr"/>
      <c r="J4200" s="2" t="inlineStr"/>
      <c r="K4200" s="2" t="inlineStr"/>
      <c r="L4200" s="4" t="n">
        <v>55</v>
      </c>
      <c r="M4200" s="2" t="inlineStr"/>
      <c r="N4200" s="2" t="inlineStr"/>
      <c r="O4200" s="2" t="inlineStr"/>
      <c r="P4200" s="2" t="inlineStr"/>
      <c r="Q4200" s="2" t="inlineStr"/>
      <c r="R4200" s="2" t="inlineStr"/>
      <c r="S4200" s="2" t="inlineStr"/>
      <c r="T4200" s="2" t="inlineStr"/>
      <c r="U4200" s="2" t="inlineStr">
        <is>
          <t>https://www.tim.com.br/sp/para-voce/planos/controle</t>
        </is>
      </c>
      <c r="V4200" s="2" t="inlineStr">
        <is>
          <t>data/raw/tim_control_SP.html</t>
        </is>
      </c>
    </row>
    <row r="4201">
      <c r="A4201" s="5" t="inlineStr">
        <is>
          <t>2026-09-04</t>
        </is>
      </c>
      <c r="B4201" s="5" t="inlineStr">
        <is>
          <t>2026-09-04T19:45:10</t>
        </is>
      </c>
      <c r="C4201" s="5" t="inlineStr">
        <is>
          <t>tim</t>
        </is>
      </c>
      <c r="D4201" s="5" t="inlineStr">
        <is>
          <t>control</t>
        </is>
      </c>
      <c r="E4201" s="5" t="inlineStr">
        <is>
          <t>SP</t>
        </is>
      </c>
      <c r="F4201" s="5" t="inlineStr">
        <is>
          <t>TIM Controle Pro Express 46GB</t>
        </is>
      </c>
      <c r="G4201" s="5" t="inlineStr">
        <is>
          <t>tim:167731</t>
        </is>
      </c>
      <c r="H4201" s="6" t="n">
        <v>64.98999999999999</v>
      </c>
      <c r="I4201" s="6" t="inlineStr"/>
      <c r="J4201" s="5" t="inlineStr"/>
      <c r="K4201" s="5" t="inlineStr"/>
      <c r="L4201" s="7" t="n">
        <v>46</v>
      </c>
      <c r="M4201" s="5" t="inlineStr"/>
      <c r="N4201" s="5" t="inlineStr"/>
      <c r="O4201" s="5" t="inlineStr"/>
      <c r="P4201" s="5" t="inlineStr"/>
      <c r="Q4201" s="5" t="inlineStr"/>
      <c r="R4201" s="5" t="inlineStr"/>
      <c r="S4201" s="5" t="inlineStr"/>
      <c r="T4201" s="5" t="inlineStr"/>
      <c r="U4201" s="5" t="inlineStr">
        <is>
          <t>https://www.tim.com.br/sp/para-voce/planos/controle</t>
        </is>
      </c>
      <c r="V4201" s="5" t="inlineStr">
        <is>
          <t>data/raw/tim_control_SP.html</t>
        </is>
      </c>
    </row>
    <row r="4202">
      <c r="A4202" s="2" t="inlineStr">
        <is>
          <t>2026-09-04</t>
        </is>
      </c>
      <c r="B4202" s="2" t="inlineStr">
        <is>
          <t>2026-09-04T19:45:10</t>
        </is>
      </c>
      <c r="C4202" s="2" t="inlineStr">
        <is>
          <t>tim</t>
        </is>
      </c>
      <c r="D4202" s="2" t="inlineStr">
        <is>
          <t>control</t>
        </is>
      </c>
      <c r="E4202" s="2" t="inlineStr">
        <is>
          <t>SP</t>
        </is>
      </c>
      <c r="F4202" s="2" t="inlineStr">
        <is>
          <t>TIM Controle Redes Sociais 46GB</t>
        </is>
      </c>
      <c r="G4202" s="2" t="inlineStr">
        <is>
          <t>tim:167031</t>
        </is>
      </c>
      <c r="H4202" s="3" t="n">
        <v>59.99</v>
      </c>
      <c r="I4202" s="3" t="inlineStr"/>
      <c r="J4202" s="2" t="inlineStr"/>
      <c r="K4202" s="2" t="inlineStr"/>
      <c r="L4202" s="4" t="n">
        <v>46</v>
      </c>
      <c r="M4202" s="2" t="inlineStr"/>
      <c r="N4202" s="2" t="inlineStr"/>
      <c r="O4202" s="2" t="inlineStr"/>
      <c r="P4202" s="2" t="inlineStr"/>
      <c r="Q4202" s="2" t="inlineStr"/>
      <c r="R4202" s="2" t="inlineStr"/>
      <c r="S4202" s="2" t="inlineStr"/>
      <c r="T4202" s="2" t="inlineStr"/>
      <c r="U4202" s="2" t="inlineStr">
        <is>
          <t>https://www.tim.com.br/sp/para-voce/planos/controle</t>
        </is>
      </c>
      <c r="V4202" s="2" t="inlineStr">
        <is>
          <t>data/raw/tim_control_SP.html</t>
        </is>
      </c>
    </row>
    <row r="4203">
      <c r="A4203" s="5" t="inlineStr">
        <is>
          <t>2026-09-04</t>
        </is>
      </c>
      <c r="B4203" s="5" t="inlineStr">
        <is>
          <t>2026-09-04T19:45:10</t>
        </is>
      </c>
      <c r="C4203" s="5" t="inlineStr">
        <is>
          <t>tim</t>
        </is>
      </c>
      <c r="D4203" s="5" t="inlineStr">
        <is>
          <t>fit</t>
        </is>
      </c>
      <c r="E4203" s="5" t="inlineStr">
        <is>
          <t>SP</t>
        </is>
      </c>
      <c r="F4203" s="5" t="inlineStr">
        <is>
          <t>TIM Controle Fit Anual 1.0</t>
        </is>
      </c>
      <c r="G4203" s="5" t="inlineStr">
        <is>
          <t>tim:TIM202600000306</t>
        </is>
      </c>
      <c r="H4203" s="6" t="n">
        <v>20</v>
      </c>
      <c r="I4203" s="6" t="inlineStr"/>
      <c r="J4203" s="5" t="inlineStr">
        <is>
          <t>plano anual 12x no cartão de crédito; a etiqueta TIM informa 'sem prazo de permanência'</t>
        </is>
      </c>
      <c r="K4203" s="5" t="inlineStr">
        <is>
          <t>credit_card</t>
        </is>
      </c>
      <c r="L4203" s="7" t="n">
        <v>25</v>
      </c>
      <c r="M4203" s="5" t="inlineStr"/>
      <c r="N4203" s="5" t="inlineStr"/>
      <c r="O4203" s="5" t="inlineStr"/>
      <c r="P4203" s="5" t="inlineStr"/>
      <c r="Q4203" s="5" t="inlineStr"/>
      <c r="R4203" s="5" t="inlineStr"/>
      <c r="S4203" s="5" t="n">
        <v>12</v>
      </c>
      <c r="T4203" s="5" t="inlineStr"/>
      <c r="U4203" s="5" t="inlineStr">
        <is>
          <t>https://www.tim.com.br/sp/para-voce/planos/controle</t>
        </is>
      </c>
      <c r="V4203" s="5" t="inlineStr">
        <is>
          <t>data/raw/tim_fit_SP.html</t>
        </is>
      </c>
    </row>
    <row r="4204">
      <c r="A4204" s="2" t="inlineStr">
        <is>
          <t>2026-09-04</t>
        </is>
      </c>
      <c r="B4204" s="2" t="inlineStr">
        <is>
          <t>2026-09-04T19:45:10</t>
        </is>
      </c>
      <c r="C4204" s="2" t="inlineStr">
        <is>
          <t>tim</t>
        </is>
      </c>
      <c r="D4204" s="2" t="inlineStr">
        <is>
          <t>fit</t>
        </is>
      </c>
      <c r="E4204" s="2" t="inlineStr">
        <is>
          <t>SP</t>
        </is>
      </c>
      <c r="F4204" s="2" t="inlineStr">
        <is>
          <t>TIM Controle Fit Anual 2.0</t>
        </is>
      </c>
      <c r="G4204" s="2" t="inlineStr">
        <is>
          <t>tim:TIM202600000271</t>
        </is>
      </c>
      <c r="H4204" s="3" t="n">
        <v>30</v>
      </c>
      <c r="I4204" s="3" t="inlineStr"/>
      <c r="J4204" s="2" t="inlineStr">
        <is>
          <t>plano anual 12x no cartão de crédito; a etiqueta TIM informa 'sem prazo de permanência'</t>
        </is>
      </c>
      <c r="K4204" s="2" t="inlineStr">
        <is>
          <t>credit_card</t>
        </is>
      </c>
      <c r="L4204" s="4" t="n">
        <v>35</v>
      </c>
      <c r="M4204" s="2" t="inlineStr"/>
      <c r="N4204" s="2" t="inlineStr"/>
      <c r="O4204" s="2" t="inlineStr"/>
      <c r="P4204" s="2" t="inlineStr"/>
      <c r="Q4204" s="2" t="inlineStr"/>
      <c r="R4204" s="2" t="inlineStr"/>
      <c r="S4204" s="2" t="n">
        <v>12</v>
      </c>
      <c r="T4204" s="2" t="inlineStr"/>
      <c r="U4204" s="2" t="inlineStr">
        <is>
          <t>https://www.tim.com.br/sp/para-voce/planos/controle</t>
        </is>
      </c>
      <c r="V4204" s="2" t="inlineStr">
        <is>
          <t>data/raw/tim_fit_SP.html</t>
        </is>
      </c>
    </row>
    <row r="4205">
      <c r="A4205" s="5" t="inlineStr">
        <is>
          <t>2026-09-04</t>
        </is>
      </c>
      <c r="B4205" s="5" t="inlineStr">
        <is>
          <t>2026-09-04T19:45:10</t>
        </is>
      </c>
      <c r="C4205" s="5" t="inlineStr">
        <is>
          <t>tim</t>
        </is>
      </c>
      <c r="D4205" s="5" t="inlineStr">
        <is>
          <t>fit</t>
        </is>
      </c>
      <c r="E4205" s="5" t="inlineStr">
        <is>
          <t>SP</t>
        </is>
      </c>
      <c r="F4205" s="5" t="inlineStr">
        <is>
          <t>TIM Controle Fit Mensal 1.0</t>
        </is>
      </c>
      <c r="G4205" s="5" t="inlineStr">
        <is>
          <t>tim:TIM202600000270</t>
        </is>
      </c>
      <c r="H4205" s="6" t="n">
        <v>20</v>
      </c>
      <c r="I4205" s="6" t="inlineStr"/>
      <c r="J4205" s="5" t="inlineStr">
        <is>
          <t>plano mensal, sem prazo de permanência; a etiqueta TIM informa 'sem prazo de permanência'; ATENÇÃO: o card exibe R$ 20 mas o modal da oferta informa R$ 35 (registrado o valor do card)</t>
        </is>
      </c>
      <c r="K4205" s="5" t="inlineStr"/>
      <c r="L4205" s="7" t="n">
        <v>20</v>
      </c>
      <c r="M4205" s="5" t="inlineStr"/>
      <c r="N4205" s="5" t="inlineStr"/>
      <c r="O4205" s="5" t="inlineStr"/>
      <c r="P4205" s="5" t="inlineStr"/>
      <c r="Q4205" s="5" t="inlineStr"/>
      <c r="R4205" s="5" t="inlineStr"/>
      <c r="S4205" s="5" t="inlineStr"/>
      <c r="T4205" s="5" t="inlineStr"/>
      <c r="U4205" s="5" t="inlineStr">
        <is>
          <t>https://www.tim.com.br/sp/para-voce/planos/controle</t>
        </is>
      </c>
      <c r="V4205" s="5" t="inlineStr">
        <is>
          <t>data/raw/tim_fit_SP.html</t>
        </is>
      </c>
    </row>
    <row r="4206">
      <c r="A4206" s="2" t="inlineStr">
        <is>
          <t>2026-09-04</t>
        </is>
      </c>
      <c r="B4206" s="2" t="inlineStr">
        <is>
          <t>2026-09-04T19:45:10</t>
        </is>
      </c>
      <c r="C4206" s="2" t="inlineStr">
        <is>
          <t>tim</t>
        </is>
      </c>
      <c r="D4206" s="2" t="inlineStr">
        <is>
          <t>fit</t>
        </is>
      </c>
      <c r="E4206" s="2" t="inlineStr">
        <is>
          <t>SP</t>
        </is>
      </c>
      <c r="F4206" s="2" t="inlineStr">
        <is>
          <t>TIM Controle Fit Mensal 2.0</t>
        </is>
      </c>
      <c r="G4206" s="2" t="inlineStr">
        <is>
          <t>tim:TIM202600000305</t>
        </is>
      </c>
      <c r="H4206" s="3" t="n">
        <v>45</v>
      </c>
      <c r="I4206" s="3" t="inlineStr"/>
      <c r="J4206" s="2" t="inlineStr">
        <is>
          <t>plano mensal, sem prazo de permanência; a etiqueta TIM informa 'sem prazo de permanência'</t>
        </is>
      </c>
      <c r="K4206" s="2" t="inlineStr"/>
      <c r="L4206" s="4" t="n">
        <v>35</v>
      </c>
      <c r="M4206" s="2" t="inlineStr"/>
      <c r="N4206" s="2" t="inlineStr"/>
      <c r="O4206" s="2" t="inlineStr"/>
      <c r="P4206" s="2" t="inlineStr"/>
      <c r="Q4206" s="2" t="inlineStr"/>
      <c r="R4206" s="2" t="inlineStr"/>
      <c r="S4206" s="2" t="inlineStr"/>
      <c r="T4206" s="2" t="inlineStr"/>
      <c r="U4206" s="2" t="inlineStr">
        <is>
          <t>https://www.tim.com.br/sp/para-voce/planos/controle</t>
        </is>
      </c>
      <c r="V4206" s="2" t="inlineStr">
        <is>
          <t>data/raw/tim_fit_SP.html</t>
        </is>
      </c>
    </row>
    <row r="4207">
      <c r="A4207" s="5" t="inlineStr">
        <is>
          <t>2026-09-04</t>
        </is>
      </c>
      <c r="B4207" s="5" t="inlineStr">
        <is>
          <t>2026-09-04T19:45:10</t>
        </is>
      </c>
      <c r="C4207" s="5" t="inlineStr">
        <is>
          <t>tim</t>
        </is>
      </c>
      <c r="D4207" s="5" t="inlineStr">
        <is>
          <t>postpaid</t>
        </is>
      </c>
      <c r="E4207" s="5" t="inlineStr">
        <is>
          <t>SP</t>
        </is>
      </c>
      <c r="F4207" s="5" t="inlineStr">
        <is>
          <t>TIM Black 70GB</t>
        </is>
      </c>
      <c r="G4207" s="5" t="inlineStr">
        <is>
          <t>tim:54206</t>
        </is>
      </c>
      <c r="H4207" s="6" t="n">
        <v>129.99</v>
      </c>
      <c r="I4207" s="6" t="inlineStr"/>
      <c r="J4207" s="5" t="inlineStr"/>
      <c r="K4207" s="5" t="inlineStr">
        <is>
          <t>bill</t>
        </is>
      </c>
      <c r="L4207" s="7" t="n">
        <v>70</v>
      </c>
      <c r="M4207" s="5" t="inlineStr"/>
      <c r="N4207" s="5" t="inlineStr"/>
      <c r="O4207" s="5" t="inlineStr"/>
      <c r="P4207" s="5" t="inlineStr"/>
      <c r="Q4207" s="5" t="inlineStr"/>
      <c r="R4207" s="5" t="inlineStr"/>
      <c r="S4207" s="5" t="inlineStr"/>
      <c r="T4207" s="5" t="inlineStr"/>
      <c r="U4207" s="5" t="inlineStr">
        <is>
          <t>https://www.tim.com.br/sp/para-voce/planos/pos-pago/tim-black</t>
        </is>
      </c>
      <c r="V4207" s="5" t="inlineStr">
        <is>
          <t>data/raw/tim_postpaid_SP.html</t>
        </is>
      </c>
    </row>
    <row r="4208">
      <c r="A4208" s="2" t="inlineStr">
        <is>
          <t>2026-09-04</t>
        </is>
      </c>
      <c r="B4208" s="2" t="inlineStr">
        <is>
          <t>2026-09-04T19:45:10</t>
        </is>
      </c>
      <c r="C4208" s="2" t="inlineStr">
        <is>
          <t>tim</t>
        </is>
      </c>
      <c r="D4208" s="2" t="inlineStr">
        <is>
          <t>postpaid</t>
        </is>
      </c>
      <c r="E4208" s="2" t="inlineStr">
        <is>
          <t>SP</t>
        </is>
      </c>
      <c r="F4208" s="2" t="inlineStr">
        <is>
          <t>TIM Black A Express 67GB</t>
        </is>
      </c>
      <c r="G4208" s="2" t="inlineStr">
        <is>
          <t>tim:55121</t>
        </is>
      </c>
      <c r="H4208" s="3" t="n">
        <v>119.99</v>
      </c>
      <c r="I4208" s="3" t="inlineStr"/>
      <c r="J4208" s="2" t="inlineStr"/>
      <c r="K4208" s="2" t="inlineStr">
        <is>
          <t>credit_card</t>
        </is>
      </c>
      <c r="L4208" s="4" t="n">
        <v>67</v>
      </c>
      <c r="M4208" s="2" t="inlineStr"/>
      <c r="N4208" s="2" t="inlineStr"/>
      <c r="O4208" s="2" t="inlineStr"/>
      <c r="P4208" s="2" t="inlineStr"/>
      <c r="Q4208" s="2" t="inlineStr"/>
      <c r="R4208" s="2" t="inlineStr"/>
      <c r="S4208" s="2" t="inlineStr"/>
      <c r="T4208" s="2" t="inlineStr"/>
      <c r="U4208" s="2" t="inlineStr">
        <is>
          <t>https://www.tim.com.br/sp/para-voce/planos/pos-pago/tim-black</t>
        </is>
      </c>
      <c r="V4208" s="2" t="inlineStr">
        <is>
          <t>data/raw/tim_postpaid_SP.html</t>
        </is>
      </c>
    </row>
    <row r="4209">
      <c r="A4209" s="5" t="inlineStr">
        <is>
          <t>2026-09-04</t>
        </is>
      </c>
      <c r="B4209" s="5" t="inlineStr">
        <is>
          <t>2026-09-04T19:45:10</t>
        </is>
      </c>
      <c r="C4209" s="5" t="inlineStr">
        <is>
          <t>tim</t>
        </is>
      </c>
      <c r="D4209" s="5" t="inlineStr">
        <is>
          <t>postpaid</t>
        </is>
      </c>
      <c r="E4209" s="5" t="inlineStr">
        <is>
          <t>SP</t>
        </is>
      </c>
      <c r="F4209" s="5" t="inlineStr">
        <is>
          <t>TIM Black B Express 82GB</t>
        </is>
      </c>
      <c r="G4209" s="5" t="inlineStr">
        <is>
          <t>tim:52146</t>
        </is>
      </c>
      <c r="H4209" s="6" t="n">
        <v>144.99</v>
      </c>
      <c r="I4209" s="6" t="inlineStr"/>
      <c r="J4209" s="5" t="inlineStr"/>
      <c r="K4209" s="5" t="inlineStr">
        <is>
          <t>credit_card</t>
        </is>
      </c>
      <c r="L4209" s="7" t="n">
        <v>82</v>
      </c>
      <c r="M4209" s="5" t="inlineStr"/>
      <c r="N4209" s="5" t="inlineStr"/>
      <c r="O4209" s="5" t="inlineStr"/>
      <c r="P4209" s="5" t="inlineStr"/>
      <c r="Q4209" s="5" t="inlineStr"/>
      <c r="R4209" s="5" t="inlineStr"/>
      <c r="S4209" s="5" t="inlineStr"/>
      <c r="T4209" s="5" t="inlineStr"/>
      <c r="U4209" s="5" t="inlineStr">
        <is>
          <t>https://www.tim.com.br/sp/para-voce/planos/pos-pago/tim-black</t>
        </is>
      </c>
      <c r="V4209" s="5" t="inlineStr">
        <is>
          <t>data/raw/tim_postpaid_SP.html</t>
        </is>
      </c>
    </row>
    <row r="4210">
      <c r="A4210" s="2" t="inlineStr">
        <is>
          <t>2026-09-04</t>
        </is>
      </c>
      <c r="B4210" s="2" t="inlineStr">
        <is>
          <t>2026-09-04T19:45:10</t>
        </is>
      </c>
      <c r="C4210" s="2" t="inlineStr">
        <is>
          <t>tim</t>
        </is>
      </c>
      <c r="D4210" s="2" t="inlineStr">
        <is>
          <t>postpaid</t>
        </is>
      </c>
      <c r="E4210" s="2" t="inlineStr">
        <is>
          <t>SP</t>
        </is>
      </c>
      <c r="F4210" s="2" t="inlineStr">
        <is>
          <t>TIM Black C Express 107GB</t>
        </is>
      </c>
      <c r="G4210" s="2" t="inlineStr">
        <is>
          <t>tim:52151</t>
        </is>
      </c>
      <c r="H4210" s="3" t="n">
        <v>164.99</v>
      </c>
      <c r="I4210" s="3" t="inlineStr"/>
      <c r="J4210" s="2" t="inlineStr"/>
      <c r="K4210" s="2" t="inlineStr">
        <is>
          <t>credit_card</t>
        </is>
      </c>
      <c r="L4210" s="4" t="n">
        <v>107</v>
      </c>
      <c r="M4210" s="2" t="inlineStr"/>
      <c r="N4210" s="2" t="inlineStr"/>
      <c r="O4210" s="2" t="inlineStr"/>
      <c r="P4210" s="2" t="inlineStr"/>
      <c r="Q4210" s="2" t="inlineStr"/>
      <c r="R4210" s="2" t="inlineStr"/>
      <c r="S4210" s="2" t="inlineStr"/>
      <c r="T4210" s="2" t="inlineStr"/>
      <c r="U4210" s="2" t="inlineStr">
        <is>
          <t>https://www.tim.com.br/sp/para-voce/planos/pos-pago/tim-black</t>
        </is>
      </c>
      <c r="V4210" s="2" t="inlineStr">
        <is>
          <t>data/raw/tim_postpaid_SP.html</t>
        </is>
      </c>
    </row>
    <row r="4211">
      <c r="A4211" s="5" t="inlineStr">
        <is>
          <t>2026-09-04</t>
        </is>
      </c>
      <c r="B4211" s="5" t="inlineStr">
        <is>
          <t>2026-09-04T19:45:10</t>
        </is>
      </c>
      <c r="C4211" s="5" t="inlineStr">
        <is>
          <t>tim</t>
        </is>
      </c>
      <c r="D4211" s="5" t="inlineStr">
        <is>
          <t>postpaid</t>
        </is>
      </c>
      <c r="E4211" s="5" t="inlineStr">
        <is>
          <t>SP</t>
        </is>
      </c>
      <c r="F4211" s="5" t="inlineStr">
        <is>
          <t>TIM Black Plus 80GB</t>
        </is>
      </c>
      <c r="G4211" s="5" t="inlineStr">
        <is>
          <t>tim:54256</t>
        </is>
      </c>
      <c r="H4211" s="6" t="n">
        <v>149.99</v>
      </c>
      <c r="I4211" s="6" t="inlineStr"/>
      <c r="J4211" s="5" t="inlineStr"/>
      <c r="K4211" s="5" t="inlineStr">
        <is>
          <t>bill</t>
        </is>
      </c>
      <c r="L4211" s="7" t="n">
        <v>80</v>
      </c>
      <c r="M4211" s="5" t="inlineStr"/>
      <c r="N4211" s="5" t="inlineStr"/>
      <c r="O4211" s="5" t="inlineStr"/>
      <c r="P4211" s="5" t="inlineStr"/>
      <c r="Q4211" s="5" t="inlineStr"/>
      <c r="R4211" s="5" t="inlineStr"/>
      <c r="S4211" s="5" t="inlineStr"/>
      <c r="T4211" s="5" t="inlineStr"/>
      <c r="U4211" s="5" t="inlineStr">
        <is>
          <t>https://www.tim.com.br/sp/para-voce/planos/pos-pago/tim-black</t>
        </is>
      </c>
      <c r="V4211" s="5" t="inlineStr">
        <is>
          <t>data/raw/tim_postpaid_SP.html</t>
        </is>
      </c>
    </row>
    <row r="4212">
      <c r="A4212" s="2" t="inlineStr">
        <is>
          <t>2026-09-04</t>
        </is>
      </c>
      <c r="B4212" s="2" t="inlineStr">
        <is>
          <t>2026-09-04T19:45:10</t>
        </is>
      </c>
      <c r="C4212" s="2" t="inlineStr">
        <is>
          <t>tim</t>
        </is>
      </c>
      <c r="D4212" s="2" t="inlineStr">
        <is>
          <t>postpaid</t>
        </is>
      </c>
      <c r="E4212" s="2" t="inlineStr">
        <is>
          <t>SP</t>
        </is>
      </c>
      <c r="F4212" s="2" t="inlineStr">
        <is>
          <t>TIM Black Premium 110GB</t>
        </is>
      </c>
      <c r="G4212" s="2" t="inlineStr">
        <is>
          <t>tim:54261</t>
        </is>
      </c>
      <c r="H4212" s="3" t="n">
        <v>159.99</v>
      </c>
      <c r="I4212" s="3" t="inlineStr"/>
      <c r="J4212" s="2" t="inlineStr"/>
      <c r="K4212" s="2" t="inlineStr">
        <is>
          <t>bill</t>
        </is>
      </c>
      <c r="L4212" s="4" t="n">
        <v>110</v>
      </c>
      <c r="M4212" s="2" t="inlineStr"/>
      <c r="N4212" s="2" t="inlineStr"/>
      <c r="O4212" s="2" t="inlineStr"/>
      <c r="P4212" s="2" t="inlineStr"/>
      <c r="Q4212" s="2" t="inlineStr"/>
      <c r="R4212" s="2" t="inlineStr"/>
      <c r="S4212" s="2" t="inlineStr"/>
      <c r="T4212" s="2" t="inlineStr"/>
      <c r="U4212" s="2" t="inlineStr">
        <is>
          <t>https://www.tim.com.br/sp/para-voce/planos/pos-pago/tim-black</t>
        </is>
      </c>
      <c r="V4212" s="2" t="inlineStr">
        <is>
          <t>data/raw/tim_postpaid_SP.html</t>
        </is>
      </c>
    </row>
    <row r="4213">
      <c r="A4213" s="5" t="inlineStr">
        <is>
          <t>2026-09-04</t>
        </is>
      </c>
      <c r="B4213" s="5" t="inlineStr">
        <is>
          <t>2026-09-04T19:45:10</t>
        </is>
      </c>
      <c r="C4213" s="5" t="inlineStr">
        <is>
          <t>tim</t>
        </is>
      </c>
      <c r="D4213" s="5" t="inlineStr">
        <is>
          <t>prepaid</t>
        </is>
      </c>
      <c r="E4213" s="5" t="inlineStr">
        <is>
          <t>SP</t>
        </is>
      </c>
      <c r="F4213" s="5" t="inlineStr">
        <is>
          <t>TIM Pré XIP Plus 16GB</t>
        </is>
      </c>
      <c r="G4213" s="5" t="inlineStr">
        <is>
          <t>tim:106306</t>
        </is>
      </c>
      <c r="H4213" s="6" t="n">
        <v>30</v>
      </c>
      <c r="I4213" s="6" t="inlineStr"/>
      <c r="J4213" s="5" t="inlineStr"/>
      <c r="K4213" s="5" t="inlineStr"/>
      <c r="L4213" s="7" t="n">
        <v>16</v>
      </c>
      <c r="M4213" s="5" t="inlineStr"/>
      <c r="N4213" s="5" t="n">
        <v>30</v>
      </c>
      <c r="O4213" s="5" t="inlineStr"/>
      <c r="P4213" s="5" t="inlineStr"/>
      <c r="Q4213" s="5" t="inlineStr"/>
      <c r="R4213" s="5" t="inlineStr"/>
      <c r="S4213" s="5" t="inlineStr"/>
      <c r="T4213" s="5" t="inlineStr"/>
      <c r="U4213" s="5" t="inlineStr">
        <is>
          <t>https://www.tim.com.br/sp/para-voce/planos/pre-pago</t>
        </is>
      </c>
      <c r="V4213" s="5" t="inlineStr">
        <is>
          <t>data/raw/tim_prepaid_SP.html</t>
        </is>
      </c>
    </row>
    <row r="4214">
      <c r="A4214" s="2" t="inlineStr">
        <is>
          <t>2026-09-04</t>
        </is>
      </c>
      <c r="B4214" s="2" t="inlineStr">
        <is>
          <t>2026-09-04T19:45:10</t>
        </is>
      </c>
      <c r="C4214" s="2" t="inlineStr">
        <is>
          <t>tim</t>
        </is>
      </c>
      <c r="D4214" s="2" t="inlineStr">
        <is>
          <t>prepaid</t>
        </is>
      </c>
      <c r="E4214" s="2" t="inlineStr">
        <is>
          <t>SP</t>
        </is>
      </c>
      <c r="F4214" s="2" t="inlineStr">
        <is>
          <t>TIM Pré XIP Plus 6GB</t>
        </is>
      </c>
      <c r="G4214" s="2" t="inlineStr">
        <is>
          <t>tim:59906</t>
        </is>
      </c>
      <c r="H4214" s="3" t="n">
        <v>20</v>
      </c>
      <c r="I4214" s="3" t="inlineStr"/>
      <c r="J4214" s="2" t="inlineStr"/>
      <c r="K4214" s="2" t="inlineStr"/>
      <c r="L4214" s="4" t="n">
        <v>6</v>
      </c>
      <c r="M4214" s="2" t="inlineStr"/>
      <c r="N4214" s="2" t="n">
        <v>17</v>
      </c>
      <c r="O4214" s="2" t="inlineStr"/>
      <c r="P4214" s="2" t="inlineStr"/>
      <c r="Q4214" s="2" t="inlineStr"/>
      <c r="R4214" s="2" t="inlineStr"/>
      <c r="S4214" s="2" t="inlineStr"/>
      <c r="T4214" s="2" t="inlineStr"/>
      <c r="U4214" s="2" t="inlineStr">
        <is>
          <t>https://www.tim.com.br/sp/para-voce/planos/pre-pago</t>
        </is>
      </c>
      <c r="V4214" s="2" t="inlineStr">
        <is>
          <t>data/raw/tim_prepaid_SP.html</t>
        </is>
      </c>
    </row>
    <row r="4215">
      <c r="A4215" s="5" t="inlineStr">
        <is>
          <t>2026-09-04</t>
        </is>
      </c>
      <c r="B4215" s="5" t="inlineStr">
        <is>
          <t>2026-09-04T19:45:10</t>
        </is>
      </c>
      <c r="C4215" s="5" t="inlineStr">
        <is>
          <t>tim</t>
        </is>
      </c>
      <c r="D4215" s="5" t="inlineStr">
        <is>
          <t>prepaid</t>
        </is>
      </c>
      <c r="E4215" s="5" t="inlineStr">
        <is>
          <t>SP</t>
        </is>
      </c>
      <c r="F4215" s="5" t="inlineStr">
        <is>
          <t>TIM Pré XIP Plus 8GB</t>
        </is>
      </c>
      <c r="G4215" s="5" t="inlineStr">
        <is>
          <t>tim:59901</t>
        </is>
      </c>
      <c r="H4215" s="6" t="n">
        <v>25</v>
      </c>
      <c r="I4215" s="6" t="inlineStr"/>
      <c r="J4215" s="5" t="inlineStr"/>
      <c r="K4215" s="5" t="inlineStr"/>
      <c r="L4215" s="7" t="n">
        <v>8</v>
      </c>
      <c r="M4215" s="5" t="inlineStr"/>
      <c r="N4215" s="5" t="n">
        <v>22</v>
      </c>
      <c r="O4215" s="5" t="inlineStr"/>
      <c r="P4215" s="5" t="inlineStr"/>
      <c r="Q4215" s="5" t="inlineStr"/>
      <c r="R4215" s="5" t="inlineStr"/>
      <c r="S4215" s="5" t="inlineStr"/>
      <c r="T4215" s="5" t="inlineStr"/>
      <c r="U4215" s="5" t="inlineStr">
        <is>
          <t>https://www.tim.com.br/sp/para-voce/planos/pre-pago</t>
        </is>
      </c>
      <c r="V4215" s="5" t="inlineStr">
        <is>
          <t>data/raw/tim_prepaid_SP.html</t>
        </is>
      </c>
    </row>
    <row r="4216">
      <c r="A4216" s="2" t="inlineStr">
        <is>
          <t>2026-09-04</t>
        </is>
      </c>
      <c r="B4216" s="2" t="inlineStr">
        <is>
          <t>2026-09-04T19:45:10</t>
        </is>
      </c>
      <c r="C4216" s="2" t="inlineStr">
        <is>
          <t>vivo</t>
        </is>
      </c>
      <c r="D4216" s="2" t="inlineStr">
        <is>
          <t>control</t>
        </is>
      </c>
      <c r="E4216" s="2" t="inlineStr">
        <is>
          <t>SP</t>
        </is>
      </c>
      <c r="F4216" s="2" t="inlineStr">
        <is>
          <t>Vivo Controle</t>
        </is>
      </c>
      <c r="G4216" s="2" t="inlineStr">
        <is>
          <t>vivo:VIV202600034591</t>
        </is>
      </c>
      <c r="H4216" s="3" t="n">
        <v>59</v>
      </c>
      <c r="I4216" s="3" t="inlineStr"/>
      <c r="J4216" s="2" t="inlineStr"/>
      <c r="K4216" s="2" t="inlineStr"/>
      <c r="L4216" s="4" t="n">
        <v>45</v>
      </c>
      <c r="M4216" s="2" t="inlineStr">
        <is>
          <t>15 GB de franquia 30 GB de bônus</t>
        </is>
      </c>
      <c r="N4216" s="2" t="inlineStr"/>
      <c r="O4216" s="2" t="inlineStr"/>
      <c r="P4216" s="2" t="inlineStr"/>
      <c r="Q4216" s="2" t="inlineStr"/>
      <c r="R4216" s="2" t="inlineStr"/>
      <c r="S4216" s="2" t="inlineStr"/>
      <c r="T4216" s="2" t="inlineStr">
        <is>
          <t>6 meses grátis de Gemini com AI Plus</t>
        </is>
      </c>
      <c r="U4216" s="2" t="inlineStr">
        <is>
          <t>https://vivo.com.br/para-voce/produtos-e-servicos/para-o-celular/planos-controle</t>
        </is>
      </c>
      <c r="V4216" s="2" t="inlineStr">
        <is>
          <t>data/raw/vivo_control_SP.html</t>
        </is>
      </c>
    </row>
    <row r="4217">
      <c r="A4217" s="5" t="inlineStr">
        <is>
          <t>2026-09-04</t>
        </is>
      </c>
      <c r="B4217" s="5" t="inlineStr">
        <is>
          <t>2026-09-04T19:45:10</t>
        </is>
      </c>
      <c r="C4217" s="5" t="inlineStr">
        <is>
          <t>vivo</t>
        </is>
      </c>
      <c r="D4217" s="5" t="inlineStr">
        <is>
          <t>control</t>
        </is>
      </c>
      <c r="E4217" s="5" t="inlineStr">
        <is>
          <t>SP</t>
        </is>
      </c>
      <c r="F4217" s="5" t="inlineStr">
        <is>
          <t>Vivo Controle</t>
        </is>
      </c>
      <c r="G4217" s="5" t="inlineStr">
        <is>
          <t>vivo:VIV202600034599</t>
        </is>
      </c>
      <c r="H4217" s="6" t="n">
        <v>75</v>
      </c>
      <c r="I4217" s="6" t="inlineStr"/>
      <c r="J4217" s="5" t="inlineStr">
        <is>
          <t>preço-base do plano; a tela exibia R$ 80 com o adicional pré-selecionado (+R$ 5/mês, opcional); 60 GB na tela incluem +10 GB do adicional</t>
        </is>
      </c>
      <c r="K4217" s="5" t="inlineStr"/>
      <c r="L4217" s="7" t="n">
        <v>50</v>
      </c>
      <c r="M4217" s="5" t="inlineStr">
        <is>
          <t>20 GB de franquia 30 GB de bônus</t>
        </is>
      </c>
      <c r="N4217" s="5" t="inlineStr"/>
      <c r="O4217" s="5" t="inlineStr"/>
      <c r="P4217" s="5" t="inlineStr"/>
      <c r="Q4217" s="5" t="inlineStr"/>
      <c r="R4217" s="5" t="inlineStr"/>
      <c r="S4217" s="5" t="inlineStr"/>
      <c r="T4217" s="5" t="inlineStr">
        <is>
          <t>6 meses grátis de Gemini com AI Plus</t>
        </is>
      </c>
      <c r="U4217" s="5" t="inlineStr">
        <is>
          <t>https://vivo.com.br/para-voce/produtos-e-servicos/para-o-celular/planos-controle</t>
        </is>
      </c>
      <c r="V4217" s="5" t="inlineStr">
        <is>
          <t>data/raw/vivo_control_SP.html</t>
        </is>
      </c>
    </row>
    <row r="4218">
      <c r="A4218" s="2" t="inlineStr">
        <is>
          <t>2026-09-04</t>
        </is>
      </c>
      <c r="B4218" s="2" t="inlineStr">
        <is>
          <t>2026-09-04T19:45:10</t>
        </is>
      </c>
      <c r="C4218" s="2" t="inlineStr">
        <is>
          <t>vivo</t>
        </is>
      </c>
      <c r="D4218" s="2" t="inlineStr">
        <is>
          <t>control</t>
        </is>
      </c>
      <c r="E4218" s="2" t="inlineStr">
        <is>
          <t>SP</t>
        </is>
      </c>
      <c r="F4218" s="2" t="inlineStr">
        <is>
          <t>Vivo Controle Amazon</t>
        </is>
      </c>
      <c r="G4218" s="2" t="inlineStr">
        <is>
          <t>vivo:VIV202600038804</t>
        </is>
      </c>
      <c r="H4218" s="3" t="n">
        <v>70</v>
      </c>
      <c r="I4218" s="3" t="inlineStr"/>
      <c r="J4218" s="2" t="inlineStr">
        <is>
          <t>preço-base do plano; a tela exibia R$ 75 com o adicional pré-selecionado (+R$ 5/mês, opcional); 58 GB na tela incluem +10 GB do adicional</t>
        </is>
      </c>
      <c r="K4218" s="2" t="inlineStr"/>
      <c r="L4218" s="4" t="n">
        <v>48</v>
      </c>
      <c r="M4218" s="2" t="inlineStr">
        <is>
          <t>18 GB de franquia 30 GB de bônus</t>
        </is>
      </c>
      <c r="N4218" s="2" t="inlineStr"/>
      <c r="O4218" s="2" t="inlineStr"/>
      <c r="P4218" s="2" t="inlineStr"/>
      <c r="Q4218" s="2" t="inlineStr"/>
      <c r="R4218" s="2" t="inlineStr"/>
      <c r="S4218" s="2" t="inlineStr"/>
      <c r="T4218" s="2" t="inlineStr">
        <is>
          <t>Assinatura Amazon Prime inclusa</t>
        </is>
      </c>
      <c r="U4218" s="2" t="inlineStr">
        <is>
          <t>https://vivo.com.br/para-voce/produtos-e-servicos/para-o-celular/planos-controle</t>
        </is>
      </c>
      <c r="V4218" s="2" t="inlineStr">
        <is>
          <t>data/raw/vivo_control_SP.html</t>
        </is>
      </c>
    </row>
    <row r="4219">
      <c r="A4219" s="5" t="inlineStr">
        <is>
          <t>2026-09-04</t>
        </is>
      </c>
      <c r="B4219" s="5" t="inlineStr">
        <is>
          <t>2026-09-04T19:45:10</t>
        </is>
      </c>
      <c r="C4219" s="5" t="inlineStr">
        <is>
          <t>vivo</t>
        </is>
      </c>
      <c r="D4219" s="5" t="inlineStr">
        <is>
          <t>control</t>
        </is>
      </c>
      <c r="E4219" s="5" t="inlineStr">
        <is>
          <t>SP</t>
        </is>
      </c>
      <c r="F4219" s="5" t="inlineStr">
        <is>
          <t>Vivo Controle Educação</t>
        </is>
      </c>
      <c r="G4219" s="5" t="inlineStr">
        <is>
          <t>vivo:VIV202600034616</t>
        </is>
      </c>
      <c r="H4219" s="6" t="n">
        <v>85</v>
      </c>
      <c r="I4219" s="6" t="inlineStr"/>
      <c r="J4219" s="5" t="inlineStr">
        <is>
          <t>preço-base do plano; a tela exibia R$ 90 com o adicional pré-selecionado (+R$ 5/mês, opcional); 60 GB na tela incluem +10 GB do adicional</t>
        </is>
      </c>
      <c r="K4219" s="5" t="inlineStr"/>
      <c r="L4219" s="7" t="n">
        <v>50</v>
      </c>
      <c r="M4219" s="5" t="inlineStr">
        <is>
          <t>20 GB de franquia 30 GB de bônus</t>
        </is>
      </c>
      <c r="N4219" s="5" t="inlineStr"/>
      <c r="O4219" s="5" t="inlineStr"/>
      <c r="P4219" s="5" t="inlineStr"/>
      <c r="Q4219" s="5" t="inlineStr"/>
      <c r="R4219" s="5" t="inlineStr"/>
      <c r="S4219" s="5" t="inlineStr"/>
      <c r="T4219" s="5" t="inlineStr">
        <is>
          <t>Assinatura Vivae inclusa</t>
        </is>
      </c>
      <c r="U4219" s="5" t="inlineStr">
        <is>
          <t>https://vivo.com.br/para-voce/produtos-e-servicos/para-o-celular/planos-controle</t>
        </is>
      </c>
      <c r="V4219" s="5" t="inlineStr">
        <is>
          <t>data/raw/vivo_control_SP.html</t>
        </is>
      </c>
    </row>
    <row r="4220">
      <c r="A4220" s="2" t="inlineStr">
        <is>
          <t>2026-09-04</t>
        </is>
      </c>
      <c r="B4220" s="2" t="inlineStr">
        <is>
          <t>2026-09-04T19:45:10</t>
        </is>
      </c>
      <c r="C4220" s="2" t="inlineStr">
        <is>
          <t>vivo</t>
        </is>
      </c>
      <c r="D4220" s="2" t="inlineStr">
        <is>
          <t>control</t>
        </is>
      </c>
      <c r="E4220" s="2" t="inlineStr">
        <is>
          <t>SP</t>
        </is>
      </c>
      <c r="F4220" s="2" t="inlineStr">
        <is>
          <t>Vivo Controle Entretenimento</t>
        </is>
      </c>
      <c r="G4220" s="2" t="inlineStr">
        <is>
          <t>vivo:VIV202600034619</t>
        </is>
      </c>
      <c r="H4220" s="3" t="n">
        <v>105</v>
      </c>
      <c r="I4220" s="3" t="inlineStr"/>
      <c r="J4220" s="2" t="inlineStr">
        <is>
          <t>preço-base do plano; a tela exibia R$ 110 com o adicional pré-selecionado (+R$ 5/mês, opcional); 60 GB na tela incluem +10 GB do adicional</t>
        </is>
      </c>
      <c r="K4220" s="2" t="inlineStr"/>
      <c r="L4220" s="4" t="n">
        <v>50</v>
      </c>
      <c r="M4220" s="2" t="inlineStr">
        <is>
          <t>20 GB de franquia 30 GB de bônus</t>
        </is>
      </c>
      <c r="N4220" s="2" t="inlineStr"/>
      <c r="O4220" s="2" t="inlineStr"/>
      <c r="P4220" s="2" t="inlineStr"/>
      <c r="Q4220" s="2" t="inlineStr"/>
      <c r="R4220" s="2" t="inlineStr"/>
      <c r="S4220" s="2" t="inlineStr"/>
      <c r="T4220" s="2" t="inlineStr">
        <is>
          <t>Assinatura Vivo TV Inicial inclusa</t>
        </is>
      </c>
      <c r="U4220" s="2" t="inlineStr">
        <is>
          <t>https://vivo.com.br/para-voce/produtos-e-servicos/para-o-celular/planos-controle</t>
        </is>
      </c>
      <c r="V4220" s="2" t="inlineStr">
        <is>
          <t>data/raw/vivo_control_SP.html</t>
        </is>
      </c>
    </row>
    <row r="4221">
      <c r="A4221" s="5" t="inlineStr">
        <is>
          <t>2026-09-04</t>
        </is>
      </c>
      <c r="B4221" s="5" t="inlineStr">
        <is>
          <t>2026-09-04T19:45:10</t>
        </is>
      </c>
      <c r="C4221" s="5" t="inlineStr">
        <is>
          <t>vivo</t>
        </is>
      </c>
      <c r="D4221" s="5" t="inlineStr">
        <is>
          <t>control</t>
        </is>
      </c>
      <c r="E4221" s="5" t="inlineStr">
        <is>
          <t>SP</t>
        </is>
      </c>
      <c r="F4221" s="5" t="inlineStr">
        <is>
          <t>Vivo Controle Música</t>
        </is>
      </c>
      <c r="G4221" s="5" t="inlineStr">
        <is>
          <t>vivo:VIV202600034620</t>
        </is>
      </c>
      <c r="H4221" s="6" t="n">
        <v>85</v>
      </c>
      <c r="I4221" s="6" t="inlineStr"/>
      <c r="J4221" s="5" t="inlineStr">
        <is>
          <t>preço-base do plano; a tela exibia R$ 90 com o adicional pré-selecionado (+R$ 5/mês, opcional); 60 GB na tela incluem +10 GB do adicional</t>
        </is>
      </c>
      <c r="K4221" s="5" t="inlineStr"/>
      <c r="L4221" s="7" t="n">
        <v>50</v>
      </c>
      <c r="M4221" s="5" t="inlineStr">
        <is>
          <t>20 GB de franquia 30 GB de bônus</t>
        </is>
      </c>
      <c r="N4221" s="5" t="inlineStr"/>
      <c r="O4221" s="5" t="inlineStr"/>
      <c r="P4221" s="5" t="inlineStr"/>
      <c r="Q4221" s="5" t="inlineStr"/>
      <c r="R4221" s="5" t="inlineStr"/>
      <c r="S4221" s="5" t="inlineStr"/>
      <c r="T4221" s="5" t="inlineStr">
        <is>
          <t>Apple Music Individual</t>
        </is>
      </c>
      <c r="U4221" s="5" t="inlineStr">
        <is>
          <t>https://vivo.com.br/para-voce/produtos-e-servicos/para-o-celular/planos-controle</t>
        </is>
      </c>
      <c r="V4221" s="5" t="inlineStr">
        <is>
          <t>data/raw/vivo_control_SP.html</t>
        </is>
      </c>
    </row>
    <row r="4222">
      <c r="A4222" s="2" t="inlineStr">
        <is>
          <t>2026-09-04</t>
        </is>
      </c>
      <c r="B4222" s="2" t="inlineStr">
        <is>
          <t>2026-09-04T19:45:10</t>
        </is>
      </c>
      <c r="C4222" s="2" t="inlineStr">
        <is>
          <t>vivo</t>
        </is>
      </c>
      <c r="D4222" s="2" t="inlineStr">
        <is>
          <t>control</t>
        </is>
      </c>
      <c r="E4222" s="2" t="inlineStr">
        <is>
          <t>SP</t>
        </is>
      </c>
      <c r="F4222" s="2" t="inlineStr">
        <is>
          <t>Vivo Controle Netflix</t>
        </is>
      </c>
      <c r="G4222" s="2" t="inlineStr">
        <is>
          <t>vivo:VIV202600034623</t>
        </is>
      </c>
      <c r="H4222" s="3" t="n">
        <v>90</v>
      </c>
      <c r="I4222" s="3" t="inlineStr"/>
      <c r="J4222" s="2" t="inlineStr">
        <is>
          <t>preço-base do plano; a tela exibia R$ 95 com o adicional pré-selecionado (+R$ 5/mês, opcional); 60 GB na tela incluem +10 GB do adicional</t>
        </is>
      </c>
      <c r="K4222" s="2" t="inlineStr"/>
      <c r="L4222" s="4" t="n">
        <v>50</v>
      </c>
      <c r="M4222" s="2" t="inlineStr">
        <is>
          <t>20 GB de franquia 30 GB de bônus</t>
        </is>
      </c>
      <c r="N4222" s="2" t="inlineStr"/>
      <c r="O4222" s="2" t="inlineStr"/>
      <c r="P4222" s="2" t="inlineStr"/>
      <c r="Q4222" s="2" t="inlineStr"/>
      <c r="R4222" s="2" t="inlineStr"/>
      <c r="S4222" s="2" t="inlineStr"/>
      <c r="T4222" s="2" t="inlineStr">
        <is>
          <t>Assinatura Netflix Padrão com anúncios</t>
        </is>
      </c>
      <c r="U4222" s="2" t="inlineStr">
        <is>
          <t>https://vivo.com.br/para-voce/produtos-e-servicos/para-o-celular/planos-controle</t>
        </is>
      </c>
      <c r="V4222" s="2" t="inlineStr">
        <is>
          <t>data/raw/vivo_control_SP.html</t>
        </is>
      </c>
    </row>
    <row r="4223">
      <c r="A4223" s="5" t="inlineStr">
        <is>
          <t>2026-09-04</t>
        </is>
      </c>
      <c r="B4223" s="5" t="inlineStr">
        <is>
          <t>2026-09-04T19:45:10</t>
        </is>
      </c>
      <c r="C4223" s="5" t="inlineStr">
        <is>
          <t>vivo</t>
        </is>
      </c>
      <c r="D4223" s="5" t="inlineStr">
        <is>
          <t>control</t>
        </is>
      </c>
      <c r="E4223" s="5" t="inlineStr">
        <is>
          <t>SP</t>
        </is>
      </c>
      <c r="F4223" s="5" t="inlineStr">
        <is>
          <t>Vivo Controle Saúde</t>
        </is>
      </c>
      <c r="G4223" s="5" t="inlineStr">
        <is>
          <t>vivo:VIV202600034625</t>
        </is>
      </c>
      <c r="H4223" s="6" t="n">
        <v>85</v>
      </c>
      <c r="I4223" s="6" t="inlineStr"/>
      <c r="J4223" s="5" t="inlineStr">
        <is>
          <t>preço-base do plano; a tela exibia R$ 90 com o adicional pré-selecionado (+R$ 5/mês, opcional); 60 GB na tela incluem +10 GB do adicional</t>
        </is>
      </c>
      <c r="K4223" s="5" t="inlineStr"/>
      <c r="L4223" s="7" t="n">
        <v>50</v>
      </c>
      <c r="M4223" s="5" t="inlineStr">
        <is>
          <t>20 GB de franquia 30 GB de bônus</t>
        </is>
      </c>
      <c r="N4223" s="5" t="inlineStr"/>
      <c r="O4223" s="5" t="inlineStr"/>
      <c r="P4223" s="5" t="inlineStr"/>
      <c r="Q4223" s="5" t="inlineStr"/>
      <c r="R4223" s="5" t="inlineStr"/>
      <c r="S4223" s="5" t="inlineStr"/>
      <c r="T4223" s="5" t="inlineStr">
        <is>
          <t>Assinatura Vale Saúde Sempre inclusa</t>
        </is>
      </c>
      <c r="U4223" s="5" t="inlineStr">
        <is>
          <t>https://vivo.com.br/para-voce/produtos-e-servicos/para-o-celular/planos-controle</t>
        </is>
      </c>
      <c r="V4223" s="5" t="inlineStr">
        <is>
          <t>data/raw/vivo_control_SP.html</t>
        </is>
      </c>
    </row>
    <row r="4224">
      <c r="A4224" s="2" t="inlineStr">
        <is>
          <t>2026-09-04</t>
        </is>
      </c>
      <c r="B4224" s="2" t="inlineStr">
        <is>
          <t>2026-09-04T19:45:10</t>
        </is>
      </c>
      <c r="C4224" s="2" t="inlineStr">
        <is>
          <t>vivo</t>
        </is>
      </c>
      <c r="D4224" s="2" t="inlineStr">
        <is>
          <t>control</t>
        </is>
      </c>
      <c r="E4224" s="2" t="inlineStr">
        <is>
          <t>SP</t>
        </is>
      </c>
      <c r="F4224" s="2" t="inlineStr">
        <is>
          <t>Vivo Controle Youtube Lite</t>
        </is>
      </c>
      <c r="G4224" s="2" t="inlineStr">
        <is>
          <t>vivo:VIV202600034626</t>
        </is>
      </c>
      <c r="H4224" s="3" t="n">
        <v>85</v>
      </c>
      <c r="I4224" s="3" t="inlineStr"/>
      <c r="J4224" s="2" t="inlineStr">
        <is>
          <t>preço-base do plano; a tela exibia R$ 90 com o adicional pré-selecionado (+R$ 5/mês, opcional); 60 GB na tela incluem +10 GB do adicional</t>
        </is>
      </c>
      <c r="K4224" s="2" t="inlineStr"/>
      <c r="L4224" s="4" t="n">
        <v>50</v>
      </c>
      <c r="M4224" s="2" t="inlineStr">
        <is>
          <t>20 GB de franquia 30 GB de bônus</t>
        </is>
      </c>
      <c r="N4224" s="2" t="inlineStr"/>
      <c r="O4224" s="2" t="inlineStr"/>
      <c r="P4224" s="2" t="inlineStr"/>
      <c r="Q4224" s="2" t="inlineStr"/>
      <c r="R4224" s="2" t="inlineStr"/>
      <c r="S4224" s="2" t="inlineStr"/>
      <c r="T4224" s="2" t="inlineStr">
        <is>
          <t>Assinatura Youtube Premium Lite Inclusa</t>
        </is>
      </c>
      <c r="U4224" s="2" t="inlineStr">
        <is>
          <t>https://vivo.com.br/para-voce/produtos-e-servicos/para-o-celular/planos-controle</t>
        </is>
      </c>
      <c r="V4224" s="2" t="inlineStr">
        <is>
          <t>data/raw/vivo_control_SP.html</t>
        </is>
      </c>
    </row>
    <row r="4225">
      <c r="A4225" s="5" t="inlineStr">
        <is>
          <t>2026-09-04</t>
        </is>
      </c>
      <c r="B4225" s="5" t="inlineStr">
        <is>
          <t>2026-09-04T19:45:10</t>
        </is>
      </c>
      <c r="C4225" s="5" t="inlineStr">
        <is>
          <t>vivo</t>
        </is>
      </c>
      <c r="D4225" s="5" t="inlineStr">
        <is>
          <t>lite</t>
        </is>
      </c>
      <c r="E4225" s="5" t="inlineStr">
        <is>
          <t>SP</t>
        </is>
      </c>
      <c r="F4225" s="5" t="inlineStr">
        <is>
          <t>Vivo Lite</t>
        </is>
      </c>
      <c r="G4225" s="5" t="inlineStr">
        <is>
          <t>vivo:VIV202600038808</t>
        </is>
      </c>
      <c r="H4225" s="6" t="n">
        <v>45</v>
      </c>
      <c r="I4225" s="6" t="n">
        <v>30</v>
      </c>
      <c r="J4225" s="5" t="inlineStr">
        <is>
          <t>preço sem fidelidade; fidelidade 12m no promo</t>
        </is>
      </c>
      <c r="K4225" s="5" t="inlineStr"/>
      <c r="L4225" s="7" t="n">
        <v>30</v>
      </c>
      <c r="M4225" s="5" t="inlineStr">
        <is>
          <t>30 GB de franquia</t>
        </is>
      </c>
      <c r="N4225" s="5" t="inlineStr"/>
      <c r="O4225" s="5" t="inlineStr"/>
      <c r="P4225" s="5" t="inlineStr"/>
      <c r="Q4225" s="5" t="inlineStr"/>
      <c r="R4225" s="5" t="inlineStr"/>
      <c r="S4225" s="5" t="n">
        <v>12</v>
      </c>
      <c r="T4225" s="5" t="inlineStr"/>
      <c r="U4225" s="5" t="inlineStr">
        <is>
          <t>https://vivo.com.br/para-voce/produtos-e-servicos/para-o-celular/easy-lite</t>
        </is>
      </c>
      <c r="V4225" s="5" t="inlineStr">
        <is>
          <t>data/raw/vivo_lite_SP.html</t>
        </is>
      </c>
    </row>
    <row r="4226">
      <c r="A4226" s="2" t="inlineStr">
        <is>
          <t>2026-09-04</t>
        </is>
      </c>
      <c r="B4226" s="2" t="inlineStr">
        <is>
          <t>2026-09-04T19:45:10</t>
        </is>
      </c>
      <c r="C4226" s="2" t="inlineStr">
        <is>
          <t>vivo</t>
        </is>
      </c>
      <c r="D4226" s="2" t="inlineStr">
        <is>
          <t>lite</t>
        </is>
      </c>
      <c r="E4226" s="2" t="inlineStr">
        <is>
          <t>SP</t>
        </is>
      </c>
      <c r="F4226" s="2" t="inlineStr">
        <is>
          <t>Vivo Lite</t>
        </is>
      </c>
      <c r="G4226" s="2" t="inlineStr">
        <is>
          <t>vivo:VIV202600038810</t>
        </is>
      </c>
      <c r="H4226" s="3" t="n">
        <v>55</v>
      </c>
      <c r="I4226" s="3" t="n">
        <v>40</v>
      </c>
      <c r="J4226" s="2" t="inlineStr">
        <is>
          <t>preço sem fidelidade; fidelidade 12m no promo</t>
        </is>
      </c>
      <c r="K4226" s="2" t="inlineStr"/>
      <c r="L4226" s="4" t="n">
        <v>40</v>
      </c>
      <c r="M4226" s="2" t="inlineStr">
        <is>
          <t>40 GB de franquia</t>
        </is>
      </c>
      <c r="N4226" s="2" t="inlineStr"/>
      <c r="O4226" s="2" t="inlineStr"/>
      <c r="P4226" s="2" t="inlineStr"/>
      <c r="Q4226" s="2" t="inlineStr"/>
      <c r="R4226" s="2" t="inlineStr"/>
      <c r="S4226" s="2" t="n">
        <v>12</v>
      </c>
      <c r="T4226" s="2" t="inlineStr"/>
      <c r="U4226" s="2" t="inlineStr">
        <is>
          <t>https://vivo.com.br/para-voce/produtos-e-servicos/para-o-celular/easy-lite</t>
        </is>
      </c>
      <c r="V4226" s="2" t="inlineStr">
        <is>
          <t>data/raw/vivo_lite_SP.html</t>
        </is>
      </c>
    </row>
    <row r="4227">
      <c r="A4227" s="5" t="inlineStr">
        <is>
          <t>2026-09-04</t>
        </is>
      </c>
      <c r="B4227" s="5" t="inlineStr">
        <is>
          <t>2026-09-04T19:45:10</t>
        </is>
      </c>
      <c r="C4227" s="5" t="inlineStr">
        <is>
          <t>vivo</t>
        </is>
      </c>
      <c r="D4227" s="5" t="inlineStr">
        <is>
          <t>lite</t>
        </is>
      </c>
      <c r="E4227" s="5" t="inlineStr">
        <is>
          <t>SP</t>
        </is>
      </c>
      <c r="F4227" s="5" t="inlineStr">
        <is>
          <t>Vivo Lite</t>
        </is>
      </c>
      <c r="G4227" s="5" t="inlineStr">
        <is>
          <t>vivo:VIV202600038814</t>
        </is>
      </c>
      <c r="H4227" s="6" t="n">
        <v>35</v>
      </c>
      <c r="I4227" s="6" t="inlineStr"/>
      <c r="J4227" s="5" t="inlineStr"/>
      <c r="K4227" s="5" t="inlineStr"/>
      <c r="L4227" s="7" t="n">
        <v>20</v>
      </c>
      <c r="M4227" s="5" t="inlineStr">
        <is>
          <t>20 GB de franquia</t>
        </is>
      </c>
      <c r="N4227" s="5" t="inlineStr"/>
      <c r="O4227" s="5" t="inlineStr"/>
      <c r="P4227" s="5" t="inlineStr"/>
      <c r="Q4227" s="5" t="inlineStr"/>
      <c r="R4227" s="5" t="inlineStr"/>
      <c r="S4227" s="5" t="inlineStr"/>
      <c r="T4227" s="5" t="inlineStr"/>
      <c r="U4227" s="5" t="inlineStr">
        <is>
          <t>https://vivo.com.br/para-voce/produtos-e-servicos/para-o-celular/easy-lite</t>
        </is>
      </c>
      <c r="V4227" s="5" t="inlineStr">
        <is>
          <t>data/raw/vivo_lite_SP.html</t>
        </is>
      </c>
    </row>
    <row r="4228">
      <c r="A4228" s="2" t="inlineStr">
        <is>
          <t>2026-09-04</t>
        </is>
      </c>
      <c r="B4228" s="2" t="inlineStr">
        <is>
          <t>2026-09-04T19:45:10</t>
        </is>
      </c>
      <c r="C4228" s="2" t="inlineStr">
        <is>
          <t>vivo</t>
        </is>
      </c>
      <c r="D4228" s="2" t="inlineStr">
        <is>
          <t>postpaid</t>
        </is>
      </c>
      <c r="E4228" s="2" t="inlineStr">
        <is>
          <t>SP</t>
        </is>
      </c>
      <c r="F4228" s="2" t="inlineStr">
        <is>
          <t>Vivo Família 2</t>
        </is>
      </c>
      <c r="G4228" s="2" t="inlineStr">
        <is>
          <t>vivo:VIV202600034547</t>
        </is>
      </c>
      <c r="H4228" s="3" t="n">
        <v>270</v>
      </c>
      <c r="I4228" s="3" t="inlineStr"/>
      <c r="J4228" s="2" t="inlineStr"/>
      <c r="K4228" s="2" t="inlineStr"/>
      <c r="L4228" s="4" t="n">
        <v>120</v>
      </c>
      <c r="M4228" s="2" t="inlineStr">
        <is>
          <t>120 GB de franquia Você + 1 linha adicional Roaming Internacional com Vivo Travel Américas e Europa</t>
        </is>
      </c>
      <c r="N4228" s="2" t="inlineStr"/>
      <c r="O4228" s="2" t="inlineStr"/>
      <c r="P4228" s="2" t="inlineStr"/>
      <c r="Q4228" s="2" t="inlineStr"/>
      <c r="R4228" s="2" t="inlineStr"/>
      <c r="S4228" s="2" t="inlineStr"/>
      <c r="T4228" s="2" t="inlineStr">
        <is>
          <t>12 meses grátis de Gemini com AI Plus</t>
        </is>
      </c>
      <c r="U4228" s="2" t="inlineStr">
        <is>
          <t>https://vivo.com.br/para-voce/produtos-e-servicos/para-o-celular/planos-pos-pago</t>
        </is>
      </c>
      <c r="V4228" s="2" t="inlineStr">
        <is>
          <t>data/raw/vivo_postpaid_SP.html</t>
        </is>
      </c>
    </row>
    <row r="4229">
      <c r="A4229" s="5" t="inlineStr">
        <is>
          <t>2026-09-04</t>
        </is>
      </c>
      <c r="B4229" s="5" t="inlineStr">
        <is>
          <t>2026-09-04T19:45:10</t>
        </is>
      </c>
      <c r="C4229" s="5" t="inlineStr">
        <is>
          <t>vivo</t>
        </is>
      </c>
      <c r="D4229" s="5" t="inlineStr">
        <is>
          <t>postpaid</t>
        </is>
      </c>
      <c r="E4229" s="5" t="inlineStr">
        <is>
          <t>SP</t>
        </is>
      </c>
      <c r="F4229" s="5" t="inlineStr">
        <is>
          <t>Vivo Família 3</t>
        </is>
      </c>
      <c r="G4229" s="5" t="inlineStr">
        <is>
          <t>vivo:VIV202600034540</t>
        </is>
      </c>
      <c r="H4229" s="6" t="n">
        <v>340</v>
      </c>
      <c r="I4229" s="6" t="inlineStr"/>
      <c r="J4229" s="5" t="inlineStr"/>
      <c r="K4229" s="5" t="inlineStr"/>
      <c r="L4229" s="7" t="n">
        <v>180</v>
      </c>
      <c r="M4229" s="5" t="inlineStr">
        <is>
          <t>180 GB de franquia Você + 2 linhas adicionais Roaming Internacional com Vivo Travel Américas e Europa</t>
        </is>
      </c>
      <c r="N4229" s="5" t="inlineStr"/>
      <c r="O4229" s="5" t="inlineStr"/>
      <c r="P4229" s="5" t="inlineStr"/>
      <c r="Q4229" s="5" t="inlineStr"/>
      <c r="R4229" s="5" t="inlineStr"/>
      <c r="S4229" s="5" t="inlineStr"/>
      <c r="T4229" s="5" t="inlineStr">
        <is>
          <t>12 meses grátis de Gemini com AI Plus</t>
        </is>
      </c>
      <c r="U4229" s="5" t="inlineStr">
        <is>
          <t>https://vivo.com.br/para-voce/produtos-e-servicos/para-o-celular/planos-pos-pago</t>
        </is>
      </c>
      <c r="V4229" s="5" t="inlineStr">
        <is>
          <t>data/raw/vivo_postpaid_SP.html</t>
        </is>
      </c>
    </row>
    <row r="4230">
      <c r="A4230" s="2" t="inlineStr">
        <is>
          <t>2026-09-04</t>
        </is>
      </c>
      <c r="B4230" s="2" t="inlineStr">
        <is>
          <t>2026-09-04T19:45:10</t>
        </is>
      </c>
      <c r="C4230" s="2" t="inlineStr">
        <is>
          <t>vivo</t>
        </is>
      </c>
      <c r="D4230" s="2" t="inlineStr">
        <is>
          <t>postpaid</t>
        </is>
      </c>
      <c r="E4230" s="2" t="inlineStr">
        <is>
          <t>SP</t>
        </is>
      </c>
      <c r="F4230" s="2" t="inlineStr">
        <is>
          <t>Vivo Família 4</t>
        </is>
      </c>
      <c r="G4230" s="2" t="inlineStr">
        <is>
          <t>vivo:VIV202600034531</t>
        </is>
      </c>
      <c r="H4230" s="3" t="n">
        <v>430</v>
      </c>
      <c r="I4230" s="3" t="inlineStr"/>
      <c r="J4230" s="2" t="inlineStr"/>
      <c r="K4230" s="2" t="inlineStr"/>
      <c r="L4230" s="4" t="n">
        <v>240</v>
      </c>
      <c r="M4230" s="2" t="inlineStr">
        <is>
          <t>240 GB de franquia Você + 3 linhas adicionais Roaming Internacional com Vivo Travel Américas e Europa</t>
        </is>
      </c>
      <c r="N4230" s="2" t="inlineStr"/>
      <c r="O4230" s="2" t="inlineStr"/>
      <c r="P4230" s="2" t="inlineStr"/>
      <c r="Q4230" s="2" t="inlineStr"/>
      <c r="R4230" s="2" t="inlineStr"/>
      <c r="S4230" s="2" t="inlineStr"/>
      <c r="T4230" s="2" t="inlineStr">
        <is>
          <t>12 meses grátis de Gemini com AI Plus</t>
        </is>
      </c>
      <c r="U4230" s="2" t="inlineStr">
        <is>
          <t>https://vivo.com.br/para-voce/produtos-e-servicos/para-o-celular/planos-pos-pago</t>
        </is>
      </c>
      <c r="V4230" s="2" t="inlineStr">
        <is>
          <t>data/raw/vivo_postpaid_SP.html</t>
        </is>
      </c>
    </row>
    <row r="4231">
      <c r="A4231" s="5" t="inlineStr">
        <is>
          <t>2026-09-04</t>
        </is>
      </c>
      <c r="B4231" s="5" t="inlineStr">
        <is>
          <t>2026-09-04T19:45:10</t>
        </is>
      </c>
      <c r="C4231" s="5" t="inlineStr">
        <is>
          <t>vivo</t>
        </is>
      </c>
      <c r="D4231" s="5" t="inlineStr">
        <is>
          <t>postpaid</t>
        </is>
      </c>
      <c r="E4231" s="5" t="inlineStr">
        <is>
          <t>SP</t>
        </is>
      </c>
      <c r="F4231" s="5" t="inlineStr">
        <is>
          <t>Vivo Família 5</t>
        </is>
      </c>
      <c r="G4231" s="5" t="inlineStr">
        <is>
          <t>vivo:VIV202600034526</t>
        </is>
      </c>
      <c r="H4231" s="6" t="n">
        <v>530</v>
      </c>
      <c r="I4231" s="6" t="inlineStr"/>
      <c r="J4231" s="5" t="inlineStr"/>
      <c r="K4231" s="5" t="inlineStr"/>
      <c r="L4231" s="7" t="n">
        <v>300</v>
      </c>
      <c r="M4231" s="5" t="inlineStr">
        <is>
          <t>300 GB de franquia Você + 4 linhas adicionais Roaming Internacional com Vivo Travel Américas e Europa</t>
        </is>
      </c>
      <c r="N4231" s="5" t="inlineStr"/>
      <c r="O4231" s="5" t="inlineStr"/>
      <c r="P4231" s="5" t="inlineStr"/>
      <c r="Q4231" s="5" t="inlineStr"/>
      <c r="R4231" s="5" t="inlineStr"/>
      <c r="S4231" s="5" t="inlineStr"/>
      <c r="T4231" s="5" t="inlineStr">
        <is>
          <t>12 meses grátis de Gemini com AI Plus</t>
        </is>
      </c>
      <c r="U4231" s="5" t="inlineStr">
        <is>
          <t>https://vivo.com.br/para-voce/produtos-e-servicos/para-o-celular/planos-pos-pago</t>
        </is>
      </c>
      <c r="V4231" s="5" t="inlineStr">
        <is>
          <t>data/raw/vivo_postpaid_SP.html</t>
        </is>
      </c>
    </row>
    <row r="4232">
      <c r="A4232" s="2" t="inlineStr">
        <is>
          <t>2026-09-04</t>
        </is>
      </c>
      <c r="B4232" s="2" t="inlineStr">
        <is>
          <t>2026-09-04T19:45:10</t>
        </is>
      </c>
      <c r="C4232" s="2" t="inlineStr">
        <is>
          <t>vivo</t>
        </is>
      </c>
      <c r="D4232" s="2" t="inlineStr">
        <is>
          <t>postpaid</t>
        </is>
      </c>
      <c r="E4232" s="2" t="inlineStr">
        <is>
          <t>SP</t>
        </is>
      </c>
      <c r="F4232" s="2" t="inlineStr">
        <is>
          <t>Vivo Pós com Amazon</t>
        </is>
      </c>
      <c r="G4232" s="2" t="inlineStr">
        <is>
          <t>vivo:VIV202600034554</t>
        </is>
      </c>
      <c r="H4232" s="3" t="n">
        <v>150</v>
      </c>
      <c r="I4232" s="3" t="inlineStr"/>
      <c r="J4232" s="2" t="inlineStr"/>
      <c r="K4232" s="2" t="inlineStr"/>
      <c r="L4232" s="4" t="n">
        <v>60</v>
      </c>
      <c r="M4232" s="2" t="inlineStr">
        <is>
          <t>50 GB de franquia 10 GB de bônus</t>
        </is>
      </c>
      <c r="N4232" s="2" t="inlineStr"/>
      <c r="O4232" s="2" t="inlineStr"/>
      <c r="P4232" s="2" t="inlineStr"/>
      <c r="Q4232" s="2" t="inlineStr"/>
      <c r="R4232" s="2" t="inlineStr"/>
      <c r="S4232" s="2" t="inlineStr"/>
      <c r="T4232" s="2" t="inlineStr">
        <is>
          <t>Assinatura Amazon Prime inclusa</t>
        </is>
      </c>
      <c r="U4232" s="2" t="inlineStr">
        <is>
          <t>https://vivo.com.br/para-voce/produtos-e-servicos/para-o-celular/planos-pos-pago</t>
        </is>
      </c>
      <c r="V4232" s="2" t="inlineStr">
        <is>
          <t>data/raw/vivo_postpaid_SP.html</t>
        </is>
      </c>
    </row>
    <row r="4233">
      <c r="A4233" s="5" t="inlineStr">
        <is>
          <t>2026-09-04</t>
        </is>
      </c>
      <c r="B4233" s="5" t="inlineStr">
        <is>
          <t>2026-09-04T19:45:10</t>
        </is>
      </c>
      <c r="C4233" s="5" t="inlineStr">
        <is>
          <t>vivo</t>
        </is>
      </c>
      <c r="D4233" s="5" t="inlineStr">
        <is>
          <t>postpaid</t>
        </is>
      </c>
      <c r="E4233" s="5" t="inlineStr">
        <is>
          <t>SP</t>
        </is>
      </c>
      <c r="F4233" s="5" t="inlineStr">
        <is>
          <t>Vivo Pós com Disney+</t>
        </is>
      </c>
      <c r="G4233" s="5" t="inlineStr">
        <is>
          <t>vivo:VIV202600034532</t>
        </is>
      </c>
      <c r="H4233" s="6" t="n">
        <v>180</v>
      </c>
      <c r="I4233" s="6" t="inlineStr"/>
      <c r="J4233" s="5" t="inlineStr"/>
      <c r="K4233" s="5" t="inlineStr"/>
      <c r="L4233" s="7" t="n">
        <v>60</v>
      </c>
      <c r="M4233" s="5" t="inlineStr">
        <is>
          <t>50 GB de franquia 10 GB de bônus</t>
        </is>
      </c>
      <c r="N4233" s="5" t="inlineStr"/>
      <c r="O4233" s="5" t="inlineStr"/>
      <c r="P4233" s="5" t="inlineStr"/>
      <c r="Q4233" s="5" t="inlineStr"/>
      <c r="R4233" s="5" t="inlineStr">
        <is>
          <t>Disney+</t>
        </is>
      </c>
      <c r="S4233" s="5" t="inlineStr"/>
      <c r="T4233" s="5" t="inlineStr">
        <is>
          <t>Assinatura Disney+ Padrão inclusa</t>
        </is>
      </c>
      <c r="U4233" s="5" t="inlineStr">
        <is>
          <t>https://vivo.com.br/para-voce/produtos-e-servicos/para-o-celular/planos-pos-pago</t>
        </is>
      </c>
      <c r="V4233" s="5" t="inlineStr">
        <is>
          <t>data/raw/vivo_postpaid_SP.html</t>
        </is>
      </c>
    </row>
    <row r="4234">
      <c r="A4234" s="2" t="inlineStr">
        <is>
          <t>2026-09-04</t>
        </is>
      </c>
      <c r="B4234" s="2" t="inlineStr">
        <is>
          <t>2026-09-04T19:45:10</t>
        </is>
      </c>
      <c r="C4234" s="2" t="inlineStr">
        <is>
          <t>vivo</t>
        </is>
      </c>
      <c r="D4234" s="2" t="inlineStr">
        <is>
          <t>postpaid</t>
        </is>
      </c>
      <c r="E4234" s="2" t="inlineStr">
        <is>
          <t>SP</t>
        </is>
      </c>
      <c r="F4234" s="2" t="inlineStr">
        <is>
          <t>Vivo Pós com Globoplay</t>
        </is>
      </c>
      <c r="G4234" s="2" t="inlineStr">
        <is>
          <t>vivo:VIV202600034575</t>
        </is>
      </c>
      <c r="H4234" s="3" t="n">
        <v>165</v>
      </c>
      <c r="I4234" s="3" t="inlineStr"/>
      <c r="J4234" s="2" t="inlineStr"/>
      <c r="K4234" s="2" t="inlineStr"/>
      <c r="L4234" s="4" t="n">
        <v>60</v>
      </c>
      <c r="M4234" s="2" t="inlineStr">
        <is>
          <t>50 GB de franquia 10 GB de bônus</t>
        </is>
      </c>
      <c r="N4234" s="2" t="inlineStr"/>
      <c r="O4234" s="2" t="inlineStr"/>
      <c r="P4234" s="2" t="inlineStr"/>
      <c r="Q4234" s="2" t="inlineStr"/>
      <c r="R4234" s="2" t="inlineStr">
        <is>
          <t>Globoplay</t>
        </is>
      </c>
      <c r="S4234" s="2" t="inlineStr"/>
      <c r="T4234" s="2" t="inlineStr">
        <is>
          <t>Assinatura Globoplay inclusa</t>
        </is>
      </c>
      <c r="U4234" s="2" t="inlineStr">
        <is>
          <t>https://vivo.com.br/para-voce/produtos-e-servicos/para-o-celular/planos-pos-pago</t>
        </is>
      </c>
      <c r="V4234" s="2" t="inlineStr">
        <is>
          <t>data/raw/vivo_postpaid_SP.html</t>
        </is>
      </c>
    </row>
    <row r="4235">
      <c r="A4235" s="5" t="inlineStr">
        <is>
          <t>2026-09-04</t>
        </is>
      </c>
      <c r="B4235" s="5" t="inlineStr">
        <is>
          <t>2026-09-04T19:45:10</t>
        </is>
      </c>
      <c r="C4235" s="5" t="inlineStr">
        <is>
          <t>vivo</t>
        </is>
      </c>
      <c r="D4235" s="5" t="inlineStr">
        <is>
          <t>postpaid</t>
        </is>
      </c>
      <c r="E4235" s="5" t="inlineStr">
        <is>
          <t>SP</t>
        </is>
      </c>
      <c r="F4235" s="5" t="inlineStr">
        <is>
          <t>Vivo Pós com Netflix</t>
        </is>
      </c>
      <c r="G4235" s="5" t="inlineStr">
        <is>
          <t>vivo:VIV202600034562</t>
        </is>
      </c>
      <c r="H4235" s="6" t="n">
        <v>180</v>
      </c>
      <c r="I4235" s="6" t="inlineStr"/>
      <c r="J4235" s="5" t="inlineStr"/>
      <c r="K4235" s="5" t="inlineStr"/>
      <c r="L4235" s="7" t="n">
        <v>60</v>
      </c>
      <c r="M4235" s="5" t="inlineStr">
        <is>
          <t>50 GB de franquia 10 GB de bônus</t>
        </is>
      </c>
      <c r="N4235" s="5" t="inlineStr"/>
      <c r="O4235" s="5" t="inlineStr"/>
      <c r="P4235" s="5" t="inlineStr"/>
      <c r="Q4235" s="5" t="inlineStr"/>
      <c r="R4235" s="5" t="inlineStr">
        <is>
          <t>Netflix</t>
        </is>
      </c>
      <c r="S4235" s="5" t="inlineStr"/>
      <c r="T4235" s="5" t="inlineStr">
        <is>
          <t>Assinatura Netflix Padrão inclusa</t>
        </is>
      </c>
      <c r="U4235" s="5" t="inlineStr">
        <is>
          <t>https://vivo.com.br/para-voce/produtos-e-servicos/para-o-celular/planos-pos-pago</t>
        </is>
      </c>
      <c r="V4235" s="5" t="inlineStr">
        <is>
          <t>data/raw/vivo_postpaid_SP.html</t>
        </is>
      </c>
    </row>
    <row r="4236">
      <c r="A4236" s="2" t="inlineStr">
        <is>
          <t>2026-09-04</t>
        </is>
      </c>
      <c r="B4236" s="2" t="inlineStr">
        <is>
          <t>2026-09-04T19:45:10</t>
        </is>
      </c>
      <c r="C4236" s="2" t="inlineStr">
        <is>
          <t>vivo</t>
        </is>
      </c>
      <c r="D4236" s="2" t="inlineStr">
        <is>
          <t>postpaid</t>
        </is>
      </c>
      <c r="E4236" s="2" t="inlineStr">
        <is>
          <t>SP</t>
        </is>
      </c>
      <c r="F4236" s="2" t="inlineStr">
        <is>
          <t>Vivo Pós com Premiere</t>
        </is>
      </c>
      <c r="G4236" s="2" t="inlineStr">
        <is>
          <t>vivo:VIV202600034579</t>
        </is>
      </c>
      <c r="H4236" s="3" t="n">
        <v>180</v>
      </c>
      <c r="I4236" s="3" t="inlineStr"/>
      <c r="J4236" s="2" t="inlineStr"/>
      <c r="K4236" s="2" t="inlineStr"/>
      <c r="L4236" s="4" t="n">
        <v>60</v>
      </c>
      <c r="M4236" s="2" t="inlineStr">
        <is>
          <t>50 GB de franquia 10 GB de bônus</t>
        </is>
      </c>
      <c r="N4236" s="2" t="inlineStr"/>
      <c r="O4236" s="2" t="inlineStr"/>
      <c r="P4236" s="2" t="inlineStr"/>
      <c r="Q4236" s="2" t="inlineStr"/>
      <c r="R4236" s="2" t="inlineStr">
        <is>
          <t>Premiere</t>
        </is>
      </c>
      <c r="S4236" s="2" t="inlineStr"/>
      <c r="T4236" s="2" t="inlineStr">
        <is>
          <t>Assinatura Premiere inclusa</t>
        </is>
      </c>
      <c r="U4236" s="2" t="inlineStr">
        <is>
          <t>https://vivo.com.br/para-voce/produtos-e-servicos/para-o-celular/planos-pos-pago</t>
        </is>
      </c>
      <c r="V4236" s="2" t="inlineStr">
        <is>
          <t>data/raw/vivo_postpaid_SP.html</t>
        </is>
      </c>
    </row>
    <row r="4237">
      <c r="A4237" s="5" t="inlineStr">
        <is>
          <t>2026-09-04</t>
        </is>
      </c>
      <c r="B4237" s="5" t="inlineStr">
        <is>
          <t>2026-09-04T19:45:10</t>
        </is>
      </c>
      <c r="C4237" s="5" t="inlineStr">
        <is>
          <t>vivo</t>
        </is>
      </c>
      <c r="D4237" s="5" t="inlineStr">
        <is>
          <t>postpaid</t>
        </is>
      </c>
      <c r="E4237" s="5" t="inlineStr">
        <is>
          <t>SP</t>
        </is>
      </c>
      <c r="F4237" s="5" t="inlineStr">
        <is>
          <t>Vivo Pós com Spotify</t>
        </is>
      </c>
      <c r="G4237" s="5" t="inlineStr">
        <is>
          <t>vivo:VIV202600034556</t>
        </is>
      </c>
      <c r="H4237" s="6" t="n">
        <v>165</v>
      </c>
      <c r="I4237" s="6" t="inlineStr"/>
      <c r="J4237" s="5" t="inlineStr"/>
      <c r="K4237" s="5" t="inlineStr"/>
      <c r="L4237" s="7" t="n">
        <v>60</v>
      </c>
      <c r="M4237" s="5" t="inlineStr">
        <is>
          <t>50 GB de franquia 10 GB de bônus</t>
        </is>
      </c>
      <c r="N4237" s="5" t="inlineStr"/>
      <c r="O4237" s="5" t="inlineStr"/>
      <c r="P4237" s="5" t="inlineStr"/>
      <c r="Q4237" s="5" t="inlineStr"/>
      <c r="R4237" s="5" t="inlineStr">
        <is>
          <t>Spotify</t>
        </is>
      </c>
      <c r="S4237" s="5" t="inlineStr"/>
      <c r="T4237" s="5" t="inlineStr">
        <is>
          <t>Assinatura Spotify Premium inclusa</t>
        </is>
      </c>
      <c r="U4237" s="5" t="inlineStr">
        <is>
          <t>https://vivo.com.br/para-voce/produtos-e-servicos/para-o-celular/planos-pos-pago</t>
        </is>
      </c>
      <c r="V4237" s="5" t="inlineStr">
        <is>
          <t>data/raw/vivo_postpaid_SP.html</t>
        </is>
      </c>
    </row>
    <row r="4238">
      <c r="A4238" s="2" t="inlineStr">
        <is>
          <t>2026-09-04</t>
        </is>
      </c>
      <c r="B4238" s="2" t="inlineStr">
        <is>
          <t>2026-09-04T19:45:10</t>
        </is>
      </c>
      <c r="C4238" s="2" t="inlineStr">
        <is>
          <t>vivo</t>
        </is>
      </c>
      <c r="D4238" s="2" t="inlineStr">
        <is>
          <t>postpaid</t>
        </is>
      </c>
      <c r="E4238" s="2" t="inlineStr">
        <is>
          <t>SP</t>
        </is>
      </c>
      <c r="F4238" s="2" t="inlineStr">
        <is>
          <t>Vivo Pós com Travel</t>
        </is>
      </c>
      <c r="G4238" s="2" t="inlineStr">
        <is>
          <t>vivo:VIV202600034573</t>
        </is>
      </c>
      <c r="H4238" s="3" t="n">
        <v>215</v>
      </c>
      <c r="I4238" s="3" t="inlineStr"/>
      <c r="J4238" s="2" t="inlineStr"/>
      <c r="K4238" s="2" t="inlineStr"/>
      <c r="L4238" s="4" t="n">
        <v>70</v>
      </c>
      <c r="M4238" s="2" t="inlineStr">
        <is>
          <t>60 GB de franquia 10 GB de bônus</t>
        </is>
      </c>
      <c r="N4238" s="2" t="inlineStr"/>
      <c r="O4238" s="2" t="inlineStr"/>
      <c r="P4238" s="2" t="inlineStr"/>
      <c r="Q4238" s="2" t="inlineStr"/>
      <c r="R4238" s="2" t="inlineStr"/>
      <c r="S4238" s="2" t="inlineStr"/>
      <c r="T4238" s="2" t="inlineStr">
        <is>
          <t>6 meses grátis de Gemini com AI Plus</t>
        </is>
      </c>
      <c r="U4238" s="2" t="inlineStr">
        <is>
          <t>https://vivo.com.br/para-voce/produtos-e-servicos/para-o-celular/planos-pos-pago</t>
        </is>
      </c>
      <c r="V4238" s="2" t="inlineStr">
        <is>
          <t>data/raw/vivo_postpaid_SP.html</t>
        </is>
      </c>
    </row>
    <row r="4239">
      <c r="A4239" s="5" t="inlineStr">
        <is>
          <t>2026-09-04</t>
        </is>
      </c>
      <c r="B4239" s="5" t="inlineStr">
        <is>
          <t>2026-09-04T19:45:10</t>
        </is>
      </c>
      <c r="C4239" s="5" t="inlineStr">
        <is>
          <t>vivo</t>
        </is>
      </c>
      <c r="D4239" s="5" t="inlineStr">
        <is>
          <t>prepaid</t>
        </is>
      </c>
      <c r="E4239" s="5" t="inlineStr">
        <is>
          <t>SP</t>
        </is>
      </c>
      <c r="F4239" s="5" t="inlineStr">
        <is>
          <t>Vivo Pré</t>
        </is>
      </c>
      <c r="G4239" s="5" t="inlineStr">
        <is>
          <t>vivo:VIV202600029370-30d</t>
        </is>
      </c>
      <c r="H4239" s="6" t="n">
        <v>30</v>
      </c>
      <c r="I4239" s="6" t="inlineStr"/>
      <c r="J4239" s="5" t="inlineStr"/>
      <c r="K4239" s="5" t="inlineStr"/>
      <c r="L4239" s="7" t="n">
        <v>25</v>
      </c>
      <c r="M4239" s="5" t="inlineStr">
        <is>
          <t>15 GB para navegar como quiser 5 GB de bônus 5 GB para navegar no Youtube</t>
        </is>
      </c>
      <c r="N4239" s="5" t="n">
        <v>30</v>
      </c>
      <c r="O4239" s="5" t="inlineStr"/>
      <c r="P4239" s="5" t="inlineStr"/>
      <c r="Q4239" s="5" t="inlineStr"/>
      <c r="R4239" s="5" t="inlineStr"/>
      <c r="S4239" s="5" t="inlineStr"/>
      <c r="T4239" s="5" t="inlineStr"/>
      <c r="U4239" s="5" t="inlineStr">
        <is>
          <t>https://vivo.com.br/para-voce/produtos-e-servicos/para-o-celular/pre-pago/vivo-pre</t>
        </is>
      </c>
      <c r="V4239" s="5" t="inlineStr">
        <is>
          <t>data/raw/vivo_prepaid_SP.html</t>
        </is>
      </c>
    </row>
    <row r="4240">
      <c r="A4240" s="2" t="inlineStr">
        <is>
          <t>2026-09-04</t>
        </is>
      </c>
      <c r="B4240" s="2" t="inlineStr">
        <is>
          <t>2026-09-04T19:45:10</t>
        </is>
      </c>
      <c r="C4240" s="2" t="inlineStr">
        <is>
          <t>vivo</t>
        </is>
      </c>
      <c r="D4240" s="2" t="inlineStr">
        <is>
          <t>prepaid</t>
        </is>
      </c>
      <c r="E4240" s="2" t="inlineStr">
        <is>
          <t>SP</t>
        </is>
      </c>
      <c r="F4240" s="2" t="inlineStr">
        <is>
          <t>Vivo Pré</t>
        </is>
      </c>
      <c r="G4240" s="2" t="inlineStr">
        <is>
          <t>vivo:VIV202600029370-22d</t>
        </is>
      </c>
      <c r="H4240" s="3" t="n">
        <v>25</v>
      </c>
      <c r="I4240" s="3" t="inlineStr"/>
      <c r="J4240" s="2" t="inlineStr"/>
      <c r="K4240" s="2" t="inlineStr"/>
      <c r="L4240" s="4" t="n">
        <v>9</v>
      </c>
      <c r="M4240" s="2" t="inlineStr">
        <is>
          <t>6 GB para navegar como quiser 3 GB para navegar no YouTube</t>
        </is>
      </c>
      <c r="N4240" s="2" t="n">
        <v>22</v>
      </c>
      <c r="O4240" s="2" t="inlineStr"/>
      <c r="P4240" s="2" t="inlineStr"/>
      <c r="Q4240" s="2" t="inlineStr"/>
      <c r="R4240" s="2" t="inlineStr"/>
      <c r="S4240" s="2" t="inlineStr"/>
      <c r="T4240" s="2" t="inlineStr"/>
      <c r="U4240" s="2" t="inlineStr">
        <is>
          <t>https://vivo.com.br/para-voce/produtos-e-servicos/para-o-celular/pre-pago/vivo-pre</t>
        </is>
      </c>
      <c r="V4240" s="2" t="inlineStr">
        <is>
          <t>data/raw/vivo_prepaid_SP.html</t>
        </is>
      </c>
    </row>
    <row r="4241">
      <c r="A4241" s="5" t="inlineStr">
        <is>
          <t>2026-09-04</t>
        </is>
      </c>
      <c r="B4241" s="5" t="inlineStr">
        <is>
          <t>2026-09-04T19:45:10</t>
        </is>
      </c>
      <c r="C4241" s="5" t="inlineStr">
        <is>
          <t>vivo</t>
        </is>
      </c>
      <c r="D4241" s="5" t="inlineStr">
        <is>
          <t>prepaid</t>
        </is>
      </c>
      <c r="E4241" s="5" t="inlineStr">
        <is>
          <t>SP</t>
        </is>
      </c>
      <c r="F4241" s="5" t="inlineStr">
        <is>
          <t>Vivo Pré</t>
        </is>
      </c>
      <c r="G4241" s="5" t="inlineStr">
        <is>
          <t>vivo:VIV202600029370-17d</t>
        </is>
      </c>
      <c r="H4241" s="6" t="n">
        <v>20</v>
      </c>
      <c r="I4241" s="6" t="inlineStr"/>
      <c r="J4241" s="5" t="inlineStr"/>
      <c r="K4241" s="5" t="inlineStr"/>
      <c r="L4241" s="7" t="n">
        <v>5</v>
      </c>
      <c r="M4241" s="5" t="inlineStr">
        <is>
          <t>5 GB para navegar como quiser</t>
        </is>
      </c>
      <c r="N4241" s="5" t="n">
        <v>17</v>
      </c>
      <c r="O4241" s="5" t="inlineStr"/>
      <c r="P4241" s="5" t="inlineStr"/>
      <c r="Q4241" s="5" t="inlineStr"/>
      <c r="R4241" s="5" t="inlineStr"/>
      <c r="S4241" s="5" t="inlineStr"/>
      <c r="T4241" s="5" t="inlineStr"/>
      <c r="U4241" s="5" t="inlineStr">
        <is>
          <t>https://vivo.com.br/para-voce/produtos-e-servicos/para-o-celular/pre-pago/vivo-pre</t>
        </is>
      </c>
      <c r="V4241" s="5" t="inlineStr">
        <is>
          <t>data/raw/vivo_prepaid_SP.html</t>
        </is>
      </c>
    </row>
    <row r="4242">
      <c r="A4242" s="2" t="inlineStr">
        <is>
          <t>2026-09-04</t>
        </is>
      </c>
      <c r="B4242" s="2" t="inlineStr">
        <is>
          <t>2026-09-04T19:45:10</t>
        </is>
      </c>
      <c r="C4242" s="2" t="inlineStr">
        <is>
          <t>vivo</t>
        </is>
      </c>
      <c r="D4242" s="2" t="inlineStr">
        <is>
          <t>prepaid</t>
        </is>
      </c>
      <c r="E4242" s="2" t="inlineStr">
        <is>
          <t>SP</t>
        </is>
      </c>
      <c r="F4242" s="2" t="inlineStr">
        <is>
          <t>Vivo Pré</t>
        </is>
      </c>
      <c r="G4242" s="2" t="inlineStr">
        <is>
          <t>vivo:VIV202600029370-15d</t>
        </is>
      </c>
      <c r="H4242" s="3" t="n">
        <v>17</v>
      </c>
      <c r="I4242" s="3" t="inlineStr"/>
      <c r="J4242" s="2" t="inlineStr"/>
      <c r="K4242" s="2" t="inlineStr"/>
      <c r="L4242" s="4" t="n">
        <v>4</v>
      </c>
      <c r="M4242" s="2" t="inlineStr">
        <is>
          <t>4 GB para navegar como quiser</t>
        </is>
      </c>
      <c r="N4242" s="2" t="n">
        <v>15</v>
      </c>
      <c r="O4242" s="2" t="inlineStr"/>
      <c r="P4242" s="2" t="inlineStr"/>
      <c r="Q4242" s="2" t="inlineStr"/>
      <c r="R4242" s="2" t="inlineStr"/>
      <c r="S4242" s="2" t="inlineStr"/>
      <c r="T4242" s="2" t="inlineStr"/>
      <c r="U4242" s="2" t="inlineStr">
        <is>
          <t>https://vivo.com.br/para-voce/produtos-e-servicos/para-o-celular/pre-pago/vivo-pre</t>
        </is>
      </c>
      <c r="V4242" s="2" t="inlineStr">
        <is>
          <t>data/raw/vivo_prepaid_SP.html</t>
        </is>
      </c>
    </row>
  </sheetData>
  <autoFilter ref="A1:V424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2026-09-04</t>
        </is>
      </c>
      <c r="B2" s="2" t="inlineStr">
        <is>
          <t>2026-09-04T19:45:10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2026-09-04</t>
        </is>
      </c>
      <c r="B3" s="5" t="inlineStr">
        <is>
          <t>2026-09-04T19:45:10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2026-09-04</t>
        </is>
      </c>
      <c r="B4" s="2" t="inlineStr">
        <is>
          <t>2026-09-04T19:45:10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2026-09-04</t>
        </is>
      </c>
      <c r="B5" s="5" t="inlineStr">
        <is>
          <t>2026-09-04T19:45:10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2026-09-04</t>
        </is>
      </c>
      <c r="B6" s="2" t="inlineStr">
        <is>
          <t>2026-09-04T19:45:10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2026-09-04</t>
        </is>
      </c>
      <c r="B7" s="5" t="inlineStr">
        <is>
          <t>2026-09-04T19:45:10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2026-09-04</t>
        </is>
      </c>
      <c r="B8" s="2" t="inlineStr">
        <is>
          <t>2026-09-04T19:45:10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WhatsApp ilimitado; Assinatura Claro musica inclusa; Roaming: Passaporte Américas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2026-09-04</t>
        </is>
      </c>
      <c r="B9" s="5" t="inlineStr">
        <is>
          <t>2026-09-04T19:45:10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2026-09-04</t>
        </is>
      </c>
      <c r="B10" s="2" t="inlineStr">
        <is>
          <t>2026-09-04T19:45:10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2026-09-04</t>
        </is>
      </c>
      <c r="B11" s="5" t="inlineStr">
        <is>
          <t>2026-09-04T19:45:10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2026-09-04</t>
        </is>
      </c>
      <c r="B12" s="2" t="inlineStr">
        <is>
          <t>2026-09-04T19:45:10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2026-09-04</t>
        </is>
      </c>
      <c r="B13" s="5" t="inlineStr">
        <is>
          <t>2026-09-04T19:45:10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2026-09-04</t>
        </is>
      </c>
      <c r="B14" s="2" t="inlineStr">
        <is>
          <t>2026-09-04T19:45:10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2026-09-04</t>
        </is>
      </c>
      <c r="B15" s="5" t="inlineStr">
        <is>
          <t>2026-09-04T19:45:10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2026-09-04</t>
        </is>
      </c>
      <c r="B16" s="2" t="inlineStr">
        <is>
          <t>2026-09-04T19:45:10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2026-09-04</t>
        </is>
      </c>
      <c r="B17" s="5" t="inlineStr">
        <is>
          <t>2026-09-04T19:45:10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2026-09-04</t>
        </is>
      </c>
      <c r="B18" s="2" t="inlineStr">
        <is>
          <t>2026-09-04T19:45:10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2026-09-04</t>
        </is>
      </c>
      <c r="B19" s="5" t="inlineStr">
        <is>
          <t>2026-09-04T19:45:10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2026-09-04</t>
        </is>
      </c>
      <c r="B20" s="2" t="inlineStr">
        <is>
          <t>2026-09-04T19:45:10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2026-09-04</t>
        </is>
      </c>
      <c r="B21" s="5" t="inlineStr">
        <is>
          <t>2026-09-04T19:45:10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2026-09-04</t>
        </is>
      </c>
      <c r="B22" s="2" t="inlineStr">
        <is>
          <t>2026-09-04T19:45:10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2026-09-04</t>
        </is>
      </c>
      <c r="B23" s="5" t="inlineStr">
        <is>
          <t>2026-09-04T19:45:10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2026-09-04</t>
        </is>
      </c>
      <c r="B24" s="2" t="inlineStr">
        <is>
          <t>2026-09-04T19:45:10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2026-09-04</t>
        </is>
      </c>
      <c r="B25" s="5" t="inlineStr">
        <is>
          <t>2026-09-04T19:45:10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2026-09-04</t>
        </is>
      </c>
      <c r="B26" s="2" t="inlineStr">
        <is>
          <t>2026-09-04T19:45:10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2026-09-04</t>
        </is>
      </c>
      <c r="B27" s="5" t="inlineStr">
        <is>
          <t>2026-09-04T19:45:10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2026-09-04</t>
        </is>
      </c>
      <c r="B28" s="2" t="inlineStr">
        <is>
          <t>2026-09-04T19:45:10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2026-09-04</t>
        </is>
      </c>
      <c r="B29" s="5" t="inlineStr">
        <is>
          <t>2026-09-04T19:45:10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2026-09-04</t>
        </is>
      </c>
      <c r="B30" s="2" t="inlineStr">
        <is>
          <t>2026-09-04T19:45:10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2026-09-04</t>
        </is>
      </c>
      <c r="B31" s="5" t="inlineStr">
        <is>
          <t>2026-09-04T19:45:10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2026-09-04</t>
        </is>
      </c>
      <c r="B32" s="2" t="inlineStr">
        <is>
          <t>2026-09-04T19:45:10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2026-09-04</t>
        </is>
      </c>
      <c r="B33" s="5" t="inlineStr">
        <is>
          <t>2026-09-04T19:45:10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2026-09-04</t>
        </is>
      </c>
      <c r="B34" s="2" t="inlineStr">
        <is>
          <t>2026-09-04T19:45:10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Plus 80GB</t>
        </is>
      </c>
      <c r="G34" s="2" t="inlineStr">
        <is>
          <t>tim:54256</t>
        </is>
      </c>
      <c r="H34" s="3" t="n">
        <v>149.99</v>
      </c>
      <c r="I34" s="3" t="inlineStr"/>
      <c r="J34" s="2" t="inlineStr"/>
      <c r="K34" s="2" t="inlineStr">
        <is>
          <t>bill</t>
        </is>
      </c>
      <c r="L34" s="4" t="n">
        <v>80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2026-09-04</t>
        </is>
      </c>
      <c r="B35" s="5" t="inlineStr">
        <is>
          <t>2026-09-04T19:45:10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Premium 110GB</t>
        </is>
      </c>
      <c r="G35" s="5" t="inlineStr">
        <is>
          <t>tim:54261</t>
        </is>
      </c>
      <c r="H35" s="6" t="n">
        <v>159.99</v>
      </c>
      <c r="I35" s="6" t="inlineStr"/>
      <c r="J35" s="5" t="inlineStr"/>
      <c r="K35" s="5" t="inlineStr">
        <is>
          <t>bill</t>
        </is>
      </c>
      <c r="L35" s="7" t="n">
        <v>110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2026-09-04</t>
        </is>
      </c>
      <c r="B36" s="2" t="inlineStr">
        <is>
          <t>2026-09-04T19:45:10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16GB</t>
        </is>
      </c>
      <c r="G36" s="2" t="inlineStr">
        <is>
          <t>tim:106306</t>
        </is>
      </c>
      <c r="H36" s="3" t="n">
        <v>30</v>
      </c>
      <c r="I36" s="3" t="inlineStr"/>
      <c r="J36" s="2" t="inlineStr"/>
      <c r="K36" s="2" t="inlineStr"/>
      <c r="L36" s="4" t="n">
        <v>16</v>
      </c>
      <c r="M36" s="2" t="inlineStr"/>
      <c r="N36" s="2" t="n">
        <v>30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2026-09-04</t>
        </is>
      </c>
      <c r="B37" s="5" t="inlineStr">
        <is>
          <t>2026-09-04T19:45:10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6GB</t>
        </is>
      </c>
      <c r="G37" s="5" t="inlineStr">
        <is>
          <t>tim:59906</t>
        </is>
      </c>
      <c r="H37" s="6" t="n">
        <v>20</v>
      </c>
      <c r="I37" s="6" t="inlineStr"/>
      <c r="J37" s="5" t="inlineStr"/>
      <c r="K37" s="5" t="inlineStr"/>
      <c r="L37" s="7" t="n">
        <v>6</v>
      </c>
      <c r="M37" s="5" t="inlineStr"/>
      <c r="N37" s="5" t="n">
        <v>17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2026-09-04</t>
        </is>
      </c>
      <c r="B38" s="2" t="inlineStr">
        <is>
          <t>2026-09-04T19:45:10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8GB</t>
        </is>
      </c>
      <c r="G38" s="2" t="inlineStr">
        <is>
          <t>tim:59901</t>
        </is>
      </c>
      <c r="H38" s="3" t="n">
        <v>25</v>
      </c>
      <c r="I38" s="3" t="inlineStr"/>
      <c r="J38" s="2" t="inlineStr"/>
      <c r="K38" s="2" t="inlineStr"/>
      <c r="L38" s="4" t="n">
        <v>8</v>
      </c>
      <c r="M38" s="2" t="inlineStr"/>
      <c r="N38" s="2" t="n">
        <v>22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2026-09-04</t>
        </is>
      </c>
      <c r="B39" s="5" t="inlineStr">
        <is>
          <t>2026-09-04T19:45:10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vivo:VIV202600034591</t>
        </is>
      </c>
      <c r="H39" s="6" t="n">
        <v>59</v>
      </c>
      <c r="I39" s="6" t="inlineStr"/>
      <c r="J39" s="5" t="inlineStr"/>
      <c r="K39" s="5" t="inlineStr"/>
      <c r="L39" s="7" t="n">
        <v>45</v>
      </c>
      <c r="M39" s="5" t="inlineStr">
        <is>
          <t>15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2026-09-04</t>
        </is>
      </c>
      <c r="B40" s="2" t="inlineStr">
        <is>
          <t>2026-09-04T19:45:10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vivo:VIV202600034599</t>
        </is>
      </c>
      <c r="H40" s="3" t="n">
        <v>75</v>
      </c>
      <c r="I40" s="3" t="inlineStr"/>
      <c r="J40" s="2" t="inlineStr">
        <is>
          <t>preço-base do plano; a tela exibia R$ 80 com o adicional pré-selecionado (+R$ 5/mês, opcional); 60 GB na tela incluem +10 GB do adicional</t>
        </is>
      </c>
      <c r="K40" s="2" t="inlineStr"/>
      <c r="L40" s="4" t="n">
        <v>50</v>
      </c>
      <c r="M40" s="2" t="inlineStr">
        <is>
          <t>20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6 meses grátis de Gemini com AI Plus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2026-09-04</t>
        </is>
      </c>
      <c r="B41" s="5" t="inlineStr">
        <is>
          <t>2026-09-04T19:45:10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Amazon</t>
        </is>
      </c>
      <c r="G41" s="5" t="inlineStr">
        <is>
          <t>vivo:VIV202600038804</t>
        </is>
      </c>
      <c r="H41" s="6" t="n">
        <v>70</v>
      </c>
      <c r="I41" s="6" t="inlineStr"/>
      <c r="J41" s="5" t="inlineStr">
        <is>
          <t>preço-base do plano; a tela exibia R$ 75 com o adicional pré-selecionado (+R$ 5/mês, opcional); 58 GB na tela incluem +10 GB do adicional</t>
        </is>
      </c>
      <c r="K41" s="5" t="inlineStr"/>
      <c r="L41" s="7" t="n">
        <v>48</v>
      </c>
      <c r="M41" s="5" t="inlineStr">
        <is>
          <t>18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Amazon Prime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2026-09-04</t>
        </is>
      </c>
      <c r="B42" s="2" t="inlineStr">
        <is>
          <t>2026-09-04T19:45:10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2026-09-04</t>
        </is>
      </c>
      <c r="B43" s="5" t="inlineStr">
        <is>
          <t>2026-09-04T19:45:10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2026-09-04</t>
        </is>
      </c>
      <c r="B44" s="2" t="inlineStr">
        <is>
          <t>2026-09-04T19:45:10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2026-09-04</t>
        </is>
      </c>
      <c r="B45" s="5" t="inlineStr">
        <is>
          <t>2026-09-04T19:45:10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2026-09-04</t>
        </is>
      </c>
      <c r="B46" s="2" t="inlineStr">
        <is>
          <t>2026-09-04T19:45:10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2026-09-04</t>
        </is>
      </c>
      <c r="B47" s="5" t="inlineStr">
        <is>
          <t>2026-09-04T19:45:10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Assinatura Youtube Premium Lite Inclusa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2026-09-04</t>
        </is>
      </c>
      <c r="B48" s="2" t="inlineStr">
        <is>
          <t>2026-09-04T19:45:10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vivo:VIV202600038808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2026-09-04</t>
        </is>
      </c>
      <c r="B49" s="5" t="inlineStr">
        <is>
          <t>2026-09-04T19:45:10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vivo:VIV202600038810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/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2026-09-04</t>
        </is>
      </c>
      <c r="B50" s="2" t="inlineStr">
        <is>
          <t>2026-09-04T19:45:10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vivo:VIV202600038814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2026-09-04</t>
        </is>
      </c>
      <c r="B51" s="5" t="inlineStr">
        <is>
          <t>2026-09-04T19:45:10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2026-09-04</t>
        </is>
      </c>
      <c r="B52" s="2" t="inlineStr">
        <is>
          <t>2026-09-04T19:45:10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2026-09-04</t>
        </is>
      </c>
      <c r="B53" s="5" t="inlineStr">
        <is>
          <t>2026-09-04T19:45:10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12 meses grátis de Gemini com AI Plus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2026-09-04</t>
        </is>
      </c>
      <c r="B54" s="2" t="inlineStr">
        <is>
          <t>2026-09-04T19:45:10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12 meses grátis de Gemini com AI Plus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2026-09-04</t>
        </is>
      </c>
      <c r="B55" s="5" t="inlineStr">
        <is>
          <t>2026-09-04T19:45:10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2026-09-04</t>
        </is>
      </c>
      <c r="B56" s="2" t="inlineStr">
        <is>
          <t>2026-09-04T19:45:10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2026-09-04</t>
        </is>
      </c>
      <c r="B57" s="5" t="inlineStr">
        <is>
          <t>2026-09-04T19:45:10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2026-09-04</t>
        </is>
      </c>
      <c r="B58" s="2" t="inlineStr">
        <is>
          <t>2026-09-04T19:45:10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2026-09-04</t>
        </is>
      </c>
      <c r="B59" s="5" t="inlineStr">
        <is>
          <t>2026-09-04T19:45:10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2026-09-04</t>
        </is>
      </c>
      <c r="B60" s="2" t="inlineStr">
        <is>
          <t>2026-09-04T19:45:10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2026-09-04</t>
        </is>
      </c>
      <c r="B61" s="5" t="inlineStr">
        <is>
          <t>2026-09-04T19:45:10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6 meses grátis de Gemini com AI Plus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2026-09-04</t>
        </is>
      </c>
      <c r="B62" s="2" t="inlineStr">
        <is>
          <t>2026-09-04T19:45:10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2026-09-04</t>
        </is>
      </c>
      <c r="B63" s="5" t="inlineStr">
        <is>
          <t>2026-09-04T19:45:10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2026-09-04</t>
        </is>
      </c>
      <c r="B64" s="2" t="inlineStr">
        <is>
          <t>2026-09-04T19:45:10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2026-09-04</t>
        </is>
      </c>
      <c r="B65" s="5" t="inlineStr">
        <is>
          <t>2026-09-04T19:45:10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new</t>
        </is>
      </c>
      <c r="B2" s="2" t="inlineStr">
        <is>
          <t>tim</t>
        </is>
      </c>
      <c r="C2" s="2" t="inlineStr">
        <is>
          <t>postpaid</t>
        </is>
      </c>
      <c r="D2" s="2" t="inlineStr">
        <is>
          <t>SP</t>
        </is>
      </c>
      <c r="E2" s="2" t="inlineStr">
        <is>
          <t>tim:55121</t>
        </is>
      </c>
      <c r="F2" s="2" t="inlineStr">
        <is>
          <t>TIM Black A Express 67GB</t>
        </is>
      </c>
      <c r="G2" s="3" t="inlineStr"/>
      <c r="H2" s="3" t="n">
        <v>119.99</v>
      </c>
      <c r="I2" s="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2026-09-04T19:45:10</t>
        </is>
      </c>
    </row>
    <row r="4">
      <c r="A4" s="9" t="inlineStr">
        <is>
          <t>Latest snapshot</t>
        </is>
      </c>
      <c r="B4" s="2" t="inlineStr">
        <is>
          <t>2026-09-04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72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27</v>
      </c>
      <c r="C9" s="10">
        <f>IFERROR(_xlfn.MINIFS(latest!$H$2:$H$2000,latest!$C$2:$C$2000,$A$9),"-")</f>
        <v>17</v>
      </c>
      <c r="D9" s="10">
        <f>IFERROR(AVERAGEIFS(latest!$H$2:$H$2000,latest!$C$2:$C$2000,$A$9),"-")</f>
        <v>139.67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18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75.88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7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1">
      <c r="A71" s="12" t="n">
        <v>46266</v>
      </c>
      <c r="B71" s="3">
        <f>IFERROR(IF(_xlfn.MINIFS(history!$H:$H,history!$C:$C,"tim",history!$D:$D,"control",history!$A:$A,YEAR($A71)&amp;"-"&amp;TEXT(MONTH($A71),"00")&amp;"-"&amp;TEXT(DAY($A71),"00"))=0,"",_xlfn.MINIFS(history!$H:$H,history!$C:$C,"tim",history!$D:$D,"control",history!$A:$A,YEAR($A71)&amp;"-"&amp;TEXT(MONTH($A71),"00")&amp;"-"&amp;TEXT(DAY($A71),"00"))),"")</f>
        <v>49.99</v>
      </c>
      <c r="C71" s="3">
        <f>IFERROR(IF(_xlfn.MINIFS(history!$H:$H,history!$C:$C,"vivo",history!$D:$D,"control",history!$A:$A,YEAR($A71)&amp;"-"&amp;TEXT(MONTH($A71),"00")&amp;"-"&amp;TEXT(DAY($A71),"00"))=0,"",_xlfn.MINIFS(history!$H:$H,history!$C:$C,"vivo",history!$D:$D,"control",history!$A:$A,YEAR($A71)&amp;"-"&amp;TEXT(MONTH($A71),"00")&amp;"-"&amp;TEXT(DAY($A71),"00"))),"")</f>
        <v>59</v>
      </c>
      <c r="D71" s="3">
        <f>IFERROR(IF(_xlfn.MINIFS(history!$H:$H,history!$C:$C,"claro",history!$D:$D,"control",history!$A:$A,YEAR($A71)&amp;"-"&amp;TEXT(MONTH($A71),"00")&amp;"-"&amp;TEXT(DAY($A71),"00"))=0,"",_xlfn.MINIFS(history!$H:$H,history!$C:$C,"claro",history!$D:$D,"control",history!$A:$A,YEAR($A71)&amp;"-"&amp;TEXT(MONTH($A71),"00")&amp;"-"&amp;TEXT(DAY($A71),"00"))),"")</f>
        <v>59.9</v>
      </c>
      <c r="E71" s="3">
        <f>IFERROR(IF(_xlfn.MINIFS(history!$H:$H,history!$C:$C,"tim",history!$D:$D,"postpaid",history!$A:$A,YEAR($A71)&amp;"-"&amp;TEXT(MONTH($A71),"00")&amp;"-"&amp;TEXT(DAY($A71),"00"))=0,"",_xlfn.MINIFS(history!$H:$H,history!$C:$C,"tim",history!$D:$D,"postpaid",history!$A:$A,YEAR($A71)&amp;"-"&amp;TEXT(MONTH($A71),"00")&amp;"-"&amp;TEXT(DAY($A71),"00"))),"")</f>
        <v>129.99</v>
      </c>
      <c r="F71" s="3">
        <f>IFERROR(IF(_xlfn.MINIFS(history!$H:$H,history!$C:$C,"vivo",history!$D:$D,"postpaid",history!$A:$A,YEAR($A71)&amp;"-"&amp;TEXT(MONTH($A71),"00")&amp;"-"&amp;TEXT(DAY($A71),"00"))=0,"",_xlfn.MINIFS(history!$H:$H,history!$C:$C,"vivo",history!$D:$D,"postpaid",history!$A:$A,YEAR($A71)&amp;"-"&amp;TEXT(MONTH($A71),"00")&amp;"-"&amp;TEXT(DAY($A71),"00"))),"")</f>
        <v>150</v>
      </c>
      <c r="G71" s="3">
        <f>IFERROR(IF(_xlfn.MINIFS(history!$H:$H,history!$C:$C,"claro",history!$D:$D,"postpaid",history!$A:$A,YEAR($A71)&amp;"-"&amp;TEXT(MONTH($A71),"00")&amp;"-"&amp;TEXT(DAY($A71),"00"))=0,"",_xlfn.MINIFS(history!$H:$H,history!$C:$C,"claro",history!$D:$D,"postpaid",history!$A:$A,YEAR($A71)&amp;"-"&amp;TEXT(MONTH($A71),"00")&amp;"-"&amp;TEXT(DAY($A71),"00"))),"")</f>
        <v>124.9</v>
      </c>
      <c r="H71" s="3">
        <f>IFERROR(IF(_xlfn.MINIFS(history!$H:$H,history!$C:$C,"tim",history!$D:$D,"prepaid",history!$A:$A,YEAR($A71)&amp;"-"&amp;TEXT(MONTH($A71),"00")&amp;"-"&amp;TEXT(DAY($A71),"00"),history!$N:$N,"&gt;=28")=0,"",_xlfn.MINIFS(history!$H:$H,history!$C:$C,"tim",history!$D:$D,"prepaid",history!$A:$A,YEAR($A71)&amp;"-"&amp;TEXT(MONTH($A71),"00")&amp;"-"&amp;TEXT(DAY($A71),"00"),history!$N:$N,"&gt;=28")),"")</f>
        <v>30</v>
      </c>
      <c r="I71" s="3">
        <f>IFERROR(IF(_xlfn.MINIFS(history!$H:$H,history!$C:$C,"vivo",history!$D:$D,"prepaid",history!$A:$A,YEAR($A71)&amp;"-"&amp;TEXT(MONTH($A71),"00")&amp;"-"&amp;TEXT(DAY($A71),"00"),history!$N:$N,"&gt;=28")=0,"",_xlfn.MINIFS(history!$H:$H,history!$C:$C,"vivo",history!$D:$D,"prepaid",history!$A:$A,YEAR($A71)&amp;"-"&amp;TEXT(MONTH($A71),"00")&amp;"-"&amp;TEXT(DAY($A71),"00"),history!$N:$N,"&gt;=28")),"")</f>
        <v>30</v>
      </c>
      <c r="J71" s="3">
        <f>IFERROR(IF(_xlfn.MINIFS(history!$H:$H,history!$C:$C,"claro",history!$D:$D,"prepaid",history!$A:$A,YEAR($A71)&amp;"-"&amp;TEXT(MONTH($A71),"00")&amp;"-"&amp;TEXT(DAY($A71),"00"),history!$N:$N,"&gt;=28")=0,"",_xlfn.MINIFS(history!$H:$H,history!$C:$C,"claro",history!$D:$D,"prepaid",history!$A:$A,YEAR($A71)&amp;"-"&amp;TEXT(MONTH($A71),"00")&amp;"-"&amp;TEXT(DAY($A71),"00"),history!$N:$N,"&gt;=28")),"")</f>
        <v>30</v>
      </c>
      <c r="K71" s="3">
        <f>IFERROR(1/MAX(IFERROR(1/_xlfn.MINIFS(history!$H:$H,history!$C:$C,"tim",history!$D:$D,"lite",history!$A:$A,YEAR($A71)&amp;"-"&amp;TEXT(MONTH($A71),"00")&amp;"-"&amp;TEXT(DAY($A71),"00"),history!$S:$S,"&gt;0"),0),IFERROR(1/_xlfn.MINIFS(history!$H:$H,history!$C:$C,"tim",history!$D:$D,"flex",history!$A:$A,YEAR($A71)&amp;"-"&amp;TEXT(MONTH($A71),"00")&amp;"-"&amp;TEXT(DAY($A71),"00")),0),IFERROR(1/_xlfn.MINIFS(history!$H:$H,history!$C:$C,"tim",history!$D:$D,"fit",history!$A:$A,YEAR($A71)&amp;"-"&amp;TEXT(MONTH($A71),"00")&amp;"-"&amp;TEXT(DAY($A71),"00"),history!$S:$S,"="),0)),"")</f>
        <v>20</v>
      </c>
      <c r="L71" s="3">
        <f>IFERROR(1/MAX(IFERROR(1/_xlfn.MINIFS(history!$H:$H,history!$C:$C,"vivo",history!$D:$D,"lite",history!$A:$A,YEAR($A71)&amp;"-"&amp;TEXT(MONTH($A71),"00")&amp;"-"&amp;TEXT(DAY($A71),"00"),history!$S:$S,"&gt;0"),0),IFERROR(1/_xlfn.MINIFS(history!$H:$H,history!$C:$C,"vivo",history!$D:$D,"flex",history!$A:$A,YEAR($A71)&amp;"-"&amp;TEXT(MONTH($A71),"00")&amp;"-"&amp;TEXT(DAY($A71),"00")),0),IFERROR(1/_xlfn.MINIFS(history!$H:$H,history!$C:$C,"vivo",history!$D:$D,"fit",history!$A:$A,YEAR($A71)&amp;"-"&amp;TEXT(MONTH($A71),"00")&amp;"-"&amp;TEXT(DAY($A71),"00"),history!$S:$S,"="),0)),"")</f>
        <v>45</v>
      </c>
      <c r="M71" s="3">
        <f>IFERROR(1/MAX(IFERROR(1/_xlfn.MINIFS(history!$H:$H,history!$C:$C,"claro",history!$D:$D,"lite",history!$A:$A,YEAR($A71)&amp;"-"&amp;TEXT(MONTH($A71),"00")&amp;"-"&amp;TEXT(DAY($A71),"00"),history!$S:$S,"&gt;0"),0),IFERROR(1/_xlfn.MINIFS(history!$H:$H,history!$C:$C,"claro",history!$D:$D,"flex",history!$A:$A,YEAR($A71)&amp;"-"&amp;TEXT(MONTH($A71),"00")&amp;"-"&amp;TEXT(DAY($A71),"00")),0),IFERROR(1/_xlfn.MINIFS(history!$H:$H,history!$C:$C,"claro",history!$D:$D,"fit",history!$A:$A,YEAR($A71)&amp;"-"&amp;TEXT(MONTH($A71),"00")&amp;"-"&amp;TEXT(DAY($A71),"00"),history!$S:$S,"="),0)),"")</f>
        <v>44.9</v>
      </c>
    </row>
    <row r="72">
      <c r="A72" s="12" t="n">
        <v>46267</v>
      </c>
      <c r="B72" s="3">
        <f>IFERROR(IF(_xlfn.MINIFS(history!$H:$H,history!$C:$C,"tim",history!$D:$D,"control",history!$A:$A,YEAR($A72)&amp;"-"&amp;TEXT(MONTH($A72),"00")&amp;"-"&amp;TEXT(DAY($A72),"00"))=0,"",_xlfn.MINIFS(history!$H:$H,history!$C:$C,"tim",history!$D:$D,"control",history!$A:$A,YEAR($A72)&amp;"-"&amp;TEXT(MONTH($A72),"00")&amp;"-"&amp;TEXT(DAY($A72),"00"))),"")</f>
        <v>49.99</v>
      </c>
      <c r="C72" s="3">
        <f>IFERROR(IF(_xlfn.MINIFS(history!$H:$H,history!$C:$C,"vivo",history!$D:$D,"control",history!$A:$A,YEAR($A72)&amp;"-"&amp;TEXT(MONTH($A72),"00")&amp;"-"&amp;TEXT(DAY($A72),"00"))=0,"",_xlfn.MINIFS(history!$H:$H,history!$C:$C,"vivo",history!$D:$D,"control",history!$A:$A,YEAR($A72)&amp;"-"&amp;TEXT(MONTH($A72),"00")&amp;"-"&amp;TEXT(DAY($A72),"00"))),"")</f>
        <v>59</v>
      </c>
      <c r="D72" s="3">
        <f>IFERROR(IF(_xlfn.MINIFS(history!$H:$H,history!$C:$C,"claro",history!$D:$D,"control",history!$A:$A,YEAR($A72)&amp;"-"&amp;TEXT(MONTH($A72),"00")&amp;"-"&amp;TEXT(DAY($A72),"00"))=0,"",_xlfn.MINIFS(history!$H:$H,history!$C:$C,"claro",history!$D:$D,"control",history!$A:$A,YEAR($A72)&amp;"-"&amp;TEXT(MONTH($A72),"00")&amp;"-"&amp;TEXT(DAY($A72),"00"))),"")</f>
        <v>59.9</v>
      </c>
      <c r="E72" s="3">
        <f>IFERROR(IF(_xlfn.MINIFS(history!$H:$H,history!$C:$C,"tim",history!$D:$D,"postpaid",history!$A:$A,YEAR($A72)&amp;"-"&amp;TEXT(MONTH($A72),"00")&amp;"-"&amp;TEXT(DAY($A72),"00"))=0,"",_xlfn.MINIFS(history!$H:$H,history!$C:$C,"tim",history!$D:$D,"postpaid",history!$A:$A,YEAR($A72)&amp;"-"&amp;TEXT(MONTH($A72),"00")&amp;"-"&amp;TEXT(DAY($A72),"00"))),"")</f>
        <v>129.99</v>
      </c>
      <c r="F72" s="3">
        <f>IFERROR(IF(_xlfn.MINIFS(history!$H:$H,history!$C:$C,"vivo",history!$D:$D,"postpaid",history!$A:$A,YEAR($A72)&amp;"-"&amp;TEXT(MONTH($A72),"00")&amp;"-"&amp;TEXT(DAY($A72),"00"))=0,"",_xlfn.MINIFS(history!$H:$H,history!$C:$C,"vivo",history!$D:$D,"postpaid",history!$A:$A,YEAR($A72)&amp;"-"&amp;TEXT(MONTH($A72),"00")&amp;"-"&amp;TEXT(DAY($A72),"00"))),"")</f>
        <v>150</v>
      </c>
      <c r="G72" s="3">
        <f>IFERROR(IF(_xlfn.MINIFS(history!$H:$H,history!$C:$C,"claro",history!$D:$D,"postpaid",history!$A:$A,YEAR($A72)&amp;"-"&amp;TEXT(MONTH($A72),"00")&amp;"-"&amp;TEXT(DAY($A72),"00"))=0,"",_xlfn.MINIFS(history!$H:$H,history!$C:$C,"claro",history!$D:$D,"postpaid",history!$A:$A,YEAR($A72)&amp;"-"&amp;TEXT(MONTH($A72),"00")&amp;"-"&amp;TEXT(DAY($A72),"00"))),"")</f>
        <v>124.9</v>
      </c>
      <c r="H72" s="3">
        <f>IFERROR(IF(_xlfn.MINIFS(history!$H:$H,history!$C:$C,"tim",history!$D:$D,"prepaid",history!$A:$A,YEAR($A72)&amp;"-"&amp;TEXT(MONTH($A72),"00")&amp;"-"&amp;TEXT(DAY($A72),"00"),history!$N:$N,"&gt;=28")=0,"",_xlfn.MINIFS(history!$H:$H,history!$C:$C,"tim",history!$D:$D,"prepaid",history!$A:$A,YEAR($A72)&amp;"-"&amp;TEXT(MONTH($A72),"00")&amp;"-"&amp;TEXT(DAY($A72),"00"),history!$N:$N,"&gt;=28")),"")</f>
        <v>30</v>
      </c>
      <c r="I72" s="3">
        <f>IFERROR(IF(_xlfn.MINIFS(history!$H:$H,history!$C:$C,"vivo",history!$D:$D,"prepaid",history!$A:$A,YEAR($A72)&amp;"-"&amp;TEXT(MONTH($A72),"00")&amp;"-"&amp;TEXT(DAY($A72),"00"),history!$N:$N,"&gt;=28")=0,"",_xlfn.MINIFS(history!$H:$H,history!$C:$C,"vivo",history!$D:$D,"prepaid",history!$A:$A,YEAR($A72)&amp;"-"&amp;TEXT(MONTH($A72),"00")&amp;"-"&amp;TEXT(DAY($A72),"00"),history!$N:$N,"&gt;=28")),"")</f>
        <v>30</v>
      </c>
      <c r="J72" s="3">
        <f>IFERROR(IF(_xlfn.MINIFS(history!$H:$H,history!$C:$C,"claro",history!$D:$D,"prepaid",history!$A:$A,YEAR($A72)&amp;"-"&amp;TEXT(MONTH($A72),"00")&amp;"-"&amp;TEXT(DAY($A72),"00"),history!$N:$N,"&gt;=28")=0,"",_xlfn.MINIFS(history!$H:$H,history!$C:$C,"claro",history!$D:$D,"prepaid",history!$A:$A,YEAR($A72)&amp;"-"&amp;TEXT(MONTH($A72),"00")&amp;"-"&amp;TEXT(DAY($A72),"00"),history!$N:$N,"&gt;=28")),"")</f>
        <v>30</v>
      </c>
      <c r="K72" s="3">
        <f>IFERROR(1/MAX(IFERROR(1/_xlfn.MINIFS(history!$H:$H,history!$C:$C,"tim",history!$D:$D,"lite",history!$A:$A,YEAR($A72)&amp;"-"&amp;TEXT(MONTH($A72),"00")&amp;"-"&amp;TEXT(DAY($A72),"00"),history!$S:$S,"&gt;0"),0),IFERROR(1/_xlfn.MINIFS(history!$H:$H,history!$C:$C,"tim",history!$D:$D,"flex",history!$A:$A,YEAR($A72)&amp;"-"&amp;TEXT(MONTH($A72),"00")&amp;"-"&amp;TEXT(DAY($A72),"00")),0),IFERROR(1/_xlfn.MINIFS(history!$H:$H,history!$C:$C,"tim",history!$D:$D,"fit",history!$A:$A,YEAR($A72)&amp;"-"&amp;TEXT(MONTH($A72),"00")&amp;"-"&amp;TEXT(DAY($A72),"00"),history!$S:$S,"="),0)),"")</f>
        <v>20</v>
      </c>
      <c r="L72" s="3">
        <f>IFERROR(1/MAX(IFERROR(1/_xlfn.MINIFS(history!$H:$H,history!$C:$C,"vivo",history!$D:$D,"lite",history!$A:$A,YEAR($A72)&amp;"-"&amp;TEXT(MONTH($A72),"00")&amp;"-"&amp;TEXT(DAY($A72),"00"),history!$S:$S,"&gt;0"),0),IFERROR(1/_xlfn.MINIFS(history!$H:$H,history!$C:$C,"vivo",history!$D:$D,"flex",history!$A:$A,YEAR($A72)&amp;"-"&amp;TEXT(MONTH($A72),"00")&amp;"-"&amp;TEXT(DAY($A72),"00")),0),IFERROR(1/_xlfn.MINIFS(history!$H:$H,history!$C:$C,"vivo",history!$D:$D,"fit",history!$A:$A,YEAR($A72)&amp;"-"&amp;TEXT(MONTH($A72),"00")&amp;"-"&amp;TEXT(DAY($A72),"00"),history!$S:$S,"="),0)),"")</f>
        <v>45</v>
      </c>
      <c r="M72" s="3">
        <f>IFERROR(1/MAX(IFERROR(1/_xlfn.MINIFS(history!$H:$H,history!$C:$C,"claro",history!$D:$D,"lite",history!$A:$A,YEAR($A72)&amp;"-"&amp;TEXT(MONTH($A72),"00")&amp;"-"&amp;TEXT(DAY($A72),"00"),history!$S:$S,"&gt;0"),0),IFERROR(1/_xlfn.MINIFS(history!$H:$H,history!$C:$C,"claro",history!$D:$D,"flex",history!$A:$A,YEAR($A72)&amp;"-"&amp;TEXT(MONTH($A72),"00")&amp;"-"&amp;TEXT(DAY($A72),"00")),0),IFERROR(1/_xlfn.MINIFS(history!$H:$H,history!$C:$C,"claro",history!$D:$D,"fit",history!$A:$A,YEAR($A72)&amp;"-"&amp;TEXT(MONTH($A72),"00")&amp;"-"&amp;TEXT(DAY($A72),"00"),history!$S:$S,"="),0)),"")</f>
        <v>44.9</v>
      </c>
    </row>
    <row r="73">
      <c r="A73" s="12" t="n">
        <v>46268</v>
      </c>
      <c r="B73" s="3">
        <f>IFERROR(IF(_xlfn.MINIFS(history!$H:$H,history!$C:$C,"tim",history!$D:$D,"control",history!$A:$A,YEAR($A73)&amp;"-"&amp;TEXT(MONTH($A73),"00")&amp;"-"&amp;TEXT(DAY($A73),"00"))=0,"",_xlfn.MINIFS(history!$H:$H,history!$C:$C,"tim",history!$D:$D,"control",history!$A:$A,YEAR($A73)&amp;"-"&amp;TEXT(MONTH($A73),"00")&amp;"-"&amp;TEXT(DAY($A73),"00"))),"")</f>
        <v>49.99</v>
      </c>
      <c r="C73" s="3">
        <f>IFERROR(IF(_xlfn.MINIFS(history!$H:$H,history!$C:$C,"vivo",history!$D:$D,"control",history!$A:$A,YEAR($A73)&amp;"-"&amp;TEXT(MONTH($A73),"00")&amp;"-"&amp;TEXT(DAY($A73),"00"))=0,"",_xlfn.MINIFS(history!$H:$H,history!$C:$C,"vivo",history!$D:$D,"control",history!$A:$A,YEAR($A73)&amp;"-"&amp;TEXT(MONTH($A73),"00")&amp;"-"&amp;TEXT(DAY($A73),"00"))),"")</f>
        <v>59</v>
      </c>
      <c r="D73" s="3">
        <f>IFERROR(IF(_xlfn.MINIFS(history!$H:$H,history!$C:$C,"claro",history!$D:$D,"control",history!$A:$A,YEAR($A73)&amp;"-"&amp;TEXT(MONTH($A73),"00")&amp;"-"&amp;TEXT(DAY($A73),"00"))=0,"",_xlfn.MINIFS(history!$H:$H,history!$C:$C,"claro",history!$D:$D,"control",history!$A:$A,YEAR($A73)&amp;"-"&amp;TEXT(MONTH($A73),"00")&amp;"-"&amp;TEXT(DAY($A73),"00"))),"")</f>
        <v>59.9</v>
      </c>
      <c r="E73" s="3">
        <f>IFERROR(IF(_xlfn.MINIFS(history!$H:$H,history!$C:$C,"tim",history!$D:$D,"postpaid",history!$A:$A,YEAR($A73)&amp;"-"&amp;TEXT(MONTH($A73),"00")&amp;"-"&amp;TEXT(DAY($A73),"00"))=0,"",_xlfn.MINIFS(history!$H:$H,history!$C:$C,"tim",history!$D:$D,"postpaid",history!$A:$A,YEAR($A73)&amp;"-"&amp;TEXT(MONTH($A73),"00")&amp;"-"&amp;TEXT(DAY($A73),"00"))),"")</f>
        <v>129.99</v>
      </c>
      <c r="F73" s="3">
        <f>IFERROR(IF(_xlfn.MINIFS(history!$H:$H,history!$C:$C,"vivo",history!$D:$D,"postpaid",history!$A:$A,YEAR($A73)&amp;"-"&amp;TEXT(MONTH($A73),"00")&amp;"-"&amp;TEXT(DAY($A73),"00"))=0,"",_xlfn.MINIFS(history!$H:$H,history!$C:$C,"vivo",history!$D:$D,"postpaid",history!$A:$A,YEAR($A73)&amp;"-"&amp;TEXT(MONTH($A73),"00")&amp;"-"&amp;TEXT(DAY($A73),"00"))),"")</f>
        <v>150</v>
      </c>
      <c r="G73" s="3">
        <f>IFERROR(IF(_xlfn.MINIFS(history!$H:$H,history!$C:$C,"claro",history!$D:$D,"postpaid",history!$A:$A,YEAR($A73)&amp;"-"&amp;TEXT(MONTH($A73),"00")&amp;"-"&amp;TEXT(DAY($A73),"00"))=0,"",_xlfn.MINIFS(history!$H:$H,history!$C:$C,"claro",history!$D:$D,"postpaid",history!$A:$A,YEAR($A73)&amp;"-"&amp;TEXT(MONTH($A73),"00")&amp;"-"&amp;TEXT(DAY($A73),"00"))),"")</f>
        <v>124.9</v>
      </c>
      <c r="H73" s="3">
        <f>IFERROR(IF(_xlfn.MINIFS(history!$H:$H,history!$C:$C,"tim",history!$D:$D,"prepaid",history!$A:$A,YEAR($A73)&amp;"-"&amp;TEXT(MONTH($A73),"00")&amp;"-"&amp;TEXT(DAY($A73),"00"),history!$N:$N,"&gt;=28")=0,"",_xlfn.MINIFS(history!$H:$H,history!$C:$C,"tim",history!$D:$D,"prepaid",history!$A:$A,YEAR($A73)&amp;"-"&amp;TEXT(MONTH($A73),"00")&amp;"-"&amp;TEXT(DAY($A73),"00"),history!$N:$N,"&gt;=28")),"")</f>
        <v>30</v>
      </c>
      <c r="I73" s="3">
        <f>IFERROR(IF(_xlfn.MINIFS(history!$H:$H,history!$C:$C,"vivo",history!$D:$D,"prepaid",history!$A:$A,YEAR($A73)&amp;"-"&amp;TEXT(MONTH($A73),"00")&amp;"-"&amp;TEXT(DAY($A73),"00"),history!$N:$N,"&gt;=28")=0,"",_xlfn.MINIFS(history!$H:$H,history!$C:$C,"vivo",history!$D:$D,"prepaid",history!$A:$A,YEAR($A73)&amp;"-"&amp;TEXT(MONTH($A73),"00")&amp;"-"&amp;TEXT(DAY($A73),"00"),history!$N:$N,"&gt;=28")),"")</f>
        <v>30</v>
      </c>
      <c r="J73" s="3">
        <f>IFERROR(IF(_xlfn.MINIFS(history!$H:$H,history!$C:$C,"claro",history!$D:$D,"prepaid",history!$A:$A,YEAR($A73)&amp;"-"&amp;TEXT(MONTH($A73),"00")&amp;"-"&amp;TEXT(DAY($A73),"00"),history!$N:$N,"&gt;=28")=0,"",_xlfn.MINIFS(history!$H:$H,history!$C:$C,"claro",history!$D:$D,"prepaid",history!$A:$A,YEAR($A73)&amp;"-"&amp;TEXT(MONTH($A73),"00")&amp;"-"&amp;TEXT(DAY($A73),"00"),history!$N:$N,"&gt;=28")),"")</f>
        <v>30</v>
      </c>
      <c r="K73" s="3">
        <f>IFERROR(1/MAX(IFERROR(1/_xlfn.MINIFS(history!$H:$H,history!$C:$C,"tim",history!$D:$D,"lite",history!$A:$A,YEAR($A73)&amp;"-"&amp;TEXT(MONTH($A73),"00")&amp;"-"&amp;TEXT(DAY($A73),"00"),history!$S:$S,"&gt;0"),0),IFERROR(1/_xlfn.MINIFS(history!$H:$H,history!$C:$C,"tim",history!$D:$D,"flex",history!$A:$A,YEAR($A73)&amp;"-"&amp;TEXT(MONTH($A73),"00")&amp;"-"&amp;TEXT(DAY($A73),"00")),0),IFERROR(1/_xlfn.MINIFS(history!$H:$H,history!$C:$C,"tim",history!$D:$D,"fit",history!$A:$A,YEAR($A73)&amp;"-"&amp;TEXT(MONTH($A73),"00")&amp;"-"&amp;TEXT(DAY($A73),"00"),history!$S:$S,"="),0)),"")</f>
        <v>20</v>
      </c>
      <c r="L73" s="3">
        <f>IFERROR(1/MAX(IFERROR(1/_xlfn.MINIFS(history!$H:$H,history!$C:$C,"vivo",history!$D:$D,"lite",history!$A:$A,YEAR($A73)&amp;"-"&amp;TEXT(MONTH($A73),"00")&amp;"-"&amp;TEXT(DAY($A73),"00"),history!$S:$S,"&gt;0"),0),IFERROR(1/_xlfn.MINIFS(history!$H:$H,history!$C:$C,"vivo",history!$D:$D,"flex",history!$A:$A,YEAR($A73)&amp;"-"&amp;TEXT(MONTH($A73),"00")&amp;"-"&amp;TEXT(DAY($A73),"00")),0),IFERROR(1/_xlfn.MINIFS(history!$H:$H,history!$C:$C,"vivo",history!$D:$D,"fit",history!$A:$A,YEAR($A73)&amp;"-"&amp;TEXT(MONTH($A73),"00")&amp;"-"&amp;TEXT(DAY($A73),"00"),history!$S:$S,"="),0)),"")</f>
        <v>45</v>
      </c>
      <c r="M73" s="3">
        <f>IFERROR(1/MAX(IFERROR(1/_xlfn.MINIFS(history!$H:$H,history!$C:$C,"claro",history!$D:$D,"lite",history!$A:$A,YEAR($A73)&amp;"-"&amp;TEXT(MONTH($A73),"00")&amp;"-"&amp;TEXT(DAY($A73),"00"),history!$S:$S,"&gt;0"),0),IFERROR(1/_xlfn.MINIFS(history!$H:$H,history!$C:$C,"claro",history!$D:$D,"flex",history!$A:$A,YEAR($A73)&amp;"-"&amp;TEXT(MONTH($A73),"00")&amp;"-"&amp;TEXT(DAY($A73),"00")),0),IFERROR(1/_xlfn.MINIFS(history!$H:$H,history!$C:$C,"claro",history!$D:$D,"fit",history!$A:$A,YEAR($A73)&amp;"-"&amp;TEXT(MONTH($A73),"00")&amp;"-"&amp;TEXT(DAY($A73),"00"),history!$S:$S,"="),0)),"")</f>
        <v>44.9</v>
      </c>
    </row>
    <row r="74">
      <c r="A74" s="12" t="n">
        <v>46269</v>
      </c>
      <c r="B74" s="3">
        <f>IFERROR(IF(_xlfn.MINIFS(history!$H:$H,history!$C:$C,"tim",history!$D:$D,"control",history!$A:$A,YEAR($A74)&amp;"-"&amp;TEXT(MONTH($A74),"00")&amp;"-"&amp;TEXT(DAY($A74),"00"))=0,"",_xlfn.MINIFS(history!$H:$H,history!$C:$C,"tim",history!$D:$D,"control",history!$A:$A,YEAR($A74)&amp;"-"&amp;TEXT(MONTH($A74),"00")&amp;"-"&amp;TEXT(DAY($A74),"00"))),"")</f>
        <v>49.99</v>
      </c>
      <c r="C74" s="3">
        <f>IFERROR(IF(_xlfn.MINIFS(history!$H:$H,history!$C:$C,"vivo",history!$D:$D,"control",history!$A:$A,YEAR($A74)&amp;"-"&amp;TEXT(MONTH($A74),"00")&amp;"-"&amp;TEXT(DAY($A74),"00"))=0,"",_xlfn.MINIFS(history!$H:$H,history!$C:$C,"vivo",history!$D:$D,"control",history!$A:$A,YEAR($A74)&amp;"-"&amp;TEXT(MONTH($A74),"00")&amp;"-"&amp;TEXT(DAY($A74),"00"))),"")</f>
        <v>59</v>
      </c>
      <c r="D74" s="3">
        <f>IFERROR(IF(_xlfn.MINIFS(history!$H:$H,history!$C:$C,"claro",history!$D:$D,"control",history!$A:$A,YEAR($A74)&amp;"-"&amp;TEXT(MONTH($A74),"00")&amp;"-"&amp;TEXT(DAY($A74),"00"))=0,"",_xlfn.MINIFS(history!$H:$H,history!$C:$C,"claro",history!$D:$D,"control",history!$A:$A,YEAR($A74)&amp;"-"&amp;TEXT(MONTH($A74),"00")&amp;"-"&amp;TEXT(DAY($A74),"00"))),"")</f>
        <v>59.9</v>
      </c>
      <c r="E74" s="3">
        <f>IFERROR(IF(_xlfn.MINIFS(history!$H:$H,history!$C:$C,"tim",history!$D:$D,"postpaid",history!$A:$A,YEAR($A74)&amp;"-"&amp;TEXT(MONTH($A74),"00")&amp;"-"&amp;TEXT(DAY($A74),"00"))=0,"",_xlfn.MINIFS(history!$H:$H,history!$C:$C,"tim",history!$D:$D,"postpaid",history!$A:$A,YEAR($A74)&amp;"-"&amp;TEXT(MONTH($A74),"00")&amp;"-"&amp;TEXT(DAY($A74),"00"))),"")</f>
        <v>119.99</v>
      </c>
      <c r="F74" s="3">
        <f>IFERROR(IF(_xlfn.MINIFS(history!$H:$H,history!$C:$C,"vivo",history!$D:$D,"postpaid",history!$A:$A,YEAR($A74)&amp;"-"&amp;TEXT(MONTH($A74),"00")&amp;"-"&amp;TEXT(DAY($A74),"00"))=0,"",_xlfn.MINIFS(history!$H:$H,history!$C:$C,"vivo",history!$D:$D,"postpaid",history!$A:$A,YEAR($A74)&amp;"-"&amp;TEXT(MONTH($A74),"00")&amp;"-"&amp;TEXT(DAY($A74),"00"))),"")</f>
        <v>150</v>
      </c>
      <c r="G74" s="3">
        <f>IFERROR(IF(_xlfn.MINIFS(history!$H:$H,history!$C:$C,"claro",history!$D:$D,"postpaid",history!$A:$A,YEAR($A74)&amp;"-"&amp;TEXT(MONTH($A74),"00")&amp;"-"&amp;TEXT(DAY($A74),"00"))=0,"",_xlfn.MINIFS(history!$H:$H,history!$C:$C,"claro",history!$D:$D,"postpaid",history!$A:$A,YEAR($A74)&amp;"-"&amp;TEXT(MONTH($A74),"00")&amp;"-"&amp;TEXT(DAY($A74),"00"))),"")</f>
        <v>124.9</v>
      </c>
      <c r="H74" s="3">
        <f>IFERROR(IF(_xlfn.MINIFS(history!$H:$H,history!$C:$C,"tim",history!$D:$D,"prepaid",history!$A:$A,YEAR($A74)&amp;"-"&amp;TEXT(MONTH($A74),"00")&amp;"-"&amp;TEXT(DAY($A74),"00"),history!$N:$N,"&gt;=28")=0,"",_xlfn.MINIFS(history!$H:$H,history!$C:$C,"tim",history!$D:$D,"prepaid",history!$A:$A,YEAR($A74)&amp;"-"&amp;TEXT(MONTH($A74),"00")&amp;"-"&amp;TEXT(DAY($A74),"00"),history!$N:$N,"&gt;=28")),"")</f>
        <v>30</v>
      </c>
      <c r="I74" s="3">
        <f>IFERROR(IF(_xlfn.MINIFS(history!$H:$H,history!$C:$C,"vivo",history!$D:$D,"prepaid",history!$A:$A,YEAR($A74)&amp;"-"&amp;TEXT(MONTH($A74),"00")&amp;"-"&amp;TEXT(DAY($A74),"00"),history!$N:$N,"&gt;=28")=0,"",_xlfn.MINIFS(history!$H:$H,history!$C:$C,"vivo",history!$D:$D,"prepaid",history!$A:$A,YEAR($A74)&amp;"-"&amp;TEXT(MONTH($A74),"00")&amp;"-"&amp;TEXT(DAY($A74),"00"),history!$N:$N,"&gt;=28")),"")</f>
        <v>30</v>
      </c>
      <c r="J74" s="3">
        <f>IFERROR(IF(_xlfn.MINIFS(history!$H:$H,history!$C:$C,"claro",history!$D:$D,"prepaid",history!$A:$A,YEAR($A74)&amp;"-"&amp;TEXT(MONTH($A74),"00")&amp;"-"&amp;TEXT(DAY($A74),"00"),history!$N:$N,"&gt;=28")=0,"",_xlfn.MINIFS(history!$H:$H,history!$C:$C,"claro",history!$D:$D,"prepaid",history!$A:$A,YEAR($A74)&amp;"-"&amp;TEXT(MONTH($A74),"00")&amp;"-"&amp;TEXT(DAY($A74),"00"),history!$N:$N,"&gt;=28")),"")</f>
        <v>30</v>
      </c>
      <c r="K74" s="3">
        <f>IFERROR(1/MAX(IFERROR(1/_xlfn.MINIFS(history!$H:$H,history!$C:$C,"tim",history!$D:$D,"lite",history!$A:$A,YEAR($A74)&amp;"-"&amp;TEXT(MONTH($A74),"00")&amp;"-"&amp;TEXT(DAY($A74),"00"),history!$S:$S,"&gt;0"),0),IFERROR(1/_xlfn.MINIFS(history!$H:$H,history!$C:$C,"tim",history!$D:$D,"flex",history!$A:$A,YEAR($A74)&amp;"-"&amp;TEXT(MONTH($A74),"00")&amp;"-"&amp;TEXT(DAY($A74),"00")),0),IFERROR(1/_xlfn.MINIFS(history!$H:$H,history!$C:$C,"tim",history!$D:$D,"fit",history!$A:$A,YEAR($A74)&amp;"-"&amp;TEXT(MONTH($A74),"00")&amp;"-"&amp;TEXT(DAY($A74),"00"),history!$S:$S,"="),0)),"")</f>
        <v>20</v>
      </c>
      <c r="L74" s="3">
        <f>IFERROR(1/MAX(IFERROR(1/_xlfn.MINIFS(history!$H:$H,history!$C:$C,"vivo",history!$D:$D,"lite",history!$A:$A,YEAR($A74)&amp;"-"&amp;TEXT(MONTH($A74),"00")&amp;"-"&amp;TEXT(DAY($A74),"00"),history!$S:$S,"&gt;0"),0),IFERROR(1/_xlfn.MINIFS(history!$H:$H,history!$C:$C,"vivo",history!$D:$D,"flex",history!$A:$A,YEAR($A74)&amp;"-"&amp;TEXT(MONTH($A74),"00")&amp;"-"&amp;TEXT(DAY($A74),"00")),0),IFERROR(1/_xlfn.MINIFS(history!$H:$H,history!$C:$C,"vivo",history!$D:$D,"fit",history!$A:$A,YEAR($A74)&amp;"-"&amp;TEXT(MONTH($A74),"00")&amp;"-"&amp;TEXT(DAY($A74),"00"),history!$S:$S,"="),0)),"")</f>
        <v>45</v>
      </c>
      <c r="M74" s="3">
        <f>IFERROR(1/MAX(IFERROR(1/_xlfn.MINIFS(history!$H:$H,history!$C:$C,"claro",history!$D:$D,"lite",history!$A:$A,YEAR($A74)&amp;"-"&amp;TEXT(MONTH($A74),"00")&amp;"-"&amp;TEXT(DAY($A74),"00"),history!$S:$S,"&gt;0"),0),IFERROR(1/_xlfn.MINIFS(history!$H:$H,history!$C:$C,"claro",history!$D:$D,"flex",history!$A:$A,YEAR($A74)&amp;"-"&amp;TEXT(MONTH($A74),"00")&amp;"-"&amp;TEXT(DAY($A74),"00")),0),IFERROR(1/_xlfn.MINIFS(history!$H:$H,history!$C:$C,"claro",history!$D:$D,"fit",history!$A:$A,YEAR($A74)&amp;"-"&amp;TEXT(MONTH($A74),"00")&amp;"-"&amp;TEXT(DAY($A74),"00"),history!$S:$S,"="),0)),"")</f>
        <v>44.9</v>
      </c>
    </row>
    <row r="76">
      <c r="A76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7">
      <c r="A77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4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4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4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4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IF('comparison'!B74="",NA(),'comparison'!B74)</f>
        <v/>
      </c>
      <c r="R38" s="10">
        <f>IF('comparison'!C74="",NA(),'comparison'!C74)</f>
        <v/>
      </c>
      <c r="S38" s="10">
        <f>IF('comparison'!D74="",NA(),'comparison'!D74)</f>
        <v/>
      </c>
    </row>
    <row r="39">
      <c r="P39" s="2" t="inlineStr">
        <is>
          <t>Post</t>
        </is>
      </c>
      <c r="Q39" s="10">
        <f>IF('comparison'!E74="",NA(),'comparison'!E74)</f>
        <v/>
      </c>
      <c r="R39" s="10">
        <f>IF('comparison'!F74="",NA(),'comparison'!F74)</f>
        <v/>
      </c>
      <c r="S39" s="10">
        <f>IF('comparison'!G74="",NA(),'comparison'!G74)</f>
        <v/>
      </c>
    </row>
    <row r="40">
      <c r="P40" s="2" t="inlineStr">
        <is>
          <t>Pre</t>
        </is>
      </c>
      <c r="Q40" s="10">
        <f>IF('comparison'!H74="",NA(),'comparison'!H74)</f>
        <v/>
      </c>
      <c r="R40" s="10">
        <f>IF('comparison'!I74="",NA(),'comparison'!I74)</f>
        <v/>
      </c>
      <c r="S40" s="10">
        <f>IF('comparison'!J74="",NA(),'comparison'!J74)</f>
        <v/>
      </c>
    </row>
    <row r="41">
      <c r="P41" s="2" t="inlineStr">
        <is>
          <t>Digital</t>
        </is>
      </c>
      <c r="Q41" s="10">
        <f>IF('comparison'!K74="",NA(),'comparison'!K74)</f>
        <v/>
      </c>
      <c r="R41" s="10">
        <f>IF('comparison'!L74="",NA(),'comparison'!L74)</f>
        <v/>
      </c>
      <c r="S41" s="10">
        <f>IF('comparison'!M74="",NA(),'comparison'!M74)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6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Premium 110GB (110GB)</t>
        </is>
      </c>
    </row>
    <row r="10">
      <c r="A10" s="5" t="n">
        <v>6</v>
      </c>
      <c r="B10" s="6" t="n">
        <v>180</v>
      </c>
      <c r="C10" s="15" t="n"/>
      <c r="D10" s="6" t="n">
        <v>164.99</v>
      </c>
      <c r="E10" s="5" t="inlineStr">
        <is>
          <t>Vivo Pós com Premiere (60GB)</t>
        </is>
      </c>
      <c r="F10" s="15" t="n"/>
      <c r="G10" s="5" t="inlineStr">
        <is>
          <t>TIM Black C Express 107GB (107GB)</t>
        </is>
      </c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70</v>
      </c>
      <c r="C20" s="6" t="n">
        <v>69.90000000000001</v>
      </c>
      <c r="D20" s="6" t="n">
        <v>59.99</v>
      </c>
      <c r="E20" s="5" t="inlineStr">
        <is>
          <t>Vivo Controle Amazon (48GB)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75</v>
      </c>
      <c r="C21" s="3" t="n">
        <v>99.90000000000001</v>
      </c>
      <c r="D21" s="3" t="n">
        <v>60.99</v>
      </c>
      <c r="E21" s="2" t="inlineStr">
        <is>
          <t>Vivo Controle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Educação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Música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Saúde (50GB)</t>
        </is>
      </c>
      <c r="F24" s="15" t="n"/>
      <c r="G24" s="15" t="n"/>
    </row>
    <row r="25">
      <c r="A25" s="2" t="n">
        <v>7</v>
      </c>
      <c r="B25" s="3" t="n">
        <v>85</v>
      </c>
      <c r="E25" s="2" t="inlineStr">
        <is>
          <t>Vivo Controle Youtube Lite (50GB)</t>
        </is>
      </c>
    </row>
    <row r="26">
      <c r="A26" s="5" t="n">
        <v>8</v>
      </c>
      <c r="B26" s="6" t="n">
        <v>90</v>
      </c>
      <c r="C26" s="15" t="n"/>
      <c r="D26" s="15" t="n"/>
      <c r="E26" s="5" t="inlineStr">
        <is>
          <t>Vivo Controle Netflix (50GB)</t>
        </is>
      </c>
      <c r="F26" s="15" t="n"/>
      <c r="G26" s="15" t="n"/>
    </row>
    <row r="27">
      <c r="A27" s="2" t="n">
        <v>9</v>
      </c>
      <c r="B27" s="3" t="n">
        <v>105</v>
      </c>
      <c r="E27" s="2" t="inlineStr">
        <is>
          <t>Vivo Controle Entretenimento (50GB)</t>
        </is>
      </c>
    </row>
    <row r="29">
      <c r="A29" s="14" t="inlineStr">
        <is>
          <t>Prepaid</t>
        </is>
      </c>
    </row>
    <row r="30">
      <c r="A30" s="13" t="inlineStr">
        <is>
          <t>Note: prepaid is not a clean unit — Claro Prezão is a daily fee (R$1/dia) vs Vivo/TIM recharge amounts.</t>
        </is>
      </c>
    </row>
    <row r="31">
      <c r="A31" s="1" t="inlineStr">
        <is>
          <t>Rank</t>
        </is>
      </c>
      <c r="B31" s="1" t="inlineStr">
        <is>
          <t>Vivo R$</t>
        </is>
      </c>
      <c r="C31" s="1" t="inlineStr">
        <is>
          <t>Claro R$</t>
        </is>
      </c>
      <c r="D31" s="1" t="inlineStr">
        <is>
          <t>TIM R$</t>
        </is>
      </c>
      <c r="E31" s="1" t="inlineStr">
        <is>
          <t>Vivo plan</t>
        </is>
      </c>
      <c r="F31" s="1" t="inlineStr">
        <is>
          <t>Claro plan</t>
        </is>
      </c>
      <c r="G31" s="1" t="inlineStr">
        <is>
          <t>TIM plan</t>
        </is>
      </c>
    </row>
    <row r="32">
      <c r="A32" s="2" t="n">
        <v>1</v>
      </c>
      <c r="B32" s="3" t="n">
        <v>17</v>
      </c>
      <c r="C32" s="3" t="n">
        <v>15</v>
      </c>
      <c r="D32" s="3" t="n">
        <v>20</v>
      </c>
      <c r="E32" s="2" t="inlineStr">
        <is>
          <t>Vivo Pré (4GB)</t>
        </is>
      </c>
      <c r="F32" s="2" t="inlineStr">
        <is>
          <t>Prezão 4GB (12 dias) (4GB)</t>
        </is>
      </c>
      <c r="G32" s="2" t="inlineStr">
        <is>
          <t>TIM Pré XIP Plus 6GB (6GB)</t>
        </is>
      </c>
    </row>
    <row r="33">
      <c r="A33" s="5" t="n">
        <v>2</v>
      </c>
      <c r="B33" s="6" t="n">
        <v>20</v>
      </c>
      <c r="C33" s="6" t="n">
        <v>15</v>
      </c>
      <c r="D33" s="6" t="n">
        <v>25</v>
      </c>
      <c r="E33" s="5" t="inlineStr">
        <is>
          <t>Vivo Pré (5GB)</t>
        </is>
      </c>
      <c r="F33" s="5" t="inlineStr">
        <is>
          <t>Prezão 5GB (15 dias) (5GB)</t>
        </is>
      </c>
      <c r="G33" s="5" t="inlineStr">
        <is>
          <t>TIM Pré XIP Plus 8GB (8GB)</t>
        </is>
      </c>
    </row>
    <row r="34">
      <c r="A34" s="2" t="n">
        <v>3</v>
      </c>
      <c r="B34" s="3" t="n">
        <v>25</v>
      </c>
      <c r="C34" s="3" t="n">
        <v>20</v>
      </c>
      <c r="D34" s="3" t="n">
        <v>30</v>
      </c>
      <c r="E34" s="2" t="inlineStr">
        <is>
          <t>Vivo Pré (9GB)</t>
        </is>
      </c>
      <c r="F34" s="2" t="inlineStr">
        <is>
          <t>Prezão 6GB (20 dias) (6GB)</t>
        </is>
      </c>
      <c r="G34" s="2" t="inlineStr">
        <is>
          <t>TIM Pré XIP Plus 16GB (16GB)</t>
        </is>
      </c>
    </row>
    <row r="35">
      <c r="A35" s="5" t="n">
        <v>4</v>
      </c>
      <c r="B35" s="6" t="n">
        <v>30</v>
      </c>
      <c r="C35" s="6" t="n">
        <v>20</v>
      </c>
      <c r="D35" s="15" t="n"/>
      <c r="E35" s="5" t="inlineStr">
        <is>
          <t>Vivo Pré (25GB)</t>
        </is>
      </c>
      <c r="F35" s="5" t="inlineStr">
        <is>
          <t>Prezão 8GB (20 dias) (8GB)</t>
        </is>
      </c>
      <c r="G35" s="15" t="n"/>
    </row>
    <row r="36">
      <c r="A36" s="2" t="n">
        <v>5</v>
      </c>
      <c r="C36" s="3" t="n">
        <v>25</v>
      </c>
      <c r="F36" s="2" t="inlineStr">
        <is>
          <t>Prezão 10GB (25 dias) (10GB)</t>
        </is>
      </c>
    </row>
    <row r="37">
      <c r="A37" s="5" t="n">
        <v>6</v>
      </c>
      <c r="B37" s="15" t="n"/>
      <c r="C37" s="6" t="n">
        <v>25</v>
      </c>
      <c r="D37" s="15" t="n"/>
      <c r="E37" s="15" t="n"/>
      <c r="F37" s="5" t="inlineStr">
        <is>
          <t>Prezão 9GB (25 dias) (9GB)</t>
        </is>
      </c>
      <c r="G37" s="15" t="n"/>
    </row>
    <row r="38">
      <c r="A38" s="2" t="n">
        <v>7</v>
      </c>
      <c r="C38" s="3" t="n">
        <v>30</v>
      </c>
      <c r="F38" s="2" t="inlineStr">
        <is>
          <t>Prezão 12GB (30 dias) (12GB)</t>
        </is>
      </c>
    </row>
    <row r="40">
      <c r="A40" s="14" t="inlineStr">
        <is>
          <t>Digital</t>
        </is>
      </c>
    </row>
    <row r="41">
      <c r="A41" s="13" t="inlineStr">
        <is>
          <t>Digital = Vivo Lite + Claro Flex + TIM Fit (#28); entry-level = no-commitment versions.</t>
        </is>
      </c>
    </row>
    <row r="42">
      <c r="A42" s="1" t="inlineStr">
        <is>
          <t>Rank</t>
        </is>
      </c>
      <c r="B42" s="1" t="inlineStr">
        <is>
          <t>Vivo R$</t>
        </is>
      </c>
      <c r="C42" s="1" t="inlineStr">
        <is>
          <t>Claro R$</t>
        </is>
      </c>
      <c r="D42" s="1" t="inlineStr">
        <is>
          <t>TIM R$</t>
        </is>
      </c>
      <c r="E42" s="1" t="inlineStr">
        <is>
          <t>Vivo plan</t>
        </is>
      </c>
      <c r="F42" s="1" t="inlineStr">
        <is>
          <t>Claro plan</t>
        </is>
      </c>
      <c r="G42" s="1" t="inlineStr">
        <is>
          <t>TIM plan</t>
        </is>
      </c>
    </row>
    <row r="43">
      <c r="A43" s="2" t="n">
        <v>1</v>
      </c>
      <c r="B43" s="3" t="n">
        <v>35</v>
      </c>
      <c r="C43" s="3" t="n">
        <v>44.9</v>
      </c>
      <c r="D43" s="3" t="n">
        <v>20</v>
      </c>
      <c r="E43" s="2" t="inlineStr">
        <is>
          <t>Vivo Lite (20GB)</t>
        </is>
      </c>
      <c r="F43" s="2" t="inlineStr">
        <is>
          <t>Flex 15GB (15GB)</t>
        </is>
      </c>
      <c r="G43" s="2" t="inlineStr">
        <is>
          <t>TIM Controle Fit Mensal 1.0 (20GB)</t>
        </is>
      </c>
    </row>
    <row r="44">
      <c r="A44" s="5" t="n">
        <v>2</v>
      </c>
      <c r="B44" s="6" t="n">
        <v>45</v>
      </c>
      <c r="C44" s="6" t="n">
        <v>59.9</v>
      </c>
      <c r="D44" s="6" t="n">
        <v>45</v>
      </c>
      <c r="E44" s="5" t="inlineStr">
        <is>
          <t>Vivo Lite (30GB) · promo R$30</t>
        </is>
      </c>
      <c r="F44" s="5" t="inlineStr">
        <is>
          <t>Flex 20GB (20GB)</t>
        </is>
      </c>
      <c r="G44" s="5" t="inlineStr">
        <is>
          <t>TIM Controle Fit Mensal 2.0 (35GB)</t>
        </is>
      </c>
    </row>
    <row r="45">
      <c r="A45" s="2" t="n">
        <v>3</v>
      </c>
      <c r="B45" s="3" t="n">
        <v>55</v>
      </c>
      <c r="C45" s="3" t="n">
        <v>69.90000000000001</v>
      </c>
      <c r="E45" s="2" t="inlineStr">
        <is>
          <t>Vivo Lite (40GB) · promo R$40</t>
        </is>
      </c>
      <c r="F45" s="2" t="inlineStr">
        <is>
          <t>Flex 30GB (30GB)</t>
        </is>
      </c>
    </row>
    <row r="46">
      <c r="A46" s="5" t="n">
        <v>4</v>
      </c>
      <c r="B46" s="15" t="n"/>
      <c r="C46" s="6" t="n">
        <v>119.9</v>
      </c>
      <c r="D46" s="15" t="n"/>
      <c r="E46" s="15" t="n"/>
      <c r="F46" s="5" t="inlineStr">
        <is>
          <t>Flex 40GB (40GB)</t>
        </is>
      </c>
      <c r="G46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7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2:D38">
    <cfRule type="expression" priority="5" dxfId="1" stopIfTrue="1">
      <formula>AND(B32&lt;&gt;"",B32=MIN($B32:$D32))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3:D46">
    <cfRule type="expression" priority="7" dxfId="1" stopIfTrue="1">
      <formula>AND(B43&lt;&gt;"",B43=MIN($B43:$D43))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 Amazon</t>
        </is>
      </c>
      <c r="B16" s="6" t="n">
        <v>70</v>
      </c>
      <c r="C16" s="6" t="n"/>
      <c r="D16" s="5" t="inlineStr">
        <is>
          <t>48 GB (18 GB de franquia 30 GB de bônus)</t>
        </is>
      </c>
      <c r="E16" s="5" t="n"/>
      <c r="F16" s="5" t="n"/>
      <c r="G16" s="5" t="n"/>
      <c r="H16" s="5" t="inlineStr">
        <is>
          <t>Assinatura Amazon Prime inclusa · preço-base do plano; a tela exibia R$ 75 com o adicional pré-selecionado (+R$ 5/mês, opcional); 58 GB na tela incluem +10 GB do adicional</t>
        </is>
      </c>
    </row>
    <row r="17">
      <c r="A17" s="2" t="inlineStr">
        <is>
          <t>Vivo Controle</t>
        </is>
      </c>
      <c r="B17" s="3" t="n">
        <v>75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6 meses grátis de Gemini com AI Plus · preço-base do plano; a tela exibia R$ 80 com o adicional pré-selecionado (+R$ 5/mês, opcional); 60 GB na tela incluem +10 GB do adicional</t>
        </is>
      </c>
    </row>
    <row r="18">
      <c r="A18" s="5" t="inlineStr">
        <is>
          <t>Vivo Controle Educação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Assinatura Vivae inclusa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Música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Apple Music Individual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Saúde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Vale Saúde Sempre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Youtube Lite</t>
        </is>
      </c>
      <c r="B21" s="3" t="n">
        <v>85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2">
      <c r="A22" s="5" t="inlineStr">
        <is>
          <t>Vivo Controle Netflix</t>
        </is>
      </c>
      <c r="B22" s="6" t="n">
        <v>90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3">
      <c r="A23" s="2" t="inlineStr">
        <is>
          <t>Vivo Controle Entretenimento</t>
        </is>
      </c>
      <c r="B23" s="3" t="n">
        <v>105</v>
      </c>
      <c r="C23" s="3" t="n"/>
      <c r="D23" s="2" t="inlineStr">
        <is>
          <t>50 GB (20 GB de franquia 30 GB de bônus)</t>
        </is>
      </c>
      <c r="E23" s="2" t="n"/>
      <c r="F23" s="2" t="n"/>
      <c r="G23" s="2" t="n"/>
      <c r="H23" s="2" t="inlineStr">
        <is>
          <t>Assinatura Vivo TV Inicial inclusa · preço-base do plano; a tela exibia R$ 110 com o adicional pré-selecionado (+R$ 5/mês, opcional); 60 GB na tela incluem +10 GB do adicional</t>
        </is>
      </c>
    </row>
    <row r="24">
      <c r="A24" s="16" t="inlineStr">
        <is>
          <t>Digital</t>
        </is>
      </c>
      <c r="B24" s="17" t="n"/>
      <c r="C24" s="17" t="n"/>
      <c r="D24" s="17" t="n"/>
      <c r="E24" s="17" t="n"/>
      <c r="F24" s="17" t="n"/>
      <c r="G24" s="17" t="n"/>
      <c r="H24" s="17" t="n"/>
    </row>
    <row r="25">
      <c r="A25" s="2" t="inlineStr">
        <is>
          <t>Vivo Lite</t>
        </is>
      </c>
      <c r="B25" s="3" t="n">
        <v>35</v>
      </c>
      <c r="C25" s="3" t="n"/>
      <c r="D25" s="2" t="inlineStr">
        <is>
          <t>20 GB (20 GB de franquia)</t>
        </is>
      </c>
      <c r="E25" s="2" t="n"/>
      <c r="F25" s="2" t="n"/>
      <c r="G25" s="2" t="n"/>
      <c r="H25" s="2" t="n"/>
    </row>
    <row r="26">
      <c r="A26" s="5" t="inlineStr">
        <is>
          <t>Vivo Lite</t>
        </is>
      </c>
      <c r="B26" s="6" t="n">
        <v>45</v>
      </c>
      <c r="C26" s="18" t="n">
        <v>30</v>
      </c>
      <c r="D26" s="5" t="inlineStr">
        <is>
          <t>30 GB (30 GB de franquia)</t>
        </is>
      </c>
      <c r="E26" s="5" t="n"/>
      <c r="F26" s="5" t="n"/>
      <c r="G26" s="5" t="n"/>
      <c r="H26" s="5" t="inlineStr">
        <is>
          <t>preço sem fidelidade; fidelidade 12m no promo</t>
        </is>
      </c>
    </row>
    <row r="27">
      <c r="A27" s="2" t="inlineStr">
        <is>
          <t>Vivo Lite</t>
        </is>
      </c>
      <c r="B27" s="3" t="n">
        <v>55</v>
      </c>
      <c r="C27" s="18" t="n">
        <v>40</v>
      </c>
      <c r="D27" s="2" t="inlineStr">
        <is>
          <t>40 GB (40 GB de franquia)</t>
        </is>
      </c>
      <c r="E27" s="2" t="n"/>
      <c r="F27" s="2" t="n"/>
      <c r="G27" s="2" t="n"/>
      <c r="H27" s="2" t="inlineStr">
        <is>
          <t>preço sem fidelidade; fidelidade 12m no promo</t>
        </is>
      </c>
    </row>
    <row r="28">
      <c r="A28" s="16" t="inlineStr">
        <is>
          <t>Prepaid</t>
        </is>
      </c>
      <c r="B28" s="17" t="n"/>
      <c r="C28" s="17" t="n"/>
      <c r="D28" s="17" t="n"/>
      <c r="E28" s="17" t="n"/>
      <c r="F28" s="17" t="n"/>
      <c r="G28" s="17" t="n"/>
      <c r="H28" s="17" t="n"/>
    </row>
    <row r="29">
      <c r="A29" s="2" t="inlineStr">
        <is>
          <t>Vivo Pré</t>
        </is>
      </c>
      <c r="B29" s="3" t="n">
        <v>17</v>
      </c>
      <c r="C29" s="3" t="n"/>
      <c r="D29" s="2" t="inlineStr">
        <is>
          <t>4 GB (4 GB para navegar como quiser) · 15d</t>
        </is>
      </c>
      <c r="E29" s="2" t="n"/>
      <c r="F29" s="2" t="n"/>
      <c r="G29" s="2" t="n"/>
      <c r="H29" s="2" t="n"/>
    </row>
    <row r="30">
      <c r="A30" s="5" t="inlineStr">
        <is>
          <t>Vivo Pré</t>
        </is>
      </c>
      <c r="B30" s="6" t="n">
        <v>20</v>
      </c>
      <c r="C30" s="6" t="n"/>
      <c r="D30" s="5" t="inlineStr">
        <is>
          <t>5 GB (5 GB para navegar como quiser) · 17d</t>
        </is>
      </c>
      <c r="E30" s="5" t="n"/>
      <c r="F30" s="5" t="n"/>
      <c r="G30" s="5" t="n"/>
      <c r="H30" s="5" t="n"/>
    </row>
    <row r="31">
      <c r="A31" s="2" t="inlineStr">
        <is>
          <t>Vivo Pré</t>
        </is>
      </c>
      <c r="B31" s="3" t="n">
        <v>25</v>
      </c>
      <c r="C31" s="3" t="n"/>
      <c r="D31" s="2" t="inlineStr">
        <is>
          <t>9 GB (6 GB para navegar como quiser 3 GB para navegar no YouTube) · 22d</t>
        </is>
      </c>
      <c r="E31" s="2" t="n"/>
      <c r="F31" s="2" t="n"/>
      <c r="G31" s="2" t="n"/>
      <c r="H31" s="2" t="n"/>
    </row>
    <row r="32">
      <c r="A32" s="5" t="inlineStr">
        <is>
          <t>Vivo Pré</t>
        </is>
      </c>
      <c r="B32" s="6" t="n">
        <v>30</v>
      </c>
      <c r="C32" s="6" t="n"/>
      <c r="D32" s="5" t="inlineStr">
        <is>
          <t>25 GB (15 GB para navegar como quiser 5 GB de bônus 5 GB para navegar no Youtube) · 30d</t>
        </is>
      </c>
      <c r="E32" s="5" t="n"/>
      <c r="F32" s="5" t="n"/>
      <c r="G32" s="5" t="n"/>
      <c r="H32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5:B2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9:B3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WhatsApp ilimitado; Assinatura Claro musica inclusa; Roaming: Passaporte Américas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Premium 110GB</t>
        </is>
      </c>
      <c r="B7" s="3" t="n">
        <v>159.99</v>
      </c>
      <c r="C7" s="3" t="n"/>
      <c r="D7" s="2" t="inlineStr">
        <is>
          <t>110 GB</t>
        </is>
      </c>
      <c r="E7" s="2" t="n"/>
      <c r="F7" s="2" t="n"/>
      <c r="G7" s="2" t="n"/>
      <c r="H7" s="2" t="n"/>
    </row>
    <row r="8">
      <c r="A8" s="5" t="inlineStr">
        <is>
          <t>TIM Black C Express 107GB</t>
        </is>
      </c>
      <c r="B8" s="6" t="n">
        <v>164.99</v>
      </c>
      <c r="C8" s="6" t="n"/>
      <c r="D8" s="5" t="inlineStr">
        <is>
          <t>107 GB</t>
        </is>
      </c>
      <c r="E8" s="5" t="n"/>
      <c r="F8" s="5" t="n"/>
      <c r="G8" s="5" t="n"/>
      <c r="H8" s="5" t="n"/>
    </row>
    <row r="9">
      <c r="A9" s="16" t="inlineStr">
        <is>
          <t>Control</t>
        </is>
      </c>
      <c r="B9" s="17" t="n"/>
      <c r="C9" s="17" t="n"/>
      <c r="D9" s="17" t="n"/>
      <c r="E9" s="17" t="n"/>
      <c r="F9" s="17" t="n"/>
      <c r="G9" s="17" t="n"/>
      <c r="H9" s="17" t="n"/>
    </row>
    <row r="10">
      <c r="A10" s="2" t="inlineStr">
        <is>
          <t>TIM Controle 45GB</t>
        </is>
      </c>
      <c r="B10" s="3" t="n">
        <v>49.99</v>
      </c>
      <c r="C10" s="3" t="n"/>
      <c r="D10" s="2" t="inlineStr">
        <is>
          <t>45 GB</t>
        </is>
      </c>
      <c r="E10" s="2" t="n"/>
      <c r="F10" s="2" t="n"/>
      <c r="G10" s="2" t="n"/>
      <c r="H10" s="2" t="n"/>
    </row>
    <row r="11">
      <c r="A11" s="5" t="inlineStr">
        <is>
          <t>TIM Controle Redes Sociais 46GB</t>
        </is>
      </c>
      <c r="B11" s="6" t="n">
        <v>59.99</v>
      </c>
      <c r="C11" s="6" t="n"/>
      <c r="D11" s="5" t="inlineStr">
        <is>
          <t>46 GB</t>
        </is>
      </c>
      <c r="E11" s="5" t="n"/>
      <c r="F11" s="5" t="n"/>
      <c r="G11" s="5" t="n"/>
      <c r="H11" s="5" t="n"/>
    </row>
    <row r="12">
      <c r="A12" s="2" t="inlineStr">
        <is>
          <t>TIM Controle Light Express 45GB</t>
        </is>
      </c>
      <c r="B12" s="3" t="n">
        <v>60.99</v>
      </c>
      <c r="C12" s="3" t="n"/>
      <c r="D12" s="2" t="inlineStr">
        <is>
          <t>45 GB</t>
        </is>
      </c>
      <c r="E12" s="2" t="n"/>
      <c r="F12" s="2" t="n"/>
      <c r="G12" s="2" t="n"/>
      <c r="H12" s="2" t="n"/>
    </row>
    <row r="13">
      <c r="A13" s="5" t="inlineStr">
        <is>
          <t>TIM Controle Pro Express 46GB</t>
        </is>
      </c>
      <c r="B13" s="6" t="n">
        <v>64.98999999999999</v>
      </c>
      <c r="C13" s="6" t="n"/>
      <c r="D13" s="5" t="inlineStr">
        <is>
          <t>46 GB</t>
        </is>
      </c>
      <c r="E13" s="5" t="n"/>
      <c r="F13" s="5" t="n"/>
      <c r="G13" s="5" t="n"/>
      <c r="H13" s="5" t="n"/>
    </row>
    <row r="14">
      <c r="A14" s="2" t="inlineStr">
        <is>
          <t>TIM Controle Premium 55GB</t>
        </is>
      </c>
      <c r="B14" s="3" t="n">
        <v>69.98999999999999</v>
      </c>
      <c r="C14" s="3" t="n"/>
      <c r="D14" s="2" t="inlineStr">
        <is>
          <t>55 GB</t>
        </is>
      </c>
      <c r="E14" s="2" t="n"/>
      <c r="F14" s="2" t="n"/>
      <c r="G14" s="2" t="n"/>
      <c r="H14" s="2" t="n"/>
    </row>
    <row r="15">
      <c r="A15" s="16" t="inlineStr">
        <is>
          <t>Digital</t>
        </is>
      </c>
      <c r="B15" s="17" t="n"/>
      <c r="C15" s="17" t="n"/>
      <c r="D15" s="17" t="n"/>
      <c r="E15" s="17" t="n"/>
      <c r="F15" s="17" t="n"/>
      <c r="G15" s="17" t="n"/>
      <c r="H15" s="17" t="n"/>
    </row>
    <row r="16">
      <c r="A16" s="2" t="inlineStr">
        <is>
          <t>TIM Controle Fit Anual 1.0</t>
        </is>
      </c>
      <c r="B16" s="3" t="n">
        <v>20</v>
      </c>
      <c r="C16" s="3" t="n"/>
      <c r="D16" s="2" t="inlineStr">
        <is>
          <t>25 GB</t>
        </is>
      </c>
      <c r="E16" s="2" t="n"/>
      <c r="F16" s="2" t="n"/>
      <c r="G16" s="2" t="n"/>
      <c r="H16" s="2" t="inlineStr">
        <is>
          <t>plano anual 12x no cartão de crédito; a etiqueta TIM informa 'sem prazo de permanência'</t>
        </is>
      </c>
    </row>
    <row r="17">
      <c r="A17" s="5" t="inlineStr">
        <is>
          <t>TIM Controle Fit Mensal 1.0</t>
        </is>
      </c>
      <c r="B17" s="6" t="n">
        <v>20</v>
      </c>
      <c r="C17" s="6" t="n"/>
      <c r="D17" s="5" t="inlineStr">
        <is>
          <t>20 GB</t>
        </is>
      </c>
      <c r="E17" s="5" t="n"/>
      <c r="F17" s="5" t="n"/>
      <c r="G17" s="5" t="n"/>
      <c r="H17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8">
      <c r="A18" s="2" t="inlineStr">
        <is>
          <t>TIM Controle Fit Anual 2.0</t>
        </is>
      </c>
      <c r="B18" s="3" t="n">
        <v>30</v>
      </c>
      <c r="C18" s="3" t="n"/>
      <c r="D18" s="2" t="inlineStr">
        <is>
          <t>35 GB</t>
        </is>
      </c>
      <c r="E18" s="2" t="n"/>
      <c r="F18" s="2" t="n"/>
      <c r="G18" s="2" t="n"/>
      <c r="H18" s="2" t="inlineStr">
        <is>
          <t>plano anual 12x no cartão de crédito; a etiqueta TIM informa 'sem prazo de permanência'</t>
        </is>
      </c>
    </row>
    <row r="19">
      <c r="A19" s="5" t="inlineStr">
        <is>
          <t>TIM Controle Fit Mensal 2.0</t>
        </is>
      </c>
      <c r="B19" s="6" t="n">
        <v>45</v>
      </c>
      <c r="C19" s="6" t="n"/>
      <c r="D19" s="5" t="inlineStr">
        <is>
          <t>35 GB</t>
        </is>
      </c>
      <c r="E19" s="5" t="n"/>
      <c r="F19" s="5" t="n"/>
      <c r="G19" s="5" t="n"/>
      <c r="H19" s="5" t="inlineStr">
        <is>
          <t>plano mensal, sem prazo de permanência; a etiqueta TIM informa 'sem prazo de permanência'</t>
        </is>
      </c>
    </row>
    <row r="20">
      <c r="A20" s="16" t="inlineStr">
        <is>
          <t>Prepaid</t>
        </is>
      </c>
      <c r="B20" s="17" t="n"/>
      <c r="C20" s="17" t="n"/>
      <c r="D20" s="17" t="n"/>
      <c r="E20" s="17" t="n"/>
      <c r="F20" s="17" t="n"/>
      <c r="G20" s="17" t="n"/>
      <c r="H20" s="17" t="n"/>
    </row>
    <row r="21">
      <c r="A21" s="2" t="inlineStr">
        <is>
          <t>TIM Pré XIP Plus 6GB</t>
        </is>
      </c>
      <c r="B21" s="3" t="n">
        <v>20</v>
      </c>
      <c r="C21" s="3" t="n"/>
      <c r="D21" s="2" t="inlineStr">
        <is>
          <t>6 GB · 17d</t>
        </is>
      </c>
      <c r="E21" s="2" t="n"/>
      <c r="F21" s="2" t="n"/>
      <c r="G21" s="2" t="n"/>
      <c r="H21" s="2" t="n"/>
    </row>
    <row r="22">
      <c r="A22" s="5" t="inlineStr">
        <is>
          <t>TIM Pré XIP Plus 8GB</t>
        </is>
      </c>
      <c r="B22" s="6" t="n">
        <v>25</v>
      </c>
      <c r="C22" s="6" t="n"/>
      <c r="D22" s="5" t="inlineStr">
        <is>
          <t>8 GB · 22d</t>
        </is>
      </c>
      <c r="E22" s="5" t="n"/>
      <c r="F22" s="5" t="n"/>
      <c r="G22" s="5" t="n"/>
      <c r="H22" s="5" t="n"/>
    </row>
    <row r="23">
      <c r="A23" s="2" t="inlineStr">
        <is>
          <t>TIM Pré XIP Plus 16GB</t>
        </is>
      </c>
      <c r="B23" s="3" t="n">
        <v>30</v>
      </c>
      <c r="C23" s="3" t="n"/>
      <c r="D23" s="2" t="inlineStr">
        <is>
          <t>16 GB · 30d</t>
        </is>
      </c>
      <c r="E23" s="2" t="n"/>
      <c r="F23" s="2" t="n"/>
      <c r="G23" s="2" t="n"/>
      <c r="H23" s="2" t="n"/>
    </row>
  </sheetData>
  <conditionalFormatting sqref="B3:B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0:B1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6:B1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1:B2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81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2026-08-31T21:21:16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2026-08-31T21:21:16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2026-08-31T21:21:16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2026-08-31T21:21:16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2026-08-31T21:21:16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2026-08-31T21:21:16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2026-08-31T21:21:16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2026-08-31T21:21:16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2026-08-31T21:21:16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2026-08-31T21:21:16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2026-08-31T21:21:16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2026-08-31T21:21:16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2026-08-31T21:21:16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2026-08-31T21:21:16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2026-08-31T21:21:16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2026-08-31T21:21:16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2026-08-31T21:21:16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2026-08-31T21:21:16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2026-08-31T21:21:16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2026-08-31T21:21:16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2026-08-31T21:21:16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2026-08-31T21:21:16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2026-08-31T21:21:16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2026-08-31T21:21:16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2026-08-31T21:21:16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2026-08-31T21:21:16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2026-08-31T21:21:16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2026-08-31T21:21:16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  <row r="699">
      <c r="A699" s="5" t="inlineStr">
        <is>
          <t>2026-09-01</t>
        </is>
      </c>
      <c r="B699" s="5" t="inlineStr">
        <is>
          <t>2026-09-01T19:58:06</t>
        </is>
      </c>
      <c r="C699" s="5" t="inlineStr">
        <is>
          <t>claro</t>
        </is>
      </c>
      <c r="D699" s="5" t="inlineStr">
        <is>
          <t>SP</t>
        </is>
      </c>
      <c r="E699" s="5" t="inlineStr">
        <is>
          <t>1 Giga com Globoplay incluso + Claro tv+ Box + Disney+ Amazon Prime + Netflix + HBO Max + Apple TV + Globoplay</t>
        </is>
      </c>
      <c r="F699" s="5" t="inlineStr">
        <is>
          <t>claro:af8152be-4aa7-4aa8-819a-a79687a3a9a0</t>
        </is>
      </c>
      <c r="G699" s="6" t="n">
        <v>319.8</v>
      </c>
      <c r="H699" s="6" t="inlineStr"/>
      <c r="I699" s="5" t="inlineStr"/>
      <c r="J699" s="5" t="inlineStr"/>
      <c r="K699" s="5" t="inlineStr">
        <is>
          <t>tab: Fibra + TV</t>
        </is>
      </c>
      <c r="L699" s="5" t="inlineStr">
        <is>
          <t>broadband+tv</t>
        </is>
      </c>
      <c r="M699" s="5" t="inlineStr">
        <is>
          <t>Fiber + TV</t>
        </is>
      </c>
      <c r="N699" s="5" t="b">
        <v>0</v>
      </c>
      <c r="O699" s="5" t="b">
        <v>1</v>
      </c>
      <c r="P699" s="5" t="b">
        <v>1</v>
      </c>
      <c r="Q699" s="5" t="b">
        <v>0</v>
      </c>
      <c r="R699" s="7" t="n">
        <v>1000</v>
      </c>
      <c r="S699" s="7" t="inlineStr"/>
      <c r="T699" s="7" t="inlineStr"/>
      <c r="U699" s="5" t="inlineStr">
        <is>
          <t>Claro tv+ Box + Disney+ Amazon Prime + Netflix + HBO Max + Apple TV + Globoplay</t>
        </is>
      </c>
      <c r="V699" s="5" t="inlineStr"/>
      <c r="W699" s="5" t="inlineStr"/>
      <c r="X699" s="5" t="inlineStr"/>
      <c r="Y699" s="5" t="inlineStr">
        <is>
          <t>https://www.claro.com.br/multi</t>
        </is>
      </c>
      <c r="Z699" s="5" t="inlineStr">
        <is>
          <t>data/raw/claro_convergent_multi_SP.html</t>
        </is>
      </c>
    </row>
    <row r="700">
      <c r="A700" s="2" t="inlineStr">
        <is>
          <t>2026-09-01</t>
        </is>
      </c>
      <c r="B700" s="2" t="inlineStr">
        <is>
          <t>2026-09-01T19:58:06</t>
        </is>
      </c>
      <c r="C700" s="2" t="inlineStr">
        <is>
          <t>claro</t>
        </is>
      </c>
      <c r="D700" s="2" t="inlineStr">
        <is>
          <t>SP</t>
        </is>
      </c>
      <c r="E700" s="2" t="inlineStr">
        <is>
          <t>1 Giga com Globoplay incluso + Claro tv+ Soundbox + Disney+ Amazon Prime + Netflix + HBO Max + Apple TV + Globoplay</t>
        </is>
      </c>
      <c r="F700" s="2" t="inlineStr">
        <is>
          <t>claro:ceb9fd87-0897-4dd2-a2f2-e7f09e714e49</t>
        </is>
      </c>
      <c r="G700" s="3" t="n">
        <v>429.8</v>
      </c>
      <c r="H700" s="3" t="inlineStr"/>
      <c r="I700" s="2" t="inlineStr"/>
      <c r="J700" s="2" t="inlineStr"/>
      <c r="K700" s="2" t="inlineStr">
        <is>
          <t>tab: Fibra + TV</t>
        </is>
      </c>
      <c r="L700" s="2" t="inlineStr">
        <is>
          <t>broadband+tv</t>
        </is>
      </c>
      <c r="M700" s="2" t="inlineStr">
        <is>
          <t>Fiber + TV</t>
        </is>
      </c>
      <c r="N700" s="2" t="b">
        <v>0</v>
      </c>
      <c r="O700" s="2" t="b">
        <v>1</v>
      </c>
      <c r="P700" s="2" t="b">
        <v>1</v>
      </c>
      <c r="Q700" s="2" t="b">
        <v>0</v>
      </c>
      <c r="R700" s="4" t="n">
        <v>1000</v>
      </c>
      <c r="S700" s="4" t="inlineStr"/>
      <c r="T700" s="4" t="inlineStr"/>
      <c r="U700" s="2" t="inlineStr">
        <is>
          <t>Claro tv+ Soundbox + Disney+ Amazon Prime + Netflix + HBO Max + Apple TV + Globoplay</t>
        </is>
      </c>
      <c r="V700" s="2" t="inlineStr"/>
      <c r="W700" s="2" t="inlineStr"/>
      <c r="X700" s="2" t="inlineStr"/>
      <c r="Y700" s="2" t="inlineStr">
        <is>
          <t>https://www.claro.com.br/multi</t>
        </is>
      </c>
      <c r="Z700" s="2" t="inlineStr">
        <is>
          <t>data/raw/claro_convergent_multi_SP.html</t>
        </is>
      </c>
    </row>
    <row r="701">
      <c r="A701" s="5" t="inlineStr">
        <is>
          <t>2026-09-01</t>
        </is>
      </c>
      <c r="B701" s="5" t="inlineStr">
        <is>
          <t>2026-09-01T19:58:06</t>
        </is>
      </c>
      <c r="C701" s="5" t="inlineStr">
        <is>
          <t>claro</t>
        </is>
      </c>
      <c r="D701" s="5" t="inlineStr">
        <is>
          <t>SP</t>
        </is>
      </c>
      <c r="E701" s="5" t="inlineStr">
        <is>
          <t>1 Giga com Globoplay incluso + Pós 100GB</t>
        </is>
      </c>
      <c r="F701" s="5" t="inlineStr">
        <is>
          <t>claro:a1de0ac1-61bb-4e97-a744-1ae4c3541673</t>
        </is>
      </c>
      <c r="G701" s="6" t="n">
        <v>179.9</v>
      </c>
      <c r="H701" s="6" t="inlineStr"/>
      <c r="I701" s="5" t="inlineStr"/>
      <c r="J701" s="5" t="inlineStr"/>
      <c r="K701" s="5" t="inlineStr">
        <is>
          <t>tab: Fibra + Móvel</t>
        </is>
      </c>
      <c r="L701" s="5" t="inlineStr">
        <is>
          <t>mobile+broadband</t>
        </is>
      </c>
      <c r="M701" s="5" t="inlineStr">
        <is>
          <t>Fiber + Mobile</t>
        </is>
      </c>
      <c r="N701" s="5" t="b">
        <v>1</v>
      </c>
      <c r="O701" s="5" t="b">
        <v>1</v>
      </c>
      <c r="P701" s="5" t="b">
        <v>0</v>
      </c>
      <c r="Q701" s="5" t="b">
        <v>0</v>
      </c>
      <c r="R701" s="7" t="n">
        <v>1000</v>
      </c>
      <c r="S701" s="7" t="n">
        <v>100</v>
      </c>
      <c r="T701" s="7" t="n">
        <v>1</v>
      </c>
      <c r="U701" s="5" t="inlineStr"/>
      <c r="V701" s="5" t="inlineStr"/>
      <c r="W701" s="5" t="inlineStr"/>
      <c r="X701" s="5" t="inlineStr">
        <is>
          <t>Pós 100GB</t>
        </is>
      </c>
      <c r="Y701" s="5" t="inlineStr">
        <is>
          <t>https://www.claro.com.br/multi</t>
        </is>
      </c>
      <c r="Z701" s="5" t="inlineStr">
        <is>
          <t>data/raw/claro_convergent_multi_SP.html</t>
        </is>
      </c>
    </row>
    <row r="702">
      <c r="A702" s="2" t="inlineStr">
        <is>
          <t>2026-09-01</t>
        </is>
      </c>
      <c r="B702" s="2" t="inlineStr">
        <is>
          <t>2026-09-01T19:58:06</t>
        </is>
      </c>
      <c r="C702" s="2" t="inlineStr">
        <is>
          <t>claro</t>
        </is>
      </c>
      <c r="D702" s="2" t="inlineStr">
        <is>
          <t>SP</t>
        </is>
      </c>
      <c r="E702" s="2" t="inlineStr">
        <is>
          <t>1 Giga com Globoplay incluso + Pós 100GB + Claro tv+ Box + Disney+ Amazon Prime + Netflix + HBO Max + Apple TV + Globoplay</t>
        </is>
      </c>
      <c r="F702" s="2" t="inlineStr">
        <is>
          <t>claro:548c4bad-7857-4c0c-94d5-45d33d66c57f</t>
        </is>
      </c>
      <c r="G702" s="3" t="n">
        <v>289.8</v>
      </c>
      <c r="H702" s="3" t="inlineStr"/>
      <c r="I702" s="2" t="inlineStr"/>
      <c r="J702" s="2" t="inlineStr"/>
      <c r="K702" s="2" t="inlineStr">
        <is>
          <t>tab: Fibra + Móvel + TV</t>
        </is>
      </c>
      <c r="L702" s="2" t="inlineStr">
        <is>
          <t>mobile+broadband+tv</t>
        </is>
      </c>
      <c r="M702" s="2" t="inlineStr">
        <is>
          <t>Fiber + Mobile + TV</t>
        </is>
      </c>
      <c r="N702" s="2" t="b">
        <v>1</v>
      </c>
      <c r="O702" s="2" t="b">
        <v>1</v>
      </c>
      <c r="P702" s="2" t="b">
        <v>1</v>
      </c>
      <c r="Q702" s="2" t="b">
        <v>0</v>
      </c>
      <c r="R702" s="4" t="n">
        <v>1000</v>
      </c>
      <c r="S702" s="4" t="n">
        <v>100</v>
      </c>
      <c r="T702" s="4" t="n">
        <v>1</v>
      </c>
      <c r="U702" s="2" t="inlineStr">
        <is>
          <t>Claro tv+ Box + Disney+ Amazon Prime + Netflix + HBO Max + Apple TV + Globoplay</t>
        </is>
      </c>
      <c r="V702" s="2" t="inlineStr"/>
      <c r="W702" s="2" t="inlineStr"/>
      <c r="X702" s="2" t="inlineStr">
        <is>
          <t>Pós 100GB</t>
        </is>
      </c>
      <c r="Y702" s="2" t="inlineStr">
        <is>
          <t>https://www.claro.com.br/multi</t>
        </is>
      </c>
      <c r="Z702" s="2" t="inlineStr">
        <is>
          <t>data/raw/claro_convergent_multi_SP.html</t>
        </is>
      </c>
    </row>
    <row r="703">
      <c r="A703" s="5" t="inlineStr">
        <is>
          <t>2026-09-01</t>
        </is>
      </c>
      <c r="B703" s="5" t="inlineStr">
        <is>
          <t>2026-09-01T19:58:06</t>
        </is>
      </c>
      <c r="C703" s="5" t="inlineStr">
        <is>
          <t>claro</t>
        </is>
      </c>
      <c r="D703" s="5" t="inlineStr">
        <is>
          <t>SP</t>
        </is>
      </c>
      <c r="E703" s="5" t="inlineStr">
        <is>
          <t>1 Giga com Globoplay incluso + Pós 150GB</t>
        </is>
      </c>
      <c r="F703" s="5" t="inlineStr">
        <is>
          <t>claro:d47e2a3b-dfd0-410e-9c24-d07a334d01d4</t>
        </is>
      </c>
      <c r="G703" s="6" t="n">
        <v>299.9</v>
      </c>
      <c r="H703" s="6" t="inlineStr"/>
      <c r="I703" s="5" t="inlineStr"/>
      <c r="J703" s="5" t="inlineStr"/>
      <c r="K703" s="5" t="inlineStr">
        <is>
          <t>tab: Fibra + Móvel</t>
        </is>
      </c>
      <c r="L703" s="5" t="inlineStr">
        <is>
          <t>mobile+broadband</t>
        </is>
      </c>
      <c r="M703" s="5" t="inlineStr">
        <is>
          <t>Fiber + Mobile</t>
        </is>
      </c>
      <c r="N703" s="5" t="b">
        <v>1</v>
      </c>
      <c r="O703" s="5" t="b">
        <v>1</v>
      </c>
      <c r="P703" s="5" t="b">
        <v>0</v>
      </c>
      <c r="Q703" s="5" t="b">
        <v>0</v>
      </c>
      <c r="R703" s="7" t="n">
        <v>1000</v>
      </c>
      <c r="S703" s="7" t="n">
        <v>150</v>
      </c>
      <c r="T703" s="7" t="n">
        <v>2</v>
      </c>
      <c r="U703" s="5" t="inlineStr"/>
      <c r="V703" s="5" t="inlineStr"/>
      <c r="W703" s="5" t="inlineStr"/>
      <c r="X703" s="5" t="inlineStr">
        <is>
          <t>Pós 150GB</t>
        </is>
      </c>
      <c r="Y703" s="5" t="inlineStr">
        <is>
          <t>https://www.claro.com.br/multi</t>
        </is>
      </c>
      <c r="Z703" s="5" t="inlineStr">
        <is>
          <t>data/raw/claro_convergent_multi_SP.html</t>
        </is>
      </c>
    </row>
    <row r="704">
      <c r="A704" s="2" t="inlineStr">
        <is>
          <t>2026-09-01</t>
        </is>
      </c>
      <c r="B704" s="2" t="inlineStr">
        <is>
          <t>2026-09-01T19:58:06</t>
        </is>
      </c>
      <c r="C704" s="2" t="inlineStr">
        <is>
          <t>claro</t>
        </is>
      </c>
      <c r="D704" s="2" t="inlineStr">
        <is>
          <t>SP</t>
        </is>
      </c>
      <c r="E704" s="2" t="inlineStr">
        <is>
          <t>1 Giga com Globoplay incluso + Pós 150GB + Claro tv+ Box + Disney+ Amazon Prime + Netflix + HBO Max + Apple TV + Globoplay</t>
        </is>
      </c>
      <c r="F704" s="2" t="inlineStr">
        <is>
          <t>claro:7785b449-69f2-4234-9e24-8837e32a55c0</t>
        </is>
      </c>
      <c r="G704" s="3" t="n">
        <v>409.8</v>
      </c>
      <c r="H704" s="3" t="inlineStr"/>
      <c r="I704" s="2" t="inlineStr"/>
      <c r="J704" s="2" t="inlineStr"/>
      <c r="K704" s="2" t="inlineStr">
        <is>
          <t>tab: Fibra + Móvel + TV</t>
        </is>
      </c>
      <c r="L704" s="2" t="inlineStr">
        <is>
          <t>mobile+broadband+tv</t>
        </is>
      </c>
      <c r="M704" s="2" t="inlineStr">
        <is>
          <t>Fiber + Mobile + TV</t>
        </is>
      </c>
      <c r="N704" s="2" t="b">
        <v>1</v>
      </c>
      <c r="O704" s="2" t="b">
        <v>1</v>
      </c>
      <c r="P704" s="2" t="b">
        <v>1</v>
      </c>
      <c r="Q704" s="2" t="b">
        <v>0</v>
      </c>
      <c r="R704" s="4" t="n">
        <v>1000</v>
      </c>
      <c r="S704" s="4" t="n">
        <v>150</v>
      </c>
      <c r="T704" s="4" t="n">
        <v>1</v>
      </c>
      <c r="U704" s="2" t="inlineStr">
        <is>
          <t>Claro tv+ Box + Disney+ Amazon Prime + Netflix + HBO Max + Apple TV + Globoplay</t>
        </is>
      </c>
      <c r="V704" s="2" t="inlineStr"/>
      <c r="W704" s="2" t="inlineStr"/>
      <c r="X704" s="2" t="inlineStr">
        <is>
          <t>Pós 150GB</t>
        </is>
      </c>
      <c r="Y704" s="2" t="inlineStr">
        <is>
          <t>https://www.claro.com.br/multi</t>
        </is>
      </c>
      <c r="Z704" s="2" t="inlineStr">
        <is>
          <t>data/raw/claro_convergent_multi_SP.html</t>
        </is>
      </c>
    </row>
    <row r="705">
      <c r="A705" s="5" t="inlineStr">
        <is>
          <t>2026-09-01</t>
        </is>
      </c>
      <c r="B705" s="5" t="inlineStr">
        <is>
          <t>2026-09-01T19:58:06</t>
        </is>
      </c>
      <c r="C705" s="5" t="inlineStr">
        <is>
          <t>claro</t>
        </is>
      </c>
      <c r="D705" s="5" t="inlineStr">
        <is>
          <t>SP</t>
        </is>
      </c>
      <c r="E705" s="5" t="inlineStr">
        <is>
          <t>1 Giga com Globoplay incluso + Pós 200GB</t>
        </is>
      </c>
      <c r="F705" s="5" t="inlineStr">
        <is>
          <t>claro:1961a62d-3213-4ff0-a152-401a45c5b1b5</t>
        </is>
      </c>
      <c r="G705" s="6" t="n">
        <v>359.9</v>
      </c>
      <c r="H705" s="6" t="inlineStr"/>
      <c r="I705" s="5" t="inlineStr"/>
      <c r="J705" s="5" t="inlineStr"/>
      <c r="K705" s="5" t="inlineStr">
        <is>
          <t>tab: Fibra + Móvel</t>
        </is>
      </c>
      <c r="L705" s="5" t="inlineStr">
        <is>
          <t>mobile+broadband</t>
        </is>
      </c>
      <c r="M705" s="5" t="inlineStr">
        <is>
          <t>Fiber + Mobile</t>
        </is>
      </c>
      <c r="N705" s="5" t="b">
        <v>1</v>
      </c>
      <c r="O705" s="5" t="b">
        <v>1</v>
      </c>
      <c r="P705" s="5" t="b">
        <v>0</v>
      </c>
      <c r="Q705" s="5" t="b">
        <v>0</v>
      </c>
      <c r="R705" s="7" t="n">
        <v>1000</v>
      </c>
      <c r="S705" s="7" t="n">
        <v>200</v>
      </c>
      <c r="T705" s="7" t="n">
        <v>3</v>
      </c>
      <c r="U705" s="5" t="inlineStr"/>
      <c r="V705" s="5" t="inlineStr"/>
      <c r="W705" s="5" t="inlineStr"/>
      <c r="X705" s="5" t="inlineStr">
        <is>
          <t>Pós 200GB</t>
        </is>
      </c>
      <c r="Y705" s="5" t="inlineStr">
        <is>
          <t>https://www.claro.com.br/multi</t>
        </is>
      </c>
      <c r="Z705" s="5" t="inlineStr">
        <is>
          <t>data/raw/claro_convergent_multi_SP.html</t>
        </is>
      </c>
    </row>
    <row r="706">
      <c r="A706" s="2" t="inlineStr">
        <is>
          <t>2026-09-01</t>
        </is>
      </c>
      <c r="B706" s="2" t="inlineStr">
        <is>
          <t>2026-09-01T19:58:06</t>
        </is>
      </c>
      <c r="C706" s="2" t="inlineStr">
        <is>
          <t>claro</t>
        </is>
      </c>
      <c r="D706" s="2" t="inlineStr">
        <is>
          <t>SP</t>
        </is>
      </c>
      <c r="E706" s="2" t="inlineStr">
        <is>
          <t>1 Giga com Globoplay incluso + Pós 200GB + Claro tv+ Box + Disney+ Amazon Prime + Netflix + HBO Max + Apple TV + Globoplay</t>
        </is>
      </c>
      <c r="F706" s="2" t="inlineStr">
        <is>
          <t>claro:312815a2-b3a5-43bb-89a1-272d53ccb212</t>
        </is>
      </c>
      <c r="G706" s="3" t="n">
        <v>469.8</v>
      </c>
      <c r="H706" s="3" t="inlineStr"/>
      <c r="I706" s="2" t="inlineStr"/>
      <c r="J706" s="2" t="inlineStr"/>
      <c r="K706" s="2" t="inlineStr">
        <is>
          <t>tab: Fibra + Móvel + TV</t>
        </is>
      </c>
      <c r="L706" s="2" t="inlineStr">
        <is>
          <t>mobile+broadband+tv</t>
        </is>
      </c>
      <c r="M706" s="2" t="inlineStr">
        <is>
          <t>Fiber + Mobile + TV</t>
        </is>
      </c>
      <c r="N706" s="2" t="b">
        <v>1</v>
      </c>
      <c r="O706" s="2" t="b">
        <v>1</v>
      </c>
      <c r="P706" s="2" t="b">
        <v>1</v>
      </c>
      <c r="Q706" s="2" t="b">
        <v>0</v>
      </c>
      <c r="R706" s="4" t="n">
        <v>1000</v>
      </c>
      <c r="S706" s="4" t="n">
        <v>200</v>
      </c>
      <c r="T706" s="4" t="n">
        <v>1</v>
      </c>
      <c r="U706" s="2" t="inlineStr">
        <is>
          <t>Claro tv+ Box + Disney+ Amazon Prime + Netflix + HBO Max + Apple TV + Globoplay</t>
        </is>
      </c>
      <c r="V706" s="2" t="inlineStr"/>
      <c r="W706" s="2" t="inlineStr"/>
      <c r="X706" s="2" t="inlineStr">
        <is>
          <t>Pós 200GB</t>
        </is>
      </c>
      <c r="Y706" s="2" t="inlineStr">
        <is>
          <t>https://www.claro.com.br/multi</t>
        </is>
      </c>
      <c r="Z706" s="2" t="inlineStr">
        <is>
          <t>data/raw/claro_convergent_multi_SP.html</t>
        </is>
      </c>
    </row>
    <row r="707">
      <c r="A707" s="5" t="inlineStr">
        <is>
          <t>2026-09-01</t>
        </is>
      </c>
      <c r="B707" s="5" t="inlineStr">
        <is>
          <t>2026-09-01T19:58:06</t>
        </is>
      </c>
      <c r="C707" s="5" t="inlineStr">
        <is>
          <t>claro</t>
        </is>
      </c>
      <c r="D707" s="5" t="inlineStr">
        <is>
          <t>SP</t>
        </is>
      </c>
      <c r="E707" s="5" t="inlineStr">
        <is>
          <t>350 Mega com Globoplay incluso + Claro tv+ Box + Disney+ Amazon Prime + Netflix + HBO Max + Apple TV + Globoplay</t>
        </is>
      </c>
      <c r="F707" s="5" t="inlineStr">
        <is>
          <t>claro:97b00450-6f21-4349-8363-83d624b18328</t>
        </is>
      </c>
      <c r="G707" s="6" t="n">
        <v>229.8</v>
      </c>
      <c r="H707" s="6" t="inlineStr"/>
      <c r="I707" s="5" t="inlineStr"/>
      <c r="J707" s="5" t="inlineStr"/>
      <c r="K707" s="5" t="inlineStr">
        <is>
          <t>tab: Fibra + TV</t>
        </is>
      </c>
      <c r="L707" s="5" t="inlineStr">
        <is>
          <t>broadband+tv</t>
        </is>
      </c>
      <c r="M707" s="5" t="inlineStr">
        <is>
          <t>Fiber + TV</t>
        </is>
      </c>
      <c r="N707" s="5" t="b">
        <v>0</v>
      </c>
      <c r="O707" s="5" t="b">
        <v>1</v>
      </c>
      <c r="P707" s="5" t="b">
        <v>1</v>
      </c>
      <c r="Q707" s="5" t="b">
        <v>0</v>
      </c>
      <c r="R707" s="7" t="n">
        <v>350</v>
      </c>
      <c r="S707" s="7" t="inlineStr"/>
      <c r="T707" s="7" t="inlineStr"/>
      <c r="U707" s="5" t="inlineStr">
        <is>
          <t>Claro tv+ Box + Disney+ Amazon Prime + Netflix + HBO Max + Apple TV + Globoplay</t>
        </is>
      </c>
      <c r="V707" s="5" t="inlineStr"/>
      <c r="W707" s="5" t="inlineStr"/>
      <c r="X707" s="5" t="inlineStr"/>
      <c r="Y707" s="5" t="inlineStr">
        <is>
          <t>https://www.claro.com.br/multi</t>
        </is>
      </c>
      <c r="Z707" s="5" t="inlineStr">
        <is>
          <t>data/raw/claro_convergent_multi_SP.html</t>
        </is>
      </c>
    </row>
    <row r="708">
      <c r="A708" s="2" t="inlineStr">
        <is>
          <t>2026-09-01</t>
        </is>
      </c>
      <c r="B708" s="2" t="inlineStr">
        <is>
          <t>2026-09-01T19:58:06</t>
        </is>
      </c>
      <c r="C708" s="2" t="inlineStr">
        <is>
          <t>claro</t>
        </is>
      </c>
      <c r="D708" s="2" t="inlineStr">
        <is>
          <t>SP</t>
        </is>
      </c>
      <c r="E708" s="2" t="inlineStr">
        <is>
          <t>350 Mega com Globoplay incluso + Controle 40GB</t>
        </is>
      </c>
      <c r="F708" s="2" t="inlineStr">
        <is>
          <t>claro:a866ea9a-6a70-4b6e-b886-f8178086ca91</t>
        </is>
      </c>
      <c r="G708" s="3" t="n">
        <v>129.8</v>
      </c>
      <c r="H708" s="3" t="inlineStr"/>
      <c r="I708" s="2" t="inlineStr"/>
      <c r="J708" s="2" t="inlineStr">
        <is>
          <t>debit_auto</t>
        </is>
      </c>
      <c r="K708" s="2" t="inlineStr">
        <is>
          <t>tab: Fibra + Móvel; preço em débito em conta; +R$ 5.00 sem débito automático</t>
        </is>
      </c>
      <c r="L708" s="2" t="inlineStr">
        <is>
          <t>mobile+broadband</t>
        </is>
      </c>
      <c r="M708" s="2" t="inlineStr">
        <is>
          <t>Fiber + Mobile</t>
        </is>
      </c>
      <c r="N708" s="2" t="b">
        <v>1</v>
      </c>
      <c r="O708" s="2" t="b">
        <v>1</v>
      </c>
      <c r="P708" s="2" t="b">
        <v>0</v>
      </c>
      <c r="Q708" s="2" t="b">
        <v>0</v>
      </c>
      <c r="R708" s="4" t="n">
        <v>350</v>
      </c>
      <c r="S708" s="4" t="n">
        <v>40</v>
      </c>
      <c r="T708" s="4" t="n">
        <v>1</v>
      </c>
      <c r="U708" s="2" t="inlineStr"/>
      <c r="V708" s="2" t="inlineStr"/>
      <c r="W708" s="2" t="inlineStr"/>
      <c r="X708" s="2" t="inlineStr">
        <is>
          <t>Controle 40GB</t>
        </is>
      </c>
      <c r="Y708" s="2" t="inlineStr">
        <is>
          <t>https://www.claro.com.br/multi</t>
        </is>
      </c>
      <c r="Z708" s="2" t="inlineStr">
        <is>
          <t>data/raw/claro_convergent_multi_SP.html</t>
        </is>
      </c>
    </row>
    <row r="709">
      <c r="A709" s="5" t="inlineStr">
        <is>
          <t>2026-09-01</t>
        </is>
      </c>
      <c r="B709" s="5" t="inlineStr">
        <is>
          <t>2026-09-01T19:58:06</t>
        </is>
      </c>
      <c r="C709" s="5" t="inlineStr">
        <is>
          <t>claro</t>
        </is>
      </c>
      <c r="D709" s="5" t="inlineStr">
        <is>
          <t>SP</t>
        </is>
      </c>
      <c r="E709" s="5" t="inlineStr">
        <is>
          <t>350 Mega com Globoplay incluso + Pós 100GB + Claro tv+ Box + Disney+ Amazon Prime + Netflix + HBO Max + Apple TV + Globoplay</t>
        </is>
      </c>
      <c r="F709" s="5" t="inlineStr">
        <is>
          <t>claro:746fa9cf-ea2b-40de-ad2c-5803b3e0ab08</t>
        </is>
      </c>
      <c r="G709" s="6" t="n">
        <v>249.8</v>
      </c>
      <c r="H709" s="6" t="inlineStr"/>
      <c r="I709" s="5" t="inlineStr"/>
      <c r="J709" s="5" t="inlineStr"/>
      <c r="K709" s="5" t="inlineStr">
        <is>
          <t>tab: Fibra + Móvel + TV</t>
        </is>
      </c>
      <c r="L709" s="5" t="inlineStr">
        <is>
          <t>mobile+broadband+tv</t>
        </is>
      </c>
      <c r="M709" s="5" t="inlineStr">
        <is>
          <t>Fiber + Mobile + TV</t>
        </is>
      </c>
      <c r="N709" s="5" t="b">
        <v>1</v>
      </c>
      <c r="O709" s="5" t="b">
        <v>1</v>
      </c>
      <c r="P709" s="5" t="b">
        <v>1</v>
      </c>
      <c r="Q709" s="5" t="b">
        <v>0</v>
      </c>
      <c r="R709" s="7" t="n">
        <v>350</v>
      </c>
      <c r="S709" s="7" t="n">
        <v>100</v>
      </c>
      <c r="T709" s="7" t="n">
        <v>1</v>
      </c>
      <c r="U709" s="5" t="inlineStr">
        <is>
          <t>Claro tv+ Box + Disney+ Amazon Prime + Netflix + HBO Max + Apple TV + Globoplay</t>
        </is>
      </c>
      <c r="V709" s="5" t="inlineStr"/>
      <c r="W709" s="5" t="inlineStr"/>
      <c r="X709" s="5" t="inlineStr">
        <is>
          <t>Pós 100GB</t>
        </is>
      </c>
      <c r="Y709" s="5" t="inlineStr">
        <is>
          <t>https://www.claro.com.br/multi</t>
        </is>
      </c>
      <c r="Z709" s="5" t="inlineStr">
        <is>
          <t>data/raw/claro_convergent_multi_SP.html</t>
        </is>
      </c>
    </row>
    <row r="710">
      <c r="A710" s="2" t="inlineStr">
        <is>
          <t>2026-09-01</t>
        </is>
      </c>
      <c r="B710" s="2" t="inlineStr">
        <is>
          <t>2026-09-01T19:58:06</t>
        </is>
      </c>
      <c r="C710" s="2" t="inlineStr">
        <is>
          <t>claro</t>
        </is>
      </c>
      <c r="D710" s="2" t="inlineStr">
        <is>
          <t>SP</t>
        </is>
      </c>
      <c r="E710" s="2" t="inlineStr">
        <is>
          <t>600 Mega com Globoplay incluso + Claro tv+ Box + Disney+ Amazon Prime + Netflix + HBO Max + Apple TV + Globoplay</t>
        </is>
      </c>
      <c r="F710" s="2" t="inlineStr">
        <is>
          <t>claro:545261b1-2f4d-4dab-82a6-02d9e66c5d3d</t>
        </is>
      </c>
      <c r="G710" s="3" t="n">
        <v>239.8</v>
      </c>
      <c r="H710" s="3" t="inlineStr"/>
      <c r="I710" s="2" t="inlineStr"/>
      <c r="J710" s="2" t="inlineStr"/>
      <c r="K710" s="2" t="inlineStr">
        <is>
          <t>tab: Fibra + TV</t>
        </is>
      </c>
      <c r="L710" s="2" t="inlineStr">
        <is>
          <t>broadband+tv</t>
        </is>
      </c>
      <c r="M710" s="2" t="inlineStr">
        <is>
          <t>Fiber + TV</t>
        </is>
      </c>
      <c r="N710" s="2" t="b">
        <v>0</v>
      </c>
      <c r="O710" s="2" t="b">
        <v>1</v>
      </c>
      <c r="P710" s="2" t="b">
        <v>1</v>
      </c>
      <c r="Q710" s="2" t="b">
        <v>0</v>
      </c>
      <c r="R710" s="4" t="n">
        <v>600</v>
      </c>
      <c r="S710" s="4" t="inlineStr"/>
      <c r="T710" s="4" t="inlineStr"/>
      <c r="U710" s="2" t="inlineStr">
        <is>
          <t>Claro tv+ Box + Disney+ Amazon Prime + Netflix + HBO Max + Apple TV + Globoplay</t>
        </is>
      </c>
      <c r="V710" s="2" t="inlineStr"/>
      <c r="W710" s="2" t="inlineStr"/>
      <c r="X710" s="2" t="inlineStr"/>
      <c r="Y710" s="2" t="inlineStr">
        <is>
          <t>https://www.claro.com.br/multi</t>
        </is>
      </c>
      <c r="Z710" s="2" t="inlineStr">
        <is>
          <t>data/raw/claro_convergent_multi_SP.html</t>
        </is>
      </c>
    </row>
    <row r="711">
      <c r="A711" s="5" t="inlineStr">
        <is>
          <t>2026-09-01</t>
        </is>
      </c>
      <c r="B711" s="5" t="inlineStr">
        <is>
          <t>2026-09-01T19:58:06</t>
        </is>
      </c>
      <c r="C711" s="5" t="inlineStr">
        <is>
          <t>claro</t>
        </is>
      </c>
      <c r="D711" s="5" t="inlineStr">
        <is>
          <t>SP</t>
        </is>
      </c>
      <c r="E711" s="5" t="inlineStr">
        <is>
          <t>600 Mega com Globoplay incluso + Pós 100GB</t>
        </is>
      </c>
      <c r="F711" s="5" t="inlineStr">
        <is>
          <t>claro:350ac58a-533c-4858-83be-be3ea39c8874</t>
        </is>
      </c>
      <c r="G711" s="6" t="n">
        <v>159.9</v>
      </c>
      <c r="H711" s="6" t="inlineStr"/>
      <c r="I711" s="5" t="inlineStr"/>
      <c r="J711" s="5" t="inlineStr"/>
      <c r="K711" s="5" t="inlineStr">
        <is>
          <t>tab: Fibra + Móvel</t>
        </is>
      </c>
      <c r="L711" s="5" t="inlineStr">
        <is>
          <t>mobile+broadband</t>
        </is>
      </c>
      <c r="M711" s="5" t="inlineStr">
        <is>
          <t>Fiber + Mobile</t>
        </is>
      </c>
      <c r="N711" s="5" t="b">
        <v>1</v>
      </c>
      <c r="O711" s="5" t="b">
        <v>1</v>
      </c>
      <c r="P711" s="5" t="b">
        <v>0</v>
      </c>
      <c r="Q711" s="5" t="b">
        <v>0</v>
      </c>
      <c r="R711" s="7" t="n">
        <v>600</v>
      </c>
      <c r="S711" s="7" t="n">
        <v>100</v>
      </c>
      <c r="T711" s="7" t="n">
        <v>1</v>
      </c>
      <c r="U711" s="5" t="inlineStr"/>
      <c r="V711" s="5" t="inlineStr"/>
      <c r="W711" s="5" t="inlineStr"/>
      <c r="X711" s="5" t="inlineStr">
        <is>
          <t>Pós 100GB</t>
        </is>
      </c>
      <c r="Y711" s="5" t="inlineStr">
        <is>
          <t>https://www.claro.com.br/multi</t>
        </is>
      </c>
      <c r="Z711" s="5" t="inlineStr">
        <is>
          <t>data/raw/claro_convergent_multi_SP.html</t>
        </is>
      </c>
    </row>
    <row r="712">
      <c r="A712" s="2" t="inlineStr">
        <is>
          <t>2026-09-01</t>
        </is>
      </c>
      <c r="B712" s="2" t="inlineStr">
        <is>
          <t>2026-09-01T19:58:06</t>
        </is>
      </c>
      <c r="C712" s="2" t="inlineStr">
        <is>
          <t>claro</t>
        </is>
      </c>
      <c r="D712" s="2" t="inlineStr">
        <is>
          <t>SP</t>
        </is>
      </c>
      <c r="E712" s="2" t="inlineStr">
        <is>
          <t>600 Mega com Globoplay incluso + Pós 100GB + Claro tv+ Box + Disney+ Amazon Prime + Netflix + HBO Max + Apple TV + Globoplay</t>
        </is>
      </c>
      <c r="F712" s="2" t="inlineStr">
        <is>
          <t>claro:f36e7dfb-f7c9-4055-844f-7bc101699de8</t>
        </is>
      </c>
      <c r="G712" s="3" t="n">
        <v>269.8</v>
      </c>
      <c r="H712" s="3" t="inlineStr"/>
      <c r="I712" s="2" t="inlineStr"/>
      <c r="J712" s="2" t="inlineStr"/>
      <c r="K712" s="2" t="inlineStr">
        <is>
          <t>tab: Fibra + Móvel + TV</t>
        </is>
      </c>
      <c r="L712" s="2" t="inlineStr">
        <is>
          <t>mobile+broadband+tv</t>
        </is>
      </c>
      <c r="M712" s="2" t="inlineStr">
        <is>
          <t>Fiber + Mobile + TV</t>
        </is>
      </c>
      <c r="N712" s="2" t="b">
        <v>1</v>
      </c>
      <c r="O712" s="2" t="b">
        <v>1</v>
      </c>
      <c r="P712" s="2" t="b">
        <v>1</v>
      </c>
      <c r="Q712" s="2" t="b">
        <v>0</v>
      </c>
      <c r="R712" s="4" t="n">
        <v>600</v>
      </c>
      <c r="S712" s="4" t="n">
        <v>100</v>
      </c>
      <c r="T712" s="4" t="n">
        <v>1</v>
      </c>
      <c r="U712" s="2" t="inlineStr">
        <is>
          <t>Claro tv+ Box + Disney+ Amazon Prime + Netflix + HBO Max + Apple TV + Globoplay</t>
        </is>
      </c>
      <c r="V712" s="2" t="inlineStr"/>
      <c r="W712" s="2" t="inlineStr"/>
      <c r="X712" s="2" t="inlineStr">
        <is>
          <t>Pós 100GB</t>
        </is>
      </c>
      <c r="Y712" s="2" t="inlineStr">
        <is>
          <t>https://www.claro.com.br/multi</t>
        </is>
      </c>
      <c r="Z712" s="2" t="inlineStr">
        <is>
          <t>data/raw/claro_convergent_multi_SP.html</t>
        </is>
      </c>
    </row>
    <row r="713">
      <c r="A713" s="5" t="inlineStr">
        <is>
          <t>2026-09-01</t>
        </is>
      </c>
      <c r="B713" s="5" t="inlineStr">
        <is>
          <t>2026-09-01T19:58:06</t>
        </is>
      </c>
      <c r="C713" s="5" t="inlineStr">
        <is>
          <t>tim</t>
        </is>
      </c>
      <c r="D713" s="5" t="inlineStr">
        <is>
          <t>SP</t>
        </is>
      </c>
      <c r="E713" s="5" t="inlineStr">
        <is>
          <t>TIM Ultracombo 5</t>
        </is>
      </c>
      <c r="F713" s="5" t="inlineStr">
        <is>
          <t>tim:167756</t>
        </is>
      </c>
      <c r="G713" s="6" t="n">
        <v>169.99</v>
      </c>
      <c r="H713" s="6" t="inlineStr"/>
      <c r="I713" s="5" t="inlineStr"/>
      <c r="J713" s="5" t="inlineStr">
        <is>
          <t>debit_auto</t>
        </is>
      </c>
      <c r="K713" s="5" t="inlineStr">
        <is>
          <t>preço em débito automático; R$ 179,99/mês no pagamento por fatura</t>
        </is>
      </c>
      <c r="L713" s="5" t="inlineStr">
        <is>
          <t>mobile+broadband</t>
        </is>
      </c>
      <c r="M713" s="5" t="inlineStr">
        <is>
          <t>Fiber + Mobile</t>
        </is>
      </c>
      <c r="N713" s="5" t="b">
        <v>1</v>
      </c>
      <c r="O713" s="5" t="b">
        <v>1</v>
      </c>
      <c r="P713" s="5" t="b">
        <v>0</v>
      </c>
      <c r="Q713" s="5" t="b">
        <v>0</v>
      </c>
      <c r="R713" s="7" t="n">
        <v>1000</v>
      </c>
      <c r="S713" s="7" t="n">
        <v>115</v>
      </c>
      <c r="T713" s="7" t="n">
        <v>1</v>
      </c>
      <c r="U713" s="5" t="inlineStr"/>
      <c r="V713" s="5" t="inlineStr">
        <is>
          <t>Paramount+, Deezer</t>
        </is>
      </c>
      <c r="W713" s="5" t="inlineStr"/>
      <c r="X713" s="5" t="inlineStr">
        <is>
          <t>1GIGA de Ultrafibra para casa + 115GB de TIM Black C Hero para móvel: (25GB do plano + 40GB promo + 50GB bônus especial)</t>
        </is>
      </c>
      <c r="Y713" s="5" t="inlineStr">
        <is>
          <t>https://www.tim.com.br/sp/internet/tim-ultracombo</t>
        </is>
      </c>
      <c r="Z713" s="5" t="inlineStr">
        <is>
          <t>data/raw/tim_convergent_ultracombo_SP.html</t>
        </is>
      </c>
    </row>
    <row r="714">
      <c r="A714" s="2" t="inlineStr">
        <is>
          <t>2026-09-01</t>
        </is>
      </c>
      <c r="B714" s="2" t="inlineStr">
        <is>
          <t>2026-09-01T19:58:06</t>
        </is>
      </c>
      <c r="C714" s="2" t="inlineStr">
        <is>
          <t>tim</t>
        </is>
      </c>
      <c r="D714" s="2" t="inlineStr">
        <is>
          <t>SP</t>
        </is>
      </c>
      <c r="E714" s="2" t="inlineStr">
        <is>
          <t>TIM Ultracombo 6</t>
        </is>
      </c>
      <c r="F714" s="2" t="inlineStr">
        <is>
          <t>tim:167751</t>
        </is>
      </c>
      <c r="G714" s="3" t="n">
        <v>139.99</v>
      </c>
      <c r="H714" s="3" t="inlineStr"/>
      <c r="I714" s="2" t="inlineStr"/>
      <c r="J714" s="2" t="inlineStr">
        <is>
          <t>debit_auto</t>
        </is>
      </c>
      <c r="K714" s="2" t="inlineStr">
        <is>
          <t>preço em débito automático; R$ 149,99/mês no pagamento por fatura</t>
        </is>
      </c>
      <c r="L714" s="2" t="inlineStr">
        <is>
          <t>mobile+broadband</t>
        </is>
      </c>
      <c r="M714" s="2" t="inlineStr">
        <is>
          <t>Fiber + Mobile</t>
        </is>
      </c>
      <c r="N714" s="2" t="b">
        <v>1</v>
      </c>
      <c r="O714" s="2" t="b">
        <v>1</v>
      </c>
      <c r="P714" s="2" t="b">
        <v>0</v>
      </c>
      <c r="Q714" s="2" t="b">
        <v>0</v>
      </c>
      <c r="R714" s="4" t="n">
        <v>1000</v>
      </c>
      <c r="S714" s="4" t="n">
        <v>70</v>
      </c>
      <c r="T714" s="4" t="n">
        <v>1</v>
      </c>
      <c r="U714" s="2" t="inlineStr"/>
      <c r="V714" s="2" t="inlineStr">
        <is>
          <t>Paramount+, Deezer</t>
        </is>
      </c>
      <c r="W714" s="2" t="inlineStr"/>
      <c r="X714" s="2" t="inlineStr">
        <is>
          <t>1GIGA de Ultrafibra para casa + 70GB de TIM Black A para móvel: (15GB do plano + 50GB promo + 5GB bônus especial)</t>
        </is>
      </c>
      <c r="Y714" s="2" t="inlineStr">
        <is>
          <t>https://www.tim.com.br/sp/internet/tim-ultracombo</t>
        </is>
      </c>
      <c r="Z714" s="2" t="inlineStr">
        <is>
          <t>data/raw/tim_convergent_ultracombo_SP.html</t>
        </is>
      </c>
    </row>
    <row r="715">
      <c r="A715" s="5" t="inlineStr">
        <is>
          <t>2026-09-01</t>
        </is>
      </c>
      <c r="B715" s="5" t="inlineStr">
        <is>
          <t>2026-09-01T19:58:06</t>
        </is>
      </c>
      <c r="C715" s="5" t="inlineStr">
        <is>
          <t>tim</t>
        </is>
      </c>
      <c r="D715" s="5" t="inlineStr">
        <is>
          <t>SP</t>
        </is>
      </c>
      <c r="E715" s="5" t="inlineStr">
        <is>
          <t>TIM Ultracombo 7</t>
        </is>
      </c>
      <c r="F715" s="5" t="inlineStr">
        <is>
          <t>tim:167761</t>
        </is>
      </c>
      <c r="G715" s="6" t="n">
        <v>89.98999999999999</v>
      </c>
      <c r="H715" s="6" t="inlineStr"/>
      <c r="I715" s="5" t="inlineStr"/>
      <c r="J715" s="5" t="inlineStr">
        <is>
          <t>debit_auto</t>
        </is>
      </c>
      <c r="K715" s="5" t="inlineStr">
        <is>
          <t>preço em débito automático; R$ 99,99/mês no pagamento por fatura</t>
        </is>
      </c>
      <c r="L715" s="5" t="inlineStr">
        <is>
          <t>mobile+broadband</t>
        </is>
      </c>
      <c r="M715" s="5" t="inlineStr">
        <is>
          <t>Fiber + Mobile</t>
        </is>
      </c>
      <c r="N715" s="5" t="b">
        <v>1</v>
      </c>
      <c r="O715" s="5" t="b">
        <v>1</v>
      </c>
      <c r="P715" s="5" t="b">
        <v>0</v>
      </c>
      <c r="Q715" s="5" t="b">
        <v>0</v>
      </c>
      <c r="R715" s="7" t="n">
        <v>500</v>
      </c>
      <c r="S715" s="7" t="n">
        <v>65</v>
      </c>
      <c r="T715" s="7" t="n">
        <v>1</v>
      </c>
      <c r="U715" s="5" t="inlineStr"/>
      <c r="V715" s="5" t="inlineStr"/>
      <c r="W715" s="5" t="inlineStr"/>
      <c r="X715" s="5" t="inlineStr">
        <is>
          <t>500MEGA de Ultrafibra para casa + 65GB de TIM Black A Light para móvel: (10GB do plano + 50GB promo)</t>
        </is>
      </c>
      <c r="Y715" s="5" t="inlineStr">
        <is>
          <t>https://www.tim.com.br/sp/internet/tim-ultracombo</t>
        </is>
      </c>
      <c r="Z715" s="5" t="inlineStr">
        <is>
          <t>data/raw/tim_convergent_ultracombo_SP.html</t>
        </is>
      </c>
    </row>
    <row r="716">
      <c r="A716" s="2" t="inlineStr">
        <is>
          <t>2026-09-01</t>
        </is>
      </c>
      <c r="B716" s="2" t="inlineStr">
        <is>
          <t>2026-09-01T19:58:06</t>
        </is>
      </c>
      <c r="C716" s="2" t="inlineStr">
        <is>
          <t>vivo</t>
        </is>
      </c>
      <c r="D716" s="2" t="inlineStr">
        <is>
          <t>SP</t>
        </is>
      </c>
      <c r="E716" s="2" t="inlineStr">
        <is>
          <t>Vivo Família 2 + TV</t>
        </is>
      </c>
      <c r="F716" s="2" t="inlineStr">
        <is>
          <t>vivo:VIV202604032132-3-305-316-336-408-411-426-430-442</t>
        </is>
      </c>
      <c r="G716" s="3" t="n">
        <v>290</v>
      </c>
      <c r="H716" s="3" t="inlineStr"/>
      <c r="I716" s="2" t="inlineStr"/>
      <c r="J716" s="2" t="inlineStr"/>
      <c r="K716" s="2" t="inlineStr">
        <is>
          <t>instalação grátis mediante fidelização (não afeta a mensalidade)</t>
        </is>
      </c>
      <c r="L716" s="2" t="inlineStr">
        <is>
          <t>mobile+broadband+tv</t>
        </is>
      </c>
      <c r="M716" s="2" t="inlineStr">
        <is>
          <t>Fiber + Mobile + TV</t>
        </is>
      </c>
      <c r="N716" s="2" t="b">
        <v>1</v>
      </c>
      <c r="O716" s="2" t="b">
        <v>1</v>
      </c>
      <c r="P716" s="2" t="b">
        <v>1</v>
      </c>
      <c r="Q716" s="2" t="b">
        <v>0</v>
      </c>
      <c r="R716" s="4" t="n">
        <v>700</v>
      </c>
      <c r="S716" s="4" t="n">
        <v>120</v>
      </c>
      <c r="T716" s="4" t="n">
        <v>2</v>
      </c>
      <c r="U716" s="2" t="inlineStr">
        <is>
          <t>80 canais de Vivo Estendido</t>
        </is>
      </c>
      <c r="V716" s="2" t="inlineStr"/>
      <c r="W716" s="2" t="inlineStr">
        <is>
          <t>Vivo Travel Américas e Europa; 1 linha adicional inclusa</t>
        </is>
      </c>
      <c r="X716" s="2" t="inlineStr">
        <is>
          <t>700 Mega de Vivo Fibra</t>
        </is>
      </c>
      <c r="Y716" s="2" t="inlineStr">
        <is>
          <t>https://vivo.com.br/para-voce/produtos-e-servicos/combos/vivo-total</t>
        </is>
      </c>
      <c r="Z716" s="2" t="inlineStr">
        <is>
          <t>data/raw/vivo_convergent_total_SP.html</t>
        </is>
      </c>
    </row>
    <row r="717">
      <c r="A717" s="5" t="inlineStr">
        <is>
          <t>2026-09-01</t>
        </is>
      </c>
      <c r="B717" s="5" t="inlineStr">
        <is>
          <t>2026-09-01T19:58:06</t>
        </is>
      </c>
      <c r="C717" s="5" t="inlineStr">
        <is>
          <t>vivo</t>
        </is>
      </c>
      <c r="D717" s="5" t="inlineStr">
        <is>
          <t>SP</t>
        </is>
      </c>
      <c r="E717" s="5" t="inlineStr">
        <is>
          <t>Vivo Família 2 + TV</t>
        </is>
      </c>
      <c r="F717" s="5" t="inlineStr">
        <is>
          <t>vivo:VIV202604032112-3-9-305-316-408-411-426-430-442</t>
        </is>
      </c>
      <c r="G717" s="6" t="n">
        <v>390</v>
      </c>
      <c r="H717" s="6" t="inlineStr"/>
      <c r="I717" s="5" t="inlineStr"/>
      <c r="J717" s="5" t="inlineStr"/>
      <c r="K717" s="5" t="inlineStr">
        <is>
          <t>instalação grátis mediante fidelização (não afeta a mensalidade)</t>
        </is>
      </c>
      <c r="L717" s="5" t="inlineStr">
        <is>
          <t>mobile+broadband+tv</t>
        </is>
      </c>
      <c r="M717" s="5" t="inlineStr">
        <is>
          <t>Fiber + Mobile + TV</t>
        </is>
      </c>
      <c r="N717" s="5" t="b">
        <v>1</v>
      </c>
      <c r="O717" s="5" t="b">
        <v>1</v>
      </c>
      <c r="P717" s="5" t="b">
        <v>1</v>
      </c>
      <c r="Q717" s="5" t="b">
        <v>0</v>
      </c>
      <c r="R717" s="7" t="n">
        <v>700</v>
      </c>
      <c r="S717" s="7" t="n">
        <v>120</v>
      </c>
      <c r="T717" s="7" t="n">
        <v>2</v>
      </c>
      <c r="U717" s="5" t="inlineStr">
        <is>
          <t>120 canais de Vivo TV Avançado + 1 ponto adicional</t>
        </is>
      </c>
      <c r="V717" s="5" t="inlineStr"/>
      <c r="W717" s="5" t="inlineStr">
        <is>
          <t>Vivo Travel Américas e Europa; 1 linha adicional inclusa</t>
        </is>
      </c>
      <c r="X717" s="5" t="inlineStr">
        <is>
          <t>700 Mega de Vivo Fibra</t>
        </is>
      </c>
      <c r="Y717" s="5" t="inlineStr">
        <is>
          <t>https://vivo.com.br/para-voce/produtos-e-servicos/combos/vivo-total</t>
        </is>
      </c>
      <c r="Z717" s="5" t="inlineStr">
        <is>
          <t>data/raw/vivo_convergent_total_SP.html</t>
        </is>
      </c>
    </row>
    <row r="718">
      <c r="A718" s="2" t="inlineStr">
        <is>
          <t>2026-09-01</t>
        </is>
      </c>
      <c r="B718" s="2" t="inlineStr">
        <is>
          <t>2026-09-01T19:58:06</t>
        </is>
      </c>
      <c r="C718" s="2" t="inlineStr">
        <is>
          <t>vivo</t>
        </is>
      </c>
      <c r="D718" s="2" t="inlineStr">
        <is>
          <t>SP</t>
        </is>
      </c>
      <c r="E718" s="2" t="inlineStr">
        <is>
          <t>Vivo Total Família 2</t>
        </is>
      </c>
      <c r="F718" s="2" t="inlineStr">
        <is>
          <t>vivo:VIV202604032132-3-305-316-408-411-426-430-442</t>
        </is>
      </c>
      <c r="G718" s="3" t="n">
        <v>270</v>
      </c>
      <c r="H718" s="3" t="inlineStr"/>
      <c r="I718" s="2" t="inlineStr"/>
      <c r="J718" s="2" t="inlineStr"/>
      <c r="K718" s="2" t="inlineStr">
        <is>
          <t>instalação grátis mediante fidelização (não afeta a mensalidade)</t>
        </is>
      </c>
      <c r="L718" s="2" t="inlineStr">
        <is>
          <t>mobile+broadband</t>
        </is>
      </c>
      <c r="M718" s="2" t="inlineStr">
        <is>
          <t>Fiber + Mobile</t>
        </is>
      </c>
      <c r="N718" s="2" t="b">
        <v>1</v>
      </c>
      <c r="O718" s="2" t="b">
        <v>1</v>
      </c>
      <c r="P718" s="2" t="b">
        <v>0</v>
      </c>
      <c r="Q718" s="2" t="b">
        <v>0</v>
      </c>
      <c r="R718" s="4" t="n">
        <v>700</v>
      </c>
      <c r="S718" s="4" t="n">
        <v>120</v>
      </c>
      <c r="T718" s="4" t="n">
        <v>2</v>
      </c>
      <c r="U718" s="2" t="inlineStr"/>
      <c r="V718" s="2" t="inlineStr"/>
      <c r="W718" s="2" t="inlineStr">
        <is>
          <t>Vivo Travel Américas e Europa; 1 linha adicional inclusa</t>
        </is>
      </c>
      <c r="X718" s="2" t="inlineStr">
        <is>
          <t>700 Mega de Vivo Fibra</t>
        </is>
      </c>
      <c r="Y718" s="2" t="inlineStr">
        <is>
          <t>https://vivo.com.br/para-voce/produtos-e-servicos/combos/vivo-total</t>
        </is>
      </c>
      <c r="Z718" s="2" t="inlineStr">
        <is>
          <t>data/raw/vivo_convergent_total_SP.html</t>
        </is>
      </c>
    </row>
    <row r="719">
      <c r="A719" s="5" t="inlineStr">
        <is>
          <t>2026-09-01</t>
        </is>
      </c>
      <c r="B719" s="5" t="inlineStr">
        <is>
          <t>2026-09-01T19:58:06</t>
        </is>
      </c>
      <c r="C719" s="5" t="inlineStr">
        <is>
          <t>vivo</t>
        </is>
      </c>
      <c r="D719" s="5" t="inlineStr">
        <is>
          <t>SP</t>
        </is>
      </c>
      <c r="E719" s="5" t="inlineStr">
        <is>
          <t>Vivo Total Família 3</t>
        </is>
      </c>
      <c r="F719" s="5" t="inlineStr">
        <is>
          <t>vivo:VIV202604032212-4-305-316-408-411-426-430-442</t>
        </is>
      </c>
      <c r="G719" s="6" t="n">
        <v>330</v>
      </c>
      <c r="H719" s="6" t="inlineStr"/>
      <c r="I719" s="5" t="inlineStr"/>
      <c r="J719" s="5" t="inlineStr"/>
      <c r="K719" s="5" t="inlineStr">
        <is>
          <t>instalação grátis mediante fidelização (não afeta a mensalidade)</t>
        </is>
      </c>
      <c r="L719" s="5" t="inlineStr">
        <is>
          <t>mobile+broadband</t>
        </is>
      </c>
      <c r="M719" s="5" t="inlineStr">
        <is>
          <t>Fiber + Mobile</t>
        </is>
      </c>
      <c r="N719" s="5" t="b">
        <v>1</v>
      </c>
      <c r="O719" s="5" t="b">
        <v>1</v>
      </c>
      <c r="P719" s="5" t="b">
        <v>0</v>
      </c>
      <c r="Q719" s="5" t="b">
        <v>0</v>
      </c>
      <c r="R719" s="7" t="n">
        <v>700</v>
      </c>
      <c r="S719" s="7" t="n">
        <v>180</v>
      </c>
      <c r="T719" s="7" t="n">
        <v>3</v>
      </c>
      <c r="U719" s="5" t="inlineStr"/>
      <c r="V719" s="5" t="inlineStr"/>
      <c r="W719" s="5" t="inlineStr">
        <is>
          <t>Vivo Travel Américas e Europa; 2 linhas adicionais inclusas</t>
        </is>
      </c>
      <c r="X719" s="5" t="inlineStr">
        <is>
          <t>700 Mega de Vivo Fibra</t>
        </is>
      </c>
      <c r="Y719" s="5" t="inlineStr">
        <is>
          <t>https://vivo.com.br/para-voce/produtos-e-servicos/combos/vivo-total</t>
        </is>
      </c>
      <c r="Z719" s="5" t="inlineStr">
        <is>
          <t>data/raw/vivo_convergent_total_SP.html</t>
        </is>
      </c>
    </row>
    <row r="720">
      <c r="A720" s="2" t="inlineStr">
        <is>
          <t>2026-09-01</t>
        </is>
      </c>
      <c r="B720" s="2" t="inlineStr">
        <is>
          <t>2026-09-01T19:58:06</t>
        </is>
      </c>
      <c r="C720" s="2" t="inlineStr">
        <is>
          <t>vivo</t>
        </is>
      </c>
      <c r="D720" s="2" t="inlineStr">
        <is>
          <t>SP</t>
        </is>
      </c>
      <c r="E720" s="2" t="inlineStr">
        <is>
          <t>Vivo Total Família 4</t>
        </is>
      </c>
      <c r="F720" s="2" t="inlineStr">
        <is>
          <t>vivo:VIV202604032292-237-305-316-408-411-426-430-442</t>
        </is>
      </c>
      <c r="G720" s="3" t="n">
        <v>420</v>
      </c>
      <c r="H720" s="3" t="inlineStr"/>
      <c r="I720" s="2" t="inlineStr"/>
      <c r="J720" s="2" t="inlineStr"/>
      <c r="K720" s="2" t="inlineStr">
        <is>
          <t>instalação grátis mediante fidelização (não afeta a mensalidade)</t>
        </is>
      </c>
      <c r="L720" s="2" t="inlineStr">
        <is>
          <t>mobile+broadband</t>
        </is>
      </c>
      <c r="M720" s="2" t="inlineStr">
        <is>
          <t>Fiber + Mobile</t>
        </is>
      </c>
      <c r="N720" s="2" t="b">
        <v>1</v>
      </c>
      <c r="O720" s="2" t="b">
        <v>1</v>
      </c>
      <c r="P720" s="2" t="b">
        <v>0</v>
      </c>
      <c r="Q720" s="2" t="b">
        <v>0</v>
      </c>
      <c r="R720" s="4" t="n">
        <v>700</v>
      </c>
      <c r="S720" s="4" t="n">
        <v>240</v>
      </c>
      <c r="T720" s="4" t="n">
        <v>4</v>
      </c>
      <c r="U720" s="2" t="inlineStr"/>
      <c r="V720" s="2" t="inlineStr"/>
      <c r="W720" s="2" t="inlineStr">
        <is>
          <t>Vivo Travel Américas e Europa; 3 linhas adicionais inclusas</t>
        </is>
      </c>
      <c r="X720" s="2" t="inlineStr">
        <is>
          <t>700 Mega de Vivo Fibra</t>
        </is>
      </c>
      <c r="Y720" s="2" t="inlineStr">
        <is>
          <t>https://vivo.com.br/para-voce/produtos-e-servicos/combos/vivo-total</t>
        </is>
      </c>
      <c r="Z720" s="2" t="inlineStr">
        <is>
          <t>data/raw/vivo_convergent_total_SP.html</t>
        </is>
      </c>
    </row>
    <row r="721">
      <c r="A721" s="5" t="inlineStr">
        <is>
          <t>2026-09-01</t>
        </is>
      </c>
      <c r="B721" s="5" t="inlineStr">
        <is>
          <t>2026-09-01T19:58:06</t>
        </is>
      </c>
      <c r="C721" s="5" t="inlineStr">
        <is>
          <t>vivo</t>
        </is>
      </c>
      <c r="D721" s="5" t="inlineStr">
        <is>
          <t>SP</t>
        </is>
      </c>
      <c r="E721" s="5" t="inlineStr">
        <is>
          <t>Vivo Total Família 5</t>
        </is>
      </c>
      <c r="F721" s="5" t="inlineStr">
        <is>
          <t>vivo:VIV202604032372-5-305-316-408-411-426-430-442</t>
        </is>
      </c>
      <c r="G721" s="6" t="n">
        <v>520</v>
      </c>
      <c r="H721" s="6" t="inlineStr"/>
      <c r="I721" s="5" t="inlineStr"/>
      <c r="J721" s="5" t="inlineStr"/>
      <c r="K721" s="5" t="inlineStr">
        <is>
          <t>instalação grátis mediante fidelização (não afeta a mensalidade)</t>
        </is>
      </c>
      <c r="L721" s="5" t="inlineStr">
        <is>
          <t>mobile+broadband</t>
        </is>
      </c>
      <c r="M721" s="5" t="inlineStr">
        <is>
          <t>Fiber + Mobile</t>
        </is>
      </c>
      <c r="N721" s="5" t="b">
        <v>1</v>
      </c>
      <c r="O721" s="5" t="b">
        <v>1</v>
      </c>
      <c r="P721" s="5" t="b">
        <v>0</v>
      </c>
      <c r="Q721" s="5" t="b">
        <v>0</v>
      </c>
      <c r="R721" s="7" t="n">
        <v>700</v>
      </c>
      <c r="S721" s="7" t="n">
        <v>300</v>
      </c>
      <c r="T721" s="7" t="n">
        <v>5</v>
      </c>
      <c r="U721" s="5" t="inlineStr"/>
      <c r="V721" s="5" t="inlineStr"/>
      <c r="W721" s="5" t="inlineStr">
        <is>
          <t>Vivo Travel Américas e Europa; 4 linhas adicionais inclusas</t>
        </is>
      </c>
      <c r="X721" s="5" t="inlineStr">
        <is>
          <t>700 Mega de Vivo Fibra</t>
        </is>
      </c>
      <c r="Y721" s="5" t="inlineStr">
        <is>
          <t>https://vivo.com.br/para-voce/produtos-e-servicos/combos/vivo-total</t>
        </is>
      </c>
      <c r="Z721" s="5" t="inlineStr">
        <is>
          <t>data/raw/vivo_convergent_total_SP.html</t>
        </is>
      </c>
    </row>
    <row r="722">
      <c r="A722" s="2" t="inlineStr">
        <is>
          <t>2026-09-01</t>
        </is>
      </c>
      <c r="B722" s="2" t="inlineStr">
        <is>
          <t>2026-09-01T19:58:06</t>
        </is>
      </c>
      <c r="C722" s="2" t="inlineStr">
        <is>
          <t>vivo</t>
        </is>
      </c>
      <c r="D722" s="2" t="inlineStr">
        <is>
          <t>SP</t>
        </is>
      </c>
      <c r="E722" s="2" t="inlineStr">
        <is>
          <t>Vivo Total Pro</t>
        </is>
      </c>
      <c r="F722" s="2" t="inlineStr">
        <is>
          <t>vivo:VIV202604031772-2-305-308-316-326-342-411-430</t>
        </is>
      </c>
      <c r="G722" s="3" t="n">
        <v>160</v>
      </c>
      <c r="H722" s="3" t="inlineStr"/>
      <c r="I722" s="2" t="inlineStr"/>
      <c r="J722" s="2" t="inlineStr"/>
      <c r="K722" s="2" t="inlineStr">
        <is>
          <t>instalação grátis mediante fidelização (não afeta a mensalidade)</t>
        </is>
      </c>
      <c r="L722" s="2" t="inlineStr">
        <is>
          <t>mobile+broadband</t>
        </is>
      </c>
      <c r="M722" s="2" t="inlineStr">
        <is>
          <t>Fiber + Mobile</t>
        </is>
      </c>
      <c r="N722" s="2" t="b">
        <v>1</v>
      </c>
      <c r="O722" s="2" t="b">
        <v>1</v>
      </c>
      <c r="P722" s="2" t="b">
        <v>0</v>
      </c>
      <c r="Q722" s="2" t="b">
        <v>0</v>
      </c>
      <c r="R722" s="4" t="n">
        <v>500</v>
      </c>
      <c r="S722" s="4" t="n">
        <v>70</v>
      </c>
      <c r="T722" s="4" t="n">
        <v>1</v>
      </c>
      <c r="U722" s="2" t="inlineStr"/>
      <c r="V722" s="2" t="inlineStr"/>
      <c r="W722" s="2" t="inlineStr">
        <is>
          <t>Vivo Travel Américas; 50 GB de franquia + 20 GB de bônus</t>
        </is>
      </c>
      <c r="X722" s="2" t="inlineStr">
        <is>
          <t>500 Mega de Vivo Fibra</t>
        </is>
      </c>
      <c r="Y722" s="2" t="inlineStr">
        <is>
          <t>https://vivo.com.br/para-voce/produtos-e-servicos/combos/vivo-total</t>
        </is>
      </c>
      <c r="Z722" s="2" t="inlineStr">
        <is>
          <t>data/raw/vivo_convergent_total_SP.html</t>
        </is>
      </c>
    </row>
    <row r="723">
      <c r="A723" s="5" t="inlineStr">
        <is>
          <t>2026-09-01</t>
        </is>
      </c>
      <c r="B723" s="5" t="inlineStr">
        <is>
          <t>2026-09-01T19:58:06</t>
        </is>
      </c>
      <c r="C723" s="5" t="inlineStr">
        <is>
          <t>vivo</t>
        </is>
      </c>
      <c r="D723" s="5" t="inlineStr">
        <is>
          <t>SP</t>
        </is>
      </c>
      <c r="E723" s="5" t="inlineStr">
        <is>
          <t>Vivo Total Ultra</t>
        </is>
      </c>
      <c r="F723" s="5" t="inlineStr">
        <is>
          <t>vivo:VIV202604032034-305-313-316-408-411-426-430-442</t>
        </is>
      </c>
      <c r="G723" s="6" t="n">
        <v>190</v>
      </c>
      <c r="H723" s="6" t="inlineStr"/>
      <c r="I723" s="5" t="inlineStr"/>
      <c r="J723" s="5" t="inlineStr"/>
      <c r="K723" s="5" t="inlineStr">
        <is>
          <t>instalação grátis mediante fidelização (não afeta a mensalidade)</t>
        </is>
      </c>
      <c r="L723" s="5" t="inlineStr">
        <is>
          <t>mobile+broadband</t>
        </is>
      </c>
      <c r="M723" s="5" t="inlineStr">
        <is>
          <t>Fiber + Mobile</t>
        </is>
      </c>
      <c r="N723" s="5" t="b">
        <v>1</v>
      </c>
      <c r="O723" s="5" t="b">
        <v>1</v>
      </c>
      <c r="P723" s="5" t="b">
        <v>0</v>
      </c>
      <c r="Q723" s="5" t="b">
        <v>0</v>
      </c>
      <c r="R723" s="7" t="n">
        <v>700</v>
      </c>
      <c r="S723" s="7" t="n">
        <v>80</v>
      </c>
      <c r="T723" s="7" t="n">
        <v>1</v>
      </c>
      <c r="U723" s="5" t="inlineStr"/>
      <c r="V723" s="5" t="inlineStr"/>
      <c r="W723" s="5" t="inlineStr">
        <is>
          <t>Vivo Travel Américas; 70 GB de franquia + 10 GB de bônus</t>
        </is>
      </c>
      <c r="X723" s="5" t="inlineStr">
        <is>
          <t>700 Mega de Vivo Fibra</t>
        </is>
      </c>
      <c r="Y723" s="5" t="inlineStr">
        <is>
          <t>https://vivo.com.br/para-voce/produtos-e-servicos/combos/vivo-total</t>
        </is>
      </c>
      <c r="Z723" s="5" t="inlineStr">
        <is>
          <t>data/raw/vivo_convergent_total_SP.html</t>
        </is>
      </c>
    </row>
    <row r="724">
      <c r="A724" s="2" t="inlineStr">
        <is>
          <t>2026-09-01</t>
        </is>
      </c>
      <c r="B724" s="2" t="inlineStr">
        <is>
          <t>2026-09-01T19:58:06</t>
        </is>
      </c>
      <c r="C724" s="2" t="inlineStr">
        <is>
          <t>vivo</t>
        </is>
      </c>
      <c r="D724" s="2" t="inlineStr">
        <is>
          <t>SP</t>
        </is>
      </c>
      <c r="E724" s="2" t="inlineStr">
        <is>
          <t>Vivo Total Ultra + TV</t>
        </is>
      </c>
      <c r="F724" s="2" t="inlineStr">
        <is>
          <t>vivo:VIV202604031882-9-305-313-316-408-411-426-430-442</t>
        </is>
      </c>
      <c r="G724" s="3" t="n">
        <v>310</v>
      </c>
      <c r="H724" s="3" t="inlineStr"/>
      <c r="I724" s="2" t="inlineStr"/>
      <c r="J724" s="2" t="inlineStr"/>
      <c r="K724" s="2" t="inlineStr">
        <is>
          <t>instalação grátis mediante fidelização (não afeta a mensalidade)</t>
        </is>
      </c>
      <c r="L724" s="2" t="inlineStr">
        <is>
          <t>mobile+broadband+tv</t>
        </is>
      </c>
      <c r="M724" s="2" t="inlineStr">
        <is>
          <t>Fiber + Mobile + TV</t>
        </is>
      </c>
      <c r="N724" s="2" t="b">
        <v>1</v>
      </c>
      <c r="O724" s="2" t="b">
        <v>1</v>
      </c>
      <c r="P724" s="2" t="b">
        <v>1</v>
      </c>
      <c r="Q724" s="2" t="b">
        <v>0</v>
      </c>
      <c r="R724" s="4" t="n">
        <v>700</v>
      </c>
      <c r="S724" s="4" t="n">
        <v>80</v>
      </c>
      <c r="T724" s="4" t="n">
        <v>1</v>
      </c>
      <c r="U724" s="2" t="inlineStr">
        <is>
          <t>120 canais de Vivo TV Avançado + 1 ponto adicional</t>
        </is>
      </c>
      <c r="V724" s="2" t="inlineStr"/>
      <c r="W724" s="2" t="inlineStr">
        <is>
          <t>Vivo Travel Américas; 70 GB de franquia + 10 GB de bônus</t>
        </is>
      </c>
      <c r="X724" s="2" t="inlineStr">
        <is>
          <t>700 Mega de Vivo Fibra</t>
        </is>
      </c>
      <c r="Y724" s="2" t="inlineStr">
        <is>
          <t>https://vivo.com.br/para-voce/produtos-e-servicos/combos/vivo-total</t>
        </is>
      </c>
      <c r="Z724" s="2" t="inlineStr">
        <is>
          <t>data/raw/vivo_convergent_total_SP.html</t>
        </is>
      </c>
    </row>
    <row r="725">
      <c r="A725" s="5" t="inlineStr">
        <is>
          <t>2026-09-01</t>
        </is>
      </c>
      <c r="B725" s="5" t="inlineStr">
        <is>
          <t>2026-09-01T19:58:06</t>
        </is>
      </c>
      <c r="C725" s="5" t="inlineStr">
        <is>
          <t>vivo</t>
        </is>
      </c>
      <c r="D725" s="5" t="inlineStr">
        <is>
          <t>SP</t>
        </is>
      </c>
      <c r="E725" s="5" t="inlineStr">
        <is>
          <t>Vivo Total Ultra + TV online</t>
        </is>
      </c>
      <c r="F725" s="5" t="inlineStr">
        <is>
          <t>vivo:VIV202604032034-305-313-316-336-408-411-426-430-442</t>
        </is>
      </c>
      <c r="G725" s="6" t="n">
        <v>210</v>
      </c>
      <c r="H725" s="6" t="inlineStr"/>
      <c r="I725" s="5" t="inlineStr"/>
      <c r="J725" s="5" t="inlineStr"/>
      <c r="K725" s="5" t="inlineStr">
        <is>
          <t>instalação grátis mediante fidelização (não afeta a mensalidade)</t>
        </is>
      </c>
      <c r="L725" s="5" t="inlineStr">
        <is>
          <t>mobile+broadband+tv</t>
        </is>
      </c>
      <c r="M725" s="5" t="inlineStr">
        <is>
          <t>Fiber + Mobile + TV</t>
        </is>
      </c>
      <c r="N725" s="5" t="b">
        <v>1</v>
      </c>
      <c r="O725" s="5" t="b">
        <v>1</v>
      </c>
      <c r="P725" s="5" t="b">
        <v>1</v>
      </c>
      <c r="Q725" s="5" t="b">
        <v>0</v>
      </c>
      <c r="R725" s="7" t="n">
        <v>700</v>
      </c>
      <c r="S725" s="7" t="n">
        <v>80</v>
      </c>
      <c r="T725" s="7" t="n">
        <v>1</v>
      </c>
      <c r="U725" s="5" t="inlineStr">
        <is>
          <t>80 canais de Vivo Estendido</t>
        </is>
      </c>
      <c r="V725" s="5" t="inlineStr"/>
      <c r="W725" s="5" t="inlineStr">
        <is>
          <t>Vivo Travel Américas; 70 GB de franquia + 10 GB de bônus</t>
        </is>
      </c>
      <c r="X725" s="5" t="inlineStr">
        <is>
          <t>700 Mega de Vivo Fibra</t>
        </is>
      </c>
      <c r="Y725" s="5" t="inlineStr">
        <is>
          <t>https://vivo.com.br/para-voce/produtos-e-servicos/combos/vivo-total</t>
        </is>
      </c>
      <c r="Z725" s="5" t="inlineStr">
        <is>
          <t>data/raw/vivo_convergent_total_SP.html</t>
        </is>
      </c>
    </row>
    <row r="726">
      <c r="A726" s="2" t="inlineStr">
        <is>
          <t>2026-09-01</t>
        </is>
      </c>
      <c r="B726" s="2" t="inlineStr">
        <is>
          <t>2026-09-01T19:58:06</t>
        </is>
      </c>
      <c r="C726" s="2" t="inlineStr">
        <is>
          <t>vivo</t>
        </is>
      </c>
      <c r="D726" s="2" t="inlineStr">
        <is>
          <t>SP</t>
        </is>
      </c>
      <c r="E726" s="2" t="inlineStr">
        <is>
          <t>Vivo Total V 1 Giga</t>
        </is>
      </c>
      <c r="F726" s="2" t="inlineStr">
        <is>
          <t>vivo:VIV202604032532-2-305-316-408-426-430-442</t>
        </is>
      </c>
      <c r="G726" s="3" t="n">
        <v>1200</v>
      </c>
      <c r="H726" s="3" t="inlineStr"/>
      <c r="I726" s="2" t="inlineStr"/>
      <c r="J726" s="2" t="inlineStr"/>
      <c r="K726" s="2" t="inlineStr">
        <is>
          <t>instalação grátis mediante fidelização (não afeta a mensalidade)</t>
        </is>
      </c>
      <c r="L726" s="2" t="inlineStr">
        <is>
          <t>mobile+broadband+tv</t>
        </is>
      </c>
      <c r="M726" s="2" t="inlineStr">
        <is>
          <t>Fiber + Mobile + TV</t>
        </is>
      </c>
      <c r="N726" s="2" t="b">
        <v>1</v>
      </c>
      <c r="O726" s="2" t="b">
        <v>1</v>
      </c>
      <c r="P726" s="2" t="b">
        <v>1</v>
      </c>
      <c r="Q726" s="2" t="b">
        <v>0</v>
      </c>
      <c r="R726" s="4" t="n">
        <v>1000</v>
      </c>
      <c r="S726" s="4" t="n">
        <v>600</v>
      </c>
      <c r="T726" s="4" t="n">
        <v>11</v>
      </c>
      <c r="U726" s="2" t="inlineStr">
        <is>
          <t>Vivo TV Completo com HBO Max e Telecine</t>
        </is>
      </c>
      <c r="V726" s="2" t="inlineStr"/>
      <c r="W726" s="2" t="inlineStr">
        <is>
          <t>Vivo Travel Mundo; 10 linhas adicionais inclusas; Vivo TV Completo com HBO Max e Telecine</t>
        </is>
      </c>
      <c r="X726" s="2" t="inlineStr">
        <is>
          <t>1Giga de Vivo Fibra</t>
        </is>
      </c>
      <c r="Y726" s="2" t="inlineStr">
        <is>
          <t>https://vivo.com.br/para-voce/produtos-e-servicos/combos/vivo-total</t>
        </is>
      </c>
      <c r="Z726" s="2" t="inlineStr">
        <is>
          <t>data/raw/vivo_convergent_total_SP.html</t>
        </is>
      </c>
    </row>
    <row r="727">
      <c r="A727" s="5" t="inlineStr">
        <is>
          <t>2026-09-02</t>
        </is>
      </c>
      <c r="B727" s="5" t="inlineStr">
        <is>
          <t>2026-09-02T19:57:51</t>
        </is>
      </c>
      <c r="C727" s="5" t="inlineStr">
        <is>
          <t>claro</t>
        </is>
      </c>
      <c r="D727" s="5" t="inlineStr">
        <is>
          <t>SP</t>
        </is>
      </c>
      <c r="E727" s="5" t="inlineStr">
        <is>
          <t>1 Giga com Globoplay incluso + Claro tv+ Box + Disney+ Amazon Prime + Netflix + HBO Max + Apple TV + Globoplay</t>
        </is>
      </c>
      <c r="F727" s="5" t="inlineStr">
        <is>
          <t>claro:af8152be-4aa7-4aa8-819a-a79687a3a9a0</t>
        </is>
      </c>
      <c r="G727" s="6" t="n">
        <v>319.8</v>
      </c>
      <c r="H727" s="6" t="inlineStr"/>
      <c r="I727" s="5" t="inlineStr"/>
      <c r="J727" s="5" t="inlineStr"/>
      <c r="K727" s="5" t="inlineStr">
        <is>
          <t>tab: Fibra + TV</t>
        </is>
      </c>
      <c r="L727" s="5" t="inlineStr">
        <is>
          <t>broadband+tv</t>
        </is>
      </c>
      <c r="M727" s="5" t="inlineStr">
        <is>
          <t>Fiber + TV</t>
        </is>
      </c>
      <c r="N727" s="5" t="b">
        <v>0</v>
      </c>
      <c r="O727" s="5" t="b">
        <v>1</v>
      </c>
      <c r="P727" s="5" t="b">
        <v>1</v>
      </c>
      <c r="Q727" s="5" t="b">
        <v>0</v>
      </c>
      <c r="R727" s="7" t="n">
        <v>1000</v>
      </c>
      <c r="S727" s="7" t="inlineStr"/>
      <c r="T727" s="7" t="inlineStr"/>
      <c r="U727" s="5" t="inlineStr">
        <is>
          <t>Claro tv+ Box + Disney+ Amazon Prime + Netflix + HBO Max + Apple TV + Globoplay</t>
        </is>
      </c>
      <c r="V727" s="5" t="inlineStr"/>
      <c r="W727" s="5" t="inlineStr"/>
      <c r="X727" s="5" t="inlineStr"/>
      <c r="Y727" s="5" t="inlineStr">
        <is>
          <t>https://www.claro.com.br/multi</t>
        </is>
      </c>
      <c r="Z727" s="5" t="inlineStr">
        <is>
          <t>data/raw/claro_convergent_multi_SP.html</t>
        </is>
      </c>
    </row>
    <row r="728">
      <c r="A728" s="2" t="inlineStr">
        <is>
          <t>2026-09-02</t>
        </is>
      </c>
      <c r="B728" s="2" t="inlineStr">
        <is>
          <t>2026-09-02T19:57:51</t>
        </is>
      </c>
      <c r="C728" s="2" t="inlineStr">
        <is>
          <t>claro</t>
        </is>
      </c>
      <c r="D728" s="2" t="inlineStr">
        <is>
          <t>SP</t>
        </is>
      </c>
      <c r="E728" s="2" t="inlineStr">
        <is>
          <t>1 Giga com Globoplay incluso + Claro tv+ Soundbox + Disney+ Amazon Prime + Netflix + HBO Max + Apple TV + Globoplay</t>
        </is>
      </c>
      <c r="F728" s="2" t="inlineStr">
        <is>
          <t>claro:ceb9fd87-0897-4dd2-a2f2-e7f09e714e49</t>
        </is>
      </c>
      <c r="G728" s="3" t="n">
        <v>429.8</v>
      </c>
      <c r="H728" s="3" t="inlineStr"/>
      <c r="I728" s="2" t="inlineStr"/>
      <c r="J728" s="2" t="inlineStr"/>
      <c r="K728" s="2" t="inlineStr">
        <is>
          <t>tab: Fibra + TV</t>
        </is>
      </c>
      <c r="L728" s="2" t="inlineStr">
        <is>
          <t>broadband+tv</t>
        </is>
      </c>
      <c r="M728" s="2" t="inlineStr">
        <is>
          <t>Fiber + TV</t>
        </is>
      </c>
      <c r="N728" s="2" t="b">
        <v>0</v>
      </c>
      <c r="O728" s="2" t="b">
        <v>1</v>
      </c>
      <c r="P728" s="2" t="b">
        <v>1</v>
      </c>
      <c r="Q728" s="2" t="b">
        <v>0</v>
      </c>
      <c r="R728" s="4" t="n">
        <v>1000</v>
      </c>
      <c r="S728" s="4" t="inlineStr"/>
      <c r="T728" s="4" t="inlineStr"/>
      <c r="U728" s="2" t="inlineStr">
        <is>
          <t>Claro tv+ Soundbox + Disney+ Amazon Prime + Netflix + HBO Max + Apple TV + Globoplay</t>
        </is>
      </c>
      <c r="V728" s="2" t="inlineStr"/>
      <c r="W728" s="2" t="inlineStr"/>
      <c r="X728" s="2" t="inlineStr"/>
      <c r="Y728" s="2" t="inlineStr">
        <is>
          <t>https://www.claro.com.br/multi</t>
        </is>
      </c>
      <c r="Z728" s="2" t="inlineStr">
        <is>
          <t>data/raw/claro_convergent_multi_SP.html</t>
        </is>
      </c>
    </row>
    <row r="729">
      <c r="A729" s="5" t="inlineStr">
        <is>
          <t>2026-09-02</t>
        </is>
      </c>
      <c r="B729" s="5" t="inlineStr">
        <is>
          <t>2026-09-02T19:57:51</t>
        </is>
      </c>
      <c r="C729" s="5" t="inlineStr">
        <is>
          <t>claro</t>
        </is>
      </c>
      <c r="D729" s="5" t="inlineStr">
        <is>
          <t>SP</t>
        </is>
      </c>
      <c r="E729" s="5" t="inlineStr">
        <is>
          <t>1 Giga com Globoplay incluso + Pós 100GB</t>
        </is>
      </c>
      <c r="F729" s="5" t="inlineStr">
        <is>
          <t>claro:a1de0ac1-61bb-4e97-a744-1ae4c3541673</t>
        </is>
      </c>
      <c r="G729" s="6" t="n">
        <v>179.9</v>
      </c>
      <c r="H729" s="6" t="inlineStr"/>
      <c r="I729" s="5" t="inlineStr"/>
      <c r="J729" s="5" t="inlineStr"/>
      <c r="K729" s="5" t="inlineStr">
        <is>
          <t>tab: Fibra + Móvel</t>
        </is>
      </c>
      <c r="L729" s="5" t="inlineStr">
        <is>
          <t>mobile+broadband</t>
        </is>
      </c>
      <c r="M729" s="5" t="inlineStr">
        <is>
          <t>Fiber + Mobile</t>
        </is>
      </c>
      <c r="N729" s="5" t="b">
        <v>1</v>
      </c>
      <c r="O729" s="5" t="b">
        <v>1</v>
      </c>
      <c r="P729" s="5" t="b">
        <v>0</v>
      </c>
      <c r="Q729" s="5" t="b">
        <v>0</v>
      </c>
      <c r="R729" s="7" t="n">
        <v>1000</v>
      </c>
      <c r="S729" s="7" t="n">
        <v>100</v>
      </c>
      <c r="T729" s="7" t="n">
        <v>1</v>
      </c>
      <c r="U729" s="5" t="inlineStr"/>
      <c r="V729" s="5" t="inlineStr"/>
      <c r="W729" s="5" t="inlineStr"/>
      <c r="X729" s="5" t="inlineStr">
        <is>
          <t>Pós 100GB</t>
        </is>
      </c>
      <c r="Y729" s="5" t="inlineStr">
        <is>
          <t>https://www.claro.com.br/multi</t>
        </is>
      </c>
      <c r="Z729" s="5" t="inlineStr">
        <is>
          <t>data/raw/claro_convergent_multi_SP.html</t>
        </is>
      </c>
    </row>
    <row r="730">
      <c r="A730" s="2" t="inlineStr">
        <is>
          <t>2026-09-02</t>
        </is>
      </c>
      <c r="B730" s="2" t="inlineStr">
        <is>
          <t>2026-09-02T19:57:51</t>
        </is>
      </c>
      <c r="C730" s="2" t="inlineStr">
        <is>
          <t>claro</t>
        </is>
      </c>
      <c r="D730" s="2" t="inlineStr">
        <is>
          <t>SP</t>
        </is>
      </c>
      <c r="E730" s="2" t="inlineStr">
        <is>
          <t>1 Giga com Globoplay incluso + Pós 100GB + Claro tv+ Box + Disney+ Amazon Prime + Netflix + HBO Max + Apple TV + Globoplay</t>
        </is>
      </c>
      <c r="F730" s="2" t="inlineStr">
        <is>
          <t>claro:548c4bad-7857-4c0c-94d5-45d33d66c57f</t>
        </is>
      </c>
      <c r="G730" s="3" t="n">
        <v>289.8</v>
      </c>
      <c r="H730" s="3" t="inlineStr"/>
      <c r="I730" s="2" t="inlineStr"/>
      <c r="J730" s="2" t="inlineStr"/>
      <c r="K730" s="2" t="inlineStr">
        <is>
          <t>tab: Fibra + Móvel + TV</t>
        </is>
      </c>
      <c r="L730" s="2" t="inlineStr">
        <is>
          <t>mobile+broadband+tv</t>
        </is>
      </c>
      <c r="M730" s="2" t="inlineStr">
        <is>
          <t>Fiber + Mobile + TV</t>
        </is>
      </c>
      <c r="N730" s="2" t="b">
        <v>1</v>
      </c>
      <c r="O730" s="2" t="b">
        <v>1</v>
      </c>
      <c r="P730" s="2" t="b">
        <v>1</v>
      </c>
      <c r="Q730" s="2" t="b">
        <v>0</v>
      </c>
      <c r="R730" s="4" t="n">
        <v>1000</v>
      </c>
      <c r="S730" s="4" t="n">
        <v>100</v>
      </c>
      <c r="T730" s="4" t="n">
        <v>1</v>
      </c>
      <c r="U730" s="2" t="inlineStr">
        <is>
          <t>Claro tv+ Box + Disney+ Amazon Prime + Netflix + HBO Max + Apple TV + Globoplay</t>
        </is>
      </c>
      <c r="V730" s="2" t="inlineStr"/>
      <c r="W730" s="2" t="inlineStr"/>
      <c r="X730" s="2" t="inlineStr">
        <is>
          <t>Pós 100GB</t>
        </is>
      </c>
      <c r="Y730" s="2" t="inlineStr">
        <is>
          <t>https://www.claro.com.br/multi</t>
        </is>
      </c>
      <c r="Z730" s="2" t="inlineStr">
        <is>
          <t>data/raw/claro_convergent_multi_SP.html</t>
        </is>
      </c>
    </row>
    <row r="731">
      <c r="A731" s="5" t="inlineStr">
        <is>
          <t>2026-09-02</t>
        </is>
      </c>
      <c r="B731" s="5" t="inlineStr">
        <is>
          <t>2026-09-02T19:57:51</t>
        </is>
      </c>
      <c r="C731" s="5" t="inlineStr">
        <is>
          <t>claro</t>
        </is>
      </c>
      <c r="D731" s="5" t="inlineStr">
        <is>
          <t>SP</t>
        </is>
      </c>
      <c r="E731" s="5" t="inlineStr">
        <is>
          <t>1 Giga com Globoplay incluso + Pós 150GB</t>
        </is>
      </c>
      <c r="F731" s="5" t="inlineStr">
        <is>
          <t>claro:d47e2a3b-dfd0-410e-9c24-d07a334d01d4</t>
        </is>
      </c>
      <c r="G731" s="6" t="n">
        <v>299.9</v>
      </c>
      <c r="H731" s="6" t="inlineStr"/>
      <c r="I731" s="5" t="inlineStr"/>
      <c r="J731" s="5" t="inlineStr"/>
      <c r="K731" s="5" t="inlineStr">
        <is>
          <t>tab: Fibra + Móvel</t>
        </is>
      </c>
      <c r="L731" s="5" t="inlineStr">
        <is>
          <t>mobile+broadband</t>
        </is>
      </c>
      <c r="M731" s="5" t="inlineStr">
        <is>
          <t>Fiber + Mobile</t>
        </is>
      </c>
      <c r="N731" s="5" t="b">
        <v>1</v>
      </c>
      <c r="O731" s="5" t="b">
        <v>1</v>
      </c>
      <c r="P731" s="5" t="b">
        <v>0</v>
      </c>
      <c r="Q731" s="5" t="b">
        <v>0</v>
      </c>
      <c r="R731" s="7" t="n">
        <v>1000</v>
      </c>
      <c r="S731" s="7" t="n">
        <v>150</v>
      </c>
      <c r="T731" s="7" t="n">
        <v>2</v>
      </c>
      <c r="U731" s="5" t="inlineStr"/>
      <c r="V731" s="5" t="inlineStr"/>
      <c r="W731" s="5" t="inlineStr"/>
      <c r="X731" s="5" t="inlineStr">
        <is>
          <t>Pós 150GB</t>
        </is>
      </c>
      <c r="Y731" s="5" t="inlineStr">
        <is>
          <t>https://www.claro.com.br/multi</t>
        </is>
      </c>
      <c r="Z731" s="5" t="inlineStr">
        <is>
          <t>data/raw/claro_convergent_multi_SP.html</t>
        </is>
      </c>
    </row>
    <row r="732">
      <c r="A732" s="2" t="inlineStr">
        <is>
          <t>2026-09-02</t>
        </is>
      </c>
      <c r="B732" s="2" t="inlineStr">
        <is>
          <t>2026-09-02T19:57:51</t>
        </is>
      </c>
      <c r="C732" s="2" t="inlineStr">
        <is>
          <t>claro</t>
        </is>
      </c>
      <c r="D732" s="2" t="inlineStr">
        <is>
          <t>SP</t>
        </is>
      </c>
      <c r="E732" s="2" t="inlineStr">
        <is>
          <t>1 Giga com Globoplay incluso + Pós 150GB + Claro tv+ Box + Disney+ Amazon Prime + Netflix + HBO Max + Apple TV + Globoplay</t>
        </is>
      </c>
      <c r="F732" s="2" t="inlineStr">
        <is>
          <t>claro:7785b449-69f2-4234-9e24-8837e32a55c0</t>
        </is>
      </c>
      <c r="G732" s="3" t="n">
        <v>409.8</v>
      </c>
      <c r="H732" s="3" t="inlineStr"/>
      <c r="I732" s="2" t="inlineStr"/>
      <c r="J732" s="2" t="inlineStr"/>
      <c r="K732" s="2" t="inlineStr">
        <is>
          <t>tab: Fibra + Móvel + TV</t>
        </is>
      </c>
      <c r="L732" s="2" t="inlineStr">
        <is>
          <t>mobile+broadband+tv</t>
        </is>
      </c>
      <c r="M732" s="2" t="inlineStr">
        <is>
          <t>Fiber + Mobile + TV</t>
        </is>
      </c>
      <c r="N732" s="2" t="b">
        <v>1</v>
      </c>
      <c r="O732" s="2" t="b">
        <v>1</v>
      </c>
      <c r="P732" s="2" t="b">
        <v>1</v>
      </c>
      <c r="Q732" s="2" t="b">
        <v>0</v>
      </c>
      <c r="R732" s="4" t="n">
        <v>1000</v>
      </c>
      <c r="S732" s="4" t="n">
        <v>150</v>
      </c>
      <c r="T732" s="4" t="n">
        <v>1</v>
      </c>
      <c r="U732" s="2" t="inlineStr">
        <is>
          <t>Claro tv+ Box + Disney+ Amazon Prime + Netflix + HBO Max + Apple TV + Globoplay</t>
        </is>
      </c>
      <c r="V732" s="2" t="inlineStr"/>
      <c r="W732" s="2" t="inlineStr"/>
      <c r="X732" s="2" t="inlineStr">
        <is>
          <t>Pós 150GB</t>
        </is>
      </c>
      <c r="Y732" s="2" t="inlineStr">
        <is>
          <t>https://www.claro.com.br/multi</t>
        </is>
      </c>
      <c r="Z732" s="2" t="inlineStr">
        <is>
          <t>data/raw/claro_convergent_multi_SP.html</t>
        </is>
      </c>
    </row>
    <row r="733">
      <c r="A733" s="5" t="inlineStr">
        <is>
          <t>2026-09-02</t>
        </is>
      </c>
      <c r="B733" s="5" t="inlineStr">
        <is>
          <t>2026-09-02T19:57:51</t>
        </is>
      </c>
      <c r="C733" s="5" t="inlineStr">
        <is>
          <t>claro</t>
        </is>
      </c>
      <c r="D733" s="5" t="inlineStr">
        <is>
          <t>SP</t>
        </is>
      </c>
      <c r="E733" s="5" t="inlineStr">
        <is>
          <t>1 Giga com Globoplay incluso + Pós 200GB</t>
        </is>
      </c>
      <c r="F733" s="5" t="inlineStr">
        <is>
          <t>claro:1961a62d-3213-4ff0-a152-401a45c5b1b5</t>
        </is>
      </c>
      <c r="G733" s="6" t="n">
        <v>359.9</v>
      </c>
      <c r="H733" s="6" t="inlineStr"/>
      <c r="I733" s="5" t="inlineStr"/>
      <c r="J733" s="5" t="inlineStr"/>
      <c r="K733" s="5" t="inlineStr">
        <is>
          <t>tab: Fibra + Móvel</t>
        </is>
      </c>
      <c r="L733" s="5" t="inlineStr">
        <is>
          <t>mobile+broadband</t>
        </is>
      </c>
      <c r="M733" s="5" t="inlineStr">
        <is>
          <t>Fiber + Mobile</t>
        </is>
      </c>
      <c r="N733" s="5" t="b">
        <v>1</v>
      </c>
      <c r="O733" s="5" t="b">
        <v>1</v>
      </c>
      <c r="P733" s="5" t="b">
        <v>0</v>
      </c>
      <c r="Q733" s="5" t="b">
        <v>0</v>
      </c>
      <c r="R733" s="7" t="n">
        <v>1000</v>
      </c>
      <c r="S733" s="7" t="n">
        <v>200</v>
      </c>
      <c r="T733" s="7" t="n">
        <v>3</v>
      </c>
      <c r="U733" s="5" t="inlineStr"/>
      <c r="V733" s="5" t="inlineStr"/>
      <c r="W733" s="5" t="inlineStr"/>
      <c r="X733" s="5" t="inlineStr">
        <is>
          <t>Pós 200GB</t>
        </is>
      </c>
      <c r="Y733" s="5" t="inlineStr">
        <is>
          <t>https://www.claro.com.br/multi</t>
        </is>
      </c>
      <c r="Z733" s="5" t="inlineStr">
        <is>
          <t>data/raw/claro_convergent_multi_SP.html</t>
        </is>
      </c>
    </row>
    <row r="734">
      <c r="A734" s="2" t="inlineStr">
        <is>
          <t>2026-09-02</t>
        </is>
      </c>
      <c r="B734" s="2" t="inlineStr">
        <is>
          <t>2026-09-02T19:57:51</t>
        </is>
      </c>
      <c r="C734" s="2" t="inlineStr">
        <is>
          <t>claro</t>
        </is>
      </c>
      <c r="D734" s="2" t="inlineStr">
        <is>
          <t>SP</t>
        </is>
      </c>
      <c r="E734" s="2" t="inlineStr">
        <is>
          <t>1 Giga com Globoplay incluso + Pós 200GB + Claro tv+ Box + Disney+ Amazon Prime + Netflix + HBO Max + Apple TV + Globoplay</t>
        </is>
      </c>
      <c r="F734" s="2" t="inlineStr">
        <is>
          <t>claro:312815a2-b3a5-43bb-89a1-272d53ccb212</t>
        </is>
      </c>
      <c r="G734" s="3" t="n">
        <v>469.8</v>
      </c>
      <c r="H734" s="3" t="inlineStr"/>
      <c r="I734" s="2" t="inlineStr"/>
      <c r="J734" s="2" t="inlineStr"/>
      <c r="K734" s="2" t="inlineStr">
        <is>
          <t>tab: Fibra + Móvel + TV</t>
        </is>
      </c>
      <c r="L734" s="2" t="inlineStr">
        <is>
          <t>mobile+broadband+tv</t>
        </is>
      </c>
      <c r="M734" s="2" t="inlineStr">
        <is>
          <t>Fiber + Mobile + TV</t>
        </is>
      </c>
      <c r="N734" s="2" t="b">
        <v>1</v>
      </c>
      <c r="O734" s="2" t="b">
        <v>1</v>
      </c>
      <c r="P734" s="2" t="b">
        <v>1</v>
      </c>
      <c r="Q734" s="2" t="b">
        <v>0</v>
      </c>
      <c r="R734" s="4" t="n">
        <v>1000</v>
      </c>
      <c r="S734" s="4" t="n">
        <v>200</v>
      </c>
      <c r="T734" s="4" t="n">
        <v>1</v>
      </c>
      <c r="U734" s="2" t="inlineStr">
        <is>
          <t>Claro tv+ Box + Disney+ Amazon Prime + Netflix + HBO Max + Apple TV + Globoplay</t>
        </is>
      </c>
      <c r="V734" s="2" t="inlineStr"/>
      <c r="W734" s="2" t="inlineStr"/>
      <c r="X734" s="2" t="inlineStr">
        <is>
          <t>Pós 200GB</t>
        </is>
      </c>
      <c r="Y734" s="2" t="inlineStr">
        <is>
          <t>https://www.claro.com.br/multi</t>
        </is>
      </c>
      <c r="Z734" s="2" t="inlineStr">
        <is>
          <t>data/raw/claro_convergent_multi_SP.html</t>
        </is>
      </c>
    </row>
    <row r="735">
      <c r="A735" s="5" t="inlineStr">
        <is>
          <t>2026-09-02</t>
        </is>
      </c>
      <c r="B735" s="5" t="inlineStr">
        <is>
          <t>2026-09-02T19:57:51</t>
        </is>
      </c>
      <c r="C735" s="5" t="inlineStr">
        <is>
          <t>claro</t>
        </is>
      </c>
      <c r="D735" s="5" t="inlineStr">
        <is>
          <t>SP</t>
        </is>
      </c>
      <c r="E735" s="5" t="inlineStr">
        <is>
          <t>350 Mega com Globoplay incluso + Claro tv+ Box + Disney+ Amazon Prime + Netflix + HBO Max + Apple TV + Globoplay</t>
        </is>
      </c>
      <c r="F735" s="5" t="inlineStr">
        <is>
          <t>claro:97b00450-6f21-4349-8363-83d624b18328</t>
        </is>
      </c>
      <c r="G735" s="6" t="n">
        <v>229.8</v>
      </c>
      <c r="H735" s="6" t="inlineStr"/>
      <c r="I735" s="5" t="inlineStr"/>
      <c r="J735" s="5" t="inlineStr"/>
      <c r="K735" s="5" t="inlineStr">
        <is>
          <t>tab: Fibra + TV</t>
        </is>
      </c>
      <c r="L735" s="5" t="inlineStr">
        <is>
          <t>broadband+tv</t>
        </is>
      </c>
      <c r="M735" s="5" t="inlineStr">
        <is>
          <t>Fiber + TV</t>
        </is>
      </c>
      <c r="N735" s="5" t="b">
        <v>0</v>
      </c>
      <c r="O735" s="5" t="b">
        <v>1</v>
      </c>
      <c r="P735" s="5" t="b">
        <v>1</v>
      </c>
      <c r="Q735" s="5" t="b">
        <v>0</v>
      </c>
      <c r="R735" s="7" t="n">
        <v>350</v>
      </c>
      <c r="S735" s="7" t="inlineStr"/>
      <c r="T735" s="7" t="inlineStr"/>
      <c r="U735" s="5" t="inlineStr">
        <is>
          <t>Claro tv+ Box + Disney+ Amazon Prime + Netflix + HBO Max + Apple TV + Globoplay</t>
        </is>
      </c>
      <c r="V735" s="5" t="inlineStr"/>
      <c r="W735" s="5" t="inlineStr"/>
      <c r="X735" s="5" t="inlineStr"/>
      <c r="Y735" s="5" t="inlineStr">
        <is>
          <t>https://www.claro.com.br/multi</t>
        </is>
      </c>
      <c r="Z735" s="5" t="inlineStr">
        <is>
          <t>data/raw/claro_convergent_multi_SP.html</t>
        </is>
      </c>
    </row>
    <row r="736">
      <c r="A736" s="2" t="inlineStr">
        <is>
          <t>2026-09-02</t>
        </is>
      </c>
      <c r="B736" s="2" t="inlineStr">
        <is>
          <t>2026-09-02T19:57:51</t>
        </is>
      </c>
      <c r="C736" s="2" t="inlineStr">
        <is>
          <t>claro</t>
        </is>
      </c>
      <c r="D736" s="2" t="inlineStr">
        <is>
          <t>SP</t>
        </is>
      </c>
      <c r="E736" s="2" t="inlineStr">
        <is>
          <t>350 Mega com Globoplay incluso + Controle 40GB</t>
        </is>
      </c>
      <c r="F736" s="2" t="inlineStr">
        <is>
          <t>claro:a866ea9a-6a70-4b6e-b886-f8178086ca91</t>
        </is>
      </c>
      <c r="G736" s="3" t="n">
        <v>129.8</v>
      </c>
      <c r="H736" s="3" t="inlineStr"/>
      <c r="I736" s="2" t="inlineStr"/>
      <c r="J736" s="2" t="inlineStr">
        <is>
          <t>debit_auto</t>
        </is>
      </c>
      <c r="K736" s="2" t="inlineStr">
        <is>
          <t>tab: Fibra + Móvel; preço em débito em conta; +R$ 5.00 sem débito automático</t>
        </is>
      </c>
      <c r="L736" s="2" t="inlineStr">
        <is>
          <t>mobile+broadband</t>
        </is>
      </c>
      <c r="M736" s="2" t="inlineStr">
        <is>
          <t>Fiber + Mobile</t>
        </is>
      </c>
      <c r="N736" s="2" t="b">
        <v>1</v>
      </c>
      <c r="O736" s="2" t="b">
        <v>1</v>
      </c>
      <c r="P736" s="2" t="b">
        <v>0</v>
      </c>
      <c r="Q736" s="2" t="b">
        <v>0</v>
      </c>
      <c r="R736" s="4" t="n">
        <v>350</v>
      </c>
      <c r="S736" s="4" t="n">
        <v>40</v>
      </c>
      <c r="T736" s="4" t="n">
        <v>1</v>
      </c>
      <c r="U736" s="2" t="inlineStr"/>
      <c r="V736" s="2" t="inlineStr"/>
      <c r="W736" s="2" t="inlineStr"/>
      <c r="X736" s="2" t="inlineStr">
        <is>
          <t>Controle 40GB</t>
        </is>
      </c>
      <c r="Y736" s="2" t="inlineStr">
        <is>
          <t>https://www.claro.com.br/multi</t>
        </is>
      </c>
      <c r="Z736" s="2" t="inlineStr">
        <is>
          <t>data/raw/claro_convergent_multi_SP.html</t>
        </is>
      </c>
    </row>
    <row r="737">
      <c r="A737" s="5" t="inlineStr">
        <is>
          <t>2026-09-02</t>
        </is>
      </c>
      <c r="B737" s="5" t="inlineStr">
        <is>
          <t>2026-09-02T19:57:51</t>
        </is>
      </c>
      <c r="C737" s="5" t="inlineStr">
        <is>
          <t>claro</t>
        </is>
      </c>
      <c r="D737" s="5" t="inlineStr">
        <is>
          <t>SP</t>
        </is>
      </c>
      <c r="E737" s="5" t="inlineStr">
        <is>
          <t>350 Mega com Globoplay incluso + Pós 100GB + Claro tv+ Box + Disney+ Amazon Prime + Netflix + HBO Max + Apple TV + Globoplay</t>
        </is>
      </c>
      <c r="F737" s="5" t="inlineStr">
        <is>
          <t>claro:746fa9cf-ea2b-40de-ad2c-5803b3e0ab08</t>
        </is>
      </c>
      <c r="G737" s="6" t="n">
        <v>249.8</v>
      </c>
      <c r="H737" s="6" t="inlineStr"/>
      <c r="I737" s="5" t="inlineStr"/>
      <c r="J737" s="5" t="inlineStr"/>
      <c r="K737" s="5" t="inlineStr">
        <is>
          <t>tab: Fibra + Móvel + TV</t>
        </is>
      </c>
      <c r="L737" s="5" t="inlineStr">
        <is>
          <t>mobile+broadband+tv</t>
        </is>
      </c>
      <c r="M737" s="5" t="inlineStr">
        <is>
          <t>Fiber + Mobile + TV</t>
        </is>
      </c>
      <c r="N737" s="5" t="b">
        <v>1</v>
      </c>
      <c r="O737" s="5" t="b">
        <v>1</v>
      </c>
      <c r="P737" s="5" t="b">
        <v>1</v>
      </c>
      <c r="Q737" s="5" t="b">
        <v>0</v>
      </c>
      <c r="R737" s="7" t="n">
        <v>350</v>
      </c>
      <c r="S737" s="7" t="n">
        <v>100</v>
      </c>
      <c r="T737" s="7" t="n">
        <v>1</v>
      </c>
      <c r="U737" s="5" t="inlineStr">
        <is>
          <t>Claro tv+ Box + Disney+ Amazon Prime + Netflix + HBO Max + Apple TV + Globoplay</t>
        </is>
      </c>
      <c r="V737" s="5" t="inlineStr"/>
      <c r="W737" s="5" t="inlineStr"/>
      <c r="X737" s="5" t="inlineStr">
        <is>
          <t>Pós 100GB</t>
        </is>
      </c>
      <c r="Y737" s="5" t="inlineStr">
        <is>
          <t>https://www.claro.com.br/multi</t>
        </is>
      </c>
      <c r="Z737" s="5" t="inlineStr">
        <is>
          <t>data/raw/claro_convergent_multi_SP.html</t>
        </is>
      </c>
    </row>
    <row r="738">
      <c r="A738" s="2" t="inlineStr">
        <is>
          <t>2026-09-02</t>
        </is>
      </c>
      <c r="B738" s="2" t="inlineStr">
        <is>
          <t>2026-09-02T19:57:51</t>
        </is>
      </c>
      <c r="C738" s="2" t="inlineStr">
        <is>
          <t>claro</t>
        </is>
      </c>
      <c r="D738" s="2" t="inlineStr">
        <is>
          <t>SP</t>
        </is>
      </c>
      <c r="E738" s="2" t="inlineStr">
        <is>
          <t>600 Mega com Globoplay incluso + Claro tv+ Box + Disney+ Amazon Prime + Netflix + HBO Max + Apple TV + Globoplay</t>
        </is>
      </c>
      <c r="F738" s="2" t="inlineStr">
        <is>
          <t>claro:545261b1-2f4d-4dab-82a6-02d9e66c5d3d</t>
        </is>
      </c>
      <c r="G738" s="3" t="n">
        <v>239.8</v>
      </c>
      <c r="H738" s="3" t="inlineStr"/>
      <c r="I738" s="2" t="inlineStr"/>
      <c r="J738" s="2" t="inlineStr"/>
      <c r="K738" s="2" t="inlineStr">
        <is>
          <t>tab: Fibra + TV</t>
        </is>
      </c>
      <c r="L738" s="2" t="inlineStr">
        <is>
          <t>broadband+tv</t>
        </is>
      </c>
      <c r="M738" s="2" t="inlineStr">
        <is>
          <t>Fiber + TV</t>
        </is>
      </c>
      <c r="N738" s="2" t="b">
        <v>0</v>
      </c>
      <c r="O738" s="2" t="b">
        <v>1</v>
      </c>
      <c r="P738" s="2" t="b">
        <v>1</v>
      </c>
      <c r="Q738" s="2" t="b">
        <v>0</v>
      </c>
      <c r="R738" s="4" t="n">
        <v>600</v>
      </c>
      <c r="S738" s="4" t="inlineStr"/>
      <c r="T738" s="4" t="inlineStr"/>
      <c r="U738" s="2" t="inlineStr">
        <is>
          <t>Claro tv+ Box + Disney+ Amazon Prime + Netflix + HBO Max + Apple TV + Globoplay</t>
        </is>
      </c>
      <c r="V738" s="2" t="inlineStr"/>
      <c r="W738" s="2" t="inlineStr"/>
      <c r="X738" s="2" t="inlineStr"/>
      <c r="Y738" s="2" t="inlineStr">
        <is>
          <t>https://www.claro.com.br/multi</t>
        </is>
      </c>
      <c r="Z738" s="2" t="inlineStr">
        <is>
          <t>data/raw/claro_convergent_multi_SP.html</t>
        </is>
      </c>
    </row>
    <row r="739">
      <c r="A739" s="5" t="inlineStr">
        <is>
          <t>2026-09-02</t>
        </is>
      </c>
      <c r="B739" s="5" t="inlineStr">
        <is>
          <t>2026-09-02T19:57:51</t>
        </is>
      </c>
      <c r="C739" s="5" t="inlineStr">
        <is>
          <t>claro</t>
        </is>
      </c>
      <c r="D739" s="5" t="inlineStr">
        <is>
          <t>SP</t>
        </is>
      </c>
      <c r="E739" s="5" t="inlineStr">
        <is>
          <t>600 Mega com Globoplay incluso + Pós 100GB</t>
        </is>
      </c>
      <c r="F739" s="5" t="inlineStr">
        <is>
          <t>claro:350ac58a-533c-4858-83be-be3ea39c8874</t>
        </is>
      </c>
      <c r="G739" s="6" t="n">
        <v>159.9</v>
      </c>
      <c r="H739" s="6" t="inlineStr"/>
      <c r="I739" s="5" t="inlineStr"/>
      <c r="J739" s="5" t="inlineStr"/>
      <c r="K739" s="5" t="inlineStr">
        <is>
          <t>tab: Fibra + Móvel</t>
        </is>
      </c>
      <c r="L739" s="5" t="inlineStr">
        <is>
          <t>mobile+broadband</t>
        </is>
      </c>
      <c r="M739" s="5" t="inlineStr">
        <is>
          <t>Fiber + Mobile</t>
        </is>
      </c>
      <c r="N739" s="5" t="b">
        <v>1</v>
      </c>
      <c r="O739" s="5" t="b">
        <v>1</v>
      </c>
      <c r="P739" s="5" t="b">
        <v>0</v>
      </c>
      <c r="Q739" s="5" t="b">
        <v>0</v>
      </c>
      <c r="R739" s="7" t="n">
        <v>600</v>
      </c>
      <c r="S739" s="7" t="n">
        <v>100</v>
      </c>
      <c r="T739" s="7" t="n">
        <v>1</v>
      </c>
      <c r="U739" s="5" t="inlineStr"/>
      <c r="V739" s="5" t="inlineStr"/>
      <c r="W739" s="5" t="inlineStr"/>
      <c r="X739" s="5" t="inlineStr">
        <is>
          <t>Pós 100GB</t>
        </is>
      </c>
      <c r="Y739" s="5" t="inlineStr">
        <is>
          <t>https://www.claro.com.br/multi</t>
        </is>
      </c>
      <c r="Z739" s="5" t="inlineStr">
        <is>
          <t>data/raw/claro_convergent_multi_SP.html</t>
        </is>
      </c>
    </row>
    <row r="740">
      <c r="A740" s="2" t="inlineStr">
        <is>
          <t>2026-09-02</t>
        </is>
      </c>
      <c r="B740" s="2" t="inlineStr">
        <is>
          <t>2026-09-02T19:57:51</t>
        </is>
      </c>
      <c r="C740" s="2" t="inlineStr">
        <is>
          <t>claro</t>
        </is>
      </c>
      <c r="D740" s="2" t="inlineStr">
        <is>
          <t>SP</t>
        </is>
      </c>
      <c r="E740" s="2" t="inlineStr">
        <is>
          <t>600 Mega com Globoplay incluso + Pós 100GB + Claro tv+ Box + Disney+ Amazon Prime + Netflix + HBO Max + Apple TV + Globoplay</t>
        </is>
      </c>
      <c r="F740" s="2" t="inlineStr">
        <is>
          <t>claro:f36e7dfb-f7c9-4055-844f-7bc101699de8</t>
        </is>
      </c>
      <c r="G740" s="3" t="n">
        <v>269.8</v>
      </c>
      <c r="H740" s="3" t="inlineStr"/>
      <c r="I740" s="2" t="inlineStr"/>
      <c r="J740" s="2" t="inlineStr"/>
      <c r="K740" s="2" t="inlineStr">
        <is>
          <t>tab: Fibra + Móvel + TV</t>
        </is>
      </c>
      <c r="L740" s="2" t="inlineStr">
        <is>
          <t>mobile+broadband+tv</t>
        </is>
      </c>
      <c r="M740" s="2" t="inlineStr">
        <is>
          <t>Fiber + Mobile + TV</t>
        </is>
      </c>
      <c r="N740" s="2" t="b">
        <v>1</v>
      </c>
      <c r="O740" s="2" t="b">
        <v>1</v>
      </c>
      <c r="P740" s="2" t="b">
        <v>1</v>
      </c>
      <c r="Q740" s="2" t="b">
        <v>0</v>
      </c>
      <c r="R740" s="4" t="n">
        <v>600</v>
      </c>
      <c r="S740" s="4" t="n">
        <v>100</v>
      </c>
      <c r="T740" s="4" t="n">
        <v>1</v>
      </c>
      <c r="U740" s="2" t="inlineStr">
        <is>
          <t>Claro tv+ Box + Disney+ Amazon Prime + Netflix + HBO Max + Apple TV + Globoplay</t>
        </is>
      </c>
      <c r="V740" s="2" t="inlineStr"/>
      <c r="W740" s="2" t="inlineStr"/>
      <c r="X740" s="2" t="inlineStr">
        <is>
          <t>Pós 100GB</t>
        </is>
      </c>
      <c r="Y740" s="2" t="inlineStr">
        <is>
          <t>https://www.claro.com.br/multi</t>
        </is>
      </c>
      <c r="Z740" s="2" t="inlineStr">
        <is>
          <t>data/raw/claro_convergent_multi_SP.html</t>
        </is>
      </c>
    </row>
    <row r="741">
      <c r="A741" s="5" t="inlineStr">
        <is>
          <t>2026-09-02</t>
        </is>
      </c>
      <c r="B741" s="5" t="inlineStr">
        <is>
          <t>2026-09-02T19:57:51</t>
        </is>
      </c>
      <c r="C741" s="5" t="inlineStr">
        <is>
          <t>tim</t>
        </is>
      </c>
      <c r="D741" s="5" t="inlineStr">
        <is>
          <t>SP</t>
        </is>
      </c>
      <c r="E741" s="5" t="inlineStr">
        <is>
          <t>TIM Ultracombo 5</t>
        </is>
      </c>
      <c r="F741" s="5" t="inlineStr">
        <is>
          <t>tim:167756</t>
        </is>
      </c>
      <c r="G741" s="6" t="n">
        <v>169.99</v>
      </c>
      <c r="H741" s="6" t="inlineStr"/>
      <c r="I741" s="5" t="inlineStr"/>
      <c r="J741" s="5" t="inlineStr">
        <is>
          <t>debit_auto</t>
        </is>
      </c>
      <c r="K741" s="5" t="inlineStr">
        <is>
          <t>preço em débito automático; R$ 179,99/mês no pagamento por fatura</t>
        </is>
      </c>
      <c r="L741" s="5" t="inlineStr">
        <is>
          <t>mobile+broadband</t>
        </is>
      </c>
      <c r="M741" s="5" t="inlineStr">
        <is>
          <t>Fiber + Mobile</t>
        </is>
      </c>
      <c r="N741" s="5" t="b">
        <v>1</v>
      </c>
      <c r="O741" s="5" t="b">
        <v>1</v>
      </c>
      <c r="P741" s="5" t="b">
        <v>0</v>
      </c>
      <c r="Q741" s="5" t="b">
        <v>0</v>
      </c>
      <c r="R741" s="7" t="n">
        <v>1000</v>
      </c>
      <c r="S741" s="7" t="n">
        <v>115</v>
      </c>
      <c r="T741" s="7" t="n">
        <v>1</v>
      </c>
      <c r="U741" s="5" t="inlineStr"/>
      <c r="V741" s="5" t="inlineStr">
        <is>
          <t>Paramount+, Deezer</t>
        </is>
      </c>
      <c r="W741" s="5" t="inlineStr"/>
      <c r="X741" s="5" t="inlineStr">
        <is>
          <t>1GIGA de Ultrafibra para casa + 115GB de TIM Black C Hero para móvel: (25GB do plano + 40GB promo + 50GB bônus especial)</t>
        </is>
      </c>
      <c r="Y741" s="5" t="inlineStr">
        <is>
          <t>https://www.tim.com.br/sp/internet/tim-ultracombo</t>
        </is>
      </c>
      <c r="Z741" s="5" t="inlineStr">
        <is>
          <t>data/raw/tim_convergent_ultracombo_SP.html</t>
        </is>
      </c>
    </row>
    <row r="742">
      <c r="A742" s="2" t="inlineStr">
        <is>
          <t>2026-09-02</t>
        </is>
      </c>
      <c r="B742" s="2" t="inlineStr">
        <is>
          <t>2026-09-02T19:57:51</t>
        </is>
      </c>
      <c r="C742" s="2" t="inlineStr">
        <is>
          <t>tim</t>
        </is>
      </c>
      <c r="D742" s="2" t="inlineStr">
        <is>
          <t>SP</t>
        </is>
      </c>
      <c r="E742" s="2" t="inlineStr">
        <is>
          <t>TIM Ultracombo 6</t>
        </is>
      </c>
      <c r="F742" s="2" t="inlineStr">
        <is>
          <t>tim:167751</t>
        </is>
      </c>
      <c r="G742" s="3" t="n">
        <v>139.99</v>
      </c>
      <c r="H742" s="3" t="inlineStr"/>
      <c r="I742" s="2" t="inlineStr"/>
      <c r="J742" s="2" t="inlineStr">
        <is>
          <t>debit_auto</t>
        </is>
      </c>
      <c r="K742" s="2" t="inlineStr">
        <is>
          <t>preço em débito automático; R$ 149,99/mês no pagamento por fatura</t>
        </is>
      </c>
      <c r="L742" s="2" t="inlineStr">
        <is>
          <t>mobile+broadband</t>
        </is>
      </c>
      <c r="M742" s="2" t="inlineStr">
        <is>
          <t>Fiber + Mobile</t>
        </is>
      </c>
      <c r="N742" s="2" t="b">
        <v>1</v>
      </c>
      <c r="O742" s="2" t="b">
        <v>1</v>
      </c>
      <c r="P742" s="2" t="b">
        <v>0</v>
      </c>
      <c r="Q742" s="2" t="b">
        <v>0</v>
      </c>
      <c r="R742" s="4" t="n">
        <v>1000</v>
      </c>
      <c r="S742" s="4" t="n">
        <v>70</v>
      </c>
      <c r="T742" s="4" t="n">
        <v>1</v>
      </c>
      <c r="U742" s="2" t="inlineStr"/>
      <c r="V742" s="2" t="inlineStr">
        <is>
          <t>Paramount+, Deezer</t>
        </is>
      </c>
      <c r="W742" s="2" t="inlineStr"/>
      <c r="X742" s="2" t="inlineStr">
        <is>
          <t>1GIGA de Ultrafibra para casa + 70GB de TIM Black A para móvel: (15GB do plano + 50GB promo + 5GB bônus especial)</t>
        </is>
      </c>
      <c r="Y742" s="2" t="inlineStr">
        <is>
          <t>https://www.tim.com.br/sp/internet/tim-ultracombo</t>
        </is>
      </c>
      <c r="Z742" s="2" t="inlineStr">
        <is>
          <t>data/raw/tim_convergent_ultracombo_SP.html</t>
        </is>
      </c>
    </row>
    <row r="743">
      <c r="A743" s="5" t="inlineStr">
        <is>
          <t>2026-09-02</t>
        </is>
      </c>
      <c r="B743" s="5" t="inlineStr">
        <is>
          <t>2026-09-02T19:57:51</t>
        </is>
      </c>
      <c r="C743" s="5" t="inlineStr">
        <is>
          <t>tim</t>
        </is>
      </c>
      <c r="D743" s="5" t="inlineStr">
        <is>
          <t>SP</t>
        </is>
      </c>
      <c r="E743" s="5" t="inlineStr">
        <is>
          <t>TIM Ultracombo 7</t>
        </is>
      </c>
      <c r="F743" s="5" t="inlineStr">
        <is>
          <t>tim:167761</t>
        </is>
      </c>
      <c r="G743" s="6" t="n">
        <v>89.98999999999999</v>
      </c>
      <c r="H743" s="6" t="inlineStr"/>
      <c r="I743" s="5" t="inlineStr"/>
      <c r="J743" s="5" t="inlineStr">
        <is>
          <t>debit_auto</t>
        </is>
      </c>
      <c r="K743" s="5" t="inlineStr">
        <is>
          <t>preço em débito automático; R$ 99,99/mês no pagamento por fatura</t>
        </is>
      </c>
      <c r="L743" s="5" t="inlineStr">
        <is>
          <t>mobile+broadband</t>
        </is>
      </c>
      <c r="M743" s="5" t="inlineStr">
        <is>
          <t>Fiber + Mobile</t>
        </is>
      </c>
      <c r="N743" s="5" t="b">
        <v>1</v>
      </c>
      <c r="O743" s="5" t="b">
        <v>1</v>
      </c>
      <c r="P743" s="5" t="b">
        <v>0</v>
      </c>
      <c r="Q743" s="5" t="b">
        <v>0</v>
      </c>
      <c r="R743" s="7" t="n">
        <v>500</v>
      </c>
      <c r="S743" s="7" t="n">
        <v>65</v>
      </c>
      <c r="T743" s="7" t="n">
        <v>1</v>
      </c>
      <c r="U743" s="5" t="inlineStr"/>
      <c r="V743" s="5" t="inlineStr"/>
      <c r="W743" s="5" t="inlineStr"/>
      <c r="X743" s="5" t="inlineStr">
        <is>
          <t>500MEGA de Ultrafibra para casa + 65GB de TIM Black A Light para móvel: (10GB do plano + 50GB promo)</t>
        </is>
      </c>
      <c r="Y743" s="5" t="inlineStr">
        <is>
          <t>https://www.tim.com.br/sp/internet/tim-ultracombo</t>
        </is>
      </c>
      <c r="Z743" s="5" t="inlineStr">
        <is>
          <t>data/raw/tim_convergent_ultracombo_SP.html</t>
        </is>
      </c>
    </row>
    <row r="744">
      <c r="A744" s="2" t="inlineStr">
        <is>
          <t>2026-09-02</t>
        </is>
      </c>
      <c r="B744" s="2" t="inlineStr">
        <is>
          <t>2026-09-02T19:57:51</t>
        </is>
      </c>
      <c r="C744" s="2" t="inlineStr">
        <is>
          <t>vivo</t>
        </is>
      </c>
      <c r="D744" s="2" t="inlineStr">
        <is>
          <t>SP</t>
        </is>
      </c>
      <c r="E744" s="2" t="inlineStr">
        <is>
          <t>Vivo Família 2 + TV</t>
        </is>
      </c>
      <c r="F744" s="2" t="inlineStr">
        <is>
          <t>vivo:VIV202604032132-3-305-316-336-408-411-426-430-442</t>
        </is>
      </c>
      <c r="G744" s="3" t="n">
        <v>290</v>
      </c>
      <c r="H744" s="3" t="inlineStr"/>
      <c r="I744" s="2" t="inlineStr"/>
      <c r="J744" s="2" t="inlineStr"/>
      <c r="K744" s="2" t="inlineStr">
        <is>
          <t>instalação grátis mediante fidelização (não afeta a mensalidade)</t>
        </is>
      </c>
      <c r="L744" s="2" t="inlineStr">
        <is>
          <t>mobile+broadband+tv</t>
        </is>
      </c>
      <c r="M744" s="2" t="inlineStr">
        <is>
          <t>Fiber + Mobile + TV</t>
        </is>
      </c>
      <c r="N744" s="2" t="b">
        <v>1</v>
      </c>
      <c r="O744" s="2" t="b">
        <v>1</v>
      </c>
      <c r="P744" s="2" t="b">
        <v>1</v>
      </c>
      <c r="Q744" s="2" t="b">
        <v>0</v>
      </c>
      <c r="R744" s="4" t="n">
        <v>700</v>
      </c>
      <c r="S744" s="4" t="n">
        <v>120</v>
      </c>
      <c r="T744" s="4" t="n">
        <v>2</v>
      </c>
      <c r="U744" s="2" t="inlineStr">
        <is>
          <t>80 canais de Vivo Estendido</t>
        </is>
      </c>
      <c r="V744" s="2" t="inlineStr"/>
      <c r="W744" s="2" t="inlineStr">
        <is>
          <t>Vivo Travel Américas e Europa; 1 linha adicional inclusa</t>
        </is>
      </c>
      <c r="X744" s="2" t="inlineStr">
        <is>
          <t>700 Mega de Vivo Fibra</t>
        </is>
      </c>
      <c r="Y744" s="2" t="inlineStr">
        <is>
          <t>https://vivo.com.br/para-voce/produtos-e-servicos/combos/vivo-total</t>
        </is>
      </c>
      <c r="Z744" s="2" t="inlineStr">
        <is>
          <t>data/raw/vivo_convergent_total_SP.html</t>
        </is>
      </c>
    </row>
    <row r="745">
      <c r="A745" s="5" t="inlineStr">
        <is>
          <t>2026-09-02</t>
        </is>
      </c>
      <c r="B745" s="5" t="inlineStr">
        <is>
          <t>2026-09-02T19:57:51</t>
        </is>
      </c>
      <c r="C745" s="5" t="inlineStr">
        <is>
          <t>vivo</t>
        </is>
      </c>
      <c r="D745" s="5" t="inlineStr">
        <is>
          <t>SP</t>
        </is>
      </c>
      <c r="E745" s="5" t="inlineStr">
        <is>
          <t>Vivo Família 2 + TV</t>
        </is>
      </c>
      <c r="F745" s="5" t="inlineStr">
        <is>
          <t>vivo:VIV202604032112-3-9-305-316-408-411-426-430-442</t>
        </is>
      </c>
      <c r="G745" s="6" t="n">
        <v>390</v>
      </c>
      <c r="H745" s="6" t="inlineStr"/>
      <c r="I745" s="5" t="inlineStr"/>
      <c r="J745" s="5" t="inlineStr"/>
      <c r="K745" s="5" t="inlineStr">
        <is>
          <t>instalação grátis mediante fidelização (não afeta a mensalidade)</t>
        </is>
      </c>
      <c r="L745" s="5" t="inlineStr">
        <is>
          <t>mobile+broadband+tv</t>
        </is>
      </c>
      <c r="M745" s="5" t="inlineStr">
        <is>
          <t>Fiber + Mobile + TV</t>
        </is>
      </c>
      <c r="N745" s="5" t="b">
        <v>1</v>
      </c>
      <c r="O745" s="5" t="b">
        <v>1</v>
      </c>
      <c r="P745" s="5" t="b">
        <v>1</v>
      </c>
      <c r="Q745" s="5" t="b">
        <v>0</v>
      </c>
      <c r="R745" s="7" t="n">
        <v>700</v>
      </c>
      <c r="S745" s="7" t="n">
        <v>120</v>
      </c>
      <c r="T745" s="7" t="n">
        <v>2</v>
      </c>
      <c r="U745" s="5" t="inlineStr">
        <is>
          <t>120 canais de Vivo TV Avançado + 1 ponto adicional</t>
        </is>
      </c>
      <c r="V745" s="5" t="inlineStr"/>
      <c r="W745" s="5" t="inlineStr">
        <is>
          <t>Vivo Travel Américas e Europa; 1 linha adicional inclusa</t>
        </is>
      </c>
      <c r="X745" s="5" t="inlineStr">
        <is>
          <t>700 Mega de Vivo Fibra</t>
        </is>
      </c>
      <c r="Y745" s="5" t="inlineStr">
        <is>
          <t>https://vivo.com.br/para-voce/produtos-e-servicos/combos/vivo-total</t>
        </is>
      </c>
      <c r="Z745" s="5" t="inlineStr">
        <is>
          <t>data/raw/vivo_convergent_total_SP.html</t>
        </is>
      </c>
    </row>
    <row r="746">
      <c r="A746" s="2" t="inlineStr">
        <is>
          <t>2026-09-02</t>
        </is>
      </c>
      <c r="B746" s="2" t="inlineStr">
        <is>
          <t>2026-09-02T19:57:51</t>
        </is>
      </c>
      <c r="C746" s="2" t="inlineStr">
        <is>
          <t>vivo</t>
        </is>
      </c>
      <c r="D746" s="2" t="inlineStr">
        <is>
          <t>SP</t>
        </is>
      </c>
      <c r="E746" s="2" t="inlineStr">
        <is>
          <t>Vivo Total Família 2</t>
        </is>
      </c>
      <c r="F746" s="2" t="inlineStr">
        <is>
          <t>vivo:VIV202604032132-3-305-316-408-411-426-430-442</t>
        </is>
      </c>
      <c r="G746" s="3" t="n">
        <v>270</v>
      </c>
      <c r="H746" s="3" t="inlineStr"/>
      <c r="I746" s="2" t="inlineStr"/>
      <c r="J746" s="2" t="inlineStr"/>
      <c r="K746" s="2" t="inlineStr">
        <is>
          <t>instalação grátis mediante fidelização (não afeta a mensalidade)</t>
        </is>
      </c>
      <c r="L746" s="2" t="inlineStr">
        <is>
          <t>mobile+broadband</t>
        </is>
      </c>
      <c r="M746" s="2" t="inlineStr">
        <is>
          <t>Fiber + Mobile</t>
        </is>
      </c>
      <c r="N746" s="2" t="b">
        <v>1</v>
      </c>
      <c r="O746" s="2" t="b">
        <v>1</v>
      </c>
      <c r="P746" s="2" t="b">
        <v>0</v>
      </c>
      <c r="Q746" s="2" t="b">
        <v>0</v>
      </c>
      <c r="R746" s="4" t="n">
        <v>700</v>
      </c>
      <c r="S746" s="4" t="n">
        <v>120</v>
      </c>
      <c r="T746" s="4" t="n">
        <v>2</v>
      </c>
      <c r="U746" s="2" t="inlineStr"/>
      <c r="V746" s="2" t="inlineStr"/>
      <c r="W746" s="2" t="inlineStr">
        <is>
          <t>Vivo Travel Américas e Europa; 1 linha adicional inclusa</t>
        </is>
      </c>
      <c r="X746" s="2" t="inlineStr">
        <is>
          <t>700 Mega de Vivo Fibra</t>
        </is>
      </c>
      <c r="Y746" s="2" t="inlineStr">
        <is>
          <t>https://vivo.com.br/para-voce/produtos-e-servicos/combos/vivo-total</t>
        </is>
      </c>
      <c r="Z746" s="2" t="inlineStr">
        <is>
          <t>data/raw/vivo_convergent_total_SP.html</t>
        </is>
      </c>
    </row>
    <row r="747">
      <c r="A747" s="5" t="inlineStr">
        <is>
          <t>2026-09-02</t>
        </is>
      </c>
      <c r="B747" s="5" t="inlineStr">
        <is>
          <t>2026-09-02T19:57:51</t>
        </is>
      </c>
      <c r="C747" s="5" t="inlineStr">
        <is>
          <t>vivo</t>
        </is>
      </c>
      <c r="D747" s="5" t="inlineStr">
        <is>
          <t>SP</t>
        </is>
      </c>
      <c r="E747" s="5" t="inlineStr">
        <is>
          <t>Vivo Total Família 3</t>
        </is>
      </c>
      <c r="F747" s="5" t="inlineStr">
        <is>
          <t>vivo:VIV202604032212-4-305-316-408-411-426-430-442</t>
        </is>
      </c>
      <c r="G747" s="6" t="n">
        <v>330</v>
      </c>
      <c r="H747" s="6" t="inlineStr"/>
      <c r="I747" s="5" t="inlineStr"/>
      <c r="J747" s="5" t="inlineStr"/>
      <c r="K747" s="5" t="inlineStr">
        <is>
          <t>instalação grátis mediante fidelização (não afeta a mensalidade)</t>
        </is>
      </c>
      <c r="L747" s="5" t="inlineStr">
        <is>
          <t>mobile+broadband</t>
        </is>
      </c>
      <c r="M747" s="5" t="inlineStr">
        <is>
          <t>Fiber + Mobile</t>
        </is>
      </c>
      <c r="N747" s="5" t="b">
        <v>1</v>
      </c>
      <c r="O747" s="5" t="b">
        <v>1</v>
      </c>
      <c r="P747" s="5" t="b">
        <v>0</v>
      </c>
      <c r="Q747" s="5" t="b">
        <v>0</v>
      </c>
      <c r="R747" s="7" t="n">
        <v>700</v>
      </c>
      <c r="S747" s="7" t="n">
        <v>180</v>
      </c>
      <c r="T747" s="7" t="n">
        <v>3</v>
      </c>
      <c r="U747" s="5" t="inlineStr"/>
      <c r="V747" s="5" t="inlineStr"/>
      <c r="W747" s="5" t="inlineStr">
        <is>
          <t>Vivo Travel Américas e Europa; 2 linhas adicionais inclusas</t>
        </is>
      </c>
      <c r="X747" s="5" t="inlineStr">
        <is>
          <t>700 Mega de Vivo Fibra</t>
        </is>
      </c>
      <c r="Y747" s="5" t="inlineStr">
        <is>
          <t>https://vivo.com.br/para-voce/produtos-e-servicos/combos/vivo-total</t>
        </is>
      </c>
      <c r="Z747" s="5" t="inlineStr">
        <is>
          <t>data/raw/vivo_convergent_total_SP.html</t>
        </is>
      </c>
    </row>
    <row r="748">
      <c r="A748" s="2" t="inlineStr">
        <is>
          <t>2026-09-02</t>
        </is>
      </c>
      <c r="B748" s="2" t="inlineStr">
        <is>
          <t>2026-09-02T19:57:51</t>
        </is>
      </c>
      <c r="C748" s="2" t="inlineStr">
        <is>
          <t>vivo</t>
        </is>
      </c>
      <c r="D748" s="2" t="inlineStr">
        <is>
          <t>SP</t>
        </is>
      </c>
      <c r="E748" s="2" t="inlineStr">
        <is>
          <t>Vivo Total Família 4</t>
        </is>
      </c>
      <c r="F748" s="2" t="inlineStr">
        <is>
          <t>vivo:VIV202604032292-237-305-316-408-411-426-430-442</t>
        </is>
      </c>
      <c r="G748" s="3" t="n">
        <v>420</v>
      </c>
      <c r="H748" s="3" t="inlineStr"/>
      <c r="I748" s="2" t="inlineStr"/>
      <c r="J748" s="2" t="inlineStr"/>
      <c r="K748" s="2" t="inlineStr">
        <is>
          <t>instalação grátis mediante fidelização (não afeta a mensalidade)</t>
        </is>
      </c>
      <c r="L748" s="2" t="inlineStr">
        <is>
          <t>mobile+broadband</t>
        </is>
      </c>
      <c r="M748" s="2" t="inlineStr">
        <is>
          <t>Fiber + Mobile</t>
        </is>
      </c>
      <c r="N748" s="2" t="b">
        <v>1</v>
      </c>
      <c r="O748" s="2" t="b">
        <v>1</v>
      </c>
      <c r="P748" s="2" t="b">
        <v>0</v>
      </c>
      <c r="Q748" s="2" t="b">
        <v>0</v>
      </c>
      <c r="R748" s="4" t="n">
        <v>700</v>
      </c>
      <c r="S748" s="4" t="n">
        <v>240</v>
      </c>
      <c r="T748" s="4" t="n">
        <v>4</v>
      </c>
      <c r="U748" s="2" t="inlineStr"/>
      <c r="V748" s="2" t="inlineStr"/>
      <c r="W748" s="2" t="inlineStr">
        <is>
          <t>Vivo Travel Américas e Europa; 3 linhas adicionais inclusas</t>
        </is>
      </c>
      <c r="X748" s="2" t="inlineStr">
        <is>
          <t>700 Mega de Vivo Fibra</t>
        </is>
      </c>
      <c r="Y748" s="2" t="inlineStr">
        <is>
          <t>https://vivo.com.br/para-voce/produtos-e-servicos/combos/vivo-total</t>
        </is>
      </c>
      <c r="Z748" s="2" t="inlineStr">
        <is>
          <t>data/raw/vivo_convergent_total_SP.html</t>
        </is>
      </c>
    </row>
    <row r="749">
      <c r="A749" s="5" t="inlineStr">
        <is>
          <t>2026-09-02</t>
        </is>
      </c>
      <c r="B749" s="5" t="inlineStr">
        <is>
          <t>2026-09-02T19:57:51</t>
        </is>
      </c>
      <c r="C749" s="5" t="inlineStr">
        <is>
          <t>vivo</t>
        </is>
      </c>
      <c r="D749" s="5" t="inlineStr">
        <is>
          <t>SP</t>
        </is>
      </c>
      <c r="E749" s="5" t="inlineStr">
        <is>
          <t>Vivo Total Família 5</t>
        </is>
      </c>
      <c r="F749" s="5" t="inlineStr">
        <is>
          <t>vivo:VIV202604032372-5-305-316-408-411-426-430-442</t>
        </is>
      </c>
      <c r="G749" s="6" t="n">
        <v>520</v>
      </c>
      <c r="H749" s="6" t="inlineStr"/>
      <c r="I749" s="5" t="inlineStr"/>
      <c r="J749" s="5" t="inlineStr"/>
      <c r="K749" s="5" t="inlineStr">
        <is>
          <t>instalação grátis mediante fidelização (não afeta a mensalidade)</t>
        </is>
      </c>
      <c r="L749" s="5" t="inlineStr">
        <is>
          <t>mobile+broadband</t>
        </is>
      </c>
      <c r="M749" s="5" t="inlineStr">
        <is>
          <t>Fiber + Mobile</t>
        </is>
      </c>
      <c r="N749" s="5" t="b">
        <v>1</v>
      </c>
      <c r="O749" s="5" t="b">
        <v>1</v>
      </c>
      <c r="P749" s="5" t="b">
        <v>0</v>
      </c>
      <c r="Q749" s="5" t="b">
        <v>0</v>
      </c>
      <c r="R749" s="7" t="n">
        <v>700</v>
      </c>
      <c r="S749" s="7" t="n">
        <v>300</v>
      </c>
      <c r="T749" s="7" t="n">
        <v>5</v>
      </c>
      <c r="U749" s="5" t="inlineStr"/>
      <c r="V749" s="5" t="inlineStr"/>
      <c r="W749" s="5" t="inlineStr">
        <is>
          <t>Vivo Travel Américas e Europa; 4 linhas adicionais inclusas</t>
        </is>
      </c>
      <c r="X749" s="5" t="inlineStr">
        <is>
          <t>700 Mega de Vivo Fibra</t>
        </is>
      </c>
      <c r="Y749" s="5" t="inlineStr">
        <is>
          <t>https://vivo.com.br/para-voce/produtos-e-servicos/combos/vivo-total</t>
        </is>
      </c>
      <c r="Z749" s="5" t="inlineStr">
        <is>
          <t>data/raw/vivo_convergent_total_SP.html</t>
        </is>
      </c>
    </row>
    <row r="750">
      <c r="A750" s="2" t="inlineStr">
        <is>
          <t>2026-09-02</t>
        </is>
      </c>
      <c r="B750" s="2" t="inlineStr">
        <is>
          <t>2026-09-02T19:57:51</t>
        </is>
      </c>
      <c r="C750" s="2" t="inlineStr">
        <is>
          <t>vivo</t>
        </is>
      </c>
      <c r="D750" s="2" t="inlineStr">
        <is>
          <t>SP</t>
        </is>
      </c>
      <c r="E750" s="2" t="inlineStr">
        <is>
          <t>Vivo Total Pro</t>
        </is>
      </c>
      <c r="F750" s="2" t="inlineStr">
        <is>
          <t>vivo:VIV202604031772-2-305-308-316-326-342-411-430</t>
        </is>
      </c>
      <c r="G750" s="3" t="n">
        <v>160</v>
      </c>
      <c r="H750" s="3" t="inlineStr"/>
      <c r="I750" s="2" t="inlineStr"/>
      <c r="J750" s="2" t="inlineStr"/>
      <c r="K750" s="2" t="inlineStr">
        <is>
          <t>instalação grátis mediante fidelização (não afeta a mensalidade)</t>
        </is>
      </c>
      <c r="L750" s="2" t="inlineStr">
        <is>
          <t>mobile+broadband</t>
        </is>
      </c>
      <c r="M750" s="2" t="inlineStr">
        <is>
          <t>Fiber + Mobile</t>
        </is>
      </c>
      <c r="N750" s="2" t="b">
        <v>1</v>
      </c>
      <c r="O750" s="2" t="b">
        <v>1</v>
      </c>
      <c r="P750" s="2" t="b">
        <v>0</v>
      </c>
      <c r="Q750" s="2" t="b">
        <v>0</v>
      </c>
      <c r="R750" s="4" t="n">
        <v>500</v>
      </c>
      <c r="S750" s="4" t="n">
        <v>70</v>
      </c>
      <c r="T750" s="4" t="n">
        <v>1</v>
      </c>
      <c r="U750" s="2" t="inlineStr"/>
      <c r="V750" s="2" t="inlineStr"/>
      <c r="W750" s="2" t="inlineStr">
        <is>
          <t>Vivo Travel Américas; 50 GB de franquia + 20 GB de bônus</t>
        </is>
      </c>
      <c r="X750" s="2" t="inlineStr">
        <is>
          <t>500 Mega de Vivo Fibra</t>
        </is>
      </c>
      <c r="Y750" s="2" t="inlineStr">
        <is>
          <t>https://vivo.com.br/para-voce/produtos-e-servicos/combos/vivo-total</t>
        </is>
      </c>
      <c r="Z750" s="2" t="inlineStr">
        <is>
          <t>data/raw/vivo_convergent_total_SP.html</t>
        </is>
      </c>
    </row>
    <row r="751">
      <c r="A751" s="5" t="inlineStr">
        <is>
          <t>2026-09-02</t>
        </is>
      </c>
      <c r="B751" s="5" t="inlineStr">
        <is>
          <t>2026-09-02T19:57:51</t>
        </is>
      </c>
      <c r="C751" s="5" t="inlineStr">
        <is>
          <t>vivo</t>
        </is>
      </c>
      <c r="D751" s="5" t="inlineStr">
        <is>
          <t>SP</t>
        </is>
      </c>
      <c r="E751" s="5" t="inlineStr">
        <is>
          <t>Vivo Total Ultra</t>
        </is>
      </c>
      <c r="F751" s="5" t="inlineStr">
        <is>
          <t>vivo:VIV202604032034-305-313-316-408-411-426-430-442</t>
        </is>
      </c>
      <c r="G751" s="6" t="n">
        <v>190</v>
      </c>
      <c r="H751" s="6" t="inlineStr"/>
      <c r="I751" s="5" t="inlineStr"/>
      <c r="J751" s="5" t="inlineStr"/>
      <c r="K751" s="5" t="inlineStr">
        <is>
          <t>instalação grátis mediante fidelização (não afeta a mensalidade)</t>
        </is>
      </c>
      <c r="L751" s="5" t="inlineStr">
        <is>
          <t>mobile+broadband</t>
        </is>
      </c>
      <c r="M751" s="5" t="inlineStr">
        <is>
          <t>Fiber + Mobile</t>
        </is>
      </c>
      <c r="N751" s="5" t="b">
        <v>1</v>
      </c>
      <c r="O751" s="5" t="b">
        <v>1</v>
      </c>
      <c r="P751" s="5" t="b">
        <v>0</v>
      </c>
      <c r="Q751" s="5" t="b">
        <v>0</v>
      </c>
      <c r="R751" s="7" t="n">
        <v>700</v>
      </c>
      <c r="S751" s="7" t="n">
        <v>80</v>
      </c>
      <c r="T751" s="7" t="n">
        <v>1</v>
      </c>
      <c r="U751" s="5" t="inlineStr"/>
      <c r="V751" s="5" t="inlineStr"/>
      <c r="W751" s="5" t="inlineStr">
        <is>
          <t>Vivo Travel Américas; 70 GB de franquia + 10 GB de bônus</t>
        </is>
      </c>
      <c r="X751" s="5" t="inlineStr">
        <is>
          <t>700 Mega de Vivo Fibra</t>
        </is>
      </c>
      <c r="Y751" s="5" t="inlineStr">
        <is>
          <t>https://vivo.com.br/para-voce/produtos-e-servicos/combos/vivo-total</t>
        </is>
      </c>
      <c r="Z751" s="5" t="inlineStr">
        <is>
          <t>data/raw/vivo_convergent_total_SP.html</t>
        </is>
      </c>
    </row>
    <row r="752">
      <c r="A752" s="2" t="inlineStr">
        <is>
          <t>2026-09-02</t>
        </is>
      </c>
      <c r="B752" s="2" t="inlineStr">
        <is>
          <t>2026-09-02T19:57:51</t>
        </is>
      </c>
      <c r="C752" s="2" t="inlineStr">
        <is>
          <t>vivo</t>
        </is>
      </c>
      <c r="D752" s="2" t="inlineStr">
        <is>
          <t>SP</t>
        </is>
      </c>
      <c r="E752" s="2" t="inlineStr">
        <is>
          <t>Vivo Total Ultra + TV</t>
        </is>
      </c>
      <c r="F752" s="2" t="inlineStr">
        <is>
          <t>vivo:VIV202604031882-9-305-313-316-408-411-426-430-442</t>
        </is>
      </c>
      <c r="G752" s="3" t="n">
        <v>310</v>
      </c>
      <c r="H752" s="3" t="inlineStr"/>
      <c r="I752" s="2" t="inlineStr"/>
      <c r="J752" s="2" t="inlineStr"/>
      <c r="K752" s="2" t="inlineStr">
        <is>
          <t>instalação grátis mediante fidelização (não afeta a mensalidade)</t>
        </is>
      </c>
      <c r="L752" s="2" t="inlineStr">
        <is>
          <t>mobile+broadband+tv</t>
        </is>
      </c>
      <c r="M752" s="2" t="inlineStr">
        <is>
          <t>Fiber + Mobile + TV</t>
        </is>
      </c>
      <c r="N752" s="2" t="b">
        <v>1</v>
      </c>
      <c r="O752" s="2" t="b">
        <v>1</v>
      </c>
      <c r="P752" s="2" t="b">
        <v>1</v>
      </c>
      <c r="Q752" s="2" t="b">
        <v>0</v>
      </c>
      <c r="R752" s="4" t="n">
        <v>700</v>
      </c>
      <c r="S752" s="4" t="n">
        <v>80</v>
      </c>
      <c r="T752" s="4" t="n">
        <v>1</v>
      </c>
      <c r="U752" s="2" t="inlineStr">
        <is>
          <t>120 canais de Vivo TV Avançado + 1 ponto adicional</t>
        </is>
      </c>
      <c r="V752" s="2" t="inlineStr"/>
      <c r="W752" s="2" t="inlineStr">
        <is>
          <t>Vivo Travel Américas; 70 GB de franquia + 10 GB de bônus</t>
        </is>
      </c>
      <c r="X752" s="2" t="inlineStr">
        <is>
          <t>700 Mega de Vivo Fibra</t>
        </is>
      </c>
      <c r="Y752" s="2" t="inlineStr">
        <is>
          <t>https://vivo.com.br/para-voce/produtos-e-servicos/combos/vivo-total</t>
        </is>
      </c>
      <c r="Z752" s="2" t="inlineStr">
        <is>
          <t>data/raw/vivo_convergent_total_SP.html</t>
        </is>
      </c>
    </row>
    <row r="753">
      <c r="A753" s="5" t="inlineStr">
        <is>
          <t>2026-09-02</t>
        </is>
      </c>
      <c r="B753" s="5" t="inlineStr">
        <is>
          <t>2026-09-02T19:57:51</t>
        </is>
      </c>
      <c r="C753" s="5" t="inlineStr">
        <is>
          <t>vivo</t>
        </is>
      </c>
      <c r="D753" s="5" t="inlineStr">
        <is>
          <t>SP</t>
        </is>
      </c>
      <c r="E753" s="5" t="inlineStr">
        <is>
          <t>Vivo Total Ultra + TV online</t>
        </is>
      </c>
      <c r="F753" s="5" t="inlineStr">
        <is>
          <t>vivo:VIV202604032034-305-313-316-336-408-411-426-430-442</t>
        </is>
      </c>
      <c r="G753" s="6" t="n">
        <v>210</v>
      </c>
      <c r="H753" s="6" t="inlineStr"/>
      <c r="I753" s="5" t="inlineStr"/>
      <c r="J753" s="5" t="inlineStr"/>
      <c r="K753" s="5" t="inlineStr">
        <is>
          <t>instalação grátis mediante fidelização (não afeta a mensalidade)</t>
        </is>
      </c>
      <c r="L753" s="5" t="inlineStr">
        <is>
          <t>mobile+broadband+tv</t>
        </is>
      </c>
      <c r="M753" s="5" t="inlineStr">
        <is>
          <t>Fiber + Mobile + TV</t>
        </is>
      </c>
      <c r="N753" s="5" t="b">
        <v>1</v>
      </c>
      <c r="O753" s="5" t="b">
        <v>1</v>
      </c>
      <c r="P753" s="5" t="b">
        <v>1</v>
      </c>
      <c r="Q753" s="5" t="b">
        <v>0</v>
      </c>
      <c r="R753" s="7" t="n">
        <v>700</v>
      </c>
      <c r="S753" s="7" t="n">
        <v>80</v>
      </c>
      <c r="T753" s="7" t="n">
        <v>1</v>
      </c>
      <c r="U753" s="5" t="inlineStr">
        <is>
          <t>80 canais de Vivo Estendido</t>
        </is>
      </c>
      <c r="V753" s="5" t="inlineStr"/>
      <c r="W753" s="5" t="inlineStr">
        <is>
          <t>Vivo Travel Américas; 70 GB de franquia + 10 GB de bônus</t>
        </is>
      </c>
      <c r="X753" s="5" t="inlineStr">
        <is>
          <t>700 Mega de Vivo Fibra</t>
        </is>
      </c>
      <c r="Y753" s="5" t="inlineStr">
        <is>
          <t>https://vivo.com.br/para-voce/produtos-e-servicos/combos/vivo-total</t>
        </is>
      </c>
      <c r="Z753" s="5" t="inlineStr">
        <is>
          <t>data/raw/vivo_convergent_total_SP.html</t>
        </is>
      </c>
    </row>
    <row r="754">
      <c r="A754" s="2" t="inlineStr">
        <is>
          <t>2026-09-02</t>
        </is>
      </c>
      <c r="B754" s="2" t="inlineStr">
        <is>
          <t>2026-09-02T19:57:51</t>
        </is>
      </c>
      <c r="C754" s="2" t="inlineStr">
        <is>
          <t>vivo</t>
        </is>
      </c>
      <c r="D754" s="2" t="inlineStr">
        <is>
          <t>SP</t>
        </is>
      </c>
      <c r="E754" s="2" t="inlineStr">
        <is>
          <t>Vivo Total V 1 Giga</t>
        </is>
      </c>
      <c r="F754" s="2" t="inlineStr">
        <is>
          <t>vivo:VIV202604032532-2-305-316-408-426-430-442</t>
        </is>
      </c>
      <c r="G754" s="3" t="n">
        <v>1200</v>
      </c>
      <c r="H754" s="3" t="inlineStr"/>
      <c r="I754" s="2" t="inlineStr"/>
      <c r="J754" s="2" t="inlineStr"/>
      <c r="K754" s="2" t="inlineStr">
        <is>
          <t>instalação grátis mediante fidelização (não afeta a mensalidade)</t>
        </is>
      </c>
      <c r="L754" s="2" t="inlineStr">
        <is>
          <t>mobile+broadband+tv</t>
        </is>
      </c>
      <c r="M754" s="2" t="inlineStr">
        <is>
          <t>Fiber + Mobile + TV</t>
        </is>
      </c>
      <c r="N754" s="2" t="b">
        <v>1</v>
      </c>
      <c r="O754" s="2" t="b">
        <v>1</v>
      </c>
      <c r="P754" s="2" t="b">
        <v>1</v>
      </c>
      <c r="Q754" s="2" t="b">
        <v>0</v>
      </c>
      <c r="R754" s="4" t="n">
        <v>1000</v>
      </c>
      <c r="S754" s="4" t="n">
        <v>600</v>
      </c>
      <c r="T754" s="4" t="n">
        <v>11</v>
      </c>
      <c r="U754" s="2" t="inlineStr">
        <is>
          <t>Vivo TV Completo com HBO Max e Telecine</t>
        </is>
      </c>
      <c r="V754" s="2" t="inlineStr"/>
      <c r="W754" s="2" t="inlineStr">
        <is>
          <t>Vivo Travel Mundo; 10 linhas adicionais inclusas; Vivo TV Completo com HBO Max e Telecine</t>
        </is>
      </c>
      <c r="X754" s="2" t="inlineStr">
        <is>
          <t>1Giga de Vivo Fibra</t>
        </is>
      </c>
      <c r="Y754" s="2" t="inlineStr">
        <is>
          <t>https://vivo.com.br/para-voce/produtos-e-servicos/combos/vivo-total</t>
        </is>
      </c>
      <c r="Z754" s="2" t="inlineStr">
        <is>
          <t>data/raw/vivo_convergent_total_SP.html</t>
        </is>
      </c>
    </row>
    <row r="755">
      <c r="A755" s="5" t="inlineStr">
        <is>
          <t>2026-09-03</t>
        </is>
      </c>
      <c r="B755" s="5" t="inlineStr">
        <is>
          <t>2026-09-03T19:57:11</t>
        </is>
      </c>
      <c r="C755" s="5" t="inlineStr">
        <is>
          <t>claro</t>
        </is>
      </c>
      <c r="D755" s="5" t="inlineStr">
        <is>
          <t>SP</t>
        </is>
      </c>
      <c r="E755" s="5" t="inlineStr">
        <is>
          <t>1 Giga com Globoplay incluso + Claro tv+ Box + Disney+ Amazon Prime + Netflix + HBO Max + Apple TV + Globoplay</t>
        </is>
      </c>
      <c r="F755" s="5" t="inlineStr">
        <is>
          <t>claro:af8152be-4aa7-4aa8-819a-a79687a3a9a0</t>
        </is>
      </c>
      <c r="G755" s="6" t="n">
        <v>319.8</v>
      </c>
      <c r="H755" s="6" t="inlineStr"/>
      <c r="I755" s="5" t="inlineStr"/>
      <c r="J755" s="5" t="inlineStr"/>
      <c r="K755" s="5" t="inlineStr">
        <is>
          <t>tab: Fibra + TV</t>
        </is>
      </c>
      <c r="L755" s="5" t="inlineStr">
        <is>
          <t>broadband+tv</t>
        </is>
      </c>
      <c r="M755" s="5" t="inlineStr">
        <is>
          <t>Fiber + TV</t>
        </is>
      </c>
      <c r="N755" s="5" t="b">
        <v>0</v>
      </c>
      <c r="O755" s="5" t="b">
        <v>1</v>
      </c>
      <c r="P755" s="5" t="b">
        <v>1</v>
      </c>
      <c r="Q755" s="5" t="b">
        <v>0</v>
      </c>
      <c r="R755" s="7" t="n">
        <v>1000</v>
      </c>
      <c r="S755" s="7" t="inlineStr"/>
      <c r="T755" s="7" t="inlineStr"/>
      <c r="U755" s="5" t="inlineStr">
        <is>
          <t>Claro tv+ Box + Disney+ Amazon Prime + Netflix + HBO Max + Apple TV + Globoplay</t>
        </is>
      </c>
      <c r="V755" s="5" t="inlineStr"/>
      <c r="W755" s="5" t="inlineStr"/>
      <c r="X755" s="5" t="inlineStr"/>
      <c r="Y755" s="5" t="inlineStr">
        <is>
          <t>https://www.claro.com.br/multi</t>
        </is>
      </c>
      <c r="Z755" s="5" t="inlineStr">
        <is>
          <t>data/raw/claro_convergent_multi_SP.html</t>
        </is>
      </c>
    </row>
    <row r="756">
      <c r="A756" s="2" t="inlineStr">
        <is>
          <t>2026-09-03</t>
        </is>
      </c>
      <c r="B756" s="2" t="inlineStr">
        <is>
          <t>2026-09-03T19:57:11</t>
        </is>
      </c>
      <c r="C756" s="2" t="inlineStr">
        <is>
          <t>claro</t>
        </is>
      </c>
      <c r="D756" s="2" t="inlineStr">
        <is>
          <t>SP</t>
        </is>
      </c>
      <c r="E756" s="2" t="inlineStr">
        <is>
          <t>1 Giga com Globoplay incluso + Claro tv+ Soundbox + Disney+ Amazon Prime + Netflix + HBO Max + Apple TV + Globoplay</t>
        </is>
      </c>
      <c r="F756" s="2" t="inlineStr">
        <is>
          <t>claro:ceb9fd87-0897-4dd2-a2f2-e7f09e714e49</t>
        </is>
      </c>
      <c r="G756" s="3" t="n">
        <v>429.8</v>
      </c>
      <c r="H756" s="3" t="inlineStr"/>
      <c r="I756" s="2" t="inlineStr"/>
      <c r="J756" s="2" t="inlineStr"/>
      <c r="K756" s="2" t="inlineStr">
        <is>
          <t>tab: Fibra + TV</t>
        </is>
      </c>
      <c r="L756" s="2" t="inlineStr">
        <is>
          <t>broadband+tv</t>
        </is>
      </c>
      <c r="M756" s="2" t="inlineStr">
        <is>
          <t>Fiber + TV</t>
        </is>
      </c>
      <c r="N756" s="2" t="b">
        <v>0</v>
      </c>
      <c r="O756" s="2" t="b">
        <v>1</v>
      </c>
      <c r="P756" s="2" t="b">
        <v>1</v>
      </c>
      <c r="Q756" s="2" t="b">
        <v>0</v>
      </c>
      <c r="R756" s="4" t="n">
        <v>1000</v>
      </c>
      <c r="S756" s="4" t="inlineStr"/>
      <c r="T756" s="4" t="inlineStr"/>
      <c r="U756" s="2" t="inlineStr">
        <is>
          <t>Claro tv+ Soundbox + Disney+ Amazon Prime + Netflix + HBO Max + Apple TV + Globoplay</t>
        </is>
      </c>
      <c r="V756" s="2" t="inlineStr"/>
      <c r="W756" s="2" t="inlineStr"/>
      <c r="X756" s="2" t="inlineStr"/>
      <c r="Y756" s="2" t="inlineStr">
        <is>
          <t>https://www.claro.com.br/multi</t>
        </is>
      </c>
      <c r="Z756" s="2" t="inlineStr">
        <is>
          <t>data/raw/claro_convergent_multi_SP.html</t>
        </is>
      </c>
    </row>
    <row r="757">
      <c r="A757" s="5" t="inlineStr">
        <is>
          <t>2026-09-03</t>
        </is>
      </c>
      <c r="B757" s="5" t="inlineStr">
        <is>
          <t>2026-09-03T19:57:11</t>
        </is>
      </c>
      <c r="C757" s="5" t="inlineStr">
        <is>
          <t>claro</t>
        </is>
      </c>
      <c r="D757" s="5" t="inlineStr">
        <is>
          <t>SP</t>
        </is>
      </c>
      <c r="E757" s="5" t="inlineStr">
        <is>
          <t>1 Giga com Globoplay incluso + Pós 100GB</t>
        </is>
      </c>
      <c r="F757" s="5" t="inlineStr">
        <is>
          <t>claro:a1de0ac1-61bb-4e97-a744-1ae4c3541673</t>
        </is>
      </c>
      <c r="G757" s="6" t="n">
        <v>179.9</v>
      </c>
      <c r="H757" s="6" t="inlineStr"/>
      <c r="I757" s="5" t="inlineStr"/>
      <c r="J757" s="5" t="inlineStr"/>
      <c r="K757" s="5" t="inlineStr">
        <is>
          <t>tab: Fibra + Móvel</t>
        </is>
      </c>
      <c r="L757" s="5" t="inlineStr">
        <is>
          <t>mobile+broadband</t>
        </is>
      </c>
      <c r="M757" s="5" t="inlineStr">
        <is>
          <t>Fiber + Mobile</t>
        </is>
      </c>
      <c r="N757" s="5" t="b">
        <v>1</v>
      </c>
      <c r="O757" s="5" t="b">
        <v>1</v>
      </c>
      <c r="P757" s="5" t="b">
        <v>0</v>
      </c>
      <c r="Q757" s="5" t="b">
        <v>0</v>
      </c>
      <c r="R757" s="7" t="n">
        <v>1000</v>
      </c>
      <c r="S757" s="7" t="n">
        <v>100</v>
      </c>
      <c r="T757" s="7" t="n">
        <v>1</v>
      </c>
      <c r="U757" s="5" t="inlineStr"/>
      <c r="V757" s="5" t="inlineStr"/>
      <c r="W757" s="5" t="inlineStr"/>
      <c r="X757" s="5" t="inlineStr">
        <is>
          <t>Pós 100GB</t>
        </is>
      </c>
      <c r="Y757" s="5" t="inlineStr">
        <is>
          <t>https://www.claro.com.br/multi</t>
        </is>
      </c>
      <c r="Z757" s="5" t="inlineStr">
        <is>
          <t>data/raw/claro_convergent_multi_SP.html</t>
        </is>
      </c>
    </row>
    <row r="758">
      <c r="A758" s="2" t="inlineStr">
        <is>
          <t>2026-09-03</t>
        </is>
      </c>
      <c r="B758" s="2" t="inlineStr">
        <is>
          <t>2026-09-03T19:57:11</t>
        </is>
      </c>
      <c r="C758" s="2" t="inlineStr">
        <is>
          <t>claro</t>
        </is>
      </c>
      <c r="D758" s="2" t="inlineStr">
        <is>
          <t>SP</t>
        </is>
      </c>
      <c r="E758" s="2" t="inlineStr">
        <is>
          <t>1 Giga com Globoplay incluso + Pós 100GB + Claro tv+ Box + Disney+ Amazon Prime + Netflix + HBO Max + Apple TV + Globoplay</t>
        </is>
      </c>
      <c r="F758" s="2" t="inlineStr">
        <is>
          <t>claro:548c4bad-7857-4c0c-94d5-45d33d66c57f</t>
        </is>
      </c>
      <c r="G758" s="3" t="n">
        <v>289.8</v>
      </c>
      <c r="H758" s="3" t="inlineStr"/>
      <c r="I758" s="2" t="inlineStr"/>
      <c r="J758" s="2" t="inlineStr"/>
      <c r="K758" s="2" t="inlineStr">
        <is>
          <t>tab: Fibra + Móvel + TV</t>
        </is>
      </c>
      <c r="L758" s="2" t="inlineStr">
        <is>
          <t>mobile+broadband+tv</t>
        </is>
      </c>
      <c r="M758" s="2" t="inlineStr">
        <is>
          <t>Fiber + Mobile + TV</t>
        </is>
      </c>
      <c r="N758" s="2" t="b">
        <v>1</v>
      </c>
      <c r="O758" s="2" t="b">
        <v>1</v>
      </c>
      <c r="P758" s="2" t="b">
        <v>1</v>
      </c>
      <c r="Q758" s="2" t="b">
        <v>0</v>
      </c>
      <c r="R758" s="4" t="n">
        <v>1000</v>
      </c>
      <c r="S758" s="4" t="n">
        <v>100</v>
      </c>
      <c r="T758" s="4" t="n">
        <v>1</v>
      </c>
      <c r="U758" s="2" t="inlineStr">
        <is>
          <t>Claro tv+ Box + Disney+ Amazon Prime + Netflix + HBO Max + Apple TV + Globoplay</t>
        </is>
      </c>
      <c r="V758" s="2" t="inlineStr"/>
      <c r="W758" s="2" t="inlineStr"/>
      <c r="X758" s="2" t="inlineStr">
        <is>
          <t>Pós 100GB</t>
        </is>
      </c>
      <c r="Y758" s="2" t="inlineStr">
        <is>
          <t>https://www.claro.com.br/multi</t>
        </is>
      </c>
      <c r="Z758" s="2" t="inlineStr">
        <is>
          <t>data/raw/claro_convergent_multi_SP.html</t>
        </is>
      </c>
    </row>
    <row r="759">
      <c r="A759" s="5" t="inlineStr">
        <is>
          <t>2026-09-03</t>
        </is>
      </c>
      <c r="B759" s="5" t="inlineStr">
        <is>
          <t>2026-09-03T19:57:11</t>
        </is>
      </c>
      <c r="C759" s="5" t="inlineStr">
        <is>
          <t>claro</t>
        </is>
      </c>
      <c r="D759" s="5" t="inlineStr">
        <is>
          <t>SP</t>
        </is>
      </c>
      <c r="E759" s="5" t="inlineStr">
        <is>
          <t>1 Giga com Globoplay incluso + Pós 150GB</t>
        </is>
      </c>
      <c r="F759" s="5" t="inlineStr">
        <is>
          <t>claro:d47e2a3b-dfd0-410e-9c24-d07a334d01d4</t>
        </is>
      </c>
      <c r="G759" s="6" t="n">
        <v>299.9</v>
      </c>
      <c r="H759" s="6" t="inlineStr"/>
      <c r="I759" s="5" t="inlineStr"/>
      <c r="J759" s="5" t="inlineStr"/>
      <c r="K759" s="5" t="inlineStr">
        <is>
          <t>tab: Fibra + Móvel</t>
        </is>
      </c>
      <c r="L759" s="5" t="inlineStr">
        <is>
          <t>mobile+broadband</t>
        </is>
      </c>
      <c r="M759" s="5" t="inlineStr">
        <is>
          <t>Fiber + Mobile</t>
        </is>
      </c>
      <c r="N759" s="5" t="b">
        <v>1</v>
      </c>
      <c r="O759" s="5" t="b">
        <v>1</v>
      </c>
      <c r="P759" s="5" t="b">
        <v>0</v>
      </c>
      <c r="Q759" s="5" t="b">
        <v>0</v>
      </c>
      <c r="R759" s="7" t="n">
        <v>1000</v>
      </c>
      <c r="S759" s="7" t="n">
        <v>150</v>
      </c>
      <c r="T759" s="7" t="n">
        <v>2</v>
      </c>
      <c r="U759" s="5" t="inlineStr"/>
      <c r="V759" s="5" t="inlineStr"/>
      <c r="W759" s="5" t="inlineStr"/>
      <c r="X759" s="5" t="inlineStr">
        <is>
          <t>Pós 150GB</t>
        </is>
      </c>
      <c r="Y759" s="5" t="inlineStr">
        <is>
          <t>https://www.claro.com.br/multi</t>
        </is>
      </c>
      <c r="Z759" s="5" t="inlineStr">
        <is>
          <t>data/raw/claro_convergent_multi_SP.html</t>
        </is>
      </c>
    </row>
    <row r="760">
      <c r="A760" s="2" t="inlineStr">
        <is>
          <t>2026-09-03</t>
        </is>
      </c>
      <c r="B760" s="2" t="inlineStr">
        <is>
          <t>2026-09-03T19:57:11</t>
        </is>
      </c>
      <c r="C760" s="2" t="inlineStr">
        <is>
          <t>claro</t>
        </is>
      </c>
      <c r="D760" s="2" t="inlineStr">
        <is>
          <t>SP</t>
        </is>
      </c>
      <c r="E760" s="2" t="inlineStr">
        <is>
          <t>1 Giga com Globoplay incluso + Pós 150GB + Claro tv+ Box + Disney+ Amazon Prime + Netflix + HBO Max + Apple TV + Globoplay</t>
        </is>
      </c>
      <c r="F760" s="2" t="inlineStr">
        <is>
          <t>claro:7785b449-69f2-4234-9e24-8837e32a55c0</t>
        </is>
      </c>
      <c r="G760" s="3" t="n">
        <v>409.8</v>
      </c>
      <c r="H760" s="3" t="inlineStr"/>
      <c r="I760" s="2" t="inlineStr"/>
      <c r="J760" s="2" t="inlineStr"/>
      <c r="K760" s="2" t="inlineStr">
        <is>
          <t>tab: Fibra + Móvel + TV</t>
        </is>
      </c>
      <c r="L760" s="2" t="inlineStr">
        <is>
          <t>mobile+broadband+tv</t>
        </is>
      </c>
      <c r="M760" s="2" t="inlineStr">
        <is>
          <t>Fiber + Mobile + TV</t>
        </is>
      </c>
      <c r="N760" s="2" t="b">
        <v>1</v>
      </c>
      <c r="O760" s="2" t="b">
        <v>1</v>
      </c>
      <c r="P760" s="2" t="b">
        <v>1</v>
      </c>
      <c r="Q760" s="2" t="b">
        <v>0</v>
      </c>
      <c r="R760" s="4" t="n">
        <v>1000</v>
      </c>
      <c r="S760" s="4" t="n">
        <v>150</v>
      </c>
      <c r="T760" s="4" t="n">
        <v>1</v>
      </c>
      <c r="U760" s="2" t="inlineStr">
        <is>
          <t>Claro tv+ Box + Disney+ Amazon Prime + Netflix + HBO Max + Apple TV + Globoplay</t>
        </is>
      </c>
      <c r="V760" s="2" t="inlineStr"/>
      <c r="W760" s="2" t="inlineStr"/>
      <c r="X760" s="2" t="inlineStr">
        <is>
          <t>Pós 150GB</t>
        </is>
      </c>
      <c r="Y760" s="2" t="inlineStr">
        <is>
          <t>https://www.claro.com.br/multi</t>
        </is>
      </c>
      <c r="Z760" s="2" t="inlineStr">
        <is>
          <t>data/raw/claro_convergent_multi_SP.html</t>
        </is>
      </c>
    </row>
    <row r="761">
      <c r="A761" s="5" t="inlineStr">
        <is>
          <t>2026-09-03</t>
        </is>
      </c>
      <c r="B761" s="5" t="inlineStr">
        <is>
          <t>2026-09-03T19:57:11</t>
        </is>
      </c>
      <c r="C761" s="5" t="inlineStr">
        <is>
          <t>claro</t>
        </is>
      </c>
      <c r="D761" s="5" t="inlineStr">
        <is>
          <t>SP</t>
        </is>
      </c>
      <c r="E761" s="5" t="inlineStr">
        <is>
          <t>1 Giga com Globoplay incluso + Pós 200GB</t>
        </is>
      </c>
      <c r="F761" s="5" t="inlineStr">
        <is>
          <t>claro:1961a62d-3213-4ff0-a152-401a45c5b1b5</t>
        </is>
      </c>
      <c r="G761" s="6" t="n">
        <v>359.9</v>
      </c>
      <c r="H761" s="6" t="inlineStr"/>
      <c r="I761" s="5" t="inlineStr"/>
      <c r="J761" s="5" t="inlineStr"/>
      <c r="K761" s="5" t="inlineStr">
        <is>
          <t>tab: Fibra + Móvel</t>
        </is>
      </c>
      <c r="L761" s="5" t="inlineStr">
        <is>
          <t>mobile+broadband</t>
        </is>
      </c>
      <c r="M761" s="5" t="inlineStr">
        <is>
          <t>Fiber + Mobile</t>
        </is>
      </c>
      <c r="N761" s="5" t="b">
        <v>1</v>
      </c>
      <c r="O761" s="5" t="b">
        <v>1</v>
      </c>
      <c r="P761" s="5" t="b">
        <v>0</v>
      </c>
      <c r="Q761" s="5" t="b">
        <v>0</v>
      </c>
      <c r="R761" s="7" t="n">
        <v>1000</v>
      </c>
      <c r="S761" s="7" t="n">
        <v>200</v>
      </c>
      <c r="T761" s="7" t="n">
        <v>3</v>
      </c>
      <c r="U761" s="5" t="inlineStr"/>
      <c r="V761" s="5" t="inlineStr"/>
      <c r="W761" s="5" t="inlineStr"/>
      <c r="X761" s="5" t="inlineStr">
        <is>
          <t>Pós 200GB</t>
        </is>
      </c>
      <c r="Y761" s="5" t="inlineStr">
        <is>
          <t>https://www.claro.com.br/multi</t>
        </is>
      </c>
      <c r="Z761" s="5" t="inlineStr">
        <is>
          <t>data/raw/claro_convergent_multi_SP.html</t>
        </is>
      </c>
    </row>
    <row r="762">
      <c r="A762" s="2" t="inlineStr">
        <is>
          <t>2026-09-03</t>
        </is>
      </c>
      <c r="B762" s="2" t="inlineStr">
        <is>
          <t>2026-09-03T19:57:11</t>
        </is>
      </c>
      <c r="C762" s="2" t="inlineStr">
        <is>
          <t>claro</t>
        </is>
      </c>
      <c r="D762" s="2" t="inlineStr">
        <is>
          <t>SP</t>
        </is>
      </c>
      <c r="E762" s="2" t="inlineStr">
        <is>
          <t>1 Giga com Globoplay incluso + Pós 200GB + Claro tv+ Box + Disney+ Amazon Prime + Netflix + HBO Max + Apple TV + Globoplay</t>
        </is>
      </c>
      <c r="F762" s="2" t="inlineStr">
        <is>
          <t>claro:312815a2-b3a5-43bb-89a1-272d53ccb212</t>
        </is>
      </c>
      <c r="G762" s="3" t="n">
        <v>469.8</v>
      </c>
      <c r="H762" s="3" t="inlineStr"/>
      <c r="I762" s="2" t="inlineStr"/>
      <c r="J762" s="2" t="inlineStr"/>
      <c r="K762" s="2" t="inlineStr">
        <is>
          <t>tab: Fibra + Móvel + TV</t>
        </is>
      </c>
      <c r="L762" s="2" t="inlineStr">
        <is>
          <t>mobile+broadband+tv</t>
        </is>
      </c>
      <c r="M762" s="2" t="inlineStr">
        <is>
          <t>Fiber + Mobile + TV</t>
        </is>
      </c>
      <c r="N762" s="2" t="b">
        <v>1</v>
      </c>
      <c r="O762" s="2" t="b">
        <v>1</v>
      </c>
      <c r="P762" s="2" t="b">
        <v>1</v>
      </c>
      <c r="Q762" s="2" t="b">
        <v>0</v>
      </c>
      <c r="R762" s="4" t="n">
        <v>1000</v>
      </c>
      <c r="S762" s="4" t="n">
        <v>200</v>
      </c>
      <c r="T762" s="4" t="n">
        <v>1</v>
      </c>
      <c r="U762" s="2" t="inlineStr">
        <is>
          <t>Claro tv+ Box + Disney+ Amazon Prime + Netflix + HBO Max + Apple TV + Globoplay</t>
        </is>
      </c>
      <c r="V762" s="2" t="inlineStr"/>
      <c r="W762" s="2" t="inlineStr"/>
      <c r="X762" s="2" t="inlineStr">
        <is>
          <t>Pós 200GB</t>
        </is>
      </c>
      <c r="Y762" s="2" t="inlineStr">
        <is>
          <t>https://www.claro.com.br/multi</t>
        </is>
      </c>
      <c r="Z762" s="2" t="inlineStr">
        <is>
          <t>data/raw/claro_convergent_multi_SP.html</t>
        </is>
      </c>
    </row>
    <row r="763">
      <c r="A763" s="5" t="inlineStr">
        <is>
          <t>2026-09-03</t>
        </is>
      </c>
      <c r="B763" s="5" t="inlineStr">
        <is>
          <t>2026-09-03T19:57:11</t>
        </is>
      </c>
      <c r="C763" s="5" t="inlineStr">
        <is>
          <t>claro</t>
        </is>
      </c>
      <c r="D763" s="5" t="inlineStr">
        <is>
          <t>SP</t>
        </is>
      </c>
      <c r="E763" s="5" t="inlineStr">
        <is>
          <t>350 Mega com Globoplay incluso + Claro tv+ Box + Disney+ Amazon Prime + Netflix + HBO Max + Apple TV + Globoplay</t>
        </is>
      </c>
      <c r="F763" s="5" t="inlineStr">
        <is>
          <t>claro:97b00450-6f21-4349-8363-83d624b18328</t>
        </is>
      </c>
      <c r="G763" s="6" t="n">
        <v>229.8</v>
      </c>
      <c r="H763" s="6" t="inlineStr"/>
      <c r="I763" s="5" t="inlineStr"/>
      <c r="J763" s="5" t="inlineStr"/>
      <c r="K763" s="5" t="inlineStr">
        <is>
          <t>tab: Fibra + TV</t>
        </is>
      </c>
      <c r="L763" s="5" t="inlineStr">
        <is>
          <t>broadband+tv</t>
        </is>
      </c>
      <c r="M763" s="5" t="inlineStr">
        <is>
          <t>Fiber + TV</t>
        </is>
      </c>
      <c r="N763" s="5" t="b">
        <v>0</v>
      </c>
      <c r="O763" s="5" t="b">
        <v>1</v>
      </c>
      <c r="P763" s="5" t="b">
        <v>1</v>
      </c>
      <c r="Q763" s="5" t="b">
        <v>0</v>
      </c>
      <c r="R763" s="7" t="n">
        <v>350</v>
      </c>
      <c r="S763" s="7" t="inlineStr"/>
      <c r="T763" s="7" t="inlineStr"/>
      <c r="U763" s="5" t="inlineStr">
        <is>
          <t>Claro tv+ Box + Disney+ Amazon Prime + Netflix + HBO Max + Apple TV + Globoplay</t>
        </is>
      </c>
      <c r="V763" s="5" t="inlineStr"/>
      <c r="W763" s="5" t="inlineStr"/>
      <c r="X763" s="5" t="inlineStr"/>
      <c r="Y763" s="5" t="inlineStr">
        <is>
          <t>https://www.claro.com.br/multi</t>
        </is>
      </c>
      <c r="Z763" s="5" t="inlineStr">
        <is>
          <t>data/raw/claro_convergent_multi_SP.html</t>
        </is>
      </c>
    </row>
    <row r="764">
      <c r="A764" s="2" t="inlineStr">
        <is>
          <t>2026-09-03</t>
        </is>
      </c>
      <c r="B764" s="2" t="inlineStr">
        <is>
          <t>2026-09-03T19:57:11</t>
        </is>
      </c>
      <c r="C764" s="2" t="inlineStr">
        <is>
          <t>claro</t>
        </is>
      </c>
      <c r="D764" s="2" t="inlineStr">
        <is>
          <t>SP</t>
        </is>
      </c>
      <c r="E764" s="2" t="inlineStr">
        <is>
          <t>350 Mega com Globoplay incluso + Controle 40GB</t>
        </is>
      </c>
      <c r="F764" s="2" t="inlineStr">
        <is>
          <t>claro:a866ea9a-6a70-4b6e-b886-f8178086ca91</t>
        </is>
      </c>
      <c r="G764" s="3" t="n">
        <v>129.8</v>
      </c>
      <c r="H764" s="3" t="inlineStr"/>
      <c r="I764" s="2" t="inlineStr"/>
      <c r="J764" s="2" t="inlineStr">
        <is>
          <t>debit_auto</t>
        </is>
      </c>
      <c r="K764" s="2" t="inlineStr">
        <is>
          <t>tab: Fibra + Móvel; preço em débito em conta; +R$ 5.00 sem débito automático</t>
        </is>
      </c>
      <c r="L764" s="2" t="inlineStr">
        <is>
          <t>mobile+broadband</t>
        </is>
      </c>
      <c r="M764" s="2" t="inlineStr">
        <is>
          <t>Fiber + Mobile</t>
        </is>
      </c>
      <c r="N764" s="2" t="b">
        <v>1</v>
      </c>
      <c r="O764" s="2" t="b">
        <v>1</v>
      </c>
      <c r="P764" s="2" t="b">
        <v>0</v>
      </c>
      <c r="Q764" s="2" t="b">
        <v>0</v>
      </c>
      <c r="R764" s="4" t="n">
        <v>350</v>
      </c>
      <c r="S764" s="4" t="n">
        <v>40</v>
      </c>
      <c r="T764" s="4" t="n">
        <v>1</v>
      </c>
      <c r="U764" s="2" t="inlineStr"/>
      <c r="V764" s="2" t="inlineStr"/>
      <c r="W764" s="2" t="inlineStr"/>
      <c r="X764" s="2" t="inlineStr">
        <is>
          <t>Controle 40GB</t>
        </is>
      </c>
      <c r="Y764" s="2" t="inlineStr">
        <is>
          <t>https://www.claro.com.br/multi</t>
        </is>
      </c>
      <c r="Z764" s="2" t="inlineStr">
        <is>
          <t>data/raw/claro_convergent_multi_SP.html</t>
        </is>
      </c>
    </row>
    <row r="765">
      <c r="A765" s="5" t="inlineStr">
        <is>
          <t>2026-09-03</t>
        </is>
      </c>
      <c r="B765" s="5" t="inlineStr">
        <is>
          <t>2026-09-03T19:57:11</t>
        </is>
      </c>
      <c r="C765" s="5" t="inlineStr">
        <is>
          <t>claro</t>
        </is>
      </c>
      <c r="D765" s="5" t="inlineStr">
        <is>
          <t>SP</t>
        </is>
      </c>
      <c r="E765" s="5" t="inlineStr">
        <is>
          <t>350 Mega com Globoplay incluso + Pós 100GB + Claro tv+ Box + Disney+ Amazon Prime + Netflix + HBO Max + Apple TV + Globoplay</t>
        </is>
      </c>
      <c r="F765" s="5" t="inlineStr">
        <is>
          <t>claro:746fa9cf-ea2b-40de-ad2c-5803b3e0ab08</t>
        </is>
      </c>
      <c r="G765" s="6" t="n">
        <v>249.8</v>
      </c>
      <c r="H765" s="6" t="inlineStr"/>
      <c r="I765" s="5" t="inlineStr"/>
      <c r="J765" s="5" t="inlineStr"/>
      <c r="K765" s="5" t="inlineStr">
        <is>
          <t>tab: Fibra + Móvel + TV</t>
        </is>
      </c>
      <c r="L765" s="5" t="inlineStr">
        <is>
          <t>mobile+broadband+tv</t>
        </is>
      </c>
      <c r="M765" s="5" t="inlineStr">
        <is>
          <t>Fiber + Mobile + TV</t>
        </is>
      </c>
      <c r="N765" s="5" t="b">
        <v>1</v>
      </c>
      <c r="O765" s="5" t="b">
        <v>1</v>
      </c>
      <c r="P765" s="5" t="b">
        <v>1</v>
      </c>
      <c r="Q765" s="5" t="b">
        <v>0</v>
      </c>
      <c r="R765" s="7" t="n">
        <v>350</v>
      </c>
      <c r="S765" s="7" t="n">
        <v>100</v>
      </c>
      <c r="T765" s="7" t="n">
        <v>1</v>
      </c>
      <c r="U765" s="5" t="inlineStr">
        <is>
          <t>Claro tv+ Box + Disney+ Amazon Prime + Netflix + HBO Max + Apple TV + Globoplay</t>
        </is>
      </c>
      <c r="V765" s="5" t="inlineStr"/>
      <c r="W765" s="5" t="inlineStr"/>
      <c r="X765" s="5" t="inlineStr">
        <is>
          <t>Pós 100GB</t>
        </is>
      </c>
      <c r="Y765" s="5" t="inlineStr">
        <is>
          <t>https://www.claro.com.br/multi</t>
        </is>
      </c>
      <c r="Z765" s="5" t="inlineStr">
        <is>
          <t>data/raw/claro_convergent_multi_SP.html</t>
        </is>
      </c>
    </row>
    <row r="766">
      <c r="A766" s="2" t="inlineStr">
        <is>
          <t>2026-09-03</t>
        </is>
      </c>
      <c r="B766" s="2" t="inlineStr">
        <is>
          <t>2026-09-03T19:57:11</t>
        </is>
      </c>
      <c r="C766" s="2" t="inlineStr">
        <is>
          <t>claro</t>
        </is>
      </c>
      <c r="D766" s="2" t="inlineStr">
        <is>
          <t>SP</t>
        </is>
      </c>
      <c r="E766" s="2" t="inlineStr">
        <is>
          <t>600 Mega com Globoplay incluso + Claro tv+ Box + Disney+ Amazon Prime + Netflix + HBO Max + Apple TV + Globoplay</t>
        </is>
      </c>
      <c r="F766" s="2" t="inlineStr">
        <is>
          <t>claro:545261b1-2f4d-4dab-82a6-02d9e66c5d3d</t>
        </is>
      </c>
      <c r="G766" s="3" t="n">
        <v>239.8</v>
      </c>
      <c r="H766" s="3" t="inlineStr"/>
      <c r="I766" s="2" t="inlineStr"/>
      <c r="J766" s="2" t="inlineStr"/>
      <c r="K766" s="2" t="inlineStr">
        <is>
          <t>tab: Fibra + TV</t>
        </is>
      </c>
      <c r="L766" s="2" t="inlineStr">
        <is>
          <t>broadband+tv</t>
        </is>
      </c>
      <c r="M766" s="2" t="inlineStr">
        <is>
          <t>Fiber + TV</t>
        </is>
      </c>
      <c r="N766" s="2" t="b">
        <v>0</v>
      </c>
      <c r="O766" s="2" t="b">
        <v>1</v>
      </c>
      <c r="P766" s="2" t="b">
        <v>1</v>
      </c>
      <c r="Q766" s="2" t="b">
        <v>0</v>
      </c>
      <c r="R766" s="4" t="n">
        <v>600</v>
      </c>
      <c r="S766" s="4" t="inlineStr"/>
      <c r="T766" s="4" t="inlineStr"/>
      <c r="U766" s="2" t="inlineStr">
        <is>
          <t>Claro tv+ Box + Disney+ Amazon Prime + Netflix + HBO Max + Apple TV + Globoplay</t>
        </is>
      </c>
      <c r="V766" s="2" t="inlineStr"/>
      <c r="W766" s="2" t="inlineStr"/>
      <c r="X766" s="2" t="inlineStr"/>
      <c r="Y766" s="2" t="inlineStr">
        <is>
          <t>https://www.claro.com.br/multi</t>
        </is>
      </c>
      <c r="Z766" s="2" t="inlineStr">
        <is>
          <t>data/raw/claro_convergent_multi_SP.html</t>
        </is>
      </c>
    </row>
    <row r="767">
      <c r="A767" s="5" t="inlineStr">
        <is>
          <t>2026-09-03</t>
        </is>
      </c>
      <c r="B767" s="5" t="inlineStr">
        <is>
          <t>2026-09-03T19:57:11</t>
        </is>
      </c>
      <c r="C767" s="5" t="inlineStr">
        <is>
          <t>claro</t>
        </is>
      </c>
      <c r="D767" s="5" t="inlineStr">
        <is>
          <t>SP</t>
        </is>
      </c>
      <c r="E767" s="5" t="inlineStr">
        <is>
          <t>600 Mega com Globoplay incluso + Pós 100GB</t>
        </is>
      </c>
      <c r="F767" s="5" t="inlineStr">
        <is>
          <t>claro:350ac58a-533c-4858-83be-be3ea39c8874</t>
        </is>
      </c>
      <c r="G767" s="6" t="n">
        <v>159.9</v>
      </c>
      <c r="H767" s="6" t="inlineStr"/>
      <c r="I767" s="5" t="inlineStr"/>
      <c r="J767" s="5" t="inlineStr"/>
      <c r="K767" s="5" t="inlineStr">
        <is>
          <t>tab: Fibra + Móvel</t>
        </is>
      </c>
      <c r="L767" s="5" t="inlineStr">
        <is>
          <t>mobile+broadband</t>
        </is>
      </c>
      <c r="M767" s="5" t="inlineStr">
        <is>
          <t>Fiber + Mobile</t>
        </is>
      </c>
      <c r="N767" s="5" t="b">
        <v>1</v>
      </c>
      <c r="O767" s="5" t="b">
        <v>1</v>
      </c>
      <c r="P767" s="5" t="b">
        <v>0</v>
      </c>
      <c r="Q767" s="5" t="b">
        <v>0</v>
      </c>
      <c r="R767" s="7" t="n">
        <v>600</v>
      </c>
      <c r="S767" s="7" t="n">
        <v>100</v>
      </c>
      <c r="T767" s="7" t="n">
        <v>1</v>
      </c>
      <c r="U767" s="5" t="inlineStr"/>
      <c r="V767" s="5" t="inlineStr"/>
      <c r="W767" s="5" t="inlineStr"/>
      <c r="X767" s="5" t="inlineStr">
        <is>
          <t>Pós 100GB</t>
        </is>
      </c>
      <c r="Y767" s="5" t="inlineStr">
        <is>
          <t>https://www.claro.com.br/multi</t>
        </is>
      </c>
      <c r="Z767" s="5" t="inlineStr">
        <is>
          <t>data/raw/claro_convergent_multi_SP.html</t>
        </is>
      </c>
    </row>
    <row r="768">
      <c r="A768" s="2" t="inlineStr">
        <is>
          <t>2026-09-03</t>
        </is>
      </c>
      <c r="B768" s="2" t="inlineStr">
        <is>
          <t>2026-09-03T19:57:11</t>
        </is>
      </c>
      <c r="C768" s="2" t="inlineStr">
        <is>
          <t>claro</t>
        </is>
      </c>
      <c r="D768" s="2" t="inlineStr">
        <is>
          <t>SP</t>
        </is>
      </c>
      <c r="E768" s="2" t="inlineStr">
        <is>
          <t>600 Mega com Globoplay incluso + Pós 100GB + Claro tv+ Box + Disney+ Amazon Prime + Netflix + HBO Max + Apple TV + Globoplay</t>
        </is>
      </c>
      <c r="F768" s="2" t="inlineStr">
        <is>
          <t>claro:f36e7dfb-f7c9-4055-844f-7bc101699de8</t>
        </is>
      </c>
      <c r="G768" s="3" t="n">
        <v>269.8</v>
      </c>
      <c r="H768" s="3" t="inlineStr"/>
      <c r="I768" s="2" t="inlineStr"/>
      <c r="J768" s="2" t="inlineStr"/>
      <c r="K768" s="2" t="inlineStr">
        <is>
          <t>tab: Fibra + Móvel + TV</t>
        </is>
      </c>
      <c r="L768" s="2" t="inlineStr">
        <is>
          <t>mobile+broadband+tv</t>
        </is>
      </c>
      <c r="M768" s="2" t="inlineStr">
        <is>
          <t>Fiber + Mobile + TV</t>
        </is>
      </c>
      <c r="N768" s="2" t="b">
        <v>1</v>
      </c>
      <c r="O768" s="2" t="b">
        <v>1</v>
      </c>
      <c r="P768" s="2" t="b">
        <v>1</v>
      </c>
      <c r="Q768" s="2" t="b">
        <v>0</v>
      </c>
      <c r="R768" s="4" t="n">
        <v>600</v>
      </c>
      <c r="S768" s="4" t="n">
        <v>100</v>
      </c>
      <c r="T768" s="4" t="n">
        <v>1</v>
      </c>
      <c r="U768" s="2" t="inlineStr">
        <is>
          <t>Claro tv+ Box + Disney+ Amazon Prime + Netflix + HBO Max + Apple TV + Globoplay</t>
        </is>
      </c>
      <c r="V768" s="2" t="inlineStr"/>
      <c r="W768" s="2" t="inlineStr"/>
      <c r="X768" s="2" t="inlineStr">
        <is>
          <t>Pós 100GB</t>
        </is>
      </c>
      <c r="Y768" s="2" t="inlineStr">
        <is>
          <t>https://www.claro.com.br/multi</t>
        </is>
      </c>
      <c r="Z768" s="2" t="inlineStr">
        <is>
          <t>data/raw/claro_convergent_multi_SP.html</t>
        </is>
      </c>
    </row>
    <row r="769">
      <c r="A769" s="5" t="inlineStr">
        <is>
          <t>2026-09-03</t>
        </is>
      </c>
      <c r="B769" s="5" t="inlineStr">
        <is>
          <t>2026-09-03T19:57:11</t>
        </is>
      </c>
      <c r="C769" s="5" t="inlineStr">
        <is>
          <t>tim</t>
        </is>
      </c>
      <c r="D769" s="5" t="inlineStr">
        <is>
          <t>SP</t>
        </is>
      </c>
      <c r="E769" s="5" t="inlineStr">
        <is>
          <t>TIM Ultracombo 5</t>
        </is>
      </c>
      <c r="F769" s="5" t="inlineStr">
        <is>
          <t>tim:167756</t>
        </is>
      </c>
      <c r="G769" s="6" t="n">
        <v>169.99</v>
      </c>
      <c r="H769" s="6" t="inlineStr"/>
      <c r="I769" s="5" t="inlineStr"/>
      <c r="J769" s="5" t="inlineStr">
        <is>
          <t>debit_auto</t>
        </is>
      </c>
      <c r="K769" s="5" t="inlineStr">
        <is>
          <t>preço em débito automático; R$ 179,99/mês no pagamento por fatura</t>
        </is>
      </c>
      <c r="L769" s="5" t="inlineStr">
        <is>
          <t>mobile+broadband</t>
        </is>
      </c>
      <c r="M769" s="5" t="inlineStr">
        <is>
          <t>Fiber + Mobile</t>
        </is>
      </c>
      <c r="N769" s="5" t="b">
        <v>1</v>
      </c>
      <c r="O769" s="5" t="b">
        <v>1</v>
      </c>
      <c r="P769" s="5" t="b">
        <v>0</v>
      </c>
      <c r="Q769" s="5" t="b">
        <v>0</v>
      </c>
      <c r="R769" s="7" t="n">
        <v>1000</v>
      </c>
      <c r="S769" s="7" t="n">
        <v>115</v>
      </c>
      <c r="T769" s="7" t="n">
        <v>1</v>
      </c>
      <c r="U769" s="5" t="inlineStr"/>
      <c r="V769" s="5" t="inlineStr">
        <is>
          <t>Paramount+, Deezer</t>
        </is>
      </c>
      <c r="W769" s="5" t="inlineStr"/>
      <c r="X769" s="5" t="inlineStr">
        <is>
          <t>1GIGA de Ultrafibra para casa + 115GB de TIM Black C Hero para móvel: (25GB do plano + 40GB promo + 50GB bônus especial)</t>
        </is>
      </c>
      <c r="Y769" s="5" t="inlineStr">
        <is>
          <t>https://www.tim.com.br/sp/internet/tim-ultracombo</t>
        </is>
      </c>
      <c r="Z769" s="5" t="inlineStr">
        <is>
          <t>data/raw/tim_convergent_ultracombo_SP.html</t>
        </is>
      </c>
    </row>
    <row r="770">
      <c r="A770" s="2" t="inlineStr">
        <is>
          <t>2026-09-03</t>
        </is>
      </c>
      <c r="B770" s="2" t="inlineStr">
        <is>
          <t>2026-09-03T19:57:11</t>
        </is>
      </c>
      <c r="C770" s="2" t="inlineStr">
        <is>
          <t>tim</t>
        </is>
      </c>
      <c r="D770" s="2" t="inlineStr">
        <is>
          <t>SP</t>
        </is>
      </c>
      <c r="E770" s="2" t="inlineStr">
        <is>
          <t>TIM Ultracombo 6</t>
        </is>
      </c>
      <c r="F770" s="2" t="inlineStr">
        <is>
          <t>tim:167751</t>
        </is>
      </c>
      <c r="G770" s="3" t="n">
        <v>139.99</v>
      </c>
      <c r="H770" s="3" t="inlineStr"/>
      <c r="I770" s="2" t="inlineStr"/>
      <c r="J770" s="2" t="inlineStr">
        <is>
          <t>debit_auto</t>
        </is>
      </c>
      <c r="K770" s="2" t="inlineStr">
        <is>
          <t>preço em débito automático; R$ 149,99/mês no pagamento por fatura</t>
        </is>
      </c>
      <c r="L770" s="2" t="inlineStr">
        <is>
          <t>mobile+broadband</t>
        </is>
      </c>
      <c r="M770" s="2" t="inlineStr">
        <is>
          <t>Fiber + Mobile</t>
        </is>
      </c>
      <c r="N770" s="2" t="b">
        <v>1</v>
      </c>
      <c r="O770" s="2" t="b">
        <v>1</v>
      </c>
      <c r="P770" s="2" t="b">
        <v>0</v>
      </c>
      <c r="Q770" s="2" t="b">
        <v>0</v>
      </c>
      <c r="R770" s="4" t="n">
        <v>1000</v>
      </c>
      <c r="S770" s="4" t="n">
        <v>70</v>
      </c>
      <c r="T770" s="4" t="n">
        <v>1</v>
      </c>
      <c r="U770" s="2" t="inlineStr"/>
      <c r="V770" s="2" t="inlineStr">
        <is>
          <t>Paramount+, Deezer</t>
        </is>
      </c>
      <c r="W770" s="2" t="inlineStr"/>
      <c r="X770" s="2" t="inlineStr">
        <is>
          <t>1GIGA de Ultrafibra para casa + 70GB de TIM Black A para móvel: (15GB do plano + 50GB promo + 5GB bônus especial)</t>
        </is>
      </c>
      <c r="Y770" s="2" t="inlineStr">
        <is>
          <t>https://www.tim.com.br/sp/internet/tim-ultracombo</t>
        </is>
      </c>
      <c r="Z770" s="2" t="inlineStr">
        <is>
          <t>data/raw/tim_convergent_ultracombo_SP.html</t>
        </is>
      </c>
    </row>
    <row r="771">
      <c r="A771" s="5" t="inlineStr">
        <is>
          <t>2026-09-03</t>
        </is>
      </c>
      <c r="B771" s="5" t="inlineStr">
        <is>
          <t>2026-09-03T19:57:11</t>
        </is>
      </c>
      <c r="C771" s="5" t="inlineStr">
        <is>
          <t>tim</t>
        </is>
      </c>
      <c r="D771" s="5" t="inlineStr">
        <is>
          <t>SP</t>
        </is>
      </c>
      <c r="E771" s="5" t="inlineStr">
        <is>
          <t>TIM Ultracombo 7</t>
        </is>
      </c>
      <c r="F771" s="5" t="inlineStr">
        <is>
          <t>tim:167761</t>
        </is>
      </c>
      <c r="G771" s="6" t="n">
        <v>89.98999999999999</v>
      </c>
      <c r="H771" s="6" t="inlineStr"/>
      <c r="I771" s="5" t="inlineStr"/>
      <c r="J771" s="5" t="inlineStr">
        <is>
          <t>debit_auto</t>
        </is>
      </c>
      <c r="K771" s="5" t="inlineStr">
        <is>
          <t>preço em débito automático; R$ 99,99/mês no pagamento por fatura</t>
        </is>
      </c>
      <c r="L771" s="5" t="inlineStr">
        <is>
          <t>mobile+broadband</t>
        </is>
      </c>
      <c r="M771" s="5" t="inlineStr">
        <is>
          <t>Fiber + Mobile</t>
        </is>
      </c>
      <c r="N771" s="5" t="b">
        <v>1</v>
      </c>
      <c r="O771" s="5" t="b">
        <v>1</v>
      </c>
      <c r="P771" s="5" t="b">
        <v>0</v>
      </c>
      <c r="Q771" s="5" t="b">
        <v>0</v>
      </c>
      <c r="R771" s="7" t="n">
        <v>500</v>
      </c>
      <c r="S771" s="7" t="n">
        <v>65</v>
      </c>
      <c r="T771" s="7" t="n">
        <v>1</v>
      </c>
      <c r="U771" s="5" t="inlineStr"/>
      <c r="V771" s="5" t="inlineStr"/>
      <c r="W771" s="5" t="inlineStr"/>
      <c r="X771" s="5" t="inlineStr">
        <is>
          <t>500MEGA de Ultrafibra para casa + 65GB de TIM Black A Light para móvel: (10GB do plano + 50GB promo)</t>
        </is>
      </c>
      <c r="Y771" s="5" t="inlineStr">
        <is>
          <t>https://www.tim.com.br/sp/internet/tim-ultracombo</t>
        </is>
      </c>
      <c r="Z771" s="5" t="inlineStr">
        <is>
          <t>data/raw/tim_convergent_ultracombo_SP.html</t>
        </is>
      </c>
    </row>
    <row r="772">
      <c r="A772" s="2" t="inlineStr">
        <is>
          <t>2026-09-03</t>
        </is>
      </c>
      <c r="B772" s="2" t="inlineStr">
        <is>
          <t>2026-09-03T19:57:11</t>
        </is>
      </c>
      <c r="C772" s="2" t="inlineStr">
        <is>
          <t>vivo</t>
        </is>
      </c>
      <c r="D772" s="2" t="inlineStr">
        <is>
          <t>SP</t>
        </is>
      </c>
      <c r="E772" s="2" t="inlineStr">
        <is>
          <t>Vivo Família 2 + TV</t>
        </is>
      </c>
      <c r="F772" s="2" t="inlineStr">
        <is>
          <t>vivo:VIV202604032132-3-305-316-336-408-411-426-430-442</t>
        </is>
      </c>
      <c r="G772" s="3" t="n">
        <v>290</v>
      </c>
      <c r="H772" s="3" t="inlineStr"/>
      <c r="I772" s="2" t="inlineStr"/>
      <c r="J772" s="2" t="inlineStr"/>
      <c r="K772" s="2" t="inlineStr">
        <is>
          <t>instalação grátis mediante fidelização (não afeta a mensalidade)</t>
        </is>
      </c>
      <c r="L772" s="2" t="inlineStr">
        <is>
          <t>mobile+broadband+tv</t>
        </is>
      </c>
      <c r="M772" s="2" t="inlineStr">
        <is>
          <t>Fiber + Mobile + TV</t>
        </is>
      </c>
      <c r="N772" s="2" t="b">
        <v>1</v>
      </c>
      <c r="O772" s="2" t="b">
        <v>1</v>
      </c>
      <c r="P772" s="2" t="b">
        <v>1</v>
      </c>
      <c r="Q772" s="2" t="b">
        <v>0</v>
      </c>
      <c r="R772" s="4" t="n">
        <v>700</v>
      </c>
      <c r="S772" s="4" t="n">
        <v>120</v>
      </c>
      <c r="T772" s="4" t="n">
        <v>2</v>
      </c>
      <c r="U772" s="2" t="inlineStr">
        <is>
          <t>80 canais de Vivo Estendido</t>
        </is>
      </c>
      <c r="V772" s="2" t="inlineStr"/>
      <c r="W772" s="2" t="inlineStr">
        <is>
          <t>Vivo Travel Américas e Europa; 1 linha adicional inclusa</t>
        </is>
      </c>
      <c r="X772" s="2" t="inlineStr">
        <is>
          <t>700 Mega de Vivo Fibra</t>
        </is>
      </c>
      <c r="Y772" s="2" t="inlineStr">
        <is>
          <t>https://vivo.com.br/para-voce/produtos-e-servicos/combos/vivo-total</t>
        </is>
      </c>
      <c r="Z772" s="2" t="inlineStr">
        <is>
          <t>data/raw/vivo_convergent_total_SP.html</t>
        </is>
      </c>
    </row>
    <row r="773">
      <c r="A773" s="5" t="inlineStr">
        <is>
          <t>2026-09-03</t>
        </is>
      </c>
      <c r="B773" s="5" t="inlineStr">
        <is>
          <t>2026-09-03T19:57:11</t>
        </is>
      </c>
      <c r="C773" s="5" t="inlineStr">
        <is>
          <t>vivo</t>
        </is>
      </c>
      <c r="D773" s="5" t="inlineStr">
        <is>
          <t>SP</t>
        </is>
      </c>
      <c r="E773" s="5" t="inlineStr">
        <is>
          <t>Vivo Família 2 + TV</t>
        </is>
      </c>
      <c r="F773" s="5" t="inlineStr">
        <is>
          <t>vivo:VIV202604032112-3-9-305-316-408-411-426-430-442</t>
        </is>
      </c>
      <c r="G773" s="6" t="n">
        <v>390</v>
      </c>
      <c r="H773" s="6" t="inlineStr"/>
      <c r="I773" s="5" t="inlineStr"/>
      <c r="J773" s="5" t="inlineStr"/>
      <c r="K773" s="5" t="inlineStr">
        <is>
          <t>instalação grátis mediante fidelização (não afeta a mensalidade)</t>
        </is>
      </c>
      <c r="L773" s="5" t="inlineStr">
        <is>
          <t>mobile+broadband+tv</t>
        </is>
      </c>
      <c r="M773" s="5" t="inlineStr">
        <is>
          <t>Fiber + Mobile + TV</t>
        </is>
      </c>
      <c r="N773" s="5" t="b">
        <v>1</v>
      </c>
      <c r="O773" s="5" t="b">
        <v>1</v>
      </c>
      <c r="P773" s="5" t="b">
        <v>1</v>
      </c>
      <c r="Q773" s="5" t="b">
        <v>0</v>
      </c>
      <c r="R773" s="7" t="n">
        <v>700</v>
      </c>
      <c r="S773" s="7" t="n">
        <v>120</v>
      </c>
      <c r="T773" s="7" t="n">
        <v>2</v>
      </c>
      <c r="U773" s="5" t="inlineStr">
        <is>
          <t>120 canais de Vivo TV Avançado + 1 ponto adicional</t>
        </is>
      </c>
      <c r="V773" s="5" t="inlineStr"/>
      <c r="W773" s="5" t="inlineStr">
        <is>
          <t>Vivo Travel Américas e Europa; 1 linha adicional inclusa</t>
        </is>
      </c>
      <c r="X773" s="5" t="inlineStr">
        <is>
          <t>700 Mega de Vivo Fibra</t>
        </is>
      </c>
      <c r="Y773" s="5" t="inlineStr">
        <is>
          <t>https://vivo.com.br/para-voce/produtos-e-servicos/combos/vivo-total</t>
        </is>
      </c>
      <c r="Z773" s="5" t="inlineStr">
        <is>
          <t>data/raw/vivo_convergent_total_SP.html</t>
        </is>
      </c>
    </row>
    <row r="774">
      <c r="A774" s="2" t="inlineStr">
        <is>
          <t>2026-09-03</t>
        </is>
      </c>
      <c r="B774" s="2" t="inlineStr">
        <is>
          <t>2026-09-03T19:57:11</t>
        </is>
      </c>
      <c r="C774" s="2" t="inlineStr">
        <is>
          <t>vivo</t>
        </is>
      </c>
      <c r="D774" s="2" t="inlineStr">
        <is>
          <t>SP</t>
        </is>
      </c>
      <c r="E774" s="2" t="inlineStr">
        <is>
          <t>Vivo Total Família 2</t>
        </is>
      </c>
      <c r="F774" s="2" t="inlineStr">
        <is>
          <t>vivo:VIV202604032132-3-305-316-408-411-426-430-442</t>
        </is>
      </c>
      <c r="G774" s="3" t="n">
        <v>270</v>
      </c>
      <c r="H774" s="3" t="inlineStr"/>
      <c r="I774" s="2" t="inlineStr"/>
      <c r="J774" s="2" t="inlineStr"/>
      <c r="K774" s="2" t="inlineStr">
        <is>
          <t>instalação grátis mediante fidelização (não afeta a mensalidade)</t>
        </is>
      </c>
      <c r="L774" s="2" t="inlineStr">
        <is>
          <t>mobile+broadband</t>
        </is>
      </c>
      <c r="M774" s="2" t="inlineStr">
        <is>
          <t>Fiber + Mobile</t>
        </is>
      </c>
      <c r="N774" s="2" t="b">
        <v>1</v>
      </c>
      <c r="O774" s="2" t="b">
        <v>1</v>
      </c>
      <c r="P774" s="2" t="b">
        <v>0</v>
      </c>
      <c r="Q774" s="2" t="b">
        <v>0</v>
      </c>
      <c r="R774" s="4" t="n">
        <v>700</v>
      </c>
      <c r="S774" s="4" t="n">
        <v>120</v>
      </c>
      <c r="T774" s="4" t="n">
        <v>2</v>
      </c>
      <c r="U774" s="2" t="inlineStr"/>
      <c r="V774" s="2" t="inlineStr"/>
      <c r="W774" s="2" t="inlineStr">
        <is>
          <t>Vivo Travel Américas e Europa; 1 linha adicional inclusa</t>
        </is>
      </c>
      <c r="X774" s="2" t="inlineStr">
        <is>
          <t>700 Mega de Vivo Fibra</t>
        </is>
      </c>
      <c r="Y774" s="2" t="inlineStr">
        <is>
          <t>https://vivo.com.br/para-voce/produtos-e-servicos/combos/vivo-total</t>
        </is>
      </c>
      <c r="Z774" s="2" t="inlineStr">
        <is>
          <t>data/raw/vivo_convergent_total_SP.html</t>
        </is>
      </c>
    </row>
    <row r="775">
      <c r="A775" s="5" t="inlineStr">
        <is>
          <t>2026-09-03</t>
        </is>
      </c>
      <c r="B775" s="5" t="inlineStr">
        <is>
          <t>2026-09-03T19:57:11</t>
        </is>
      </c>
      <c r="C775" s="5" t="inlineStr">
        <is>
          <t>vivo</t>
        </is>
      </c>
      <c r="D775" s="5" t="inlineStr">
        <is>
          <t>SP</t>
        </is>
      </c>
      <c r="E775" s="5" t="inlineStr">
        <is>
          <t>Vivo Total Família 3</t>
        </is>
      </c>
      <c r="F775" s="5" t="inlineStr">
        <is>
          <t>vivo:VIV202604032212-4-305-316-408-411-426-430-442</t>
        </is>
      </c>
      <c r="G775" s="6" t="n">
        <v>330</v>
      </c>
      <c r="H775" s="6" t="inlineStr"/>
      <c r="I775" s="5" t="inlineStr"/>
      <c r="J775" s="5" t="inlineStr"/>
      <c r="K775" s="5" t="inlineStr">
        <is>
          <t>instalação grátis mediante fidelização (não afeta a mensalidade)</t>
        </is>
      </c>
      <c r="L775" s="5" t="inlineStr">
        <is>
          <t>mobile+broadband</t>
        </is>
      </c>
      <c r="M775" s="5" t="inlineStr">
        <is>
          <t>Fiber + Mobile</t>
        </is>
      </c>
      <c r="N775" s="5" t="b">
        <v>1</v>
      </c>
      <c r="O775" s="5" t="b">
        <v>1</v>
      </c>
      <c r="P775" s="5" t="b">
        <v>0</v>
      </c>
      <c r="Q775" s="5" t="b">
        <v>0</v>
      </c>
      <c r="R775" s="7" t="n">
        <v>700</v>
      </c>
      <c r="S775" s="7" t="n">
        <v>180</v>
      </c>
      <c r="T775" s="7" t="n">
        <v>3</v>
      </c>
      <c r="U775" s="5" t="inlineStr"/>
      <c r="V775" s="5" t="inlineStr"/>
      <c r="W775" s="5" t="inlineStr">
        <is>
          <t>Vivo Travel Américas e Europa; 2 linhas adicionais inclusas</t>
        </is>
      </c>
      <c r="X775" s="5" t="inlineStr">
        <is>
          <t>700 Mega de Vivo Fibra</t>
        </is>
      </c>
      <c r="Y775" s="5" t="inlineStr">
        <is>
          <t>https://vivo.com.br/para-voce/produtos-e-servicos/combos/vivo-total</t>
        </is>
      </c>
      <c r="Z775" s="5" t="inlineStr">
        <is>
          <t>data/raw/vivo_convergent_total_SP.html</t>
        </is>
      </c>
    </row>
    <row r="776">
      <c r="A776" s="2" t="inlineStr">
        <is>
          <t>2026-09-03</t>
        </is>
      </c>
      <c r="B776" s="2" t="inlineStr">
        <is>
          <t>2026-09-03T19:57:11</t>
        </is>
      </c>
      <c r="C776" s="2" t="inlineStr">
        <is>
          <t>vivo</t>
        </is>
      </c>
      <c r="D776" s="2" t="inlineStr">
        <is>
          <t>SP</t>
        </is>
      </c>
      <c r="E776" s="2" t="inlineStr">
        <is>
          <t>Vivo Total Família 4</t>
        </is>
      </c>
      <c r="F776" s="2" t="inlineStr">
        <is>
          <t>vivo:VIV202604032292-237-305-316-408-411-426-430-442</t>
        </is>
      </c>
      <c r="G776" s="3" t="n">
        <v>420</v>
      </c>
      <c r="H776" s="3" t="inlineStr"/>
      <c r="I776" s="2" t="inlineStr"/>
      <c r="J776" s="2" t="inlineStr"/>
      <c r="K776" s="2" t="inlineStr">
        <is>
          <t>instalação grátis mediante fidelização (não afeta a mensalidade)</t>
        </is>
      </c>
      <c r="L776" s="2" t="inlineStr">
        <is>
          <t>mobile+broadband</t>
        </is>
      </c>
      <c r="M776" s="2" t="inlineStr">
        <is>
          <t>Fiber + Mobile</t>
        </is>
      </c>
      <c r="N776" s="2" t="b">
        <v>1</v>
      </c>
      <c r="O776" s="2" t="b">
        <v>1</v>
      </c>
      <c r="P776" s="2" t="b">
        <v>0</v>
      </c>
      <c r="Q776" s="2" t="b">
        <v>0</v>
      </c>
      <c r="R776" s="4" t="n">
        <v>700</v>
      </c>
      <c r="S776" s="4" t="n">
        <v>240</v>
      </c>
      <c r="T776" s="4" t="n">
        <v>4</v>
      </c>
      <c r="U776" s="2" t="inlineStr"/>
      <c r="V776" s="2" t="inlineStr"/>
      <c r="W776" s="2" t="inlineStr">
        <is>
          <t>Vivo Travel Américas e Europa; 3 linhas adicionais inclusas</t>
        </is>
      </c>
      <c r="X776" s="2" t="inlineStr">
        <is>
          <t>700 Mega de Vivo Fibra</t>
        </is>
      </c>
      <c r="Y776" s="2" t="inlineStr">
        <is>
          <t>https://vivo.com.br/para-voce/produtos-e-servicos/combos/vivo-total</t>
        </is>
      </c>
      <c r="Z776" s="2" t="inlineStr">
        <is>
          <t>data/raw/vivo_convergent_total_SP.html</t>
        </is>
      </c>
    </row>
    <row r="777">
      <c r="A777" s="5" t="inlineStr">
        <is>
          <t>2026-09-03</t>
        </is>
      </c>
      <c r="B777" s="5" t="inlineStr">
        <is>
          <t>2026-09-03T19:57:11</t>
        </is>
      </c>
      <c r="C777" s="5" t="inlineStr">
        <is>
          <t>vivo</t>
        </is>
      </c>
      <c r="D777" s="5" t="inlineStr">
        <is>
          <t>SP</t>
        </is>
      </c>
      <c r="E777" s="5" t="inlineStr">
        <is>
          <t>Vivo Total Família 5</t>
        </is>
      </c>
      <c r="F777" s="5" t="inlineStr">
        <is>
          <t>vivo:VIV202604032372-5-305-316-408-411-426-430-442</t>
        </is>
      </c>
      <c r="G777" s="6" t="n">
        <v>520</v>
      </c>
      <c r="H777" s="6" t="inlineStr"/>
      <c r="I777" s="5" t="inlineStr"/>
      <c r="J777" s="5" t="inlineStr"/>
      <c r="K777" s="5" t="inlineStr">
        <is>
          <t>instalação grátis mediante fidelização (não afeta a mensalidade)</t>
        </is>
      </c>
      <c r="L777" s="5" t="inlineStr">
        <is>
          <t>mobile+broadband</t>
        </is>
      </c>
      <c r="M777" s="5" t="inlineStr">
        <is>
          <t>Fiber + Mobile</t>
        </is>
      </c>
      <c r="N777" s="5" t="b">
        <v>1</v>
      </c>
      <c r="O777" s="5" t="b">
        <v>1</v>
      </c>
      <c r="P777" s="5" t="b">
        <v>0</v>
      </c>
      <c r="Q777" s="5" t="b">
        <v>0</v>
      </c>
      <c r="R777" s="7" t="n">
        <v>700</v>
      </c>
      <c r="S777" s="7" t="n">
        <v>300</v>
      </c>
      <c r="T777" s="7" t="n">
        <v>5</v>
      </c>
      <c r="U777" s="5" t="inlineStr"/>
      <c r="V777" s="5" t="inlineStr"/>
      <c r="W777" s="5" t="inlineStr">
        <is>
          <t>Vivo Travel Américas e Europa; 4 linhas adicionais inclusas</t>
        </is>
      </c>
      <c r="X777" s="5" t="inlineStr">
        <is>
          <t>700 Mega de Vivo Fibra</t>
        </is>
      </c>
      <c r="Y777" s="5" t="inlineStr">
        <is>
          <t>https://vivo.com.br/para-voce/produtos-e-servicos/combos/vivo-total</t>
        </is>
      </c>
      <c r="Z777" s="5" t="inlineStr">
        <is>
          <t>data/raw/vivo_convergent_total_SP.html</t>
        </is>
      </c>
    </row>
    <row r="778">
      <c r="A778" s="2" t="inlineStr">
        <is>
          <t>2026-09-03</t>
        </is>
      </c>
      <c r="B778" s="2" t="inlineStr">
        <is>
          <t>2026-09-03T19:57:11</t>
        </is>
      </c>
      <c r="C778" s="2" t="inlineStr">
        <is>
          <t>vivo</t>
        </is>
      </c>
      <c r="D778" s="2" t="inlineStr">
        <is>
          <t>SP</t>
        </is>
      </c>
      <c r="E778" s="2" t="inlineStr">
        <is>
          <t>Vivo Total Pro</t>
        </is>
      </c>
      <c r="F778" s="2" t="inlineStr">
        <is>
          <t>vivo:VIV202604031772-2-305-308-316-326-342-411-430</t>
        </is>
      </c>
      <c r="G778" s="3" t="n">
        <v>160</v>
      </c>
      <c r="H778" s="3" t="inlineStr"/>
      <c r="I778" s="2" t="inlineStr"/>
      <c r="J778" s="2" t="inlineStr"/>
      <c r="K778" s="2" t="inlineStr">
        <is>
          <t>instalação grátis mediante fidelização (não afeta a mensalidade)</t>
        </is>
      </c>
      <c r="L778" s="2" t="inlineStr">
        <is>
          <t>mobile+broadband</t>
        </is>
      </c>
      <c r="M778" s="2" t="inlineStr">
        <is>
          <t>Fiber + Mobile</t>
        </is>
      </c>
      <c r="N778" s="2" t="b">
        <v>1</v>
      </c>
      <c r="O778" s="2" t="b">
        <v>1</v>
      </c>
      <c r="P778" s="2" t="b">
        <v>0</v>
      </c>
      <c r="Q778" s="2" t="b">
        <v>0</v>
      </c>
      <c r="R778" s="4" t="n">
        <v>500</v>
      </c>
      <c r="S778" s="4" t="n">
        <v>70</v>
      </c>
      <c r="T778" s="4" t="n">
        <v>1</v>
      </c>
      <c r="U778" s="2" t="inlineStr"/>
      <c r="V778" s="2" t="inlineStr"/>
      <c r="W778" s="2" t="inlineStr">
        <is>
          <t>Vivo Travel Américas; 50 GB de franquia + 20 GB de bônus</t>
        </is>
      </c>
      <c r="X778" s="2" t="inlineStr">
        <is>
          <t>500 Mega de Vivo Fibra</t>
        </is>
      </c>
      <c r="Y778" s="2" t="inlineStr">
        <is>
          <t>https://vivo.com.br/para-voce/produtos-e-servicos/combos/vivo-total</t>
        </is>
      </c>
      <c r="Z778" s="2" t="inlineStr">
        <is>
          <t>data/raw/vivo_convergent_total_SP.html</t>
        </is>
      </c>
    </row>
    <row r="779">
      <c r="A779" s="5" t="inlineStr">
        <is>
          <t>2026-09-03</t>
        </is>
      </c>
      <c r="B779" s="5" t="inlineStr">
        <is>
          <t>2026-09-03T19:57:11</t>
        </is>
      </c>
      <c r="C779" s="5" t="inlineStr">
        <is>
          <t>vivo</t>
        </is>
      </c>
      <c r="D779" s="5" t="inlineStr">
        <is>
          <t>SP</t>
        </is>
      </c>
      <c r="E779" s="5" t="inlineStr">
        <is>
          <t>Vivo Total Ultra</t>
        </is>
      </c>
      <c r="F779" s="5" t="inlineStr">
        <is>
          <t>vivo:VIV202604032034-305-313-316-408-411-426-430-442</t>
        </is>
      </c>
      <c r="G779" s="6" t="n">
        <v>190</v>
      </c>
      <c r="H779" s="6" t="inlineStr"/>
      <c r="I779" s="5" t="inlineStr"/>
      <c r="J779" s="5" t="inlineStr"/>
      <c r="K779" s="5" t="inlineStr">
        <is>
          <t>instalação grátis mediante fidelização (não afeta a mensalidade)</t>
        </is>
      </c>
      <c r="L779" s="5" t="inlineStr">
        <is>
          <t>mobile+broadband</t>
        </is>
      </c>
      <c r="M779" s="5" t="inlineStr">
        <is>
          <t>Fiber + Mobile</t>
        </is>
      </c>
      <c r="N779" s="5" t="b">
        <v>1</v>
      </c>
      <c r="O779" s="5" t="b">
        <v>1</v>
      </c>
      <c r="P779" s="5" t="b">
        <v>0</v>
      </c>
      <c r="Q779" s="5" t="b">
        <v>0</v>
      </c>
      <c r="R779" s="7" t="n">
        <v>700</v>
      </c>
      <c r="S779" s="7" t="n">
        <v>80</v>
      </c>
      <c r="T779" s="7" t="n">
        <v>1</v>
      </c>
      <c r="U779" s="5" t="inlineStr"/>
      <c r="V779" s="5" t="inlineStr"/>
      <c r="W779" s="5" t="inlineStr">
        <is>
          <t>Vivo Travel Américas; 70 GB de franquia + 10 GB de bônus</t>
        </is>
      </c>
      <c r="X779" s="5" t="inlineStr">
        <is>
          <t>700 Mega de Vivo Fibra</t>
        </is>
      </c>
      <c r="Y779" s="5" t="inlineStr">
        <is>
          <t>https://vivo.com.br/para-voce/produtos-e-servicos/combos/vivo-total</t>
        </is>
      </c>
      <c r="Z779" s="5" t="inlineStr">
        <is>
          <t>data/raw/vivo_convergent_total_SP.html</t>
        </is>
      </c>
    </row>
    <row r="780">
      <c r="A780" s="2" t="inlineStr">
        <is>
          <t>2026-09-03</t>
        </is>
      </c>
      <c r="B780" s="2" t="inlineStr">
        <is>
          <t>2026-09-03T19:57:11</t>
        </is>
      </c>
      <c r="C780" s="2" t="inlineStr">
        <is>
          <t>vivo</t>
        </is>
      </c>
      <c r="D780" s="2" t="inlineStr">
        <is>
          <t>SP</t>
        </is>
      </c>
      <c r="E780" s="2" t="inlineStr">
        <is>
          <t>Vivo Total Ultra + TV</t>
        </is>
      </c>
      <c r="F780" s="2" t="inlineStr">
        <is>
          <t>vivo:VIV202604031882-9-305-313-316-408-411-426-430-442</t>
        </is>
      </c>
      <c r="G780" s="3" t="n">
        <v>310</v>
      </c>
      <c r="H780" s="3" t="inlineStr"/>
      <c r="I780" s="2" t="inlineStr"/>
      <c r="J780" s="2" t="inlineStr"/>
      <c r="K780" s="2" t="inlineStr">
        <is>
          <t>instalação grátis mediante fidelização (não afeta a mensalidade)</t>
        </is>
      </c>
      <c r="L780" s="2" t="inlineStr">
        <is>
          <t>mobile+broadband+tv</t>
        </is>
      </c>
      <c r="M780" s="2" t="inlineStr">
        <is>
          <t>Fiber + Mobile + TV</t>
        </is>
      </c>
      <c r="N780" s="2" t="b">
        <v>1</v>
      </c>
      <c r="O780" s="2" t="b">
        <v>1</v>
      </c>
      <c r="P780" s="2" t="b">
        <v>1</v>
      </c>
      <c r="Q780" s="2" t="b">
        <v>0</v>
      </c>
      <c r="R780" s="4" t="n">
        <v>700</v>
      </c>
      <c r="S780" s="4" t="n">
        <v>80</v>
      </c>
      <c r="T780" s="4" t="n">
        <v>1</v>
      </c>
      <c r="U780" s="2" t="inlineStr">
        <is>
          <t>120 canais de Vivo TV Avançado + 1 ponto adicional</t>
        </is>
      </c>
      <c r="V780" s="2" t="inlineStr"/>
      <c r="W780" s="2" t="inlineStr">
        <is>
          <t>Vivo Travel Américas; 70 GB de franquia + 10 GB de bônus</t>
        </is>
      </c>
      <c r="X780" s="2" t="inlineStr">
        <is>
          <t>700 Mega de Vivo Fibra</t>
        </is>
      </c>
      <c r="Y780" s="2" t="inlineStr">
        <is>
          <t>https://vivo.com.br/para-voce/produtos-e-servicos/combos/vivo-total</t>
        </is>
      </c>
      <c r="Z780" s="2" t="inlineStr">
        <is>
          <t>data/raw/vivo_convergent_total_SP.html</t>
        </is>
      </c>
    </row>
    <row r="781">
      <c r="A781" s="5" t="inlineStr">
        <is>
          <t>2026-09-03</t>
        </is>
      </c>
      <c r="B781" s="5" t="inlineStr">
        <is>
          <t>2026-09-03T19:57:11</t>
        </is>
      </c>
      <c r="C781" s="5" t="inlineStr">
        <is>
          <t>vivo</t>
        </is>
      </c>
      <c r="D781" s="5" t="inlineStr">
        <is>
          <t>SP</t>
        </is>
      </c>
      <c r="E781" s="5" t="inlineStr">
        <is>
          <t>Vivo Total Ultra + TV online</t>
        </is>
      </c>
      <c r="F781" s="5" t="inlineStr">
        <is>
          <t>vivo:VIV202604032034-305-313-316-336-408-411-426-430-442</t>
        </is>
      </c>
      <c r="G781" s="6" t="n">
        <v>210</v>
      </c>
      <c r="H781" s="6" t="inlineStr"/>
      <c r="I781" s="5" t="inlineStr"/>
      <c r="J781" s="5" t="inlineStr"/>
      <c r="K781" s="5" t="inlineStr">
        <is>
          <t>instalação grátis mediante fidelização (não afeta a mensalidade)</t>
        </is>
      </c>
      <c r="L781" s="5" t="inlineStr">
        <is>
          <t>mobile+broadband+tv</t>
        </is>
      </c>
      <c r="M781" s="5" t="inlineStr">
        <is>
          <t>Fiber + Mobile + TV</t>
        </is>
      </c>
      <c r="N781" s="5" t="b">
        <v>1</v>
      </c>
      <c r="O781" s="5" t="b">
        <v>1</v>
      </c>
      <c r="P781" s="5" t="b">
        <v>1</v>
      </c>
      <c r="Q781" s="5" t="b">
        <v>0</v>
      </c>
      <c r="R781" s="7" t="n">
        <v>700</v>
      </c>
      <c r="S781" s="7" t="n">
        <v>80</v>
      </c>
      <c r="T781" s="7" t="n">
        <v>1</v>
      </c>
      <c r="U781" s="5" t="inlineStr">
        <is>
          <t>80 canais de Vivo Estendido</t>
        </is>
      </c>
      <c r="V781" s="5" t="inlineStr"/>
      <c r="W781" s="5" t="inlineStr">
        <is>
          <t>Vivo Travel Américas; 70 GB de franquia + 10 GB de bônus</t>
        </is>
      </c>
      <c r="X781" s="5" t="inlineStr">
        <is>
          <t>700 Mega de Vivo Fibra</t>
        </is>
      </c>
      <c r="Y781" s="5" t="inlineStr">
        <is>
          <t>https://vivo.com.br/para-voce/produtos-e-servicos/combos/vivo-total</t>
        </is>
      </c>
      <c r="Z781" s="5" t="inlineStr">
        <is>
          <t>data/raw/vivo_convergent_total_SP.html</t>
        </is>
      </c>
    </row>
    <row r="782">
      <c r="A782" s="2" t="inlineStr">
        <is>
          <t>2026-09-03</t>
        </is>
      </c>
      <c r="B782" s="2" t="inlineStr">
        <is>
          <t>2026-09-03T19:57:11</t>
        </is>
      </c>
      <c r="C782" s="2" t="inlineStr">
        <is>
          <t>vivo</t>
        </is>
      </c>
      <c r="D782" s="2" t="inlineStr">
        <is>
          <t>SP</t>
        </is>
      </c>
      <c r="E782" s="2" t="inlineStr">
        <is>
          <t>Vivo Total V 1 Giga</t>
        </is>
      </c>
      <c r="F782" s="2" t="inlineStr">
        <is>
          <t>vivo:VIV202604032532-2-305-316-408-426-430-442</t>
        </is>
      </c>
      <c r="G782" s="3" t="n">
        <v>1200</v>
      </c>
      <c r="H782" s="3" t="inlineStr"/>
      <c r="I782" s="2" t="inlineStr"/>
      <c r="J782" s="2" t="inlineStr"/>
      <c r="K782" s="2" t="inlineStr">
        <is>
          <t>instalação grátis mediante fidelização (não afeta a mensalidade)</t>
        </is>
      </c>
      <c r="L782" s="2" t="inlineStr">
        <is>
          <t>mobile+broadband+tv</t>
        </is>
      </c>
      <c r="M782" s="2" t="inlineStr">
        <is>
          <t>Fiber + Mobile + TV</t>
        </is>
      </c>
      <c r="N782" s="2" t="b">
        <v>1</v>
      </c>
      <c r="O782" s="2" t="b">
        <v>1</v>
      </c>
      <c r="P782" s="2" t="b">
        <v>1</v>
      </c>
      <c r="Q782" s="2" t="b">
        <v>0</v>
      </c>
      <c r="R782" s="4" t="n">
        <v>1000</v>
      </c>
      <c r="S782" s="4" t="n">
        <v>600</v>
      </c>
      <c r="T782" s="4" t="n">
        <v>11</v>
      </c>
      <c r="U782" s="2" t="inlineStr">
        <is>
          <t>Vivo TV Completo com HBO Max e Telecine</t>
        </is>
      </c>
      <c r="V782" s="2" t="inlineStr"/>
      <c r="W782" s="2" t="inlineStr">
        <is>
          <t>Vivo Travel Mundo; 10 linhas adicionais inclusas; Vivo TV Completo com HBO Max e Telecine</t>
        </is>
      </c>
      <c r="X782" s="2" t="inlineStr">
        <is>
          <t>1Giga de Vivo Fibra</t>
        </is>
      </c>
      <c r="Y782" s="2" t="inlineStr">
        <is>
          <t>https://vivo.com.br/para-voce/produtos-e-servicos/combos/vivo-total</t>
        </is>
      </c>
      <c r="Z782" s="2" t="inlineStr">
        <is>
          <t>data/raw/vivo_convergent_total_SP.html</t>
        </is>
      </c>
    </row>
    <row r="783">
      <c r="A783" s="5" t="inlineStr">
        <is>
          <t>2026-09-04</t>
        </is>
      </c>
      <c r="B783" s="5" t="inlineStr">
        <is>
          <t>2026-09-04T19:45:10</t>
        </is>
      </c>
      <c r="C783" s="5" t="inlineStr">
        <is>
          <t>claro</t>
        </is>
      </c>
      <c r="D783" s="5" t="inlineStr">
        <is>
          <t>SP</t>
        </is>
      </c>
      <c r="E783" s="5" t="inlineStr">
        <is>
          <t>1 Giga com Globoplay incluso + Claro tv+ Box + Disney+ Amazon Prime + Netflix + HBO Max + Apple TV + Globoplay</t>
        </is>
      </c>
      <c r="F783" s="5" t="inlineStr">
        <is>
          <t>claro:af8152be-4aa7-4aa8-819a-a79687a3a9a0</t>
        </is>
      </c>
      <c r="G783" s="6" t="n">
        <v>319.8</v>
      </c>
      <c r="H783" s="6" t="inlineStr"/>
      <c r="I783" s="5" t="inlineStr"/>
      <c r="J783" s="5" t="inlineStr"/>
      <c r="K783" s="5" t="inlineStr">
        <is>
          <t>tab: Fibra + TV</t>
        </is>
      </c>
      <c r="L783" s="5" t="inlineStr">
        <is>
          <t>broadband+tv</t>
        </is>
      </c>
      <c r="M783" s="5" t="inlineStr">
        <is>
          <t>Fiber + TV</t>
        </is>
      </c>
      <c r="N783" s="5" t="b">
        <v>0</v>
      </c>
      <c r="O783" s="5" t="b">
        <v>1</v>
      </c>
      <c r="P783" s="5" t="b">
        <v>1</v>
      </c>
      <c r="Q783" s="5" t="b">
        <v>0</v>
      </c>
      <c r="R783" s="7" t="n">
        <v>1000</v>
      </c>
      <c r="S783" s="7" t="inlineStr"/>
      <c r="T783" s="7" t="inlineStr"/>
      <c r="U783" s="5" t="inlineStr">
        <is>
          <t>Claro tv+ Box + Disney+ Amazon Prime + Netflix + HBO Max + Apple TV + Globoplay</t>
        </is>
      </c>
      <c r="V783" s="5" t="inlineStr"/>
      <c r="W783" s="5" t="inlineStr"/>
      <c r="X783" s="5" t="inlineStr"/>
      <c r="Y783" s="5" t="inlineStr">
        <is>
          <t>https://www.claro.com.br/multi</t>
        </is>
      </c>
      <c r="Z783" s="5" t="inlineStr">
        <is>
          <t>data/raw/claro_convergent_multi_SP.html</t>
        </is>
      </c>
    </row>
    <row r="784">
      <c r="A784" s="2" t="inlineStr">
        <is>
          <t>2026-09-04</t>
        </is>
      </c>
      <c r="B784" s="2" t="inlineStr">
        <is>
          <t>2026-09-04T19:45:10</t>
        </is>
      </c>
      <c r="C784" s="2" t="inlineStr">
        <is>
          <t>claro</t>
        </is>
      </c>
      <c r="D784" s="2" t="inlineStr">
        <is>
          <t>SP</t>
        </is>
      </c>
      <c r="E784" s="2" t="inlineStr">
        <is>
          <t>1 Giga com Globoplay incluso + Claro tv+ Soundbox + Disney+ Amazon Prime + Netflix + HBO Max + Apple TV + Globoplay</t>
        </is>
      </c>
      <c r="F784" s="2" t="inlineStr">
        <is>
          <t>claro:ceb9fd87-0897-4dd2-a2f2-e7f09e714e49</t>
        </is>
      </c>
      <c r="G784" s="3" t="n">
        <v>429.8</v>
      </c>
      <c r="H784" s="3" t="inlineStr"/>
      <c r="I784" s="2" t="inlineStr"/>
      <c r="J784" s="2" t="inlineStr"/>
      <c r="K784" s="2" t="inlineStr">
        <is>
          <t>tab: Fibra + TV</t>
        </is>
      </c>
      <c r="L784" s="2" t="inlineStr">
        <is>
          <t>broadband+tv</t>
        </is>
      </c>
      <c r="M784" s="2" t="inlineStr">
        <is>
          <t>Fiber + TV</t>
        </is>
      </c>
      <c r="N784" s="2" t="b">
        <v>0</v>
      </c>
      <c r="O784" s="2" t="b">
        <v>1</v>
      </c>
      <c r="P784" s="2" t="b">
        <v>1</v>
      </c>
      <c r="Q784" s="2" t="b">
        <v>0</v>
      </c>
      <c r="R784" s="4" t="n">
        <v>1000</v>
      </c>
      <c r="S784" s="4" t="inlineStr"/>
      <c r="T784" s="4" t="inlineStr"/>
      <c r="U784" s="2" t="inlineStr">
        <is>
          <t>Claro tv+ Soundbox + Disney+ Amazon Prime + Netflix + HBO Max + Apple TV + Globoplay</t>
        </is>
      </c>
      <c r="V784" s="2" t="inlineStr"/>
      <c r="W784" s="2" t="inlineStr"/>
      <c r="X784" s="2" t="inlineStr"/>
      <c r="Y784" s="2" t="inlineStr">
        <is>
          <t>https://www.claro.com.br/multi</t>
        </is>
      </c>
      <c r="Z784" s="2" t="inlineStr">
        <is>
          <t>data/raw/claro_convergent_multi_SP.html</t>
        </is>
      </c>
    </row>
    <row r="785">
      <c r="A785" s="5" t="inlineStr">
        <is>
          <t>2026-09-04</t>
        </is>
      </c>
      <c r="B785" s="5" t="inlineStr">
        <is>
          <t>2026-09-04T19:45:10</t>
        </is>
      </c>
      <c r="C785" s="5" t="inlineStr">
        <is>
          <t>claro</t>
        </is>
      </c>
      <c r="D785" s="5" t="inlineStr">
        <is>
          <t>SP</t>
        </is>
      </c>
      <c r="E785" s="5" t="inlineStr">
        <is>
          <t>1 Giga com Globoplay incluso + Pós 100GB</t>
        </is>
      </c>
      <c r="F785" s="5" t="inlineStr">
        <is>
          <t>claro:a1de0ac1-61bb-4e97-a744-1ae4c3541673</t>
        </is>
      </c>
      <c r="G785" s="6" t="n">
        <v>179.9</v>
      </c>
      <c r="H785" s="6" t="inlineStr"/>
      <c r="I785" s="5" t="inlineStr"/>
      <c r="J785" s="5" t="inlineStr"/>
      <c r="K785" s="5" t="inlineStr">
        <is>
          <t>tab: Fibra + Móvel</t>
        </is>
      </c>
      <c r="L785" s="5" t="inlineStr">
        <is>
          <t>mobile+broadband</t>
        </is>
      </c>
      <c r="M785" s="5" t="inlineStr">
        <is>
          <t>Fiber + Mobile</t>
        </is>
      </c>
      <c r="N785" s="5" t="b">
        <v>1</v>
      </c>
      <c r="O785" s="5" t="b">
        <v>1</v>
      </c>
      <c r="P785" s="5" t="b">
        <v>0</v>
      </c>
      <c r="Q785" s="5" t="b">
        <v>0</v>
      </c>
      <c r="R785" s="7" t="n">
        <v>1000</v>
      </c>
      <c r="S785" s="7" t="n">
        <v>100</v>
      </c>
      <c r="T785" s="7" t="n">
        <v>1</v>
      </c>
      <c r="U785" s="5" t="inlineStr"/>
      <c r="V785" s="5" t="inlineStr"/>
      <c r="W785" s="5" t="inlineStr"/>
      <c r="X785" s="5" t="inlineStr">
        <is>
          <t>Pós 100GB</t>
        </is>
      </c>
      <c r="Y785" s="5" t="inlineStr">
        <is>
          <t>https://www.claro.com.br/multi</t>
        </is>
      </c>
      <c r="Z785" s="5" t="inlineStr">
        <is>
          <t>data/raw/claro_convergent_multi_SP.html</t>
        </is>
      </c>
    </row>
    <row r="786">
      <c r="A786" s="2" t="inlineStr">
        <is>
          <t>2026-09-04</t>
        </is>
      </c>
      <c r="B786" s="2" t="inlineStr">
        <is>
          <t>2026-09-04T19:45:10</t>
        </is>
      </c>
      <c r="C786" s="2" t="inlineStr">
        <is>
          <t>claro</t>
        </is>
      </c>
      <c r="D786" s="2" t="inlineStr">
        <is>
          <t>SP</t>
        </is>
      </c>
      <c r="E786" s="2" t="inlineStr">
        <is>
          <t>1 Giga com Globoplay incluso + Pós 100GB + Claro tv+ Box + Disney+ Amazon Prime + Netflix + HBO Max + Apple TV + Globoplay</t>
        </is>
      </c>
      <c r="F786" s="2" t="inlineStr">
        <is>
          <t>claro:548c4bad-7857-4c0c-94d5-45d33d66c57f</t>
        </is>
      </c>
      <c r="G786" s="3" t="n">
        <v>289.8</v>
      </c>
      <c r="H786" s="3" t="inlineStr"/>
      <c r="I786" s="2" t="inlineStr"/>
      <c r="J786" s="2" t="inlineStr"/>
      <c r="K786" s="2" t="inlineStr">
        <is>
          <t>tab: Fibra + Móvel + TV</t>
        </is>
      </c>
      <c r="L786" s="2" t="inlineStr">
        <is>
          <t>mobile+broadband+tv</t>
        </is>
      </c>
      <c r="M786" s="2" t="inlineStr">
        <is>
          <t>Fiber + Mobile + TV</t>
        </is>
      </c>
      <c r="N786" s="2" t="b">
        <v>1</v>
      </c>
      <c r="O786" s="2" t="b">
        <v>1</v>
      </c>
      <c r="P786" s="2" t="b">
        <v>1</v>
      </c>
      <c r="Q786" s="2" t="b">
        <v>0</v>
      </c>
      <c r="R786" s="4" t="n">
        <v>1000</v>
      </c>
      <c r="S786" s="4" t="n">
        <v>100</v>
      </c>
      <c r="T786" s="4" t="n">
        <v>1</v>
      </c>
      <c r="U786" s="2" t="inlineStr">
        <is>
          <t>Claro tv+ Box + Disney+ Amazon Prime + Netflix + HBO Max + Apple TV + Globoplay</t>
        </is>
      </c>
      <c r="V786" s="2" t="inlineStr"/>
      <c r="W786" s="2" t="inlineStr"/>
      <c r="X786" s="2" t="inlineStr">
        <is>
          <t>Pós 100GB</t>
        </is>
      </c>
      <c r="Y786" s="2" t="inlineStr">
        <is>
          <t>https://www.claro.com.br/multi</t>
        </is>
      </c>
      <c r="Z786" s="2" t="inlineStr">
        <is>
          <t>data/raw/claro_convergent_multi_SP.html</t>
        </is>
      </c>
    </row>
    <row r="787">
      <c r="A787" s="5" t="inlineStr">
        <is>
          <t>2026-09-04</t>
        </is>
      </c>
      <c r="B787" s="5" t="inlineStr">
        <is>
          <t>2026-09-04T19:45:10</t>
        </is>
      </c>
      <c r="C787" s="5" t="inlineStr">
        <is>
          <t>claro</t>
        </is>
      </c>
      <c r="D787" s="5" t="inlineStr">
        <is>
          <t>SP</t>
        </is>
      </c>
      <c r="E787" s="5" t="inlineStr">
        <is>
          <t>1 Giga com Globoplay incluso + Pós 150GB</t>
        </is>
      </c>
      <c r="F787" s="5" t="inlineStr">
        <is>
          <t>claro:d47e2a3b-dfd0-410e-9c24-d07a334d01d4</t>
        </is>
      </c>
      <c r="G787" s="6" t="n">
        <v>299.9</v>
      </c>
      <c r="H787" s="6" t="inlineStr"/>
      <c r="I787" s="5" t="inlineStr"/>
      <c r="J787" s="5" t="inlineStr"/>
      <c r="K787" s="5" t="inlineStr">
        <is>
          <t>tab: Fibra + Móvel</t>
        </is>
      </c>
      <c r="L787" s="5" t="inlineStr">
        <is>
          <t>mobile+broadband</t>
        </is>
      </c>
      <c r="M787" s="5" t="inlineStr">
        <is>
          <t>Fiber + Mobile</t>
        </is>
      </c>
      <c r="N787" s="5" t="b">
        <v>1</v>
      </c>
      <c r="O787" s="5" t="b">
        <v>1</v>
      </c>
      <c r="P787" s="5" t="b">
        <v>0</v>
      </c>
      <c r="Q787" s="5" t="b">
        <v>0</v>
      </c>
      <c r="R787" s="7" t="n">
        <v>1000</v>
      </c>
      <c r="S787" s="7" t="n">
        <v>150</v>
      </c>
      <c r="T787" s="7" t="n">
        <v>2</v>
      </c>
      <c r="U787" s="5" t="inlineStr"/>
      <c r="V787" s="5" t="inlineStr"/>
      <c r="W787" s="5" t="inlineStr"/>
      <c r="X787" s="5" t="inlineStr">
        <is>
          <t>Pós 150GB</t>
        </is>
      </c>
      <c r="Y787" s="5" t="inlineStr">
        <is>
          <t>https://www.claro.com.br/multi</t>
        </is>
      </c>
      <c r="Z787" s="5" t="inlineStr">
        <is>
          <t>data/raw/claro_convergent_multi_SP.html</t>
        </is>
      </c>
    </row>
    <row r="788">
      <c r="A788" s="2" t="inlineStr">
        <is>
          <t>2026-09-04</t>
        </is>
      </c>
      <c r="B788" s="2" t="inlineStr">
        <is>
          <t>2026-09-04T19:45:10</t>
        </is>
      </c>
      <c r="C788" s="2" t="inlineStr">
        <is>
          <t>claro</t>
        </is>
      </c>
      <c r="D788" s="2" t="inlineStr">
        <is>
          <t>SP</t>
        </is>
      </c>
      <c r="E788" s="2" t="inlineStr">
        <is>
          <t>1 Giga com Globoplay incluso + Pós 150GB + Claro tv+ Box + Disney+ Amazon Prime + Netflix + HBO Max + Apple TV + Globoplay</t>
        </is>
      </c>
      <c r="F788" s="2" t="inlineStr">
        <is>
          <t>claro:7785b449-69f2-4234-9e24-8837e32a55c0</t>
        </is>
      </c>
      <c r="G788" s="3" t="n">
        <v>409.8</v>
      </c>
      <c r="H788" s="3" t="inlineStr"/>
      <c r="I788" s="2" t="inlineStr"/>
      <c r="J788" s="2" t="inlineStr"/>
      <c r="K788" s="2" t="inlineStr">
        <is>
          <t>tab: Fibra + Móvel + TV</t>
        </is>
      </c>
      <c r="L788" s="2" t="inlineStr">
        <is>
          <t>mobile+broadband+tv</t>
        </is>
      </c>
      <c r="M788" s="2" t="inlineStr">
        <is>
          <t>Fiber + Mobile + TV</t>
        </is>
      </c>
      <c r="N788" s="2" t="b">
        <v>1</v>
      </c>
      <c r="O788" s="2" t="b">
        <v>1</v>
      </c>
      <c r="P788" s="2" t="b">
        <v>1</v>
      </c>
      <c r="Q788" s="2" t="b">
        <v>0</v>
      </c>
      <c r="R788" s="4" t="n">
        <v>1000</v>
      </c>
      <c r="S788" s="4" t="n">
        <v>150</v>
      </c>
      <c r="T788" s="4" t="n">
        <v>1</v>
      </c>
      <c r="U788" s="2" t="inlineStr">
        <is>
          <t>Claro tv+ Box + Disney+ Amazon Prime + Netflix + HBO Max + Apple TV + Globoplay</t>
        </is>
      </c>
      <c r="V788" s="2" t="inlineStr"/>
      <c r="W788" s="2" t="inlineStr"/>
      <c r="X788" s="2" t="inlineStr">
        <is>
          <t>Pós 150GB</t>
        </is>
      </c>
      <c r="Y788" s="2" t="inlineStr">
        <is>
          <t>https://www.claro.com.br/multi</t>
        </is>
      </c>
      <c r="Z788" s="2" t="inlineStr">
        <is>
          <t>data/raw/claro_convergent_multi_SP.html</t>
        </is>
      </c>
    </row>
    <row r="789">
      <c r="A789" s="5" t="inlineStr">
        <is>
          <t>2026-09-04</t>
        </is>
      </c>
      <c r="B789" s="5" t="inlineStr">
        <is>
          <t>2026-09-04T19:45:10</t>
        </is>
      </c>
      <c r="C789" s="5" t="inlineStr">
        <is>
          <t>claro</t>
        </is>
      </c>
      <c r="D789" s="5" t="inlineStr">
        <is>
          <t>SP</t>
        </is>
      </c>
      <c r="E789" s="5" t="inlineStr">
        <is>
          <t>1 Giga com Globoplay incluso + Pós 200GB</t>
        </is>
      </c>
      <c r="F789" s="5" t="inlineStr">
        <is>
          <t>claro:1961a62d-3213-4ff0-a152-401a45c5b1b5</t>
        </is>
      </c>
      <c r="G789" s="6" t="n">
        <v>359.9</v>
      </c>
      <c r="H789" s="6" t="inlineStr"/>
      <c r="I789" s="5" t="inlineStr"/>
      <c r="J789" s="5" t="inlineStr"/>
      <c r="K789" s="5" t="inlineStr">
        <is>
          <t>tab: Fibra + Móvel</t>
        </is>
      </c>
      <c r="L789" s="5" t="inlineStr">
        <is>
          <t>mobile+broadband</t>
        </is>
      </c>
      <c r="M789" s="5" t="inlineStr">
        <is>
          <t>Fiber + Mobile</t>
        </is>
      </c>
      <c r="N789" s="5" t="b">
        <v>1</v>
      </c>
      <c r="O789" s="5" t="b">
        <v>1</v>
      </c>
      <c r="P789" s="5" t="b">
        <v>0</v>
      </c>
      <c r="Q789" s="5" t="b">
        <v>0</v>
      </c>
      <c r="R789" s="7" t="n">
        <v>1000</v>
      </c>
      <c r="S789" s="7" t="n">
        <v>200</v>
      </c>
      <c r="T789" s="7" t="n">
        <v>3</v>
      </c>
      <c r="U789" s="5" t="inlineStr"/>
      <c r="V789" s="5" t="inlineStr"/>
      <c r="W789" s="5" t="inlineStr"/>
      <c r="X789" s="5" t="inlineStr">
        <is>
          <t>Pós 200GB</t>
        </is>
      </c>
      <c r="Y789" s="5" t="inlineStr">
        <is>
          <t>https://www.claro.com.br/multi</t>
        </is>
      </c>
      <c r="Z789" s="5" t="inlineStr">
        <is>
          <t>data/raw/claro_convergent_multi_SP.html</t>
        </is>
      </c>
    </row>
    <row r="790">
      <c r="A790" s="2" t="inlineStr">
        <is>
          <t>2026-09-04</t>
        </is>
      </c>
      <c r="B790" s="2" t="inlineStr">
        <is>
          <t>2026-09-04T19:45:10</t>
        </is>
      </c>
      <c r="C790" s="2" t="inlineStr">
        <is>
          <t>claro</t>
        </is>
      </c>
      <c r="D790" s="2" t="inlineStr">
        <is>
          <t>SP</t>
        </is>
      </c>
      <c r="E790" s="2" t="inlineStr">
        <is>
          <t>1 Giga com Globoplay incluso + Pós 200GB + Claro tv+ Box + Disney+ Amazon Prime + Netflix + HBO Max + Apple TV + Globoplay</t>
        </is>
      </c>
      <c r="F790" s="2" t="inlineStr">
        <is>
          <t>claro:312815a2-b3a5-43bb-89a1-272d53ccb212</t>
        </is>
      </c>
      <c r="G790" s="3" t="n">
        <v>469.8</v>
      </c>
      <c r="H790" s="3" t="inlineStr"/>
      <c r="I790" s="2" t="inlineStr"/>
      <c r="J790" s="2" t="inlineStr"/>
      <c r="K790" s="2" t="inlineStr">
        <is>
          <t>tab: Fibra + Móvel + TV</t>
        </is>
      </c>
      <c r="L790" s="2" t="inlineStr">
        <is>
          <t>mobile+broadband+tv</t>
        </is>
      </c>
      <c r="M790" s="2" t="inlineStr">
        <is>
          <t>Fiber + Mobile + TV</t>
        </is>
      </c>
      <c r="N790" s="2" t="b">
        <v>1</v>
      </c>
      <c r="O790" s="2" t="b">
        <v>1</v>
      </c>
      <c r="P790" s="2" t="b">
        <v>1</v>
      </c>
      <c r="Q790" s="2" t="b">
        <v>0</v>
      </c>
      <c r="R790" s="4" t="n">
        <v>1000</v>
      </c>
      <c r="S790" s="4" t="n">
        <v>200</v>
      </c>
      <c r="T790" s="4" t="n">
        <v>1</v>
      </c>
      <c r="U790" s="2" t="inlineStr">
        <is>
          <t>Claro tv+ Box + Disney+ Amazon Prime + Netflix + HBO Max + Apple TV + Globoplay</t>
        </is>
      </c>
      <c r="V790" s="2" t="inlineStr"/>
      <c r="W790" s="2" t="inlineStr"/>
      <c r="X790" s="2" t="inlineStr">
        <is>
          <t>Pós 200GB</t>
        </is>
      </c>
      <c r="Y790" s="2" t="inlineStr">
        <is>
          <t>https://www.claro.com.br/multi</t>
        </is>
      </c>
      <c r="Z790" s="2" t="inlineStr">
        <is>
          <t>data/raw/claro_convergent_multi_SP.html</t>
        </is>
      </c>
    </row>
    <row r="791">
      <c r="A791" s="5" t="inlineStr">
        <is>
          <t>2026-09-04</t>
        </is>
      </c>
      <c r="B791" s="5" t="inlineStr">
        <is>
          <t>2026-09-04T19:45:10</t>
        </is>
      </c>
      <c r="C791" s="5" t="inlineStr">
        <is>
          <t>claro</t>
        </is>
      </c>
      <c r="D791" s="5" t="inlineStr">
        <is>
          <t>SP</t>
        </is>
      </c>
      <c r="E791" s="5" t="inlineStr">
        <is>
          <t>350 Mega com Globoplay incluso + Claro tv+ Box + Disney+ Amazon Prime + Netflix + HBO Max + Apple TV + Globoplay</t>
        </is>
      </c>
      <c r="F791" s="5" t="inlineStr">
        <is>
          <t>claro:97b00450-6f21-4349-8363-83d624b18328</t>
        </is>
      </c>
      <c r="G791" s="6" t="n">
        <v>229.8</v>
      </c>
      <c r="H791" s="6" t="inlineStr"/>
      <c r="I791" s="5" t="inlineStr"/>
      <c r="J791" s="5" t="inlineStr"/>
      <c r="K791" s="5" t="inlineStr">
        <is>
          <t>tab: Fibra + TV</t>
        </is>
      </c>
      <c r="L791" s="5" t="inlineStr">
        <is>
          <t>broadband+tv</t>
        </is>
      </c>
      <c r="M791" s="5" t="inlineStr">
        <is>
          <t>Fiber + TV</t>
        </is>
      </c>
      <c r="N791" s="5" t="b">
        <v>0</v>
      </c>
      <c r="O791" s="5" t="b">
        <v>1</v>
      </c>
      <c r="P791" s="5" t="b">
        <v>1</v>
      </c>
      <c r="Q791" s="5" t="b">
        <v>0</v>
      </c>
      <c r="R791" s="7" t="n">
        <v>350</v>
      </c>
      <c r="S791" s="7" t="inlineStr"/>
      <c r="T791" s="7" t="inlineStr"/>
      <c r="U791" s="5" t="inlineStr">
        <is>
          <t>Claro tv+ Box + Disney+ Amazon Prime + Netflix + HBO Max + Apple TV + Globoplay</t>
        </is>
      </c>
      <c r="V791" s="5" t="inlineStr"/>
      <c r="W791" s="5" t="inlineStr"/>
      <c r="X791" s="5" t="inlineStr"/>
      <c r="Y791" s="5" t="inlineStr">
        <is>
          <t>https://www.claro.com.br/multi</t>
        </is>
      </c>
      <c r="Z791" s="5" t="inlineStr">
        <is>
          <t>data/raw/claro_convergent_multi_SP.html</t>
        </is>
      </c>
    </row>
    <row r="792">
      <c r="A792" s="2" t="inlineStr">
        <is>
          <t>2026-09-04</t>
        </is>
      </c>
      <c r="B792" s="2" t="inlineStr">
        <is>
          <t>2026-09-04T19:45:10</t>
        </is>
      </c>
      <c r="C792" s="2" t="inlineStr">
        <is>
          <t>claro</t>
        </is>
      </c>
      <c r="D792" s="2" t="inlineStr">
        <is>
          <t>SP</t>
        </is>
      </c>
      <c r="E792" s="2" t="inlineStr">
        <is>
          <t>350 Mega com Globoplay incluso + Controle 40GB</t>
        </is>
      </c>
      <c r="F792" s="2" t="inlineStr">
        <is>
          <t>claro:a866ea9a-6a70-4b6e-b886-f8178086ca91</t>
        </is>
      </c>
      <c r="G792" s="3" t="n">
        <v>129.8</v>
      </c>
      <c r="H792" s="3" t="inlineStr"/>
      <c r="I792" s="2" t="inlineStr"/>
      <c r="J792" s="2" t="inlineStr">
        <is>
          <t>debit_auto</t>
        </is>
      </c>
      <c r="K792" s="2" t="inlineStr">
        <is>
          <t>tab: Fibra + Móvel; preço em débito em conta; +R$ 5.00 sem débito automático</t>
        </is>
      </c>
      <c r="L792" s="2" t="inlineStr">
        <is>
          <t>mobile+broadband</t>
        </is>
      </c>
      <c r="M792" s="2" t="inlineStr">
        <is>
          <t>Fiber + Mobile</t>
        </is>
      </c>
      <c r="N792" s="2" t="b">
        <v>1</v>
      </c>
      <c r="O792" s="2" t="b">
        <v>1</v>
      </c>
      <c r="P792" s="2" t="b">
        <v>0</v>
      </c>
      <c r="Q792" s="2" t="b">
        <v>0</v>
      </c>
      <c r="R792" s="4" t="n">
        <v>350</v>
      </c>
      <c r="S792" s="4" t="n">
        <v>40</v>
      </c>
      <c r="T792" s="4" t="n">
        <v>1</v>
      </c>
      <c r="U792" s="2" t="inlineStr"/>
      <c r="V792" s="2" t="inlineStr"/>
      <c r="W792" s="2" t="inlineStr"/>
      <c r="X792" s="2" t="inlineStr">
        <is>
          <t>Controle 40GB</t>
        </is>
      </c>
      <c r="Y792" s="2" t="inlineStr">
        <is>
          <t>https://www.claro.com.br/multi</t>
        </is>
      </c>
      <c r="Z792" s="2" t="inlineStr">
        <is>
          <t>data/raw/claro_convergent_multi_SP.html</t>
        </is>
      </c>
    </row>
    <row r="793">
      <c r="A793" s="5" t="inlineStr">
        <is>
          <t>2026-09-04</t>
        </is>
      </c>
      <c r="B793" s="5" t="inlineStr">
        <is>
          <t>2026-09-04T19:45:10</t>
        </is>
      </c>
      <c r="C793" s="5" t="inlineStr">
        <is>
          <t>claro</t>
        </is>
      </c>
      <c r="D793" s="5" t="inlineStr">
        <is>
          <t>SP</t>
        </is>
      </c>
      <c r="E793" s="5" t="inlineStr">
        <is>
          <t>350 Mega com Globoplay incluso + Pós 100GB + Claro tv+ Box + Disney+ Amazon Prime + Netflix + HBO Max + Apple TV + Globoplay</t>
        </is>
      </c>
      <c r="F793" s="5" t="inlineStr">
        <is>
          <t>claro:746fa9cf-ea2b-40de-ad2c-5803b3e0ab08</t>
        </is>
      </c>
      <c r="G793" s="6" t="n">
        <v>249.8</v>
      </c>
      <c r="H793" s="6" t="inlineStr"/>
      <c r="I793" s="5" t="inlineStr"/>
      <c r="J793" s="5" t="inlineStr"/>
      <c r="K793" s="5" t="inlineStr">
        <is>
          <t>tab: Fibra + Móvel + TV</t>
        </is>
      </c>
      <c r="L793" s="5" t="inlineStr">
        <is>
          <t>mobile+broadband+tv</t>
        </is>
      </c>
      <c r="M793" s="5" t="inlineStr">
        <is>
          <t>Fiber + Mobile + TV</t>
        </is>
      </c>
      <c r="N793" s="5" t="b">
        <v>1</v>
      </c>
      <c r="O793" s="5" t="b">
        <v>1</v>
      </c>
      <c r="P793" s="5" t="b">
        <v>1</v>
      </c>
      <c r="Q793" s="5" t="b">
        <v>0</v>
      </c>
      <c r="R793" s="7" t="n">
        <v>350</v>
      </c>
      <c r="S793" s="7" t="n">
        <v>100</v>
      </c>
      <c r="T793" s="7" t="n">
        <v>1</v>
      </c>
      <c r="U793" s="5" t="inlineStr">
        <is>
          <t>Claro tv+ Box + Disney+ Amazon Prime + Netflix + HBO Max + Apple TV + Globoplay</t>
        </is>
      </c>
      <c r="V793" s="5" t="inlineStr"/>
      <c r="W793" s="5" t="inlineStr"/>
      <c r="X793" s="5" t="inlineStr">
        <is>
          <t>Pós 100GB</t>
        </is>
      </c>
      <c r="Y793" s="5" t="inlineStr">
        <is>
          <t>https://www.claro.com.br/multi</t>
        </is>
      </c>
      <c r="Z793" s="5" t="inlineStr">
        <is>
          <t>data/raw/claro_convergent_multi_SP.html</t>
        </is>
      </c>
    </row>
    <row r="794">
      <c r="A794" s="2" t="inlineStr">
        <is>
          <t>2026-09-04</t>
        </is>
      </c>
      <c r="B794" s="2" t="inlineStr">
        <is>
          <t>2026-09-04T19:45:10</t>
        </is>
      </c>
      <c r="C794" s="2" t="inlineStr">
        <is>
          <t>claro</t>
        </is>
      </c>
      <c r="D794" s="2" t="inlineStr">
        <is>
          <t>SP</t>
        </is>
      </c>
      <c r="E794" s="2" t="inlineStr">
        <is>
          <t>600 Mega com Globoplay incluso + Claro tv+ Box + Disney+ Amazon Prime + Netflix + HBO Max + Apple TV + Globoplay</t>
        </is>
      </c>
      <c r="F794" s="2" t="inlineStr">
        <is>
          <t>claro:545261b1-2f4d-4dab-82a6-02d9e66c5d3d</t>
        </is>
      </c>
      <c r="G794" s="3" t="n">
        <v>239.8</v>
      </c>
      <c r="H794" s="3" t="inlineStr"/>
      <c r="I794" s="2" t="inlineStr"/>
      <c r="J794" s="2" t="inlineStr"/>
      <c r="K794" s="2" t="inlineStr">
        <is>
          <t>tab: Fibra + TV</t>
        </is>
      </c>
      <c r="L794" s="2" t="inlineStr">
        <is>
          <t>broadband+tv</t>
        </is>
      </c>
      <c r="M794" s="2" t="inlineStr">
        <is>
          <t>Fiber + TV</t>
        </is>
      </c>
      <c r="N794" s="2" t="b">
        <v>0</v>
      </c>
      <c r="O794" s="2" t="b">
        <v>1</v>
      </c>
      <c r="P794" s="2" t="b">
        <v>1</v>
      </c>
      <c r="Q794" s="2" t="b">
        <v>0</v>
      </c>
      <c r="R794" s="4" t="n">
        <v>600</v>
      </c>
      <c r="S794" s="4" t="inlineStr"/>
      <c r="T794" s="4" t="inlineStr"/>
      <c r="U794" s="2" t="inlineStr">
        <is>
          <t>Claro tv+ Box + Disney+ Amazon Prime + Netflix + HBO Max + Apple TV + Globoplay</t>
        </is>
      </c>
      <c r="V794" s="2" t="inlineStr"/>
      <c r="W794" s="2" t="inlineStr"/>
      <c r="X794" s="2" t="inlineStr"/>
      <c r="Y794" s="2" t="inlineStr">
        <is>
          <t>https://www.claro.com.br/multi</t>
        </is>
      </c>
      <c r="Z794" s="2" t="inlineStr">
        <is>
          <t>data/raw/claro_convergent_multi_SP.html</t>
        </is>
      </c>
    </row>
    <row r="795">
      <c r="A795" s="5" t="inlineStr">
        <is>
          <t>2026-09-04</t>
        </is>
      </c>
      <c r="B795" s="5" t="inlineStr">
        <is>
          <t>2026-09-04T19:45:10</t>
        </is>
      </c>
      <c r="C795" s="5" t="inlineStr">
        <is>
          <t>claro</t>
        </is>
      </c>
      <c r="D795" s="5" t="inlineStr">
        <is>
          <t>SP</t>
        </is>
      </c>
      <c r="E795" s="5" t="inlineStr">
        <is>
          <t>600 Mega com Globoplay incluso + Pós 100GB</t>
        </is>
      </c>
      <c r="F795" s="5" t="inlineStr">
        <is>
          <t>claro:350ac58a-533c-4858-83be-be3ea39c8874</t>
        </is>
      </c>
      <c r="G795" s="6" t="n">
        <v>159.9</v>
      </c>
      <c r="H795" s="6" t="inlineStr"/>
      <c r="I795" s="5" t="inlineStr"/>
      <c r="J795" s="5" t="inlineStr"/>
      <c r="K795" s="5" t="inlineStr">
        <is>
          <t>tab: Fibra + Móvel</t>
        </is>
      </c>
      <c r="L795" s="5" t="inlineStr">
        <is>
          <t>mobile+broadband</t>
        </is>
      </c>
      <c r="M795" s="5" t="inlineStr">
        <is>
          <t>Fiber + Mobile</t>
        </is>
      </c>
      <c r="N795" s="5" t="b">
        <v>1</v>
      </c>
      <c r="O795" s="5" t="b">
        <v>1</v>
      </c>
      <c r="P795" s="5" t="b">
        <v>0</v>
      </c>
      <c r="Q795" s="5" t="b">
        <v>0</v>
      </c>
      <c r="R795" s="7" t="n">
        <v>600</v>
      </c>
      <c r="S795" s="7" t="n">
        <v>100</v>
      </c>
      <c r="T795" s="7" t="n">
        <v>1</v>
      </c>
      <c r="U795" s="5" t="inlineStr"/>
      <c r="V795" s="5" t="inlineStr"/>
      <c r="W795" s="5" t="inlineStr"/>
      <c r="X795" s="5" t="inlineStr">
        <is>
          <t>Pós 100GB</t>
        </is>
      </c>
      <c r="Y795" s="5" t="inlineStr">
        <is>
          <t>https://www.claro.com.br/multi</t>
        </is>
      </c>
      <c r="Z795" s="5" t="inlineStr">
        <is>
          <t>data/raw/claro_convergent_multi_SP.html</t>
        </is>
      </c>
    </row>
    <row r="796">
      <c r="A796" s="2" t="inlineStr">
        <is>
          <t>2026-09-04</t>
        </is>
      </c>
      <c r="B796" s="2" t="inlineStr">
        <is>
          <t>2026-09-04T19:45:10</t>
        </is>
      </c>
      <c r="C796" s="2" t="inlineStr">
        <is>
          <t>claro</t>
        </is>
      </c>
      <c r="D796" s="2" t="inlineStr">
        <is>
          <t>SP</t>
        </is>
      </c>
      <c r="E796" s="2" t="inlineStr">
        <is>
          <t>600 Mega com Globoplay incluso + Pós 100GB + Claro tv+ Box + Disney+ Amazon Prime + Netflix + HBO Max + Apple TV + Globoplay</t>
        </is>
      </c>
      <c r="F796" s="2" t="inlineStr">
        <is>
          <t>claro:f36e7dfb-f7c9-4055-844f-7bc101699de8</t>
        </is>
      </c>
      <c r="G796" s="3" t="n">
        <v>269.8</v>
      </c>
      <c r="H796" s="3" t="inlineStr"/>
      <c r="I796" s="2" t="inlineStr"/>
      <c r="J796" s="2" t="inlineStr"/>
      <c r="K796" s="2" t="inlineStr">
        <is>
          <t>tab: Fibra + Móvel + TV</t>
        </is>
      </c>
      <c r="L796" s="2" t="inlineStr">
        <is>
          <t>mobile+broadband+tv</t>
        </is>
      </c>
      <c r="M796" s="2" t="inlineStr">
        <is>
          <t>Fiber + Mobile + TV</t>
        </is>
      </c>
      <c r="N796" s="2" t="b">
        <v>1</v>
      </c>
      <c r="O796" s="2" t="b">
        <v>1</v>
      </c>
      <c r="P796" s="2" t="b">
        <v>1</v>
      </c>
      <c r="Q796" s="2" t="b">
        <v>0</v>
      </c>
      <c r="R796" s="4" t="n">
        <v>600</v>
      </c>
      <c r="S796" s="4" t="n">
        <v>100</v>
      </c>
      <c r="T796" s="4" t="n">
        <v>1</v>
      </c>
      <c r="U796" s="2" t="inlineStr">
        <is>
          <t>Claro tv+ Box + Disney+ Amazon Prime + Netflix + HBO Max + Apple TV + Globoplay</t>
        </is>
      </c>
      <c r="V796" s="2" t="inlineStr"/>
      <c r="W796" s="2" t="inlineStr"/>
      <c r="X796" s="2" t="inlineStr">
        <is>
          <t>Pós 100GB</t>
        </is>
      </c>
      <c r="Y796" s="2" t="inlineStr">
        <is>
          <t>https://www.claro.com.br/multi</t>
        </is>
      </c>
      <c r="Z796" s="2" t="inlineStr">
        <is>
          <t>data/raw/claro_convergent_multi_SP.html</t>
        </is>
      </c>
    </row>
    <row r="797">
      <c r="A797" s="5" t="inlineStr">
        <is>
          <t>2026-09-04</t>
        </is>
      </c>
      <c r="B797" s="5" t="inlineStr">
        <is>
          <t>2026-09-04T19:45:10</t>
        </is>
      </c>
      <c r="C797" s="5" t="inlineStr">
        <is>
          <t>tim</t>
        </is>
      </c>
      <c r="D797" s="5" t="inlineStr">
        <is>
          <t>SP</t>
        </is>
      </c>
      <c r="E797" s="5" t="inlineStr">
        <is>
          <t>TIM Ultracombo 5</t>
        </is>
      </c>
      <c r="F797" s="5" t="inlineStr">
        <is>
          <t>tim:167756</t>
        </is>
      </c>
      <c r="G797" s="6" t="n">
        <v>169.99</v>
      </c>
      <c r="H797" s="6" t="inlineStr"/>
      <c r="I797" s="5" t="inlineStr"/>
      <c r="J797" s="5" t="inlineStr">
        <is>
          <t>debit_auto</t>
        </is>
      </c>
      <c r="K797" s="5" t="inlineStr">
        <is>
          <t>preço em débito automático; R$ 179,99/mês no pagamento por fatura</t>
        </is>
      </c>
      <c r="L797" s="5" t="inlineStr">
        <is>
          <t>mobile+broadband</t>
        </is>
      </c>
      <c r="M797" s="5" t="inlineStr">
        <is>
          <t>Fiber + Mobile</t>
        </is>
      </c>
      <c r="N797" s="5" t="b">
        <v>1</v>
      </c>
      <c r="O797" s="5" t="b">
        <v>1</v>
      </c>
      <c r="P797" s="5" t="b">
        <v>0</v>
      </c>
      <c r="Q797" s="5" t="b">
        <v>0</v>
      </c>
      <c r="R797" s="7" t="n">
        <v>1000</v>
      </c>
      <c r="S797" s="7" t="n">
        <v>115</v>
      </c>
      <c r="T797" s="7" t="n">
        <v>1</v>
      </c>
      <c r="U797" s="5" t="inlineStr"/>
      <c r="V797" s="5" t="inlineStr">
        <is>
          <t>Paramount+, Deezer</t>
        </is>
      </c>
      <c r="W797" s="5" t="inlineStr"/>
      <c r="X797" s="5" t="inlineStr">
        <is>
          <t>1GIGA de Ultrafibra para casa + 115GB de TIM Black C Hero para móvel: (25GB do plano + 40GB promo + 50GB bônus especial)</t>
        </is>
      </c>
      <c r="Y797" s="5" t="inlineStr">
        <is>
          <t>https://www.tim.com.br/sp/internet/tim-ultracombo</t>
        </is>
      </c>
      <c r="Z797" s="5" t="inlineStr">
        <is>
          <t>data/raw/tim_convergent_ultracombo_SP.html</t>
        </is>
      </c>
    </row>
    <row r="798">
      <c r="A798" s="2" t="inlineStr">
        <is>
          <t>2026-09-04</t>
        </is>
      </c>
      <c r="B798" s="2" t="inlineStr">
        <is>
          <t>2026-09-04T19:45:10</t>
        </is>
      </c>
      <c r="C798" s="2" t="inlineStr">
        <is>
          <t>tim</t>
        </is>
      </c>
      <c r="D798" s="2" t="inlineStr">
        <is>
          <t>SP</t>
        </is>
      </c>
      <c r="E798" s="2" t="inlineStr">
        <is>
          <t>TIM Ultracombo 6</t>
        </is>
      </c>
      <c r="F798" s="2" t="inlineStr">
        <is>
          <t>tim:167751</t>
        </is>
      </c>
      <c r="G798" s="3" t="n">
        <v>139.99</v>
      </c>
      <c r="H798" s="3" t="inlineStr"/>
      <c r="I798" s="2" t="inlineStr"/>
      <c r="J798" s="2" t="inlineStr">
        <is>
          <t>debit_auto</t>
        </is>
      </c>
      <c r="K798" s="2" t="inlineStr">
        <is>
          <t>preço em débito automático; R$ 149,99/mês no pagamento por fatura</t>
        </is>
      </c>
      <c r="L798" s="2" t="inlineStr">
        <is>
          <t>mobile+broadband</t>
        </is>
      </c>
      <c r="M798" s="2" t="inlineStr">
        <is>
          <t>Fiber + Mobile</t>
        </is>
      </c>
      <c r="N798" s="2" t="b">
        <v>1</v>
      </c>
      <c r="O798" s="2" t="b">
        <v>1</v>
      </c>
      <c r="P798" s="2" t="b">
        <v>0</v>
      </c>
      <c r="Q798" s="2" t="b">
        <v>0</v>
      </c>
      <c r="R798" s="4" t="n">
        <v>1000</v>
      </c>
      <c r="S798" s="4" t="n">
        <v>70</v>
      </c>
      <c r="T798" s="4" t="n">
        <v>1</v>
      </c>
      <c r="U798" s="2" t="inlineStr"/>
      <c r="V798" s="2" t="inlineStr">
        <is>
          <t>Paramount+, Deezer</t>
        </is>
      </c>
      <c r="W798" s="2" t="inlineStr"/>
      <c r="X798" s="2" t="inlineStr">
        <is>
          <t>1GIGA de Ultrafibra para casa + 70GB de TIM Black A para móvel: (15GB do plano + 50GB promo + 5GB bônus especial)</t>
        </is>
      </c>
      <c r="Y798" s="2" t="inlineStr">
        <is>
          <t>https://www.tim.com.br/sp/internet/tim-ultracombo</t>
        </is>
      </c>
      <c r="Z798" s="2" t="inlineStr">
        <is>
          <t>data/raw/tim_convergent_ultracombo_SP.html</t>
        </is>
      </c>
    </row>
    <row r="799">
      <c r="A799" s="5" t="inlineStr">
        <is>
          <t>2026-09-04</t>
        </is>
      </c>
      <c r="B799" s="5" t="inlineStr">
        <is>
          <t>2026-09-04T19:45:10</t>
        </is>
      </c>
      <c r="C799" s="5" t="inlineStr">
        <is>
          <t>tim</t>
        </is>
      </c>
      <c r="D799" s="5" t="inlineStr">
        <is>
          <t>SP</t>
        </is>
      </c>
      <c r="E799" s="5" t="inlineStr">
        <is>
          <t>TIM Ultracombo 7</t>
        </is>
      </c>
      <c r="F799" s="5" t="inlineStr">
        <is>
          <t>tim:167761</t>
        </is>
      </c>
      <c r="G799" s="6" t="n">
        <v>89.98999999999999</v>
      </c>
      <c r="H799" s="6" t="inlineStr"/>
      <c r="I799" s="5" t="inlineStr"/>
      <c r="J799" s="5" t="inlineStr">
        <is>
          <t>debit_auto</t>
        </is>
      </c>
      <c r="K799" s="5" t="inlineStr">
        <is>
          <t>preço em débito automático; R$ 99,99/mês no pagamento por fatura</t>
        </is>
      </c>
      <c r="L799" s="5" t="inlineStr">
        <is>
          <t>mobile+broadband</t>
        </is>
      </c>
      <c r="M799" s="5" t="inlineStr">
        <is>
          <t>Fiber + Mobile</t>
        </is>
      </c>
      <c r="N799" s="5" t="b">
        <v>1</v>
      </c>
      <c r="O799" s="5" t="b">
        <v>1</v>
      </c>
      <c r="P799" s="5" t="b">
        <v>0</v>
      </c>
      <c r="Q799" s="5" t="b">
        <v>0</v>
      </c>
      <c r="R799" s="7" t="n">
        <v>500</v>
      </c>
      <c r="S799" s="7" t="n">
        <v>65</v>
      </c>
      <c r="T799" s="7" t="n">
        <v>1</v>
      </c>
      <c r="U799" s="5" t="inlineStr"/>
      <c r="V799" s="5" t="inlineStr"/>
      <c r="W799" s="5" t="inlineStr"/>
      <c r="X799" s="5" t="inlineStr">
        <is>
          <t>500MEGA de Ultrafibra para casa + 65GB de TIM Black A Light para móvel: (10GB do plano + 50GB promo)</t>
        </is>
      </c>
      <c r="Y799" s="5" t="inlineStr">
        <is>
          <t>https://www.tim.com.br/sp/internet/tim-ultracombo</t>
        </is>
      </c>
      <c r="Z799" s="5" t="inlineStr">
        <is>
          <t>data/raw/tim_convergent_ultracombo_SP.html</t>
        </is>
      </c>
    </row>
    <row r="800">
      <c r="A800" s="2" t="inlineStr">
        <is>
          <t>2026-09-04</t>
        </is>
      </c>
      <c r="B800" s="2" t="inlineStr">
        <is>
          <t>2026-09-04T19:45:10</t>
        </is>
      </c>
      <c r="C800" s="2" t="inlineStr">
        <is>
          <t>vivo</t>
        </is>
      </c>
      <c r="D800" s="2" t="inlineStr">
        <is>
          <t>SP</t>
        </is>
      </c>
      <c r="E800" s="2" t="inlineStr">
        <is>
          <t>Vivo Família 2 + TV</t>
        </is>
      </c>
      <c r="F800" s="2" t="inlineStr">
        <is>
          <t>vivo:VIV202604032132-3-305-316-336-408-411-426-430-442</t>
        </is>
      </c>
      <c r="G800" s="3" t="n">
        <v>290</v>
      </c>
      <c r="H800" s="3" t="inlineStr"/>
      <c r="I800" s="2" t="inlineStr"/>
      <c r="J800" s="2" t="inlineStr"/>
      <c r="K800" s="2" t="inlineStr">
        <is>
          <t>instalação grátis mediante fidelização (não afeta a mensalidade)</t>
        </is>
      </c>
      <c r="L800" s="2" t="inlineStr">
        <is>
          <t>mobile+broadband+tv</t>
        </is>
      </c>
      <c r="M800" s="2" t="inlineStr">
        <is>
          <t>Fiber + Mobile + TV</t>
        </is>
      </c>
      <c r="N800" s="2" t="b">
        <v>1</v>
      </c>
      <c r="O800" s="2" t="b">
        <v>1</v>
      </c>
      <c r="P800" s="2" t="b">
        <v>1</v>
      </c>
      <c r="Q800" s="2" t="b">
        <v>0</v>
      </c>
      <c r="R800" s="4" t="n">
        <v>700</v>
      </c>
      <c r="S800" s="4" t="n">
        <v>120</v>
      </c>
      <c r="T800" s="4" t="n">
        <v>2</v>
      </c>
      <c r="U800" s="2" t="inlineStr">
        <is>
          <t>80 canais de Vivo Estendido</t>
        </is>
      </c>
      <c r="V800" s="2" t="inlineStr"/>
      <c r="W800" s="2" t="inlineStr">
        <is>
          <t>Vivo Travel Américas e Europa; 1 linha adicional inclusa</t>
        </is>
      </c>
      <c r="X800" s="2" t="inlineStr">
        <is>
          <t>700 Mega de Vivo Fibra</t>
        </is>
      </c>
      <c r="Y800" s="2" t="inlineStr">
        <is>
          <t>https://vivo.com.br/para-voce/produtos-e-servicos/combos/vivo-total</t>
        </is>
      </c>
      <c r="Z800" s="2" t="inlineStr">
        <is>
          <t>data/raw/vivo_convergent_total_SP.html</t>
        </is>
      </c>
    </row>
    <row r="801">
      <c r="A801" s="5" t="inlineStr">
        <is>
          <t>2026-09-04</t>
        </is>
      </c>
      <c r="B801" s="5" t="inlineStr">
        <is>
          <t>2026-09-04T19:45:10</t>
        </is>
      </c>
      <c r="C801" s="5" t="inlineStr">
        <is>
          <t>vivo</t>
        </is>
      </c>
      <c r="D801" s="5" t="inlineStr">
        <is>
          <t>SP</t>
        </is>
      </c>
      <c r="E801" s="5" t="inlineStr">
        <is>
          <t>Vivo Família 2 + TV</t>
        </is>
      </c>
      <c r="F801" s="5" t="inlineStr">
        <is>
          <t>vivo:VIV202604032112-3-9-305-316-408-411-426-430-442</t>
        </is>
      </c>
      <c r="G801" s="6" t="n">
        <v>390</v>
      </c>
      <c r="H801" s="6" t="inlineStr"/>
      <c r="I801" s="5" t="inlineStr"/>
      <c r="J801" s="5" t="inlineStr"/>
      <c r="K801" s="5" t="inlineStr">
        <is>
          <t>instalação grátis mediante fidelização (não afeta a mensalidade)</t>
        </is>
      </c>
      <c r="L801" s="5" t="inlineStr">
        <is>
          <t>mobile+broadband+tv</t>
        </is>
      </c>
      <c r="M801" s="5" t="inlineStr">
        <is>
          <t>Fiber + Mobile + TV</t>
        </is>
      </c>
      <c r="N801" s="5" t="b">
        <v>1</v>
      </c>
      <c r="O801" s="5" t="b">
        <v>1</v>
      </c>
      <c r="P801" s="5" t="b">
        <v>1</v>
      </c>
      <c r="Q801" s="5" t="b">
        <v>0</v>
      </c>
      <c r="R801" s="7" t="n">
        <v>700</v>
      </c>
      <c r="S801" s="7" t="n">
        <v>120</v>
      </c>
      <c r="T801" s="7" t="n">
        <v>2</v>
      </c>
      <c r="U801" s="5" t="inlineStr">
        <is>
          <t>120 canais de Vivo TV Avançado + 1 ponto adicional</t>
        </is>
      </c>
      <c r="V801" s="5" t="inlineStr"/>
      <c r="W801" s="5" t="inlineStr">
        <is>
          <t>Vivo Travel Américas e Europa; 1 linha adicional inclusa</t>
        </is>
      </c>
      <c r="X801" s="5" t="inlineStr">
        <is>
          <t>700 Mega de Vivo Fibra</t>
        </is>
      </c>
      <c r="Y801" s="5" t="inlineStr">
        <is>
          <t>https://vivo.com.br/para-voce/produtos-e-servicos/combos/vivo-total</t>
        </is>
      </c>
      <c r="Z801" s="5" t="inlineStr">
        <is>
          <t>data/raw/vivo_convergent_total_SP.html</t>
        </is>
      </c>
    </row>
    <row r="802">
      <c r="A802" s="2" t="inlineStr">
        <is>
          <t>2026-09-04</t>
        </is>
      </c>
      <c r="B802" s="2" t="inlineStr">
        <is>
          <t>2026-09-04T19:45:10</t>
        </is>
      </c>
      <c r="C802" s="2" t="inlineStr">
        <is>
          <t>vivo</t>
        </is>
      </c>
      <c r="D802" s="2" t="inlineStr">
        <is>
          <t>SP</t>
        </is>
      </c>
      <c r="E802" s="2" t="inlineStr">
        <is>
          <t>Vivo Total Família 2</t>
        </is>
      </c>
      <c r="F802" s="2" t="inlineStr">
        <is>
          <t>vivo:VIV202604032132-3-305-316-408-411-426-430-442</t>
        </is>
      </c>
      <c r="G802" s="3" t="n">
        <v>270</v>
      </c>
      <c r="H802" s="3" t="inlineStr"/>
      <c r="I802" s="2" t="inlineStr"/>
      <c r="J802" s="2" t="inlineStr"/>
      <c r="K802" s="2" t="inlineStr">
        <is>
          <t>instalação grátis mediante fidelização (não afeta a mensalidade)</t>
        </is>
      </c>
      <c r="L802" s="2" t="inlineStr">
        <is>
          <t>mobile+broadband</t>
        </is>
      </c>
      <c r="M802" s="2" t="inlineStr">
        <is>
          <t>Fiber + Mobile</t>
        </is>
      </c>
      <c r="N802" s="2" t="b">
        <v>1</v>
      </c>
      <c r="O802" s="2" t="b">
        <v>1</v>
      </c>
      <c r="P802" s="2" t="b">
        <v>0</v>
      </c>
      <c r="Q802" s="2" t="b">
        <v>0</v>
      </c>
      <c r="R802" s="4" t="n">
        <v>700</v>
      </c>
      <c r="S802" s="4" t="n">
        <v>120</v>
      </c>
      <c r="T802" s="4" t="n">
        <v>2</v>
      </c>
      <c r="U802" s="2" t="inlineStr"/>
      <c r="V802" s="2" t="inlineStr"/>
      <c r="W802" s="2" t="inlineStr">
        <is>
          <t>Vivo Travel Américas e Europa; 1 linha adicional inclusa</t>
        </is>
      </c>
      <c r="X802" s="2" t="inlineStr">
        <is>
          <t>700 Mega de Vivo Fibra</t>
        </is>
      </c>
      <c r="Y802" s="2" t="inlineStr">
        <is>
          <t>https://vivo.com.br/para-voce/produtos-e-servicos/combos/vivo-total</t>
        </is>
      </c>
      <c r="Z802" s="2" t="inlineStr">
        <is>
          <t>data/raw/vivo_convergent_total_SP.html</t>
        </is>
      </c>
    </row>
    <row r="803">
      <c r="A803" s="5" t="inlineStr">
        <is>
          <t>2026-09-04</t>
        </is>
      </c>
      <c r="B803" s="5" t="inlineStr">
        <is>
          <t>2026-09-04T19:45:10</t>
        </is>
      </c>
      <c r="C803" s="5" t="inlineStr">
        <is>
          <t>vivo</t>
        </is>
      </c>
      <c r="D803" s="5" t="inlineStr">
        <is>
          <t>SP</t>
        </is>
      </c>
      <c r="E803" s="5" t="inlineStr">
        <is>
          <t>Vivo Total Família 3</t>
        </is>
      </c>
      <c r="F803" s="5" t="inlineStr">
        <is>
          <t>vivo:VIV202604032212-4-305-316-408-411-426-430-442</t>
        </is>
      </c>
      <c r="G803" s="6" t="n">
        <v>330</v>
      </c>
      <c r="H803" s="6" t="inlineStr"/>
      <c r="I803" s="5" t="inlineStr"/>
      <c r="J803" s="5" t="inlineStr"/>
      <c r="K803" s="5" t="inlineStr">
        <is>
          <t>instalação grátis mediante fidelização (não afeta a mensalidade)</t>
        </is>
      </c>
      <c r="L803" s="5" t="inlineStr">
        <is>
          <t>mobile+broadband</t>
        </is>
      </c>
      <c r="M803" s="5" t="inlineStr">
        <is>
          <t>Fiber + Mobile</t>
        </is>
      </c>
      <c r="N803" s="5" t="b">
        <v>1</v>
      </c>
      <c r="O803" s="5" t="b">
        <v>1</v>
      </c>
      <c r="P803" s="5" t="b">
        <v>0</v>
      </c>
      <c r="Q803" s="5" t="b">
        <v>0</v>
      </c>
      <c r="R803" s="7" t="n">
        <v>700</v>
      </c>
      <c r="S803" s="7" t="n">
        <v>180</v>
      </c>
      <c r="T803" s="7" t="n">
        <v>3</v>
      </c>
      <c r="U803" s="5" t="inlineStr"/>
      <c r="V803" s="5" t="inlineStr"/>
      <c r="W803" s="5" t="inlineStr">
        <is>
          <t>Vivo Travel Américas e Europa; 2 linhas adicionais inclusas</t>
        </is>
      </c>
      <c r="X803" s="5" t="inlineStr">
        <is>
          <t>700 Mega de Vivo Fibra</t>
        </is>
      </c>
      <c r="Y803" s="5" t="inlineStr">
        <is>
          <t>https://vivo.com.br/para-voce/produtos-e-servicos/combos/vivo-total</t>
        </is>
      </c>
      <c r="Z803" s="5" t="inlineStr">
        <is>
          <t>data/raw/vivo_convergent_total_SP.html</t>
        </is>
      </c>
    </row>
    <row r="804">
      <c r="A804" s="2" t="inlineStr">
        <is>
          <t>2026-09-04</t>
        </is>
      </c>
      <c r="B804" s="2" t="inlineStr">
        <is>
          <t>2026-09-04T19:45:10</t>
        </is>
      </c>
      <c r="C804" s="2" t="inlineStr">
        <is>
          <t>vivo</t>
        </is>
      </c>
      <c r="D804" s="2" t="inlineStr">
        <is>
          <t>SP</t>
        </is>
      </c>
      <c r="E804" s="2" t="inlineStr">
        <is>
          <t>Vivo Total Família 4</t>
        </is>
      </c>
      <c r="F804" s="2" t="inlineStr">
        <is>
          <t>vivo:VIV202604032292-237-305-316-408-411-426-430-442</t>
        </is>
      </c>
      <c r="G804" s="3" t="n">
        <v>420</v>
      </c>
      <c r="H804" s="3" t="inlineStr"/>
      <c r="I804" s="2" t="inlineStr"/>
      <c r="J804" s="2" t="inlineStr"/>
      <c r="K804" s="2" t="inlineStr">
        <is>
          <t>instalação grátis mediante fidelização (não afeta a mensalidade)</t>
        </is>
      </c>
      <c r="L804" s="2" t="inlineStr">
        <is>
          <t>mobile+broadband</t>
        </is>
      </c>
      <c r="M804" s="2" t="inlineStr">
        <is>
          <t>Fiber + Mobile</t>
        </is>
      </c>
      <c r="N804" s="2" t="b">
        <v>1</v>
      </c>
      <c r="O804" s="2" t="b">
        <v>1</v>
      </c>
      <c r="P804" s="2" t="b">
        <v>0</v>
      </c>
      <c r="Q804" s="2" t="b">
        <v>0</v>
      </c>
      <c r="R804" s="4" t="n">
        <v>700</v>
      </c>
      <c r="S804" s="4" t="n">
        <v>240</v>
      </c>
      <c r="T804" s="4" t="n">
        <v>4</v>
      </c>
      <c r="U804" s="2" t="inlineStr"/>
      <c r="V804" s="2" t="inlineStr"/>
      <c r="W804" s="2" t="inlineStr">
        <is>
          <t>Vivo Travel Américas e Europa; 3 linhas adicionais inclusas</t>
        </is>
      </c>
      <c r="X804" s="2" t="inlineStr">
        <is>
          <t>700 Mega de Vivo Fibra</t>
        </is>
      </c>
      <c r="Y804" s="2" t="inlineStr">
        <is>
          <t>https://vivo.com.br/para-voce/produtos-e-servicos/combos/vivo-total</t>
        </is>
      </c>
      <c r="Z804" s="2" t="inlineStr">
        <is>
          <t>data/raw/vivo_convergent_total_SP.html</t>
        </is>
      </c>
    </row>
    <row r="805">
      <c r="A805" s="5" t="inlineStr">
        <is>
          <t>2026-09-04</t>
        </is>
      </c>
      <c r="B805" s="5" t="inlineStr">
        <is>
          <t>2026-09-04T19:45:10</t>
        </is>
      </c>
      <c r="C805" s="5" t="inlineStr">
        <is>
          <t>vivo</t>
        </is>
      </c>
      <c r="D805" s="5" t="inlineStr">
        <is>
          <t>SP</t>
        </is>
      </c>
      <c r="E805" s="5" t="inlineStr">
        <is>
          <t>Vivo Total Família 5</t>
        </is>
      </c>
      <c r="F805" s="5" t="inlineStr">
        <is>
          <t>vivo:VIV202604032372-5-305-316-408-411-426-430-442</t>
        </is>
      </c>
      <c r="G805" s="6" t="n">
        <v>520</v>
      </c>
      <c r="H805" s="6" t="inlineStr"/>
      <c r="I805" s="5" t="inlineStr"/>
      <c r="J805" s="5" t="inlineStr"/>
      <c r="K805" s="5" t="inlineStr">
        <is>
          <t>instalação grátis mediante fidelização (não afeta a mensalidade)</t>
        </is>
      </c>
      <c r="L805" s="5" t="inlineStr">
        <is>
          <t>mobile+broadband</t>
        </is>
      </c>
      <c r="M805" s="5" t="inlineStr">
        <is>
          <t>Fiber + Mobile</t>
        </is>
      </c>
      <c r="N805" s="5" t="b">
        <v>1</v>
      </c>
      <c r="O805" s="5" t="b">
        <v>1</v>
      </c>
      <c r="P805" s="5" t="b">
        <v>0</v>
      </c>
      <c r="Q805" s="5" t="b">
        <v>0</v>
      </c>
      <c r="R805" s="7" t="n">
        <v>700</v>
      </c>
      <c r="S805" s="7" t="n">
        <v>300</v>
      </c>
      <c r="T805" s="7" t="n">
        <v>5</v>
      </c>
      <c r="U805" s="5" t="inlineStr"/>
      <c r="V805" s="5" t="inlineStr"/>
      <c r="W805" s="5" t="inlineStr">
        <is>
          <t>Vivo Travel Américas e Europa; 4 linhas adicionais inclusas</t>
        </is>
      </c>
      <c r="X805" s="5" t="inlineStr">
        <is>
          <t>700 Mega de Vivo Fibra</t>
        </is>
      </c>
      <c r="Y805" s="5" t="inlineStr">
        <is>
          <t>https://vivo.com.br/para-voce/produtos-e-servicos/combos/vivo-total</t>
        </is>
      </c>
      <c r="Z805" s="5" t="inlineStr">
        <is>
          <t>data/raw/vivo_convergent_total_SP.html</t>
        </is>
      </c>
    </row>
    <row r="806">
      <c r="A806" s="2" t="inlineStr">
        <is>
          <t>2026-09-04</t>
        </is>
      </c>
      <c r="B806" s="2" t="inlineStr">
        <is>
          <t>2026-09-04T19:45:10</t>
        </is>
      </c>
      <c r="C806" s="2" t="inlineStr">
        <is>
          <t>vivo</t>
        </is>
      </c>
      <c r="D806" s="2" t="inlineStr">
        <is>
          <t>SP</t>
        </is>
      </c>
      <c r="E806" s="2" t="inlineStr">
        <is>
          <t>Vivo Total Pro</t>
        </is>
      </c>
      <c r="F806" s="2" t="inlineStr">
        <is>
          <t>vivo:VIV202604031772-2-305-308-316-326-342-411-430</t>
        </is>
      </c>
      <c r="G806" s="3" t="n">
        <v>160</v>
      </c>
      <c r="H806" s="3" t="inlineStr"/>
      <c r="I806" s="2" t="inlineStr"/>
      <c r="J806" s="2" t="inlineStr"/>
      <c r="K806" s="2" t="inlineStr">
        <is>
          <t>instalação grátis mediante fidelização (não afeta a mensalidade)</t>
        </is>
      </c>
      <c r="L806" s="2" t="inlineStr">
        <is>
          <t>mobile+broadband</t>
        </is>
      </c>
      <c r="M806" s="2" t="inlineStr">
        <is>
          <t>Fiber + Mobile</t>
        </is>
      </c>
      <c r="N806" s="2" t="b">
        <v>1</v>
      </c>
      <c r="O806" s="2" t="b">
        <v>1</v>
      </c>
      <c r="P806" s="2" t="b">
        <v>0</v>
      </c>
      <c r="Q806" s="2" t="b">
        <v>0</v>
      </c>
      <c r="R806" s="4" t="n">
        <v>500</v>
      </c>
      <c r="S806" s="4" t="n">
        <v>70</v>
      </c>
      <c r="T806" s="4" t="n">
        <v>1</v>
      </c>
      <c r="U806" s="2" t="inlineStr"/>
      <c r="V806" s="2" t="inlineStr"/>
      <c r="W806" s="2" t="inlineStr">
        <is>
          <t>Vivo Travel Américas; 50 GB de franquia + 20 GB de bônus</t>
        </is>
      </c>
      <c r="X806" s="2" t="inlineStr">
        <is>
          <t>500 Mega de Vivo Fibra</t>
        </is>
      </c>
      <c r="Y806" s="2" t="inlineStr">
        <is>
          <t>https://vivo.com.br/para-voce/produtos-e-servicos/combos/vivo-total</t>
        </is>
      </c>
      <c r="Z806" s="2" t="inlineStr">
        <is>
          <t>data/raw/vivo_convergent_total_SP.html</t>
        </is>
      </c>
    </row>
    <row r="807">
      <c r="A807" s="5" t="inlineStr">
        <is>
          <t>2026-09-04</t>
        </is>
      </c>
      <c r="B807" s="5" t="inlineStr">
        <is>
          <t>2026-09-04T19:45:10</t>
        </is>
      </c>
      <c r="C807" s="5" t="inlineStr">
        <is>
          <t>vivo</t>
        </is>
      </c>
      <c r="D807" s="5" t="inlineStr">
        <is>
          <t>SP</t>
        </is>
      </c>
      <c r="E807" s="5" t="inlineStr">
        <is>
          <t>Vivo Total Ultra</t>
        </is>
      </c>
      <c r="F807" s="5" t="inlineStr">
        <is>
          <t>vivo:VIV202604032034-305-313-316-408-411-426-430-442</t>
        </is>
      </c>
      <c r="G807" s="6" t="n">
        <v>190</v>
      </c>
      <c r="H807" s="6" t="inlineStr"/>
      <c r="I807" s="5" t="inlineStr"/>
      <c r="J807" s="5" t="inlineStr"/>
      <c r="K807" s="5" t="inlineStr">
        <is>
          <t>instalação grátis mediante fidelização (não afeta a mensalidade)</t>
        </is>
      </c>
      <c r="L807" s="5" t="inlineStr">
        <is>
          <t>mobile+broadband</t>
        </is>
      </c>
      <c r="M807" s="5" t="inlineStr">
        <is>
          <t>Fiber + Mobile</t>
        </is>
      </c>
      <c r="N807" s="5" t="b">
        <v>1</v>
      </c>
      <c r="O807" s="5" t="b">
        <v>1</v>
      </c>
      <c r="P807" s="5" t="b">
        <v>0</v>
      </c>
      <c r="Q807" s="5" t="b">
        <v>0</v>
      </c>
      <c r="R807" s="7" t="n">
        <v>700</v>
      </c>
      <c r="S807" s="7" t="n">
        <v>80</v>
      </c>
      <c r="T807" s="7" t="n">
        <v>1</v>
      </c>
      <c r="U807" s="5" t="inlineStr"/>
      <c r="V807" s="5" t="inlineStr"/>
      <c r="W807" s="5" t="inlineStr">
        <is>
          <t>Vivo Travel Américas; 70 GB de franquia + 10 GB de bônus</t>
        </is>
      </c>
      <c r="X807" s="5" t="inlineStr">
        <is>
          <t>700 Mega de Vivo Fibra</t>
        </is>
      </c>
      <c r="Y807" s="5" t="inlineStr">
        <is>
          <t>https://vivo.com.br/para-voce/produtos-e-servicos/combos/vivo-total</t>
        </is>
      </c>
      <c r="Z807" s="5" t="inlineStr">
        <is>
          <t>data/raw/vivo_convergent_total_SP.html</t>
        </is>
      </c>
    </row>
    <row r="808">
      <c r="A808" s="2" t="inlineStr">
        <is>
          <t>2026-09-04</t>
        </is>
      </c>
      <c r="B808" s="2" t="inlineStr">
        <is>
          <t>2026-09-04T19:45:10</t>
        </is>
      </c>
      <c r="C808" s="2" t="inlineStr">
        <is>
          <t>vivo</t>
        </is>
      </c>
      <c r="D808" s="2" t="inlineStr">
        <is>
          <t>SP</t>
        </is>
      </c>
      <c r="E808" s="2" t="inlineStr">
        <is>
          <t>Vivo Total Ultra + TV</t>
        </is>
      </c>
      <c r="F808" s="2" t="inlineStr">
        <is>
          <t>vivo:VIV202604031882-9-305-313-316-408-411-426-430-442</t>
        </is>
      </c>
      <c r="G808" s="3" t="n">
        <v>310</v>
      </c>
      <c r="H808" s="3" t="inlineStr"/>
      <c r="I808" s="2" t="inlineStr"/>
      <c r="J808" s="2" t="inlineStr"/>
      <c r="K808" s="2" t="inlineStr">
        <is>
          <t>instalação grátis mediante fidelização (não afeta a mensalidade)</t>
        </is>
      </c>
      <c r="L808" s="2" t="inlineStr">
        <is>
          <t>mobile+broadband+tv</t>
        </is>
      </c>
      <c r="M808" s="2" t="inlineStr">
        <is>
          <t>Fiber + Mobile + TV</t>
        </is>
      </c>
      <c r="N808" s="2" t="b">
        <v>1</v>
      </c>
      <c r="O808" s="2" t="b">
        <v>1</v>
      </c>
      <c r="P808" s="2" t="b">
        <v>1</v>
      </c>
      <c r="Q808" s="2" t="b">
        <v>0</v>
      </c>
      <c r="R808" s="4" t="n">
        <v>700</v>
      </c>
      <c r="S808" s="4" t="n">
        <v>80</v>
      </c>
      <c r="T808" s="4" t="n">
        <v>1</v>
      </c>
      <c r="U808" s="2" t="inlineStr">
        <is>
          <t>120 canais de Vivo TV Avançado + 1 ponto adicional</t>
        </is>
      </c>
      <c r="V808" s="2" t="inlineStr"/>
      <c r="W808" s="2" t="inlineStr">
        <is>
          <t>Vivo Travel Américas; 70 GB de franquia + 10 GB de bônus</t>
        </is>
      </c>
      <c r="X808" s="2" t="inlineStr">
        <is>
          <t>700 Mega de Vivo Fibra</t>
        </is>
      </c>
      <c r="Y808" s="2" t="inlineStr">
        <is>
          <t>https://vivo.com.br/para-voce/produtos-e-servicos/combos/vivo-total</t>
        </is>
      </c>
      <c r="Z808" s="2" t="inlineStr">
        <is>
          <t>data/raw/vivo_convergent_total_SP.html</t>
        </is>
      </c>
    </row>
    <row r="809">
      <c r="A809" s="5" t="inlineStr">
        <is>
          <t>2026-09-04</t>
        </is>
      </c>
      <c r="B809" s="5" t="inlineStr">
        <is>
          <t>2026-09-04T19:45:10</t>
        </is>
      </c>
      <c r="C809" s="5" t="inlineStr">
        <is>
          <t>vivo</t>
        </is>
      </c>
      <c r="D809" s="5" t="inlineStr">
        <is>
          <t>SP</t>
        </is>
      </c>
      <c r="E809" s="5" t="inlineStr">
        <is>
          <t>Vivo Total Ultra + TV online</t>
        </is>
      </c>
      <c r="F809" s="5" t="inlineStr">
        <is>
          <t>vivo:VIV202604032034-305-313-316-336-408-411-426-430-442</t>
        </is>
      </c>
      <c r="G809" s="6" t="n">
        <v>210</v>
      </c>
      <c r="H809" s="6" t="inlineStr"/>
      <c r="I809" s="5" t="inlineStr"/>
      <c r="J809" s="5" t="inlineStr"/>
      <c r="K809" s="5" t="inlineStr">
        <is>
          <t>instalação grátis mediante fidelização (não afeta a mensalidade)</t>
        </is>
      </c>
      <c r="L809" s="5" t="inlineStr">
        <is>
          <t>mobile+broadband+tv</t>
        </is>
      </c>
      <c r="M809" s="5" t="inlineStr">
        <is>
          <t>Fiber + Mobile + TV</t>
        </is>
      </c>
      <c r="N809" s="5" t="b">
        <v>1</v>
      </c>
      <c r="O809" s="5" t="b">
        <v>1</v>
      </c>
      <c r="P809" s="5" t="b">
        <v>1</v>
      </c>
      <c r="Q809" s="5" t="b">
        <v>0</v>
      </c>
      <c r="R809" s="7" t="n">
        <v>700</v>
      </c>
      <c r="S809" s="7" t="n">
        <v>80</v>
      </c>
      <c r="T809" s="7" t="n">
        <v>1</v>
      </c>
      <c r="U809" s="5" t="inlineStr">
        <is>
          <t>80 canais de Vivo Estendido</t>
        </is>
      </c>
      <c r="V809" s="5" t="inlineStr"/>
      <c r="W809" s="5" t="inlineStr">
        <is>
          <t>Vivo Travel Américas; 70 GB de franquia + 10 GB de bônus</t>
        </is>
      </c>
      <c r="X809" s="5" t="inlineStr">
        <is>
          <t>700 Mega de Vivo Fibra</t>
        </is>
      </c>
      <c r="Y809" s="5" t="inlineStr">
        <is>
          <t>https://vivo.com.br/para-voce/produtos-e-servicos/combos/vivo-total</t>
        </is>
      </c>
      <c r="Z809" s="5" t="inlineStr">
        <is>
          <t>data/raw/vivo_convergent_total_SP.html</t>
        </is>
      </c>
    </row>
    <row r="810">
      <c r="A810" s="2" t="inlineStr">
        <is>
          <t>2026-09-04</t>
        </is>
      </c>
      <c r="B810" s="2" t="inlineStr">
        <is>
          <t>2026-09-04T19:45:10</t>
        </is>
      </c>
      <c r="C810" s="2" t="inlineStr">
        <is>
          <t>vivo</t>
        </is>
      </c>
      <c r="D810" s="2" t="inlineStr">
        <is>
          <t>SP</t>
        </is>
      </c>
      <c r="E810" s="2" t="inlineStr">
        <is>
          <t>Vivo Total V 1 Giga</t>
        </is>
      </c>
      <c r="F810" s="2" t="inlineStr">
        <is>
          <t>vivo:VIV202604032532-2-305-316-408-426-430-442</t>
        </is>
      </c>
      <c r="G810" s="3" t="n">
        <v>1200</v>
      </c>
      <c r="H810" s="3" t="inlineStr"/>
      <c r="I810" s="2" t="inlineStr"/>
      <c r="J810" s="2" t="inlineStr"/>
      <c r="K810" s="2" t="inlineStr">
        <is>
          <t>instalação grátis mediante fidelização (não afeta a mensalidade)</t>
        </is>
      </c>
      <c r="L810" s="2" t="inlineStr">
        <is>
          <t>mobile+broadband+tv</t>
        </is>
      </c>
      <c r="M810" s="2" t="inlineStr">
        <is>
          <t>Fiber + Mobile + TV</t>
        </is>
      </c>
      <c r="N810" s="2" t="b">
        <v>1</v>
      </c>
      <c r="O810" s="2" t="b">
        <v>1</v>
      </c>
      <c r="P810" s="2" t="b">
        <v>1</v>
      </c>
      <c r="Q810" s="2" t="b">
        <v>0</v>
      </c>
      <c r="R810" s="4" t="n">
        <v>1000</v>
      </c>
      <c r="S810" s="4" t="n">
        <v>600</v>
      </c>
      <c r="T810" s="4" t="n">
        <v>11</v>
      </c>
      <c r="U810" s="2" t="inlineStr">
        <is>
          <t>Vivo TV Completo com HBO Max e Telecine</t>
        </is>
      </c>
      <c r="V810" s="2" t="inlineStr"/>
      <c r="W810" s="2" t="inlineStr">
        <is>
          <t>Vivo Travel Mundo; 10 linhas adicionais inclusas; Vivo TV Completo com HBO Max e Telecine</t>
        </is>
      </c>
      <c r="X810" s="2" t="inlineStr">
        <is>
          <t>1Giga de Vivo Fibra</t>
        </is>
      </c>
      <c r="Y810" s="2" t="inlineStr">
        <is>
          <t>https://vivo.com.br/para-voce/produtos-e-servicos/combos/vivo-total</t>
        </is>
      </c>
      <c r="Z810" s="2" t="inlineStr">
        <is>
          <t>data/raw/vivo_convergent_total_SP.html</t>
        </is>
      </c>
    </row>
  </sheetData>
  <autoFilter ref="A1:Z8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4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29">
      <c r="A29" s="12" t="n">
        <v>46266</v>
      </c>
      <c r="B29" s="3">
        <f>IFERROR(IF(_xlfn.MINIFS(convergent_history!$G:$G,convergent_history!$C:$C,"tim",convergent_history!$M:$M,"Fiber + Mobile",convergent_history!$A:$A,YEAR($A29)&amp;"-"&amp;TEXT(MONTH($A29),"00")&amp;"-"&amp;TEXT(DAY($A29),"00"))=0,"",_xlfn.MINIFS(convergent_history!$G:$G,convergent_history!$C:$C,"tim",convergent_history!$M:$M,"Fiber + Mobile",convergent_history!$A:$A,YEAR($A29)&amp;"-"&amp;TEXT(MONTH($A29),"00")&amp;"-"&amp;TEXT(DAY($A29),"00"))),"")</f>
        <v>89.99</v>
      </c>
      <c r="C29" s="3">
        <f>IFERROR(IF(_xlfn.MINIFS(convergent_history!$G:$G,convergent_history!$C:$C,"vivo",convergent_history!$M:$M,"Fiber + Mobile",convergent_history!$A:$A,YEAR($A29)&amp;"-"&amp;TEXT(MONTH($A29),"00")&amp;"-"&amp;TEXT(DAY($A29),"00"))=0,"",_xlfn.MINIFS(convergent_history!$G:$G,convergent_history!$C:$C,"vivo",convergent_history!$M:$M,"Fiber + Mobile",convergent_history!$A:$A,YEAR($A29)&amp;"-"&amp;TEXT(MONTH($A29),"00")&amp;"-"&amp;TEXT(DAY($A29),"00"))),"")</f>
        <v>160</v>
      </c>
      <c r="D29" s="3">
        <f>IFERROR(IF(_xlfn.MINIFS(convergent_history!$G:$G,convergent_history!$C:$C,"claro",convergent_history!$M:$M,"Fiber + Mobile",convergent_history!$A:$A,YEAR($A29)&amp;"-"&amp;TEXT(MONTH($A29),"00")&amp;"-"&amp;TEXT(DAY($A29),"00"))=0,"",_xlfn.MINIFS(convergent_history!$G:$G,convergent_history!$C:$C,"claro",convergent_history!$M:$M,"Fiber + Mobile",convergent_history!$A:$A,YEAR($A29)&amp;"-"&amp;TEXT(MONTH($A29),"00")&amp;"-"&amp;TEXT(DAY($A29),"00"))),"")</f>
        <v>129.8</v>
      </c>
    </row>
    <row r="30">
      <c r="A30" s="12" t="n">
        <v>46267</v>
      </c>
      <c r="B30" s="3">
        <f>IFERROR(IF(_xlfn.MINIFS(convergent_history!$G:$G,convergent_history!$C:$C,"tim",convergent_history!$M:$M,"Fiber + Mobile",convergent_history!$A:$A,YEAR($A30)&amp;"-"&amp;TEXT(MONTH($A30),"00")&amp;"-"&amp;TEXT(DAY($A30),"00"))=0,"",_xlfn.MINIFS(convergent_history!$G:$G,convergent_history!$C:$C,"tim",convergent_history!$M:$M,"Fiber + Mobile",convergent_history!$A:$A,YEAR($A30)&amp;"-"&amp;TEXT(MONTH($A30),"00")&amp;"-"&amp;TEXT(DAY($A30),"00"))),"")</f>
        <v>89.99</v>
      </c>
      <c r="C30" s="3">
        <f>IFERROR(IF(_xlfn.MINIFS(convergent_history!$G:$G,convergent_history!$C:$C,"vivo",convergent_history!$M:$M,"Fiber + Mobile",convergent_history!$A:$A,YEAR($A30)&amp;"-"&amp;TEXT(MONTH($A30),"00")&amp;"-"&amp;TEXT(DAY($A30),"00"))=0,"",_xlfn.MINIFS(convergent_history!$G:$G,convergent_history!$C:$C,"vivo",convergent_history!$M:$M,"Fiber + Mobile",convergent_history!$A:$A,YEAR($A30)&amp;"-"&amp;TEXT(MONTH($A30),"00")&amp;"-"&amp;TEXT(DAY($A30),"00"))),"")</f>
        <v>160</v>
      </c>
      <c r="D30" s="3">
        <f>IFERROR(IF(_xlfn.MINIFS(convergent_history!$G:$G,convergent_history!$C:$C,"claro",convergent_history!$M:$M,"Fiber + Mobile",convergent_history!$A:$A,YEAR($A30)&amp;"-"&amp;TEXT(MONTH($A30),"00")&amp;"-"&amp;TEXT(DAY($A30),"00"))=0,"",_xlfn.MINIFS(convergent_history!$G:$G,convergent_history!$C:$C,"claro",convergent_history!$M:$M,"Fiber + Mobile",convergent_history!$A:$A,YEAR($A30)&amp;"-"&amp;TEXT(MONTH($A30),"00")&amp;"-"&amp;TEXT(DAY($A30),"00"))),"")</f>
        <v>129.8</v>
      </c>
    </row>
    <row r="31">
      <c r="A31" s="12" t="n">
        <v>46268</v>
      </c>
      <c r="B31" s="3">
        <f>IFERROR(IF(_xlfn.MINIFS(convergent_history!$G:$G,convergent_history!$C:$C,"tim",convergent_history!$M:$M,"Fiber + Mobile",convergent_history!$A:$A,YEAR($A31)&amp;"-"&amp;TEXT(MONTH($A31),"00")&amp;"-"&amp;TEXT(DAY($A31),"00"))=0,"",_xlfn.MINIFS(convergent_history!$G:$G,convergent_history!$C:$C,"tim",convergent_history!$M:$M,"Fiber + Mobile",convergent_history!$A:$A,YEAR($A31)&amp;"-"&amp;TEXT(MONTH($A31),"00")&amp;"-"&amp;TEXT(DAY($A31),"00"))),"")</f>
        <v>89.99</v>
      </c>
      <c r="C31" s="3">
        <f>IFERROR(IF(_xlfn.MINIFS(convergent_history!$G:$G,convergent_history!$C:$C,"vivo",convergent_history!$M:$M,"Fiber + Mobile",convergent_history!$A:$A,YEAR($A31)&amp;"-"&amp;TEXT(MONTH($A31),"00")&amp;"-"&amp;TEXT(DAY($A31),"00"))=0,"",_xlfn.MINIFS(convergent_history!$G:$G,convergent_history!$C:$C,"vivo",convergent_history!$M:$M,"Fiber + Mobile",convergent_history!$A:$A,YEAR($A31)&amp;"-"&amp;TEXT(MONTH($A31),"00")&amp;"-"&amp;TEXT(DAY($A31),"00"))),"")</f>
        <v>160</v>
      </c>
      <c r="D31" s="3">
        <f>IFERROR(IF(_xlfn.MINIFS(convergent_history!$G:$G,convergent_history!$C:$C,"claro",convergent_history!$M:$M,"Fiber + Mobile",convergent_history!$A:$A,YEAR($A31)&amp;"-"&amp;TEXT(MONTH($A31),"00")&amp;"-"&amp;TEXT(DAY($A31),"00"))=0,"",_xlfn.MINIFS(convergent_history!$G:$G,convergent_history!$C:$C,"claro",convergent_history!$M:$M,"Fiber + Mobile",convergent_history!$A:$A,YEAR($A31)&amp;"-"&amp;TEXT(MONTH($A31),"00")&amp;"-"&amp;TEXT(DAY($A31),"00"))),"")</f>
        <v>129.8</v>
      </c>
    </row>
    <row r="32">
      <c r="A32" s="12" t="n">
        <v>46269</v>
      </c>
      <c r="B32" s="3">
        <f>IFERROR(IF(_xlfn.MINIFS(convergent_history!$G:$G,convergent_history!$C:$C,"tim",convergent_history!$M:$M,"Fiber + Mobile",convergent_history!$A:$A,YEAR($A32)&amp;"-"&amp;TEXT(MONTH($A32),"00")&amp;"-"&amp;TEXT(DAY($A32),"00"))=0,"",_xlfn.MINIFS(convergent_history!$G:$G,convergent_history!$C:$C,"tim",convergent_history!$M:$M,"Fiber + Mobile",convergent_history!$A:$A,YEAR($A32)&amp;"-"&amp;TEXT(MONTH($A32),"00")&amp;"-"&amp;TEXT(DAY($A32),"00"))),"")</f>
        <v>89.99</v>
      </c>
      <c r="C32" s="3">
        <f>IFERROR(IF(_xlfn.MINIFS(convergent_history!$G:$G,convergent_history!$C:$C,"vivo",convergent_history!$M:$M,"Fiber + Mobile",convergent_history!$A:$A,YEAR($A32)&amp;"-"&amp;TEXT(MONTH($A32),"00")&amp;"-"&amp;TEXT(DAY($A32),"00"))=0,"",_xlfn.MINIFS(convergent_history!$G:$G,convergent_history!$C:$C,"vivo",convergent_history!$M:$M,"Fiber + Mobile",convergent_history!$A:$A,YEAR($A32)&amp;"-"&amp;TEXT(MONTH($A32),"00")&amp;"-"&amp;TEXT(DAY($A32),"00"))),"")</f>
        <v>160</v>
      </c>
      <c r="D32" s="3">
        <f>IFERROR(IF(_xlfn.MINIFS(convergent_history!$G:$G,convergent_history!$C:$C,"claro",convergent_history!$M:$M,"Fiber + Mobile",convergent_history!$A:$A,YEAR($A32)&amp;"-"&amp;TEXT(MONTH($A32),"00")&amp;"-"&amp;TEXT(DAY($A32),"00"))=0,"",_xlfn.MINIFS(convergent_history!$G:$G,convergent_history!$C:$C,"claro",convergent_history!$M:$M,"Fiber + Mobile",convergent_history!$A:$A,YEAR($A32)&amp;"-"&amp;TEXT(MONTH($A32),"00")&amp;"-"&amp;TEXT(DAY($A32),"00"))),"")</f>
        <v>129.8</v>
      </c>
    </row>
    <row r="34">
      <c r="A34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32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2026-09-04T22:47:28Z</dcterms:created>
  <dcterms:modified xsi:type="dcterms:W3CDTF">2026-09-04T22:47:35Z</dcterms:modified>
</cp:coreProperties>
</file>